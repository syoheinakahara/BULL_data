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o_takigawa/BULL_data/master_excel/"/>
    </mc:Choice>
  </mc:AlternateContent>
  <bookViews>
    <workbookView xWindow="640" yWindow="460" windowWidth="28800" windowHeight="16240" tabRatio="885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11" l="1"/>
  <c r="O82" i="9"/>
  <c r="N82" i="9"/>
  <c r="M82" i="9"/>
  <c r="L82" i="9"/>
  <c r="K82" i="9"/>
  <c r="J82" i="9"/>
  <c r="I82" i="9"/>
  <c r="H82" i="9"/>
  <c r="G82" i="9"/>
  <c r="E82" i="9"/>
  <c r="D82" i="9"/>
  <c r="A82" i="9"/>
  <c r="J32" i="11"/>
  <c r="O81" i="9"/>
  <c r="N81" i="9"/>
  <c r="M81" i="9"/>
  <c r="L81" i="9"/>
  <c r="K81" i="9"/>
  <c r="J81" i="9"/>
  <c r="I81" i="9"/>
  <c r="H81" i="9"/>
  <c r="G81" i="9"/>
  <c r="E81" i="9"/>
  <c r="D81" i="9"/>
  <c r="A81" i="9"/>
  <c r="J31" i="11"/>
  <c r="O80" i="9"/>
  <c r="N80" i="9"/>
  <c r="M80" i="9"/>
  <c r="L80" i="9"/>
  <c r="K80" i="9"/>
  <c r="J80" i="9"/>
  <c r="I80" i="9"/>
  <c r="H80" i="9"/>
  <c r="G80" i="9"/>
  <c r="E80" i="9"/>
  <c r="D80" i="9"/>
  <c r="A80" i="9"/>
  <c r="J30" i="11"/>
  <c r="O79" i="9"/>
  <c r="N79" i="9"/>
  <c r="M79" i="9"/>
  <c r="L79" i="9"/>
  <c r="K79" i="9"/>
  <c r="J79" i="9"/>
  <c r="I79" i="9"/>
  <c r="H79" i="9"/>
  <c r="G79" i="9"/>
  <c r="E79" i="9"/>
  <c r="D79" i="9"/>
  <c r="A79" i="9"/>
  <c r="J29" i="11"/>
  <c r="O78" i="9"/>
  <c r="N78" i="9"/>
  <c r="M78" i="9"/>
  <c r="L78" i="9"/>
  <c r="K78" i="9"/>
  <c r="J78" i="9"/>
  <c r="I78" i="9"/>
  <c r="H78" i="9"/>
  <c r="G78" i="9"/>
  <c r="E78" i="9"/>
  <c r="D78" i="9"/>
  <c r="A78" i="9"/>
  <c r="J37" i="11"/>
  <c r="O77" i="9"/>
  <c r="N77" i="9"/>
  <c r="M77" i="9"/>
  <c r="L77" i="9"/>
  <c r="K77" i="9"/>
  <c r="J77" i="9"/>
  <c r="I77" i="9"/>
  <c r="H77" i="9"/>
  <c r="G77" i="9"/>
  <c r="E77" i="9"/>
  <c r="D77" i="9"/>
  <c r="A77" i="9"/>
  <c r="J27" i="11"/>
  <c r="O76" i="9"/>
  <c r="N76" i="9"/>
  <c r="M76" i="9"/>
  <c r="L76" i="9"/>
  <c r="K76" i="9"/>
  <c r="J76" i="9"/>
  <c r="I76" i="9"/>
  <c r="H76" i="9"/>
  <c r="G76" i="9"/>
  <c r="E76" i="9"/>
  <c r="D76" i="9"/>
  <c r="A76" i="9"/>
  <c r="J26" i="11"/>
  <c r="O75" i="9"/>
  <c r="N75" i="9"/>
  <c r="M75" i="9"/>
  <c r="L75" i="9"/>
  <c r="K75" i="9"/>
  <c r="J75" i="9"/>
  <c r="I75" i="9"/>
  <c r="H75" i="9"/>
  <c r="G75" i="9"/>
  <c r="E75" i="9"/>
  <c r="D75" i="9"/>
  <c r="A75" i="9"/>
  <c r="J25" i="11"/>
  <c r="O74" i="9"/>
  <c r="N74" i="9"/>
  <c r="M74" i="9"/>
  <c r="L74" i="9"/>
  <c r="K74" i="9"/>
  <c r="J74" i="9"/>
  <c r="I74" i="9"/>
  <c r="H74" i="9"/>
  <c r="G74" i="9"/>
  <c r="E74" i="9"/>
  <c r="D74" i="9"/>
  <c r="A74" i="9"/>
  <c r="J24" i="11"/>
  <c r="O73" i="9"/>
  <c r="N73" i="9"/>
  <c r="M73" i="9"/>
  <c r="L73" i="9"/>
  <c r="K73" i="9"/>
  <c r="J73" i="9"/>
  <c r="I73" i="9"/>
  <c r="H73" i="9"/>
  <c r="G73" i="9"/>
  <c r="E73" i="9"/>
  <c r="D73" i="9"/>
  <c r="A73" i="9"/>
  <c r="J23" i="11"/>
  <c r="O72" i="9"/>
  <c r="N72" i="9"/>
  <c r="M72" i="9"/>
  <c r="L72" i="9"/>
  <c r="K72" i="9"/>
  <c r="J72" i="9"/>
  <c r="I72" i="9"/>
  <c r="H72" i="9"/>
  <c r="G72" i="9"/>
  <c r="E72" i="9"/>
  <c r="D72" i="9"/>
  <c r="A72" i="9"/>
  <c r="J22" i="11"/>
  <c r="O71" i="9"/>
  <c r="N71" i="9"/>
  <c r="M71" i="9"/>
  <c r="L71" i="9"/>
  <c r="K71" i="9"/>
  <c r="J71" i="9"/>
  <c r="I71" i="9"/>
  <c r="H71" i="9"/>
  <c r="G71" i="9"/>
  <c r="E71" i="9"/>
  <c r="D71" i="9"/>
  <c r="A71" i="9"/>
  <c r="J21" i="11"/>
  <c r="O70" i="9"/>
  <c r="N70" i="9"/>
  <c r="M70" i="9"/>
  <c r="L70" i="9"/>
  <c r="K70" i="9"/>
  <c r="J70" i="9"/>
  <c r="I70" i="9"/>
  <c r="H70" i="9"/>
  <c r="G70" i="9"/>
  <c r="E70" i="9"/>
  <c r="D70" i="9"/>
  <c r="A70" i="9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J20" i="11"/>
  <c r="O69" i="9"/>
  <c r="N69" i="9"/>
  <c r="M69" i="9"/>
  <c r="L69" i="9"/>
  <c r="K69" i="9"/>
  <c r="J69" i="9"/>
  <c r="I69" i="9"/>
  <c r="H69" i="9"/>
  <c r="G69" i="9"/>
  <c r="E69" i="9"/>
  <c r="D69" i="9"/>
  <c r="A69" i="9"/>
  <c r="J19" i="11"/>
  <c r="O68" i="9"/>
  <c r="N68" i="9"/>
  <c r="M68" i="9"/>
  <c r="L68" i="9"/>
  <c r="K68" i="9"/>
  <c r="J68" i="9"/>
  <c r="I68" i="9"/>
  <c r="H68" i="9"/>
  <c r="G68" i="9"/>
  <c r="E68" i="9"/>
  <c r="D68" i="9"/>
  <c r="A68" i="9"/>
  <c r="J36" i="11"/>
  <c r="O67" i="9"/>
  <c r="N67" i="9"/>
  <c r="M67" i="9"/>
  <c r="L67" i="9"/>
  <c r="K67" i="9"/>
  <c r="J67" i="9"/>
  <c r="I67" i="9"/>
  <c r="H67" i="9"/>
  <c r="G67" i="9"/>
  <c r="E67" i="9"/>
  <c r="D67" i="9"/>
  <c r="A67" i="9"/>
  <c r="J17" i="11"/>
  <c r="O66" i="9"/>
  <c r="N66" i="9"/>
  <c r="M66" i="9"/>
  <c r="L66" i="9"/>
  <c r="K66" i="9"/>
  <c r="J66" i="9"/>
  <c r="I66" i="9"/>
  <c r="H66" i="9"/>
  <c r="G66" i="9"/>
  <c r="E66" i="9"/>
  <c r="D66" i="9"/>
  <c r="A66" i="9"/>
  <c r="J16" i="11"/>
  <c r="O65" i="9"/>
  <c r="N65" i="9"/>
  <c r="M65" i="9"/>
  <c r="L65" i="9"/>
  <c r="K65" i="9"/>
  <c r="J65" i="9"/>
  <c r="I65" i="9"/>
  <c r="H65" i="9"/>
  <c r="G65" i="9"/>
  <c r="E65" i="9"/>
  <c r="D65" i="9"/>
  <c r="A65" i="9"/>
  <c r="J15" i="11"/>
  <c r="O64" i="9"/>
  <c r="N64" i="9"/>
  <c r="M64" i="9"/>
  <c r="L64" i="9"/>
  <c r="K64" i="9"/>
  <c r="J64" i="9"/>
  <c r="I64" i="9"/>
  <c r="H64" i="9"/>
  <c r="G64" i="9"/>
  <c r="E64" i="9"/>
  <c r="D64" i="9"/>
  <c r="A64" i="9"/>
  <c r="J14" i="11"/>
  <c r="O63" i="9"/>
  <c r="N63" i="9"/>
  <c r="M63" i="9"/>
  <c r="L63" i="9"/>
  <c r="K63" i="9"/>
  <c r="J63" i="9"/>
  <c r="I63" i="9"/>
  <c r="H63" i="9"/>
  <c r="G63" i="9"/>
  <c r="E63" i="9"/>
  <c r="D63" i="9"/>
  <c r="A63" i="9"/>
  <c r="J13" i="11"/>
  <c r="O62" i="9"/>
  <c r="N62" i="9"/>
  <c r="M62" i="9"/>
  <c r="L62" i="9"/>
  <c r="K62" i="9"/>
  <c r="J62" i="9"/>
  <c r="I62" i="9"/>
  <c r="H62" i="9"/>
  <c r="G62" i="9"/>
  <c r="E62" i="9"/>
  <c r="D62" i="9"/>
  <c r="A62" i="9"/>
  <c r="J12" i="11"/>
  <c r="O61" i="9"/>
  <c r="N61" i="9"/>
  <c r="M61" i="9"/>
  <c r="L61" i="9"/>
  <c r="K61" i="9"/>
  <c r="J61" i="9"/>
  <c r="I61" i="9"/>
  <c r="H61" i="9"/>
  <c r="G61" i="9"/>
  <c r="E61" i="9"/>
  <c r="D61" i="9"/>
  <c r="A61" i="9"/>
  <c r="J11" i="11"/>
  <c r="O60" i="9"/>
  <c r="N60" i="9"/>
  <c r="M60" i="9"/>
  <c r="L60" i="9"/>
  <c r="K60" i="9"/>
  <c r="J60" i="9"/>
  <c r="I60" i="9"/>
  <c r="H60" i="9"/>
  <c r="G60" i="9"/>
  <c r="E60" i="9"/>
  <c r="D60" i="9"/>
  <c r="A60" i="9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J28" i="11"/>
  <c r="O54" i="9"/>
  <c r="N54" i="9"/>
  <c r="M54" i="9"/>
  <c r="L54" i="9"/>
  <c r="K54" i="9"/>
  <c r="J54" i="9"/>
  <c r="I54" i="9"/>
  <c r="H54" i="9"/>
  <c r="G54" i="9"/>
  <c r="E54" i="9"/>
  <c r="D54" i="9"/>
  <c r="A54" i="9"/>
  <c r="J35" i="11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J34" i="11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E11" i="9"/>
  <c r="E7" i="9"/>
  <c r="E6" i="9"/>
  <c r="E5" i="9"/>
  <c r="E4" i="9"/>
  <c r="E3" i="9"/>
  <c r="E2" i="9"/>
  <c r="I17" i="21"/>
  <c r="B17" i="21"/>
  <c r="J17" i="21"/>
  <c r="I16" i="21"/>
  <c r="B16" i="21"/>
  <c r="J16" i="21"/>
  <c r="I15" i="21"/>
  <c r="B15" i="21"/>
  <c r="J15" i="21"/>
  <c r="I14" i="21"/>
  <c r="B14" i="21"/>
  <c r="J14" i="21"/>
  <c r="I13" i="21"/>
  <c r="B13" i="21"/>
  <c r="J13" i="21"/>
  <c r="I12" i="21"/>
  <c r="B12" i="21"/>
  <c r="J12" i="21"/>
  <c r="I11" i="21"/>
  <c r="B11" i="21"/>
  <c r="J11" i="21"/>
  <c r="I10" i="21"/>
  <c r="B10" i="21"/>
  <c r="J10" i="21"/>
  <c r="I9" i="21"/>
  <c r="B9" i="21"/>
  <c r="J9" i="21"/>
  <c r="I8" i="21"/>
  <c r="B8" i="21"/>
  <c r="J8" i="21"/>
  <c r="I7" i="21"/>
  <c r="B7" i="21"/>
  <c r="J7" i="21"/>
  <c r="I6" i="21"/>
  <c r="B6" i="21"/>
  <c r="J6" i="21"/>
  <c r="E26" i="9"/>
  <c r="E25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J9" i="11"/>
  <c r="O10" i="9"/>
  <c r="N10" i="9"/>
  <c r="M10" i="9"/>
  <c r="L10" i="9"/>
  <c r="K10" i="9"/>
  <c r="J10" i="9"/>
  <c r="I10" i="9"/>
  <c r="H10" i="9"/>
  <c r="G10" i="9"/>
  <c r="E10" i="9"/>
  <c r="D10" i="9"/>
  <c r="A10" i="9"/>
  <c r="J10" i="11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2" i="10"/>
  <c r="T52" i="10"/>
  <c r="W52" i="10"/>
  <c r="V52" i="10"/>
  <c r="X52" i="10"/>
  <c r="U52" i="10"/>
  <c r="Y52" i="10"/>
  <c r="M63" i="10"/>
  <c r="N63" i="10"/>
  <c r="Q63" i="10"/>
  <c r="P63" i="10"/>
  <c r="R63" i="10"/>
  <c r="O63" i="10"/>
  <c r="S63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1" i="10"/>
  <c r="T51" i="10"/>
  <c r="W51" i="10"/>
  <c r="V51" i="10"/>
  <c r="X51" i="10"/>
  <c r="U51" i="10"/>
  <c r="Y51" i="10"/>
  <c r="M60" i="10"/>
  <c r="M69" i="10"/>
  <c r="N69" i="10"/>
  <c r="Q69" i="10"/>
  <c r="P69" i="10"/>
  <c r="R69" i="10"/>
  <c r="O69" i="10"/>
  <c r="S69" i="10"/>
  <c r="N60" i="10"/>
  <c r="Q60" i="10"/>
  <c r="P60" i="10"/>
  <c r="R60" i="10"/>
  <c r="O60" i="10"/>
  <c r="S60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68" i="10"/>
  <c r="N68" i="10"/>
  <c r="Q68" i="10"/>
  <c r="P68" i="10"/>
  <c r="R68" i="10"/>
  <c r="O68" i="10"/>
  <c r="S68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T69" i="10"/>
  <c r="W69" i="10"/>
  <c r="V69" i="10"/>
  <c r="X69" i="10"/>
  <c r="U69" i="10"/>
  <c r="Y69" i="10"/>
  <c r="G69" i="10"/>
  <c r="J69" i="10"/>
  <c r="I69" i="10"/>
  <c r="K69" i="10"/>
  <c r="H69" i="10"/>
  <c r="L69" i="10"/>
  <c r="T68" i="10"/>
  <c r="W68" i="10"/>
  <c r="V68" i="10"/>
  <c r="X68" i="10"/>
  <c r="U68" i="10"/>
  <c r="Y68" i="10"/>
  <c r="G68" i="10"/>
  <c r="J68" i="10"/>
  <c r="I68" i="10"/>
  <c r="K68" i="10"/>
  <c r="H68" i="10"/>
  <c r="L68" i="10"/>
  <c r="C43" i="18"/>
  <c r="D43" i="18"/>
  <c r="C42" i="18"/>
  <c r="D42" i="18"/>
  <c r="C41" i="18"/>
  <c r="D41" i="18"/>
  <c r="C40" i="18"/>
  <c r="D40" i="18"/>
  <c r="C39" i="18"/>
  <c r="D39" i="18"/>
  <c r="C38" i="18"/>
  <c r="D38" i="18"/>
  <c r="C37" i="18"/>
  <c r="D37" i="18"/>
  <c r="C36" i="18"/>
  <c r="D36" i="18"/>
  <c r="C35" i="18"/>
  <c r="D35" i="18"/>
  <c r="C34" i="18"/>
  <c r="D34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G17" i="21"/>
  <c r="F17" i="21"/>
  <c r="D17" i="21"/>
  <c r="C17" i="21"/>
  <c r="G16" i="21"/>
  <c r="F16" i="21"/>
  <c r="D16" i="21"/>
  <c r="C16" i="21"/>
  <c r="G15" i="21"/>
  <c r="F15" i="21"/>
  <c r="D15" i="21"/>
  <c r="C15" i="21"/>
  <c r="G14" i="21"/>
  <c r="F14" i="21"/>
  <c r="D14" i="21"/>
  <c r="C14" i="21"/>
  <c r="G13" i="21"/>
  <c r="F13" i="21"/>
  <c r="D13" i="21"/>
  <c r="C13" i="21"/>
  <c r="G12" i="21"/>
  <c r="F12" i="21"/>
  <c r="D12" i="21"/>
  <c r="C12" i="21"/>
  <c r="G11" i="21"/>
  <c r="F11" i="21"/>
  <c r="D11" i="21"/>
  <c r="C11" i="21"/>
  <c r="G10" i="21"/>
  <c r="F10" i="21"/>
  <c r="D10" i="21"/>
  <c r="C10" i="21"/>
  <c r="G9" i="21"/>
  <c r="F9" i="21"/>
  <c r="D9" i="21"/>
  <c r="C9" i="21"/>
  <c r="G8" i="21"/>
  <c r="F8" i="21"/>
  <c r="D8" i="21"/>
  <c r="C8" i="21"/>
  <c r="G7" i="21"/>
  <c r="F7" i="21"/>
  <c r="D7" i="21"/>
  <c r="C7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18" i="11"/>
  <c r="J8" i="11"/>
  <c r="J7" i="11"/>
  <c r="J6" i="11"/>
  <c r="J5" i="11"/>
  <c r="J4" i="11"/>
  <c r="J3" i="11"/>
  <c r="T63" i="10"/>
  <c r="W63" i="10"/>
  <c r="V63" i="10"/>
  <c r="X63" i="10"/>
  <c r="U63" i="10"/>
  <c r="Y63" i="10"/>
  <c r="G63" i="10"/>
  <c r="J63" i="10"/>
  <c r="I63" i="10"/>
  <c r="K63" i="10"/>
  <c r="H63" i="10"/>
  <c r="L63" i="10"/>
  <c r="T60" i="10"/>
  <c r="W60" i="10"/>
  <c r="V60" i="10"/>
  <c r="X60" i="10"/>
  <c r="U60" i="10"/>
  <c r="Y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J2" i="11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D26" i="9"/>
  <c r="A26" i="9"/>
  <c r="O25" i="9"/>
  <c r="N25" i="9"/>
  <c r="M25" i="9"/>
  <c r="L25" i="9"/>
  <c r="K25" i="9"/>
  <c r="J25" i="9"/>
  <c r="I25" i="9"/>
  <c r="H25" i="9"/>
  <c r="G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D11" i="9"/>
  <c r="A11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D7" i="9"/>
  <c r="A7" i="9"/>
  <c r="O6" i="9"/>
  <c r="N6" i="9"/>
  <c r="M6" i="9"/>
  <c r="L6" i="9"/>
  <c r="K6" i="9"/>
  <c r="J6" i="9"/>
  <c r="I6" i="9"/>
  <c r="H6" i="9"/>
  <c r="G6" i="9"/>
  <c r="D6" i="9"/>
  <c r="A6" i="9"/>
  <c r="O5" i="9"/>
  <c r="N5" i="9"/>
  <c r="M5" i="9"/>
  <c r="L5" i="9"/>
  <c r="K5" i="9"/>
  <c r="J5" i="9"/>
  <c r="I5" i="9"/>
  <c r="H5" i="9"/>
  <c r="G5" i="9"/>
  <c r="D5" i="9"/>
  <c r="A5" i="9"/>
  <c r="O4" i="9"/>
  <c r="N4" i="9"/>
  <c r="M4" i="9"/>
  <c r="L4" i="9"/>
  <c r="K4" i="9"/>
  <c r="J4" i="9"/>
  <c r="I4" i="9"/>
  <c r="H4" i="9"/>
  <c r="G4" i="9"/>
  <c r="D4" i="9"/>
  <c r="A4" i="9"/>
  <c r="O3" i="9"/>
  <c r="N3" i="9"/>
  <c r="M3" i="9"/>
  <c r="L3" i="9"/>
  <c r="K3" i="9"/>
  <c r="J3" i="9"/>
  <c r="I3" i="9"/>
  <c r="H3" i="9"/>
  <c r="G3" i="9"/>
  <c r="D3" i="9"/>
  <c r="A3" i="9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W7" i="7"/>
  <c r="R7" i="7"/>
  <c r="Q7" i="7"/>
  <c r="P7" i="7"/>
  <c r="O7" i="7"/>
  <c r="N7" i="7"/>
  <c r="H7" i="7"/>
  <c r="J7" i="7"/>
  <c r="I7" i="7"/>
  <c r="D7" i="7"/>
  <c r="F7" i="7"/>
  <c r="E7" i="7"/>
  <c r="A7" i="7"/>
  <c r="Y6" i="7"/>
  <c r="W6" i="7"/>
  <c r="R6" i="7"/>
  <c r="Q6" i="7"/>
  <c r="P6" i="7"/>
  <c r="O6" i="7"/>
  <c r="N6" i="7"/>
  <c r="H6" i="7"/>
  <c r="J6" i="7"/>
  <c r="I6" i="7"/>
  <c r="D6" i="7"/>
  <c r="F6" i="7"/>
  <c r="E6" i="7"/>
  <c r="A6" i="7"/>
  <c r="W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25" i="1"/>
  <c r="AD25" i="1"/>
  <c r="AG25" i="1"/>
  <c r="AE25" i="1"/>
  <c r="AC25" i="1"/>
  <c r="V25" i="1"/>
  <c r="Q25" i="1"/>
  <c r="P25" i="1"/>
  <c r="O25" i="1"/>
  <c r="N25" i="1"/>
  <c r="M25" i="1"/>
  <c r="H25" i="1"/>
  <c r="J25" i="1"/>
  <c r="I25" i="1"/>
  <c r="D25" i="1"/>
  <c r="F25" i="1"/>
  <c r="E25" i="1"/>
  <c r="A25" i="1"/>
  <c r="AB24" i="1"/>
  <c r="AD24" i="1"/>
  <c r="AG24" i="1"/>
  <c r="AE24" i="1"/>
  <c r="AC24" i="1"/>
  <c r="AA24" i="1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AB22" i="1"/>
  <c r="AD22" i="1"/>
  <c r="AG22" i="1"/>
  <c r="AE22" i="1"/>
  <c r="AC22" i="1"/>
  <c r="AA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AA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B20" i="1"/>
  <c r="AD20" i="1"/>
  <c r="AG20" i="1"/>
  <c r="AE20" i="1"/>
  <c r="AC20" i="1"/>
  <c r="AA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B19" i="1"/>
  <c r="AD19" i="1"/>
  <c r="AG19" i="1"/>
  <c r="AE19" i="1"/>
  <c r="AC19" i="1"/>
  <c r="AA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AA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AA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AA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AA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AA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AA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AA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AA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AA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AA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AA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2" i="1"/>
  <c r="AD2" i="1"/>
  <c r="AG2" i="1"/>
  <c r="AE2" i="1"/>
  <c r="AC2" i="1"/>
  <c r="AA2" i="1"/>
  <c r="V2" i="1"/>
  <c r="Q2" i="1"/>
  <c r="P2" i="1"/>
  <c r="O2" i="1"/>
  <c r="N2" i="1"/>
  <c r="M2" i="1"/>
  <c r="H2" i="1"/>
  <c r="J2" i="1"/>
  <c r="I2" i="1"/>
  <c r="D2" i="1"/>
  <c r="F2" i="1"/>
  <c r="E2" i="1"/>
  <c r="A2" i="1"/>
  <c r="H17" i="2"/>
  <c r="E17" i="2"/>
  <c r="D17" i="2"/>
  <c r="B17" i="2"/>
  <c r="H16" i="2"/>
  <c r="E16" i="2"/>
  <c r="D16" i="2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2" i="16"/>
  <c r="E11" i="16"/>
  <c r="B2" i="19"/>
  <c r="G2" i="19"/>
  <c r="F2" i="19"/>
  <c r="D2" i="19"/>
  <c r="C2" i="19"/>
  <c r="E10" i="16"/>
  <c r="O2" i="9"/>
  <c r="N2" i="9"/>
  <c r="M2" i="9"/>
  <c r="L2" i="9"/>
  <c r="K2" i="9"/>
  <c r="J2" i="9"/>
  <c r="I2" i="9"/>
  <c r="H2" i="9"/>
  <c r="G2" i="9"/>
  <c r="D2" i="9"/>
  <c r="E9" i="16"/>
  <c r="W2" i="7"/>
  <c r="R2" i="7"/>
  <c r="Q2" i="7"/>
  <c r="P2" i="7"/>
  <c r="O2" i="7"/>
  <c r="N2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9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<sst xmlns="http://schemas.openxmlformats.org/spreadsheetml/2006/main" count="1258" uniqueCount="314">
  <si>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</si>
  <si>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</si>
  <si>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</si>
  <si>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</si>
  <si>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</si>
  <si>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</si>
  <si>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</si>
  <si>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</si>
  <si>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</si>
  <si>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</si>
  <si>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</si>
  <si>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</si>
  <si>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</si>
  <si>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</si>
  <si>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</si>
  <si>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</si>
  <si>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</si>
  <si>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</si>
  <si>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</si>
  <si>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</si>
  <si>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</si>
  <si>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</si>
  <si>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</si>
  <si>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</si>
  <si>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</si>
  <si>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</si>
  <si>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</si>
  <si>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</si>
  <si>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</si>
  <si>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</si>
  <si>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</si>
  <si>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</si>
  <si>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</si>
  <si>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</si>
  <si>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</si>
  <si>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</si>
  <si>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</si>
  <si>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</si>
  <si>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</si>
  <si>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</si>
  <si>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</si>
  <si>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</si>
  <si>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</si>
  <si>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</si>
  <si>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</si>
  <si>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</si>
  <si>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</si>
  <si>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</si>
  <si>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</si>
  <si>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</si>
  <si>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</si>
  <si>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</si>
  <si>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</si>
  <si>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</si>
  <si>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</si>
  <si>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</si>
  <si>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</si>
  <si>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</si>
  <si>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</si>
  <si>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</si>
  <si>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</si>
  <si>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</si>
  <si>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</si>
  <si>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</si>
  <si>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</si>
  <si>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</si>
  <si>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</si>
  <si>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</si>
  <si>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</si>
  <si>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</si>
  <si>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</si>
  <si>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</si>
  <si>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</si>
  <si>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</si>
  <si>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</si>
  <si>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</si>
  <si>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</si>
  <si>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</si>
  <si>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</si>
  <si>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</si>
  <si>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</si>
  <si>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</si>
  <si>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</si>
  <si>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</si>
  <si>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回復</t>
    <rPh sb="0" eb="2">
      <t>カイフク</t>
    </rPh>
    <phoneticPr fontId="5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</si>
  <si>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</si>
  <si>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</si>
  <si>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</si>
  <si>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</si>
  <si>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</si>
  <si>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</si>
  <si>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</si>
  <si>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</si>
  <si>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</si>
  <si>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</si>
  <si>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</si>
  <si>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</si>
  <si>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</si>
  <si>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</si>
  <si>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</si>
  <si>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</si>
  <si>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</si>
  <si>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</si>
  <si>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</si>
  <si>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</si>
  <si>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</si>
  <si>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</si>
  <si>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</si>
  <si>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</si>
  <si>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</si>
  <si>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</si>
  <si>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</si>
  <si>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</si>
  <si>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</si>
  <si>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</si>
  <si>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</si>
  <si>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</si>
  <si>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</si>
  <si>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</si>
  <si>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</si>
  <si>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</si>
  <si>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</si>
  <si>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</si>
  <si>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</si>
  <si>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</si>
  <si>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</si>
  <si>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</si>
  <si>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</si>
  <si>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</si>
  <si>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</si>
  <si>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</si>
  <si>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</si>
  <si>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</si>
  <si>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</si>
  <si>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</si>
  <si>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</si>
  <si>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</si>
  <si>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</si>
  <si>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</si>
  <si>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</si>
  <si>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</si>
  <si>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</si>
  <si>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</si>
  <si>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</si>
  <si>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</si>
  <si>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</si>
  <si>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</si>
  <si>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</si>
  <si>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</si>
  <si>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</si>
  <si>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</si>
  <si>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</si>
  <si>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</si>
  <si>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</si>
  <si>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</si>
  <si>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</si>
  <si>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</si>
  <si>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</si>
  <si>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</si>
  <si>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</si>
  <si>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</si>
  <si>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</si>
  <si>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</si>
  <si>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</si>
  <si>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</si>
  <si>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</si>
  <si>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</si>
  <si>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</si>
  <si>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</si>
  <si>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</si>
  <si>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</si>
  <si>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</si>
  <si>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</si>
  <si>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</si>
  <si>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</si>
  <si>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</si>
  <si>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</si>
  <si>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</si>
  <si>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</si>
  <si>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</si>
  <si>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</si>
  <si>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</si>
  <si>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</si>
  <si>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</si>
  <si>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</si>
  <si>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</si>
  <si>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</si>
  <si>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</si>
  <si>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</si>
  <si>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</si>
  <si>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</si>
  <si>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</si>
  <si>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</si>
  <si>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</si>
  <si>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</si>
  <si>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</si>
  <si>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</si>
  <si>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</si>
  <si>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</si>
  <si>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</si>
  <si>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</si>
  <si>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</si>
  <si>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</si>
  <si>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</si>
  <si>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</si>
  <si>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</si>
  <si>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</si>
  <si>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</si>
  <si>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</si>
  <si>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</si>
  <si>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</si>
  <si>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</si>
  <si>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</si>
  <si>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</si>
  <si>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</si>
  <si>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null</t>
    <phoneticPr fontId="5"/>
  </si>
  <si>
    <t>link</t>
    <phoneticPr fontId="5"/>
  </si>
  <si>
    <t>unit</t>
    <phoneticPr fontId="5"/>
  </si>
  <si>
    <t>link</t>
    <phoneticPr fontId="5"/>
  </si>
  <si>
    <t>2970-01-01 09:00:00</t>
    <phoneticPr fontId="5"/>
  </si>
  <si>
    <t>null</t>
    <phoneticPr fontId="5"/>
  </si>
  <si>
    <t>2970-01-01 09:00:00</t>
    <phoneticPr fontId="5"/>
  </si>
  <si>
    <t>unit</t>
    <phoneticPr fontId="5"/>
  </si>
  <si>
    <t>ミミ</t>
    <phoneticPr fontId="5"/>
  </si>
  <si>
    <t>エレキポット</t>
    <phoneticPr fontId="5"/>
  </si>
  <si>
    <t>トニー</t>
    <phoneticPr fontId="5"/>
  </si>
  <si>
    <t>マービー</t>
    <phoneticPr fontId="5"/>
  </si>
  <si>
    <t>マミコ</t>
    <phoneticPr fontId="5"/>
  </si>
  <si>
    <t>アキレス１</t>
    <phoneticPr fontId="5"/>
  </si>
  <si>
    <t>アキレス２</t>
    <phoneticPr fontId="5"/>
  </si>
  <si>
    <t>正臣１</t>
    <rPh sb="0" eb="1">
      <t>マサオキ</t>
    </rPh>
    <rPh sb="1" eb="2">
      <t>ダイジン</t>
    </rPh>
    <phoneticPr fontId="5"/>
  </si>
  <si>
    <t>正臣２</t>
    <rPh sb="0" eb="1">
      <t>マサオキ</t>
    </rPh>
    <rPh sb="1" eb="2">
      <t>ダイジン</t>
    </rPh>
    <phoneticPr fontId="5"/>
  </si>
  <si>
    <t>[effect:nothing]</t>
    <phoneticPr fontId="5"/>
  </si>
  <si>
    <t>予約枠</t>
    <phoneticPr fontId="5"/>
  </si>
  <si>
    <t>[effect:critical, val:1.3]</t>
    <phoneticPr fontId="5"/>
  </si>
  <si>
    <t>[effect:spread, val:0.3]</t>
    <phoneticPr fontId="5"/>
  </si>
  <si>
    <t>全体攻撃</t>
    <rPh sb="0" eb="4">
      <t>ゼンタイコウゲキ</t>
    </rPh>
    <phoneticPr fontId="5"/>
  </si>
  <si>
    <t>[effect:change_block, new_block:jammer, target:block_all, count:3, val:0, no_effect_msg:no_effect_msg_change_block_heal, animation:change_block]</t>
    <phoneticPr fontId="5"/>
  </si>
  <si>
    <t>連続攻撃</t>
    <rPh sb="0" eb="4">
      <t>レンゾクコウゲキ</t>
    </rPh>
    <phoneticPr fontId="5"/>
  </si>
  <si>
    <t>黄パネル無効＋ステータスUP</t>
    <rPh sb="0" eb="1">
      <t>キイロ</t>
    </rPh>
    <rPh sb="4" eb="6">
      <t>mukou</t>
    </rPh>
    <phoneticPr fontId="5"/>
  </si>
  <si>
    <t>緑パネルを黄パネルに変換</t>
    <rPh sb="0" eb="1">
      <t>ミドリ</t>
    </rPh>
    <rPh sb="5" eb="6">
      <t>キイロ</t>
    </rPh>
    <rPh sb="10" eb="12">
      <t>ヘンカン</t>
    </rPh>
    <phoneticPr fontId="5"/>
  </si>
  <si>
    <t>[effect:change_block, new_block:jammer, target:block_all, count:4, val:0, no_effect_msg:no_effect_msg_change_block_heal, animation:change_block]</t>
    <phoneticPr fontId="5"/>
  </si>
  <si>
    <t>[effect:change_attribute, target:myself, color:red, turn:-1, animation:change_attribute_red],[effect:change_block, new_block:jammer, target:block_all, count:4, val:0, no_effect_msg:no_effect_msg_change_block_heal, animation:change_block]</t>
    <phoneticPr fontId="5"/>
  </si>
  <si>
    <t>old</t>
  </si>
  <si>
    <t>[effect:nothing]</t>
    <phoneticPr fontId="5"/>
  </si>
  <si>
    <t>[effect:heal, target:enemy_one, val:0.5, animation:enemy_heal]</t>
    <phoneticPr fontId="5"/>
  </si>
  <si>
    <t>鳴き声</t>
    <rPh sb="0" eb="1">
      <t>ナ</t>
    </rPh>
    <rPh sb="2" eb="3">
      <t>ゴエ</t>
    </rPh>
    <phoneticPr fontId="5"/>
  </si>
  <si>
    <t>放電</t>
    <rPh sb="0" eb="2">
      <t>ホウデン</t>
    </rPh>
    <phoneticPr fontId="5"/>
  </si>
  <si>
    <t>大ダメージ攻撃！</t>
    <rPh sb="0" eb="1">
      <t>dai</t>
    </rPh>
    <rPh sb="5" eb="7">
      <t>コウゲキ</t>
    </rPh>
    <phoneticPr fontId="5"/>
  </si>
  <si>
    <t>機械音</t>
    <rPh sb="0" eb="3">
      <t>キカイオン</t>
    </rPh>
    <phoneticPr fontId="5"/>
  </si>
  <si>
    <t>治療</t>
    <rPh sb="0" eb="2">
      <t>チリョウ</t>
    </rPh>
    <phoneticPr fontId="5"/>
  </si>
  <si>
    <t>この先には行かせないぜ！</t>
    <rPh sb="2" eb="3">
      <t>サキ</t>
    </rPh>
    <rPh sb="5" eb="6">
      <t>イ</t>
    </rPh>
    <phoneticPr fontId="5"/>
  </si>
  <si>
    <t>守りを固めろってな！</t>
    <rPh sb="0" eb="1">
      <t>マモ</t>
    </rPh>
    <rPh sb="3" eb="4">
      <t>カタ</t>
    </rPh>
    <phoneticPr fontId="5"/>
  </si>
  <si>
    <t>くらいやがれ！</t>
    <phoneticPr fontId="5"/>
  </si>
  <si>
    <t>[effect:rush, count:2, val:0.6]</t>
    <phoneticPr fontId="5"/>
  </si>
  <si>
    <t>[effect:enhance_enemy, target:enemy_all, turn:3, status:attack, val:1500, calc:add, animation:enemy_enhance_attack]</t>
    <phoneticPr fontId="5"/>
  </si>
  <si>
    <t>[effect:enhance_enemy, target:enemy_all, turn:3, status:defense, val:1500, calc:add, animation:enemy_enhance_defense]</t>
    <phoneticPr fontId="5"/>
  </si>
  <si>
    <t>[effect:critical, val:1.3]</t>
    <phoneticPr fontId="5"/>
  </si>
  <si>
    <t>[effect:change_attribute, target:myself, color:blue, turn:-1, animation:change_attribute_blue],[effect:change_block, new_block:jammer, target:block_all, count:4, val:0, no_effect_msg:no_effect_msg_change_block_heal, animation:change_block]</t>
    <phoneticPr fontId="5"/>
  </si>
  <si>
    <t>[effect:damage_anti_color, target:unit_all, color:blue, val1:0.6, val2:0.3]</t>
    <phoneticPr fontId="5"/>
  </si>
  <si>
    <t>[effect:rush, count:2, val:0.6]</t>
    <phoneticPr fontId="5"/>
  </si>
  <si>
    <t>[effect:damage_anti_color, target:unit_all, color:blue, val1:0.6, val2:0.3]</t>
    <phoneticPr fontId="5"/>
  </si>
  <si>
    <t>これならどうだ！</t>
    <phoneticPr fontId="5"/>
  </si>
  <si>
    <t>ja</t>
  </si>
  <si>
    <t>ja</t>
    <phoneticPr fontId="5"/>
  </si>
  <si>
    <t>[effect:change_block, new_block:block_yellow, target:block_green, count:0, val:0, animation:change_block]</t>
    <phoneticPr fontId="5"/>
  </si>
  <si>
    <t>every_time_count</t>
    <phoneticPr fontId="5"/>
  </si>
  <si>
    <t>正臣はどうしていいかわからない</t>
  </si>
  <si>
    <t>エレキポットたまに強力な攻撃をします
早めに撃退しましょう</t>
    <phoneticPr fontId="5"/>
  </si>
  <si>
    <t>マービーは一定のターンが経過すると
お邪魔パネルを発生させます
早めに撃退しましょう</t>
    <phoneticPr fontId="5"/>
  </si>
  <si>
    <t>マミコは回復スキルを使用します
アキレスを回復されると不利になるので
早めに撃退しましょう</t>
    <phoneticPr fontId="5"/>
  </si>
  <si>
    <t>紀田正臣は戦闘開始時に
お邪魔パネルを発生させます
スキルやフィーバーで対処しましょう</t>
    <phoneticPr fontId="5"/>
  </si>
  <si>
    <t>ja</t>
    <phoneticPr fontId="5"/>
  </si>
  <si>
    <t>青属性のユニットに大ダメージ</t>
    <phoneticPr fontId="5"/>
  </si>
  <si>
    <t>正臣はどうしていいかわからない</t>
    <phoneticPr fontId="5"/>
  </si>
  <si>
    <t>お邪魔パネルを生成した</t>
    <phoneticPr fontId="5"/>
  </si>
  <si>
    <t>赤属性に変化＋お邪魔パネル生成</t>
    <phoneticPr fontId="5"/>
  </si>
  <si>
    <t>赤属性に変化＋お邪魔パネル生成</t>
    <phoneticPr fontId="5"/>
  </si>
  <si>
    <t>青属性に変化＋お邪魔パネル生成</t>
    <phoneticPr fontId="5"/>
  </si>
  <si>
    <t>赤属性に変化+黄パネル無効+攻撃力・防御力UP</t>
    <phoneticPr fontId="5"/>
  </si>
  <si>
    <t>赤属性に変化+黄パネル無効+攻撃力・防御力UP</t>
    <phoneticPr fontId="5"/>
  </si>
  <si>
    <t>帝人・・・お前も杏里に・・・</t>
    <phoneticPr fontId="5"/>
  </si>
  <si>
    <t>臨也さん、何であんたが・・・</t>
    <phoneticPr fontId="5"/>
  </si>
  <si>
    <t>杏里・・・！？</t>
    <phoneticPr fontId="5"/>
  </si>
  <si>
    <t>帝人・・・？嘘・・・だろ？</t>
    <phoneticPr fontId="5"/>
  </si>
  <si>
    <t>あんたのせいで・・・！！！</t>
    <phoneticPr fontId="5"/>
  </si>
  <si>
    <t>なんで杏里が日本刀なんて・・・</t>
    <rPh sb="3" eb="5">
      <t>アンリ</t>
    </rPh>
    <rPh sb="6" eb="9">
      <t>ニホントウ</t>
    </rPh>
    <phoneticPr fontId="5"/>
  </si>
  <si>
    <t>正臣は目を見開いてる</t>
    <rPh sb="3" eb="4">
      <t>メ</t>
    </rPh>
    <rPh sb="5" eb="7">
      <t>ミヒラ</t>
    </rPh>
    <phoneticPr fontId="5"/>
  </si>
  <si>
    <t>まだまだいくぜ！</t>
    <phoneticPr fontId="5"/>
  </si>
  <si>
    <t>何だってんだよ畜生！</t>
    <rPh sb="0" eb="1">
      <t>ナン</t>
    </rPh>
    <rPh sb="7" eb="9">
      <t>チクショウ</t>
    </rPh>
    <phoneticPr fontId="5"/>
  </si>
  <si>
    <t>気にいらねぇな！</t>
    <rPh sb="0" eb="1">
      <t>キ</t>
    </rPh>
    <phoneticPr fontId="5"/>
  </si>
  <si>
    <t>ちょっくら邪魔するよ！</t>
    <rPh sb="5" eb="7">
      <t>ジャマ</t>
    </rPh>
    <phoneticPr fontId="5"/>
  </si>
  <si>
    <t>さーて、どうするかな？</t>
    <phoneticPr fontId="5"/>
  </si>
  <si>
    <t>お前らだ！！</t>
    <rPh sb="1" eb="2">
      <t>マエ</t>
    </rPh>
    <phoneticPr fontId="5"/>
  </si>
  <si>
    <t>そら、いくぞ！</t>
    <phoneticPr fontId="5"/>
  </si>
  <si>
    <t>俺は・・・</t>
    <rPh sb="0" eb="1">
      <t>オレ</t>
    </rPh>
    <phoneticPr fontId="5"/>
  </si>
  <si>
    <t>覚悟をしてきたんだよ！</t>
    <rPh sb="0" eb="2">
      <t>カクゴ</t>
    </rPh>
    <phoneticPr fontId="5"/>
  </si>
  <si>
    <t>次のターン大攻撃</t>
    <rPh sb="0" eb="1">
      <t>ツギ</t>
    </rPh>
    <rPh sb="5" eb="8">
      <t>ダイコウゲキ</t>
    </rPh>
    <phoneticPr fontId="5"/>
  </si>
  <si>
    <t>俺は・・・必ず・・・</t>
    <phoneticPr fontId="5"/>
  </si>
  <si>
    <t>必ず杏里達の前に戻る・・・！</t>
    <rPh sb="0" eb="1">
      <t>カナラ</t>
    </rPh>
    <rPh sb="2" eb="4">
      <t>アンリ</t>
    </rPh>
    <rPh sb="4" eb="5">
      <t>タチ</t>
    </rPh>
    <rPh sb="6" eb="7">
      <t>マエ</t>
    </rPh>
    <rPh sb="8" eb="9">
      <t>モド</t>
    </rPh>
    <phoneticPr fontId="5"/>
  </si>
  <si>
    <t>3ターン敵全体の防御力UP</t>
    <phoneticPr fontId="5"/>
  </si>
  <si>
    <t>3ターン敵全体の攻撃力UP</t>
    <phoneticPr fontId="5"/>
  </si>
  <si>
    <t>[effect:dis_panel, target:block_yellow, turn:3, animation:enemy_dis_yellow],[effect:enhance_enemy, target:enemy_all, turn:3, status:attack, val:1500, calc:add, animation:enemy_enhance_defense],[effect:enhance_enemy, target:enemy_all, turn:3, status:defense, val:1500, calc:add, animation:enemy_enhance_defense]</t>
    <phoneticPr fontId="5"/>
  </si>
  <si>
    <t>[effect:change_attribute, target:myself, color:red, turn:-1, animation:change_attribute_red],[effect:dis_panel,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t>
    <phoneticPr fontId="5"/>
  </si>
  <si>
    <t>[effect:dis_panel, target:block_yellow, turn:3, animation:enemy_dis_yellow]</t>
    <phoneticPr fontId="5"/>
  </si>
  <si>
    <t>黄パネル無効</t>
    <rPh sb="0" eb="1">
      <t>キイロ</t>
    </rPh>
    <rPh sb="4" eb="6">
      <t>mukou</t>
    </rPh>
    <phoneticPr fontId="5"/>
  </si>
  <si>
    <t>やる気と覚悟を感じる！</t>
  </si>
  <si>
    <t>やる気と覚悟を感じる！</t>
    <phoneticPr fontId="5"/>
  </si>
  <si>
    <t>[effect:enemy_message, val1:3, val2:3, dead_type:escape]</t>
    <phoneticPr fontId="5"/>
  </si>
  <si>
    <t>赤属性に変化＋お邪魔パネル生成</t>
  </si>
  <si>
    <t>青属性に変化＋お邪魔パネル生成</t>
  </si>
  <si>
    <t>お邪魔パネルを生成した</t>
  </si>
  <si>
    <t>青属性のユニットに大ダメージ</t>
  </si>
  <si>
    <t>赤属性に変化+黄パネル無効+攻撃力・防御力UP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</si>
</sst>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charset val="128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123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51" fillId="0" borderId="7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27" fillId="31" borderId="7" xfId="0" applyFont="1" applyFill="1" applyBorder="1"/>
    <xf numFmtId="49" fontId="0" fillId="0" borderId="7" xfId="0" applyNumberFormat="1" applyFill="1" applyBorder="1"/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2" borderId="6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4" fillId="34" borderId="1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vertical="center"/>
    </xf>
    <xf numFmtId="177" fontId="8" fillId="0" borderId="4" xfId="0" applyNumberFormat="1" applyFont="1" applyFill="1" applyBorder="1" applyAlignment="1">
      <alignment vertical="center"/>
    </xf>
    <xf numFmtId="177" fontId="6" fillId="0" borderId="4" xfId="0" applyNumberFormat="1" applyFont="1" applyFill="1" applyBorder="1" applyAlignment="1">
      <alignment vertical="center"/>
    </xf>
    <xf numFmtId="0" fontId="11" fillId="37" borderId="7" xfId="0" applyFont="1" applyFill="1" applyBorder="1" applyAlignment="1">
      <alignment horizontal="left" vertical="center"/>
    </xf>
    <xf numFmtId="38" fontId="16" fillId="0" borderId="7" xfId="628" applyFont="1" applyFill="1" applyBorder="1" applyAlignment="1">
      <alignment wrapText="1"/>
    </xf>
    <xf numFmtId="0" fontId="16" fillId="38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/>
    </xf>
    <xf numFmtId="0" fontId="16" fillId="40" borderId="7" xfId="0" applyFont="1" applyFill="1" applyBorder="1" applyAlignment="1">
      <alignment vertical="center"/>
    </xf>
  </cellXfs>
  <cellStyles count="123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赤字強調" xfId="431"/>
    <cellStyle name="青字強調" xfId="43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30001</v>
          </cell>
        </row>
        <row r="110">
          <cell r="A110">
            <v>30002</v>
          </cell>
        </row>
        <row r="111">
          <cell r="A111">
            <v>30003</v>
          </cell>
        </row>
        <row r="112">
          <cell r="A112">
            <v>30004</v>
          </cell>
        </row>
        <row r="113">
          <cell r="A113">
            <v>30005</v>
          </cell>
        </row>
        <row r="114">
          <cell r="A114">
            <v>30006</v>
          </cell>
        </row>
        <row r="115">
          <cell r="A115">
            <v>30007</v>
          </cell>
        </row>
        <row r="116">
          <cell r="A116">
            <v>30008</v>
          </cell>
        </row>
        <row r="117">
          <cell r="A117">
            <v>30009</v>
          </cell>
        </row>
        <row r="118">
          <cell r="A118">
            <v>30010</v>
          </cell>
        </row>
        <row r="119">
          <cell r="A119">
            <v>30011</v>
          </cell>
        </row>
        <row r="120">
          <cell r="A120">
            <v>30012</v>
          </cell>
        </row>
        <row r="121">
          <cell r="A121">
            <v>30013</v>
          </cell>
        </row>
        <row r="122">
          <cell r="A122">
            <v>30014</v>
          </cell>
        </row>
        <row r="123">
          <cell r="A123">
            <v>30015</v>
          </cell>
        </row>
        <row r="124">
          <cell r="A124">
            <v>30016</v>
          </cell>
        </row>
        <row r="125">
          <cell r="A125">
            <v>30017</v>
          </cell>
        </row>
        <row r="126">
          <cell r="A126">
            <v>30018</v>
          </cell>
        </row>
        <row r="127">
          <cell r="A127">
            <v>30019</v>
          </cell>
        </row>
        <row r="128">
          <cell r="A128">
            <v>30020</v>
          </cell>
        </row>
        <row r="129">
          <cell r="A129">
            <v>30021</v>
          </cell>
        </row>
        <row r="130">
          <cell r="A130">
            <v>30022</v>
          </cell>
        </row>
        <row r="131">
          <cell r="A131">
            <v>30023</v>
          </cell>
        </row>
        <row r="132">
          <cell r="A132">
            <v>30024</v>
          </cell>
        </row>
        <row r="133">
          <cell r="A133">
            <v>30025</v>
          </cell>
        </row>
        <row r="134">
          <cell r="A134">
            <v>30026</v>
          </cell>
        </row>
        <row r="135">
          <cell r="A135">
            <v>30027</v>
          </cell>
        </row>
        <row r="136">
          <cell r="A136">
            <v>30028</v>
          </cell>
        </row>
        <row r="137">
          <cell r="A137">
            <v>30029</v>
          </cell>
        </row>
        <row r="138">
          <cell r="A138">
            <v>30030</v>
          </cell>
        </row>
        <row r="139">
          <cell r="A139">
            <v>30031</v>
          </cell>
        </row>
        <row r="140">
          <cell r="A140">
            <v>30032</v>
          </cell>
        </row>
        <row r="141">
          <cell r="A141">
            <v>30033</v>
          </cell>
        </row>
        <row r="142">
          <cell r="A142">
            <v>30034</v>
          </cell>
        </row>
        <row r="143">
          <cell r="A143">
            <v>39001</v>
          </cell>
        </row>
        <row r="144">
          <cell r="A144">
            <v>39002</v>
          </cell>
        </row>
        <row r="145">
          <cell r="A145">
            <v>39003</v>
          </cell>
        </row>
        <row r="146">
          <cell r="A146">
            <v>40001</v>
          </cell>
        </row>
        <row r="147">
          <cell r="A147">
            <v>40002</v>
          </cell>
        </row>
        <row r="148">
          <cell r="A148">
            <v>40003</v>
          </cell>
        </row>
        <row r="149">
          <cell r="A149">
            <v>40004</v>
          </cell>
        </row>
        <row r="150">
          <cell r="A150">
            <v>40005</v>
          </cell>
        </row>
        <row r="151">
          <cell r="A151">
            <v>40006</v>
          </cell>
        </row>
        <row r="152">
          <cell r="A152">
            <v>40007</v>
          </cell>
        </row>
        <row r="153">
          <cell r="A153">
            <v>40008</v>
          </cell>
        </row>
        <row r="154">
          <cell r="A154">
            <v>40009</v>
          </cell>
        </row>
        <row r="155">
          <cell r="A155">
            <v>40010</v>
          </cell>
        </row>
        <row r="156">
          <cell r="A156">
            <v>40011</v>
          </cell>
        </row>
        <row r="157">
          <cell r="A157">
            <v>40012</v>
          </cell>
        </row>
        <row r="158">
          <cell r="A158">
            <v>40013</v>
          </cell>
        </row>
        <row r="159">
          <cell r="A159">
            <v>40014</v>
          </cell>
        </row>
        <row r="160">
          <cell r="A160">
            <v>40015</v>
          </cell>
        </row>
        <row r="161">
          <cell r="A161">
            <v>40016</v>
          </cell>
        </row>
        <row r="162">
          <cell r="A162">
            <v>40017</v>
          </cell>
        </row>
        <row r="163">
          <cell r="A163">
            <v>41001</v>
          </cell>
        </row>
        <row r="164">
          <cell r="A164">
            <v>41002</v>
          </cell>
        </row>
        <row r="165">
          <cell r="A165">
            <v>41003</v>
          </cell>
        </row>
        <row r="166">
          <cell r="A166">
            <v>41004</v>
          </cell>
        </row>
        <row r="167">
          <cell r="A167">
            <v>49001</v>
          </cell>
        </row>
        <row r="168">
          <cell r="A168">
            <v>49002</v>
          </cell>
        </row>
        <row r="169">
          <cell r="A169">
            <v>49003</v>
          </cell>
        </row>
        <row r="170">
          <cell r="A170">
            <v>50001</v>
          </cell>
        </row>
        <row r="171">
          <cell r="A171">
            <v>50002</v>
          </cell>
        </row>
        <row r="172">
          <cell r="A172">
            <v>50003</v>
          </cell>
        </row>
        <row r="173">
          <cell r="A173">
            <v>60001</v>
          </cell>
        </row>
        <row r="174">
          <cell r="A174">
            <v>60002</v>
          </cell>
        </row>
        <row r="175">
          <cell r="A175">
            <v>60003</v>
          </cell>
        </row>
        <row r="176">
          <cell r="A176">
            <v>60004</v>
          </cell>
        </row>
        <row r="177">
          <cell r="A177">
            <v>60005</v>
          </cell>
        </row>
        <row r="178">
          <cell r="A178">
            <v>60006</v>
          </cell>
        </row>
        <row r="179">
          <cell r="A179">
            <v>60010</v>
          </cell>
        </row>
        <row r="180">
          <cell r="A180">
            <v>65535</v>
          </cell>
        </row>
        <row r="181">
          <cell r="A181">
            <v>60021</v>
          </cell>
        </row>
        <row r="182">
          <cell r="A182">
            <v>60022</v>
          </cell>
        </row>
        <row r="183">
          <cell r="A183">
            <v>60023</v>
          </cell>
        </row>
        <row r="184">
          <cell r="A18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11002_1</v>
          </cell>
        </row>
        <row r="201">
          <cell r="A201" t="str">
            <v>11002_2</v>
          </cell>
        </row>
        <row r="202">
          <cell r="A202" t="str">
            <v>11002_3</v>
          </cell>
        </row>
        <row r="203">
          <cell r="A203" t="str">
            <v>11002_4</v>
          </cell>
        </row>
        <row r="204">
          <cell r="A204" t="str">
            <v>11002_10</v>
          </cell>
        </row>
        <row r="205">
          <cell r="A205" t="str">
            <v>11003_1</v>
          </cell>
        </row>
        <row r="206">
          <cell r="A206" t="str">
            <v>11003_2</v>
          </cell>
        </row>
        <row r="207">
          <cell r="A207" t="str">
            <v>11003_3</v>
          </cell>
        </row>
        <row r="208">
          <cell r="A208" t="str">
            <v>11003_4</v>
          </cell>
        </row>
        <row r="209">
          <cell r="A209" t="str">
            <v>11004_1</v>
          </cell>
        </row>
        <row r="210">
          <cell r="A210" t="str">
            <v>11004_2</v>
          </cell>
        </row>
        <row r="211">
          <cell r="A211" t="str">
            <v>11004_3</v>
          </cell>
        </row>
        <row r="212">
          <cell r="A212" t="str">
            <v>11004_4</v>
          </cell>
        </row>
        <row r="213">
          <cell r="A213" t="str">
            <v>11004_10</v>
          </cell>
        </row>
        <row r="214">
          <cell r="A214" t="str">
            <v>11005_1</v>
          </cell>
        </row>
        <row r="215">
          <cell r="A215" t="str">
            <v>11005_2</v>
          </cell>
        </row>
        <row r="216">
          <cell r="A216" t="str">
            <v>11005_3</v>
          </cell>
        </row>
        <row r="217">
          <cell r="A217" t="str">
            <v>11005_4</v>
          </cell>
        </row>
        <row r="218">
          <cell r="A218" t="str">
            <v>11006_1</v>
          </cell>
        </row>
        <row r="219">
          <cell r="A219" t="str">
            <v>11006_2</v>
          </cell>
        </row>
        <row r="220">
          <cell r="A220" t="str">
            <v>11006_3</v>
          </cell>
        </row>
        <row r="221">
          <cell r="A221" t="str">
            <v>11101_1</v>
          </cell>
        </row>
        <row r="222">
          <cell r="A222" t="str">
            <v>11101_2</v>
          </cell>
        </row>
        <row r="223">
          <cell r="A223" t="str">
            <v>11101_3</v>
          </cell>
        </row>
        <row r="224">
          <cell r="A224" t="str">
            <v>11101_4</v>
          </cell>
        </row>
        <row r="225">
          <cell r="A225" t="str">
            <v>11102_1</v>
          </cell>
        </row>
        <row r="226">
          <cell r="A226" t="str">
            <v>11102_2</v>
          </cell>
        </row>
        <row r="227">
          <cell r="A227" t="str">
            <v>11102_3</v>
          </cell>
        </row>
        <row r="228">
          <cell r="A228" t="str">
            <v>11102_4</v>
          </cell>
        </row>
        <row r="229">
          <cell r="A229" t="str">
            <v>11103_1</v>
          </cell>
        </row>
        <row r="230">
          <cell r="A230" t="str">
            <v>11103_2</v>
          </cell>
        </row>
        <row r="231">
          <cell r="A231" t="str">
            <v>11103_3</v>
          </cell>
        </row>
        <row r="232">
          <cell r="A232" t="str">
            <v>11103_4</v>
          </cell>
        </row>
        <row r="233">
          <cell r="A233" t="str">
            <v>11104_1</v>
          </cell>
        </row>
        <row r="234">
          <cell r="A234" t="str">
            <v>11104_2</v>
          </cell>
        </row>
        <row r="235">
          <cell r="A235" t="str">
            <v>11104_3</v>
          </cell>
        </row>
        <row r="236">
          <cell r="A236" t="str">
            <v>11104_4</v>
          </cell>
        </row>
        <row r="237">
          <cell r="A237" t="str">
            <v>11105_1</v>
          </cell>
        </row>
        <row r="238">
          <cell r="A238" t="str">
            <v>11105_2</v>
          </cell>
        </row>
        <row r="239">
          <cell r="A239" t="str">
            <v>11105_3</v>
          </cell>
        </row>
        <row r="240">
          <cell r="A240" t="str">
            <v>11105_4</v>
          </cell>
        </row>
        <row r="241">
          <cell r="A241" t="str">
            <v>11106_1</v>
          </cell>
        </row>
        <row r="242">
          <cell r="A242" t="str">
            <v>11106_2</v>
          </cell>
        </row>
        <row r="243">
          <cell r="A243" t="str">
            <v>11106_3</v>
          </cell>
        </row>
        <row r="244">
          <cell r="A244" t="str">
            <v>11206_1</v>
          </cell>
        </row>
        <row r="245">
          <cell r="A245" t="str">
            <v>11206_2</v>
          </cell>
        </row>
        <row r="246">
          <cell r="A246" t="str">
            <v>11206_3</v>
          </cell>
        </row>
        <row r="247">
          <cell r="A247" t="str">
            <v>11016_1</v>
          </cell>
        </row>
        <row r="248">
          <cell r="A248" t="str">
            <v>11207_1</v>
          </cell>
        </row>
        <row r="249">
          <cell r="A249" t="str">
            <v>11207_2</v>
          </cell>
        </row>
        <row r="250">
          <cell r="A250" t="str">
            <v>11208_1</v>
          </cell>
        </row>
        <row r="251">
          <cell r="A251" t="str">
            <v>11208_2</v>
          </cell>
        </row>
        <row r="252">
          <cell r="A252" t="str">
            <v>11209_1</v>
          </cell>
        </row>
        <row r="253">
          <cell r="A253" t="str">
            <v>11209_2</v>
          </cell>
        </row>
        <row r="254">
          <cell r="A254" t="str">
            <v>11210_1</v>
          </cell>
        </row>
        <row r="255">
          <cell r="A255" t="str">
            <v>11210_2</v>
          </cell>
        </row>
        <row r="256">
          <cell r="A256" t="str">
            <v>11210_3</v>
          </cell>
        </row>
        <row r="257">
          <cell r="A257" t="str">
            <v>11210_4</v>
          </cell>
        </row>
        <row r="258">
          <cell r="A258" t="str">
            <v>11211_1</v>
          </cell>
        </row>
        <row r="259">
          <cell r="A259" t="str">
            <v>11211_2</v>
          </cell>
        </row>
        <row r="260">
          <cell r="A260" t="str">
            <v>11211_3</v>
          </cell>
        </row>
        <row r="261">
          <cell r="A261" t="str">
            <v>11211_4</v>
          </cell>
        </row>
        <row r="262">
          <cell r="A262" t="str">
            <v>11212_1</v>
          </cell>
        </row>
        <row r="263">
          <cell r="A263" t="str">
            <v>11213_1</v>
          </cell>
        </row>
        <row r="264">
          <cell r="A264" t="str">
            <v>11214_1</v>
          </cell>
        </row>
        <row r="265">
          <cell r="A265" t="str">
            <v>11214_2</v>
          </cell>
        </row>
        <row r="266">
          <cell r="A266" t="str">
            <v>11214_3</v>
          </cell>
        </row>
        <row r="267">
          <cell r="A267" t="str">
            <v>11215_1</v>
          </cell>
        </row>
        <row r="268">
          <cell r="A268" t="str">
            <v>11216_1</v>
          </cell>
        </row>
        <row r="269">
          <cell r="A269" t="str">
            <v>11217_1</v>
          </cell>
        </row>
        <row r="270">
          <cell r="A270" t="str">
            <v>11218_1</v>
          </cell>
        </row>
        <row r="271">
          <cell r="A271" t="str">
            <v>11219_1</v>
          </cell>
        </row>
        <row r="272">
          <cell r="A272" t="str">
            <v>11220_1</v>
          </cell>
        </row>
        <row r="273">
          <cell r="A273" t="str">
            <v>11221_1</v>
          </cell>
        </row>
        <row r="274">
          <cell r="A274" t="str">
            <v>11224_1</v>
          </cell>
        </row>
        <row r="275">
          <cell r="A275" t="str">
            <v>12001_1</v>
          </cell>
        </row>
        <row r="276">
          <cell r="A276" t="str">
            <v>12001_2</v>
          </cell>
        </row>
        <row r="277">
          <cell r="A277" t="str">
            <v>12001_3</v>
          </cell>
        </row>
        <row r="278">
          <cell r="A278" t="str">
            <v>12002_3</v>
          </cell>
        </row>
        <row r="279">
          <cell r="A279" t="str">
            <v>12002_2</v>
          </cell>
        </row>
        <row r="280">
          <cell r="A280" t="str">
            <v>12002_1</v>
          </cell>
        </row>
        <row r="281">
          <cell r="A281" t="str">
            <v>12003_1</v>
          </cell>
        </row>
        <row r="282">
          <cell r="A282" t="str">
            <v>12003_2</v>
          </cell>
        </row>
        <row r="283">
          <cell r="A283" t="str">
            <v>12003_3</v>
          </cell>
        </row>
        <row r="284">
          <cell r="A284" t="str">
            <v>12003_4</v>
          </cell>
        </row>
        <row r="285">
          <cell r="A285" t="str">
            <v>12004_1</v>
          </cell>
        </row>
        <row r="286">
          <cell r="A286" t="str">
            <v>13001_1</v>
          </cell>
        </row>
        <row r="287">
          <cell r="A287" t="str">
            <v>13001_2</v>
          </cell>
        </row>
        <row r="288">
          <cell r="A288" t="str">
            <v>13001_3</v>
          </cell>
        </row>
        <row r="289">
          <cell r="A289" t="str">
            <v>13001_4</v>
          </cell>
        </row>
        <row r="290">
          <cell r="A290" t="str">
            <v>13001_5</v>
          </cell>
        </row>
        <row r="291">
          <cell r="A291" t="str">
            <v>13001_6</v>
          </cell>
        </row>
        <row r="292">
          <cell r="A292" t="str">
            <v>13001_7</v>
          </cell>
        </row>
        <row r="293">
          <cell r="A293" t="str">
            <v>13001_8</v>
          </cell>
        </row>
        <row r="294">
          <cell r="A294" t="str">
            <v>13001_9</v>
          </cell>
        </row>
        <row r="295">
          <cell r="A295" t="str">
            <v>13001_10</v>
          </cell>
        </row>
        <row r="296">
          <cell r="A296" t="str">
            <v>13001_11</v>
          </cell>
        </row>
        <row r="297">
          <cell r="A297" t="str">
            <v>13001_12</v>
          </cell>
        </row>
        <row r="298">
          <cell r="A298" t="str">
            <v>13001_13</v>
          </cell>
        </row>
        <row r="299">
          <cell r="A299" t="str">
            <v>13001_14</v>
          </cell>
        </row>
        <row r="300">
          <cell r="A300" t="str">
            <v>13001_15</v>
          </cell>
        </row>
        <row r="301">
          <cell r="A301" t="str">
            <v>13001_16</v>
          </cell>
        </row>
        <row r="302">
          <cell r="A302" t="str">
            <v>13001_17</v>
          </cell>
        </row>
        <row r="303">
          <cell r="A303" t="str">
            <v>13001_18</v>
          </cell>
        </row>
        <row r="304">
          <cell r="A304" t="str">
            <v>13001_19</v>
          </cell>
        </row>
        <row r="305">
          <cell r="A305" t="str">
            <v>13001_20</v>
          </cell>
        </row>
        <row r="306">
          <cell r="A306" t="str">
            <v>13001_21</v>
          </cell>
        </row>
        <row r="307">
          <cell r="A307" t="str">
            <v>13001_22</v>
          </cell>
        </row>
        <row r="308">
          <cell r="A308" t="str">
            <v>13001_23</v>
          </cell>
        </row>
        <row r="309">
          <cell r="A309" t="str">
            <v>13001_24</v>
          </cell>
        </row>
        <row r="310">
          <cell r="A310" t="str">
            <v>13001_25</v>
          </cell>
        </row>
        <row r="311">
          <cell r="A311" t="str">
            <v>14001_1</v>
          </cell>
        </row>
        <row r="312">
          <cell r="A312" t="str">
            <v>14001_2</v>
          </cell>
        </row>
        <row r="313">
          <cell r="A313" t="str">
            <v>14001_3</v>
          </cell>
        </row>
        <row r="314">
          <cell r="A314" t="str">
            <v>14001_4</v>
          </cell>
        </row>
        <row r="315">
          <cell r="A315" t="str">
            <v>14002_1</v>
          </cell>
        </row>
        <row r="316">
          <cell r="A316" t="str">
            <v>14003_1</v>
          </cell>
        </row>
        <row r="317">
          <cell r="A317" t="str">
            <v>14004_1</v>
          </cell>
        </row>
        <row r="318">
          <cell r="A318" t="str">
            <v>14004_2</v>
          </cell>
        </row>
        <row r="319">
          <cell r="A319" t="str">
            <v>14004_3</v>
          </cell>
        </row>
        <row r="320">
          <cell r="A320" t="str">
            <v>14004_4</v>
          </cell>
        </row>
        <row r="321">
          <cell r="A321" t="str">
            <v>14005_1</v>
          </cell>
        </row>
        <row r="322">
          <cell r="A322" t="str">
            <v>14006_1</v>
          </cell>
        </row>
        <row r="323">
          <cell r="A323" t="str">
            <v>15027_1</v>
          </cell>
        </row>
        <row r="324">
          <cell r="A324" t="str">
            <v>15027_2</v>
          </cell>
        </row>
        <row r="325">
          <cell r="A325" t="str">
            <v>15027_3</v>
          </cell>
        </row>
        <row r="326">
          <cell r="A326" t="str">
            <v>15027_4</v>
          </cell>
        </row>
        <row r="327">
          <cell r="A327" t="str">
            <v>15028_1</v>
          </cell>
        </row>
        <row r="328">
          <cell r="A328" t="str">
            <v>15028_2</v>
          </cell>
        </row>
        <row r="329">
          <cell r="A329" t="str">
            <v>15028_3</v>
          </cell>
        </row>
        <row r="330">
          <cell r="A330" t="str">
            <v>15028_4</v>
          </cell>
        </row>
        <row r="331">
          <cell r="A331" t="str">
            <v>15029_1</v>
          </cell>
        </row>
        <row r="332">
          <cell r="A332" t="str">
            <v>15029_2</v>
          </cell>
        </row>
        <row r="333">
          <cell r="A333" t="str">
            <v>15029_3</v>
          </cell>
        </row>
        <row r="334">
          <cell r="A334" t="str">
            <v>15029_4</v>
          </cell>
        </row>
        <row r="335">
          <cell r="A335" t="str">
            <v>15030_1</v>
          </cell>
        </row>
        <row r="336">
          <cell r="A336" t="str">
            <v>15030_2</v>
          </cell>
        </row>
        <row r="337">
          <cell r="A337" t="str">
            <v>15030_3</v>
          </cell>
        </row>
        <row r="338">
          <cell r="A338" t="str">
            <v>15030_4</v>
          </cell>
        </row>
        <row r="339">
          <cell r="A339" t="str">
            <v>15031_1</v>
          </cell>
        </row>
        <row r="340">
          <cell r="A340" t="str">
            <v>15031_2</v>
          </cell>
        </row>
        <row r="341">
          <cell r="A341" t="str">
            <v>15031_3</v>
          </cell>
        </row>
        <row r="342">
          <cell r="A342" t="str">
            <v>15031_4</v>
          </cell>
        </row>
        <row r="343">
          <cell r="A343" t="str">
            <v>20001_1</v>
          </cell>
        </row>
        <row r="344">
          <cell r="A344" t="str">
            <v>20001_2</v>
          </cell>
        </row>
        <row r="345">
          <cell r="A345" t="str">
            <v>20001_3</v>
          </cell>
        </row>
        <row r="346">
          <cell r="A346" t="str">
            <v>20002_1</v>
          </cell>
        </row>
        <row r="347">
          <cell r="A347" t="str">
            <v>20002_2</v>
          </cell>
        </row>
        <row r="348">
          <cell r="A348" t="str">
            <v>20002_3</v>
          </cell>
        </row>
        <row r="349">
          <cell r="A349" t="str">
            <v>20003_1</v>
          </cell>
        </row>
        <row r="350">
          <cell r="A350" t="str">
            <v>20003_2</v>
          </cell>
        </row>
        <row r="351">
          <cell r="A351" t="str">
            <v>20003_3</v>
          </cell>
        </row>
        <row r="352">
          <cell r="A352" t="str">
            <v>20004_1</v>
          </cell>
        </row>
        <row r="353">
          <cell r="A353" t="str">
            <v>20004_2</v>
          </cell>
        </row>
        <row r="354">
          <cell r="A354" t="str">
            <v>20004_3</v>
          </cell>
        </row>
        <row r="355">
          <cell r="A355" t="str">
            <v>20005_1</v>
          </cell>
        </row>
        <row r="356">
          <cell r="A356" t="str">
            <v>20005_2</v>
          </cell>
        </row>
        <row r="357">
          <cell r="A357" t="str">
            <v>20005_3</v>
          </cell>
        </row>
        <row r="358">
          <cell r="A358" t="str">
            <v>20006_1</v>
          </cell>
        </row>
        <row r="359">
          <cell r="A359" t="str">
            <v>20006_2</v>
          </cell>
        </row>
        <row r="360">
          <cell r="A360" t="str">
            <v>20006_3</v>
          </cell>
        </row>
        <row r="361">
          <cell r="A361" t="str">
            <v>20007_1</v>
          </cell>
        </row>
        <row r="362">
          <cell r="A362" t="str">
            <v>20007_2</v>
          </cell>
        </row>
        <row r="363">
          <cell r="A363" t="str">
            <v>20007_3</v>
          </cell>
        </row>
        <row r="364">
          <cell r="A364" t="str">
            <v>20008_1</v>
          </cell>
        </row>
        <row r="365">
          <cell r="A365" t="str">
            <v>20008_2</v>
          </cell>
        </row>
        <row r="366">
          <cell r="A366" t="str">
            <v>20008_3</v>
          </cell>
        </row>
        <row r="367">
          <cell r="A367" t="str">
            <v>20009_1</v>
          </cell>
        </row>
        <row r="368">
          <cell r="A368" t="str">
            <v>20009_2</v>
          </cell>
        </row>
        <row r="369">
          <cell r="A369" t="str">
            <v>20009_3</v>
          </cell>
        </row>
        <row r="370">
          <cell r="A370" t="str">
            <v>20010_1</v>
          </cell>
        </row>
        <row r="371">
          <cell r="A371" t="str">
            <v>20010_2</v>
          </cell>
        </row>
        <row r="372">
          <cell r="A372" t="str">
            <v>20010_3</v>
          </cell>
        </row>
        <row r="373">
          <cell r="A373" t="str">
            <v>20011_1</v>
          </cell>
        </row>
        <row r="374">
          <cell r="A374" t="str">
            <v>20011_2</v>
          </cell>
        </row>
        <row r="375">
          <cell r="A375" t="str">
            <v>20011_3</v>
          </cell>
        </row>
        <row r="376">
          <cell r="A376" t="str">
            <v>20012_1</v>
          </cell>
        </row>
        <row r="377">
          <cell r="A377" t="str">
            <v>20012_2</v>
          </cell>
        </row>
        <row r="378">
          <cell r="A378" t="str">
            <v>20012_3</v>
          </cell>
        </row>
        <row r="379">
          <cell r="A379" t="str">
            <v>20013_1</v>
          </cell>
        </row>
        <row r="380">
          <cell r="A380" t="str">
            <v>20013_2</v>
          </cell>
        </row>
        <row r="381">
          <cell r="A381" t="str">
            <v>20013_3</v>
          </cell>
        </row>
        <row r="382">
          <cell r="A382" t="str">
            <v>20014_1</v>
          </cell>
        </row>
        <row r="383">
          <cell r="A383" t="str">
            <v>20014_2</v>
          </cell>
        </row>
        <row r="384">
          <cell r="A384" t="str">
            <v>20014_3</v>
          </cell>
        </row>
        <row r="385">
          <cell r="A385" t="str">
            <v>30001_1</v>
          </cell>
        </row>
        <row r="386">
          <cell r="A386" t="str">
            <v>30001_2</v>
          </cell>
        </row>
        <row r="387">
          <cell r="A387" t="str">
            <v>30001_3</v>
          </cell>
        </row>
        <row r="388">
          <cell r="A388" t="str">
            <v>30002_1</v>
          </cell>
        </row>
        <row r="389">
          <cell r="A389" t="str">
            <v>30002_2</v>
          </cell>
        </row>
        <row r="390">
          <cell r="A390" t="str">
            <v>30002_3</v>
          </cell>
        </row>
        <row r="391">
          <cell r="A391" t="str">
            <v>30003_1</v>
          </cell>
        </row>
        <row r="392">
          <cell r="A392" t="str">
            <v>30003_2</v>
          </cell>
        </row>
        <row r="393">
          <cell r="A393" t="str">
            <v>30003_3</v>
          </cell>
        </row>
        <row r="394">
          <cell r="A394" t="str">
            <v>30004_1</v>
          </cell>
        </row>
        <row r="395">
          <cell r="A395" t="str">
            <v>30004_2</v>
          </cell>
        </row>
        <row r="396">
          <cell r="A396" t="str">
            <v>30004_3</v>
          </cell>
        </row>
        <row r="397">
          <cell r="A397" t="str">
            <v>30005_1</v>
          </cell>
        </row>
        <row r="398">
          <cell r="A398" t="str">
            <v>30005_2</v>
          </cell>
        </row>
        <row r="399">
          <cell r="A399" t="str">
            <v>30005_3</v>
          </cell>
        </row>
        <row r="400">
          <cell r="A400" t="str">
            <v>30006_1</v>
          </cell>
        </row>
        <row r="401">
          <cell r="A401" t="str">
            <v>30006_2</v>
          </cell>
        </row>
        <row r="402">
          <cell r="A402" t="str">
            <v>30006_3</v>
          </cell>
        </row>
        <row r="403">
          <cell r="A403" t="str">
            <v>30007_1</v>
          </cell>
        </row>
        <row r="404">
          <cell r="A404" t="str">
            <v>30007_2</v>
          </cell>
        </row>
        <row r="405">
          <cell r="A405" t="str">
            <v>30007_3</v>
          </cell>
        </row>
        <row r="406">
          <cell r="A406" t="str">
            <v>30008_1</v>
          </cell>
        </row>
        <row r="407">
          <cell r="A407" t="str">
            <v>30008_2</v>
          </cell>
        </row>
        <row r="408">
          <cell r="A408" t="str">
            <v>30008_3</v>
          </cell>
        </row>
        <row r="409">
          <cell r="A409" t="str">
            <v>30009_3</v>
          </cell>
        </row>
        <row r="410">
          <cell r="A410" t="str">
            <v>30009_1</v>
          </cell>
        </row>
        <row r="411">
          <cell r="A411" t="str">
            <v>30009_2</v>
          </cell>
        </row>
        <row r="412">
          <cell r="A412" t="str">
            <v>30010_1</v>
          </cell>
        </row>
        <row r="413">
          <cell r="A413" t="str">
            <v>30010_2</v>
          </cell>
        </row>
        <row r="414">
          <cell r="A414" t="str">
            <v>30010_3</v>
          </cell>
        </row>
        <row r="415">
          <cell r="A415" t="str">
            <v>30011_1</v>
          </cell>
        </row>
        <row r="416">
          <cell r="A416" t="str">
            <v>30011_2</v>
          </cell>
        </row>
        <row r="417">
          <cell r="A417" t="str">
            <v>30011_3</v>
          </cell>
        </row>
        <row r="418">
          <cell r="A418" t="str">
            <v>30012_1</v>
          </cell>
        </row>
        <row r="419">
          <cell r="A419" t="str">
            <v>30012_2</v>
          </cell>
        </row>
        <row r="420">
          <cell r="A420" t="str">
            <v>30012_3</v>
          </cell>
        </row>
        <row r="421">
          <cell r="A421" t="str">
            <v>30013_1</v>
          </cell>
        </row>
        <row r="422">
          <cell r="A422" t="str">
            <v>30013_2</v>
          </cell>
        </row>
        <row r="423">
          <cell r="A423" t="str">
            <v>30014_1</v>
          </cell>
        </row>
        <row r="424">
          <cell r="A424" t="str">
            <v>30014_2</v>
          </cell>
        </row>
        <row r="425">
          <cell r="A425" t="str">
            <v>30015_1</v>
          </cell>
        </row>
        <row r="426">
          <cell r="A426" t="str">
            <v>30015_2</v>
          </cell>
        </row>
        <row r="427">
          <cell r="A427" t="str">
            <v>30016_1</v>
          </cell>
        </row>
        <row r="428">
          <cell r="A428" t="str">
            <v>30016_2</v>
          </cell>
        </row>
        <row r="429">
          <cell r="A429" t="str">
            <v>30017_1</v>
          </cell>
        </row>
        <row r="430">
          <cell r="A430" t="str">
            <v>30017_2</v>
          </cell>
        </row>
        <row r="431">
          <cell r="A431" t="str">
            <v>30018_1</v>
          </cell>
        </row>
        <row r="432">
          <cell r="A432" t="str">
            <v>30018_2</v>
          </cell>
        </row>
        <row r="433">
          <cell r="A433" t="str">
            <v>30019_1</v>
          </cell>
        </row>
        <row r="434">
          <cell r="A434" t="str">
            <v>30019_2</v>
          </cell>
        </row>
        <row r="435">
          <cell r="A435" t="str">
            <v>30020_1</v>
          </cell>
        </row>
        <row r="436">
          <cell r="A436" t="str">
            <v>30020_2</v>
          </cell>
        </row>
        <row r="437">
          <cell r="A437" t="str">
            <v>30021_1</v>
          </cell>
        </row>
        <row r="438">
          <cell r="A438" t="str">
            <v>30021_2</v>
          </cell>
        </row>
        <row r="439">
          <cell r="A439" t="str">
            <v>30021_3</v>
          </cell>
        </row>
        <row r="440">
          <cell r="A440" t="str">
            <v>30022_1</v>
          </cell>
        </row>
        <row r="441">
          <cell r="A441" t="str">
            <v>30022_2</v>
          </cell>
        </row>
        <row r="442">
          <cell r="A442" t="str">
            <v>30023_1</v>
          </cell>
        </row>
        <row r="443">
          <cell r="A443" t="str">
            <v>30023_2</v>
          </cell>
        </row>
        <row r="444">
          <cell r="A444" t="str">
            <v>30023_3</v>
          </cell>
        </row>
        <row r="445">
          <cell r="A445" t="str">
            <v>30024_1</v>
          </cell>
        </row>
        <row r="446">
          <cell r="A446" t="str">
            <v>30024_2</v>
          </cell>
        </row>
        <row r="447">
          <cell r="A447" t="str">
            <v>30024_3</v>
          </cell>
        </row>
        <row r="448">
          <cell r="A448" t="str">
            <v>30025_1</v>
          </cell>
        </row>
        <row r="449">
          <cell r="A449" t="str">
            <v>30025_2</v>
          </cell>
        </row>
        <row r="450">
          <cell r="A450" t="str">
            <v>30025_3</v>
          </cell>
        </row>
        <row r="451">
          <cell r="A451" t="str">
            <v>30026_1</v>
          </cell>
        </row>
        <row r="452">
          <cell r="A452" t="str">
            <v>30026_2</v>
          </cell>
        </row>
        <row r="453">
          <cell r="A453" t="str">
            <v>30026_3</v>
          </cell>
        </row>
        <row r="454">
          <cell r="A454" t="str">
            <v>30027_1</v>
          </cell>
        </row>
        <row r="455">
          <cell r="A455" t="str">
            <v>30027_2</v>
          </cell>
        </row>
        <row r="456">
          <cell r="A456" t="str">
            <v>30027_3</v>
          </cell>
        </row>
        <row r="457">
          <cell r="A457" t="str">
            <v>30028_1</v>
          </cell>
        </row>
        <row r="458">
          <cell r="A458" t="str">
            <v>30028_2</v>
          </cell>
        </row>
        <row r="459">
          <cell r="A459" t="str">
            <v>30028_3</v>
          </cell>
        </row>
        <row r="460">
          <cell r="A460" t="str">
            <v>30029_1</v>
          </cell>
        </row>
        <row r="461">
          <cell r="A461" t="str">
            <v>30029_2</v>
          </cell>
        </row>
        <row r="462">
          <cell r="A462" t="str">
            <v>30029_3</v>
          </cell>
        </row>
        <row r="463">
          <cell r="A463" t="str">
            <v>30030_1</v>
          </cell>
        </row>
        <row r="464">
          <cell r="A464" t="str">
            <v>30030_2</v>
          </cell>
        </row>
        <row r="465">
          <cell r="A465" t="str">
            <v>30030_3</v>
          </cell>
        </row>
        <row r="466">
          <cell r="A466" t="str">
            <v>30031_1</v>
          </cell>
        </row>
        <row r="467">
          <cell r="A467" t="str">
            <v>30031_2</v>
          </cell>
        </row>
        <row r="468">
          <cell r="A468" t="str">
            <v>30031_3</v>
          </cell>
        </row>
        <row r="469">
          <cell r="A469" t="str">
            <v>30032_1</v>
          </cell>
        </row>
        <row r="470">
          <cell r="A470" t="str">
            <v>30032_2</v>
          </cell>
        </row>
        <row r="471">
          <cell r="A471" t="str">
            <v>30032_3</v>
          </cell>
        </row>
        <row r="472">
          <cell r="A472" t="str">
            <v>30033_1</v>
          </cell>
        </row>
        <row r="473">
          <cell r="A473" t="str">
            <v>30033_2</v>
          </cell>
        </row>
        <row r="474">
          <cell r="A474" t="str">
            <v>30033_3</v>
          </cell>
        </row>
        <row r="475">
          <cell r="A475" t="str">
            <v>30034_1</v>
          </cell>
        </row>
        <row r="476">
          <cell r="A476" t="str">
            <v>30034_2</v>
          </cell>
        </row>
        <row r="477">
          <cell r="A477" t="str">
            <v>30034_3</v>
          </cell>
        </row>
        <row r="478">
          <cell r="A478" t="str">
            <v>39001_1</v>
          </cell>
        </row>
        <row r="479">
          <cell r="A479" t="str">
            <v>39001_2</v>
          </cell>
        </row>
        <row r="480">
          <cell r="A480" t="str">
            <v>39001_3</v>
          </cell>
        </row>
        <row r="481">
          <cell r="A481" t="str">
            <v>39001_4</v>
          </cell>
        </row>
        <row r="482">
          <cell r="A482" t="str">
            <v>39001_5</v>
          </cell>
        </row>
        <row r="483">
          <cell r="A483" t="str">
            <v>39002_1</v>
          </cell>
        </row>
        <row r="484">
          <cell r="A484" t="str">
            <v>39002_2</v>
          </cell>
        </row>
        <row r="485">
          <cell r="A485" t="str">
            <v>39002_3</v>
          </cell>
        </row>
        <row r="486">
          <cell r="A486" t="str">
            <v>39002_4</v>
          </cell>
        </row>
        <row r="487">
          <cell r="A487" t="str">
            <v>39003_1</v>
          </cell>
        </row>
        <row r="488">
          <cell r="A488" t="str">
            <v>39003_2</v>
          </cell>
        </row>
        <row r="489">
          <cell r="A489" t="str">
            <v>39003_3</v>
          </cell>
        </row>
        <row r="490">
          <cell r="A490" t="str">
            <v>39003_4</v>
          </cell>
        </row>
        <row r="491">
          <cell r="A491" t="str">
            <v>40001_1</v>
          </cell>
        </row>
        <row r="492">
          <cell r="A492" t="str">
            <v>40002_1</v>
          </cell>
        </row>
        <row r="493">
          <cell r="A493" t="str">
            <v>40002_2</v>
          </cell>
        </row>
        <row r="494">
          <cell r="A494" t="str">
            <v>40002_3</v>
          </cell>
        </row>
        <row r="495">
          <cell r="A495" t="str">
            <v>40003_1</v>
          </cell>
        </row>
        <row r="496">
          <cell r="A496" t="str">
            <v>40004_1</v>
          </cell>
        </row>
        <row r="497">
          <cell r="A497" t="str">
            <v>40005_1</v>
          </cell>
        </row>
        <row r="498">
          <cell r="A498" t="str">
            <v>40006_1</v>
          </cell>
        </row>
        <row r="499">
          <cell r="A499" t="str">
            <v>40007_1</v>
          </cell>
        </row>
        <row r="500">
          <cell r="A500" t="str">
            <v>40008_1</v>
          </cell>
        </row>
        <row r="501">
          <cell r="A501" t="str">
            <v>40009_1</v>
          </cell>
        </row>
        <row r="502">
          <cell r="A502" t="str">
            <v>40010_1</v>
          </cell>
        </row>
        <row r="503">
          <cell r="A503" t="str">
            <v>40011_1</v>
          </cell>
        </row>
        <row r="504">
          <cell r="A504" t="str">
            <v>40012_1</v>
          </cell>
        </row>
        <row r="505">
          <cell r="A505" t="str">
            <v>40013_1</v>
          </cell>
        </row>
        <row r="506">
          <cell r="A506" t="str">
            <v>40014_1</v>
          </cell>
        </row>
        <row r="507">
          <cell r="A507" t="str">
            <v>40015_1</v>
          </cell>
        </row>
        <row r="508">
          <cell r="A508" t="str">
            <v>40016_1</v>
          </cell>
        </row>
        <row r="509">
          <cell r="A509" t="str">
            <v>40016_2</v>
          </cell>
        </row>
        <row r="510">
          <cell r="A510" t="str">
            <v>40017_1</v>
          </cell>
        </row>
        <row r="511">
          <cell r="A511" t="str">
            <v>40017_2</v>
          </cell>
        </row>
        <row r="512">
          <cell r="A512" t="str">
            <v>40017_3</v>
          </cell>
        </row>
        <row r="513">
          <cell r="A513" t="str">
            <v>41001_1</v>
          </cell>
        </row>
        <row r="514">
          <cell r="A514" t="str">
            <v>41001_2</v>
          </cell>
        </row>
        <row r="515">
          <cell r="A515" t="str">
            <v>41001_3</v>
          </cell>
        </row>
        <row r="516">
          <cell r="A516" t="str">
            <v>41002_1</v>
          </cell>
        </row>
        <row r="517">
          <cell r="A517" t="str">
            <v>41002_2</v>
          </cell>
        </row>
        <row r="518">
          <cell r="A518" t="str">
            <v>41002_3</v>
          </cell>
        </row>
        <row r="519">
          <cell r="A519" t="str">
            <v>41003_1</v>
          </cell>
        </row>
        <row r="520">
          <cell r="A520" t="str">
            <v>41003_2</v>
          </cell>
        </row>
        <row r="521">
          <cell r="A521" t="str">
            <v>41003_3</v>
          </cell>
        </row>
        <row r="522">
          <cell r="A522" t="str">
            <v>41004_1</v>
          </cell>
        </row>
        <row r="523">
          <cell r="A523" t="str">
            <v>41004_2</v>
          </cell>
        </row>
        <row r="524">
          <cell r="A524" t="str">
            <v>41004_3</v>
          </cell>
        </row>
        <row r="525">
          <cell r="A525" t="str">
            <v>49001_1</v>
          </cell>
        </row>
        <row r="526">
          <cell r="A526" t="str">
            <v>49002_1</v>
          </cell>
        </row>
        <row r="527">
          <cell r="A527" t="str">
            <v>49003_1</v>
          </cell>
        </row>
        <row r="528">
          <cell r="A528" t="str">
            <v>50001_1</v>
          </cell>
        </row>
        <row r="529">
          <cell r="A529" t="str">
            <v>50002_1</v>
          </cell>
        </row>
        <row r="530">
          <cell r="A530" t="str">
            <v>50003_1</v>
          </cell>
        </row>
        <row r="531">
          <cell r="A531" t="str">
            <v>60001_1</v>
          </cell>
        </row>
        <row r="532">
          <cell r="A532" t="str">
            <v>60002_1</v>
          </cell>
        </row>
        <row r="533">
          <cell r="A533" t="str">
            <v>60002_2</v>
          </cell>
        </row>
        <row r="534">
          <cell r="A534" t="str">
            <v>60003_1</v>
          </cell>
        </row>
        <row r="535">
          <cell r="A535" t="str">
            <v>60003_2</v>
          </cell>
        </row>
        <row r="536">
          <cell r="A536" t="str">
            <v>60003_3</v>
          </cell>
        </row>
        <row r="537">
          <cell r="A537" t="str">
            <v>60004_1</v>
          </cell>
        </row>
        <row r="538">
          <cell r="A538" t="str">
            <v>60005_1</v>
          </cell>
        </row>
        <row r="539">
          <cell r="A539" t="str">
            <v>60006_1</v>
          </cell>
        </row>
        <row r="540">
          <cell r="A540" t="str">
            <v>60006_2</v>
          </cell>
        </row>
        <row r="541">
          <cell r="A541" t="str">
            <v>60006_3</v>
          </cell>
        </row>
        <row r="542">
          <cell r="A542" t="str">
            <v>60010_1</v>
          </cell>
        </row>
        <row r="543">
          <cell r="A543" t="str">
            <v>60010_2</v>
          </cell>
        </row>
        <row r="544">
          <cell r="A544" t="str">
            <v>60010_3</v>
          </cell>
        </row>
        <row r="545">
          <cell r="A545" t="str">
            <v>65535_1</v>
          </cell>
        </row>
        <row r="546">
          <cell r="A546" t="str">
            <v>65535_2</v>
          </cell>
        </row>
        <row r="547">
          <cell r="A547" t="str">
            <v>65535_3</v>
          </cell>
        </row>
        <row r="548">
          <cell r="A548" t="str">
            <v>60021_3</v>
          </cell>
        </row>
        <row r="549">
          <cell r="A549" t="str">
            <v>60022_3</v>
          </cell>
        </row>
        <row r="550">
          <cell r="A550" t="str">
            <v>60023_3</v>
          </cell>
        </row>
        <row r="551">
          <cell r="A551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1040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B16" sqref="B16"/>
    </sheetView>
  </sheetViews>
  <sheetFormatPr baseColWidth="12" defaultRowHeight="15" x14ac:dyDescent="0.15"/>
  <cols>
    <col min="2" max="2" width="18.16406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132</v>
      </c>
      <c r="B1" s="55" t="s">
        <v>102</v>
      </c>
      <c r="C1" s="55" t="s">
        <v>103</v>
      </c>
      <c r="D1" s="55" t="s">
        <v>104</v>
      </c>
      <c r="E1" s="55" t="s">
        <v>105</v>
      </c>
      <c r="F1" s="55" t="s">
        <v>106</v>
      </c>
      <c r="G1" s="55" t="s">
        <v>107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243</v>
      </c>
      <c r="B2" s="57" t="s">
        <v>108</v>
      </c>
      <c r="C2" s="63">
        <v>39002</v>
      </c>
      <c r="D2" s="57" t="s">
        <v>109</v>
      </c>
      <c r="E2" s="56" t="str">
        <f>B2&amp;C2&amp;D2</f>
        <v>floors_39002.tmp</v>
      </c>
      <c r="F2" s="57" t="s">
        <v>110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243</v>
      </c>
      <c r="B3" s="57" t="s">
        <v>111</v>
      </c>
      <c r="C3" s="63">
        <v>39002</v>
      </c>
      <c r="D3" s="57" t="s">
        <v>109</v>
      </c>
      <c r="E3" s="56" t="str">
        <f>B3&amp;C3&amp;D3</f>
        <v>enemy_habitats_39002.tmp</v>
      </c>
      <c r="F3" s="57" t="s">
        <v>112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180</v>
      </c>
    </row>
    <row r="4" spans="1:30" x14ac:dyDescent="0.15">
      <c r="A4" s="61" t="s">
        <v>243</v>
      </c>
      <c r="B4" s="57" t="s">
        <v>113</v>
      </c>
      <c r="C4" s="63">
        <v>39002</v>
      </c>
      <c r="D4" s="57" t="s">
        <v>109</v>
      </c>
      <c r="E4" s="56" t="str">
        <f>B4&amp;C4&amp;D4</f>
        <v>enemy_habitat_S_39002.tmp</v>
      </c>
      <c r="F4" s="57" t="s">
        <v>114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243</v>
      </c>
      <c r="B5" s="57" t="s">
        <v>115</v>
      </c>
      <c r="C5" s="63">
        <v>39002</v>
      </c>
      <c r="D5" s="57" t="s">
        <v>109</v>
      </c>
      <c r="E5" s="56" t="str">
        <f>B5&amp;C5&amp;D5</f>
        <v>enemy_skill_sets_39002.tmp</v>
      </c>
      <c r="F5" s="57" t="s">
        <v>116</v>
      </c>
      <c r="G5" s="59" t="s">
        <v>22</v>
      </c>
      <c r="H5" s="59" t="s">
        <v>101</v>
      </c>
      <c r="I5" s="59" t="s">
        <v>96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243</v>
      </c>
      <c r="B6" s="57" t="s">
        <v>117</v>
      </c>
      <c r="C6" s="63">
        <v>39002</v>
      </c>
      <c r="D6" s="57" t="s">
        <v>118</v>
      </c>
      <c r="E6" s="56" t="str">
        <f t="shared" ref="E6:E10" si="0">B6&amp;C6&amp;D6</f>
        <v>enemy_skills_tmp_39002.tmp</v>
      </c>
      <c r="F6" s="57" t="s">
        <v>92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243</v>
      </c>
      <c r="B7" s="57" t="s">
        <v>119</v>
      </c>
      <c r="C7" s="63">
        <v>39002</v>
      </c>
      <c r="D7" s="57" t="s">
        <v>109</v>
      </c>
      <c r="E7" s="56" t="str">
        <f>B7&amp;C7&amp;D7</f>
        <v>enemy_skills_i18n_39002.tmp</v>
      </c>
      <c r="F7" s="57" t="s">
        <v>120</v>
      </c>
      <c r="G7" s="58" t="s">
        <v>79</v>
      </c>
      <c r="H7" s="58" t="s">
        <v>93</v>
      </c>
      <c r="I7" s="58" t="s">
        <v>94</v>
      </c>
      <c r="J7" s="58" t="s">
        <v>95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243</v>
      </c>
      <c r="B8" s="57" t="s">
        <v>121</v>
      </c>
      <c r="C8" s="63">
        <v>39002</v>
      </c>
      <c r="D8" s="57" t="s">
        <v>122</v>
      </c>
      <c r="E8" s="56" t="str">
        <f t="shared" si="0"/>
        <v>enemy_skill_triggers_39002.tmp</v>
      </c>
      <c r="F8" s="57" t="s">
        <v>123</v>
      </c>
      <c r="G8" s="58" t="s">
        <v>96</v>
      </c>
      <c r="H8" s="58" t="s">
        <v>97</v>
      </c>
      <c r="I8" s="58" t="s">
        <v>98</v>
      </c>
      <c r="J8" s="58" t="s">
        <v>99</v>
      </c>
      <c r="K8" s="58" t="s">
        <v>124</v>
      </c>
      <c r="L8" s="58" t="s">
        <v>100</v>
      </c>
      <c r="M8" s="58" t="s">
        <v>125</v>
      </c>
      <c r="N8" s="58" t="s">
        <v>126</v>
      </c>
      <c r="O8" s="58" t="s">
        <v>127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243</v>
      </c>
      <c r="B9" s="68" t="s">
        <v>179</v>
      </c>
      <c r="C9" s="63">
        <v>39002</v>
      </c>
      <c r="D9" s="68" t="s">
        <v>173</v>
      </c>
      <c r="E9" s="69" t="str">
        <f t="shared" si="0"/>
        <v>stage_bug_bonuses_39002.tmp</v>
      </c>
      <c r="F9" s="68" t="s">
        <v>174</v>
      </c>
      <c r="G9" s="65" t="s">
        <v>152</v>
      </c>
      <c r="H9" s="65" t="s">
        <v>175</v>
      </c>
      <c r="I9" s="65" t="s">
        <v>176</v>
      </c>
      <c r="J9" s="67" t="s">
        <v>177</v>
      </c>
      <c r="K9" s="65" t="s">
        <v>178</v>
      </c>
      <c r="L9" s="65" t="s">
        <v>158</v>
      </c>
      <c r="M9" s="65" t="s">
        <v>159</v>
      </c>
      <c r="N9" s="65" t="s">
        <v>160</v>
      </c>
      <c r="O9" s="65" t="s">
        <v>161</v>
      </c>
      <c r="P9" s="65" t="s">
        <v>162</v>
      </c>
      <c r="Q9" s="65" t="s">
        <v>163</v>
      </c>
      <c r="R9" s="65" t="s">
        <v>164</v>
      </c>
      <c r="S9" s="65" t="s">
        <v>165</v>
      </c>
      <c r="T9" s="65" t="s">
        <v>166</v>
      </c>
      <c r="U9" s="65" t="s">
        <v>167</v>
      </c>
      <c r="V9" s="65" t="s">
        <v>168</v>
      </c>
      <c r="W9" s="65" t="s">
        <v>169</v>
      </c>
    </row>
    <row r="10" spans="1:30" s="77" customFormat="1" x14ac:dyDescent="0.15">
      <c r="A10" s="61" t="s">
        <v>243</v>
      </c>
      <c r="B10" s="68" t="s">
        <v>203</v>
      </c>
      <c r="C10" s="63">
        <v>39002</v>
      </c>
      <c r="D10" s="68" t="s">
        <v>182</v>
      </c>
      <c r="E10" s="69" t="str">
        <f t="shared" si="0"/>
        <v>stage_hints_data_c_39002.tmp</v>
      </c>
      <c r="F10" s="68" t="s">
        <v>211</v>
      </c>
      <c r="G10" s="74" t="s">
        <v>183</v>
      </c>
      <c r="H10" s="74" t="s">
        <v>175</v>
      </c>
      <c r="I10" s="75" t="s">
        <v>184</v>
      </c>
      <c r="J10" s="67" t="s">
        <v>185</v>
      </c>
      <c r="K10" s="76" t="s">
        <v>186</v>
      </c>
    </row>
    <row r="11" spans="1:30" s="77" customFormat="1" x14ac:dyDescent="0.15">
      <c r="A11" s="61" t="s">
        <v>243</v>
      </c>
      <c r="B11" s="68" t="s">
        <v>204</v>
      </c>
      <c r="C11" s="63">
        <v>39002</v>
      </c>
      <c r="D11" s="68" t="s">
        <v>173</v>
      </c>
      <c r="E11" s="69" t="str">
        <f t="shared" ref="E11:E12" si="1">B11&amp;C11&amp;D11</f>
        <v>stage_hints_data_f_39002.tmp</v>
      </c>
      <c r="F11" s="68" t="s">
        <v>213</v>
      </c>
      <c r="G11" s="74" t="s">
        <v>183</v>
      </c>
      <c r="H11" s="74" t="s">
        <v>175</v>
      </c>
      <c r="I11" s="75" t="s">
        <v>184</v>
      </c>
      <c r="J11" s="67" t="s">
        <v>185</v>
      </c>
      <c r="K11" s="76" t="s">
        <v>186</v>
      </c>
    </row>
    <row r="12" spans="1:30" s="77" customFormat="1" x14ac:dyDescent="0.15">
      <c r="A12" s="61" t="s">
        <v>243</v>
      </c>
      <c r="B12" s="68" t="s">
        <v>205</v>
      </c>
      <c r="C12" s="63">
        <v>39002</v>
      </c>
      <c r="D12" s="68" t="s">
        <v>173</v>
      </c>
      <c r="E12" s="69" t="str">
        <f t="shared" si="1"/>
        <v>stage_hints_i18n_39002.tmp</v>
      </c>
      <c r="F12" s="68" t="s">
        <v>214</v>
      </c>
      <c r="G12" s="75" t="s">
        <v>206</v>
      </c>
      <c r="H12" s="97" t="s">
        <v>207</v>
      </c>
      <c r="I12" s="74" t="s">
        <v>208</v>
      </c>
      <c r="J12" s="98" t="s">
        <v>209</v>
      </c>
      <c r="K12" s="76" t="s">
        <v>210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7"/>
  <sheetViews>
    <sheetView showGridLines="0" workbookViewId="0">
      <pane ySplit="1" topLeftCell="A2" activePane="bottomLeft" state="frozen"/>
      <selection activeCell="V2" sqref="V2:X34"/>
      <selection pane="bottomLeft" activeCell="L9" sqref="L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39002_1-1</v>
      </c>
      <c r="B2" s="16" t="str">
        <f>IF(COUNTIF(enemy_habitats!$H:$H,A2),"OK","NG")</f>
        <v>OK</v>
      </c>
      <c r="C2" s="100">
        <v>39002</v>
      </c>
      <c r="D2" s="11" t="str">
        <f ca="1">VLOOKUP($C2,OFFSET([2]quests!$A$1,0,0,COUNTA([2]quests!$A:$A),MATCH(D$1,[2]quests!$1:$1,0)-MATCH($C$1,[2]quests!$1:$1,0)+1),MATCH(D$1,[2]quests!$1:$1,0)-MATCH($C$1,[2]quests!$1:$1,0)+1,FALSE)</f>
        <v>黄巾賊の暴走を止めろ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21">
        <v>1</v>
      </c>
      <c r="G2" s="23" t="str">
        <f>C2&amp;"_"&amp;F2</f>
        <v>39002_1</v>
      </c>
      <c r="H2" s="15" t="str">
        <f ca="1">VLOOKUP($G2,OFFSET([2]stages!$A$1,0,0,COUNTA([2]stages!$A:$A),MATCH(H$1,[2]stages!$2:$2,0)-MATCH($G$1,[2]stages!$2:$2,0)+1),MATCH(H$1,[2]stages!$2:$2,0)-MATCH($G$1,[2]stages!$2:$2,0)+1,FALSE)</f>
        <v>【初級】黄巾賊の暴走を止めろ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7" si="0">G3&amp;"-"&amp;I3</f>
        <v>39002_1-2</v>
      </c>
      <c r="B3" s="16" t="str">
        <f>IF(COUNTIF(enemy_habitats!$H:$H,A3),"OK","NG")</f>
        <v>OK</v>
      </c>
      <c r="C3" s="100">
        <v>39002</v>
      </c>
      <c r="D3" s="11" t="str">
        <f ca="1">VLOOKUP($C3,OFFSET([2]quests!$A$1,0,0,COUNTA([2]quests!$A:$A),MATCH(D$1,[2]quests!$1:$1,0)-MATCH($C$1,[2]quests!$1:$1,0)+1),MATCH(D$1,[2]quests!$1:$1,0)-MATCH($C$1,[2]quests!$1:$1,0)+1,FALSE)</f>
        <v>黄巾賊の暴走を止めろ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21">
        <v>1</v>
      </c>
      <c r="G3" s="23" t="str">
        <f t="shared" ref="G3:G7" si="1">C3&amp;"_"&amp;F3</f>
        <v>39002_1</v>
      </c>
      <c r="H3" s="15" t="str">
        <f ca="1">VLOOKUP($G3,OFFSET([2]stages!$A$1,0,0,COUNTA([2]stages!$A:$A),MATCH(H$1,[2]stages!$2:$2,0)-MATCH($G$1,[2]stages!$2:$2,0)+1),MATCH(H$1,[2]stages!$2:$2,0)-MATCH($G$1,[2]stages!$2:$2,0)+1,FALSE)</f>
        <v>【初級】黄巾賊の暴走を止めろ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39002_1-3</v>
      </c>
      <c r="B4" s="16" t="str">
        <f>IF(COUNTIF(enemy_habitats!$H:$H,A4),"OK","NG")</f>
        <v>OK</v>
      </c>
      <c r="C4" s="100">
        <v>39002</v>
      </c>
      <c r="D4" s="11" t="str">
        <f ca="1">VLOOKUP($C4,OFFSET([2]quests!$A$1,0,0,COUNTA([2]quests!$A:$A),MATCH(D$1,[2]quests!$1:$1,0)-MATCH($C$1,[2]quests!$1:$1,0)+1),MATCH(D$1,[2]quests!$1:$1,0)-MATCH($C$1,[2]quests!$1:$1,0)+1,FALSE)</f>
        <v>黄巾賊の暴走を止めろ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21">
        <v>1</v>
      </c>
      <c r="G4" s="23" t="str">
        <f t="shared" si="1"/>
        <v>39002_1</v>
      </c>
      <c r="H4" s="15" t="str">
        <f ca="1">VLOOKUP($G4,OFFSET([2]stages!$A$1,0,0,COUNTA([2]stages!$A:$A),MATCH(H$1,[2]stages!$2:$2,0)-MATCH($G$1,[2]stages!$2:$2,0)+1),MATCH(H$1,[2]stages!$2:$2,0)-MATCH($G$1,[2]stages!$2:$2,0)+1,FALSE)</f>
        <v>【初級】黄巾賊の暴走を止めろ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39002_1-4</v>
      </c>
      <c r="B5" s="16" t="str">
        <f>IF(COUNTIF(enemy_habitats!$H:$H,A5),"OK","NG")</f>
        <v>NG</v>
      </c>
      <c r="C5" s="100">
        <v>39002</v>
      </c>
      <c r="D5" s="11" t="str">
        <f ca="1">VLOOKUP($C5,OFFSET([2]quests!$A$1,0,0,COUNTA([2]quests!$A:$A),MATCH(D$1,[2]quests!$1:$1,0)-MATCH($C$1,[2]quests!$1:$1,0)+1),MATCH(D$1,[2]quests!$1:$1,0)-MATCH($C$1,[2]quests!$1:$1,0)+1,FALSE)</f>
        <v>黄巾賊の暴走を止めろ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コラボクエスト</v>
      </c>
      <c r="F5" s="21">
        <v>1</v>
      </c>
      <c r="G5" s="23" t="str">
        <f t="shared" si="1"/>
        <v>39002_1</v>
      </c>
      <c r="H5" s="15" t="str">
        <f ca="1">VLOOKUP($G5,OFFSET([2]stages!$A$1,0,0,COUNTA([2]stages!$A:$A),MATCH(H$1,[2]stages!$2:$2,0)-MATCH($G$1,[2]stages!$2:$2,0)+1),MATCH(H$1,[2]stages!$2:$2,0)-MATCH($G$1,[2]stages!$2:$2,0)+1,FALSE)</f>
        <v>【初級】黄巾賊の暴走を止めろ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39002_2-1</v>
      </c>
      <c r="B6" s="16" t="str">
        <f>IF(COUNTIF(enemy_habitats!$H:$H,A6),"OK","NG")</f>
        <v>OK</v>
      </c>
      <c r="C6" s="100">
        <v>39002</v>
      </c>
      <c r="D6" s="11" t="str">
        <f ca="1">VLOOKUP($C6,OFFSET([2]quests!$A$1,0,0,COUNTA([2]quests!$A:$A),MATCH(D$1,[2]quests!$1:$1,0)-MATCH($C$1,[2]quests!$1:$1,0)+1),MATCH(D$1,[2]quests!$1:$1,0)-MATCH($C$1,[2]quests!$1:$1,0)+1,FALSE)</f>
        <v>黄巾賊の暴走を止めろ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コラボクエスト</v>
      </c>
      <c r="F6" s="21">
        <v>2</v>
      </c>
      <c r="G6" s="23" t="str">
        <f t="shared" si="1"/>
        <v>39002_2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【中級】黄巾賊の暴走を止めろ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39002_2-2</v>
      </c>
      <c r="B7" s="16" t="str">
        <f>IF(COUNTIF(enemy_habitats!$H:$H,A7),"OK","NG")</f>
        <v>OK</v>
      </c>
      <c r="C7" s="100">
        <v>39002</v>
      </c>
      <c r="D7" s="11" t="str">
        <f ca="1">VLOOKUP($C7,OFFSET([2]quests!$A$1,0,0,COUNTA([2]quests!$A:$A),MATCH(D$1,[2]quests!$1:$1,0)-MATCH($C$1,[2]quests!$1:$1,0)+1),MATCH(D$1,[2]quests!$1:$1,0)-MATCH($C$1,[2]quests!$1:$1,0)+1,FALSE)</f>
        <v>黄巾賊の暴走を止めろ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コラボクエスト</v>
      </c>
      <c r="F7" s="21">
        <v>2</v>
      </c>
      <c r="G7" s="23" t="str">
        <f t="shared" si="1"/>
        <v>39002_2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【中級】黄巾賊の暴走を止めろ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ref="A8:A17" si="2">G8&amp;"-"&amp;I8</f>
        <v>39002_2-3</v>
      </c>
      <c r="B8" s="16" t="str">
        <f>IF(COUNTIF(enemy_habitats!$H:$H,A8),"OK","NG")</f>
        <v>OK</v>
      </c>
      <c r="C8" s="100">
        <v>39002</v>
      </c>
      <c r="D8" s="11" t="str">
        <f ca="1">VLOOKUP($C8,OFFSET([2]quests!$A$1,0,0,COUNTA([2]quests!$A:$A),MATCH(D$1,[2]quests!$1:$1,0)-MATCH($C$1,[2]quests!$1:$1,0)+1),MATCH(D$1,[2]quests!$1:$1,0)-MATCH($C$1,[2]quests!$1:$1,0)+1,FALSE)</f>
        <v>黄巾賊の暴走を止めろ</v>
      </c>
      <c r="E8" s="18" t="str">
        <f ca="1">VLOOKUP($C8,OFFSET([2]quests!$A$1,0,0,COUNTA([2]quests!$A:$A),MATCH(E$1,[2]quests!$1:$1,0)-MATCH($C$1,[2]quests!$1:$1,0)+1),MATCH(E$1,[2]quests!$1:$1,0)-MATCH($C$1,[2]quests!$1:$1,0)+1,FALSE)</f>
        <v>コラボクエスト</v>
      </c>
      <c r="F8" s="21">
        <v>2</v>
      </c>
      <c r="G8" s="23" t="str">
        <f t="shared" ref="G8:G17" si="3">C8&amp;"_"&amp;F8</f>
        <v>39002_2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【中級】黄巾賊の暴走を止めろ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39002_2-4</v>
      </c>
      <c r="B9" s="16" t="str">
        <f>IF(COUNTIF(enemy_habitats!$H:$H,A9),"OK","NG")</f>
        <v>NG</v>
      </c>
      <c r="C9" s="100">
        <v>39002</v>
      </c>
      <c r="D9" s="11" t="str">
        <f ca="1">VLOOKUP($C9,OFFSET([2]quests!$A$1,0,0,COUNTA([2]quests!$A:$A),MATCH(D$1,[2]quests!$1:$1,0)-MATCH($C$1,[2]quests!$1:$1,0)+1),MATCH(D$1,[2]quests!$1:$1,0)-MATCH($C$1,[2]quests!$1:$1,0)+1,FALSE)</f>
        <v>黄巾賊の暴走を止めろ</v>
      </c>
      <c r="E9" s="18" t="str">
        <f ca="1">VLOOKUP($C9,OFFSET([2]quests!$A$1,0,0,COUNTA([2]quests!$A:$A),MATCH(E$1,[2]quests!$1:$1,0)-MATCH($C$1,[2]quests!$1:$1,0)+1),MATCH(E$1,[2]quests!$1:$1,0)-MATCH($C$1,[2]quests!$1:$1,0)+1,FALSE)</f>
        <v>コラボクエスト</v>
      </c>
      <c r="F9" s="21">
        <v>2</v>
      </c>
      <c r="G9" s="23" t="str">
        <f t="shared" si="3"/>
        <v>39002_2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【中級】黄巾賊の暴走を止めろ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2"/>
        <v>39002_3-1</v>
      </c>
      <c r="B10" s="16" t="str">
        <f>IF(COUNTIF(enemy_habitats!$H:$H,A10),"OK","NG")</f>
        <v>OK</v>
      </c>
      <c r="C10" s="100">
        <v>39002</v>
      </c>
      <c r="D10" s="11" t="str">
        <f ca="1">VLOOKUP($C10,OFFSET([2]quests!$A$1,0,0,COUNTA([2]quests!$A:$A),MATCH(D$1,[2]quests!$1:$1,0)-MATCH($C$1,[2]quests!$1:$1,0)+1),MATCH(D$1,[2]quests!$1:$1,0)-MATCH($C$1,[2]quests!$1:$1,0)+1,FALSE)</f>
        <v>黄巾賊の暴走を止めろ</v>
      </c>
      <c r="E10" s="18" t="str">
        <f ca="1">VLOOKUP($C10,OFFSET([2]quests!$A$1,0,0,COUNTA([2]quests!$A:$A),MATCH(E$1,[2]quests!$1:$1,0)-MATCH($C$1,[2]quests!$1:$1,0)+1),MATCH(E$1,[2]quests!$1:$1,0)-MATCH($C$1,[2]quests!$1:$1,0)+1,FALSE)</f>
        <v>コラボクエスト</v>
      </c>
      <c r="F10" s="21">
        <v>3</v>
      </c>
      <c r="G10" s="23" t="str">
        <f t="shared" si="3"/>
        <v>39002_3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【上級】黄巾賊の暴走を止めろ</v>
      </c>
      <c r="I10" s="21">
        <v>1</v>
      </c>
      <c r="J10" s="12">
        <v>60</v>
      </c>
      <c r="K10" s="12">
        <v>60</v>
      </c>
    </row>
    <row r="11" spans="1:11" ht="21" customHeight="1" x14ac:dyDescent="0.15">
      <c r="A11" s="16" t="str">
        <f t="shared" si="2"/>
        <v>39002_3-2</v>
      </c>
      <c r="B11" s="16" t="str">
        <f>IF(COUNTIF(enemy_habitats!$H:$H,A11),"OK","NG")</f>
        <v>OK</v>
      </c>
      <c r="C11" s="100">
        <v>39002</v>
      </c>
      <c r="D11" s="11" t="str">
        <f ca="1">VLOOKUP($C11,OFFSET([2]quests!$A$1,0,0,COUNTA([2]quests!$A:$A),MATCH(D$1,[2]quests!$1:$1,0)-MATCH($C$1,[2]quests!$1:$1,0)+1),MATCH(D$1,[2]quests!$1:$1,0)-MATCH($C$1,[2]quests!$1:$1,0)+1,FALSE)</f>
        <v>黄巾賊の暴走を止めろ</v>
      </c>
      <c r="E11" s="18" t="str">
        <f ca="1">VLOOKUP($C11,OFFSET([2]quests!$A$1,0,0,COUNTA([2]quests!$A:$A),MATCH(E$1,[2]quests!$1:$1,0)-MATCH($C$1,[2]quests!$1:$1,0)+1),MATCH(E$1,[2]quests!$1:$1,0)-MATCH($C$1,[2]quests!$1:$1,0)+1,FALSE)</f>
        <v>コラボクエスト</v>
      </c>
      <c r="F11" s="21">
        <v>3</v>
      </c>
      <c r="G11" s="23" t="str">
        <f t="shared" si="3"/>
        <v>39002_3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【上級】黄巾賊の暴走を止めろ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2"/>
        <v>39002_3-3</v>
      </c>
      <c r="B12" s="16" t="str">
        <f>IF(COUNTIF(enemy_habitats!$H:$H,A12),"OK","NG")</f>
        <v>OK</v>
      </c>
      <c r="C12" s="100">
        <v>39002</v>
      </c>
      <c r="D12" s="11" t="str">
        <f ca="1">VLOOKUP($C12,OFFSET([2]quests!$A$1,0,0,COUNTA([2]quests!$A:$A),MATCH(D$1,[2]quests!$1:$1,0)-MATCH($C$1,[2]quests!$1:$1,0)+1),MATCH(D$1,[2]quests!$1:$1,0)-MATCH($C$1,[2]quests!$1:$1,0)+1,FALSE)</f>
        <v>黄巾賊の暴走を止めろ</v>
      </c>
      <c r="E12" s="18" t="str">
        <f ca="1">VLOOKUP($C12,OFFSET([2]quests!$A$1,0,0,COUNTA([2]quests!$A:$A),MATCH(E$1,[2]quests!$1:$1,0)-MATCH($C$1,[2]quests!$1:$1,0)+1),MATCH(E$1,[2]quests!$1:$1,0)-MATCH($C$1,[2]quests!$1:$1,0)+1,FALSE)</f>
        <v>コラボクエスト</v>
      </c>
      <c r="F12" s="21">
        <v>3</v>
      </c>
      <c r="G12" s="23" t="str">
        <f t="shared" si="3"/>
        <v>39002_3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【上級】黄巾賊の暴走を止めろ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2"/>
        <v>39002_3-4</v>
      </c>
      <c r="B13" s="16" t="str">
        <f>IF(COUNTIF(enemy_habitats!$H:$H,A13),"OK","NG")</f>
        <v>OK</v>
      </c>
      <c r="C13" s="100">
        <v>39002</v>
      </c>
      <c r="D13" s="11" t="str">
        <f ca="1">VLOOKUP($C13,OFFSET([2]quests!$A$1,0,0,COUNTA([2]quests!$A:$A),MATCH(D$1,[2]quests!$1:$1,0)-MATCH($C$1,[2]quests!$1:$1,0)+1),MATCH(D$1,[2]quests!$1:$1,0)-MATCH($C$1,[2]quests!$1:$1,0)+1,FALSE)</f>
        <v>黄巾賊の暴走を止めろ</v>
      </c>
      <c r="E13" s="18" t="str">
        <f ca="1">VLOOKUP($C13,OFFSET([2]quests!$A$1,0,0,COUNTA([2]quests!$A:$A),MATCH(E$1,[2]quests!$1:$1,0)-MATCH($C$1,[2]quests!$1:$1,0)+1),MATCH(E$1,[2]quests!$1:$1,0)-MATCH($C$1,[2]quests!$1:$1,0)+1,FALSE)</f>
        <v>コラボクエスト</v>
      </c>
      <c r="F13" s="21">
        <v>3</v>
      </c>
      <c r="G13" s="23" t="str">
        <f t="shared" si="3"/>
        <v>39002_3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【上級】黄巾賊の暴走を止めろ</v>
      </c>
      <c r="I13" s="21">
        <v>4</v>
      </c>
      <c r="J13" s="12">
        <v>60</v>
      </c>
      <c r="K13" s="12">
        <v>60</v>
      </c>
    </row>
    <row r="14" spans="1:11" ht="21" customHeight="1" x14ac:dyDescent="0.15">
      <c r="A14" s="16" t="str">
        <f t="shared" si="2"/>
        <v>39002_4-1</v>
      </c>
      <c r="B14" s="16" t="str">
        <f>IF(COUNTIF(enemy_habitats!$H:$H,A14),"OK","NG")</f>
        <v>OK</v>
      </c>
      <c r="C14" s="100">
        <v>39002</v>
      </c>
      <c r="D14" s="11" t="str">
        <f ca="1">VLOOKUP($C14,OFFSET([2]quests!$A$1,0,0,COUNTA([2]quests!$A:$A),MATCH(D$1,[2]quests!$1:$1,0)-MATCH($C$1,[2]quests!$1:$1,0)+1),MATCH(D$1,[2]quests!$1:$1,0)-MATCH($C$1,[2]quests!$1:$1,0)+1,FALSE)</f>
        <v>黄巾賊の暴走を止めろ</v>
      </c>
      <c r="E14" s="18" t="str">
        <f ca="1">VLOOKUP($C14,OFFSET([2]quests!$A$1,0,0,COUNTA([2]quests!$A:$A),MATCH(E$1,[2]quests!$1:$1,0)-MATCH($C$1,[2]quests!$1:$1,0)+1),MATCH(E$1,[2]quests!$1:$1,0)-MATCH($C$1,[2]quests!$1:$1,0)+1,FALSE)</f>
        <v>コラボクエスト</v>
      </c>
      <c r="F14" s="21">
        <v>4</v>
      </c>
      <c r="G14" s="23" t="str">
        <f t="shared" si="3"/>
        <v>39002_4</v>
      </c>
      <c r="H14" s="15" t="str">
        <f ca="1">VLOOKUP($G14,OFFSET([2]stages!$A$1,0,0,COUNTA([2]stages!$A:$A),MATCH(H$1,[2]stages!$2:$2,0)-MATCH($G$1,[2]stages!$2:$2,0)+1),MATCH(H$1,[2]stages!$2:$2,0)-MATCH($G$1,[2]stages!$2:$2,0)+1,FALSE)</f>
        <v>【超級】黄巾賊の暴走を止めろ</v>
      </c>
      <c r="I14" s="21">
        <v>1</v>
      </c>
      <c r="J14" s="12">
        <v>60</v>
      </c>
      <c r="K14" s="12">
        <v>60</v>
      </c>
    </row>
    <row r="15" spans="1:11" ht="21" customHeight="1" x14ac:dyDescent="0.15">
      <c r="A15" s="16" t="str">
        <f t="shared" si="2"/>
        <v>39002_4-2</v>
      </c>
      <c r="B15" s="16" t="str">
        <f>IF(COUNTIF(enemy_habitats!$H:$H,A15),"OK","NG")</f>
        <v>OK</v>
      </c>
      <c r="C15" s="100">
        <v>39002</v>
      </c>
      <c r="D15" s="11" t="str">
        <f ca="1">VLOOKUP($C15,OFFSET([2]quests!$A$1,0,0,COUNTA([2]quests!$A:$A),MATCH(D$1,[2]quests!$1:$1,0)-MATCH($C$1,[2]quests!$1:$1,0)+1),MATCH(D$1,[2]quests!$1:$1,0)-MATCH($C$1,[2]quests!$1:$1,0)+1,FALSE)</f>
        <v>黄巾賊の暴走を止めろ</v>
      </c>
      <c r="E15" s="18" t="str">
        <f ca="1">VLOOKUP($C15,OFFSET([2]quests!$A$1,0,0,COUNTA([2]quests!$A:$A),MATCH(E$1,[2]quests!$1:$1,0)-MATCH($C$1,[2]quests!$1:$1,0)+1),MATCH(E$1,[2]quests!$1:$1,0)-MATCH($C$1,[2]quests!$1:$1,0)+1,FALSE)</f>
        <v>コラボクエスト</v>
      </c>
      <c r="F15" s="21">
        <v>4</v>
      </c>
      <c r="G15" s="23" t="str">
        <f t="shared" si="3"/>
        <v>39002_4</v>
      </c>
      <c r="H15" s="15" t="str">
        <f ca="1">VLOOKUP($G15,OFFSET([2]stages!$A$1,0,0,COUNTA([2]stages!$A:$A),MATCH(H$1,[2]stages!$2:$2,0)-MATCH($G$1,[2]stages!$2:$2,0)+1),MATCH(H$1,[2]stages!$2:$2,0)-MATCH($G$1,[2]stages!$2:$2,0)+1,FALSE)</f>
        <v>【超級】黄巾賊の暴走を止めろ</v>
      </c>
      <c r="I15" s="21">
        <v>2</v>
      </c>
      <c r="J15" s="12">
        <v>60</v>
      </c>
      <c r="K15" s="12">
        <v>60</v>
      </c>
    </row>
    <row r="16" spans="1:11" ht="21" customHeight="1" x14ac:dyDescent="0.15">
      <c r="A16" s="16" t="str">
        <f t="shared" si="2"/>
        <v>39002_4-3</v>
      </c>
      <c r="B16" s="16" t="str">
        <f>IF(COUNTIF(enemy_habitats!$H:$H,A16),"OK","NG")</f>
        <v>OK</v>
      </c>
      <c r="C16" s="100">
        <v>39002</v>
      </c>
      <c r="D16" s="11" t="str">
        <f ca="1">VLOOKUP($C16,OFFSET([2]quests!$A$1,0,0,COUNTA([2]quests!$A:$A),MATCH(D$1,[2]quests!$1:$1,0)-MATCH($C$1,[2]quests!$1:$1,0)+1),MATCH(D$1,[2]quests!$1:$1,0)-MATCH($C$1,[2]quests!$1:$1,0)+1,FALSE)</f>
        <v>黄巾賊の暴走を止めろ</v>
      </c>
      <c r="E16" s="18" t="str">
        <f ca="1">VLOOKUP($C16,OFFSET([2]quests!$A$1,0,0,COUNTA([2]quests!$A:$A),MATCH(E$1,[2]quests!$1:$1,0)-MATCH($C$1,[2]quests!$1:$1,0)+1),MATCH(E$1,[2]quests!$1:$1,0)-MATCH($C$1,[2]quests!$1:$1,0)+1,FALSE)</f>
        <v>コラボクエスト</v>
      </c>
      <c r="F16" s="21">
        <v>4</v>
      </c>
      <c r="G16" s="23" t="str">
        <f t="shared" si="3"/>
        <v>39002_4</v>
      </c>
      <c r="H16" s="15" t="str">
        <f ca="1">VLOOKUP($G16,OFFSET([2]stages!$A$1,0,0,COUNTA([2]stages!$A:$A),MATCH(H$1,[2]stages!$2:$2,0)-MATCH($G$1,[2]stages!$2:$2,0)+1),MATCH(H$1,[2]stages!$2:$2,0)-MATCH($G$1,[2]stages!$2:$2,0)+1,FALSE)</f>
        <v>【超級】黄巾賊の暴走を止めろ</v>
      </c>
      <c r="I16" s="21">
        <v>3</v>
      </c>
      <c r="J16" s="12">
        <v>60</v>
      </c>
      <c r="K16" s="12">
        <v>60</v>
      </c>
    </row>
    <row r="17" spans="1:11" ht="21" customHeight="1" x14ac:dyDescent="0.15">
      <c r="A17" s="16" t="str">
        <f t="shared" si="2"/>
        <v>39002_4-4</v>
      </c>
      <c r="B17" s="16" t="str">
        <f>IF(COUNTIF(enemy_habitats!$H:$H,A17),"OK","NG")</f>
        <v>OK</v>
      </c>
      <c r="C17" s="100">
        <v>39002</v>
      </c>
      <c r="D17" s="11" t="str">
        <f ca="1">VLOOKUP($C17,OFFSET([2]quests!$A$1,0,0,COUNTA([2]quests!$A:$A),MATCH(D$1,[2]quests!$1:$1,0)-MATCH($C$1,[2]quests!$1:$1,0)+1),MATCH(D$1,[2]quests!$1:$1,0)-MATCH($C$1,[2]quests!$1:$1,0)+1,FALSE)</f>
        <v>黄巾賊の暴走を止めろ</v>
      </c>
      <c r="E17" s="18" t="str">
        <f ca="1">VLOOKUP($C17,OFFSET([2]quests!$A$1,0,0,COUNTA([2]quests!$A:$A),MATCH(E$1,[2]quests!$1:$1,0)-MATCH($C$1,[2]quests!$1:$1,0)+1),MATCH(E$1,[2]quests!$1:$1,0)-MATCH($C$1,[2]quests!$1:$1,0)+1,FALSE)</f>
        <v>コラボクエスト</v>
      </c>
      <c r="F17" s="21">
        <v>4</v>
      </c>
      <c r="G17" s="23" t="str">
        <f t="shared" si="3"/>
        <v>39002_4</v>
      </c>
      <c r="H17" s="15" t="str">
        <f ca="1">VLOOKUP($G17,OFFSET([2]stages!$A$1,0,0,COUNTA([2]stages!$A:$A),MATCH(H$1,[2]stages!$2:$2,0)-MATCH($G$1,[2]stages!$2:$2,0)+1),MATCH(H$1,[2]stages!$2:$2,0)-MATCH($G$1,[2]stages!$2:$2,0)+1,FALSE)</f>
        <v>【超級】黄巾賊の暴走を止めろ</v>
      </c>
      <c r="I17" s="21">
        <v>4</v>
      </c>
      <c r="J17" s="12">
        <v>60</v>
      </c>
      <c r="K1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5"/>
  <sheetViews>
    <sheetView showGridLines="0" zoomScale="85" zoomScaleNormal="85" zoomScalePageLayoutView="8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L32" sqref="L3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16.83203125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30.5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1" customHeight="1" x14ac:dyDescent="0.15">
      <c r="A2" s="16" t="str">
        <f t="shared" ref="A2:A18" ca="1" si="0">B2&amp;"_"&amp;C2&amp;"-"&amp;G2&amp;"/"&amp;L2&amp;"&lt;lv"&amp;R2&amp;"&gt;s"&amp;AA2</f>
        <v>39002_1-1/13&lt;lv12&gt;s2</v>
      </c>
      <c r="B2" s="22">
        <v>39002</v>
      </c>
      <c r="C2" s="21">
        <v>1</v>
      </c>
      <c r="D2" s="2" t="str">
        <f t="shared" ref="D2:D18" si="1">B2&amp;"_"&amp;C2</f>
        <v>39002_1</v>
      </c>
      <c r="E2" s="4" t="str">
        <f ca="1">VLOOKUP($B2,OFFSET([2]quests!$A$1,0,0,COUNTA([2]quests!$A:$A),MATCH(E$1,[2]quests!$1:$1,0)-MATCH($B$1,[2]quests!$1:$1,0)+1),MATCH(E$1,[2]quests!$1:$1,0)-MATCH($B$1,[2]quests!$1:$1,0)+1,FALSE)</f>
        <v>黄巾賊の暴走を止めろ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【初級】黄巾賊の暴走を止めろ</v>
      </c>
      <c r="G2" s="21">
        <v>1</v>
      </c>
      <c r="H2" s="15" t="str">
        <f t="shared" ref="H2:H18" si="2">B2&amp;"_"&amp;C2&amp;"-"&amp;G2</f>
        <v>39002_1-1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110">
        <v>13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ミミ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111">
        <v>12</v>
      </c>
      <c r="S2" s="112">
        <v>1</v>
      </c>
      <c r="T2" s="113">
        <v>1.1000000000000001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回復</v>
      </c>
      <c r="W2" s="62">
        <v>39002001</v>
      </c>
      <c r="X2" s="6">
        <v>2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2</v>
      </c>
      <c r="AB2" s="24">
        <f t="shared" ref="AB2:AB18" si="3">L2</f>
        <v>13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ミミ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Drop1W</v>
      </c>
      <c r="AF2" s="7">
        <v>1</v>
      </c>
      <c r="AG2" s="24">
        <f t="shared" ref="AG2:AG18" ca="1" si="4">AD2</f>
        <v>1</v>
      </c>
      <c r="AH2" s="8">
        <v>20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70">
        <v>1</v>
      </c>
    </row>
    <row r="3" spans="1:40" ht="21" customHeight="1" x14ac:dyDescent="0.15">
      <c r="A3" s="16" t="str">
        <f t="shared" ca="1" si="0"/>
        <v>39002_1-1/7&lt;lv20&gt;s2</v>
      </c>
      <c r="B3" s="22">
        <v>39002</v>
      </c>
      <c r="C3" s="21">
        <v>1</v>
      </c>
      <c r="D3" s="2" t="str">
        <f t="shared" si="1"/>
        <v>39002_1</v>
      </c>
      <c r="E3" s="4" t="str">
        <f ca="1">VLOOKUP($B3,OFFSET([2]quests!$A$1,0,0,COUNTA([2]quests!$A:$A),MATCH(E$1,[2]quests!$1:$1,0)-MATCH($B$1,[2]quests!$1:$1,0)+1),MATCH(E$1,[2]quests!$1:$1,0)-MATCH($B$1,[2]quests!$1:$1,0)+1,FALSE)</f>
        <v>黄巾賊の暴走を止めろ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【初級】黄巾賊の暴走を止めろ</v>
      </c>
      <c r="G3" s="21">
        <v>1</v>
      </c>
      <c r="H3" s="15" t="str">
        <f t="shared" si="2"/>
        <v>39002_1-1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110">
        <v>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エレキポット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111">
        <v>20</v>
      </c>
      <c r="S3" s="112">
        <v>1</v>
      </c>
      <c r="T3" s="113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大ダメージ攻撃！</v>
      </c>
      <c r="W3" s="62">
        <v>39002002</v>
      </c>
      <c r="X3" s="6">
        <v>2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 t="shared" si="3"/>
        <v>7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4">
        <f t="shared" ca="1" si="4"/>
        <v>1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70">
        <v>1</v>
      </c>
    </row>
    <row r="4" spans="1:40" ht="21" customHeight="1" x14ac:dyDescent="0.15">
      <c r="A4" s="16" t="str">
        <f t="shared" ca="1" si="0"/>
        <v>39002_1-2/63&lt;lv21&gt;s2</v>
      </c>
      <c r="B4" s="22">
        <v>39002</v>
      </c>
      <c r="C4" s="21">
        <v>1</v>
      </c>
      <c r="D4" s="2" t="str">
        <f t="shared" si="1"/>
        <v>39002_1</v>
      </c>
      <c r="E4" s="4" t="str">
        <f ca="1">VLOOKUP($B4,OFFSET([2]quests!$A$1,0,0,COUNTA([2]quests!$A:$A),MATCH(E$1,[2]quests!$1:$1,0)-MATCH($B$1,[2]quests!$1:$1,0)+1),MATCH(E$1,[2]quests!$1:$1,0)-MATCH($B$1,[2]quests!$1:$1,0)+1,FALSE)</f>
        <v>黄巾賊の暴走を止めろ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【初級】黄巾賊の暴走を止めろ</v>
      </c>
      <c r="G4" s="21">
        <v>2</v>
      </c>
      <c r="H4" s="15" t="str">
        <f t="shared" si="2"/>
        <v>39002_1-2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110">
        <v>63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トニー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111">
        <v>21</v>
      </c>
      <c r="S4" s="112">
        <v>1</v>
      </c>
      <c r="T4" s="112">
        <v>1.1000000000000001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回復</v>
      </c>
      <c r="W4" s="62">
        <v>39002003</v>
      </c>
      <c r="X4" s="6">
        <v>2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24">
        <f t="shared" si="3"/>
        <v>63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4">
        <f t="shared" ca="1" si="4"/>
        <v>2</v>
      </c>
      <c r="AH4" s="8">
        <v>20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70">
        <v>1</v>
      </c>
    </row>
    <row r="5" spans="1:40" ht="21" customHeight="1" x14ac:dyDescent="0.15">
      <c r="A5" s="16" t="str">
        <f t="shared" ca="1" si="0"/>
        <v>39002_1-2/31&lt;lv37&gt;s2</v>
      </c>
      <c r="B5" s="22">
        <v>39002</v>
      </c>
      <c r="C5" s="21">
        <v>1</v>
      </c>
      <c r="D5" s="2" t="str">
        <f t="shared" si="1"/>
        <v>39002_1</v>
      </c>
      <c r="E5" s="4" t="str">
        <f ca="1">VLOOKUP($B5,OFFSET([2]quests!$A$1,0,0,COUNTA([2]quests!$A:$A),MATCH(E$1,[2]quests!$1:$1,0)-MATCH($B$1,[2]quests!$1:$1,0)+1),MATCH(E$1,[2]quests!$1:$1,0)-MATCH($B$1,[2]quests!$1:$1,0)+1,FALSE)</f>
        <v>黄巾賊の暴走を止めろ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【初級】黄巾賊の暴走を止めろ</v>
      </c>
      <c r="G5" s="21">
        <v>2</v>
      </c>
      <c r="H5" s="15" t="str">
        <f t="shared" si="2"/>
        <v>39002_1-2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110">
        <v>31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マービー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111">
        <v>37</v>
      </c>
      <c r="S5" s="112">
        <v>1</v>
      </c>
      <c r="T5" s="112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お邪魔パネルを生成した</v>
      </c>
      <c r="W5" s="62">
        <v>39002004</v>
      </c>
      <c r="X5" s="6">
        <v>2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f t="shared" si="3"/>
        <v>31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マービー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7">
        <v>1</v>
      </c>
      <c r="AG5" s="24">
        <f t="shared" ca="1" si="4"/>
        <v>1</v>
      </c>
      <c r="AH5" s="8">
        <v>20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70">
        <v>1</v>
      </c>
    </row>
    <row r="6" spans="1:40" ht="21" customHeight="1" x14ac:dyDescent="0.15">
      <c r="A6" s="16" t="str">
        <f t="shared" si="0"/>
        <v>39002_1-3/693&lt;lv25&gt;s2</v>
      </c>
      <c r="B6" s="22">
        <v>39002</v>
      </c>
      <c r="C6" s="21">
        <v>1</v>
      </c>
      <c r="D6" s="2" t="str">
        <f t="shared" si="1"/>
        <v>39002_1</v>
      </c>
      <c r="E6" s="4" t="str">
        <f ca="1">VLOOKUP($B6,OFFSET([2]quests!$A$1,0,0,COUNTA([2]quests!$A:$A),MATCH(E$1,[2]quests!$1:$1,0)-MATCH($B$1,[2]quests!$1:$1,0)+1),MATCH(E$1,[2]quests!$1:$1,0)-MATCH($B$1,[2]quests!$1:$1,0)+1,FALSE)</f>
        <v>黄巾賊の暴走を止めろ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【初級】黄巾賊の暴走を止めろ</v>
      </c>
      <c r="G6" s="21">
        <v>3</v>
      </c>
      <c r="H6" s="15" t="str">
        <f t="shared" si="2"/>
        <v>39002_1-3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110">
        <v>693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紀田正臣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111">
        <v>25</v>
      </c>
      <c r="S6" s="112">
        <v>1.4</v>
      </c>
      <c r="T6" s="112">
        <v>0.6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赤属性に変化＋お邪魔パネル生成</v>
      </c>
      <c r="W6" s="62">
        <v>39002008</v>
      </c>
      <c r="X6" s="6">
        <v>1</v>
      </c>
      <c r="Y6" s="6">
        <v>100</v>
      </c>
      <c r="Z6" s="6">
        <v>1</v>
      </c>
      <c r="AA6" s="17">
        <v>2</v>
      </c>
      <c r="AB6" s="24">
        <f t="shared" si="3"/>
        <v>693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紀田正臣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7">
        <v>1</v>
      </c>
      <c r="AG6" s="24">
        <f t="shared" ca="1" si="4"/>
        <v>4</v>
      </c>
      <c r="AH6" s="108">
        <v>10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70">
        <v>1</v>
      </c>
    </row>
    <row r="7" spans="1:40" ht="21" customHeight="1" x14ac:dyDescent="0.15">
      <c r="A7" s="16" t="str">
        <f t="shared" ca="1" si="0"/>
        <v>39002_2-1/13&lt;lv18&gt;s2</v>
      </c>
      <c r="B7" s="22">
        <v>39002</v>
      </c>
      <c r="C7" s="21">
        <v>2</v>
      </c>
      <c r="D7" s="2" t="str">
        <f t="shared" si="1"/>
        <v>39002_2</v>
      </c>
      <c r="E7" s="4" t="str">
        <f ca="1">VLOOKUP($B7,OFFSET([2]quests!$A$1,0,0,COUNTA([2]quests!$A:$A),MATCH(E$1,[2]quests!$1:$1,0)-MATCH($B$1,[2]quests!$1:$1,0)+1),MATCH(E$1,[2]quests!$1:$1,0)-MATCH($B$1,[2]quests!$1:$1,0)+1,FALSE)</f>
        <v>黄巾賊の暴走を止めろ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【中級】黄巾賊の暴走を止めろ</v>
      </c>
      <c r="G7" s="21">
        <v>1</v>
      </c>
      <c r="H7" s="15" t="str">
        <f t="shared" si="2"/>
        <v>39002_2-1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107">
        <v>13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ミミ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111">
        <v>18</v>
      </c>
      <c r="S7" s="112">
        <v>1.3</v>
      </c>
      <c r="T7" s="112">
        <v>1.4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回復</v>
      </c>
      <c r="W7" s="62">
        <v>39002001</v>
      </c>
      <c r="X7" s="6">
        <v>2</v>
      </c>
      <c r="Y7" s="6">
        <v>100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f t="shared" si="3"/>
        <v>13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ミミ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1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Drop1W</v>
      </c>
      <c r="AF7" s="7">
        <v>1</v>
      </c>
      <c r="AG7" s="24">
        <f t="shared" ca="1" si="4"/>
        <v>1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70">
        <v>1</v>
      </c>
    </row>
    <row r="8" spans="1:40" ht="21" customHeight="1" x14ac:dyDescent="0.15">
      <c r="A8" s="16" t="str">
        <f t="shared" ca="1" si="0"/>
        <v>39002_2-1/7&lt;lv31&gt;s2</v>
      </c>
      <c r="B8" s="22">
        <v>39002</v>
      </c>
      <c r="C8" s="21">
        <v>2</v>
      </c>
      <c r="D8" s="2" t="str">
        <f t="shared" si="1"/>
        <v>39002_2</v>
      </c>
      <c r="E8" s="4" t="str">
        <f ca="1">VLOOKUP($B8,OFFSET([2]quests!$A$1,0,0,COUNTA([2]quests!$A:$A),MATCH(E$1,[2]quests!$1:$1,0)-MATCH($B$1,[2]quests!$1:$1,0)+1),MATCH(E$1,[2]quests!$1:$1,0)-MATCH($B$1,[2]quests!$1:$1,0)+1,FALSE)</f>
        <v>黄巾賊の暴走を止めろ</v>
      </c>
      <c r="F8" s="4" t="str">
        <f ca="1">VLOOKUP($D8,OFFSET([2]stages!$A$1,0,0,COUNTA([2]stages!$A:$A),MATCH(F$1,[2]stages!$2:$2,0)-MATCH($D$1,[2]stages!$2:$2,0)+1),MATCH(F$1,[2]stages!$2:$2,0)-MATCH($D$1,[2]stages!$2:$2,0)+1,FALSE)</f>
        <v>【中級】黄巾賊の暴走を止めろ</v>
      </c>
      <c r="G8" s="21">
        <v>1</v>
      </c>
      <c r="H8" s="15" t="str">
        <f t="shared" si="2"/>
        <v>39002_2-1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107">
        <v>7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エレキポット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Drop1T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111">
        <v>31</v>
      </c>
      <c r="S8" s="112">
        <v>1.2</v>
      </c>
      <c r="T8" s="112">
        <v>1.4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大ダメージ攻撃！</v>
      </c>
      <c r="W8" s="62">
        <v>39002002</v>
      </c>
      <c r="X8" s="6">
        <v>2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2</v>
      </c>
      <c r="AB8" s="24">
        <f t="shared" si="3"/>
        <v>7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1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Drop1T</v>
      </c>
      <c r="AF8" s="7">
        <v>1</v>
      </c>
      <c r="AG8" s="24">
        <f t="shared" ca="1" si="4"/>
        <v>1</v>
      </c>
      <c r="AH8" s="8">
        <v>20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70">
        <v>1</v>
      </c>
    </row>
    <row r="9" spans="1:40" ht="21" customHeight="1" x14ac:dyDescent="0.15">
      <c r="A9" s="16" t="str">
        <f t="shared" ca="1" si="0"/>
        <v>39002_2-2/63&lt;lv26&gt;s2</v>
      </c>
      <c r="B9" s="22">
        <v>39002</v>
      </c>
      <c r="C9" s="21">
        <v>2</v>
      </c>
      <c r="D9" s="2" t="str">
        <f t="shared" si="1"/>
        <v>39002_2</v>
      </c>
      <c r="E9" s="4" t="str">
        <f ca="1">VLOOKUP($B9,OFFSET([2]quests!$A$1,0,0,COUNTA([2]quests!$A:$A),MATCH(E$1,[2]quests!$1:$1,0)-MATCH($B$1,[2]quests!$1:$1,0)+1),MATCH(E$1,[2]quests!$1:$1,0)-MATCH($B$1,[2]quests!$1:$1,0)+1,FALSE)</f>
        <v>黄巾賊の暴走を止めろ</v>
      </c>
      <c r="F9" s="4" t="str">
        <f ca="1">VLOOKUP($D9,OFFSET([2]stages!$A$1,0,0,COUNTA([2]stages!$A:$A),MATCH(F$1,[2]stages!$2:$2,0)-MATCH($D$1,[2]stages!$2:$2,0)+1),MATCH(F$1,[2]stages!$2:$2,0)-MATCH($D$1,[2]stages!$2:$2,0)+1,FALSE)</f>
        <v>【中級】黄巾賊の暴走を止めろ</v>
      </c>
      <c r="G9" s="21">
        <v>2</v>
      </c>
      <c r="H9" s="15" t="str">
        <f t="shared" si="2"/>
        <v>39002_2-2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107">
        <v>63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トニー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111">
        <v>26</v>
      </c>
      <c r="S9" s="112">
        <v>1.3</v>
      </c>
      <c r="T9" s="112">
        <v>1.4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回復</v>
      </c>
      <c r="W9" s="62">
        <v>39002003</v>
      </c>
      <c r="X9" s="6">
        <v>2</v>
      </c>
      <c r="Y9" s="6">
        <v>100</v>
      </c>
      <c r="Z9" s="6">
        <v>0</v>
      </c>
      <c r="AA9" s="17">
        <f ca="1">VLOOKUP($L9,OFFSET([3]enemies!$A$1,0,0,COUNTA([3]enemies!$A:$A),MATCH(AA$1,[3]enemies!$1:$1,0)-MATCH($L$1,[3]enemies!$1:$1,0)+1),MATCH(AA$1,[3]enemies!$1:$1,0)-MATCH($L$1,[3]enemies!$1:$1,0)+1,FALSE)</f>
        <v>2</v>
      </c>
      <c r="AB9" s="24">
        <f t="shared" si="3"/>
        <v>63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Drop1N</v>
      </c>
      <c r="AF9" s="7">
        <v>1</v>
      </c>
      <c r="AG9" s="24">
        <f t="shared" ca="1" si="4"/>
        <v>2</v>
      </c>
      <c r="AH9" s="8">
        <v>20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70">
        <v>1</v>
      </c>
    </row>
    <row r="10" spans="1:40" ht="21" customHeight="1" x14ac:dyDescent="0.15">
      <c r="A10" s="16" t="str">
        <f t="shared" ca="1" si="0"/>
        <v>39002_2-2/31&lt;lv50&gt;s2</v>
      </c>
      <c r="B10" s="22">
        <v>39002</v>
      </c>
      <c r="C10" s="21">
        <v>2</v>
      </c>
      <c r="D10" s="2" t="str">
        <f t="shared" si="1"/>
        <v>39002_2</v>
      </c>
      <c r="E10" s="4" t="str">
        <f ca="1">VLOOKUP($B10,OFFSET([2]quests!$A$1,0,0,COUNTA([2]quests!$A:$A),MATCH(E$1,[2]quests!$1:$1,0)-MATCH($B$1,[2]quests!$1:$1,0)+1),MATCH(E$1,[2]quests!$1:$1,0)-MATCH($B$1,[2]quests!$1:$1,0)+1,FALSE)</f>
        <v>黄巾賊の暴走を止めろ</v>
      </c>
      <c r="F10" s="4" t="str">
        <f ca="1">VLOOKUP($D10,OFFSET([2]stages!$A$1,0,0,COUNTA([2]stages!$A:$A),MATCH(F$1,[2]stages!$2:$2,0)-MATCH($D$1,[2]stages!$2:$2,0)+1),MATCH(F$1,[2]stages!$2:$2,0)-MATCH($D$1,[2]stages!$2:$2,0)+1,FALSE)</f>
        <v>【中級】黄巾賊の暴走を止めろ</v>
      </c>
      <c r="G10" s="21">
        <v>2</v>
      </c>
      <c r="H10" s="15" t="str">
        <f t="shared" si="2"/>
        <v>39002_2-2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107">
        <v>31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マービー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111">
        <v>50</v>
      </c>
      <c r="S10" s="112">
        <v>1.3</v>
      </c>
      <c r="T10" s="112">
        <v>1.4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お邪魔パネルを生成した</v>
      </c>
      <c r="W10" s="62">
        <v>39002004</v>
      </c>
      <c r="X10" s="6">
        <v>2</v>
      </c>
      <c r="Y10" s="6">
        <v>100</v>
      </c>
      <c r="Z10" s="6">
        <v>0</v>
      </c>
      <c r="AA10" s="17">
        <f ca="1">VLOOKUP($L10,OFFSET([3]enemies!$A$1,0,0,COUNTA([3]enemies!$A:$A),MATCH(AA$1,[3]enemies!$1:$1,0)-MATCH($L$1,[3]enemies!$1:$1,0)+1),MATCH(AA$1,[3]enemies!$1:$1,0)-MATCH($L$1,[3]enemies!$1:$1,0)+1,FALSE)</f>
        <v>2</v>
      </c>
      <c r="AB10" s="24">
        <f t="shared" si="3"/>
        <v>31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マービー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1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Drop1N</v>
      </c>
      <c r="AF10" s="7">
        <v>1</v>
      </c>
      <c r="AG10" s="24">
        <f t="shared" ca="1" si="4"/>
        <v>1</v>
      </c>
      <c r="AH10" s="8">
        <v>20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70">
        <v>1</v>
      </c>
    </row>
    <row r="11" spans="1:40" ht="21" customHeight="1" x14ac:dyDescent="0.15">
      <c r="A11" s="16" t="str">
        <f t="shared" si="0"/>
        <v>39002_2-3/693&lt;lv38&gt;s2</v>
      </c>
      <c r="B11" s="22">
        <v>39002</v>
      </c>
      <c r="C11" s="21">
        <v>2</v>
      </c>
      <c r="D11" s="2" t="str">
        <f t="shared" si="1"/>
        <v>39002_2</v>
      </c>
      <c r="E11" s="4" t="str">
        <f ca="1">VLOOKUP($B11,OFFSET([2]quests!$A$1,0,0,COUNTA([2]quests!$A:$A),MATCH(E$1,[2]quests!$1:$1,0)-MATCH($B$1,[2]quests!$1:$1,0)+1),MATCH(E$1,[2]quests!$1:$1,0)-MATCH($B$1,[2]quests!$1:$1,0)+1,FALSE)</f>
        <v>黄巾賊の暴走を止めろ</v>
      </c>
      <c r="F11" s="4" t="str">
        <f ca="1">VLOOKUP($D11,OFFSET([2]stages!$A$1,0,0,COUNTA([2]stages!$A:$A),MATCH(F$1,[2]stages!$2:$2,0)-MATCH($D$1,[2]stages!$2:$2,0)+1),MATCH(F$1,[2]stages!$2:$2,0)-MATCH($D$1,[2]stages!$2:$2,0)+1,FALSE)</f>
        <v>【中級】黄巾賊の暴走を止めろ</v>
      </c>
      <c r="G11" s="21">
        <v>3</v>
      </c>
      <c r="H11" s="15" t="str">
        <f t="shared" si="2"/>
        <v>39002_2-3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2</v>
      </c>
      <c r="L11" s="107">
        <v>693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紀田正臣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111">
        <v>38</v>
      </c>
      <c r="S11" s="112">
        <v>2</v>
      </c>
      <c r="T11" s="112">
        <v>0.9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赤属性に変化＋お邪魔パネル生成</v>
      </c>
      <c r="W11" s="62">
        <v>39002008</v>
      </c>
      <c r="X11" s="6">
        <v>1</v>
      </c>
      <c r="Y11" s="6">
        <v>100</v>
      </c>
      <c r="Z11" s="6">
        <v>1</v>
      </c>
      <c r="AA11" s="17">
        <v>2</v>
      </c>
      <c r="AB11" s="24">
        <f t="shared" si="3"/>
        <v>693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紀田正臣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Drop2N</v>
      </c>
      <c r="AF11" s="7">
        <v>1</v>
      </c>
      <c r="AG11" s="24">
        <f t="shared" ca="1" si="4"/>
        <v>4</v>
      </c>
      <c r="AH11" s="108">
        <v>20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70">
        <v>1</v>
      </c>
    </row>
    <row r="12" spans="1:40" ht="21" customHeight="1" x14ac:dyDescent="0.15">
      <c r="A12" s="16" t="str">
        <f t="shared" ca="1" si="0"/>
        <v>39002_3-1/13&lt;lv25&gt;s2</v>
      </c>
      <c r="B12" s="22">
        <v>39002</v>
      </c>
      <c r="C12" s="21">
        <v>3</v>
      </c>
      <c r="D12" s="2" t="str">
        <f t="shared" si="1"/>
        <v>39002_3</v>
      </c>
      <c r="E12" s="4" t="str">
        <f ca="1">VLOOKUP($B12,OFFSET([2]quests!$A$1,0,0,COUNTA([2]quests!$A:$A),MATCH(E$1,[2]quests!$1:$1,0)-MATCH($B$1,[2]quests!$1:$1,0)+1),MATCH(E$1,[2]quests!$1:$1,0)-MATCH($B$1,[2]quests!$1:$1,0)+1,FALSE)</f>
        <v>黄巾賊の暴走を止めろ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【上級】黄巾賊の暴走を止めろ</v>
      </c>
      <c r="G12" s="21">
        <v>1</v>
      </c>
      <c r="H12" s="15" t="str">
        <f t="shared" si="2"/>
        <v>39002_3-1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1</v>
      </c>
      <c r="L12" s="110">
        <v>13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ミミ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111">
        <v>25</v>
      </c>
      <c r="S12" s="112">
        <v>1.2</v>
      </c>
      <c r="T12" s="112">
        <v>1.2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回復</v>
      </c>
      <c r="W12" s="62">
        <v>39002001</v>
      </c>
      <c r="X12" s="6">
        <v>2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2</v>
      </c>
      <c r="AB12" s="24">
        <f t="shared" si="3"/>
        <v>13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ミミ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1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Drop1W</v>
      </c>
      <c r="AF12" s="7">
        <v>1</v>
      </c>
      <c r="AG12" s="24">
        <f t="shared" ca="1" si="4"/>
        <v>1</v>
      </c>
      <c r="AH12" s="8">
        <v>20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70">
        <v>1</v>
      </c>
    </row>
    <row r="13" spans="1:40" ht="21" customHeight="1" x14ac:dyDescent="0.15">
      <c r="A13" s="16" t="str">
        <f t="shared" ca="1" si="0"/>
        <v>39002_3-1/7&lt;lv37&gt;s2</v>
      </c>
      <c r="B13" s="22">
        <v>39002</v>
      </c>
      <c r="C13" s="21">
        <v>3</v>
      </c>
      <c r="D13" s="2" t="str">
        <f t="shared" si="1"/>
        <v>39002_3</v>
      </c>
      <c r="E13" s="4" t="str">
        <f ca="1">VLOOKUP($B13,OFFSET([2]quests!$A$1,0,0,COUNTA([2]quests!$A:$A),MATCH(E$1,[2]quests!$1:$1,0)-MATCH($B$1,[2]quests!$1:$1,0)+1),MATCH(E$1,[2]quests!$1:$1,0)-MATCH($B$1,[2]quests!$1:$1,0)+1,FALSE)</f>
        <v>黄巾賊の暴走を止めろ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【上級】黄巾賊の暴走を止めろ</v>
      </c>
      <c r="G13" s="21">
        <v>1</v>
      </c>
      <c r="H13" s="15" t="str">
        <f t="shared" si="2"/>
        <v>39002_3-1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1</v>
      </c>
      <c r="L13" s="110">
        <v>7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エレキポット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Drop1T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111">
        <v>37</v>
      </c>
      <c r="S13" s="112">
        <v>1.2</v>
      </c>
      <c r="T13" s="112">
        <v>1.3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大ダメージ攻撃！</v>
      </c>
      <c r="W13" s="62">
        <v>39002002</v>
      </c>
      <c r="X13" s="6">
        <v>2</v>
      </c>
      <c r="Y13" s="6">
        <v>100</v>
      </c>
      <c r="Z13" s="6">
        <v>0</v>
      </c>
      <c r="AA13" s="17">
        <f ca="1">VLOOKUP($L13,OFFSET([3]enemies!$A$1,0,0,COUNTA([3]enemies!$A:$A),MATCH(AA$1,[3]enemies!$1:$1,0)-MATCH($L$1,[3]enemies!$1:$1,0)+1),MATCH(AA$1,[3]enemies!$1:$1,0)-MATCH($L$1,[3]enemies!$1:$1,0)+1,FALSE)</f>
        <v>2</v>
      </c>
      <c r="AB13" s="24">
        <f t="shared" si="3"/>
        <v>7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1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Drop1T</v>
      </c>
      <c r="AF13" s="7">
        <v>1</v>
      </c>
      <c r="AG13" s="24">
        <f t="shared" ca="1" si="4"/>
        <v>1</v>
      </c>
      <c r="AH13" s="8">
        <v>20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70">
        <v>1</v>
      </c>
    </row>
    <row r="14" spans="1:40" ht="21" customHeight="1" x14ac:dyDescent="0.15">
      <c r="A14" s="16" t="str">
        <f t="shared" ca="1" si="0"/>
        <v>39002_3-2/63&lt;lv33&gt;s2</v>
      </c>
      <c r="B14" s="22">
        <v>39002</v>
      </c>
      <c r="C14" s="21">
        <v>3</v>
      </c>
      <c r="D14" s="2" t="str">
        <f t="shared" si="1"/>
        <v>39002_3</v>
      </c>
      <c r="E14" s="4" t="str">
        <f ca="1">VLOOKUP($B14,OFFSET([2]quests!$A$1,0,0,COUNTA([2]quests!$A:$A),MATCH(E$1,[2]quests!$1:$1,0)-MATCH($B$1,[2]quests!$1:$1,0)+1),MATCH(E$1,[2]quests!$1:$1,0)-MATCH($B$1,[2]quests!$1:$1,0)+1,FALSE)</f>
        <v>黄巾賊の暴走を止めろ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【上級】黄巾賊の暴走を止めろ</v>
      </c>
      <c r="G14" s="21">
        <v>2</v>
      </c>
      <c r="H14" s="15" t="str">
        <f t="shared" si="2"/>
        <v>39002_3-2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>
        <v>1</v>
      </c>
      <c r="L14" s="110">
        <v>63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トニー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111">
        <v>33</v>
      </c>
      <c r="S14" s="112">
        <v>1.2</v>
      </c>
      <c r="T14" s="112">
        <v>1.2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回復</v>
      </c>
      <c r="W14" s="62">
        <v>39002003</v>
      </c>
      <c r="X14" s="6">
        <v>2</v>
      </c>
      <c r="Y14" s="6">
        <v>100</v>
      </c>
      <c r="Z14" s="6">
        <v>0</v>
      </c>
      <c r="AA14" s="17">
        <f ca="1">VLOOKUP($L14,OFFSET([3]enemies!$A$1,0,0,COUNTA([3]enemies!$A:$A),MATCH(AA$1,[3]enemies!$1:$1,0)-MATCH($L$1,[3]enemies!$1:$1,0)+1),MATCH(AA$1,[3]enemies!$1:$1,0)-MATCH($L$1,[3]enemies!$1:$1,0)+1,FALSE)</f>
        <v>2</v>
      </c>
      <c r="AB14" s="24">
        <f t="shared" si="3"/>
        <v>63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7">
        <v>1</v>
      </c>
      <c r="AG14" s="24">
        <f t="shared" ca="1" si="4"/>
        <v>2</v>
      </c>
      <c r="AH14" s="8">
        <v>20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70">
        <v>1</v>
      </c>
    </row>
    <row r="15" spans="1:40" ht="21" customHeight="1" x14ac:dyDescent="0.15">
      <c r="A15" s="16" t="str">
        <f t="shared" ca="1" si="0"/>
        <v>39002_3-2/31&lt;lv60&gt;s2</v>
      </c>
      <c r="B15" s="22">
        <v>39002</v>
      </c>
      <c r="C15" s="21">
        <v>3</v>
      </c>
      <c r="D15" s="2" t="str">
        <f t="shared" si="1"/>
        <v>39002_3</v>
      </c>
      <c r="E15" s="4" t="str">
        <f ca="1">VLOOKUP($B15,OFFSET([2]quests!$A$1,0,0,COUNTA([2]quests!$A:$A),MATCH(E$1,[2]quests!$1:$1,0)-MATCH($B$1,[2]quests!$1:$1,0)+1),MATCH(E$1,[2]quests!$1:$1,0)-MATCH($B$1,[2]quests!$1:$1,0)+1,FALSE)</f>
        <v>黄巾賊の暴走を止めろ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【上級】黄巾賊の暴走を止めろ</v>
      </c>
      <c r="G15" s="21">
        <v>2</v>
      </c>
      <c r="H15" s="15" t="str">
        <f t="shared" si="2"/>
        <v>39002_3-2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1</v>
      </c>
      <c r="L15" s="110">
        <v>31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マービー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machine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111">
        <v>60</v>
      </c>
      <c r="S15" s="112">
        <v>1.5</v>
      </c>
      <c r="T15" s="112">
        <v>1.3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お邪魔パネルを生成した</v>
      </c>
      <c r="W15" s="62">
        <v>39002004</v>
      </c>
      <c r="X15" s="6">
        <v>2</v>
      </c>
      <c r="Y15" s="6">
        <v>100</v>
      </c>
      <c r="Z15" s="6">
        <v>0</v>
      </c>
      <c r="AA15" s="17">
        <f ca="1">VLOOKUP($L15,OFFSET([3]enemies!$A$1,0,0,COUNTA([3]enemies!$A:$A),MATCH(AA$1,[3]enemies!$1:$1,0)-MATCH($L$1,[3]enemies!$1:$1,0)+1),MATCH(AA$1,[3]enemies!$1:$1,0)-MATCH($L$1,[3]enemies!$1:$1,0)+1,FALSE)</f>
        <v>2</v>
      </c>
      <c r="AB15" s="24">
        <f t="shared" si="3"/>
        <v>31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マービー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1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5" s="7">
        <v>1</v>
      </c>
      <c r="AG15" s="24">
        <f t="shared" ca="1" si="4"/>
        <v>1</v>
      </c>
      <c r="AH15" s="8">
        <v>20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70">
        <v>1</v>
      </c>
    </row>
    <row r="16" spans="1:40" ht="21" customHeight="1" x14ac:dyDescent="0.15">
      <c r="A16" s="16" t="str">
        <f t="shared" si="0"/>
        <v>39002_3-3/55&lt;lv27&gt;s3</v>
      </c>
      <c r="B16" s="22">
        <v>39002</v>
      </c>
      <c r="C16" s="21">
        <v>3</v>
      </c>
      <c r="D16" s="2" t="str">
        <f t="shared" si="1"/>
        <v>39002_3</v>
      </c>
      <c r="E16" s="4" t="str">
        <f ca="1">VLOOKUP($B16,OFFSET([2]quests!$A$1,0,0,COUNTA([2]quests!$A:$A),MATCH(E$1,[2]quests!$1:$1,0)-MATCH($B$1,[2]quests!$1:$1,0)+1),MATCH(E$1,[2]quests!$1:$1,0)-MATCH($B$1,[2]quests!$1:$1,0)+1,FALSE)</f>
        <v>黄巾賊の暴走を止めろ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【上級】黄巾賊の暴走を止めろ</v>
      </c>
      <c r="G16" s="21">
        <v>3</v>
      </c>
      <c r="H16" s="15" t="str">
        <f t="shared" si="2"/>
        <v>39002_3-3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>
        <v>1</v>
      </c>
      <c r="L16" s="110">
        <v>55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マミコ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111">
        <v>27</v>
      </c>
      <c r="S16" s="112">
        <v>1.4</v>
      </c>
      <c r="T16" s="112">
        <v>1.2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回復</v>
      </c>
      <c r="W16" s="62">
        <v>39002005</v>
      </c>
      <c r="X16" s="6">
        <v>0</v>
      </c>
      <c r="Y16" s="6">
        <v>100</v>
      </c>
      <c r="Z16" s="6">
        <v>0</v>
      </c>
      <c r="AA16" s="17">
        <v>3</v>
      </c>
      <c r="AB16" s="24">
        <f t="shared" si="3"/>
        <v>55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Drop1N</v>
      </c>
      <c r="AF16" s="7">
        <v>1</v>
      </c>
      <c r="AG16" s="24">
        <f t="shared" ca="1" si="4"/>
        <v>2</v>
      </c>
      <c r="AH16" s="8">
        <v>20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70">
        <v>1</v>
      </c>
    </row>
    <row r="17" spans="1:40" ht="21" customHeight="1" x14ac:dyDescent="0.15">
      <c r="A17" s="16" t="str">
        <f t="shared" ca="1" si="0"/>
        <v>39002_3-3/197&lt;lv54&gt;s2</v>
      </c>
      <c r="B17" s="22">
        <v>39002</v>
      </c>
      <c r="C17" s="21">
        <v>3</v>
      </c>
      <c r="D17" s="2" t="str">
        <f t="shared" si="1"/>
        <v>39002_3</v>
      </c>
      <c r="E17" s="4" t="str">
        <f ca="1">VLOOKUP($B17,OFFSET([2]quests!$A$1,0,0,COUNTA([2]quests!$A:$A),MATCH(E$1,[2]quests!$1:$1,0)-MATCH($B$1,[2]quests!$1:$1,0)+1),MATCH(E$1,[2]quests!$1:$1,0)-MATCH($B$1,[2]quests!$1:$1,0)+1,FALSE)</f>
        <v>黄巾賊の暴走を止めろ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【上級】黄巾賊の暴走を止めろ</v>
      </c>
      <c r="G17" s="21">
        <v>3</v>
      </c>
      <c r="H17" s="15" t="str">
        <f t="shared" si="2"/>
        <v>39002_3-3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>
        <v>3</v>
      </c>
      <c r="L17" s="110">
        <v>197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鉄腕 アキレス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7">
        <f ca="1">VLOOKUP($L17,OFFSET([3]enemies!$A$1,0,0,COUNTA([3]enemies!$A:$A),MATCH(Q$1,[3]enemies!$1:$1,0)-MATCH($L$1,[3]enemies!$1:$1,0)+1),MATCH(Q$1,[3]enemies!$1:$1,0)-MATCH($L$1,[3]enemies!$1:$1,0)+1,FALSE)</f>
        <v>30</v>
      </c>
      <c r="R17" s="111">
        <v>54</v>
      </c>
      <c r="S17" s="112">
        <v>0.8</v>
      </c>
      <c r="T17" s="112">
        <v>1.3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3ターン敵全体の攻撃力UP</v>
      </c>
      <c r="W17" s="62">
        <v>39002006</v>
      </c>
      <c r="X17" s="6">
        <v>1</v>
      </c>
      <c r="Y17" s="6">
        <v>100</v>
      </c>
      <c r="Z17" s="6">
        <v>1</v>
      </c>
      <c r="AA17" s="17">
        <f ca="1">VLOOKUP($L17,OFFSET([3]enemies!$A$1,0,0,COUNTA([3]enemies!$A:$A),MATCH(AA$1,[3]enemies!$1:$1,0)-MATCH($L$1,[3]enemies!$1:$1,0)+1),MATCH(AA$1,[3]enemies!$1:$1,0)-MATCH($L$1,[3]enemies!$1:$1,0)+1,FALSE)</f>
        <v>2</v>
      </c>
      <c r="AB17" s="24">
        <f t="shared" si="3"/>
        <v>197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鉄腕 アキレス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7" s="7">
        <v>1</v>
      </c>
      <c r="AG17" s="24">
        <f t="shared" ca="1" si="4"/>
        <v>4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70">
        <v>1</v>
      </c>
    </row>
    <row r="18" spans="1:40" ht="21" customHeight="1" x14ac:dyDescent="0.15">
      <c r="A18" s="16" t="str">
        <f t="shared" si="0"/>
        <v>39002_3-4/693&lt;lv49&gt;s2</v>
      </c>
      <c r="B18" s="22">
        <v>39002</v>
      </c>
      <c r="C18" s="21">
        <v>3</v>
      </c>
      <c r="D18" s="2" t="str">
        <f t="shared" si="1"/>
        <v>39002_3</v>
      </c>
      <c r="E18" s="4" t="str">
        <f ca="1">VLOOKUP($B18,OFFSET([2]quests!$A$1,0,0,COUNTA([2]quests!$A:$A),MATCH(E$1,[2]quests!$1:$1,0)-MATCH($B$1,[2]quests!$1:$1,0)+1),MATCH(E$1,[2]quests!$1:$1,0)-MATCH($B$1,[2]quests!$1:$1,0)+1,FALSE)</f>
        <v>黄巾賊の暴走を止めろ</v>
      </c>
      <c r="F18" s="4" t="str">
        <f ca="1">VLOOKUP($D18,OFFSET([2]stages!$A$1,0,0,COUNTA([2]stages!$A:$A),MATCH(F$1,[2]stages!$2:$2,0)-MATCH($D$1,[2]stages!$2:$2,0)+1),MATCH(F$1,[2]stages!$2:$2,0)-MATCH($D$1,[2]stages!$2:$2,0)+1,FALSE)</f>
        <v>【上級】黄巾賊の暴走を止めろ</v>
      </c>
      <c r="G18" s="21">
        <v>4</v>
      </c>
      <c r="H18" s="15" t="str">
        <f t="shared" si="2"/>
        <v>39002_3-4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>
        <v>4</v>
      </c>
      <c r="L18" s="110">
        <v>693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紀田正臣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Drop2N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111">
        <v>49</v>
      </c>
      <c r="S18" s="112">
        <v>2</v>
      </c>
      <c r="T18" s="112">
        <v>0.9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赤属性に変化＋お邪魔パネル生成</v>
      </c>
      <c r="W18" s="62">
        <v>39002012</v>
      </c>
      <c r="X18" s="6">
        <v>1</v>
      </c>
      <c r="Y18" s="6">
        <v>100</v>
      </c>
      <c r="Z18" s="6">
        <v>1</v>
      </c>
      <c r="AA18" s="17">
        <v>2</v>
      </c>
      <c r="AB18" s="24">
        <f t="shared" si="3"/>
        <v>693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紀田正臣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Drop2N</v>
      </c>
      <c r="AF18" s="7">
        <v>1</v>
      </c>
      <c r="AG18" s="24">
        <f t="shared" ca="1" si="4"/>
        <v>4</v>
      </c>
      <c r="AH18" s="108">
        <v>40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70">
        <v>1</v>
      </c>
    </row>
    <row r="19" spans="1:40" ht="21" customHeight="1" x14ac:dyDescent="0.15">
      <c r="A19" s="16" t="str">
        <f t="shared" ref="A19:A25" ca="1" si="5">B19&amp;"_"&amp;C19&amp;"-"&amp;G19&amp;"/"&amp;L19&amp;"&lt;lv"&amp;R19&amp;"&gt;s"&amp;AA19</f>
        <v>39002_4-1/13&lt;lv30&gt;s2</v>
      </c>
      <c r="B19" s="22">
        <v>39002</v>
      </c>
      <c r="C19" s="21">
        <v>4</v>
      </c>
      <c r="D19" s="2" t="str">
        <f t="shared" ref="D19:D25" si="6">B19&amp;"_"&amp;C19</f>
        <v>39002_4</v>
      </c>
      <c r="E19" s="4" t="str">
        <f ca="1">VLOOKUP($B19,OFFSET([2]quests!$A$1,0,0,COUNTA([2]quests!$A:$A),MATCH(E$1,[2]quests!$1:$1,0)-MATCH($B$1,[2]quests!$1:$1,0)+1),MATCH(E$1,[2]quests!$1:$1,0)-MATCH($B$1,[2]quests!$1:$1,0)+1,FALSE)</f>
        <v>黄巾賊の暴走を止めろ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【超級】黄巾賊の暴走を止めろ</v>
      </c>
      <c r="G19" s="21">
        <v>1</v>
      </c>
      <c r="H19" s="15" t="str">
        <f t="shared" ref="H19:H25" si="7">B19&amp;"_"&amp;C19&amp;"-"&amp;G19</f>
        <v>39002_4-1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1</v>
      </c>
      <c r="L19" s="107">
        <v>13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ミミ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Drop1W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111">
        <v>30</v>
      </c>
      <c r="S19" s="112">
        <v>1.2</v>
      </c>
      <c r="T19" s="112">
        <v>1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回復</v>
      </c>
      <c r="W19" s="62">
        <v>39002001</v>
      </c>
      <c r="X19" s="6">
        <v>0</v>
      </c>
      <c r="Y19" s="6">
        <v>100</v>
      </c>
      <c r="Z19" s="6">
        <v>0</v>
      </c>
      <c r="AA19" s="17">
        <f ca="1">VLOOKUP($L19,OFFSET([3]enemies!$A$1,0,0,COUNTA([3]enemies!$A:$A),MATCH(AA$1,[3]enemies!$1:$1,0)-MATCH($L$1,[3]enemies!$1:$1,0)+1),MATCH(AA$1,[3]enemies!$1:$1,0)-MATCH($L$1,[3]enemies!$1:$1,0)+1,FALSE)</f>
        <v>2</v>
      </c>
      <c r="AB19" s="24">
        <f t="shared" ref="AB19:AB25" si="8">L19</f>
        <v>13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ミミ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1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Drop1W</v>
      </c>
      <c r="AF19" s="7">
        <v>1</v>
      </c>
      <c r="AG19" s="24">
        <f t="shared" ref="AG19:AG25" ca="1" si="9">AD19</f>
        <v>1</v>
      </c>
      <c r="AH19" s="8">
        <v>20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70">
        <v>1</v>
      </c>
    </row>
    <row r="20" spans="1:40" ht="21" customHeight="1" x14ac:dyDescent="0.15">
      <c r="A20" s="16" t="str">
        <f t="shared" ca="1" si="5"/>
        <v>39002_4-1/7&lt;lv43&gt;s2</v>
      </c>
      <c r="B20" s="22">
        <v>39002</v>
      </c>
      <c r="C20" s="21">
        <v>4</v>
      </c>
      <c r="D20" s="2" t="str">
        <f t="shared" si="6"/>
        <v>39002_4</v>
      </c>
      <c r="E20" s="4" t="str">
        <f ca="1">VLOOKUP($B20,OFFSET([2]quests!$A$1,0,0,COUNTA([2]quests!$A:$A),MATCH(E$1,[2]quests!$1:$1,0)-MATCH($B$1,[2]quests!$1:$1,0)+1),MATCH(E$1,[2]quests!$1:$1,0)-MATCH($B$1,[2]quests!$1:$1,0)+1,FALSE)</f>
        <v>黄巾賊の暴走を止めろ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【超級】黄巾賊の暴走を止めろ</v>
      </c>
      <c r="G20" s="21">
        <v>1</v>
      </c>
      <c r="H20" s="15" t="str">
        <f t="shared" si="7"/>
        <v>39002_4-1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>
        <v>1</v>
      </c>
      <c r="L20" s="107">
        <v>7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エレキポット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Drop1T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111">
        <v>43</v>
      </c>
      <c r="S20" s="112">
        <v>1.2</v>
      </c>
      <c r="T20" s="112">
        <v>1</v>
      </c>
      <c r="U20" s="5">
        <v>0</v>
      </c>
      <c r="V20" s="4" t="str">
        <f ca="1">VLOOKUP($W20,OFFSET(enemy_skill_sets!$B$1,0,0,COUNTA(enemy_skill_sets!$B:$B),MATCH(M$1,enemy_skill_sets!$1:$1,0)-MATCH($W$1,enemy_skill_sets!$1:$1,0)+2),MATCH(M$1,enemy_skill_sets!$1:$1,0)-MATCH($W$1,enemy_skill_sets!$1:$1,0)+2,FALSE)</f>
        <v>大ダメージ攻撃！</v>
      </c>
      <c r="W20" s="62">
        <v>39002002</v>
      </c>
      <c r="X20" s="6">
        <v>2</v>
      </c>
      <c r="Y20" s="6">
        <v>100</v>
      </c>
      <c r="Z20" s="6">
        <v>0</v>
      </c>
      <c r="AA20" s="17">
        <f ca="1">VLOOKUP($L20,OFFSET([3]enemies!$A$1,0,0,COUNTA([3]enemies!$A:$A),MATCH(AA$1,[3]enemies!$1:$1,0)-MATCH($L$1,[3]enemies!$1:$1,0)+1),MATCH(AA$1,[3]enemies!$1:$1,0)-MATCH($L$1,[3]enemies!$1:$1,0)+1,FALSE)</f>
        <v>2</v>
      </c>
      <c r="AB20" s="24">
        <f t="shared" si="8"/>
        <v>7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1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Drop1T</v>
      </c>
      <c r="AF20" s="7">
        <v>1</v>
      </c>
      <c r="AG20" s="24">
        <f t="shared" ca="1" si="9"/>
        <v>1</v>
      </c>
      <c r="AH20" s="8">
        <v>20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70">
        <v>1</v>
      </c>
    </row>
    <row r="21" spans="1:40" ht="21" customHeight="1" x14ac:dyDescent="0.15">
      <c r="A21" s="16" t="str">
        <f t="shared" ca="1" si="5"/>
        <v>39002_4-2/63&lt;lv39&gt;s2</v>
      </c>
      <c r="B21" s="22">
        <v>39002</v>
      </c>
      <c r="C21" s="21">
        <v>4</v>
      </c>
      <c r="D21" s="2" t="str">
        <f t="shared" si="6"/>
        <v>39002_4</v>
      </c>
      <c r="E21" s="4" t="str">
        <f ca="1">VLOOKUP($B21,OFFSET([2]quests!$A$1,0,0,COUNTA([2]quests!$A:$A),MATCH(E$1,[2]quests!$1:$1,0)-MATCH($B$1,[2]quests!$1:$1,0)+1),MATCH(E$1,[2]quests!$1:$1,0)-MATCH($B$1,[2]quests!$1:$1,0)+1,FALSE)</f>
        <v>黄巾賊の暴走を止めろ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【超級】黄巾賊の暴走を止めろ</v>
      </c>
      <c r="G21" s="21">
        <v>2</v>
      </c>
      <c r="H21" s="15" t="str">
        <f t="shared" si="7"/>
        <v>39002_4-2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>
        <v>1</v>
      </c>
      <c r="L21" s="107">
        <v>63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トニー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Drop1N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animal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111">
        <v>39</v>
      </c>
      <c r="S21" s="112">
        <v>1.2</v>
      </c>
      <c r="T21" s="112">
        <v>1</v>
      </c>
      <c r="U21" s="5">
        <v>0</v>
      </c>
      <c r="V21" s="4" t="str">
        <f ca="1">VLOOKUP($W21,OFFSET(enemy_skill_sets!$B$1,0,0,COUNTA(enemy_skill_sets!$B:$B),MATCH(M$1,enemy_skill_sets!$1:$1,0)-MATCH($W$1,enemy_skill_sets!$1:$1,0)+2),MATCH(M$1,enemy_skill_sets!$1:$1,0)-MATCH($W$1,enemy_skill_sets!$1:$1,0)+2,FALSE)</f>
        <v>回復</v>
      </c>
      <c r="W21" s="62">
        <v>39002003</v>
      </c>
      <c r="X21" s="6">
        <v>2</v>
      </c>
      <c r="Y21" s="6">
        <v>100</v>
      </c>
      <c r="Z21" s="6">
        <v>0</v>
      </c>
      <c r="AA21" s="17">
        <f ca="1">VLOOKUP($L21,OFFSET([3]enemies!$A$1,0,0,COUNTA([3]enemies!$A:$A),MATCH(AA$1,[3]enemies!$1:$1,0)-MATCH($L$1,[3]enemies!$1:$1,0)+1),MATCH(AA$1,[3]enemies!$1:$1,0)-MATCH($L$1,[3]enemies!$1:$1,0)+1,FALSE)</f>
        <v>2</v>
      </c>
      <c r="AB21" s="24">
        <f t="shared" si="8"/>
        <v>63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2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Drop1N</v>
      </c>
      <c r="AF21" s="7">
        <v>1</v>
      </c>
      <c r="AG21" s="24">
        <f t="shared" ca="1" si="9"/>
        <v>2</v>
      </c>
      <c r="AH21" s="8">
        <v>20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70">
        <v>1</v>
      </c>
    </row>
    <row r="22" spans="1:40" ht="21" customHeight="1" x14ac:dyDescent="0.15">
      <c r="A22" s="16" t="str">
        <f t="shared" ca="1" si="5"/>
        <v>39002_4-2/31&lt;lv70&gt;s2</v>
      </c>
      <c r="B22" s="22">
        <v>39002</v>
      </c>
      <c r="C22" s="21">
        <v>4</v>
      </c>
      <c r="D22" s="2" t="str">
        <f t="shared" si="6"/>
        <v>39002_4</v>
      </c>
      <c r="E22" s="4" t="str">
        <f ca="1">VLOOKUP($B22,OFFSET([2]quests!$A$1,0,0,COUNTA([2]quests!$A:$A),MATCH(E$1,[2]quests!$1:$1,0)-MATCH($B$1,[2]quests!$1:$1,0)+1),MATCH(E$1,[2]quests!$1:$1,0)-MATCH($B$1,[2]quests!$1:$1,0)+1,FALSE)</f>
        <v>黄巾賊の暴走を止めろ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【超級】黄巾賊の暴走を止めろ</v>
      </c>
      <c r="G22" s="21">
        <v>2</v>
      </c>
      <c r="H22" s="15" t="str">
        <f t="shared" si="7"/>
        <v>39002_4-2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>
        <v>1</v>
      </c>
      <c r="L22" s="107">
        <v>31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マービー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yellow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Drop1N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machine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111">
        <v>70</v>
      </c>
      <c r="S22" s="112">
        <v>1.5</v>
      </c>
      <c r="T22" s="112">
        <v>1</v>
      </c>
      <c r="U22" s="5">
        <v>0</v>
      </c>
      <c r="V22" s="4" t="str">
        <f ca="1">VLOOKUP($W22,OFFSET(enemy_skill_sets!$B$1,0,0,COUNTA(enemy_skill_sets!$B:$B),MATCH(M$1,enemy_skill_sets!$1:$1,0)-MATCH($W$1,enemy_skill_sets!$1:$1,0)+2),MATCH(M$1,enemy_skill_sets!$1:$1,0)-MATCH($W$1,enemy_skill_sets!$1:$1,0)+2,FALSE)</f>
        <v>お邪魔パネルを生成した</v>
      </c>
      <c r="W22" s="62">
        <v>39002004</v>
      </c>
      <c r="X22" s="6">
        <v>2</v>
      </c>
      <c r="Y22" s="6">
        <v>100</v>
      </c>
      <c r="Z22" s="6">
        <v>0</v>
      </c>
      <c r="AA22" s="17">
        <f ca="1">VLOOKUP($L22,OFFSET([3]enemies!$A$1,0,0,COUNTA([3]enemies!$A:$A),MATCH(AA$1,[3]enemies!$1:$1,0)-MATCH($L$1,[3]enemies!$1:$1,0)+1),MATCH(AA$1,[3]enemies!$1:$1,0)-MATCH($L$1,[3]enemies!$1:$1,0)+1,FALSE)</f>
        <v>2</v>
      </c>
      <c r="AB22" s="24">
        <f t="shared" si="8"/>
        <v>31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マービー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1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2" s="7">
        <v>1</v>
      </c>
      <c r="AG22" s="24">
        <f t="shared" ca="1" si="9"/>
        <v>1</v>
      </c>
      <c r="AH22" s="8">
        <v>20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70">
        <v>1</v>
      </c>
    </row>
    <row r="23" spans="1:40" ht="21" customHeight="1" x14ac:dyDescent="0.15">
      <c r="A23" s="16" t="str">
        <f t="shared" si="5"/>
        <v>39002_4-3/55&lt;lv32&gt;s3</v>
      </c>
      <c r="B23" s="22">
        <v>39002</v>
      </c>
      <c r="C23" s="21">
        <v>4</v>
      </c>
      <c r="D23" s="2" t="str">
        <f t="shared" si="6"/>
        <v>39002_4</v>
      </c>
      <c r="E23" s="4" t="str">
        <f ca="1">VLOOKUP($B23,OFFSET([2]quests!$A$1,0,0,COUNTA([2]quests!$A:$A),MATCH(E$1,[2]quests!$1:$1,0)-MATCH($B$1,[2]quests!$1:$1,0)+1),MATCH(E$1,[2]quests!$1:$1,0)-MATCH($B$1,[2]quests!$1:$1,0)+1,FALSE)</f>
        <v>黄巾賊の暴走を止めろ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【超級】黄巾賊の暴走を止めろ</v>
      </c>
      <c r="G23" s="21">
        <v>3</v>
      </c>
      <c r="H23" s="15" t="str">
        <f t="shared" si="7"/>
        <v>39002_4-3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8">
        <v>1</v>
      </c>
      <c r="L23" s="107">
        <v>55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マミコ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yellow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Drop1N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human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111">
        <v>32</v>
      </c>
      <c r="S23" s="112">
        <v>1.4</v>
      </c>
      <c r="T23" s="112">
        <v>1</v>
      </c>
      <c r="U23" s="5">
        <v>0</v>
      </c>
      <c r="V23" s="4" t="str">
        <f ca="1">VLOOKUP($W23,OFFSET(enemy_skill_sets!$B$1,0,0,COUNTA(enemy_skill_sets!$B:$B),MATCH(M$1,enemy_skill_sets!$1:$1,0)-MATCH($W$1,enemy_skill_sets!$1:$1,0)+2),MATCH(M$1,enemy_skill_sets!$1:$1,0)-MATCH($W$1,enemy_skill_sets!$1:$1,0)+2,FALSE)</f>
        <v>回復</v>
      </c>
      <c r="W23" s="62">
        <v>39002005</v>
      </c>
      <c r="X23" s="6">
        <v>0</v>
      </c>
      <c r="Y23" s="6">
        <v>100</v>
      </c>
      <c r="Z23" s="6">
        <v>0</v>
      </c>
      <c r="AA23" s="17">
        <v>3</v>
      </c>
      <c r="AB23" s="24">
        <f t="shared" si="8"/>
        <v>55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2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Drop1N</v>
      </c>
      <c r="AF23" s="7">
        <v>1</v>
      </c>
      <c r="AG23" s="24">
        <f t="shared" ca="1" si="9"/>
        <v>2</v>
      </c>
      <c r="AH23" s="8">
        <v>20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70">
        <v>1</v>
      </c>
    </row>
    <row r="24" spans="1:40" ht="21" customHeight="1" x14ac:dyDescent="0.15">
      <c r="A24" s="16" t="str">
        <f t="shared" ca="1" si="5"/>
        <v>39002_4-3/197&lt;lv60&gt;s2</v>
      </c>
      <c r="B24" s="22">
        <v>39002</v>
      </c>
      <c r="C24" s="21">
        <v>4</v>
      </c>
      <c r="D24" s="2" t="str">
        <f t="shared" si="6"/>
        <v>39002_4</v>
      </c>
      <c r="E24" s="4" t="str">
        <f ca="1">VLOOKUP($B24,OFFSET([2]quests!$A$1,0,0,COUNTA([2]quests!$A:$A),MATCH(E$1,[2]quests!$1:$1,0)-MATCH($B$1,[2]quests!$1:$1,0)+1),MATCH(E$1,[2]quests!$1:$1,0)-MATCH($B$1,[2]quests!$1:$1,0)+1,FALSE)</f>
        <v>黄巾賊の暴走を止めろ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【超級】黄巾賊の暴走を止めろ</v>
      </c>
      <c r="G24" s="21">
        <v>3</v>
      </c>
      <c r="H24" s="15" t="str">
        <f t="shared" si="7"/>
        <v>39002_4-3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8">
        <v>5</v>
      </c>
      <c r="L24" s="107">
        <v>197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鉄腕 アキレス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PremiumN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human</v>
      </c>
      <c r="Q24" s="17">
        <f ca="1">VLOOKUP($L24,OFFSET([3]enemies!$A$1,0,0,COUNTA([3]enemies!$A:$A),MATCH(Q$1,[3]enemies!$1:$1,0)-MATCH($L$1,[3]enemies!$1:$1,0)+1),MATCH(Q$1,[3]enemies!$1:$1,0)-MATCH($L$1,[3]enemies!$1:$1,0)+1,FALSE)</f>
        <v>30</v>
      </c>
      <c r="R24" s="111">
        <v>60</v>
      </c>
      <c r="S24" s="112">
        <v>1</v>
      </c>
      <c r="T24" s="112">
        <v>1.2</v>
      </c>
      <c r="U24" s="5">
        <v>0</v>
      </c>
      <c r="V24" s="4" t="str">
        <f ca="1">VLOOKUP($W24,OFFSET(enemy_skill_sets!$B$1,0,0,COUNTA(enemy_skill_sets!$B:$B),MATCH(M$1,enemy_skill_sets!$1:$1,0)-MATCH($W$1,enemy_skill_sets!$1:$1,0)+2),MATCH(M$1,enemy_skill_sets!$1:$1,0)-MATCH($W$1,enemy_skill_sets!$1:$1,0)+2,FALSE)</f>
        <v>3ターン敵全体の攻撃力UP</v>
      </c>
      <c r="W24" s="62">
        <v>39002006</v>
      </c>
      <c r="X24" s="6">
        <v>1</v>
      </c>
      <c r="Y24" s="6">
        <v>100</v>
      </c>
      <c r="Z24" s="6">
        <v>1</v>
      </c>
      <c r="AA24" s="17">
        <f ca="1">VLOOKUP($L24,OFFSET([3]enemies!$A$1,0,0,COUNTA([3]enemies!$A:$A),MATCH(AA$1,[3]enemies!$1:$1,0)-MATCH($L$1,[3]enemies!$1:$1,0)+1),MATCH(AA$1,[3]enemies!$1:$1,0)-MATCH($L$1,[3]enemies!$1:$1,0)+1,FALSE)</f>
        <v>2</v>
      </c>
      <c r="AB24" s="24">
        <f t="shared" si="8"/>
        <v>197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鉄腕 アキレス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4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24" s="7">
        <v>1</v>
      </c>
      <c r="AG24" s="24">
        <f t="shared" ca="1" si="9"/>
        <v>4</v>
      </c>
      <c r="AH24" s="8">
        <v>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70">
        <v>1</v>
      </c>
    </row>
    <row r="25" spans="1:40" ht="21" customHeight="1" x14ac:dyDescent="0.15">
      <c r="A25" s="16" t="str">
        <f t="shared" si="5"/>
        <v>39002_4-4/693&lt;lv58&gt;s2</v>
      </c>
      <c r="B25" s="22">
        <v>39002</v>
      </c>
      <c r="C25" s="21">
        <v>4</v>
      </c>
      <c r="D25" s="2" t="str">
        <f t="shared" si="6"/>
        <v>39002_4</v>
      </c>
      <c r="E25" s="4" t="str">
        <f ca="1">VLOOKUP($B25,OFFSET([2]quests!$A$1,0,0,COUNTA([2]quests!$A:$A),MATCH(E$1,[2]quests!$1:$1,0)-MATCH($B$1,[2]quests!$1:$1,0)+1),MATCH(E$1,[2]quests!$1:$1,0)-MATCH($B$1,[2]quests!$1:$1,0)+1,FALSE)</f>
        <v>黄巾賊の暴走を止めろ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【超級】黄巾賊の暴走を止めろ</v>
      </c>
      <c r="G25" s="21">
        <v>4</v>
      </c>
      <c r="H25" s="15" t="str">
        <f t="shared" si="7"/>
        <v>39002_4-4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8">
        <v>6</v>
      </c>
      <c r="L25" s="107">
        <v>693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紀田正臣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Drop2N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human</v>
      </c>
      <c r="Q25" s="17">
        <f ca="1">VLOOKUP($L25,OFFSET([3]enemies!$A$1,0,0,COUNTA([3]enemies!$A:$A),MATCH(Q$1,[3]enemies!$1:$1,0)-MATCH($L$1,[3]enemies!$1:$1,0)+1),MATCH(Q$1,[3]enemies!$1:$1,0)-MATCH($L$1,[3]enemies!$1:$1,0)+1,FALSE)</f>
        <v>30</v>
      </c>
      <c r="R25" s="111">
        <v>58</v>
      </c>
      <c r="S25" s="112">
        <v>2</v>
      </c>
      <c r="T25" s="112">
        <v>1</v>
      </c>
      <c r="U25" s="5">
        <v>0</v>
      </c>
      <c r="V25" s="4" t="str">
        <f ca="1">VLOOKUP($W25,OFFSET(enemy_skill_sets!$B$1,0,0,COUNTA(enemy_skill_sets!$B:$B),MATCH(M$1,enemy_skill_sets!$1:$1,0)-MATCH($W$1,enemy_skill_sets!$1:$1,0)+2),MATCH(M$1,enemy_skill_sets!$1:$1,0)-MATCH($W$1,enemy_skill_sets!$1:$1,0)+2,FALSE)</f>
        <v>赤属性に変化＋お邪魔パネル生成</v>
      </c>
      <c r="W25" s="62">
        <v>39002008</v>
      </c>
      <c r="X25" s="6">
        <v>1</v>
      </c>
      <c r="Y25" s="6">
        <v>100</v>
      </c>
      <c r="Z25" s="6">
        <v>1</v>
      </c>
      <c r="AA25" s="17">
        <v>2</v>
      </c>
      <c r="AB25" s="24">
        <f t="shared" si="8"/>
        <v>693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紀田正臣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4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Drop2N</v>
      </c>
      <c r="AF25" s="7">
        <v>1</v>
      </c>
      <c r="AG25" s="24">
        <f t="shared" ca="1" si="9"/>
        <v>4</v>
      </c>
      <c r="AH25" s="108">
        <v>80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70">
        <v>1</v>
      </c>
    </row>
  </sheetData>
  <sheetProtection selectLockedCells="1" selectUnlockedCells="1"/>
  <autoFilter ref="B1:AH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7"/>
  <sheetViews>
    <sheetView showGridLines="0" zoomScale="115" zoomScaleNormal="115" zoomScalePageLayoutView="115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G10" sqref="G10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131</v>
      </c>
      <c r="X1" s="29" t="s">
        <v>130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39002_1-3/694&lt;lv25&gt;sq1st2</v>
      </c>
      <c r="B2" s="22">
        <v>39002</v>
      </c>
      <c r="C2" s="21">
        <v>1</v>
      </c>
      <c r="D2" s="2" t="str">
        <f>B2&amp;"_"&amp;C2</f>
        <v>39002_1</v>
      </c>
      <c r="E2" s="4" t="str">
        <f ca="1">VLOOKUP($B2,OFFSET([2]quests!$A$1,0,0,COUNTA([2]quests!$A:$A),MATCH(E$1,[2]quests!$1:$1,0)-MATCH($B$1,[2]quests!$1:$1,0)+1),MATCH(E$1,[2]quests!$1:$1,0)-MATCH($B$1,[2]quests!$1:$1,0)+1,FALSE)</f>
        <v>黄巾賊の暴走を止めろ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【初級】黄巾賊の暴走を止めろ</v>
      </c>
      <c r="G2" s="21">
        <v>3</v>
      </c>
      <c r="H2" s="15" t="str">
        <f>B2&amp;"_"&amp;C2&amp;"-"&amp;G2</f>
        <v>39002_1-3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694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黄巾賊の将軍　紀田正臣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25</v>
      </c>
      <c r="T2" s="25">
        <v>1.4</v>
      </c>
      <c r="U2" s="25">
        <v>0.4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39002010</v>
      </c>
      <c r="Y2" s="71">
        <v>1</v>
      </c>
    </row>
    <row r="3" spans="1:25" ht="21" customHeight="1" x14ac:dyDescent="0.15">
      <c r="A3" s="16" t="str">
        <f t="shared" ref="A3:A7" si="0">B3&amp;"_"&amp;C3&amp;"-"&amp;G3&amp;"/"&amp;M3&amp;"&lt;lv"&amp;S3&amp;"&gt;sq"&amp;K3&amp;"st"&amp;L3</f>
        <v>39002_2-3/694&lt;lv35&gt;sq2st2</v>
      </c>
      <c r="B3" s="22">
        <v>39002</v>
      </c>
      <c r="C3" s="21">
        <v>2</v>
      </c>
      <c r="D3" s="2" t="str">
        <f t="shared" ref="D3:D7" si="1">B3&amp;"_"&amp;C3</f>
        <v>39002_2</v>
      </c>
      <c r="E3" s="4" t="str">
        <f ca="1">VLOOKUP($B3,OFFSET([2]quests!$A$1,0,0,COUNTA([2]quests!$A:$A),MATCH(E$1,[2]quests!$1:$1,0)-MATCH($B$1,[2]quests!$1:$1,0)+1),MATCH(E$1,[2]quests!$1:$1,0)-MATCH($B$1,[2]quests!$1:$1,0)+1,FALSE)</f>
        <v>黄巾賊の暴走を止めろ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【中級】黄巾賊の暴走を止めろ</v>
      </c>
      <c r="G3" s="21">
        <v>3</v>
      </c>
      <c r="H3" s="15" t="str">
        <f t="shared" ref="H3:H7" si="2">B3&amp;"_"&amp;C3&amp;"-"&amp;G3</f>
        <v>39002_2-3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694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黄巾賊の将軍　紀田正臣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35</v>
      </c>
      <c r="T3" s="25">
        <v>2</v>
      </c>
      <c r="U3" s="25">
        <v>0.7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39002011</v>
      </c>
      <c r="Y3" s="71">
        <v>1</v>
      </c>
    </row>
    <row r="4" spans="1:25" ht="21" customHeight="1" x14ac:dyDescent="0.15">
      <c r="A4" s="16" t="str">
        <f t="shared" si="0"/>
        <v>39002_3-3/197&lt;lv55&gt;sq3st2</v>
      </c>
      <c r="B4" s="22">
        <v>39002</v>
      </c>
      <c r="C4" s="21">
        <v>3</v>
      </c>
      <c r="D4" s="2" t="str">
        <f t="shared" si="1"/>
        <v>39002_3</v>
      </c>
      <c r="E4" s="4" t="str">
        <f ca="1">VLOOKUP($B4,OFFSET([2]quests!$A$1,0,0,COUNTA([2]quests!$A:$A),MATCH(E$1,[2]quests!$1:$1,0)-MATCH($B$1,[2]quests!$1:$1,0)+1),MATCH(E$1,[2]quests!$1:$1,0)-MATCH($B$1,[2]quests!$1:$1,0)+1,FALSE)</f>
        <v>黄巾賊の暴走を止めろ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【上級】黄巾賊の暴走を止めろ</v>
      </c>
      <c r="G4" s="21">
        <v>3</v>
      </c>
      <c r="H4" s="15" t="str">
        <f t="shared" si="2"/>
        <v>39002_3-3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197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鉄腕 アキレス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30</v>
      </c>
      <c r="S4" s="5">
        <v>55</v>
      </c>
      <c r="T4" s="25">
        <v>0.8</v>
      </c>
      <c r="U4" s="25">
        <v>1.3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39002007</v>
      </c>
      <c r="Y4" s="71">
        <f ca="1">VLOOKUP($M4,OFFSET([3]enemies!$A$1,0,0,COUNTA([3]enemies!$A:$A),MATCH(Y$1,[3]enemies!$1:$1,0)-MATCH($M$1,[3]enemies!$1:$1,0)+1),MATCH(Y$1,[3]enemies!$1:$1,0)-MATCH($M$1,[3]enemies!$1:$1,0)+1,FALSE)</f>
        <v>2</v>
      </c>
    </row>
    <row r="5" spans="1:25" ht="21" customHeight="1" x14ac:dyDescent="0.15">
      <c r="A5" s="16" t="str">
        <f t="shared" si="0"/>
        <v>39002_3-4/694&lt;lv49&gt;sq4st2</v>
      </c>
      <c r="B5" s="22">
        <v>39002</v>
      </c>
      <c r="C5" s="21">
        <v>3</v>
      </c>
      <c r="D5" s="2" t="str">
        <f t="shared" si="1"/>
        <v>39002_3</v>
      </c>
      <c r="E5" s="4" t="str">
        <f ca="1">VLOOKUP($B5,OFFSET([2]quests!$A$1,0,0,COUNTA([2]quests!$A:$A),MATCH(E$1,[2]quests!$1:$1,0)-MATCH($B$1,[2]quests!$1:$1,0)+1),MATCH(E$1,[2]quests!$1:$1,0)-MATCH($B$1,[2]quests!$1:$1,0)+1,FALSE)</f>
        <v>黄巾賊の暴走を止めろ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【上級】黄巾賊の暴走を止めろ</v>
      </c>
      <c r="G5" s="21">
        <v>4</v>
      </c>
      <c r="H5" s="15" t="str">
        <f t="shared" si="2"/>
        <v>39002_3-4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20">
        <v>694</v>
      </c>
      <c r="N5" s="17" t="str">
        <f ca="1">VLOOKUP($M5,OFFSET([3]enemies!$A$1,0,0,COUNTA([3]enemies!$A:$A),MATCH(N$1,[3]enemies!$1:$1,0)-MATCH($M$1,[3]enemies!$1:$1,0)+1),MATCH(N$1,[3]enemies!$1:$1,0)-MATCH($M$1,[3]enemies!$1:$1,0)+1,FALSE)</f>
        <v>黄巾賊の将軍　紀田正臣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49</v>
      </c>
      <c r="T5" s="25">
        <v>2</v>
      </c>
      <c r="U5" s="25">
        <v>0.9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4">
        <v>39002013</v>
      </c>
      <c r="Y5" s="71">
        <v>1</v>
      </c>
    </row>
    <row r="6" spans="1:25" ht="21" customHeight="1" x14ac:dyDescent="0.15">
      <c r="A6" s="16" t="str">
        <f t="shared" si="0"/>
        <v>39002_4-3/197&lt;lv60&gt;sq5st2</v>
      </c>
      <c r="B6" s="22">
        <v>39002</v>
      </c>
      <c r="C6" s="21">
        <v>4</v>
      </c>
      <c r="D6" s="2" t="str">
        <f t="shared" si="1"/>
        <v>39002_4</v>
      </c>
      <c r="E6" s="4" t="str">
        <f ca="1">VLOOKUP($B6,OFFSET([2]quests!$A$1,0,0,COUNTA([2]quests!$A:$A),MATCH(E$1,[2]quests!$1:$1,0)-MATCH($B$1,[2]quests!$1:$1,0)+1),MATCH(E$1,[2]quests!$1:$1,0)-MATCH($B$1,[2]quests!$1:$1,0)+1,FALSE)</f>
        <v>黄巾賊の暴走を止めろ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【超級】黄巾賊の暴走を止めろ</v>
      </c>
      <c r="G6" s="21">
        <v>3</v>
      </c>
      <c r="H6" s="15" t="str">
        <f t="shared" si="2"/>
        <v>39002_4-3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5</v>
      </c>
      <c r="L6" s="38">
        <v>2</v>
      </c>
      <c r="M6" s="20">
        <v>197</v>
      </c>
      <c r="N6" s="17" t="str">
        <f ca="1">VLOOKUP($M6,OFFSET([3]enemies!$A$1,0,0,COUNTA([3]enemies!$A:$A),MATCH(N$1,[3]enemies!$1:$1,0)-MATCH($M$1,[3]enemies!$1:$1,0)+1),MATCH(N$1,[3]enemies!$1:$1,0)-MATCH($M$1,[3]enemies!$1:$1,0)+1,FALSE)</f>
        <v>鉄腕 アキレス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PremiumN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30</v>
      </c>
      <c r="S6" s="5">
        <v>60</v>
      </c>
      <c r="T6" s="25">
        <v>1</v>
      </c>
      <c r="U6" s="25">
        <v>1.2</v>
      </c>
      <c r="V6" s="5">
        <v>0</v>
      </c>
      <c r="W6" s="4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6" s="4">
        <v>39002007</v>
      </c>
      <c r="Y6" s="71">
        <f ca="1">VLOOKUP($M6,OFFSET([3]enemies!$A$1,0,0,COUNTA([3]enemies!$A:$A),MATCH(Y$1,[3]enemies!$1:$1,0)-MATCH($M$1,[3]enemies!$1:$1,0)+1),MATCH(Y$1,[3]enemies!$1:$1,0)-MATCH($M$1,[3]enemies!$1:$1,0)+1,FALSE)</f>
        <v>2</v>
      </c>
    </row>
    <row r="7" spans="1:25" ht="21" customHeight="1" x14ac:dyDescent="0.15">
      <c r="A7" s="16" t="str">
        <f t="shared" si="0"/>
        <v>39002_4-4/694&lt;lv58&gt;sq6st2</v>
      </c>
      <c r="B7" s="22">
        <v>39002</v>
      </c>
      <c r="C7" s="21">
        <v>4</v>
      </c>
      <c r="D7" s="2" t="str">
        <f t="shared" si="1"/>
        <v>39002_4</v>
      </c>
      <c r="E7" s="4" t="str">
        <f ca="1">VLOOKUP($B7,OFFSET([2]quests!$A$1,0,0,COUNTA([2]quests!$A:$A),MATCH(E$1,[2]quests!$1:$1,0)-MATCH($B$1,[2]quests!$1:$1,0)+1),MATCH(E$1,[2]quests!$1:$1,0)-MATCH($B$1,[2]quests!$1:$1,0)+1,FALSE)</f>
        <v>黄巾賊の暴走を止めろ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【超級】黄巾賊の暴走を止めろ</v>
      </c>
      <c r="G7" s="21">
        <v>4</v>
      </c>
      <c r="H7" s="15" t="str">
        <f t="shared" si="2"/>
        <v>39002_4-4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6</v>
      </c>
      <c r="L7" s="38">
        <v>2</v>
      </c>
      <c r="M7" s="20">
        <v>694</v>
      </c>
      <c r="N7" s="17" t="str">
        <f ca="1">VLOOKUP($M7,OFFSET([3]enemies!$A$1,0,0,COUNTA([3]enemies!$A:$A),MATCH(N$1,[3]enemies!$1:$1,0)-MATCH($M$1,[3]enemies!$1:$1,0)+1),MATCH(N$1,[3]enemies!$1:$1,0)-MATCH($M$1,[3]enemies!$1:$1,0)+1,FALSE)</f>
        <v>黄巾賊の将軍　紀田正臣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Drop2N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58</v>
      </c>
      <c r="T7" s="25">
        <v>2</v>
      </c>
      <c r="U7" s="25">
        <v>1</v>
      </c>
      <c r="V7" s="5">
        <v>0</v>
      </c>
      <c r="W7" s="4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7" s="4">
        <v>39002009</v>
      </c>
      <c r="Y7" s="71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82"/>
  <sheetViews>
    <sheetView showGridLines="0" workbookViewId="0">
      <pane xSplit="5" ySplit="1" topLeftCell="F60" activePane="bottomRight" state="frozen"/>
      <selection pane="topRight"/>
      <selection pane="bottomLeft"/>
      <selection pane="bottomRight" activeCell="B77" sqref="B7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33.6640625" style="49" bestFit="1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39002001_39002001</v>
      </c>
      <c r="B2" s="47">
        <v>39002001</v>
      </c>
      <c r="C2" s="47">
        <v>39002001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鳴き声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47">
        <v>39002001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" s="48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" s="47"/>
      <c r="Q2" s="47"/>
      <c r="R2" s="47"/>
    </row>
    <row r="3" spans="1:18" ht="21" customHeight="1" x14ac:dyDescent="0.15">
      <c r="A3" s="39" t="str">
        <f t="shared" ref="A3:A31" si="1">B3&amp;"_"&amp;C3</f>
        <v>39002002_39002006</v>
      </c>
      <c r="B3" s="47">
        <v>39002002</v>
      </c>
      <c r="C3" s="47">
        <v>39002006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放電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大ダメージ攻撃！</v>
      </c>
      <c r="F3" s="47">
        <v>39002006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" s="47"/>
      <c r="Q3" s="47"/>
      <c r="R3" s="47"/>
    </row>
    <row r="4" spans="1:18" ht="21" customHeight="1" x14ac:dyDescent="0.15">
      <c r="A4" s="39" t="str">
        <f t="shared" si="1"/>
        <v>39002003_39002011</v>
      </c>
      <c r="B4" s="47">
        <v>39002003</v>
      </c>
      <c r="C4" s="47">
        <v>39002011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鳴き声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回復</v>
      </c>
      <c r="F4" s="47">
        <v>39002011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" s="47"/>
      <c r="Q4" s="47"/>
      <c r="R4" s="47"/>
    </row>
    <row r="5" spans="1:18" ht="21" customHeight="1" x14ac:dyDescent="0.15">
      <c r="A5" s="39" t="str">
        <f t="shared" si="1"/>
        <v>39002004_39002016</v>
      </c>
      <c r="B5" s="47">
        <v>39002004</v>
      </c>
      <c r="C5" s="47">
        <v>39002016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機械音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お邪魔パネルを生成した</v>
      </c>
      <c r="F5" s="47">
        <v>39002016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39002005_39002021</v>
      </c>
      <c r="B6" s="47">
        <v>39002005</v>
      </c>
      <c r="C6" s="47">
        <v>39002021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治療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回復</v>
      </c>
      <c r="F6" s="47">
        <v>39002021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6" s="47"/>
      <c r="Q6" s="47"/>
      <c r="R6" s="47"/>
    </row>
    <row r="7" spans="1:18" ht="21" customHeight="1" x14ac:dyDescent="0.15">
      <c r="A7" s="39" t="str">
        <f t="shared" si="1"/>
        <v>39002006_39002026</v>
      </c>
      <c r="B7" s="47">
        <v>39002006</v>
      </c>
      <c r="C7" s="47">
        <v>39002026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この先には行かせないぜ！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7" s="47">
        <v>39002026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7" s="47"/>
      <c r="Q7" s="47"/>
      <c r="R7" s="47"/>
    </row>
    <row r="8" spans="1:18" ht="21" customHeight="1" x14ac:dyDescent="0.15">
      <c r="A8" s="39" t="str">
        <f t="shared" si="1"/>
        <v>39002006_39002027</v>
      </c>
      <c r="B8" s="47">
        <v>39002006</v>
      </c>
      <c r="C8" s="47">
        <v>39002027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くらいやがれ！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" s="47">
        <v>39002027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" s="47"/>
      <c r="Q8" s="47"/>
      <c r="R8" s="47"/>
    </row>
    <row r="9" spans="1:18" ht="21" customHeight="1" x14ac:dyDescent="0.15">
      <c r="A9" s="39" t="str">
        <f t="shared" si="1"/>
        <v>39002007_39002031</v>
      </c>
      <c r="B9" s="47">
        <v>39002007</v>
      </c>
      <c r="C9" s="47">
        <v>39002031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守りを固めろってな！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3ターン敵全体の防御力UP</v>
      </c>
      <c r="F9" s="47">
        <v>39002031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9" s="47"/>
      <c r="Q9" s="47"/>
      <c r="R9" s="47"/>
    </row>
    <row r="10" spans="1:18" ht="21" customHeight="1" x14ac:dyDescent="0.15">
      <c r="A10" s="39" t="str">
        <f t="shared" ref="A10" si="2">B10&amp;"_"&amp;C10</f>
        <v>39002007_39002032</v>
      </c>
      <c r="B10" s="47">
        <v>39002007</v>
      </c>
      <c r="C10" s="47">
        <v>39002032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くらいやがれ！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0" s="47">
        <v>39002031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0" s="47"/>
      <c r="Q10" s="47"/>
      <c r="R10" s="47"/>
    </row>
    <row r="11" spans="1:18" ht="21" customHeight="1" x14ac:dyDescent="0.15">
      <c r="A11" s="39" t="str">
        <f t="shared" si="1"/>
        <v>39002008_39002037</v>
      </c>
      <c r="B11" s="47">
        <v>39002008</v>
      </c>
      <c r="C11" s="47">
        <v>39002037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帝人・・・？嘘・・・だろ？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赤属性に変化＋お邪魔パネル生成</v>
      </c>
      <c r="F11" s="47">
        <v>39002037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39002008_39002038</v>
      </c>
      <c r="B12" s="47">
        <v>39002008</v>
      </c>
      <c r="C12" s="47">
        <v>39002038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帝人・・・？嘘・・・だろ？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赤属性に変化＋お邪魔パネル生成</v>
      </c>
      <c r="F12" s="47">
        <v>39002038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39002008_39002039</v>
      </c>
      <c r="B13" s="47">
        <v>39002008</v>
      </c>
      <c r="C13" s="47">
        <v>39002039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臨也さん、何であんたが・・・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青属性に変化＋お邪魔パネル生成</v>
      </c>
      <c r="F13" s="47">
        <v>39002039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39002008_39002040</v>
      </c>
      <c r="B14" s="47">
        <v>39002008</v>
      </c>
      <c r="C14" s="47">
        <v>39002040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臨也さん、何であんたが・・・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青属性に変化＋お邪魔パネル生成</v>
      </c>
      <c r="F14" s="47">
        <v>39002040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39002008_39002041</v>
      </c>
      <c r="B15" s="47">
        <v>39002008</v>
      </c>
      <c r="C15" s="47">
        <v>39002041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杏里・・・！？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正臣は目を見開いてる</v>
      </c>
      <c r="F15" s="47">
        <v>39002041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39002008_39002042</v>
      </c>
      <c r="B16" s="47">
        <v>39002008</v>
      </c>
      <c r="C16" s="47">
        <v>39002042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杏里・・・！？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正臣は目を見開いてる</v>
      </c>
      <c r="F16" s="47">
        <v>39002042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39002008_39002043</v>
      </c>
      <c r="B17" s="47">
        <v>39002008</v>
      </c>
      <c r="C17" s="47">
        <v>39002043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ちょっくら邪魔するよ！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お邪魔パネルを生成した</v>
      </c>
      <c r="F17" s="47">
        <v>39002043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39002008_39002044</v>
      </c>
      <c r="B18" s="47">
        <v>39002008</v>
      </c>
      <c r="C18" s="47">
        <v>39002044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さーて、どうするかな？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18" s="47">
        <v>39002044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8" s="47"/>
      <c r="Q18" s="47"/>
      <c r="R18" s="47"/>
    </row>
    <row r="19" spans="1:18" ht="21" customHeight="1" x14ac:dyDescent="0.15">
      <c r="A19" s="39" t="str">
        <f t="shared" si="1"/>
        <v>39002008_39002045</v>
      </c>
      <c r="B19" s="47">
        <v>39002008</v>
      </c>
      <c r="C19" s="47">
        <v>39002045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お前らだ！！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19" s="47">
        <v>39002045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9" s="47"/>
      <c r="Q19" s="47"/>
      <c r="R19" s="47"/>
    </row>
    <row r="20" spans="1:18" ht="21" customHeight="1" x14ac:dyDescent="0.15">
      <c r="A20" s="39" t="str">
        <f t="shared" si="1"/>
        <v>39002008_39002046</v>
      </c>
      <c r="B20" s="47">
        <v>39002008</v>
      </c>
      <c r="C20" s="47">
        <v>39002046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そら、いくぞ！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0" s="47">
        <v>39002046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" s="47"/>
      <c r="Q20" s="47"/>
      <c r="R20" s="47"/>
    </row>
    <row r="21" spans="1:18" ht="21" customHeight="1" x14ac:dyDescent="0.15">
      <c r="A21" s="39" t="str">
        <f t="shared" si="1"/>
        <v>39002009_39002050</v>
      </c>
      <c r="B21" s="47">
        <v>39002009</v>
      </c>
      <c r="C21" s="47">
        <v>39002050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21" s="47">
        <v>39002050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39002009_39002051</v>
      </c>
      <c r="B22" s="47">
        <v>39002009</v>
      </c>
      <c r="C22" s="47">
        <v>39002051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22" s="47">
        <v>39002051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39002009_39002052</v>
      </c>
      <c r="B23" s="47">
        <v>39002009</v>
      </c>
      <c r="C23" s="47">
        <v>39002052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23" s="47">
        <v>39002052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39002009_39002053</v>
      </c>
      <c r="B24" s="47">
        <v>39002009</v>
      </c>
      <c r="C24" s="47">
        <v>39002053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24" s="47">
        <v>39002053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39002009_39002054</v>
      </c>
      <c r="B25" s="47">
        <v>39002009</v>
      </c>
      <c r="C25" s="47">
        <v>39002054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25" s="47">
        <v>39002054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39002009_39002055</v>
      </c>
      <c r="B26" s="47">
        <v>39002009</v>
      </c>
      <c r="C26" s="47">
        <v>39002055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26" s="47">
        <v>39002055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39002009_39002056</v>
      </c>
      <c r="B27" s="47">
        <v>39002009</v>
      </c>
      <c r="C27" s="47">
        <v>39002056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まだまだいくぜ！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黄パネル無効＋ステータスUP</v>
      </c>
      <c r="F27" s="47">
        <v>39002056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39002009_39002057</v>
      </c>
      <c r="B28" s="47">
        <v>39002009</v>
      </c>
      <c r="C28" s="47">
        <v>39002057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これならどうだ！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28" s="47">
        <v>39002057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8" s="47"/>
      <c r="Q28" s="47"/>
      <c r="R28" s="47"/>
    </row>
    <row r="29" spans="1:18" ht="21" customHeight="1" x14ac:dyDescent="0.15">
      <c r="A29" s="39" t="str">
        <f t="shared" si="1"/>
        <v>39002009_39002058</v>
      </c>
      <c r="B29" s="47">
        <v>39002009</v>
      </c>
      <c r="C29" s="47">
        <v>39002058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気にいらねぇな！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29" s="47">
        <v>39002058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9" s="47"/>
      <c r="Q29" s="47"/>
      <c r="R29" s="47"/>
    </row>
    <row r="30" spans="1:18" ht="21" customHeight="1" x14ac:dyDescent="0.15">
      <c r="A30" s="39" t="str">
        <f t="shared" si="1"/>
        <v>39002009_39002059</v>
      </c>
      <c r="B30" s="47">
        <v>39002009</v>
      </c>
      <c r="C30" s="47">
        <v>39002059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何だってんだよ畜生！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連続攻撃</v>
      </c>
      <c r="F30" s="47">
        <v>39002059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0" s="47"/>
      <c r="Q30" s="47"/>
      <c r="R30" s="47"/>
    </row>
    <row r="31" spans="1:18" ht="21" customHeight="1" x14ac:dyDescent="0.15">
      <c r="A31" s="39" t="str">
        <f t="shared" si="1"/>
        <v>39002009_39002060</v>
      </c>
      <c r="B31" s="47">
        <v>39002009</v>
      </c>
      <c r="C31" s="47">
        <v>39002060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俺は・・・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次のターン大攻撃</v>
      </c>
      <c r="F31" s="47">
        <v>39002060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:A44" si="3">B32&amp;"_"&amp;C32</f>
        <v>39002009_39002061</v>
      </c>
      <c r="B32" s="47">
        <v>39002009</v>
      </c>
      <c r="C32" s="47">
        <v>39002061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覚悟をしてきたんだよ！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大ダメージ攻撃！</v>
      </c>
      <c r="F32" s="47">
        <v>39002061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3"/>
        <v>39002009_39002062</v>
      </c>
      <c r="B33" s="47">
        <v>39002009</v>
      </c>
      <c r="C33" s="47">
        <v>39002062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俺は・・・必ず・・・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必ず杏里達の前に戻る・・・！</v>
      </c>
      <c r="F33" s="47">
        <v>39002062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3"/>
        <v>39002010_39002050</v>
      </c>
      <c r="B34" s="47">
        <v>39002010</v>
      </c>
      <c r="C34" s="47">
        <v>39002050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34" s="47">
        <v>39002050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3"/>
        <v>39002010_39002051</v>
      </c>
      <c r="B35" s="47">
        <v>39002010</v>
      </c>
      <c r="C35" s="47">
        <v>39002051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35" s="47">
        <v>39002051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3"/>
        <v>39002010_39002052</v>
      </c>
      <c r="B36" s="47">
        <v>39002010</v>
      </c>
      <c r="C36" s="47">
        <v>39002052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36" s="47">
        <v>39002052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3"/>
        <v>39002010_39002053</v>
      </c>
      <c r="B37" s="47">
        <v>39002010</v>
      </c>
      <c r="C37" s="47">
        <v>39002053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37" s="47">
        <v>39002053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3"/>
        <v>39002010_39002054</v>
      </c>
      <c r="B38" s="47">
        <v>39002010</v>
      </c>
      <c r="C38" s="47">
        <v>39002054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38" s="47">
        <v>39002054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3"/>
        <v>39002010_39002055</v>
      </c>
      <c r="B39" s="47">
        <v>39002010</v>
      </c>
      <c r="C39" s="47">
        <v>39002055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39" s="47">
        <v>39002055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3"/>
        <v>39002010_39002063</v>
      </c>
      <c r="B40" s="47">
        <v>39002010</v>
      </c>
      <c r="C40" s="116">
        <v>39002063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まだまだいくぜ！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やる気と覚悟を感じる！</v>
      </c>
      <c r="F40" s="116">
        <v>39002063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3"/>
        <v>39002010_39002057</v>
      </c>
      <c r="B41" s="47">
        <v>39002010</v>
      </c>
      <c r="C41" s="47">
        <v>39002057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これならどうだ！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41" s="47">
        <v>39002057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1" s="47"/>
      <c r="Q41" s="47"/>
      <c r="R41" s="47"/>
    </row>
    <row r="42" spans="1:18" ht="21" customHeight="1" x14ac:dyDescent="0.15">
      <c r="A42" s="39" t="str">
        <f t="shared" si="3"/>
        <v>39002010_39002058</v>
      </c>
      <c r="B42" s="47">
        <v>39002010</v>
      </c>
      <c r="C42" s="47">
        <v>39002058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気にいらねぇな！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42" s="47">
        <v>39002058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2" s="47"/>
      <c r="Q42" s="47"/>
      <c r="R42" s="47"/>
    </row>
    <row r="43" spans="1:18" ht="21" customHeight="1" x14ac:dyDescent="0.15">
      <c r="A43" s="39" t="str">
        <f t="shared" si="3"/>
        <v>39002010_39002059</v>
      </c>
      <c r="B43" s="47">
        <v>39002010</v>
      </c>
      <c r="C43" s="47">
        <v>39002059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何だってんだよ畜生！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連続攻撃</v>
      </c>
      <c r="F43" s="47">
        <v>39002059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3" s="47"/>
      <c r="Q43" s="47"/>
      <c r="R43" s="47"/>
    </row>
    <row r="44" spans="1:18" ht="21" customHeight="1" x14ac:dyDescent="0.15">
      <c r="A44" s="39" t="str">
        <f t="shared" si="3"/>
        <v>39002010_39002060</v>
      </c>
      <c r="B44" s="47">
        <v>39002010</v>
      </c>
      <c r="C44" s="47">
        <v>39002060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俺は・・・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次のターン大攻撃</v>
      </c>
      <c r="F44" s="47">
        <v>39002060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ref="A45:A57" si="4">B45&amp;"_"&amp;C45</f>
        <v>39002010_39002061</v>
      </c>
      <c r="B45" s="47">
        <v>39002010</v>
      </c>
      <c r="C45" s="47">
        <v>39002061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覚悟をしてきたんだよ！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大ダメージ攻撃！</v>
      </c>
      <c r="F45" s="47">
        <v>39002061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4"/>
        <v>39002010_39002062</v>
      </c>
      <c r="B46" s="47">
        <v>39002010</v>
      </c>
      <c r="C46" s="47">
        <v>39002062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俺は・・・必ず・・・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必ず杏里達の前に戻る・・・！</v>
      </c>
      <c r="F46" s="47">
        <v>39002062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4"/>
        <v>39002011_39002050</v>
      </c>
      <c r="B47" s="47">
        <v>39002011</v>
      </c>
      <c r="C47" s="47">
        <v>39002050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47" s="47">
        <v>39002050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4"/>
        <v>39002011_39002051</v>
      </c>
      <c r="B48" s="47">
        <v>39002011</v>
      </c>
      <c r="C48" s="47">
        <v>39002051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48" s="47">
        <v>39002051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4"/>
        <v>39002011_39002052</v>
      </c>
      <c r="B49" s="47">
        <v>39002011</v>
      </c>
      <c r="C49" s="47">
        <v>39002052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49" s="47">
        <v>39002052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4"/>
        <v>39002011_39002053</v>
      </c>
      <c r="B50" s="47">
        <v>39002011</v>
      </c>
      <c r="C50" s="47">
        <v>39002053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50" s="47">
        <v>39002053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4"/>
        <v>39002011_39002054</v>
      </c>
      <c r="B51" s="47">
        <v>39002011</v>
      </c>
      <c r="C51" s="47">
        <v>39002054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51" s="47">
        <v>39002054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4"/>
        <v>39002011_39002055</v>
      </c>
      <c r="B52" s="47">
        <v>39002011</v>
      </c>
      <c r="C52" s="47">
        <v>39002055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52" s="47">
        <v>39002055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4"/>
        <v>39002011_39002064</v>
      </c>
      <c r="B53" s="47">
        <v>39002011</v>
      </c>
      <c r="C53" s="116">
        <v>39002064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まだまだいくぜ！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黄パネル無効</v>
      </c>
      <c r="F53" s="116">
        <v>39002064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4"/>
        <v>39002011_39002057</v>
      </c>
      <c r="B54" s="47">
        <v>39002011</v>
      </c>
      <c r="C54" s="47">
        <v>39002057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これならどうだ！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54" s="47">
        <v>39002057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4" s="48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4" s="47"/>
      <c r="Q54" s="47"/>
      <c r="R54" s="47"/>
    </row>
    <row r="55" spans="1:18" ht="21" customHeight="1" x14ac:dyDescent="0.15">
      <c r="A55" s="39" t="str">
        <f t="shared" si="4"/>
        <v>39002011_39002058</v>
      </c>
      <c r="B55" s="47">
        <v>39002011</v>
      </c>
      <c r="C55" s="47">
        <v>39002058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気にいらねぇな！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55" s="47">
        <v>39002058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55" s="48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55" s="47"/>
      <c r="Q55" s="47"/>
      <c r="R55" s="47"/>
    </row>
    <row r="56" spans="1:18" ht="21" customHeight="1" x14ac:dyDescent="0.15">
      <c r="A56" s="39" t="str">
        <f t="shared" si="4"/>
        <v>39002011_39002059</v>
      </c>
      <c r="B56" s="47">
        <v>39002011</v>
      </c>
      <c r="C56" s="47">
        <v>39002059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何だってんだよ畜生！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連続攻撃</v>
      </c>
      <c r="F56" s="47">
        <v>39002059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6" s="47"/>
      <c r="Q56" s="47"/>
      <c r="R56" s="47"/>
    </row>
    <row r="57" spans="1:18" ht="21" customHeight="1" x14ac:dyDescent="0.15">
      <c r="A57" s="39" t="str">
        <f t="shared" si="4"/>
        <v>39002011_39002060</v>
      </c>
      <c r="B57" s="47">
        <v>39002011</v>
      </c>
      <c r="C57" s="47">
        <v>39002060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俺は・・・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次のターン大攻撃</v>
      </c>
      <c r="F57" s="47">
        <v>39002060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ref="A58:A59" si="5">B58&amp;"_"&amp;C58</f>
        <v>39002011_39002061</v>
      </c>
      <c r="B58" s="47">
        <v>39002011</v>
      </c>
      <c r="C58" s="47">
        <v>39002061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覚悟をしてきたんだよ！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大ダメージ攻撃！</v>
      </c>
      <c r="F58" s="47">
        <v>39002061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5"/>
        <v>39002011_39002062</v>
      </c>
      <c r="B59" s="47">
        <v>39002011</v>
      </c>
      <c r="C59" s="47">
        <v>39002062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俺は・・・必ず・・・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必ず杏里達の前に戻る・・・！</v>
      </c>
      <c r="F59" s="47">
        <v>39002062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ref="A60:A82" si="6">B60&amp;"_"&amp;C60</f>
        <v>39002012_39002037</v>
      </c>
      <c r="B60" s="47">
        <v>39002012</v>
      </c>
      <c r="C60" s="47">
        <v>39002037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帝人・・・？嘘・・・だろ？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赤属性に変化＋お邪魔パネル生成</v>
      </c>
      <c r="F60" s="47">
        <v>39002037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6"/>
        <v>39002012_39002038</v>
      </c>
      <c r="B61" s="47">
        <v>39002012</v>
      </c>
      <c r="C61" s="47">
        <v>39002038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帝人・・・？嘘・・・だろ？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赤属性に変化＋お邪魔パネル生成</v>
      </c>
      <c r="F61" s="47">
        <v>39002038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6"/>
        <v>39002012_39002039</v>
      </c>
      <c r="B62" s="47">
        <v>39002012</v>
      </c>
      <c r="C62" s="47">
        <v>39002039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臨也さん、何であんたが・・・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青属性に変化＋お邪魔パネル生成</v>
      </c>
      <c r="F62" s="47">
        <v>39002039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6"/>
        <v>39002012_39002040</v>
      </c>
      <c r="B63" s="47">
        <v>39002012</v>
      </c>
      <c r="C63" s="47">
        <v>39002040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臨也さん、何であんたが・・・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青属性に変化＋お邪魔パネル生成</v>
      </c>
      <c r="F63" s="47">
        <v>39002040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6"/>
        <v>39002012_39002041</v>
      </c>
      <c r="B64" s="47">
        <v>39002012</v>
      </c>
      <c r="C64" s="47">
        <v>39002041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杏里・・・！？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正臣は目を見開いてる</v>
      </c>
      <c r="F64" s="47">
        <v>39002041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6"/>
        <v>39002012_39002042</v>
      </c>
      <c r="B65" s="47">
        <v>39002012</v>
      </c>
      <c r="C65" s="47">
        <v>39002042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杏里・・・！？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正臣は目を見開いてる</v>
      </c>
      <c r="F65" s="47">
        <v>39002042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6"/>
        <v>39002012_39002043</v>
      </c>
      <c r="B66" s="47">
        <v>39002012</v>
      </c>
      <c r="C66" s="47">
        <v>39002043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ちょっくら邪魔するよ！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お邪魔パネルを生成した</v>
      </c>
      <c r="F66" s="47">
        <v>39002043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6"/>
        <v>39002012_39002065</v>
      </c>
      <c r="B67" s="47">
        <v>39002012</v>
      </c>
      <c r="C67" s="118">
        <v>39002065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さーて、どうするかな？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67" s="118">
        <v>39002065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7" s="48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 t="str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7" s="47"/>
      <c r="Q67" s="47"/>
      <c r="R67" s="47"/>
    </row>
    <row r="68" spans="1:18" ht="21" customHeight="1" x14ac:dyDescent="0.15">
      <c r="A68" s="39" t="str">
        <f t="shared" si="6"/>
        <v>39002012_39002045</v>
      </c>
      <c r="B68" s="47">
        <v>39002012</v>
      </c>
      <c r="C68" s="47">
        <v>39002045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お前らだ！！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68" s="47">
        <v>39002045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68" s="48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68" s="47"/>
      <c r="Q68" s="47"/>
      <c r="R68" s="47"/>
    </row>
    <row r="69" spans="1:18" ht="21" customHeight="1" x14ac:dyDescent="0.15">
      <c r="A69" s="39" t="str">
        <f t="shared" si="6"/>
        <v>39002012_39002046</v>
      </c>
      <c r="B69" s="47">
        <v>39002012</v>
      </c>
      <c r="C69" s="47">
        <v>39002046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そら、いくぞ！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連続攻撃</v>
      </c>
      <c r="F69" s="47">
        <v>39002046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9" s="48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9" s="47"/>
      <c r="Q69" s="47"/>
      <c r="R69" s="47"/>
    </row>
    <row r="70" spans="1:18" ht="21" customHeight="1" x14ac:dyDescent="0.15">
      <c r="A70" s="39" t="str">
        <f t="shared" si="6"/>
        <v>39002013_39002050</v>
      </c>
      <c r="B70" s="47">
        <v>39002013</v>
      </c>
      <c r="C70" s="47">
        <v>39002050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70" s="47">
        <v>39002050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6"/>
        <v>39002013_39002051</v>
      </c>
      <c r="B71" s="47">
        <v>39002013</v>
      </c>
      <c r="C71" s="47">
        <v>39002051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71" s="47">
        <v>39002051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6"/>
        <v>39002013_39002052</v>
      </c>
      <c r="B72" s="47">
        <v>39002013</v>
      </c>
      <c r="C72" s="47">
        <v>39002052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72" s="47">
        <v>39002052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6"/>
        <v>39002013_39002053</v>
      </c>
      <c r="B73" s="47">
        <v>39002013</v>
      </c>
      <c r="C73" s="47">
        <v>39002053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赤属性に変化+黄パネル無効+攻撃力・防御力UP</v>
      </c>
      <c r="F73" s="47">
        <v>39002053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6"/>
        <v>39002013_39002054</v>
      </c>
      <c r="B74" s="47">
        <v>39002013</v>
      </c>
      <c r="C74" s="47">
        <v>39002054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74" s="47">
        <v>39002054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6"/>
        <v>39002013_39002055</v>
      </c>
      <c r="B75" s="47">
        <v>39002013</v>
      </c>
      <c r="C75" s="47">
        <v>39002055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75" s="47">
        <v>39002055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6"/>
        <v>39002013_39002056</v>
      </c>
      <c r="B76" s="47">
        <v>39002013</v>
      </c>
      <c r="C76" s="47">
        <v>39002056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まだまだいくぜ！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黄パネル無効＋ステータスUP</v>
      </c>
      <c r="F76" s="47">
        <v>39002056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6"/>
        <v>39002013_39002066</v>
      </c>
      <c r="B77" s="47">
        <v>39002013</v>
      </c>
      <c r="C77" s="109">
        <v>39002066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これならどうだ！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77" s="109">
        <v>39002066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7" s="48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7" s="47"/>
      <c r="Q77" s="47"/>
      <c r="R77" s="47"/>
    </row>
    <row r="78" spans="1:18" ht="21" customHeight="1" x14ac:dyDescent="0.15">
      <c r="A78" s="39" t="str">
        <f t="shared" si="6"/>
        <v>39002013_39002058</v>
      </c>
      <c r="B78" s="47">
        <v>39002013</v>
      </c>
      <c r="C78" s="47">
        <v>39002058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気にいらねぇな！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78" s="47">
        <v>39002058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8" s="48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8" s="47"/>
      <c r="Q78" s="47"/>
      <c r="R78" s="47"/>
    </row>
    <row r="79" spans="1:18" ht="21" customHeight="1" x14ac:dyDescent="0.15">
      <c r="A79" s="39" t="str">
        <f t="shared" si="6"/>
        <v>39002013_39002059</v>
      </c>
      <c r="B79" s="47">
        <v>39002013</v>
      </c>
      <c r="C79" s="47">
        <v>39002059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何だってんだよ畜生！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連続攻撃</v>
      </c>
      <c r="F79" s="47">
        <v>39002059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9" s="48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9" s="47"/>
      <c r="Q79" s="47"/>
      <c r="R79" s="47"/>
    </row>
    <row r="80" spans="1:18" ht="21" customHeight="1" x14ac:dyDescent="0.15">
      <c r="A80" s="39" t="str">
        <f t="shared" si="6"/>
        <v>39002013_39002060</v>
      </c>
      <c r="B80" s="47">
        <v>39002013</v>
      </c>
      <c r="C80" s="47">
        <v>39002060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俺は・・・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次のターン大攻撃</v>
      </c>
      <c r="F80" s="47">
        <v>39002060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6"/>
        <v>39002013_39002061</v>
      </c>
      <c r="B81" s="47">
        <v>39002013</v>
      </c>
      <c r="C81" s="47">
        <v>39002061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覚悟をしてきたんだよ！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大ダメージ攻撃！</v>
      </c>
      <c r="F81" s="47">
        <v>39002061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6"/>
        <v>39002013_39002062</v>
      </c>
      <c r="B82" s="47">
        <v>39002013</v>
      </c>
      <c r="C82" s="47">
        <v>39002062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俺は・・・必ず・・・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必ず杏里達の前に戻る・・・！</v>
      </c>
      <c r="F82" s="47">
        <v>39002062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 t="str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9"/>
  <sheetViews>
    <sheetView showGridLines="0" workbookViewId="0">
      <pane ySplit="1" topLeftCell="A48" activePane="bottomLeft" state="frozenSplit"/>
      <selection pane="bottomLeft" activeCell="E54" sqref="E5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128</v>
      </c>
      <c r="E1" s="40" t="s">
        <v>82</v>
      </c>
      <c r="F1" s="40" t="s">
        <v>83</v>
      </c>
      <c r="G1" s="41" t="s">
        <v>134</v>
      </c>
      <c r="H1" s="41" t="s">
        <v>140</v>
      </c>
      <c r="I1" s="41" t="s">
        <v>142</v>
      </c>
      <c r="J1" s="41" t="s">
        <v>141</v>
      </c>
      <c r="K1" s="41" t="s">
        <v>143</v>
      </c>
      <c r="L1" s="41" t="s">
        <v>135</v>
      </c>
      <c r="M1" s="41" t="s">
        <v>133</v>
      </c>
      <c r="N1" s="41" t="s">
        <v>136</v>
      </c>
      <c r="O1" s="41" t="s">
        <v>144</v>
      </c>
      <c r="P1" s="41" t="s">
        <v>145</v>
      </c>
      <c r="Q1" s="41" t="s">
        <v>146</v>
      </c>
      <c r="R1" s="41" t="s">
        <v>147</v>
      </c>
      <c r="S1" s="41" t="s">
        <v>137</v>
      </c>
      <c r="T1" s="41" t="s">
        <v>138</v>
      </c>
      <c r="U1" s="41" t="s">
        <v>148</v>
      </c>
      <c r="V1" s="41" t="s">
        <v>149</v>
      </c>
      <c r="W1" s="41" t="s">
        <v>150</v>
      </c>
      <c r="X1" s="41" t="s">
        <v>151</v>
      </c>
      <c r="Y1" s="41" t="s">
        <v>139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04">
        <v>39002001</v>
      </c>
      <c r="B2" s="47" t="s">
        <v>245</v>
      </c>
      <c r="C2" s="50">
        <v>3</v>
      </c>
      <c r="D2" s="50" t="s">
        <v>129</v>
      </c>
      <c r="E2" s="51" t="s">
        <v>246</v>
      </c>
      <c r="F2" s="51" t="s">
        <v>84</v>
      </c>
      <c r="G2" s="64" t="str">
        <f>IFERROR(LEFT(B2,FIND("],",B2)),B2)</f>
        <v>[effect:heal, target:enemy_one, val:0.5, animation:enemy_heal]</v>
      </c>
      <c r="H2" s="64">
        <f>FIND("effect:",G2)+7</f>
        <v>9</v>
      </c>
      <c r="I2" s="64">
        <f>IFERROR(FIND(",",G2),LEN(G2))</f>
        <v>13</v>
      </c>
      <c r="J2" s="64">
        <f>FIND("target:",G2)+7</f>
        <v>22</v>
      </c>
      <c r="K2" s="64">
        <f>FIND(",",G2,I2+1)</f>
        <v>31</v>
      </c>
      <c r="L2" s="64" t="str">
        <f>IFERROR(VLOOKUP(MID(G2,J2,K2-J2),[6]skilldef!$C:$D,2,FALSE),"-") &amp; " / " &amp; IFERROR(VLOOKUP(MID(G2,H2,I2-H2),[6]skilldef!$A:$B,2,FALSE),"-")</f>
        <v>敵単体に / 回復</v>
      </c>
      <c r="M2" s="64" t="str">
        <f>IFERROR(RIGHT(B2,LEN(B2)-FIND("],",B2)-1),"none")</f>
        <v>none</v>
      </c>
      <c r="N2" s="48" t="str">
        <f>IFERROR(LEFT(M2,FIND("],",M2)+S12),M2)</f>
        <v>none</v>
      </c>
      <c r="O2" s="64" t="e">
        <f>FIND("effect:",N2)+7</f>
        <v>#VALUE!</v>
      </c>
      <c r="P2" s="64">
        <f>IFERROR(FIND(",",N2),LEN(N2))</f>
        <v>4</v>
      </c>
      <c r="Q2" s="64" t="e">
        <f>FIND("target:",N2)+7</f>
        <v>#VALUE!</v>
      </c>
      <c r="R2" s="64" t="e">
        <f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4" t="e">
        <f>FIND("effect:",T2)+7</f>
        <v>#VALUE!</v>
      </c>
      <c r="V2" s="64">
        <f>IFERROR(FIND(",",T2),LEN(T2))</f>
        <v>4</v>
      </c>
      <c r="W2" s="64" t="e">
        <f>FIND("target:",T2)+7</f>
        <v>#VALUE!</v>
      </c>
      <c r="X2" s="64" t="e">
        <f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39002002</v>
      </c>
      <c r="B3" s="47" t="s">
        <v>232</v>
      </c>
      <c r="C3" s="50">
        <v>3</v>
      </c>
      <c r="D3" s="50" t="s">
        <v>129</v>
      </c>
      <c r="E3" s="51" t="s">
        <v>223</v>
      </c>
      <c r="F3" s="51" t="s">
        <v>233</v>
      </c>
      <c r="G3" s="64" t="str">
        <f t="shared" ref="G3:G63" si="0">IFERROR(LEFT(B3,FIND("],",B3)),B3)</f>
        <v>[effect:nothing]</v>
      </c>
      <c r="H3" s="64">
        <f t="shared" ref="H3:H63" si="1">FIND("effect:",G3)+7</f>
        <v>9</v>
      </c>
      <c r="I3" s="64">
        <f t="shared" ref="I3:I63" si="2">IFERROR(FIND(",",G3),LEN(G3))</f>
        <v>16</v>
      </c>
      <c r="J3" s="64" t="e">
        <f t="shared" ref="J3:J63" si="3">FIND("target:",G3)+7</f>
        <v>#VALUE!</v>
      </c>
      <c r="K3" s="64" t="e">
        <f t="shared" ref="K3:K63" si="4">FIND(",",G3,I3+1)</f>
        <v>#VALUE!</v>
      </c>
      <c r="L3" s="64" t="str">
        <f>IFERROR(VLOOKUP(MID(G3,J3,K3-J3),[6]skilldef!$C:$D,2,FALSE),"-") &amp; " / " &amp; IFERROR(VLOOKUP(MID(G3,H3,I3-H3),[6]skilldef!$A:$B,2,FALSE),"-")</f>
        <v>- / 何もしない</v>
      </c>
      <c r="M3" s="64" t="str">
        <f t="shared" ref="M3:M63" si="5">IFERROR(RIGHT(B3,LEN(B3)-FIND("],",B3)-1),"none")</f>
        <v>none</v>
      </c>
      <c r="N3" s="48" t="str">
        <f t="shared" ref="N3:N28" si="6">IFERROR(LEFT(M3,FIND("],",M3)+S13),M3)</f>
        <v>none</v>
      </c>
      <c r="O3" s="64" t="e">
        <f t="shared" ref="O3:O63" si="7">FIND("effect:",N3)+7</f>
        <v>#VALUE!</v>
      </c>
      <c r="P3" s="64">
        <f t="shared" ref="P3:P63" si="8">IFERROR(FIND(",",N3),LEN(N3))</f>
        <v>4</v>
      </c>
      <c r="Q3" s="64" t="e">
        <f t="shared" ref="Q3:Q63" si="9">FIND("target:",N3)+7</f>
        <v>#VALUE!</v>
      </c>
      <c r="R3" s="64" t="e">
        <f t="shared" ref="R3:R63" si="10">FIND(",",N3,P3+1)</f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ref="T3:T63" si="11">IFERROR(RIGHT(M3,LEN(M3)-FIND("],",M3)-1),"none")</f>
        <v>none</v>
      </c>
      <c r="U3" s="64" t="e">
        <f t="shared" ref="U3:U63" si="12">FIND("effect:",T3)+7</f>
        <v>#VALUE!</v>
      </c>
      <c r="V3" s="64">
        <f t="shared" ref="V3:V63" si="13">IFERROR(FIND(",",T3),LEN(T3))</f>
        <v>4</v>
      </c>
      <c r="W3" s="64" t="e">
        <f t="shared" ref="W3:W63" si="14">FIND("target:",T3)+7</f>
        <v>#VALUE!</v>
      </c>
      <c r="X3" s="64" t="e">
        <f t="shared" ref="X3:X63" si="15">FIND(",",T3,V3+1)</f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39002003</v>
      </c>
      <c r="B4" s="47" t="s">
        <v>232</v>
      </c>
      <c r="C4" s="50">
        <v>3</v>
      </c>
      <c r="D4" s="50" t="s">
        <v>129</v>
      </c>
      <c r="E4" s="51" t="s">
        <v>223</v>
      </c>
      <c r="F4" s="51" t="s">
        <v>233</v>
      </c>
      <c r="G4" s="64" t="str">
        <f t="shared" si="0"/>
        <v>[effect:nothing]</v>
      </c>
      <c r="H4" s="64">
        <f t="shared" si="1"/>
        <v>9</v>
      </c>
      <c r="I4" s="64">
        <f t="shared" si="2"/>
        <v>16</v>
      </c>
      <c r="J4" s="64" t="e">
        <f t="shared" si="3"/>
        <v>#VALUE!</v>
      </c>
      <c r="K4" s="64" t="e">
        <f t="shared" si="4"/>
        <v>#VALUE!</v>
      </c>
      <c r="L4" s="64" t="str">
        <f>IFERROR(VLOOKUP(MID(G4,J4,K4-J4),[6]skilldef!$C:$D,2,FALSE),"-") &amp; " / " &amp; IFERROR(VLOOKUP(MID(G4,H4,I4-H4),[6]skilldef!$A:$B,2,FALSE),"-")</f>
        <v>- / 何もしない</v>
      </c>
      <c r="M4" s="64" t="str">
        <f t="shared" si="5"/>
        <v>none</v>
      </c>
      <c r="N4" s="48" t="str">
        <f t="shared" si="6"/>
        <v>none</v>
      </c>
      <c r="O4" s="64" t="e">
        <f t="shared" si="7"/>
        <v>#VALUE!</v>
      </c>
      <c r="P4" s="64">
        <f t="shared" si="8"/>
        <v>4</v>
      </c>
      <c r="Q4" s="64" t="e">
        <f t="shared" si="9"/>
        <v>#VALUE!</v>
      </c>
      <c r="R4" s="64" t="e">
        <f t="shared" si="10"/>
        <v>#VALUE!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4" t="e">
        <f t="shared" si="12"/>
        <v>#VALUE!</v>
      </c>
      <c r="V4" s="64">
        <f t="shared" si="13"/>
        <v>4</v>
      </c>
      <c r="W4" s="64" t="e">
        <f t="shared" si="14"/>
        <v>#VALUE!</v>
      </c>
      <c r="X4" s="64" t="e">
        <f t="shared" si="15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39002004</v>
      </c>
      <c r="B5" s="47" t="s">
        <v>232</v>
      </c>
      <c r="C5" s="50">
        <v>3</v>
      </c>
      <c r="D5" s="50" t="s">
        <v>129</v>
      </c>
      <c r="E5" s="51" t="s">
        <v>223</v>
      </c>
      <c r="F5" s="51" t="s">
        <v>233</v>
      </c>
      <c r="G5" s="64" t="str">
        <f t="shared" si="0"/>
        <v>[effect:nothing]</v>
      </c>
      <c r="H5" s="64">
        <f t="shared" si="1"/>
        <v>9</v>
      </c>
      <c r="I5" s="64">
        <f t="shared" si="2"/>
        <v>16</v>
      </c>
      <c r="J5" s="64" t="e">
        <f t="shared" si="3"/>
        <v>#VALUE!</v>
      </c>
      <c r="K5" s="64" t="e">
        <f t="shared" si="4"/>
        <v>#VALUE!</v>
      </c>
      <c r="L5" s="64" t="str">
        <f>IFERROR(VLOOKUP(MID(G5,J5,K5-J5),[6]skilldef!$C:$D,2,FALSE),"-") &amp; " / " &amp; IFERROR(VLOOKUP(MID(G5,H5,I5-H5),[6]skilldef!$A:$B,2,FALSE),"-")</f>
        <v>- / 何もしない</v>
      </c>
      <c r="M5" s="64" t="str">
        <f t="shared" si="5"/>
        <v>none</v>
      </c>
      <c r="N5" s="48" t="str">
        <f t="shared" si="6"/>
        <v>none</v>
      </c>
      <c r="O5" s="64" t="e">
        <f t="shared" si="7"/>
        <v>#VALUE!</v>
      </c>
      <c r="P5" s="64">
        <f t="shared" si="8"/>
        <v>4</v>
      </c>
      <c r="Q5" s="64" t="e">
        <f t="shared" si="9"/>
        <v>#VALUE!</v>
      </c>
      <c r="R5" s="64" t="e">
        <f t="shared" si="10"/>
        <v>#VALUE!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4" t="e">
        <f t="shared" si="12"/>
        <v>#VALUE!</v>
      </c>
      <c r="V5" s="64">
        <f t="shared" si="13"/>
        <v>4</v>
      </c>
      <c r="W5" s="64" t="e">
        <f t="shared" si="14"/>
        <v>#VALUE!</v>
      </c>
      <c r="X5" s="64" t="e">
        <f t="shared" si="15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39002005</v>
      </c>
      <c r="B6" s="47" t="s">
        <v>232</v>
      </c>
      <c r="C6" s="50">
        <v>3</v>
      </c>
      <c r="D6" s="50" t="s">
        <v>129</v>
      </c>
      <c r="E6" s="51" t="s">
        <v>223</v>
      </c>
      <c r="F6" s="51" t="s">
        <v>233</v>
      </c>
      <c r="G6" s="64" t="str">
        <f t="shared" si="0"/>
        <v>[effect:nothing]</v>
      </c>
      <c r="H6" s="64">
        <f t="shared" si="1"/>
        <v>9</v>
      </c>
      <c r="I6" s="64">
        <f t="shared" si="2"/>
        <v>16</v>
      </c>
      <c r="J6" s="64" t="e">
        <f t="shared" si="3"/>
        <v>#VALUE!</v>
      </c>
      <c r="K6" s="64" t="e">
        <f t="shared" si="4"/>
        <v>#VALUE!</v>
      </c>
      <c r="L6" s="64" t="str">
        <f>IFERROR(VLOOKUP(MID(G6,J6,K6-J6),[6]skilldef!$C:$D,2,FALSE),"-") &amp; " / " &amp; IFERROR(VLOOKUP(MID(G6,H6,I6-H6),[6]skilldef!$A:$B,2,FALSE),"-")</f>
        <v>- / 何もしない</v>
      </c>
      <c r="M6" s="64" t="str">
        <f t="shared" si="5"/>
        <v>none</v>
      </c>
      <c r="N6" s="48" t="str">
        <f t="shared" si="6"/>
        <v>none</v>
      </c>
      <c r="O6" s="64" t="e">
        <f t="shared" si="7"/>
        <v>#VALUE!</v>
      </c>
      <c r="P6" s="64">
        <f t="shared" si="8"/>
        <v>4</v>
      </c>
      <c r="Q6" s="64" t="e">
        <f t="shared" si="9"/>
        <v>#VALUE!</v>
      </c>
      <c r="R6" s="64" t="e">
        <f t="shared" si="10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4" t="e">
        <f t="shared" si="12"/>
        <v>#VALUE!</v>
      </c>
      <c r="V6" s="64">
        <f t="shared" si="13"/>
        <v>4</v>
      </c>
      <c r="W6" s="64" t="e">
        <f t="shared" si="14"/>
        <v>#VALUE!</v>
      </c>
      <c r="X6" s="64" t="e">
        <f t="shared" si="15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104">
        <v>39002006</v>
      </c>
      <c r="B7" s="47" t="s">
        <v>234</v>
      </c>
      <c r="C7" s="50">
        <v>3</v>
      </c>
      <c r="D7" s="50" t="s">
        <v>129</v>
      </c>
      <c r="E7" s="51" t="s">
        <v>247</v>
      </c>
      <c r="F7" s="51" t="s">
        <v>248</v>
      </c>
      <c r="G7" s="64" t="str">
        <f t="shared" si="0"/>
        <v>[effect:critical, val:1.3]</v>
      </c>
      <c r="H7" s="64">
        <f t="shared" si="1"/>
        <v>9</v>
      </c>
      <c r="I7" s="64">
        <f t="shared" si="2"/>
        <v>17</v>
      </c>
      <c r="J7" s="64" t="e">
        <f t="shared" si="3"/>
        <v>#VALUE!</v>
      </c>
      <c r="K7" s="64" t="e">
        <f t="shared" si="4"/>
        <v>#VALUE!</v>
      </c>
      <c r="L7" s="64" t="str">
        <f>IFERROR(VLOOKUP(MID(G7,J7,K7-J7),[6]skilldef!$C:$D,2,FALSE),"-") &amp; " / " &amp; IFERROR(VLOOKUP(MID(G7,H7,I7-H7),[6]skilldef!$A:$B,2,FALSE),"-")</f>
        <v>- / 大攻撃</v>
      </c>
      <c r="M7" s="64" t="str">
        <f t="shared" si="5"/>
        <v>none</v>
      </c>
      <c r="N7" s="48" t="str">
        <f t="shared" si="6"/>
        <v>none</v>
      </c>
      <c r="O7" s="64" t="e">
        <f t="shared" si="7"/>
        <v>#VALUE!</v>
      </c>
      <c r="P7" s="64">
        <f t="shared" si="8"/>
        <v>4</v>
      </c>
      <c r="Q7" s="64" t="e">
        <f t="shared" si="9"/>
        <v>#VALUE!</v>
      </c>
      <c r="R7" s="64" t="e">
        <f t="shared" si="10"/>
        <v>#VALUE!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4" t="e">
        <f t="shared" si="12"/>
        <v>#VALUE!</v>
      </c>
      <c r="V7" s="64">
        <f t="shared" si="13"/>
        <v>4</v>
      </c>
      <c r="W7" s="64" t="e">
        <f t="shared" si="14"/>
        <v>#VALUE!</v>
      </c>
      <c r="X7" s="64" t="e">
        <f t="shared" si="15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39002007</v>
      </c>
      <c r="B8" s="47" t="s">
        <v>232</v>
      </c>
      <c r="C8" s="50">
        <v>3</v>
      </c>
      <c r="D8" s="50" t="s">
        <v>129</v>
      </c>
      <c r="E8" s="51" t="s">
        <v>224</v>
      </c>
      <c r="F8" s="51" t="s">
        <v>233</v>
      </c>
      <c r="G8" s="64" t="str">
        <f t="shared" si="0"/>
        <v>[effect:nothing]</v>
      </c>
      <c r="H8" s="64">
        <f t="shared" si="1"/>
        <v>9</v>
      </c>
      <c r="I8" s="64">
        <f t="shared" si="2"/>
        <v>16</v>
      </c>
      <c r="J8" s="64" t="e">
        <f t="shared" si="3"/>
        <v>#VALUE!</v>
      </c>
      <c r="K8" s="64" t="e">
        <f t="shared" si="4"/>
        <v>#VALUE!</v>
      </c>
      <c r="L8" s="64" t="str">
        <f>IFERROR(VLOOKUP(MID(G8,J8,K8-J8),[6]skilldef!$C:$D,2,FALSE),"-") &amp; " / " &amp; IFERROR(VLOOKUP(MID(G8,H8,I8-H8),[6]skilldef!$A:$B,2,FALSE),"-")</f>
        <v>- / 何もしない</v>
      </c>
      <c r="M8" s="64" t="str">
        <f t="shared" si="5"/>
        <v>none</v>
      </c>
      <c r="N8" s="48" t="str">
        <f t="shared" si="6"/>
        <v>none</v>
      </c>
      <c r="O8" s="64" t="e">
        <f t="shared" si="7"/>
        <v>#VALUE!</v>
      </c>
      <c r="P8" s="64">
        <f t="shared" si="8"/>
        <v>4</v>
      </c>
      <c r="Q8" s="64" t="e">
        <f t="shared" si="9"/>
        <v>#VALUE!</v>
      </c>
      <c r="R8" s="64" t="e">
        <f t="shared" si="10"/>
        <v>#VALUE!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4" t="e">
        <f t="shared" si="12"/>
        <v>#VALUE!</v>
      </c>
      <c r="V8" s="64">
        <f t="shared" si="13"/>
        <v>4</v>
      </c>
      <c r="W8" s="64" t="e">
        <f t="shared" si="14"/>
        <v>#VALUE!</v>
      </c>
      <c r="X8" s="64" t="e">
        <f t="shared" si="15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39002008</v>
      </c>
      <c r="B9" s="47" t="s">
        <v>244</v>
      </c>
      <c r="C9" s="50">
        <v>3</v>
      </c>
      <c r="D9" s="50" t="s">
        <v>129</v>
      </c>
      <c r="E9" s="51" t="s">
        <v>224</v>
      </c>
      <c r="F9" s="51" t="s">
        <v>233</v>
      </c>
      <c r="G9" s="64" t="str">
        <f t="shared" si="0"/>
        <v>[effect:nothing]</v>
      </c>
      <c r="H9" s="64">
        <f t="shared" si="1"/>
        <v>9</v>
      </c>
      <c r="I9" s="64">
        <f t="shared" si="2"/>
        <v>16</v>
      </c>
      <c r="J9" s="64" t="e">
        <f t="shared" si="3"/>
        <v>#VALUE!</v>
      </c>
      <c r="K9" s="64" t="e">
        <f t="shared" si="4"/>
        <v>#VALUE!</v>
      </c>
      <c r="L9" s="64" t="str">
        <f>IFERROR(VLOOKUP(MID(G9,J9,K9-J9),[6]skilldef!$C:$D,2,FALSE),"-") &amp; " / " &amp; IFERROR(VLOOKUP(MID(G9,H9,I9-H9),[6]skilldef!$A:$B,2,FALSE),"-")</f>
        <v>- / 何もしない</v>
      </c>
      <c r="M9" s="64" t="str">
        <f t="shared" si="5"/>
        <v>none</v>
      </c>
      <c r="N9" s="48" t="str">
        <f t="shared" si="6"/>
        <v>none</v>
      </c>
      <c r="O9" s="64" t="e">
        <f t="shared" si="7"/>
        <v>#VALUE!</v>
      </c>
      <c r="P9" s="64">
        <f t="shared" si="8"/>
        <v>4</v>
      </c>
      <c r="Q9" s="64" t="e">
        <f t="shared" si="9"/>
        <v>#VALUE!</v>
      </c>
      <c r="R9" s="64" t="e">
        <f t="shared" si="10"/>
        <v>#VALUE!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4" t="e">
        <f t="shared" si="12"/>
        <v>#VALUE!</v>
      </c>
      <c r="V9" s="64">
        <f t="shared" si="13"/>
        <v>4</v>
      </c>
      <c r="W9" s="64" t="e">
        <f t="shared" si="14"/>
        <v>#VALUE!</v>
      </c>
      <c r="X9" s="64" t="e">
        <f t="shared" si="15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39002009</v>
      </c>
      <c r="B10" s="47" t="s">
        <v>232</v>
      </c>
      <c r="C10" s="50">
        <v>3</v>
      </c>
      <c r="D10" s="50" t="s">
        <v>129</v>
      </c>
      <c r="E10" s="51" t="s">
        <v>224</v>
      </c>
      <c r="F10" s="51" t="s">
        <v>233</v>
      </c>
      <c r="G10" s="64" t="str">
        <f t="shared" si="0"/>
        <v>[effect:nothing]</v>
      </c>
      <c r="H10" s="64">
        <f t="shared" si="1"/>
        <v>9</v>
      </c>
      <c r="I10" s="64">
        <f t="shared" si="2"/>
        <v>16</v>
      </c>
      <c r="J10" s="64" t="e">
        <f t="shared" si="3"/>
        <v>#VALUE!</v>
      </c>
      <c r="K10" s="64" t="e">
        <f t="shared" si="4"/>
        <v>#VALUE!</v>
      </c>
      <c r="L10" s="64" t="str">
        <f>IFERROR(VLOOKUP(MID(G10,J10,K10-J10),[6]skilldef!$C:$D,2,FALSE),"-") &amp; " / " &amp; IFERROR(VLOOKUP(MID(G10,H10,I10-H10),[6]skilldef!$A:$B,2,FALSE),"-")</f>
        <v>- / 何もしない</v>
      </c>
      <c r="M10" s="64" t="str">
        <f t="shared" si="5"/>
        <v>none</v>
      </c>
      <c r="N10" s="48" t="str">
        <f t="shared" si="6"/>
        <v>none</v>
      </c>
      <c r="O10" s="64" t="e">
        <f t="shared" si="7"/>
        <v>#VALUE!</v>
      </c>
      <c r="P10" s="64">
        <f t="shared" si="8"/>
        <v>4</v>
      </c>
      <c r="Q10" s="64" t="e">
        <f t="shared" si="9"/>
        <v>#VALUE!</v>
      </c>
      <c r="R10" s="64" t="e">
        <f t="shared" si="10"/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4" t="e">
        <f t="shared" si="12"/>
        <v>#VALUE!</v>
      </c>
      <c r="V10" s="64">
        <f t="shared" si="13"/>
        <v>4</v>
      </c>
      <c r="W10" s="64" t="e">
        <f t="shared" si="14"/>
        <v>#VALUE!</v>
      </c>
      <c r="X10" s="64" t="e">
        <f t="shared" si="15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39002010</v>
      </c>
      <c r="B11" s="47" t="s">
        <v>232</v>
      </c>
      <c r="C11" s="50">
        <v>3</v>
      </c>
      <c r="D11" s="50" t="s">
        <v>129</v>
      </c>
      <c r="E11" s="51" t="s">
        <v>224</v>
      </c>
      <c r="F11" s="51" t="s">
        <v>233</v>
      </c>
      <c r="G11" s="64" t="str">
        <f t="shared" si="0"/>
        <v>[effect:nothing]</v>
      </c>
      <c r="H11" s="64">
        <f t="shared" si="1"/>
        <v>9</v>
      </c>
      <c r="I11" s="64">
        <f t="shared" si="2"/>
        <v>16</v>
      </c>
      <c r="J11" s="64" t="e">
        <f t="shared" si="3"/>
        <v>#VALUE!</v>
      </c>
      <c r="K11" s="64" t="e">
        <f t="shared" si="4"/>
        <v>#VALUE!</v>
      </c>
      <c r="L11" s="64" t="str">
        <f>IFERROR(VLOOKUP(MID(G11,J11,K11-J11),[6]skilldef!$C:$D,2,FALSE),"-") &amp; " / " &amp; IFERROR(VLOOKUP(MID(G11,H11,I11-H11),[6]skilldef!$A:$B,2,FALSE),"-")</f>
        <v>- / 何もしない</v>
      </c>
      <c r="M11" s="64" t="str">
        <f t="shared" si="5"/>
        <v>none</v>
      </c>
      <c r="N11" s="48" t="str">
        <f t="shared" si="6"/>
        <v>none</v>
      </c>
      <c r="O11" s="64" t="e">
        <f t="shared" si="7"/>
        <v>#VALUE!</v>
      </c>
      <c r="P11" s="64">
        <f t="shared" si="8"/>
        <v>4</v>
      </c>
      <c r="Q11" s="64" t="e">
        <f t="shared" si="9"/>
        <v>#VALUE!</v>
      </c>
      <c r="R11" s="64" t="e">
        <f t="shared" si="10"/>
        <v>#VALUE!</v>
      </c>
      <c r="S11" s="64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4" t="e">
        <f t="shared" si="12"/>
        <v>#VALUE!</v>
      </c>
      <c r="V11" s="64">
        <f t="shared" si="13"/>
        <v>4</v>
      </c>
      <c r="W11" s="64" t="e">
        <f t="shared" si="14"/>
        <v>#VALUE!</v>
      </c>
      <c r="X11" s="64" t="e">
        <f t="shared" si="15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104">
        <v>39002011</v>
      </c>
      <c r="B12" s="47" t="s">
        <v>245</v>
      </c>
      <c r="C12" s="50">
        <v>3</v>
      </c>
      <c r="D12" s="50" t="s">
        <v>129</v>
      </c>
      <c r="E12" s="51" t="s">
        <v>246</v>
      </c>
      <c r="F12" s="51" t="s">
        <v>84</v>
      </c>
      <c r="G12" s="64" t="str">
        <f t="shared" si="0"/>
        <v>[effect:heal, target:enemy_one, val:0.5, animation:enemy_heal]</v>
      </c>
      <c r="H12" s="64">
        <f t="shared" si="1"/>
        <v>9</v>
      </c>
      <c r="I12" s="64">
        <f t="shared" si="2"/>
        <v>13</v>
      </c>
      <c r="J12" s="64">
        <f t="shared" si="3"/>
        <v>22</v>
      </c>
      <c r="K12" s="64">
        <f t="shared" si="4"/>
        <v>31</v>
      </c>
      <c r="L12" s="64" t="str">
        <f>IFERROR(VLOOKUP(MID(G12,J12,K12-J12),[6]skilldef!$C:$D,2,FALSE),"-") &amp; " / " &amp; IFERROR(VLOOKUP(MID(G12,H12,I12-H12),[6]skilldef!$A:$B,2,FALSE),"-")</f>
        <v>敵単体に / 回復</v>
      </c>
      <c r="M12" s="64" t="str">
        <f t="shared" si="5"/>
        <v>none</v>
      </c>
      <c r="N12" s="48" t="str">
        <f t="shared" si="6"/>
        <v>none</v>
      </c>
      <c r="O12" s="64" t="e">
        <f t="shared" si="7"/>
        <v>#VALUE!</v>
      </c>
      <c r="P12" s="64">
        <f t="shared" si="8"/>
        <v>4</v>
      </c>
      <c r="Q12" s="64" t="e">
        <f t="shared" si="9"/>
        <v>#VALUE!</v>
      </c>
      <c r="R12" s="64" t="e">
        <f t="shared" si="10"/>
        <v>#VALUE!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4" t="e">
        <f t="shared" si="12"/>
        <v>#VALUE!</v>
      </c>
      <c r="V12" s="64">
        <f t="shared" si="13"/>
        <v>4</v>
      </c>
      <c r="W12" s="64" t="e">
        <f t="shared" si="14"/>
        <v>#VALUE!</v>
      </c>
      <c r="X12" s="64" t="e">
        <f t="shared" si="15"/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39002012</v>
      </c>
      <c r="B13" s="47" t="s">
        <v>232</v>
      </c>
      <c r="C13" s="50">
        <v>3</v>
      </c>
      <c r="D13" s="50" t="s">
        <v>129</v>
      </c>
      <c r="E13" s="51" t="s">
        <v>225</v>
      </c>
      <c r="F13" s="51" t="s">
        <v>233</v>
      </c>
      <c r="G13" s="64" t="str">
        <f t="shared" si="0"/>
        <v>[effect:nothing]</v>
      </c>
      <c r="H13" s="64">
        <f t="shared" si="1"/>
        <v>9</v>
      </c>
      <c r="I13" s="64">
        <f t="shared" si="2"/>
        <v>16</v>
      </c>
      <c r="J13" s="64" t="e">
        <f t="shared" si="3"/>
        <v>#VALUE!</v>
      </c>
      <c r="K13" s="64" t="e">
        <f t="shared" si="4"/>
        <v>#VALUE!</v>
      </c>
      <c r="L13" s="64" t="str">
        <f>IFERROR(VLOOKUP(MID(G13,J13,K13-J13),[6]skilldef!$C:$D,2,FALSE),"-") &amp; " / " &amp; IFERROR(VLOOKUP(MID(G13,H13,I13-H13),[6]skilldef!$A:$B,2,FALSE),"-")</f>
        <v>- / 何もしない</v>
      </c>
      <c r="M13" s="64" t="str">
        <f t="shared" si="5"/>
        <v>none</v>
      </c>
      <c r="N13" s="48" t="str">
        <f t="shared" si="6"/>
        <v>none</v>
      </c>
      <c r="O13" s="64" t="e">
        <f t="shared" si="7"/>
        <v>#VALUE!</v>
      </c>
      <c r="P13" s="64">
        <f t="shared" si="8"/>
        <v>4</v>
      </c>
      <c r="Q13" s="64" t="e">
        <f t="shared" si="9"/>
        <v>#VALUE!</v>
      </c>
      <c r="R13" s="64" t="e">
        <f t="shared" si="10"/>
        <v>#VALUE!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4" t="e">
        <f t="shared" si="12"/>
        <v>#VALUE!</v>
      </c>
      <c r="V13" s="64">
        <f t="shared" si="13"/>
        <v>4</v>
      </c>
      <c r="W13" s="64" t="e">
        <f t="shared" si="14"/>
        <v>#VALUE!</v>
      </c>
      <c r="X13" s="64" t="e">
        <f t="shared" si="15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39002013</v>
      </c>
      <c r="B14" s="47" t="s">
        <v>232</v>
      </c>
      <c r="C14" s="50">
        <v>3</v>
      </c>
      <c r="D14" s="50" t="s">
        <v>129</v>
      </c>
      <c r="E14" s="51" t="s">
        <v>225</v>
      </c>
      <c r="F14" s="51" t="s">
        <v>233</v>
      </c>
      <c r="G14" s="64" t="str">
        <f t="shared" si="0"/>
        <v>[effect:nothing]</v>
      </c>
      <c r="H14" s="64">
        <f t="shared" si="1"/>
        <v>9</v>
      </c>
      <c r="I14" s="64">
        <f t="shared" si="2"/>
        <v>16</v>
      </c>
      <c r="J14" s="64" t="e">
        <f t="shared" si="3"/>
        <v>#VALUE!</v>
      </c>
      <c r="K14" s="64" t="e">
        <f t="shared" si="4"/>
        <v>#VALUE!</v>
      </c>
      <c r="L14" s="64" t="str">
        <f>IFERROR(VLOOKUP(MID(G14,J14,K14-J14),[6]skilldef!$C:$D,2,FALSE),"-") &amp; " / " &amp; IFERROR(VLOOKUP(MID(G14,H14,I14-H14),[6]skilldef!$A:$B,2,FALSE),"-")</f>
        <v>- / 何もしない</v>
      </c>
      <c r="M14" s="64" t="str">
        <f t="shared" si="5"/>
        <v>none</v>
      </c>
      <c r="N14" s="48" t="str">
        <f t="shared" si="6"/>
        <v>none</v>
      </c>
      <c r="O14" s="64" t="e">
        <f t="shared" si="7"/>
        <v>#VALUE!</v>
      </c>
      <c r="P14" s="64">
        <f t="shared" si="8"/>
        <v>4</v>
      </c>
      <c r="Q14" s="64" t="e">
        <f t="shared" si="9"/>
        <v>#VALUE!</v>
      </c>
      <c r="R14" s="64" t="e">
        <f t="shared" si="10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4" t="e">
        <f t="shared" si="12"/>
        <v>#VALUE!</v>
      </c>
      <c r="V14" s="64">
        <f t="shared" si="13"/>
        <v>4</v>
      </c>
      <c r="W14" s="64" t="e">
        <f t="shared" si="14"/>
        <v>#VALUE!</v>
      </c>
      <c r="X14" s="64" t="e">
        <f t="shared" si="15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39002014</v>
      </c>
      <c r="B15" s="47" t="s">
        <v>232</v>
      </c>
      <c r="C15" s="50">
        <v>3</v>
      </c>
      <c r="D15" s="50" t="s">
        <v>129</v>
      </c>
      <c r="E15" s="51" t="s">
        <v>225</v>
      </c>
      <c r="F15" s="51" t="s">
        <v>233</v>
      </c>
      <c r="G15" s="64" t="str">
        <f t="shared" si="0"/>
        <v>[effect:nothing]</v>
      </c>
      <c r="H15" s="64">
        <f t="shared" si="1"/>
        <v>9</v>
      </c>
      <c r="I15" s="64">
        <f t="shared" si="2"/>
        <v>16</v>
      </c>
      <c r="J15" s="64" t="e">
        <f t="shared" si="3"/>
        <v>#VALUE!</v>
      </c>
      <c r="K15" s="64" t="e">
        <f t="shared" si="4"/>
        <v>#VALUE!</v>
      </c>
      <c r="L15" s="64" t="str">
        <f>IFERROR(VLOOKUP(MID(G15,J15,K15-J15),[6]skilldef!$C:$D,2,FALSE),"-") &amp; " / " &amp; IFERROR(VLOOKUP(MID(G15,H15,I15-H15),[6]skilldef!$A:$B,2,FALSE),"-")</f>
        <v>- / 何もしない</v>
      </c>
      <c r="M15" s="64" t="str">
        <f t="shared" si="5"/>
        <v>none</v>
      </c>
      <c r="N15" s="48" t="str">
        <f t="shared" si="6"/>
        <v>none</v>
      </c>
      <c r="O15" s="64" t="e">
        <f t="shared" si="7"/>
        <v>#VALUE!</v>
      </c>
      <c r="P15" s="64">
        <f t="shared" si="8"/>
        <v>4</v>
      </c>
      <c r="Q15" s="64" t="e">
        <f t="shared" si="9"/>
        <v>#VALUE!</v>
      </c>
      <c r="R15" s="64" t="e">
        <f t="shared" si="10"/>
        <v>#VALUE!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4" t="e">
        <f t="shared" si="12"/>
        <v>#VALUE!</v>
      </c>
      <c r="V15" s="64">
        <f t="shared" si="13"/>
        <v>4</v>
      </c>
      <c r="W15" s="64" t="e">
        <f t="shared" si="14"/>
        <v>#VALUE!</v>
      </c>
      <c r="X15" s="64" t="e">
        <f t="shared" si="15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39002015</v>
      </c>
      <c r="B16" s="47" t="s">
        <v>232</v>
      </c>
      <c r="C16" s="50">
        <v>3</v>
      </c>
      <c r="D16" s="50" t="s">
        <v>129</v>
      </c>
      <c r="E16" s="51" t="s">
        <v>225</v>
      </c>
      <c r="F16" s="51" t="s">
        <v>233</v>
      </c>
      <c r="G16" s="64" t="str">
        <f t="shared" si="0"/>
        <v>[effect:nothing]</v>
      </c>
      <c r="H16" s="64">
        <f t="shared" si="1"/>
        <v>9</v>
      </c>
      <c r="I16" s="64">
        <f t="shared" si="2"/>
        <v>16</v>
      </c>
      <c r="J16" s="64" t="e">
        <f t="shared" si="3"/>
        <v>#VALUE!</v>
      </c>
      <c r="K16" s="64" t="e">
        <f t="shared" si="4"/>
        <v>#VALUE!</v>
      </c>
      <c r="L16" s="64" t="str">
        <f>IFERROR(VLOOKUP(MID(G16,J16,K16-J16),[6]skilldef!$C:$D,2,FALSE),"-") &amp; " / " &amp; IFERROR(VLOOKUP(MID(G16,H16,I16-H16),[6]skilldef!$A:$B,2,FALSE),"-")</f>
        <v>- / 何もしない</v>
      </c>
      <c r="M16" s="64" t="str">
        <f t="shared" si="5"/>
        <v>none</v>
      </c>
      <c r="N16" s="48" t="str">
        <f t="shared" si="6"/>
        <v>none</v>
      </c>
      <c r="O16" s="64" t="e">
        <f t="shared" si="7"/>
        <v>#VALUE!</v>
      </c>
      <c r="P16" s="64">
        <f t="shared" si="8"/>
        <v>4</v>
      </c>
      <c r="Q16" s="64" t="e">
        <f t="shared" si="9"/>
        <v>#VALUE!</v>
      </c>
      <c r="R16" s="64" t="e">
        <f t="shared" si="10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4" t="e">
        <f t="shared" si="12"/>
        <v>#VALUE!</v>
      </c>
      <c r="V16" s="64">
        <f t="shared" si="13"/>
        <v>4</v>
      </c>
      <c r="W16" s="64" t="e">
        <f t="shared" si="14"/>
        <v>#VALUE!</v>
      </c>
      <c r="X16" s="64" t="e">
        <f t="shared" si="15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104">
        <v>39002016</v>
      </c>
      <c r="B17" s="47" t="s">
        <v>237</v>
      </c>
      <c r="C17" s="50">
        <v>3</v>
      </c>
      <c r="D17" s="50" t="s">
        <v>129</v>
      </c>
      <c r="E17" s="51" t="s">
        <v>249</v>
      </c>
      <c r="F17" s="51" t="s">
        <v>275</v>
      </c>
      <c r="G17" s="64" t="str">
        <f t="shared" si="0"/>
        <v>[effect:change_block, new_block:jammer, target:block_all, count:3, val:0, no_effect_msg:no_effect_msg_change_block_heal, animation:change_block]</v>
      </c>
      <c r="H17" s="64">
        <f t="shared" si="1"/>
        <v>9</v>
      </c>
      <c r="I17" s="64">
        <f t="shared" si="2"/>
        <v>21</v>
      </c>
      <c r="J17" s="64">
        <f t="shared" si="3"/>
        <v>48</v>
      </c>
      <c r="K17" s="64">
        <f t="shared" si="4"/>
        <v>39</v>
      </c>
      <c r="L17" s="64" t="str">
        <f>IFERROR(VLOOKUP(MID(G17,J17,K17-J17),[6]skilldef!$C:$D,2,FALSE),"-") &amp; " / " &amp; IFERROR(VLOOKUP(MID(G17,H17,I17-H17),[6]skilldef!$A:$B,2,FALSE),"-")</f>
        <v>- / ブロック変換</v>
      </c>
      <c r="M17" s="64" t="str">
        <f t="shared" si="5"/>
        <v>none</v>
      </c>
      <c r="N17" s="48" t="str">
        <f t="shared" si="6"/>
        <v>none</v>
      </c>
      <c r="O17" s="64" t="e">
        <f t="shared" si="7"/>
        <v>#VALUE!</v>
      </c>
      <c r="P17" s="64">
        <f t="shared" si="8"/>
        <v>4</v>
      </c>
      <c r="Q17" s="64" t="e">
        <f t="shared" si="9"/>
        <v>#VALUE!</v>
      </c>
      <c r="R17" s="64" t="e">
        <f t="shared" si="10"/>
        <v>#VALUE!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4" t="e">
        <f t="shared" si="12"/>
        <v>#VALUE!</v>
      </c>
      <c r="V17" s="64">
        <f t="shared" si="13"/>
        <v>4</v>
      </c>
      <c r="W17" s="64" t="e">
        <f t="shared" si="14"/>
        <v>#VALUE!</v>
      </c>
      <c r="X17" s="64" t="e">
        <f t="shared" si="15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39002017</v>
      </c>
      <c r="B18" s="47" t="s">
        <v>232</v>
      </c>
      <c r="C18" s="50">
        <v>3</v>
      </c>
      <c r="D18" s="50" t="s">
        <v>129</v>
      </c>
      <c r="E18" s="51" t="s">
        <v>226</v>
      </c>
      <c r="F18" s="51" t="s">
        <v>233</v>
      </c>
      <c r="G18" s="64" t="str">
        <f t="shared" si="0"/>
        <v>[effect:nothing]</v>
      </c>
      <c r="H18" s="64">
        <f t="shared" si="1"/>
        <v>9</v>
      </c>
      <c r="I18" s="64">
        <f t="shared" si="2"/>
        <v>16</v>
      </c>
      <c r="J18" s="64" t="e">
        <f t="shared" si="3"/>
        <v>#VALUE!</v>
      </c>
      <c r="K18" s="64" t="e">
        <f t="shared" si="4"/>
        <v>#VALUE!</v>
      </c>
      <c r="L18" s="64" t="str">
        <f>IFERROR(VLOOKUP(MID(G18,J18,K18-J18),[6]skilldef!$C:$D,2,FALSE),"-") &amp; " / " &amp; IFERROR(VLOOKUP(MID(G18,H18,I18-H18),[6]skilldef!$A:$B,2,FALSE),"-")</f>
        <v>- / 何もしない</v>
      </c>
      <c r="M18" s="64" t="str">
        <f t="shared" si="5"/>
        <v>none</v>
      </c>
      <c r="N18" s="48" t="str">
        <f t="shared" si="6"/>
        <v>none</v>
      </c>
      <c r="O18" s="64" t="e">
        <f t="shared" si="7"/>
        <v>#VALUE!</v>
      </c>
      <c r="P18" s="64">
        <f t="shared" si="8"/>
        <v>4</v>
      </c>
      <c r="Q18" s="64" t="e">
        <f t="shared" si="9"/>
        <v>#VALUE!</v>
      </c>
      <c r="R18" s="64" t="e">
        <f t="shared" si="10"/>
        <v>#VALUE!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4" t="e">
        <f t="shared" si="12"/>
        <v>#VALUE!</v>
      </c>
      <c r="V18" s="64">
        <f t="shared" si="13"/>
        <v>4</v>
      </c>
      <c r="W18" s="64" t="e">
        <f t="shared" si="14"/>
        <v>#VALUE!</v>
      </c>
      <c r="X18" s="64" t="e">
        <f t="shared" si="15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39002018</v>
      </c>
      <c r="B19" s="47" t="s">
        <v>232</v>
      </c>
      <c r="C19" s="50">
        <v>3</v>
      </c>
      <c r="D19" s="50" t="s">
        <v>129</v>
      </c>
      <c r="E19" s="51" t="s">
        <v>226</v>
      </c>
      <c r="F19" s="51" t="s">
        <v>233</v>
      </c>
      <c r="G19" s="64" t="str">
        <f t="shared" si="0"/>
        <v>[effect:nothing]</v>
      </c>
      <c r="H19" s="64">
        <f t="shared" si="1"/>
        <v>9</v>
      </c>
      <c r="I19" s="64">
        <f t="shared" si="2"/>
        <v>16</v>
      </c>
      <c r="J19" s="64" t="e">
        <f t="shared" si="3"/>
        <v>#VALUE!</v>
      </c>
      <c r="K19" s="64" t="e">
        <f t="shared" si="4"/>
        <v>#VALUE!</v>
      </c>
      <c r="L19" s="64" t="str">
        <f>IFERROR(VLOOKUP(MID(G19,J19,K19-J19),[6]skilldef!$C:$D,2,FALSE),"-") &amp; " / " &amp; IFERROR(VLOOKUP(MID(G19,H19,I19-H19),[6]skilldef!$A:$B,2,FALSE),"-")</f>
        <v>- / 何もしない</v>
      </c>
      <c r="M19" s="64" t="str">
        <f t="shared" si="5"/>
        <v>none</v>
      </c>
      <c r="N19" s="48" t="str">
        <f t="shared" si="6"/>
        <v>none</v>
      </c>
      <c r="O19" s="64" t="e">
        <f t="shared" si="7"/>
        <v>#VALUE!</v>
      </c>
      <c r="P19" s="64">
        <f t="shared" si="8"/>
        <v>4</v>
      </c>
      <c r="Q19" s="64" t="e">
        <f t="shared" si="9"/>
        <v>#VALUE!</v>
      </c>
      <c r="R19" s="64" t="e">
        <f t="shared" si="10"/>
        <v>#VALUE!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4" t="e">
        <f t="shared" si="12"/>
        <v>#VALUE!</v>
      </c>
      <c r="V19" s="64">
        <f t="shared" si="13"/>
        <v>4</v>
      </c>
      <c r="W19" s="64" t="e">
        <f t="shared" si="14"/>
        <v>#VALUE!</v>
      </c>
      <c r="X19" s="64" t="e">
        <f t="shared" si="15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39002019</v>
      </c>
      <c r="B20" s="47" t="s">
        <v>232</v>
      </c>
      <c r="C20" s="50">
        <v>3</v>
      </c>
      <c r="D20" s="50" t="s">
        <v>129</v>
      </c>
      <c r="E20" s="51" t="s">
        <v>226</v>
      </c>
      <c r="F20" s="51" t="s">
        <v>233</v>
      </c>
      <c r="G20" s="64" t="str">
        <f t="shared" si="0"/>
        <v>[effect:nothing]</v>
      </c>
      <c r="H20" s="64">
        <f t="shared" si="1"/>
        <v>9</v>
      </c>
      <c r="I20" s="64">
        <f t="shared" si="2"/>
        <v>16</v>
      </c>
      <c r="J20" s="64" t="e">
        <f t="shared" si="3"/>
        <v>#VALUE!</v>
      </c>
      <c r="K20" s="64" t="e">
        <f t="shared" si="4"/>
        <v>#VALUE!</v>
      </c>
      <c r="L20" s="64" t="str">
        <f>IFERROR(VLOOKUP(MID(G20,J20,K20-J20),[6]skilldef!$C:$D,2,FALSE),"-") &amp; " / " &amp; IFERROR(VLOOKUP(MID(G20,H20,I20-H20),[6]skilldef!$A:$B,2,FALSE),"-")</f>
        <v>- / 何もしない</v>
      </c>
      <c r="M20" s="64" t="str">
        <f t="shared" si="5"/>
        <v>none</v>
      </c>
      <c r="N20" s="48" t="str">
        <f t="shared" si="6"/>
        <v>none</v>
      </c>
      <c r="O20" s="64" t="e">
        <f t="shared" si="7"/>
        <v>#VALUE!</v>
      </c>
      <c r="P20" s="64">
        <f t="shared" si="8"/>
        <v>4</v>
      </c>
      <c r="Q20" s="64" t="e">
        <f t="shared" si="9"/>
        <v>#VALUE!</v>
      </c>
      <c r="R20" s="64" t="e">
        <f t="shared" si="10"/>
        <v>#VALUE!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4" t="e">
        <f t="shared" si="12"/>
        <v>#VALUE!</v>
      </c>
      <c r="V20" s="64">
        <f t="shared" si="13"/>
        <v>4</v>
      </c>
      <c r="W20" s="64" t="e">
        <f t="shared" si="14"/>
        <v>#VALUE!</v>
      </c>
      <c r="X20" s="64" t="e">
        <f t="shared" si="15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39002020</v>
      </c>
      <c r="B21" s="47" t="s">
        <v>232</v>
      </c>
      <c r="C21" s="50">
        <v>3</v>
      </c>
      <c r="D21" s="50" t="s">
        <v>129</v>
      </c>
      <c r="E21" s="51" t="s">
        <v>226</v>
      </c>
      <c r="F21" s="51" t="s">
        <v>233</v>
      </c>
      <c r="G21" s="64" t="str">
        <f t="shared" si="0"/>
        <v>[effect:nothing]</v>
      </c>
      <c r="H21" s="64">
        <f t="shared" si="1"/>
        <v>9</v>
      </c>
      <c r="I21" s="64">
        <f t="shared" si="2"/>
        <v>16</v>
      </c>
      <c r="J21" s="64" t="e">
        <f t="shared" si="3"/>
        <v>#VALUE!</v>
      </c>
      <c r="K21" s="64" t="e">
        <f t="shared" si="4"/>
        <v>#VALUE!</v>
      </c>
      <c r="L21" s="64" t="str">
        <f>IFERROR(VLOOKUP(MID(G21,J21,K21-J21),[6]skilldef!$C:$D,2,FALSE),"-") &amp; " / " &amp; IFERROR(VLOOKUP(MID(G21,H21,I21-H21),[6]skilldef!$A:$B,2,FALSE),"-")</f>
        <v>- / 何もしない</v>
      </c>
      <c r="M21" s="64" t="str">
        <f t="shared" si="5"/>
        <v>none</v>
      </c>
      <c r="N21" s="48" t="str">
        <f t="shared" si="6"/>
        <v>none</v>
      </c>
      <c r="O21" s="64" t="e">
        <f t="shared" si="7"/>
        <v>#VALUE!</v>
      </c>
      <c r="P21" s="64">
        <f t="shared" si="8"/>
        <v>4</v>
      </c>
      <c r="Q21" s="64" t="e">
        <f t="shared" si="9"/>
        <v>#VALUE!</v>
      </c>
      <c r="R21" s="64" t="e">
        <f t="shared" si="10"/>
        <v>#VALUE!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4" t="e">
        <f t="shared" si="12"/>
        <v>#VALUE!</v>
      </c>
      <c r="V21" s="64">
        <f t="shared" si="13"/>
        <v>4</v>
      </c>
      <c r="W21" s="64" t="e">
        <f t="shared" si="14"/>
        <v>#VALUE!</v>
      </c>
      <c r="X21" s="64" t="e">
        <f t="shared" si="15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04">
        <v>39002021</v>
      </c>
      <c r="B22" s="47" t="s">
        <v>245</v>
      </c>
      <c r="C22" s="50">
        <v>3</v>
      </c>
      <c r="D22" s="50" t="s">
        <v>129</v>
      </c>
      <c r="E22" s="51" t="s">
        <v>250</v>
      </c>
      <c r="F22" s="51" t="s">
        <v>84</v>
      </c>
      <c r="G22" s="64" t="str">
        <f t="shared" si="0"/>
        <v>[effect:heal, target:enemy_one, val:0.5, animation:enemy_heal]</v>
      </c>
      <c r="H22" s="64">
        <f t="shared" si="1"/>
        <v>9</v>
      </c>
      <c r="I22" s="64">
        <f t="shared" si="2"/>
        <v>13</v>
      </c>
      <c r="J22" s="64">
        <f t="shared" si="3"/>
        <v>22</v>
      </c>
      <c r="K22" s="64">
        <f t="shared" si="4"/>
        <v>31</v>
      </c>
      <c r="L22" s="64" t="str">
        <f>IFERROR(VLOOKUP(MID(G22,J22,K22-J22),[6]skilldef!$C:$D,2,FALSE),"-") &amp; " / " &amp; IFERROR(VLOOKUP(MID(G22,H22,I22-H22),[6]skilldef!$A:$B,2,FALSE),"-")</f>
        <v>敵単体に / 回復</v>
      </c>
      <c r="M22" s="64" t="str">
        <f t="shared" si="5"/>
        <v>none</v>
      </c>
      <c r="N22" s="48" t="str">
        <f t="shared" si="6"/>
        <v>none</v>
      </c>
      <c r="O22" s="64" t="e">
        <f t="shared" si="7"/>
        <v>#VALUE!</v>
      </c>
      <c r="P22" s="64">
        <f t="shared" si="8"/>
        <v>4</v>
      </c>
      <c r="Q22" s="64" t="e">
        <f t="shared" si="9"/>
        <v>#VALUE!</v>
      </c>
      <c r="R22" s="64" t="e">
        <f t="shared" si="10"/>
        <v>#VALUE!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4" t="e">
        <f t="shared" si="12"/>
        <v>#VALUE!</v>
      </c>
      <c r="V22" s="64">
        <f t="shared" si="13"/>
        <v>4</v>
      </c>
      <c r="W22" s="64" t="e">
        <f t="shared" si="14"/>
        <v>#VALUE!</v>
      </c>
      <c r="X22" s="64" t="e">
        <f t="shared" si="15"/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39002022</v>
      </c>
      <c r="B23" s="47" t="s">
        <v>232</v>
      </c>
      <c r="C23" s="50">
        <v>3</v>
      </c>
      <c r="D23" s="50" t="s">
        <v>129</v>
      </c>
      <c r="E23" s="51" t="s">
        <v>227</v>
      </c>
      <c r="F23" s="51" t="s">
        <v>233</v>
      </c>
      <c r="G23" s="64" t="str">
        <f t="shared" si="0"/>
        <v>[effect:nothing]</v>
      </c>
      <c r="H23" s="64">
        <f t="shared" si="1"/>
        <v>9</v>
      </c>
      <c r="I23" s="64">
        <f t="shared" si="2"/>
        <v>16</v>
      </c>
      <c r="J23" s="64" t="e">
        <f t="shared" si="3"/>
        <v>#VALUE!</v>
      </c>
      <c r="K23" s="64" t="e">
        <f t="shared" si="4"/>
        <v>#VALUE!</v>
      </c>
      <c r="L23" s="64" t="str">
        <f>IFERROR(VLOOKUP(MID(G23,J23,K23-J23),[6]skilldef!$C:$D,2,FALSE),"-") &amp; " / " &amp; IFERROR(VLOOKUP(MID(G23,H23,I23-H23),[6]skilldef!$A:$B,2,FALSE),"-")</f>
        <v>- / 何もしない</v>
      </c>
      <c r="M23" s="64" t="str">
        <f t="shared" si="5"/>
        <v>none</v>
      </c>
      <c r="N23" s="48" t="str">
        <f t="shared" si="6"/>
        <v>none</v>
      </c>
      <c r="O23" s="64" t="e">
        <f t="shared" si="7"/>
        <v>#VALUE!</v>
      </c>
      <c r="P23" s="64">
        <f t="shared" si="8"/>
        <v>4</v>
      </c>
      <c r="Q23" s="64" t="e">
        <f t="shared" si="9"/>
        <v>#VALUE!</v>
      </c>
      <c r="R23" s="64" t="e">
        <f t="shared" si="10"/>
        <v>#VALUE!</v>
      </c>
      <c r="S23" s="64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4" t="e">
        <f t="shared" si="12"/>
        <v>#VALUE!</v>
      </c>
      <c r="V23" s="64">
        <f t="shared" si="13"/>
        <v>4</v>
      </c>
      <c r="W23" s="64" t="e">
        <f t="shared" si="14"/>
        <v>#VALUE!</v>
      </c>
      <c r="X23" s="64" t="e">
        <f t="shared" si="15"/>
        <v>#VALUE!</v>
      </c>
      <c r="Y23" s="64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39002023</v>
      </c>
      <c r="B24" s="47" t="s">
        <v>232</v>
      </c>
      <c r="C24" s="50">
        <v>3</v>
      </c>
      <c r="D24" s="50" t="s">
        <v>129</v>
      </c>
      <c r="E24" s="51" t="s">
        <v>227</v>
      </c>
      <c r="F24" s="51" t="s">
        <v>233</v>
      </c>
      <c r="G24" s="64" t="str">
        <f t="shared" si="0"/>
        <v>[effect:nothing]</v>
      </c>
      <c r="H24" s="64">
        <f t="shared" si="1"/>
        <v>9</v>
      </c>
      <c r="I24" s="64">
        <f t="shared" si="2"/>
        <v>16</v>
      </c>
      <c r="J24" s="64" t="e">
        <f t="shared" si="3"/>
        <v>#VALUE!</v>
      </c>
      <c r="K24" s="64" t="e">
        <f t="shared" si="4"/>
        <v>#VALUE!</v>
      </c>
      <c r="L24" s="64" t="str">
        <f>IFERROR(VLOOKUP(MID(G24,J24,K24-J24),[6]skilldef!$C:$D,2,FALSE),"-") &amp; " / " &amp; IFERROR(VLOOKUP(MID(G24,H24,I24-H24),[6]skilldef!$A:$B,2,FALSE),"-")</f>
        <v>- / 何もしない</v>
      </c>
      <c r="M24" s="64" t="str">
        <f t="shared" si="5"/>
        <v>none</v>
      </c>
      <c r="N24" s="48" t="str">
        <f t="shared" si="6"/>
        <v>none</v>
      </c>
      <c r="O24" s="64" t="e">
        <f t="shared" si="7"/>
        <v>#VALUE!</v>
      </c>
      <c r="P24" s="64">
        <f t="shared" si="8"/>
        <v>4</v>
      </c>
      <c r="Q24" s="64" t="e">
        <f t="shared" si="9"/>
        <v>#VALUE!</v>
      </c>
      <c r="R24" s="64" t="e">
        <f t="shared" si="10"/>
        <v>#VALUE!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4" t="e">
        <f t="shared" si="12"/>
        <v>#VALUE!</v>
      </c>
      <c r="V24" s="64">
        <f t="shared" si="13"/>
        <v>4</v>
      </c>
      <c r="W24" s="64" t="e">
        <f t="shared" si="14"/>
        <v>#VALUE!</v>
      </c>
      <c r="X24" s="64" t="e">
        <f t="shared" si="15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39002024</v>
      </c>
      <c r="B25" s="47" t="s">
        <v>232</v>
      </c>
      <c r="C25" s="50">
        <v>3</v>
      </c>
      <c r="D25" s="50" t="s">
        <v>129</v>
      </c>
      <c r="E25" s="51" t="s">
        <v>227</v>
      </c>
      <c r="F25" s="51" t="s">
        <v>233</v>
      </c>
      <c r="G25" s="64" t="str">
        <f t="shared" si="0"/>
        <v>[effect:nothing]</v>
      </c>
      <c r="H25" s="64">
        <f t="shared" si="1"/>
        <v>9</v>
      </c>
      <c r="I25" s="64">
        <f t="shared" si="2"/>
        <v>16</v>
      </c>
      <c r="J25" s="64" t="e">
        <f t="shared" si="3"/>
        <v>#VALUE!</v>
      </c>
      <c r="K25" s="64" t="e">
        <f t="shared" si="4"/>
        <v>#VALUE!</v>
      </c>
      <c r="L25" s="64" t="str">
        <f>IFERROR(VLOOKUP(MID(G25,J25,K25-J25),[6]skilldef!$C:$D,2,FALSE),"-") &amp; " / " &amp; IFERROR(VLOOKUP(MID(G25,H25,I25-H25),[6]skilldef!$A:$B,2,FALSE),"-")</f>
        <v>- / 何もしない</v>
      </c>
      <c r="M25" s="64" t="str">
        <f t="shared" si="5"/>
        <v>none</v>
      </c>
      <c r="N25" s="48" t="str">
        <f t="shared" si="6"/>
        <v>none</v>
      </c>
      <c r="O25" s="64" t="e">
        <f t="shared" si="7"/>
        <v>#VALUE!</v>
      </c>
      <c r="P25" s="64">
        <f t="shared" si="8"/>
        <v>4</v>
      </c>
      <c r="Q25" s="64" t="e">
        <f t="shared" si="9"/>
        <v>#VALUE!</v>
      </c>
      <c r="R25" s="64" t="e">
        <f t="shared" si="10"/>
        <v>#VALUE!</v>
      </c>
      <c r="S25" s="64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4" t="e">
        <f t="shared" si="12"/>
        <v>#VALUE!</v>
      </c>
      <c r="V25" s="64">
        <f t="shared" si="13"/>
        <v>4</v>
      </c>
      <c r="W25" s="64" t="e">
        <f t="shared" si="14"/>
        <v>#VALUE!</v>
      </c>
      <c r="X25" s="64" t="e">
        <f t="shared" si="15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39002025</v>
      </c>
      <c r="B26" s="47" t="s">
        <v>232</v>
      </c>
      <c r="C26" s="50">
        <v>3</v>
      </c>
      <c r="D26" s="50" t="s">
        <v>129</v>
      </c>
      <c r="E26" s="51" t="s">
        <v>227</v>
      </c>
      <c r="F26" s="51" t="s">
        <v>233</v>
      </c>
      <c r="G26" s="64" t="str">
        <f t="shared" si="0"/>
        <v>[effect:nothing]</v>
      </c>
      <c r="H26" s="64">
        <f t="shared" si="1"/>
        <v>9</v>
      </c>
      <c r="I26" s="64">
        <f t="shared" si="2"/>
        <v>16</v>
      </c>
      <c r="J26" s="64" t="e">
        <f t="shared" si="3"/>
        <v>#VALUE!</v>
      </c>
      <c r="K26" s="64" t="e">
        <f t="shared" si="4"/>
        <v>#VALUE!</v>
      </c>
      <c r="L26" s="64" t="str">
        <f>IFERROR(VLOOKUP(MID(G26,J26,K26-J26),[6]skilldef!$C:$D,2,FALSE),"-") &amp; " / " &amp; IFERROR(VLOOKUP(MID(G26,H26,I26-H26),[6]skilldef!$A:$B,2,FALSE),"-")</f>
        <v>- / 何もしない</v>
      </c>
      <c r="M26" s="64" t="str">
        <f t="shared" si="5"/>
        <v>none</v>
      </c>
      <c r="N26" s="48" t="str">
        <f t="shared" si="6"/>
        <v>none</v>
      </c>
      <c r="O26" s="64" t="e">
        <f t="shared" si="7"/>
        <v>#VALUE!</v>
      </c>
      <c r="P26" s="64">
        <f t="shared" si="8"/>
        <v>4</v>
      </c>
      <c r="Q26" s="64" t="e">
        <f t="shared" si="9"/>
        <v>#VALUE!</v>
      </c>
      <c r="R26" s="64" t="e">
        <f t="shared" si="10"/>
        <v>#VALUE!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4" t="e">
        <f t="shared" si="12"/>
        <v>#VALUE!</v>
      </c>
      <c r="V26" s="64">
        <f t="shared" si="13"/>
        <v>4</v>
      </c>
      <c r="W26" s="64" t="e">
        <f t="shared" si="14"/>
        <v>#VALUE!</v>
      </c>
      <c r="X26" s="64" t="e">
        <f t="shared" si="15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104">
        <v>39002026</v>
      </c>
      <c r="B27" s="47" t="s">
        <v>255</v>
      </c>
      <c r="C27" s="50">
        <v>3</v>
      </c>
      <c r="D27" s="50" t="s">
        <v>129</v>
      </c>
      <c r="E27" s="51" t="s">
        <v>251</v>
      </c>
      <c r="F27" s="51" t="s">
        <v>301</v>
      </c>
      <c r="G27" s="64" t="str">
        <f t="shared" si="0"/>
        <v>[effect:enhance_enemy, target:enemy_all, turn:3, status:attack, val:1500, calc:add, animation:enemy_enhance_attack]</v>
      </c>
      <c r="H27" s="64">
        <f t="shared" si="1"/>
        <v>9</v>
      </c>
      <c r="I27" s="64">
        <f t="shared" si="2"/>
        <v>22</v>
      </c>
      <c r="J27" s="64">
        <f t="shared" si="3"/>
        <v>31</v>
      </c>
      <c r="K27" s="64">
        <f t="shared" si="4"/>
        <v>40</v>
      </c>
      <c r="L27" s="64" t="str">
        <f>IFERROR(VLOOKUP(MID(G27,J27,K27-J27),[6]skilldef!$C:$D,2,FALSE),"-") &amp; " / " &amp; IFERROR(VLOOKUP(MID(G27,H27,I27-H27),[6]skilldef!$A:$B,2,FALSE),"-")</f>
        <v>敵全体に / ステータス強化</v>
      </c>
      <c r="M27" s="64" t="str">
        <f t="shared" si="5"/>
        <v>none</v>
      </c>
      <c r="N27" s="48" t="str">
        <f t="shared" si="6"/>
        <v>none</v>
      </c>
      <c r="O27" s="64" t="e">
        <f t="shared" si="7"/>
        <v>#VALUE!</v>
      </c>
      <c r="P27" s="64">
        <f t="shared" si="8"/>
        <v>4</v>
      </c>
      <c r="Q27" s="64" t="e">
        <f t="shared" si="9"/>
        <v>#VALUE!</v>
      </c>
      <c r="R27" s="64" t="e">
        <f t="shared" si="10"/>
        <v>#VALUE!</v>
      </c>
      <c r="S27" s="64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4" t="e">
        <f t="shared" si="12"/>
        <v>#VALUE!</v>
      </c>
      <c r="V27" s="64">
        <f t="shared" si="13"/>
        <v>4</v>
      </c>
      <c r="W27" s="64" t="e">
        <f t="shared" si="14"/>
        <v>#VALUE!</v>
      </c>
      <c r="X27" s="64" t="e">
        <f t="shared" si="15"/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104">
        <v>39002027</v>
      </c>
      <c r="B28" s="47" t="s">
        <v>235</v>
      </c>
      <c r="C28" s="50">
        <v>3</v>
      </c>
      <c r="D28" s="50" t="s">
        <v>129</v>
      </c>
      <c r="E28" s="51" t="s">
        <v>253</v>
      </c>
      <c r="F28" s="51" t="s">
        <v>236</v>
      </c>
      <c r="G28" s="64" t="str">
        <f t="shared" si="0"/>
        <v>[effect:spread, val:0.3]</v>
      </c>
      <c r="H28" s="64">
        <f t="shared" si="1"/>
        <v>9</v>
      </c>
      <c r="I28" s="64">
        <f t="shared" si="2"/>
        <v>15</v>
      </c>
      <c r="J28" s="64" t="e">
        <f t="shared" si="3"/>
        <v>#VALUE!</v>
      </c>
      <c r="K28" s="64" t="e">
        <f t="shared" si="4"/>
        <v>#VALUE!</v>
      </c>
      <c r="L28" s="64" t="str">
        <f>IFERROR(VLOOKUP(MID(G28,J28,K28-J28),[6]skilldef!$C:$D,2,FALSE),"-") &amp; " / " &amp; IFERROR(VLOOKUP(MID(G28,H28,I28-H28),[6]skilldef!$A:$B,2,FALSE),"-")</f>
        <v>- / 全体攻撃</v>
      </c>
      <c r="M28" s="64" t="str">
        <f t="shared" si="5"/>
        <v>none</v>
      </c>
      <c r="N28" s="48" t="str">
        <f t="shared" si="6"/>
        <v>none</v>
      </c>
      <c r="O28" s="64" t="e">
        <f t="shared" si="7"/>
        <v>#VALUE!</v>
      </c>
      <c r="P28" s="64">
        <f t="shared" si="8"/>
        <v>4</v>
      </c>
      <c r="Q28" s="64" t="e">
        <f t="shared" si="9"/>
        <v>#VALUE!</v>
      </c>
      <c r="R28" s="64" t="e">
        <f t="shared" si="10"/>
        <v>#VALUE!</v>
      </c>
      <c r="S28" s="64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4" t="e">
        <f t="shared" si="12"/>
        <v>#VALUE!</v>
      </c>
      <c r="V28" s="64">
        <f t="shared" si="13"/>
        <v>4</v>
      </c>
      <c r="W28" s="64" t="e">
        <f t="shared" si="14"/>
        <v>#VALUE!</v>
      </c>
      <c r="X28" s="64" t="e">
        <f t="shared" si="15"/>
        <v>#VALUE!</v>
      </c>
      <c r="Y28" s="64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39002028</v>
      </c>
      <c r="B29" s="47" t="s">
        <v>232</v>
      </c>
      <c r="C29" s="50">
        <v>3</v>
      </c>
      <c r="D29" s="50" t="s">
        <v>129</v>
      </c>
      <c r="E29" s="51" t="s">
        <v>228</v>
      </c>
      <c r="F29" s="51" t="s">
        <v>233</v>
      </c>
      <c r="G29" s="64" t="str">
        <f t="shared" si="0"/>
        <v>[effect:nothing]</v>
      </c>
      <c r="H29" s="64">
        <f t="shared" si="1"/>
        <v>9</v>
      </c>
      <c r="I29" s="64">
        <f t="shared" si="2"/>
        <v>16</v>
      </c>
      <c r="J29" s="64" t="e">
        <f t="shared" si="3"/>
        <v>#VALUE!</v>
      </c>
      <c r="K29" s="64" t="e">
        <f t="shared" si="4"/>
        <v>#VALUE!</v>
      </c>
      <c r="L29" s="64" t="str">
        <f>IFERROR(VLOOKUP(MID(G29,J29,K29-J29),[6]skilldef!$C:$D,2,FALSE),"-") &amp; " / " &amp; IFERROR(VLOOKUP(MID(G29,H29,I29-H29),[6]skilldef!$A:$B,2,FALSE),"-")</f>
        <v>- / 何もしない</v>
      </c>
      <c r="M29" s="64" t="str">
        <f t="shared" si="5"/>
        <v>none</v>
      </c>
      <c r="N29" s="48" t="str">
        <f>IFERROR(LEFT(M29,FIND("],",M29)+S45),M29)</f>
        <v>none</v>
      </c>
      <c r="O29" s="64" t="e">
        <f t="shared" si="7"/>
        <v>#VALUE!</v>
      </c>
      <c r="P29" s="64">
        <f t="shared" si="8"/>
        <v>4</v>
      </c>
      <c r="Q29" s="64" t="e">
        <f t="shared" si="9"/>
        <v>#VALUE!</v>
      </c>
      <c r="R29" s="64" t="e">
        <f t="shared" si="10"/>
        <v>#VALUE!</v>
      </c>
      <c r="S29" s="64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4" t="e">
        <f t="shared" si="12"/>
        <v>#VALUE!</v>
      </c>
      <c r="V29" s="64">
        <f t="shared" si="13"/>
        <v>4</v>
      </c>
      <c r="W29" s="64" t="e">
        <f t="shared" si="14"/>
        <v>#VALUE!</v>
      </c>
      <c r="X29" s="64" t="e">
        <f t="shared" si="15"/>
        <v>#VALUE!</v>
      </c>
      <c r="Y29" s="64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39002029</v>
      </c>
      <c r="B30" s="47" t="s">
        <v>232</v>
      </c>
      <c r="C30" s="50">
        <v>3</v>
      </c>
      <c r="D30" s="50" t="s">
        <v>129</v>
      </c>
      <c r="E30" s="51" t="s">
        <v>228</v>
      </c>
      <c r="F30" s="51" t="s">
        <v>233</v>
      </c>
      <c r="G30" s="64" t="str">
        <f t="shared" si="0"/>
        <v>[effect:nothing]</v>
      </c>
      <c r="H30" s="64">
        <f t="shared" si="1"/>
        <v>9</v>
      </c>
      <c r="I30" s="64">
        <f t="shared" si="2"/>
        <v>16</v>
      </c>
      <c r="J30" s="64" t="e">
        <f t="shared" si="3"/>
        <v>#VALUE!</v>
      </c>
      <c r="K30" s="64" t="e">
        <f t="shared" si="4"/>
        <v>#VALUE!</v>
      </c>
      <c r="L30" s="64" t="str">
        <f>IFERROR(VLOOKUP(MID(G30,J30,K30-J30),[6]skilldef!$C:$D,2,FALSE),"-") &amp; " / " &amp; IFERROR(VLOOKUP(MID(G30,H30,I30-H30),[6]skilldef!$A:$B,2,FALSE),"-")</f>
        <v>- / 何もしない</v>
      </c>
      <c r="M30" s="64" t="str">
        <f t="shared" si="5"/>
        <v>none</v>
      </c>
      <c r="N30" s="48" t="str">
        <f>IFERROR(LEFT(M30,FIND("],",M30)+S46),M30)</f>
        <v>none</v>
      </c>
      <c r="O30" s="64" t="e">
        <f t="shared" si="7"/>
        <v>#VALUE!</v>
      </c>
      <c r="P30" s="64">
        <f t="shared" si="8"/>
        <v>4</v>
      </c>
      <c r="Q30" s="64" t="e">
        <f t="shared" si="9"/>
        <v>#VALUE!</v>
      </c>
      <c r="R30" s="64" t="e">
        <f t="shared" si="10"/>
        <v>#VALUE!</v>
      </c>
      <c r="S30" s="64" t="str">
        <f>IFERROR(VLOOKUP(MID(N30,Q30,R30-Q30),[6]skilldef!$C:$D,2,FALSE),"-") &amp; " / " &amp; IFERROR(VLOOKUP(MID(N30,O30,P30-O30),[6]skilldef!$A:$B,2,FALSE),"-")</f>
        <v>- / -</v>
      </c>
      <c r="T30" s="48" t="str">
        <f t="shared" si="11"/>
        <v>none</v>
      </c>
      <c r="U30" s="64" t="e">
        <f t="shared" si="12"/>
        <v>#VALUE!</v>
      </c>
      <c r="V30" s="64">
        <f t="shared" si="13"/>
        <v>4</v>
      </c>
      <c r="W30" s="64" t="e">
        <f t="shared" si="14"/>
        <v>#VALUE!</v>
      </c>
      <c r="X30" s="64" t="e">
        <f t="shared" si="15"/>
        <v>#VALUE!</v>
      </c>
      <c r="Y30" s="64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39002030</v>
      </c>
      <c r="B31" s="47" t="s">
        <v>232</v>
      </c>
      <c r="C31" s="50">
        <v>3</v>
      </c>
      <c r="D31" s="50" t="s">
        <v>129</v>
      </c>
      <c r="E31" s="51" t="s">
        <v>228</v>
      </c>
      <c r="F31" s="51" t="s">
        <v>233</v>
      </c>
      <c r="G31" s="64" t="str">
        <f t="shared" si="0"/>
        <v>[effect:nothing]</v>
      </c>
      <c r="H31" s="64">
        <f t="shared" si="1"/>
        <v>9</v>
      </c>
      <c r="I31" s="64">
        <f t="shared" si="2"/>
        <v>16</v>
      </c>
      <c r="J31" s="64" t="e">
        <f t="shared" si="3"/>
        <v>#VALUE!</v>
      </c>
      <c r="K31" s="64" t="e">
        <f t="shared" si="4"/>
        <v>#VALUE!</v>
      </c>
      <c r="L31" s="64" t="str">
        <f>IFERROR(VLOOKUP(MID(G31,J31,K31-J31),[6]skilldef!$C:$D,2,FALSE),"-") &amp; " / " &amp; IFERROR(VLOOKUP(MID(G31,H31,I31-H31),[6]skilldef!$A:$B,2,FALSE),"-")</f>
        <v>- / 何もしない</v>
      </c>
      <c r="M31" s="64" t="str">
        <f t="shared" si="5"/>
        <v>none</v>
      </c>
      <c r="N31" s="48" t="str">
        <f>IFERROR(LEFT(M31,FIND("],",M31)+S47),M31)</f>
        <v>none</v>
      </c>
      <c r="O31" s="64" t="e">
        <f t="shared" si="7"/>
        <v>#VALUE!</v>
      </c>
      <c r="P31" s="64">
        <f t="shared" si="8"/>
        <v>4</v>
      </c>
      <c r="Q31" s="64" t="e">
        <f t="shared" si="9"/>
        <v>#VALUE!</v>
      </c>
      <c r="R31" s="64" t="e">
        <f t="shared" si="10"/>
        <v>#VALUE!</v>
      </c>
      <c r="S31" s="64" t="str">
        <f>IFERROR(VLOOKUP(MID(N31,Q31,R31-Q31),[6]skilldef!$C:$D,2,FALSE),"-") &amp; " / " &amp; IFERROR(VLOOKUP(MID(N31,O31,P31-O31),[6]skilldef!$A:$B,2,FALSE),"-")</f>
        <v>- / -</v>
      </c>
      <c r="T31" s="48" t="str">
        <f t="shared" si="11"/>
        <v>none</v>
      </c>
      <c r="U31" s="64" t="e">
        <f t="shared" si="12"/>
        <v>#VALUE!</v>
      </c>
      <c r="V31" s="64">
        <f t="shared" si="13"/>
        <v>4</v>
      </c>
      <c r="W31" s="64" t="e">
        <f t="shared" si="14"/>
        <v>#VALUE!</v>
      </c>
      <c r="X31" s="64" t="e">
        <f t="shared" si="15"/>
        <v>#VALUE!</v>
      </c>
      <c r="Y31" s="64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104">
        <v>39002031</v>
      </c>
      <c r="B32" s="47" t="s">
        <v>256</v>
      </c>
      <c r="C32" s="50">
        <v>3</v>
      </c>
      <c r="D32" s="50" t="s">
        <v>129</v>
      </c>
      <c r="E32" s="51" t="s">
        <v>252</v>
      </c>
      <c r="F32" s="51" t="s">
        <v>300</v>
      </c>
      <c r="G32" s="64" t="str">
        <f t="shared" si="0"/>
        <v>[effect:enhance_enemy, target:enemy_all, turn:3, status:defense, val:1500, calc:add, animation:enemy_enhance_defense]</v>
      </c>
      <c r="H32" s="64">
        <f t="shared" si="1"/>
        <v>9</v>
      </c>
      <c r="I32" s="64">
        <f t="shared" si="2"/>
        <v>22</v>
      </c>
      <c r="J32" s="64">
        <f t="shared" si="3"/>
        <v>31</v>
      </c>
      <c r="K32" s="64">
        <f t="shared" si="4"/>
        <v>40</v>
      </c>
      <c r="L32" s="64" t="str">
        <f>IFERROR(VLOOKUP(MID(G32,J32,K32-J32),[6]skilldef!$C:$D,2,FALSE),"-") &amp; " / " &amp; IFERROR(VLOOKUP(MID(G32,H32,I32-H32),[6]skilldef!$A:$B,2,FALSE),"-")</f>
        <v>敵全体に / ステータス強化</v>
      </c>
      <c r="M32" s="64" t="str">
        <f t="shared" si="5"/>
        <v>none</v>
      </c>
      <c r="N32" s="48" t="str">
        <f>IFERROR(LEFT(M32,FIND("],",M32)+S48),M32)</f>
        <v>none</v>
      </c>
      <c r="O32" s="64" t="e">
        <f t="shared" si="7"/>
        <v>#VALUE!</v>
      </c>
      <c r="P32" s="64">
        <f t="shared" si="8"/>
        <v>4</v>
      </c>
      <c r="Q32" s="64" t="e">
        <f t="shared" si="9"/>
        <v>#VALUE!</v>
      </c>
      <c r="R32" s="64" t="e">
        <f t="shared" si="10"/>
        <v>#VALUE!</v>
      </c>
      <c r="S32" s="64" t="str">
        <f>IFERROR(VLOOKUP(MID(N32,Q32,R32-Q32),[6]skilldef!$C:$D,2,FALSE),"-") &amp; " / " &amp; IFERROR(VLOOKUP(MID(N32,O32,P32-O32),[6]skilldef!$A:$B,2,FALSE),"-")</f>
        <v>- / -</v>
      </c>
      <c r="T32" s="48" t="str">
        <f t="shared" si="11"/>
        <v>none</v>
      </c>
      <c r="U32" s="64" t="e">
        <f t="shared" si="12"/>
        <v>#VALUE!</v>
      </c>
      <c r="V32" s="64">
        <f t="shared" si="13"/>
        <v>4</v>
      </c>
      <c r="W32" s="64" t="e">
        <f t="shared" si="14"/>
        <v>#VALUE!</v>
      </c>
      <c r="X32" s="64" t="e">
        <f t="shared" si="15"/>
        <v>#VALUE!</v>
      </c>
      <c r="Y32" s="64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104">
        <v>39002032</v>
      </c>
      <c r="B33" s="47" t="s">
        <v>235</v>
      </c>
      <c r="C33" s="50">
        <v>3</v>
      </c>
      <c r="D33" s="50" t="s">
        <v>129</v>
      </c>
      <c r="E33" s="51" t="s">
        <v>253</v>
      </c>
      <c r="F33" s="51" t="s">
        <v>236</v>
      </c>
      <c r="G33" s="64" t="str">
        <f t="shared" si="0"/>
        <v>[effect:spread, val:0.3]</v>
      </c>
      <c r="H33" s="64">
        <f t="shared" si="1"/>
        <v>9</v>
      </c>
      <c r="I33" s="64">
        <f t="shared" si="2"/>
        <v>15</v>
      </c>
      <c r="J33" s="64" t="e">
        <f t="shared" si="3"/>
        <v>#VALUE!</v>
      </c>
      <c r="K33" s="64" t="e">
        <f t="shared" si="4"/>
        <v>#VALUE!</v>
      </c>
      <c r="L33" s="64" t="str">
        <f>IFERROR(VLOOKUP(MID(G33,J33,K33-J33),[6]skilldef!$C:$D,2,FALSE),"-") &amp; " / " &amp; IFERROR(VLOOKUP(MID(G33,H33,I33-H33),[6]skilldef!$A:$B,2,FALSE),"-")</f>
        <v>- / 全体攻撃</v>
      </c>
      <c r="M33" s="64" t="str">
        <f t="shared" si="5"/>
        <v>none</v>
      </c>
      <c r="N33" s="48" t="str">
        <f>IFERROR(LEFT(M33,FIND("],",M33)+S57),M33)</f>
        <v>none</v>
      </c>
      <c r="O33" s="64" t="e">
        <f t="shared" si="7"/>
        <v>#VALUE!</v>
      </c>
      <c r="P33" s="64">
        <f t="shared" si="8"/>
        <v>4</v>
      </c>
      <c r="Q33" s="64" t="e">
        <f t="shared" si="9"/>
        <v>#VALUE!</v>
      </c>
      <c r="R33" s="64" t="e">
        <f t="shared" si="10"/>
        <v>#VALUE!</v>
      </c>
      <c r="S33" s="64" t="str">
        <f>IFERROR(VLOOKUP(MID(N33,Q33,R33-Q33),[6]skilldef!$C:$D,2,FALSE),"-") &amp; " / " &amp; IFERROR(VLOOKUP(MID(N33,O33,P33-O33),[6]skilldef!$A:$B,2,FALSE),"-")</f>
        <v>- / -</v>
      </c>
      <c r="T33" s="48" t="str">
        <f t="shared" si="11"/>
        <v>none</v>
      </c>
      <c r="U33" s="64" t="e">
        <f t="shared" si="12"/>
        <v>#VALUE!</v>
      </c>
      <c r="V33" s="64">
        <f t="shared" si="13"/>
        <v>4</v>
      </c>
      <c r="W33" s="64" t="e">
        <f t="shared" si="14"/>
        <v>#VALUE!</v>
      </c>
      <c r="X33" s="64" t="e">
        <f t="shared" si="15"/>
        <v>#VALUE!</v>
      </c>
      <c r="Y33" s="64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39002033</v>
      </c>
      <c r="B34" s="47" t="s">
        <v>232</v>
      </c>
      <c r="C34" s="50">
        <v>3</v>
      </c>
      <c r="D34" s="50" t="s">
        <v>129</v>
      </c>
      <c r="E34" s="51" t="s">
        <v>229</v>
      </c>
      <c r="F34" s="51" t="s">
        <v>233</v>
      </c>
      <c r="G34" s="64" t="str">
        <f t="shared" si="0"/>
        <v>[effect:nothing]</v>
      </c>
      <c r="H34" s="64">
        <f t="shared" si="1"/>
        <v>9</v>
      </c>
      <c r="I34" s="64">
        <f t="shared" si="2"/>
        <v>16</v>
      </c>
      <c r="J34" s="64" t="e">
        <f t="shared" si="3"/>
        <v>#VALUE!</v>
      </c>
      <c r="K34" s="64" t="e">
        <f t="shared" si="4"/>
        <v>#VALUE!</v>
      </c>
      <c r="L34" s="64" t="str">
        <f>IFERROR(VLOOKUP(MID(G34,J34,K34-J34),[6]skilldef!$C:$D,2,FALSE),"-") &amp; " / " &amp; IFERROR(VLOOKUP(MID(G34,H34,I34-H34),[6]skilldef!$A:$B,2,FALSE),"-")</f>
        <v>- / 何もしない</v>
      </c>
      <c r="M34" s="64" t="str">
        <f t="shared" si="5"/>
        <v>none</v>
      </c>
      <c r="N34" s="48" t="str">
        <f>IFERROR(LEFT(M34,FIND("],",M34)+S58),M34)</f>
        <v>none</v>
      </c>
      <c r="O34" s="64" t="e">
        <f t="shared" si="7"/>
        <v>#VALUE!</v>
      </c>
      <c r="P34" s="64">
        <f t="shared" si="8"/>
        <v>4</v>
      </c>
      <c r="Q34" s="64" t="e">
        <f t="shared" si="9"/>
        <v>#VALUE!</v>
      </c>
      <c r="R34" s="64" t="e">
        <f t="shared" si="10"/>
        <v>#VALUE!</v>
      </c>
      <c r="S34" s="64" t="str">
        <f>IFERROR(VLOOKUP(MID(N34,Q34,R34-Q34),[6]skilldef!$C:$D,2,FALSE),"-") &amp; " / " &amp; IFERROR(VLOOKUP(MID(N34,O34,P34-O34),[6]skilldef!$A:$B,2,FALSE),"-")</f>
        <v>- / -</v>
      </c>
      <c r="T34" s="48" t="str">
        <f t="shared" si="11"/>
        <v>none</v>
      </c>
      <c r="U34" s="64" t="e">
        <f t="shared" si="12"/>
        <v>#VALUE!</v>
      </c>
      <c r="V34" s="64">
        <f t="shared" si="13"/>
        <v>4</v>
      </c>
      <c r="W34" s="64" t="e">
        <f t="shared" si="14"/>
        <v>#VALUE!</v>
      </c>
      <c r="X34" s="64" t="e">
        <f t="shared" si="15"/>
        <v>#VALUE!</v>
      </c>
      <c r="Y34" s="64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39002034</v>
      </c>
      <c r="B35" s="47" t="s">
        <v>232</v>
      </c>
      <c r="C35" s="50">
        <v>3</v>
      </c>
      <c r="D35" s="50" t="s">
        <v>129</v>
      </c>
      <c r="E35" s="51" t="s">
        <v>229</v>
      </c>
      <c r="F35" s="51" t="s">
        <v>233</v>
      </c>
      <c r="G35" s="64" t="str">
        <f t="shared" si="0"/>
        <v>[effect:nothing]</v>
      </c>
      <c r="H35" s="64">
        <f t="shared" si="1"/>
        <v>9</v>
      </c>
      <c r="I35" s="64">
        <f t="shared" si="2"/>
        <v>16</v>
      </c>
      <c r="J35" s="64" t="e">
        <f t="shared" si="3"/>
        <v>#VALUE!</v>
      </c>
      <c r="K35" s="64" t="e">
        <f t="shared" si="4"/>
        <v>#VALUE!</v>
      </c>
      <c r="L35" s="64" t="str">
        <f>IFERROR(VLOOKUP(MID(G35,J35,K35-J35),[6]skilldef!$C:$D,2,FALSE),"-") &amp; " / " &amp; IFERROR(VLOOKUP(MID(G35,H35,I35-H35),[6]skilldef!$A:$B,2,FALSE),"-")</f>
        <v>- / 何もしない</v>
      </c>
      <c r="M35" s="64" t="str">
        <f t="shared" si="5"/>
        <v>none</v>
      </c>
      <c r="N35" s="48" t="str">
        <f>IFERROR(LEFT(M35,FIND("],",M35)+S59),M35)</f>
        <v>none</v>
      </c>
      <c r="O35" s="64" t="e">
        <f t="shared" si="7"/>
        <v>#VALUE!</v>
      </c>
      <c r="P35" s="64">
        <f t="shared" si="8"/>
        <v>4</v>
      </c>
      <c r="Q35" s="64" t="e">
        <f t="shared" si="9"/>
        <v>#VALUE!</v>
      </c>
      <c r="R35" s="64" t="e">
        <f t="shared" si="10"/>
        <v>#VALUE!</v>
      </c>
      <c r="S35" s="64" t="str">
        <f>IFERROR(VLOOKUP(MID(N35,Q35,R35-Q35),[6]skilldef!$C:$D,2,FALSE),"-") &amp; " / " &amp; IFERROR(VLOOKUP(MID(N35,O35,P35-O35),[6]skilldef!$A:$B,2,FALSE),"-")</f>
        <v>- / -</v>
      </c>
      <c r="T35" s="48" t="str">
        <f t="shared" si="11"/>
        <v>none</v>
      </c>
      <c r="U35" s="64" t="e">
        <f t="shared" si="12"/>
        <v>#VALUE!</v>
      </c>
      <c r="V35" s="64">
        <f t="shared" si="13"/>
        <v>4</v>
      </c>
      <c r="W35" s="64" t="e">
        <f t="shared" si="14"/>
        <v>#VALUE!</v>
      </c>
      <c r="X35" s="64" t="e">
        <f t="shared" si="15"/>
        <v>#VALUE!</v>
      </c>
      <c r="Y35" s="64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39002035</v>
      </c>
      <c r="B36" s="47" t="s">
        <v>232</v>
      </c>
      <c r="C36" s="50">
        <v>3</v>
      </c>
      <c r="D36" s="50" t="s">
        <v>129</v>
      </c>
      <c r="E36" s="51" t="s">
        <v>229</v>
      </c>
      <c r="F36" s="51" t="s">
        <v>233</v>
      </c>
      <c r="G36" s="64" t="str">
        <f t="shared" si="0"/>
        <v>[effect:nothing]</v>
      </c>
      <c r="H36" s="64">
        <f t="shared" si="1"/>
        <v>9</v>
      </c>
      <c r="I36" s="64">
        <f t="shared" si="2"/>
        <v>16</v>
      </c>
      <c r="J36" s="64" t="e">
        <f t="shared" si="3"/>
        <v>#VALUE!</v>
      </c>
      <c r="K36" s="64" t="e">
        <f t="shared" si="4"/>
        <v>#VALUE!</v>
      </c>
      <c r="L36" s="64" t="str">
        <f>IFERROR(VLOOKUP(MID(G36,J36,K36-J36),[6]skilldef!$C:$D,2,FALSE),"-") &amp; " / " &amp; IFERROR(VLOOKUP(MID(G36,H36,I36-H36),[6]skilldef!$A:$B,2,FALSE),"-")</f>
        <v>- / 何もしない</v>
      </c>
      <c r="M36" s="64" t="str">
        <f t="shared" si="5"/>
        <v>none</v>
      </c>
      <c r="N36" s="48" t="str">
        <f>IFERROR(LEFT(M36,FIND("],",M36)+S60),M36)</f>
        <v>none</v>
      </c>
      <c r="O36" s="64" t="e">
        <f t="shared" si="7"/>
        <v>#VALUE!</v>
      </c>
      <c r="P36" s="64">
        <f t="shared" si="8"/>
        <v>4</v>
      </c>
      <c r="Q36" s="64" t="e">
        <f t="shared" si="9"/>
        <v>#VALUE!</v>
      </c>
      <c r="R36" s="64" t="e">
        <f t="shared" si="10"/>
        <v>#VALUE!</v>
      </c>
      <c r="S36" s="64" t="str">
        <f>IFERROR(VLOOKUP(MID(N36,Q36,R36-Q36),[6]skilldef!$C:$D,2,FALSE),"-") &amp; " / " &amp; IFERROR(VLOOKUP(MID(N36,O36,P36-O36),[6]skilldef!$A:$B,2,FALSE),"-")</f>
        <v>- / -</v>
      </c>
      <c r="T36" s="48" t="str">
        <f t="shared" si="11"/>
        <v>none</v>
      </c>
      <c r="U36" s="64" t="e">
        <f t="shared" si="12"/>
        <v>#VALUE!</v>
      </c>
      <c r="V36" s="64">
        <f t="shared" si="13"/>
        <v>4</v>
      </c>
      <c r="W36" s="64" t="e">
        <f t="shared" si="14"/>
        <v>#VALUE!</v>
      </c>
      <c r="X36" s="64" t="e">
        <f t="shared" si="15"/>
        <v>#VALUE!</v>
      </c>
      <c r="Y36" s="64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39002036</v>
      </c>
      <c r="B37" s="47" t="s">
        <v>232</v>
      </c>
      <c r="C37" s="50">
        <v>3</v>
      </c>
      <c r="D37" s="50" t="s">
        <v>129</v>
      </c>
      <c r="E37" s="51" t="s">
        <v>229</v>
      </c>
      <c r="F37" s="51" t="s">
        <v>233</v>
      </c>
      <c r="G37" s="64" t="str">
        <f t="shared" si="0"/>
        <v>[effect:nothing]</v>
      </c>
      <c r="H37" s="64">
        <f t="shared" si="1"/>
        <v>9</v>
      </c>
      <c r="I37" s="64">
        <f t="shared" si="2"/>
        <v>16</v>
      </c>
      <c r="J37" s="64" t="e">
        <f t="shared" si="3"/>
        <v>#VALUE!</v>
      </c>
      <c r="K37" s="64" t="e">
        <f t="shared" si="4"/>
        <v>#VALUE!</v>
      </c>
      <c r="L37" s="64" t="str">
        <f>IFERROR(VLOOKUP(MID(G37,J37,K37-J37),[6]skilldef!$C:$D,2,FALSE),"-") &amp; " / " &amp; IFERROR(VLOOKUP(MID(G37,H37,I37-H37),[6]skilldef!$A:$B,2,FALSE),"-")</f>
        <v>- / 何もしない</v>
      </c>
      <c r="M37" s="64" t="str">
        <f t="shared" si="5"/>
        <v>none</v>
      </c>
      <c r="N37" s="48" t="str">
        <f>IFERROR(LEFT(M37,FIND("],",M37)+S63),M37)</f>
        <v>none</v>
      </c>
      <c r="O37" s="64" t="e">
        <f t="shared" si="7"/>
        <v>#VALUE!</v>
      </c>
      <c r="P37" s="64">
        <f t="shared" si="8"/>
        <v>4</v>
      </c>
      <c r="Q37" s="64" t="e">
        <f t="shared" si="9"/>
        <v>#VALUE!</v>
      </c>
      <c r="R37" s="64" t="e">
        <f t="shared" si="10"/>
        <v>#VALUE!</v>
      </c>
      <c r="S37" s="64" t="str">
        <f>IFERROR(VLOOKUP(MID(N37,Q37,R37-Q37),[6]skilldef!$C:$D,2,FALSE),"-") &amp; " / " &amp; IFERROR(VLOOKUP(MID(N37,O37,P37-O37),[6]skilldef!$A:$B,2,FALSE),"-")</f>
        <v>- / -</v>
      </c>
      <c r="T37" s="48" t="str">
        <f t="shared" si="11"/>
        <v>none</v>
      </c>
      <c r="U37" s="64" t="e">
        <f t="shared" si="12"/>
        <v>#VALUE!</v>
      </c>
      <c r="V37" s="64">
        <f t="shared" si="13"/>
        <v>4</v>
      </c>
      <c r="W37" s="64" t="e">
        <f t="shared" si="14"/>
        <v>#VALUE!</v>
      </c>
      <c r="X37" s="64" t="e">
        <f t="shared" si="15"/>
        <v>#VALUE!</v>
      </c>
      <c r="Y37" s="64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105">
        <v>39002037</v>
      </c>
      <c r="B38" s="47" t="s">
        <v>242</v>
      </c>
      <c r="C38" s="50">
        <v>3</v>
      </c>
      <c r="D38" s="50" t="s">
        <v>129</v>
      </c>
      <c r="E38" s="51" t="s">
        <v>284</v>
      </c>
      <c r="F38" s="51" t="s">
        <v>276</v>
      </c>
      <c r="G38" s="64" t="str">
        <f t="shared" si="0"/>
        <v>[effect:change_attribute, target:myself, color:red, turn:-1, animation:change_attribute_red]</v>
      </c>
      <c r="H38" s="64">
        <f t="shared" si="1"/>
        <v>9</v>
      </c>
      <c r="I38" s="64">
        <f t="shared" si="2"/>
        <v>25</v>
      </c>
      <c r="J38" s="64">
        <f t="shared" si="3"/>
        <v>34</v>
      </c>
      <c r="K38" s="64">
        <f t="shared" si="4"/>
        <v>40</v>
      </c>
      <c r="L38" s="64" t="str">
        <f>IFERROR(VLOOKUP(MID(G38,J38,K38-J38),[6]skilldef!$C:$D,2,FALSE),"-") &amp; " / " &amp; IFERROR(VLOOKUP(MID(G38,H38,I38-H38),[6]skilldef!$A:$B,2,FALSE),"-")</f>
        <v>自分自身に / -</v>
      </c>
      <c r="M38" s="64" t="str">
        <f t="shared" si="5"/>
        <v>[effect:change_block, new_block:jammer, target:block_all, count:4, val:0, no_effect_msg:no_effect_msg_change_block_heal, animation:change_block]</v>
      </c>
      <c r="N38" s="48" t="str">
        <f>IFERROR(LEFT(M38,FIND("],",M38)+#REF!),M38)</f>
        <v>[effect:change_block, new_block:jammer, target:block_all, count:4, val:0, no_effect_msg:no_effect_msg_change_block_heal, animation:change_block]</v>
      </c>
      <c r="O38" s="64">
        <f t="shared" si="7"/>
        <v>9</v>
      </c>
      <c r="P38" s="64">
        <f t="shared" si="8"/>
        <v>21</v>
      </c>
      <c r="Q38" s="64">
        <f t="shared" si="9"/>
        <v>48</v>
      </c>
      <c r="R38" s="64">
        <f t="shared" si="10"/>
        <v>39</v>
      </c>
      <c r="S38" s="64" t="str">
        <f>IFERROR(VLOOKUP(MID(N38,Q38,R38-Q38),[6]skilldef!$C:$D,2,FALSE),"-") &amp; " / " &amp; IFERROR(VLOOKUP(MID(N38,O38,P38-O38),[6]skilldef!$A:$B,2,FALSE),"-")</f>
        <v>- / ブロック変換</v>
      </c>
      <c r="T38" s="48" t="str">
        <f t="shared" si="11"/>
        <v>none</v>
      </c>
      <c r="U38" s="64" t="e">
        <f t="shared" si="12"/>
        <v>#VALUE!</v>
      </c>
      <c r="V38" s="64">
        <f t="shared" si="13"/>
        <v>4</v>
      </c>
      <c r="W38" s="64" t="e">
        <f t="shared" si="14"/>
        <v>#VALUE!</v>
      </c>
      <c r="X38" s="64" t="e">
        <f t="shared" si="15"/>
        <v>#VALUE!</v>
      </c>
      <c r="Y38" s="64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105">
        <v>39002038</v>
      </c>
      <c r="B39" s="47" t="s">
        <v>242</v>
      </c>
      <c r="C39" s="50">
        <v>3</v>
      </c>
      <c r="D39" s="50" t="s">
        <v>129</v>
      </c>
      <c r="E39" s="51" t="s">
        <v>284</v>
      </c>
      <c r="F39" s="51" t="s">
        <v>277</v>
      </c>
      <c r="G39" s="64" t="str">
        <f t="shared" ref="G39" si="16">IFERROR(LEFT(B39,FIND("],",B39)),B39)</f>
        <v>[effect:change_attribute, target:myself, color:red, turn:-1, animation:change_attribute_red]</v>
      </c>
      <c r="H39" s="64">
        <f t="shared" ref="H39" si="17">FIND("effect:",G39)+7</f>
        <v>9</v>
      </c>
      <c r="I39" s="64">
        <f t="shared" ref="I39" si="18">IFERROR(FIND(",",G39),LEN(G39))</f>
        <v>25</v>
      </c>
      <c r="J39" s="64">
        <f t="shared" ref="J39" si="19">FIND("target:",G39)+7</f>
        <v>34</v>
      </c>
      <c r="K39" s="64">
        <f t="shared" ref="K39" si="20">FIND(",",G39,I39+1)</f>
        <v>40</v>
      </c>
      <c r="L39" s="64" t="str">
        <f>IFERROR(VLOOKUP(MID(G39,J39,K39-J39),[6]skilldef!$C:$D,2,FALSE),"-") &amp; " / " &amp; IFERROR(VLOOKUP(MID(G39,H39,I39-H39),[6]skilldef!$A:$B,2,FALSE),"-")</f>
        <v>自分自身に / -</v>
      </c>
      <c r="M39" s="64" t="str">
        <f t="shared" ref="M39" si="21">IFERROR(RIGHT(B39,LEN(B39)-FIND("],",B39)-1),"none")</f>
        <v>[effect:change_block, new_block:jammer, target:block_all, count:4, val:0, no_effect_msg:no_effect_msg_change_block_heal, animation:change_block]</v>
      </c>
      <c r="N39" s="48" t="str">
        <f>IFERROR(LEFT(M39,FIND("],",M39)+#REF!),M39)</f>
        <v>[effect:change_block, new_block:jammer, target:block_all, count:4, val:0, no_effect_msg:no_effect_msg_change_block_heal, animation:change_block]</v>
      </c>
      <c r="O39" s="64">
        <f t="shared" ref="O39" si="22">FIND("effect:",N39)+7</f>
        <v>9</v>
      </c>
      <c r="P39" s="64">
        <f t="shared" ref="P39" si="23">IFERROR(FIND(",",N39),LEN(N39))</f>
        <v>21</v>
      </c>
      <c r="Q39" s="64">
        <f t="shared" ref="Q39" si="24">FIND("target:",N39)+7</f>
        <v>48</v>
      </c>
      <c r="R39" s="64">
        <f t="shared" ref="R39" si="25">FIND(",",N39,P39+1)</f>
        <v>39</v>
      </c>
      <c r="S39" s="64" t="str">
        <f>IFERROR(VLOOKUP(MID(N39,Q39,R39-Q39),[6]skilldef!$C:$D,2,FALSE),"-") &amp; " / " &amp; IFERROR(VLOOKUP(MID(N39,O39,P39-O39),[6]skilldef!$A:$B,2,FALSE),"-")</f>
        <v>- / ブロック変換</v>
      </c>
      <c r="T39" s="48" t="str">
        <f t="shared" ref="T39" si="26">IFERROR(RIGHT(M39,LEN(M39)-FIND("],",M39)-1),"none")</f>
        <v>none</v>
      </c>
      <c r="U39" s="64" t="e">
        <f t="shared" ref="U39" si="27">FIND("effect:",T39)+7</f>
        <v>#VALUE!</v>
      </c>
      <c r="V39" s="64">
        <f t="shared" ref="V39" si="28">IFERROR(FIND(",",T39),LEN(T39))</f>
        <v>4</v>
      </c>
      <c r="W39" s="64" t="e">
        <f t="shared" ref="W39" si="29">FIND("target:",T39)+7</f>
        <v>#VALUE!</v>
      </c>
      <c r="X39" s="64" t="e">
        <f t="shared" ref="X39" si="30">FIND(",",T39,V39+1)</f>
        <v>#VALUE!</v>
      </c>
      <c r="Y39" s="64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105">
        <v>39002039</v>
      </c>
      <c r="B40" s="47" t="s">
        <v>258</v>
      </c>
      <c r="C40" s="50">
        <v>3</v>
      </c>
      <c r="D40" s="50" t="s">
        <v>129</v>
      </c>
      <c r="E40" s="51" t="s">
        <v>282</v>
      </c>
      <c r="F40" s="51" t="s">
        <v>278</v>
      </c>
      <c r="G40" s="64" t="str">
        <f t="shared" ref="G40" si="31">IFERROR(LEFT(B40,FIND("],",B40)),B40)</f>
        <v>[effect:change_attribute, target:myself, color:blue, turn:-1, animation:change_attribute_blue]</v>
      </c>
      <c r="H40" s="64">
        <f t="shared" ref="H40" si="32">FIND("effect:",G40)+7</f>
        <v>9</v>
      </c>
      <c r="I40" s="64">
        <f t="shared" ref="I40" si="33">IFERROR(FIND(",",G40),LEN(G40))</f>
        <v>25</v>
      </c>
      <c r="J40" s="64">
        <f t="shared" ref="J40" si="34">FIND("target:",G40)+7</f>
        <v>34</v>
      </c>
      <c r="K40" s="64">
        <f t="shared" ref="K40" si="35">FIND(",",G40,I40+1)</f>
        <v>40</v>
      </c>
      <c r="L40" s="64" t="str">
        <f>IFERROR(VLOOKUP(MID(G40,J40,K40-J40),[6]skilldef!$C:$D,2,FALSE),"-") &amp; " / " &amp; IFERROR(VLOOKUP(MID(G40,H40,I40-H40),[6]skilldef!$A:$B,2,FALSE),"-")</f>
        <v>自分自身に / -</v>
      </c>
      <c r="M40" s="64" t="str">
        <f t="shared" ref="M40" si="36">IFERROR(RIGHT(B40,LEN(B40)-FIND("],",B40)-1),"none")</f>
        <v>[effect:change_block, new_block:jammer, target:block_all, count:4, val:0, no_effect_msg:no_effect_msg_change_block_heal, animation:change_block]</v>
      </c>
      <c r="N40" s="48" t="str">
        <f>IFERROR(LEFT(M40,FIND("],",M40)+#REF!),M40)</f>
        <v>[effect:change_block, new_block:jammer, target:block_all, count:4, val:0, no_effect_msg:no_effect_msg_change_block_heal, animation:change_block]</v>
      </c>
      <c r="O40" s="64">
        <f t="shared" ref="O40" si="37">FIND("effect:",N40)+7</f>
        <v>9</v>
      </c>
      <c r="P40" s="64">
        <f t="shared" ref="P40" si="38">IFERROR(FIND(",",N40),LEN(N40))</f>
        <v>21</v>
      </c>
      <c r="Q40" s="64">
        <f t="shared" ref="Q40" si="39">FIND("target:",N40)+7</f>
        <v>48</v>
      </c>
      <c r="R40" s="64">
        <f t="shared" ref="R40" si="40">FIND(",",N40,P40+1)</f>
        <v>39</v>
      </c>
      <c r="S40" s="64" t="str">
        <f>IFERROR(VLOOKUP(MID(N40,Q40,R40-Q40),[6]skilldef!$C:$D,2,FALSE),"-") &amp; " / " &amp; IFERROR(VLOOKUP(MID(N40,O40,P40-O40),[6]skilldef!$A:$B,2,FALSE),"-")</f>
        <v>- / ブロック変換</v>
      </c>
      <c r="T40" s="48" t="str">
        <f t="shared" ref="T40" si="41">IFERROR(RIGHT(M40,LEN(M40)-FIND("],",M40)-1),"none")</f>
        <v>none</v>
      </c>
      <c r="U40" s="64" t="e">
        <f t="shared" ref="U40" si="42">FIND("effect:",T40)+7</f>
        <v>#VALUE!</v>
      </c>
      <c r="V40" s="64">
        <f t="shared" ref="V40" si="43">IFERROR(FIND(",",T40),LEN(T40))</f>
        <v>4</v>
      </c>
      <c r="W40" s="64" t="e">
        <f t="shared" ref="W40" si="44">FIND("target:",T40)+7</f>
        <v>#VALUE!</v>
      </c>
      <c r="X40" s="64" t="e">
        <f t="shared" ref="X40" si="45">FIND(",",T40,V40+1)</f>
        <v>#VALUE!</v>
      </c>
      <c r="Y40" s="64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105">
        <v>39002040</v>
      </c>
      <c r="B41" s="47" t="s">
        <v>258</v>
      </c>
      <c r="C41" s="50">
        <v>3</v>
      </c>
      <c r="D41" s="50" t="s">
        <v>129</v>
      </c>
      <c r="E41" s="51" t="s">
        <v>282</v>
      </c>
      <c r="F41" s="51" t="s">
        <v>278</v>
      </c>
      <c r="G41" s="64" t="str">
        <f t="shared" ref="G41" si="46">IFERROR(LEFT(B41,FIND("],",B41)),B41)</f>
        <v>[effect:change_attribute, target:myself, color:blue, turn:-1, animation:change_attribute_blue]</v>
      </c>
      <c r="H41" s="64">
        <f t="shared" ref="H41" si="47">FIND("effect:",G41)+7</f>
        <v>9</v>
      </c>
      <c r="I41" s="64">
        <f t="shared" ref="I41" si="48">IFERROR(FIND(",",G41),LEN(G41))</f>
        <v>25</v>
      </c>
      <c r="J41" s="64">
        <f t="shared" ref="J41" si="49">FIND("target:",G41)+7</f>
        <v>34</v>
      </c>
      <c r="K41" s="64">
        <f t="shared" ref="K41" si="50">FIND(",",G41,I41+1)</f>
        <v>40</v>
      </c>
      <c r="L41" s="64" t="str">
        <f>IFERROR(VLOOKUP(MID(G41,J41,K41-J41),[6]skilldef!$C:$D,2,FALSE),"-") &amp; " / " &amp; IFERROR(VLOOKUP(MID(G41,H41,I41-H41),[6]skilldef!$A:$B,2,FALSE),"-")</f>
        <v>自分自身に / -</v>
      </c>
      <c r="M41" s="64" t="str">
        <f t="shared" ref="M41" si="51">IFERROR(RIGHT(B41,LEN(B41)-FIND("],",B41)-1),"none")</f>
        <v>[effect:change_block, new_block:jammer, target:block_all, count:4, val:0, no_effect_msg:no_effect_msg_change_block_heal, animation:change_block]</v>
      </c>
      <c r="N41" s="48" t="str">
        <f>IFERROR(LEFT(M41,FIND("],",M41)+#REF!),M41)</f>
        <v>[effect:change_block, new_block:jammer, target:block_all, count:4, val:0, no_effect_msg:no_effect_msg_change_block_heal, animation:change_block]</v>
      </c>
      <c r="O41" s="64">
        <f t="shared" ref="O41" si="52">FIND("effect:",N41)+7</f>
        <v>9</v>
      </c>
      <c r="P41" s="64">
        <f t="shared" ref="P41" si="53">IFERROR(FIND(",",N41),LEN(N41))</f>
        <v>21</v>
      </c>
      <c r="Q41" s="64">
        <f t="shared" ref="Q41" si="54">FIND("target:",N41)+7</f>
        <v>48</v>
      </c>
      <c r="R41" s="64">
        <f t="shared" ref="R41" si="55">FIND(",",N41,P41+1)</f>
        <v>39</v>
      </c>
      <c r="S41" s="64" t="str">
        <f>IFERROR(VLOOKUP(MID(N41,Q41,R41-Q41),[6]skilldef!$C:$D,2,FALSE),"-") &amp; " / " &amp; IFERROR(VLOOKUP(MID(N41,O41,P41-O41),[6]skilldef!$A:$B,2,FALSE),"-")</f>
        <v>- / ブロック変換</v>
      </c>
      <c r="T41" s="48" t="str">
        <f t="shared" ref="T41" si="56">IFERROR(RIGHT(M41,LEN(M41)-FIND("],",M41)-1),"none")</f>
        <v>none</v>
      </c>
      <c r="U41" s="64" t="e">
        <f t="shared" ref="U41" si="57">FIND("effect:",T41)+7</f>
        <v>#VALUE!</v>
      </c>
      <c r="V41" s="64">
        <f t="shared" ref="V41" si="58">IFERROR(FIND(",",T41),LEN(T41))</f>
        <v>4</v>
      </c>
      <c r="W41" s="64" t="e">
        <f t="shared" ref="W41" si="59">FIND("target:",T41)+7</f>
        <v>#VALUE!</v>
      </c>
      <c r="X41" s="64" t="e">
        <f t="shared" ref="X41" si="60">FIND(",",T41,V41+1)</f>
        <v>#VALUE!</v>
      </c>
      <c r="Y41" s="64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105">
        <v>39002041</v>
      </c>
      <c r="B42" s="47" t="s">
        <v>232</v>
      </c>
      <c r="C42" s="50">
        <v>3</v>
      </c>
      <c r="D42" s="50" t="s">
        <v>129</v>
      </c>
      <c r="E42" s="51" t="s">
        <v>283</v>
      </c>
      <c r="F42" s="51" t="s">
        <v>287</v>
      </c>
      <c r="G42" s="64" t="str">
        <f t="shared" ref="G42" si="61">IFERROR(LEFT(B42,FIND("],",B42)),B42)</f>
        <v>[effect:nothing]</v>
      </c>
      <c r="H42" s="64">
        <f t="shared" ref="H42" si="62">FIND("effect:",G42)+7</f>
        <v>9</v>
      </c>
      <c r="I42" s="64">
        <f t="shared" ref="I42" si="63">IFERROR(FIND(",",G42),LEN(G42))</f>
        <v>16</v>
      </c>
      <c r="J42" s="64" t="e">
        <f t="shared" ref="J42" si="64">FIND("target:",G42)+7</f>
        <v>#VALUE!</v>
      </c>
      <c r="K42" s="64" t="e">
        <f t="shared" ref="K42" si="65">FIND(",",G42,I42+1)</f>
        <v>#VALUE!</v>
      </c>
      <c r="L42" s="64" t="str">
        <f>IFERROR(VLOOKUP(MID(G42,J42,K42-J42),[6]skilldef!$C:$D,2,FALSE),"-") &amp; " / " &amp; IFERROR(VLOOKUP(MID(G42,H42,I42-H42),[6]skilldef!$A:$B,2,FALSE),"-")</f>
        <v>- / 何もしない</v>
      </c>
      <c r="M42" s="64" t="str">
        <f t="shared" ref="M42" si="66">IFERROR(RIGHT(B42,LEN(B42)-FIND("],",B42)-1),"none")</f>
        <v>none</v>
      </c>
      <c r="N42" s="48" t="str">
        <f>IFERROR(LEFT(M42,FIND("],",M42)+#REF!),M42)</f>
        <v>none</v>
      </c>
      <c r="O42" s="64" t="e">
        <f t="shared" ref="O42" si="67">FIND("effect:",N42)+7</f>
        <v>#VALUE!</v>
      </c>
      <c r="P42" s="64">
        <f t="shared" ref="P42" si="68">IFERROR(FIND(",",N42),LEN(N42))</f>
        <v>4</v>
      </c>
      <c r="Q42" s="64" t="e">
        <f t="shared" ref="Q42" si="69">FIND("target:",N42)+7</f>
        <v>#VALUE!</v>
      </c>
      <c r="R42" s="64" t="e">
        <f t="shared" ref="R42" si="70">FIND(",",N42,P42+1)</f>
        <v>#VALUE!</v>
      </c>
      <c r="S42" s="64" t="str">
        <f>IFERROR(VLOOKUP(MID(N42,Q42,R42-Q42),[6]skilldef!$C:$D,2,FALSE),"-") &amp; " / " &amp; IFERROR(VLOOKUP(MID(N42,O42,P42-O42),[6]skilldef!$A:$B,2,FALSE),"-")</f>
        <v>- / -</v>
      </c>
      <c r="T42" s="48" t="str">
        <f t="shared" ref="T42" si="71">IFERROR(RIGHT(M42,LEN(M42)-FIND("],",M42)-1),"none")</f>
        <v>none</v>
      </c>
      <c r="U42" s="64" t="e">
        <f t="shared" ref="U42" si="72">FIND("effect:",T42)+7</f>
        <v>#VALUE!</v>
      </c>
      <c r="V42" s="64">
        <f t="shared" ref="V42" si="73">IFERROR(FIND(",",T42),LEN(T42))</f>
        <v>4</v>
      </c>
      <c r="W42" s="64" t="e">
        <f t="shared" ref="W42" si="74">FIND("target:",T42)+7</f>
        <v>#VALUE!</v>
      </c>
      <c r="X42" s="64" t="e">
        <f t="shared" ref="X42" si="75">FIND(",",T42,V42+1)</f>
        <v>#VALUE!</v>
      </c>
      <c r="Y42" s="64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105">
        <v>39002042</v>
      </c>
      <c r="B43" s="47" t="s">
        <v>232</v>
      </c>
      <c r="C43" s="50">
        <v>3</v>
      </c>
      <c r="D43" s="50" t="s">
        <v>129</v>
      </c>
      <c r="E43" s="51" t="s">
        <v>283</v>
      </c>
      <c r="F43" s="51" t="s">
        <v>287</v>
      </c>
      <c r="G43" s="64" t="str">
        <f t="shared" ref="G43" si="76">IFERROR(LEFT(B43,FIND("],",B43)),B43)</f>
        <v>[effect:nothing]</v>
      </c>
      <c r="H43" s="64">
        <f t="shared" ref="H43" si="77">FIND("effect:",G43)+7</f>
        <v>9</v>
      </c>
      <c r="I43" s="64">
        <f t="shared" ref="I43" si="78">IFERROR(FIND(",",G43),LEN(G43))</f>
        <v>16</v>
      </c>
      <c r="J43" s="64" t="e">
        <f t="shared" ref="J43" si="79">FIND("target:",G43)+7</f>
        <v>#VALUE!</v>
      </c>
      <c r="K43" s="64" t="e">
        <f t="shared" ref="K43" si="80">FIND(",",G43,I43+1)</f>
        <v>#VALUE!</v>
      </c>
      <c r="L43" s="64" t="str">
        <f>IFERROR(VLOOKUP(MID(G43,J43,K43-J43),[6]skilldef!$C:$D,2,FALSE),"-") &amp; " / " &amp; IFERROR(VLOOKUP(MID(G43,H43,I43-H43),[6]skilldef!$A:$B,2,FALSE),"-")</f>
        <v>- / 何もしない</v>
      </c>
      <c r="M43" s="64" t="str">
        <f t="shared" ref="M43" si="81">IFERROR(RIGHT(B43,LEN(B43)-FIND("],",B43)-1),"none")</f>
        <v>none</v>
      </c>
      <c r="N43" s="48" t="str">
        <f>IFERROR(LEFT(M43,FIND("],",M43)+#REF!),M43)</f>
        <v>none</v>
      </c>
      <c r="O43" s="64" t="e">
        <f t="shared" ref="O43" si="82">FIND("effect:",N43)+7</f>
        <v>#VALUE!</v>
      </c>
      <c r="P43" s="64">
        <f t="shared" ref="P43" si="83">IFERROR(FIND(",",N43),LEN(N43))</f>
        <v>4</v>
      </c>
      <c r="Q43" s="64" t="e">
        <f t="shared" ref="Q43" si="84">FIND("target:",N43)+7</f>
        <v>#VALUE!</v>
      </c>
      <c r="R43" s="64" t="e">
        <f t="shared" ref="R43" si="85">FIND(",",N43,P43+1)</f>
        <v>#VALUE!</v>
      </c>
      <c r="S43" s="64" t="str">
        <f>IFERROR(VLOOKUP(MID(N43,Q43,R43-Q43),[6]skilldef!$C:$D,2,FALSE),"-") &amp; " / " &amp; IFERROR(VLOOKUP(MID(N43,O43,P43-O43),[6]skilldef!$A:$B,2,FALSE),"-")</f>
        <v>- / -</v>
      </c>
      <c r="T43" s="48" t="str">
        <f t="shared" ref="T43" si="86">IFERROR(RIGHT(M43,LEN(M43)-FIND("],",M43)-1),"none")</f>
        <v>none</v>
      </c>
      <c r="U43" s="64" t="e">
        <f t="shared" ref="U43" si="87">FIND("effect:",T43)+7</f>
        <v>#VALUE!</v>
      </c>
      <c r="V43" s="64">
        <f t="shared" ref="V43" si="88">IFERROR(FIND(",",T43),LEN(T43))</f>
        <v>4</v>
      </c>
      <c r="W43" s="64" t="e">
        <f t="shared" ref="W43" si="89">FIND("target:",T43)+7</f>
        <v>#VALUE!</v>
      </c>
      <c r="X43" s="64" t="e">
        <f t="shared" ref="X43" si="90">FIND(",",T43,V43+1)</f>
        <v>#VALUE!</v>
      </c>
      <c r="Y43" s="64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105">
        <v>39002043</v>
      </c>
      <c r="B44" s="47" t="s">
        <v>241</v>
      </c>
      <c r="C44" s="50">
        <v>3</v>
      </c>
      <c r="D44" s="50" t="s">
        <v>129</v>
      </c>
      <c r="E44" s="51" t="s">
        <v>291</v>
      </c>
      <c r="F44" s="51" t="s">
        <v>275</v>
      </c>
      <c r="G44" s="64" t="str">
        <f t="shared" ref="G44" si="91">IFERROR(LEFT(B44,FIND("],",B44)),B44)</f>
        <v>[effect:change_block, new_block:jammer, target:block_all, count:4, val:0, no_effect_msg:no_effect_msg_change_block_heal, animation:change_block]</v>
      </c>
      <c r="H44" s="64">
        <f t="shared" ref="H44" si="92">FIND("effect:",G44)+7</f>
        <v>9</v>
      </c>
      <c r="I44" s="64">
        <f t="shared" ref="I44" si="93">IFERROR(FIND(",",G44),LEN(G44))</f>
        <v>21</v>
      </c>
      <c r="J44" s="64">
        <f t="shared" ref="J44" si="94">FIND("target:",G44)+7</f>
        <v>48</v>
      </c>
      <c r="K44" s="64">
        <f t="shared" ref="K44" si="95">FIND(",",G44,I44+1)</f>
        <v>39</v>
      </c>
      <c r="L44" s="64" t="str">
        <f>IFERROR(VLOOKUP(MID(G44,J44,K44-J44),[6]skilldef!$C:$D,2,FALSE),"-") &amp; " / " &amp; IFERROR(VLOOKUP(MID(G44,H44,I44-H44),[6]skilldef!$A:$B,2,FALSE),"-")</f>
        <v>- / ブロック変換</v>
      </c>
      <c r="M44" s="64" t="str">
        <f t="shared" ref="M44" si="96">IFERROR(RIGHT(B44,LEN(B44)-FIND("],",B44)-1),"none")</f>
        <v>none</v>
      </c>
      <c r="N44" s="48" t="str">
        <f>IFERROR(LEFT(M44,FIND("],",M44)+#REF!),M44)</f>
        <v>none</v>
      </c>
      <c r="O44" s="64" t="e">
        <f t="shared" ref="O44" si="97">FIND("effect:",N44)+7</f>
        <v>#VALUE!</v>
      </c>
      <c r="P44" s="64">
        <f t="shared" ref="P44" si="98">IFERROR(FIND(",",N44),LEN(N44))</f>
        <v>4</v>
      </c>
      <c r="Q44" s="64" t="e">
        <f t="shared" ref="Q44" si="99">FIND("target:",N44)+7</f>
        <v>#VALUE!</v>
      </c>
      <c r="R44" s="64" t="e">
        <f t="shared" ref="R44" si="100">FIND(",",N44,P44+1)</f>
        <v>#VALUE!</v>
      </c>
      <c r="S44" s="64" t="str">
        <f>IFERROR(VLOOKUP(MID(N44,Q44,R44-Q44),[6]skilldef!$C:$D,2,FALSE),"-") &amp; " / " &amp; IFERROR(VLOOKUP(MID(N44,O44,P44-O44),[6]skilldef!$A:$B,2,FALSE),"-")</f>
        <v>- / -</v>
      </c>
      <c r="T44" s="48" t="str">
        <f t="shared" ref="T44" si="101">IFERROR(RIGHT(M44,LEN(M44)-FIND("],",M44)-1),"none")</f>
        <v>none</v>
      </c>
      <c r="U44" s="64" t="e">
        <f t="shared" ref="U44" si="102">FIND("effect:",T44)+7</f>
        <v>#VALUE!</v>
      </c>
      <c r="V44" s="64">
        <f t="shared" ref="V44" si="103">IFERROR(FIND(",",T44),LEN(T44))</f>
        <v>4</v>
      </c>
      <c r="W44" s="64" t="e">
        <f t="shared" ref="W44" si="104">FIND("target:",T44)+7</f>
        <v>#VALUE!</v>
      </c>
      <c r="X44" s="64" t="e">
        <f t="shared" ref="X44" si="105">FIND(",",T44,V44+1)</f>
        <v>#VALUE!</v>
      </c>
      <c r="Y44" s="64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105">
        <v>39002044</v>
      </c>
      <c r="B45" s="47" t="s">
        <v>265</v>
      </c>
      <c r="C45" s="50">
        <v>3</v>
      </c>
      <c r="D45" s="50" t="s">
        <v>129</v>
      </c>
      <c r="E45" s="51" t="s">
        <v>292</v>
      </c>
      <c r="F45" s="51" t="s">
        <v>240</v>
      </c>
      <c r="G45" s="64" t="str">
        <f t="shared" si="0"/>
        <v>[effect:change_block, new_block:block_yellow, target:block_green, count:0, val:0, animation:change_block]</v>
      </c>
      <c r="H45" s="64">
        <f t="shared" si="1"/>
        <v>9</v>
      </c>
      <c r="I45" s="64">
        <f t="shared" si="2"/>
        <v>21</v>
      </c>
      <c r="J45" s="64">
        <f t="shared" si="3"/>
        <v>54</v>
      </c>
      <c r="K45" s="64">
        <f t="shared" si="4"/>
        <v>45</v>
      </c>
      <c r="L45" s="64" t="str">
        <f>IFERROR(VLOOKUP(MID(G45,J45,K45-J45),[6]skilldef!$C:$D,2,FALSE),"-") &amp; " / " &amp; IFERROR(VLOOKUP(MID(G45,H45,I45-H45),[6]skilldef!$A:$B,2,FALSE),"-")</f>
        <v>- / ブロック変換</v>
      </c>
      <c r="M45" s="64" t="str">
        <f t="shared" si="5"/>
        <v>none</v>
      </c>
      <c r="N45" s="48" t="str">
        <f>IFERROR(LEFT(M45,FIND("],",M45)+#REF!),M45)</f>
        <v>none</v>
      </c>
      <c r="O45" s="64" t="e">
        <f t="shared" si="7"/>
        <v>#VALUE!</v>
      </c>
      <c r="P45" s="64">
        <f t="shared" si="8"/>
        <v>4</v>
      </c>
      <c r="Q45" s="64" t="e">
        <f t="shared" si="9"/>
        <v>#VALUE!</v>
      </c>
      <c r="R45" s="64" t="e">
        <f t="shared" si="10"/>
        <v>#VALUE!</v>
      </c>
      <c r="S45" s="64" t="str">
        <f>IFERROR(VLOOKUP(MID(N45,Q45,R45-Q45),[6]skilldef!$C:$D,2,FALSE),"-") &amp; " / " &amp; IFERROR(VLOOKUP(MID(N45,O45,P45-O45),[6]skilldef!$A:$B,2,FALSE),"-")</f>
        <v>- / -</v>
      </c>
      <c r="T45" s="48" t="str">
        <f t="shared" si="11"/>
        <v>none</v>
      </c>
      <c r="U45" s="64" t="e">
        <f t="shared" si="12"/>
        <v>#VALUE!</v>
      </c>
      <c r="V45" s="64">
        <f t="shared" si="13"/>
        <v>4</v>
      </c>
      <c r="W45" s="64" t="e">
        <f t="shared" si="14"/>
        <v>#VALUE!</v>
      </c>
      <c r="X45" s="64" t="e">
        <f t="shared" si="15"/>
        <v>#VALUE!</v>
      </c>
      <c r="Y45" s="64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105">
        <v>39002045</v>
      </c>
      <c r="B46" s="47" t="s">
        <v>259</v>
      </c>
      <c r="C46" s="50">
        <v>3</v>
      </c>
      <c r="D46" s="50" t="s">
        <v>129</v>
      </c>
      <c r="E46" s="51" t="s">
        <v>293</v>
      </c>
      <c r="F46" s="51" t="s">
        <v>273</v>
      </c>
      <c r="G46" s="64" t="str">
        <f t="shared" si="0"/>
        <v>[effect:damage_anti_color, target:unit_all, color:blue, val1:0.6, val2:0.3]</v>
      </c>
      <c r="H46" s="64">
        <f t="shared" si="1"/>
        <v>9</v>
      </c>
      <c r="I46" s="64">
        <f t="shared" si="2"/>
        <v>26</v>
      </c>
      <c r="J46" s="64">
        <f t="shared" si="3"/>
        <v>35</v>
      </c>
      <c r="K46" s="64">
        <f t="shared" si="4"/>
        <v>43</v>
      </c>
      <c r="L46" s="64" t="str">
        <f>IFERROR(VLOOKUP(MID(G46,J46,K46-J46),[6]skilldef!$C:$D,2,FALSE),"-") &amp; " / " &amp; IFERROR(VLOOKUP(MID(G46,H46,I46-H46),[6]skilldef!$A:$B,2,FALSE),"-")</f>
        <v>味方全体に / 属性キラー</v>
      </c>
      <c r="M46" s="64" t="str">
        <f t="shared" si="5"/>
        <v>none</v>
      </c>
      <c r="N46" s="48" t="str">
        <f>IFERROR(LEFT(M46,FIND("],",M46)+#REF!),M46)</f>
        <v>none</v>
      </c>
      <c r="O46" s="64" t="e">
        <f t="shared" si="7"/>
        <v>#VALUE!</v>
      </c>
      <c r="P46" s="64">
        <f t="shared" si="8"/>
        <v>4</v>
      </c>
      <c r="Q46" s="64" t="e">
        <f t="shared" si="9"/>
        <v>#VALUE!</v>
      </c>
      <c r="R46" s="64" t="e">
        <f t="shared" si="10"/>
        <v>#VALUE!</v>
      </c>
      <c r="S46" s="64" t="str">
        <f>IFERROR(VLOOKUP(MID(N46,Q46,R46-Q46),[6]skilldef!$C:$D,2,FALSE),"-") &amp; " / " &amp; IFERROR(VLOOKUP(MID(N46,O46,P46-O46),[6]skilldef!$A:$B,2,FALSE),"-")</f>
        <v>- / -</v>
      </c>
      <c r="T46" s="48" t="str">
        <f t="shared" si="11"/>
        <v>none</v>
      </c>
      <c r="U46" s="64" t="e">
        <f t="shared" si="12"/>
        <v>#VALUE!</v>
      </c>
      <c r="V46" s="64">
        <f t="shared" si="13"/>
        <v>4</v>
      </c>
      <c r="W46" s="64" t="e">
        <f t="shared" si="14"/>
        <v>#VALUE!</v>
      </c>
      <c r="X46" s="64" t="e">
        <f t="shared" si="15"/>
        <v>#VALUE!</v>
      </c>
      <c r="Y46" s="64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105">
        <v>39002046</v>
      </c>
      <c r="B47" s="47" t="s">
        <v>254</v>
      </c>
      <c r="C47" s="50">
        <v>3</v>
      </c>
      <c r="D47" s="50" t="s">
        <v>129</v>
      </c>
      <c r="E47" s="51" t="s">
        <v>294</v>
      </c>
      <c r="F47" s="51" t="s">
        <v>238</v>
      </c>
      <c r="G47" s="64" t="str">
        <f t="shared" si="0"/>
        <v>[effect:rush, count:2, val:0.6]</v>
      </c>
      <c r="H47" s="64">
        <f t="shared" si="1"/>
        <v>9</v>
      </c>
      <c r="I47" s="64">
        <f t="shared" si="2"/>
        <v>13</v>
      </c>
      <c r="J47" s="64" t="e">
        <f t="shared" si="3"/>
        <v>#VALUE!</v>
      </c>
      <c r="K47" s="64">
        <f t="shared" si="4"/>
        <v>22</v>
      </c>
      <c r="L47" s="64" t="str">
        <f>IFERROR(VLOOKUP(MID(G47,J47,K47-J47),[6]skilldef!$C:$D,2,FALSE),"-") &amp; " / " &amp; IFERROR(VLOOKUP(MID(G47,H47,I47-H47),[6]skilldef!$A:$B,2,FALSE),"-")</f>
        <v>- / 連続攻撃</v>
      </c>
      <c r="M47" s="64" t="str">
        <f t="shared" si="5"/>
        <v>none</v>
      </c>
      <c r="N47" s="48" t="str">
        <f>IFERROR(LEFT(M47,FIND("],",M47)+S64),M47)</f>
        <v>none</v>
      </c>
      <c r="O47" s="64" t="e">
        <f t="shared" si="7"/>
        <v>#VALUE!</v>
      </c>
      <c r="P47" s="64">
        <f t="shared" si="8"/>
        <v>4</v>
      </c>
      <c r="Q47" s="64" t="e">
        <f t="shared" si="9"/>
        <v>#VALUE!</v>
      </c>
      <c r="R47" s="64" t="e">
        <f t="shared" si="10"/>
        <v>#VALUE!</v>
      </c>
      <c r="S47" s="64" t="str">
        <f>IFERROR(VLOOKUP(MID(N47,Q47,R47-Q47),[6]skilldef!$C:$D,2,FALSE),"-") &amp; " / " &amp; IFERROR(VLOOKUP(MID(N47,O47,P47-O47),[6]skilldef!$A:$B,2,FALSE),"-")</f>
        <v>- / -</v>
      </c>
      <c r="T47" s="48" t="str">
        <f t="shared" si="11"/>
        <v>none</v>
      </c>
      <c r="U47" s="64" t="e">
        <f t="shared" si="12"/>
        <v>#VALUE!</v>
      </c>
      <c r="V47" s="64">
        <f t="shared" si="13"/>
        <v>4</v>
      </c>
      <c r="W47" s="64" t="e">
        <f t="shared" si="14"/>
        <v>#VALUE!</v>
      </c>
      <c r="X47" s="64" t="e">
        <f t="shared" si="15"/>
        <v>#VALUE!</v>
      </c>
      <c r="Y47" s="64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39002047</v>
      </c>
      <c r="B48" s="47" t="s">
        <v>232</v>
      </c>
      <c r="C48" s="50">
        <v>3</v>
      </c>
      <c r="D48" s="50" t="s">
        <v>129</v>
      </c>
      <c r="E48" s="51" t="s">
        <v>230</v>
      </c>
      <c r="F48" s="51" t="s">
        <v>233</v>
      </c>
      <c r="G48" s="64" t="str">
        <f t="shared" si="0"/>
        <v>[effect:nothing]</v>
      </c>
      <c r="H48" s="64">
        <f t="shared" si="1"/>
        <v>9</v>
      </c>
      <c r="I48" s="64">
        <f t="shared" si="2"/>
        <v>16</v>
      </c>
      <c r="J48" s="64" t="e">
        <f t="shared" si="3"/>
        <v>#VALUE!</v>
      </c>
      <c r="K48" s="64" t="e">
        <f t="shared" si="4"/>
        <v>#VALUE!</v>
      </c>
      <c r="L48" s="64" t="str">
        <f>IFERROR(VLOOKUP(MID(G48,J48,K48-J48),[6]skilldef!$C:$D,2,FALSE),"-") &amp; " / " &amp; IFERROR(VLOOKUP(MID(G48,H48,I48-H48),[6]skilldef!$A:$B,2,FALSE),"-")</f>
        <v>- / 何もしない</v>
      </c>
      <c r="M48" s="64" t="str">
        <f t="shared" si="5"/>
        <v>none</v>
      </c>
      <c r="N48" s="48" t="str">
        <f>IFERROR(LEFT(M48,FIND("],",M48)+S65),M48)</f>
        <v>none</v>
      </c>
      <c r="O48" s="64" t="e">
        <f t="shared" si="7"/>
        <v>#VALUE!</v>
      </c>
      <c r="P48" s="64">
        <f t="shared" si="8"/>
        <v>4</v>
      </c>
      <c r="Q48" s="64" t="e">
        <f t="shared" si="9"/>
        <v>#VALUE!</v>
      </c>
      <c r="R48" s="64" t="e">
        <f t="shared" si="10"/>
        <v>#VALUE!</v>
      </c>
      <c r="S48" s="64" t="str">
        <f>IFERROR(VLOOKUP(MID(N48,Q48,R48-Q48),[6]skilldef!$C:$D,2,FALSE),"-") &amp; " / " &amp; IFERROR(VLOOKUP(MID(N48,O48,P48-O48),[6]skilldef!$A:$B,2,FALSE),"-")</f>
        <v>- / -</v>
      </c>
      <c r="T48" s="48" t="str">
        <f t="shared" si="11"/>
        <v>none</v>
      </c>
      <c r="U48" s="64" t="e">
        <f t="shared" si="12"/>
        <v>#VALUE!</v>
      </c>
      <c r="V48" s="64">
        <f t="shared" si="13"/>
        <v>4</v>
      </c>
      <c r="W48" s="64" t="e">
        <f t="shared" si="14"/>
        <v>#VALUE!</v>
      </c>
      <c r="X48" s="64" t="e">
        <f t="shared" si="15"/>
        <v>#VALUE!</v>
      </c>
      <c r="Y48" s="64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47">
        <v>39002048</v>
      </c>
      <c r="B49" s="47" t="s">
        <v>232</v>
      </c>
      <c r="C49" s="50">
        <v>3</v>
      </c>
      <c r="D49" s="50" t="s">
        <v>129</v>
      </c>
      <c r="E49" s="51" t="s">
        <v>230</v>
      </c>
      <c r="F49" s="51" t="s">
        <v>233</v>
      </c>
      <c r="G49" s="64" t="str">
        <f t="shared" ref="G49:G55" si="106">IFERROR(LEFT(B49,FIND("],",B49)),B49)</f>
        <v>[effect:nothing]</v>
      </c>
      <c r="H49" s="64">
        <f t="shared" ref="H49:H55" si="107">FIND("effect:",G49)+7</f>
        <v>9</v>
      </c>
      <c r="I49" s="64">
        <f t="shared" ref="I49:I55" si="108">IFERROR(FIND(",",G49),LEN(G49))</f>
        <v>16</v>
      </c>
      <c r="J49" s="64" t="e">
        <f t="shared" ref="J49:J55" si="109">FIND("target:",G49)+7</f>
        <v>#VALUE!</v>
      </c>
      <c r="K49" s="64" t="e">
        <f t="shared" ref="K49:K55" si="110">FIND(",",G49,I49+1)</f>
        <v>#VALUE!</v>
      </c>
      <c r="L49" s="64" t="str">
        <f>IFERROR(VLOOKUP(MID(G49,J49,K49-J49),[6]skilldef!$C:$D,2,FALSE),"-") &amp; " / " &amp; IFERROR(VLOOKUP(MID(G49,H49,I49-H49),[6]skilldef!$A:$B,2,FALSE),"-")</f>
        <v>- / 何もしない</v>
      </c>
      <c r="M49" s="64" t="str">
        <f t="shared" ref="M49:M55" si="111">IFERROR(RIGHT(B49,LEN(B49)-FIND("],",B49)-1),"none")</f>
        <v>none</v>
      </c>
      <c r="N49" s="48" t="str">
        <f>IFERROR(LEFT(M49,FIND("],",M49)+S66),M49)</f>
        <v>none</v>
      </c>
      <c r="O49" s="64" t="e">
        <f t="shared" ref="O49:O55" si="112">FIND("effect:",N49)+7</f>
        <v>#VALUE!</v>
      </c>
      <c r="P49" s="64">
        <f t="shared" ref="P49:P55" si="113">IFERROR(FIND(",",N49),LEN(N49))</f>
        <v>4</v>
      </c>
      <c r="Q49" s="64" t="e">
        <f t="shared" ref="Q49:Q55" si="114">FIND("target:",N49)+7</f>
        <v>#VALUE!</v>
      </c>
      <c r="R49" s="64" t="e">
        <f t="shared" ref="R49:R55" si="115">FIND(",",N49,P49+1)</f>
        <v>#VALUE!</v>
      </c>
      <c r="S49" s="64" t="str">
        <f>IFERROR(VLOOKUP(MID(N49,Q49,R49-Q49),[6]skilldef!$C:$D,2,FALSE),"-") &amp; " / " &amp; IFERROR(VLOOKUP(MID(N49,O49,P49-O49),[6]skilldef!$A:$B,2,FALSE),"-")</f>
        <v>- / -</v>
      </c>
      <c r="T49" s="48" t="str">
        <f t="shared" ref="T49:T55" si="116">IFERROR(RIGHT(M49,LEN(M49)-FIND("],",M49)-1),"none")</f>
        <v>none</v>
      </c>
      <c r="U49" s="64" t="e">
        <f t="shared" ref="U49:U55" si="117">FIND("effect:",T49)+7</f>
        <v>#VALUE!</v>
      </c>
      <c r="V49" s="64">
        <f t="shared" ref="V49:V55" si="118">IFERROR(FIND(",",T49),LEN(T49))</f>
        <v>4</v>
      </c>
      <c r="W49" s="64" t="e">
        <f t="shared" ref="W49:W55" si="119">FIND("target:",T49)+7</f>
        <v>#VALUE!</v>
      </c>
      <c r="X49" s="64" t="e">
        <f t="shared" ref="X49:X55" si="120">FIND(",",T49,V49+1)</f>
        <v>#VALUE!</v>
      </c>
      <c r="Y49" s="64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39002049</v>
      </c>
      <c r="B50" s="47" t="s">
        <v>232</v>
      </c>
      <c r="C50" s="50">
        <v>3</v>
      </c>
      <c r="D50" s="50" t="s">
        <v>129</v>
      </c>
      <c r="E50" s="51" t="s">
        <v>230</v>
      </c>
      <c r="F50" s="51" t="s">
        <v>233</v>
      </c>
      <c r="G50" s="64" t="str">
        <f t="shared" si="106"/>
        <v>[effect:nothing]</v>
      </c>
      <c r="H50" s="64">
        <f t="shared" si="107"/>
        <v>9</v>
      </c>
      <c r="I50" s="64">
        <f t="shared" si="108"/>
        <v>16</v>
      </c>
      <c r="J50" s="64" t="e">
        <f t="shared" si="109"/>
        <v>#VALUE!</v>
      </c>
      <c r="K50" s="64" t="e">
        <f t="shared" si="110"/>
        <v>#VALUE!</v>
      </c>
      <c r="L50" s="64" t="str">
        <f>IFERROR(VLOOKUP(MID(G50,J50,K50-J50),[6]skilldef!$C:$D,2,FALSE),"-") &amp; " / " &amp; IFERROR(VLOOKUP(MID(G50,H50,I50-H50),[6]skilldef!$A:$B,2,FALSE),"-")</f>
        <v>- / 何もしない</v>
      </c>
      <c r="M50" s="64" t="str">
        <f t="shared" si="111"/>
        <v>none</v>
      </c>
      <c r="N50" s="48" t="str">
        <f>IFERROR(LEFT(M50,FIND("],",M50)+S67),M50)</f>
        <v>none</v>
      </c>
      <c r="O50" s="64" t="e">
        <f t="shared" si="112"/>
        <v>#VALUE!</v>
      </c>
      <c r="P50" s="64">
        <f t="shared" si="113"/>
        <v>4</v>
      </c>
      <c r="Q50" s="64" t="e">
        <f t="shared" si="114"/>
        <v>#VALUE!</v>
      </c>
      <c r="R50" s="64" t="e">
        <f t="shared" si="115"/>
        <v>#VALUE!</v>
      </c>
      <c r="S50" s="64" t="str">
        <f>IFERROR(VLOOKUP(MID(N50,Q50,R50-Q50),[6]skilldef!$C:$D,2,FALSE),"-") &amp; " / " &amp; IFERROR(VLOOKUP(MID(N50,O50,P50-O50),[6]skilldef!$A:$B,2,FALSE),"-")</f>
        <v>- / -</v>
      </c>
      <c r="T50" s="48" t="str">
        <f t="shared" si="116"/>
        <v>none</v>
      </c>
      <c r="U50" s="64" t="e">
        <f t="shared" si="117"/>
        <v>#VALUE!</v>
      </c>
      <c r="V50" s="64">
        <f t="shared" si="118"/>
        <v>4</v>
      </c>
      <c r="W50" s="64" t="e">
        <f t="shared" si="119"/>
        <v>#VALUE!</v>
      </c>
      <c r="X50" s="64" t="e">
        <f t="shared" si="120"/>
        <v>#VALUE!</v>
      </c>
      <c r="Y50" s="64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105">
        <v>39002050</v>
      </c>
      <c r="B51" s="47" t="s">
        <v>303</v>
      </c>
      <c r="C51" s="50">
        <v>3</v>
      </c>
      <c r="D51" s="50" t="s">
        <v>129</v>
      </c>
      <c r="E51" s="51" t="s">
        <v>281</v>
      </c>
      <c r="F51" s="51" t="s">
        <v>280</v>
      </c>
      <c r="G51" s="64" t="str">
        <f t="shared" si="106"/>
        <v>[effect:change_attribute, target:myself, color:red, turn:-1, animation:change_attribute_red]</v>
      </c>
      <c r="H51" s="64">
        <f t="shared" si="107"/>
        <v>9</v>
      </c>
      <c r="I51" s="64">
        <f t="shared" si="108"/>
        <v>25</v>
      </c>
      <c r="J51" s="64">
        <f t="shared" si="109"/>
        <v>34</v>
      </c>
      <c r="K51" s="64">
        <f t="shared" si="110"/>
        <v>40</v>
      </c>
      <c r="L51" s="64" t="str">
        <f>IFERROR(VLOOKUP(MID(G51,J51,K51-J51),[6]skilldef!$C:$D,2,FALSE),"-") &amp; " / " &amp; IFERROR(VLOOKUP(MID(G51,H51,I51-H51),[6]skilldef!$A:$B,2,FALSE),"-")</f>
        <v>自分自身に / -</v>
      </c>
      <c r="M51" s="64" t="str">
        <f t="shared" si="111"/>
        <v>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N51" s="48" t="str">
        <f>IFERROR(LEFT(M51,FIND("],",M51)+S60),M51)</f>
        <v>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O51" s="64">
        <f t="shared" si="112"/>
        <v>9</v>
      </c>
      <c r="P51" s="64">
        <f t="shared" si="113"/>
        <v>18</v>
      </c>
      <c r="Q51" s="64">
        <f t="shared" si="114"/>
        <v>27</v>
      </c>
      <c r="R51" s="64">
        <f t="shared" si="115"/>
        <v>39</v>
      </c>
      <c r="S51" s="64" t="str">
        <f>IFERROR(VLOOKUP(MID(N51,Q51,R51-Q51),[6]skilldef!$C:$D,2,FALSE),"-") &amp; " / " &amp; IFERROR(VLOOKUP(MID(N51,O51,P51-O51),[6]skilldef!$A:$B,2,FALSE),"-")</f>
        <v>黄色パネルを / ディスパネル</v>
      </c>
      <c r="T51" s="48" t="str">
        <f t="shared" si="116"/>
        <v>[effect:enhance_enemy, target:enemy_all, turn:3, status:attack, val:1500, calc:add, animation:enemy_enhance_attack],[effect:enhance_enemy, target:enemy_all, turn:3, status:defense, val:2500, calc:add, animation:enemy_enhance_defense]</v>
      </c>
      <c r="U51" s="64">
        <f t="shared" si="117"/>
        <v>9</v>
      </c>
      <c r="V51" s="64">
        <f t="shared" si="118"/>
        <v>22</v>
      </c>
      <c r="W51" s="64">
        <f t="shared" si="119"/>
        <v>31</v>
      </c>
      <c r="X51" s="64">
        <f t="shared" si="120"/>
        <v>40</v>
      </c>
      <c r="Y51" s="64" t="str">
        <f>IFERROR(VLOOKUP(MID(T51,W51,X51-W51),[6]skilldef!$C:$D,2,FALSE),"-") &amp; " / " &amp; IFERROR(VLOOKUP(MID(T51,U51,V51-U51),[6]skilldef!$A:$B,2,FALSE),"-")</f>
        <v>敵全体に / ステータス強化</v>
      </c>
      <c r="Z51" s="50"/>
      <c r="AA51" s="52"/>
      <c r="AB51" s="50"/>
    </row>
    <row r="52" spans="1:28" ht="21" customHeight="1" x14ac:dyDescent="0.15">
      <c r="A52" s="105">
        <v>39002051</v>
      </c>
      <c r="B52" s="47" t="s">
        <v>303</v>
      </c>
      <c r="C52" s="50">
        <v>3</v>
      </c>
      <c r="D52" s="50" t="s">
        <v>129</v>
      </c>
      <c r="E52" s="51" t="s">
        <v>281</v>
      </c>
      <c r="F52" s="51" t="s">
        <v>279</v>
      </c>
      <c r="G52" s="64" t="str">
        <f t="shared" ref="G52" si="121">IFERROR(LEFT(B52,FIND("],",B52)),B52)</f>
        <v>[effect:change_attribute, target:myself, color:red, turn:-1, animation:change_attribute_red]</v>
      </c>
      <c r="H52" s="64">
        <f t="shared" ref="H52" si="122">FIND("effect:",G52)+7</f>
        <v>9</v>
      </c>
      <c r="I52" s="64">
        <f t="shared" ref="I52" si="123">IFERROR(FIND(",",G52),LEN(G52))</f>
        <v>25</v>
      </c>
      <c r="J52" s="64">
        <f t="shared" ref="J52" si="124">FIND("target:",G52)+7</f>
        <v>34</v>
      </c>
      <c r="K52" s="64">
        <f t="shared" ref="K52" si="125">FIND(",",G52,I52+1)</f>
        <v>40</v>
      </c>
      <c r="L52" s="64" t="str">
        <f>IFERROR(VLOOKUP(MID(G52,J52,K52-J52),[6]skilldef!$C:$D,2,FALSE),"-") &amp; " / " &amp; IFERROR(VLOOKUP(MID(G52,H52,I52-H52),[6]skilldef!$A:$B,2,FALSE),"-")</f>
        <v>自分自身に / -</v>
      </c>
      <c r="M52" s="64" t="str">
        <f t="shared" ref="M52" si="126">IFERROR(RIGHT(B52,LEN(B52)-FIND("],",B52)-1),"none")</f>
        <v>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N52" s="48" t="str">
        <f>IFERROR(LEFT(M52,FIND("],",M52)+S63),M52)</f>
        <v>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O52" s="64">
        <f t="shared" ref="O52" si="127">FIND("effect:",N52)+7</f>
        <v>9</v>
      </c>
      <c r="P52" s="64">
        <f t="shared" ref="P52" si="128">IFERROR(FIND(",",N52),LEN(N52))</f>
        <v>18</v>
      </c>
      <c r="Q52" s="64">
        <f t="shared" ref="Q52" si="129">FIND("target:",N52)+7</f>
        <v>27</v>
      </c>
      <c r="R52" s="64">
        <f t="shared" ref="R52" si="130">FIND(",",N52,P52+1)</f>
        <v>39</v>
      </c>
      <c r="S52" s="64" t="str">
        <f>IFERROR(VLOOKUP(MID(N52,Q52,R52-Q52),[6]skilldef!$C:$D,2,FALSE),"-") &amp; " / " &amp; IFERROR(VLOOKUP(MID(N52,O52,P52-O52),[6]skilldef!$A:$B,2,FALSE),"-")</f>
        <v>黄色パネルを / ディスパネル</v>
      </c>
      <c r="T52" s="48" t="str">
        <f t="shared" ref="T52" si="131">IFERROR(RIGHT(M52,LEN(M52)-FIND("],",M52)-1),"none")</f>
        <v>[effect:enhance_enemy, target:enemy_all, turn:3, status:attack, val:1500, calc:add, animation:enemy_enhance_attack],[effect:enhance_enemy, target:enemy_all, turn:3, status:defense, val:2500, calc:add, animation:enemy_enhance_defense]</v>
      </c>
      <c r="U52" s="64">
        <f t="shared" ref="U52" si="132">FIND("effect:",T52)+7</f>
        <v>9</v>
      </c>
      <c r="V52" s="64">
        <f t="shared" ref="V52" si="133">IFERROR(FIND(",",T52),LEN(T52))</f>
        <v>22</v>
      </c>
      <c r="W52" s="64">
        <f t="shared" ref="W52" si="134">FIND("target:",T52)+7</f>
        <v>31</v>
      </c>
      <c r="X52" s="64">
        <f t="shared" ref="X52" si="135">FIND(",",T52,V52+1)</f>
        <v>40</v>
      </c>
      <c r="Y52" s="64" t="str">
        <f>IFERROR(VLOOKUP(MID(T52,W52,X52-W52),[6]skilldef!$C:$D,2,FALSE),"-") &amp; " / " &amp; IFERROR(VLOOKUP(MID(T52,U52,V52-U52),[6]skilldef!$A:$B,2,FALSE),"-")</f>
        <v>敵全体に / ステータス強化</v>
      </c>
      <c r="Z52" s="50"/>
      <c r="AA52" s="52"/>
      <c r="AB52" s="50"/>
    </row>
    <row r="53" spans="1:28" ht="21" customHeight="1" x14ac:dyDescent="0.15">
      <c r="A53" s="105">
        <v>39002052</v>
      </c>
      <c r="B53" s="47" t="s">
        <v>303</v>
      </c>
      <c r="C53" s="50">
        <v>3</v>
      </c>
      <c r="D53" s="50" t="s">
        <v>129</v>
      </c>
      <c r="E53" s="51" t="s">
        <v>285</v>
      </c>
      <c r="F53" s="51" t="s">
        <v>279</v>
      </c>
      <c r="G53" s="64" t="str">
        <f t="shared" si="106"/>
        <v>[effect:change_attribute, target:myself, color:red, turn:-1, animation:change_attribute_red]</v>
      </c>
      <c r="H53" s="64">
        <f t="shared" si="107"/>
        <v>9</v>
      </c>
      <c r="I53" s="64">
        <f t="shared" si="108"/>
        <v>25</v>
      </c>
      <c r="J53" s="64">
        <f t="shared" si="109"/>
        <v>34</v>
      </c>
      <c r="K53" s="64">
        <f t="shared" si="110"/>
        <v>40</v>
      </c>
      <c r="L53" s="64" t="str">
        <f>IFERROR(VLOOKUP(MID(G53,J53,K53-J53),[6]skilldef!$C:$D,2,FALSE),"-") &amp; " / " &amp; IFERROR(VLOOKUP(MID(G53,H53,I53-H53),[6]skilldef!$A:$B,2,FALSE),"-")</f>
        <v>自分自身に / -</v>
      </c>
      <c r="M53" s="64" t="str">
        <f t="shared" si="111"/>
        <v>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N53" s="48" t="str">
        <f>IFERROR(LEFT(M53,FIND("],",M53)+S63),M53)</f>
        <v>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O53" s="64">
        <f t="shared" si="112"/>
        <v>9</v>
      </c>
      <c r="P53" s="64">
        <f t="shared" si="113"/>
        <v>18</v>
      </c>
      <c r="Q53" s="64">
        <f t="shared" si="114"/>
        <v>27</v>
      </c>
      <c r="R53" s="64">
        <f t="shared" si="115"/>
        <v>39</v>
      </c>
      <c r="S53" s="64" t="str">
        <f>IFERROR(VLOOKUP(MID(N53,Q53,R53-Q53),[6]skilldef!$C:$D,2,FALSE),"-") &amp; " / " &amp; IFERROR(VLOOKUP(MID(N53,O53,P53-O53),[6]skilldef!$A:$B,2,FALSE),"-")</f>
        <v>黄色パネルを / ディスパネル</v>
      </c>
      <c r="T53" s="48" t="str">
        <f t="shared" si="116"/>
        <v>[effect:enhance_enemy, target:enemy_all, turn:3, status:attack, val:1500, calc:add, animation:enemy_enhance_attack],[effect:enhance_enemy, target:enemy_all, turn:3, status:defense, val:2500, calc:add, animation:enemy_enhance_defense]</v>
      </c>
      <c r="U53" s="64">
        <f t="shared" si="117"/>
        <v>9</v>
      </c>
      <c r="V53" s="64">
        <f t="shared" si="118"/>
        <v>22</v>
      </c>
      <c r="W53" s="64">
        <f t="shared" si="119"/>
        <v>31</v>
      </c>
      <c r="X53" s="64">
        <f t="shared" si="120"/>
        <v>40</v>
      </c>
      <c r="Y53" s="64" t="str">
        <f>IFERROR(VLOOKUP(MID(T53,W53,X53-W53),[6]skilldef!$C:$D,2,FALSE),"-") &amp; " / " &amp; IFERROR(VLOOKUP(MID(T53,U53,V53-U53),[6]skilldef!$A:$B,2,FALSE),"-")</f>
        <v>敵全体に / ステータス強化</v>
      </c>
      <c r="Z53" s="50"/>
      <c r="AA53" s="52"/>
      <c r="AB53" s="50"/>
    </row>
    <row r="54" spans="1:28" ht="21" customHeight="1" x14ac:dyDescent="0.15">
      <c r="A54" s="105">
        <v>39002053</v>
      </c>
      <c r="B54" s="47" t="s">
        <v>303</v>
      </c>
      <c r="C54" s="50">
        <v>3</v>
      </c>
      <c r="D54" s="50" t="s">
        <v>129</v>
      </c>
      <c r="E54" s="51" t="s">
        <v>285</v>
      </c>
      <c r="F54" s="51" t="s">
        <v>279</v>
      </c>
      <c r="G54" s="64" t="str">
        <f t="shared" ref="G54" si="136">IFERROR(LEFT(B54,FIND("],",B54)),B54)</f>
        <v>[effect:change_attribute, target:myself, color:red, turn:-1, animation:change_attribute_red]</v>
      </c>
      <c r="H54" s="64">
        <f t="shared" ref="H54" si="137">FIND("effect:",G54)+7</f>
        <v>9</v>
      </c>
      <c r="I54" s="64">
        <f t="shared" ref="I54" si="138">IFERROR(FIND(",",G54),LEN(G54))</f>
        <v>25</v>
      </c>
      <c r="J54" s="64">
        <f t="shared" ref="J54" si="139">FIND("target:",G54)+7</f>
        <v>34</v>
      </c>
      <c r="K54" s="64">
        <f t="shared" ref="K54" si="140">FIND(",",G54,I54+1)</f>
        <v>40</v>
      </c>
      <c r="L54" s="64" t="str">
        <f>IFERROR(VLOOKUP(MID(G54,J54,K54-J54),[6]skilldef!$C:$D,2,FALSE),"-") &amp; " / " &amp; IFERROR(VLOOKUP(MID(G54,H54,I54-H54),[6]skilldef!$A:$B,2,FALSE),"-")</f>
        <v>自分自身に / -</v>
      </c>
      <c r="M54" s="64" t="str">
        <f t="shared" ref="M54" si="141">IFERROR(RIGHT(B54,LEN(B54)-FIND("],",B54)-1),"none")</f>
        <v>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N54" s="48" t="str">
        <f>IFERROR(LEFT(M54,FIND("],",M54)+S64),M54)</f>
        <v>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O54" s="64">
        <f t="shared" ref="O54" si="142">FIND("effect:",N54)+7</f>
        <v>9</v>
      </c>
      <c r="P54" s="64">
        <f t="shared" ref="P54" si="143">IFERROR(FIND(",",N54),LEN(N54))</f>
        <v>18</v>
      </c>
      <c r="Q54" s="64">
        <f t="shared" ref="Q54" si="144">FIND("target:",N54)+7</f>
        <v>27</v>
      </c>
      <c r="R54" s="64">
        <f t="shared" ref="R54" si="145">FIND(",",N54,P54+1)</f>
        <v>39</v>
      </c>
      <c r="S54" s="64" t="str">
        <f>IFERROR(VLOOKUP(MID(N54,Q54,R54-Q54),[6]skilldef!$C:$D,2,FALSE),"-") &amp; " / " &amp; IFERROR(VLOOKUP(MID(N54,O54,P54-O54),[6]skilldef!$A:$B,2,FALSE),"-")</f>
        <v>黄色パネルを / ディスパネル</v>
      </c>
      <c r="T54" s="48" t="str">
        <f t="shared" ref="T54" si="146">IFERROR(RIGHT(M54,LEN(M54)-FIND("],",M54)-1),"none")</f>
        <v>[effect:enhance_enemy, target:enemy_all, turn:3, status:attack, val:1500, calc:add, animation:enemy_enhance_attack],[effect:enhance_enemy, target:enemy_all, turn:3, status:defense, val:2500, calc:add, animation:enemy_enhance_defense]</v>
      </c>
      <c r="U54" s="64">
        <f t="shared" ref="U54" si="147">FIND("effect:",T54)+7</f>
        <v>9</v>
      </c>
      <c r="V54" s="64">
        <f t="shared" ref="V54" si="148">IFERROR(FIND(",",T54),LEN(T54))</f>
        <v>22</v>
      </c>
      <c r="W54" s="64">
        <f t="shared" ref="W54" si="149">FIND("target:",T54)+7</f>
        <v>31</v>
      </c>
      <c r="X54" s="64">
        <f t="shared" ref="X54" si="150">FIND(",",T54,V54+1)</f>
        <v>40</v>
      </c>
      <c r="Y54" s="64" t="str">
        <f>IFERROR(VLOOKUP(MID(T54,W54,X54-W54),[6]skilldef!$C:$D,2,FALSE),"-") &amp; " / " &amp; IFERROR(VLOOKUP(MID(T54,U54,V54-U54),[6]skilldef!$A:$B,2,FALSE),"-")</f>
        <v>敵全体に / ステータス強化</v>
      </c>
      <c r="Z54" s="50"/>
      <c r="AA54" s="52"/>
      <c r="AB54" s="50"/>
    </row>
    <row r="55" spans="1:28" ht="21" customHeight="1" x14ac:dyDescent="0.15">
      <c r="A55" s="105">
        <v>39002054</v>
      </c>
      <c r="B55" s="47" t="s">
        <v>232</v>
      </c>
      <c r="C55" s="50">
        <v>3</v>
      </c>
      <c r="D55" s="50" t="s">
        <v>129</v>
      </c>
      <c r="E55" s="51" t="s">
        <v>286</v>
      </c>
      <c r="F55" s="114" t="s">
        <v>274</v>
      </c>
      <c r="G55" s="64" t="str">
        <f t="shared" si="106"/>
        <v>[effect:nothing]</v>
      </c>
      <c r="H55" s="64">
        <f t="shared" si="107"/>
        <v>9</v>
      </c>
      <c r="I55" s="64">
        <f t="shared" si="108"/>
        <v>16</v>
      </c>
      <c r="J55" s="64" t="e">
        <f t="shared" si="109"/>
        <v>#VALUE!</v>
      </c>
      <c r="K55" s="64" t="e">
        <f t="shared" si="110"/>
        <v>#VALUE!</v>
      </c>
      <c r="L55" s="64" t="str">
        <f>IFERROR(VLOOKUP(MID(G55,J55,K55-J55),[6]skilldef!$C:$D,2,FALSE),"-") &amp; " / " &amp; IFERROR(VLOOKUP(MID(G55,H55,I55-H55),[6]skilldef!$A:$B,2,FALSE),"-")</f>
        <v>- / 何もしない</v>
      </c>
      <c r="M55" s="64" t="str">
        <f t="shared" si="111"/>
        <v>none</v>
      </c>
      <c r="N55" s="48" t="str">
        <f t="shared" ref="N55:N60" si="151">IFERROR(LEFT(M55,FIND("],",M55)+S64),M55)</f>
        <v>none</v>
      </c>
      <c r="O55" s="64" t="e">
        <f t="shared" si="112"/>
        <v>#VALUE!</v>
      </c>
      <c r="P55" s="64">
        <f t="shared" si="113"/>
        <v>4</v>
      </c>
      <c r="Q55" s="64" t="e">
        <f t="shared" si="114"/>
        <v>#VALUE!</v>
      </c>
      <c r="R55" s="64" t="e">
        <f t="shared" si="115"/>
        <v>#VALUE!</v>
      </c>
      <c r="S55" s="64" t="str">
        <f>IFERROR(VLOOKUP(MID(N55,Q55,R55-Q55),[6]skilldef!$C:$D,2,FALSE),"-") &amp; " / " &amp; IFERROR(VLOOKUP(MID(N55,O55,P55-O55),[6]skilldef!$A:$B,2,FALSE),"-")</f>
        <v>- / -</v>
      </c>
      <c r="T55" s="48" t="str">
        <f t="shared" si="116"/>
        <v>none</v>
      </c>
      <c r="U55" s="64" t="e">
        <f t="shared" si="117"/>
        <v>#VALUE!</v>
      </c>
      <c r="V55" s="64">
        <f t="shared" si="118"/>
        <v>4</v>
      </c>
      <c r="W55" s="64" t="e">
        <f t="shared" si="119"/>
        <v>#VALUE!</v>
      </c>
      <c r="X55" s="64" t="e">
        <f t="shared" si="120"/>
        <v>#VALUE!</v>
      </c>
      <c r="Y55" s="64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105">
        <v>39002055</v>
      </c>
      <c r="B56" s="47" t="s">
        <v>232</v>
      </c>
      <c r="C56" s="50">
        <v>3</v>
      </c>
      <c r="D56" s="50" t="s">
        <v>129</v>
      </c>
      <c r="E56" s="51" t="s">
        <v>286</v>
      </c>
      <c r="F56" s="114" t="s">
        <v>267</v>
      </c>
      <c r="G56" s="64" t="str">
        <f t="shared" ref="G56" si="152">IFERROR(LEFT(B56,FIND("],",B56)),B56)</f>
        <v>[effect:nothing]</v>
      </c>
      <c r="H56" s="64">
        <f t="shared" ref="H56" si="153">FIND("effect:",G56)+7</f>
        <v>9</v>
      </c>
      <c r="I56" s="64">
        <f t="shared" ref="I56" si="154">IFERROR(FIND(",",G56),LEN(G56))</f>
        <v>16</v>
      </c>
      <c r="J56" s="64" t="e">
        <f t="shared" ref="J56" si="155">FIND("target:",G56)+7</f>
        <v>#VALUE!</v>
      </c>
      <c r="K56" s="64" t="e">
        <f t="shared" ref="K56" si="156">FIND(",",G56,I56+1)</f>
        <v>#VALUE!</v>
      </c>
      <c r="L56" s="64" t="str">
        <f>IFERROR(VLOOKUP(MID(G56,J56,K56-J56),[6]skilldef!$C:$D,2,FALSE),"-") &amp; " / " &amp; IFERROR(VLOOKUP(MID(G56,H56,I56-H56),[6]skilldef!$A:$B,2,FALSE),"-")</f>
        <v>- / 何もしない</v>
      </c>
      <c r="M56" s="64" t="str">
        <f t="shared" ref="M56" si="157">IFERROR(RIGHT(B56,LEN(B56)-FIND("],",B56)-1),"none")</f>
        <v>none</v>
      </c>
      <c r="N56" s="48" t="str">
        <f t="shared" si="151"/>
        <v>none</v>
      </c>
      <c r="O56" s="64" t="e">
        <f t="shared" ref="O56" si="158">FIND("effect:",N56)+7</f>
        <v>#VALUE!</v>
      </c>
      <c r="P56" s="64">
        <f t="shared" ref="P56" si="159">IFERROR(FIND(",",N56),LEN(N56))</f>
        <v>4</v>
      </c>
      <c r="Q56" s="64" t="e">
        <f t="shared" ref="Q56" si="160">FIND("target:",N56)+7</f>
        <v>#VALUE!</v>
      </c>
      <c r="R56" s="64" t="e">
        <f t="shared" ref="R56" si="161">FIND(",",N56,P56+1)</f>
        <v>#VALUE!</v>
      </c>
      <c r="S56" s="64" t="str">
        <f>IFERROR(VLOOKUP(MID(N56,Q56,R56-Q56),[6]skilldef!$C:$D,2,FALSE),"-") &amp; " / " &amp; IFERROR(VLOOKUP(MID(N56,O56,P56-O56),[6]skilldef!$A:$B,2,FALSE),"-")</f>
        <v>- / -</v>
      </c>
      <c r="T56" s="48" t="str">
        <f t="shared" ref="T56" si="162">IFERROR(RIGHT(M56,LEN(M56)-FIND("],",M56)-1),"none")</f>
        <v>none</v>
      </c>
      <c r="U56" s="64" t="e">
        <f t="shared" ref="U56" si="163">FIND("effect:",T56)+7</f>
        <v>#VALUE!</v>
      </c>
      <c r="V56" s="64">
        <f t="shared" ref="V56" si="164">IFERROR(FIND(",",T56),LEN(T56))</f>
        <v>4</v>
      </c>
      <c r="W56" s="64" t="e">
        <f t="shared" ref="W56" si="165">FIND("target:",T56)+7</f>
        <v>#VALUE!</v>
      </c>
      <c r="X56" s="64" t="e">
        <f t="shared" ref="X56" si="166">FIND(",",T56,V56+1)</f>
        <v>#VALUE!</v>
      </c>
      <c r="Y56" s="64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105">
        <v>39002056</v>
      </c>
      <c r="B57" s="47" t="s">
        <v>302</v>
      </c>
      <c r="C57" s="50">
        <v>3</v>
      </c>
      <c r="D57" s="50" t="s">
        <v>129</v>
      </c>
      <c r="E57" s="51" t="s">
        <v>288</v>
      </c>
      <c r="F57" s="51" t="s">
        <v>239</v>
      </c>
      <c r="G57" s="64" t="str">
        <f t="shared" si="0"/>
        <v>[effect:dis_panel, target:block_yellow, turn:3, animation:enemy_dis_yellow]</v>
      </c>
      <c r="H57" s="64">
        <f t="shared" si="1"/>
        <v>9</v>
      </c>
      <c r="I57" s="64">
        <f t="shared" si="2"/>
        <v>18</v>
      </c>
      <c r="J57" s="64">
        <f t="shared" si="3"/>
        <v>27</v>
      </c>
      <c r="K57" s="64">
        <f t="shared" si="4"/>
        <v>39</v>
      </c>
      <c r="L57" s="64" t="str">
        <f>IFERROR(VLOOKUP(MID(G57,J57,K57-J57),[6]skilldef!$C:$D,2,FALSE),"-") &amp; " / " &amp; IFERROR(VLOOKUP(MID(G57,H57,I57-H57),[6]skilldef!$A:$B,2,FALSE),"-")</f>
        <v>黄色パネルを / ディスパネル</v>
      </c>
      <c r="M57" s="64" t="str">
        <f t="shared" si="5"/>
        <v>[effect:enhance_enemy, target:enemy_all, turn:3, status:attack, val:1500, calc:add, animation:enemy_enhance_defense],[effect:enhance_enemy, target:enemy_all, turn:3, status:defense, val:1500, calc:add, animation:enemy_enhance_defense]</v>
      </c>
      <c r="N57" s="48" t="str">
        <f t="shared" si="151"/>
        <v>[effect:enhance_enemy, target:enemy_all, turn:3, status:attack, val:1500, calc:add, animation:enemy_enhance_defense],[effect:enhance_enemy, target:enemy_all, turn:3, status:defense, val:1500, calc:add, animation:enemy_enhance_defense]</v>
      </c>
      <c r="O57" s="64">
        <f t="shared" si="7"/>
        <v>9</v>
      </c>
      <c r="P57" s="64">
        <f t="shared" si="8"/>
        <v>22</v>
      </c>
      <c r="Q57" s="64">
        <f t="shared" si="9"/>
        <v>31</v>
      </c>
      <c r="R57" s="64">
        <f t="shared" si="10"/>
        <v>40</v>
      </c>
      <c r="S57" s="64" t="str">
        <f>IFERROR(VLOOKUP(MID(N57,Q57,R57-Q57),[6]skilldef!$C:$D,2,FALSE),"-") &amp; " / " &amp; IFERROR(VLOOKUP(MID(N57,O57,P57-O57),[6]skilldef!$A:$B,2,FALSE),"-")</f>
        <v>敵全体に / ステータス強化</v>
      </c>
      <c r="T57" s="48" t="str">
        <f t="shared" si="11"/>
        <v>[effect:enhance_enemy, target:enemy_all, turn:3, status:defense, val:1500, calc:add, animation:enemy_enhance_defense]</v>
      </c>
      <c r="U57" s="64">
        <f t="shared" si="12"/>
        <v>9</v>
      </c>
      <c r="V57" s="64">
        <f t="shared" si="13"/>
        <v>22</v>
      </c>
      <c r="W57" s="64">
        <f t="shared" si="14"/>
        <v>31</v>
      </c>
      <c r="X57" s="64">
        <f t="shared" si="15"/>
        <v>40</v>
      </c>
      <c r="Y57" s="64" t="str">
        <f>IFERROR(VLOOKUP(MID(T57,W57,X57-W57),[6]skilldef!$C:$D,2,FALSE),"-") &amp; " / " &amp; IFERROR(VLOOKUP(MID(T57,U57,V57-U57),[6]skilldef!$A:$B,2,FALSE),"-")</f>
        <v>敵全体に / ステータス強化</v>
      </c>
      <c r="Z57" s="50"/>
      <c r="AA57" s="52"/>
      <c r="AB57" s="50"/>
    </row>
    <row r="58" spans="1:28" ht="21" customHeight="1" x14ac:dyDescent="0.15">
      <c r="A58" s="105">
        <v>39002057</v>
      </c>
      <c r="B58" s="47" t="s">
        <v>265</v>
      </c>
      <c r="C58" s="50">
        <v>3</v>
      </c>
      <c r="D58" s="50" t="s">
        <v>264</v>
      </c>
      <c r="E58" s="51" t="s">
        <v>262</v>
      </c>
      <c r="F58" s="51" t="s">
        <v>240</v>
      </c>
      <c r="G58" s="64" t="str">
        <f t="shared" si="0"/>
        <v>[effect:change_block, new_block:block_yellow, target:block_green, count:0, val:0, animation:change_block]</v>
      </c>
      <c r="H58" s="64">
        <f t="shared" si="1"/>
        <v>9</v>
      </c>
      <c r="I58" s="64">
        <f t="shared" si="2"/>
        <v>21</v>
      </c>
      <c r="J58" s="64">
        <f t="shared" si="3"/>
        <v>54</v>
      </c>
      <c r="K58" s="64">
        <f t="shared" si="4"/>
        <v>45</v>
      </c>
      <c r="L58" s="64" t="str">
        <f>IFERROR(VLOOKUP(MID(G58,J58,K58-J58),[6]skilldef!$C:$D,2,FALSE),"-") &amp; " / " &amp; IFERROR(VLOOKUP(MID(G58,H58,I58-H58),[6]skilldef!$A:$B,2,FALSE),"-")</f>
        <v>- / ブロック変換</v>
      </c>
      <c r="M58" s="64" t="str">
        <f t="shared" si="5"/>
        <v>none</v>
      </c>
      <c r="N58" s="48" t="str">
        <f t="shared" si="151"/>
        <v>none</v>
      </c>
      <c r="O58" s="64" t="e">
        <f t="shared" si="7"/>
        <v>#VALUE!</v>
      </c>
      <c r="P58" s="64">
        <f t="shared" si="8"/>
        <v>4</v>
      </c>
      <c r="Q58" s="64" t="e">
        <f t="shared" si="9"/>
        <v>#VALUE!</v>
      </c>
      <c r="R58" s="64" t="e">
        <f t="shared" si="10"/>
        <v>#VALUE!</v>
      </c>
      <c r="S58" s="64" t="str">
        <f>IFERROR(VLOOKUP(MID(N58,Q58,R58-Q58),[6]skilldef!$C:$D,2,FALSE),"-") &amp; " / " &amp; IFERROR(VLOOKUP(MID(N58,O58,P58-O58),[6]skilldef!$A:$B,2,FALSE),"-")</f>
        <v>- / -</v>
      </c>
      <c r="T58" s="48" t="str">
        <f t="shared" si="11"/>
        <v>none</v>
      </c>
      <c r="U58" s="64" t="e">
        <f t="shared" si="12"/>
        <v>#VALUE!</v>
      </c>
      <c r="V58" s="64">
        <f t="shared" si="13"/>
        <v>4</v>
      </c>
      <c r="W58" s="64" t="e">
        <f t="shared" si="14"/>
        <v>#VALUE!</v>
      </c>
      <c r="X58" s="64" t="e">
        <f t="shared" si="15"/>
        <v>#VALUE!</v>
      </c>
      <c r="Y58" s="64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21" customHeight="1" x14ac:dyDescent="0.15">
      <c r="A59" s="105">
        <v>39002058</v>
      </c>
      <c r="B59" s="47" t="s">
        <v>261</v>
      </c>
      <c r="C59" s="50">
        <v>3</v>
      </c>
      <c r="D59" s="50" t="s">
        <v>129</v>
      </c>
      <c r="E59" s="51" t="s">
        <v>290</v>
      </c>
      <c r="F59" s="51" t="s">
        <v>273</v>
      </c>
      <c r="G59" s="64" t="str">
        <f t="shared" si="0"/>
        <v>[effect:damage_anti_color, target:unit_all, color:blue, val1:0.6, val2:0.3]</v>
      </c>
      <c r="H59" s="64">
        <f t="shared" si="1"/>
        <v>9</v>
      </c>
      <c r="I59" s="64">
        <f t="shared" si="2"/>
        <v>26</v>
      </c>
      <c r="J59" s="64">
        <f t="shared" si="3"/>
        <v>35</v>
      </c>
      <c r="K59" s="64">
        <f t="shared" si="4"/>
        <v>43</v>
      </c>
      <c r="L59" s="64" t="str">
        <f>IFERROR(VLOOKUP(MID(G59,J59,K59-J59),[6]skilldef!$C:$D,2,FALSE),"-") &amp; " / " &amp; IFERROR(VLOOKUP(MID(G59,H59,I59-H59),[6]skilldef!$A:$B,2,FALSE),"-")</f>
        <v>味方全体に / 属性キラー</v>
      </c>
      <c r="M59" s="64" t="str">
        <f t="shared" si="5"/>
        <v>none</v>
      </c>
      <c r="N59" s="48" t="str">
        <f t="shared" si="151"/>
        <v>none</v>
      </c>
      <c r="O59" s="64" t="e">
        <f t="shared" si="7"/>
        <v>#VALUE!</v>
      </c>
      <c r="P59" s="64">
        <f t="shared" si="8"/>
        <v>4</v>
      </c>
      <c r="Q59" s="64" t="e">
        <f t="shared" si="9"/>
        <v>#VALUE!</v>
      </c>
      <c r="R59" s="64" t="e">
        <f t="shared" si="10"/>
        <v>#VALUE!</v>
      </c>
      <c r="S59" s="64" t="str">
        <f>IFERROR(VLOOKUP(MID(N59,Q59,R59-Q59),[6]skilldef!$C:$D,2,FALSE),"-") &amp; " / " &amp; IFERROR(VLOOKUP(MID(N59,O59,P59-O59),[6]skilldef!$A:$B,2,FALSE),"-")</f>
        <v>- / -</v>
      </c>
      <c r="T59" s="48" t="str">
        <f t="shared" si="11"/>
        <v>none</v>
      </c>
      <c r="U59" s="64" t="e">
        <f t="shared" si="12"/>
        <v>#VALUE!</v>
      </c>
      <c r="V59" s="64">
        <f t="shared" si="13"/>
        <v>4</v>
      </c>
      <c r="W59" s="64" t="e">
        <f t="shared" si="14"/>
        <v>#VALUE!</v>
      </c>
      <c r="X59" s="64" t="e">
        <f t="shared" si="15"/>
        <v>#VALUE!</v>
      </c>
      <c r="Y59" s="64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 x14ac:dyDescent="0.15">
      <c r="A60" s="105">
        <v>39002059</v>
      </c>
      <c r="B60" s="47" t="s">
        <v>260</v>
      </c>
      <c r="C60" s="50">
        <v>3</v>
      </c>
      <c r="D60" s="50" t="s">
        <v>129</v>
      </c>
      <c r="E60" s="51" t="s">
        <v>289</v>
      </c>
      <c r="F60" s="51" t="s">
        <v>238</v>
      </c>
      <c r="G60" s="64" t="str">
        <f t="shared" si="0"/>
        <v>[effect:rush, count:2, val:0.6]</v>
      </c>
      <c r="H60" s="64">
        <f t="shared" si="1"/>
        <v>9</v>
      </c>
      <c r="I60" s="64">
        <f t="shared" si="2"/>
        <v>13</v>
      </c>
      <c r="J60" s="64" t="e">
        <f t="shared" si="3"/>
        <v>#VALUE!</v>
      </c>
      <c r="K60" s="64">
        <f t="shared" si="4"/>
        <v>22</v>
      </c>
      <c r="L60" s="64" t="str">
        <f>IFERROR(VLOOKUP(MID(G60,J60,K60-J60),[6]skilldef!$C:$D,2,FALSE),"-") &amp; " / " &amp; IFERROR(VLOOKUP(MID(G60,H60,I60-H60),[6]skilldef!$A:$B,2,FALSE),"-")</f>
        <v>- / 連続攻撃</v>
      </c>
      <c r="M60" s="64" t="str">
        <f t="shared" si="5"/>
        <v>none</v>
      </c>
      <c r="N60" s="48" t="str">
        <f t="shared" si="151"/>
        <v>none</v>
      </c>
      <c r="O60" s="64" t="e">
        <f t="shared" si="7"/>
        <v>#VALUE!</v>
      </c>
      <c r="P60" s="64">
        <f t="shared" si="8"/>
        <v>4</v>
      </c>
      <c r="Q60" s="64" t="e">
        <f t="shared" si="9"/>
        <v>#VALUE!</v>
      </c>
      <c r="R60" s="64" t="e">
        <f t="shared" si="10"/>
        <v>#VALUE!</v>
      </c>
      <c r="S60" s="64" t="str">
        <f>IFERROR(VLOOKUP(MID(N60,Q60,R60-Q60),[6]skilldef!$C:$D,2,FALSE),"-") &amp; " / " &amp; IFERROR(VLOOKUP(MID(N60,O60,P60-O60),[6]skilldef!$A:$B,2,FALSE),"-")</f>
        <v>- / -</v>
      </c>
      <c r="T60" s="48" t="str">
        <f t="shared" si="11"/>
        <v>none</v>
      </c>
      <c r="U60" s="64" t="e">
        <f t="shared" si="12"/>
        <v>#VALUE!</v>
      </c>
      <c r="V60" s="64">
        <f t="shared" si="13"/>
        <v>4</v>
      </c>
      <c r="W60" s="64" t="e">
        <f t="shared" si="14"/>
        <v>#VALUE!</v>
      </c>
      <c r="X60" s="64" t="e">
        <f t="shared" si="15"/>
        <v>#VALUE!</v>
      </c>
      <c r="Y60" s="64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 x14ac:dyDescent="0.15">
      <c r="A61" s="105">
        <v>39002060</v>
      </c>
      <c r="B61" s="47" t="s">
        <v>232</v>
      </c>
      <c r="C61" s="50">
        <v>3</v>
      </c>
      <c r="D61" s="50" t="s">
        <v>129</v>
      </c>
      <c r="E61" s="51" t="s">
        <v>295</v>
      </c>
      <c r="F61" s="51" t="s">
        <v>297</v>
      </c>
      <c r="G61" s="64" t="str">
        <f t="shared" ref="G61:G62" si="167">IFERROR(LEFT(B61,FIND("],",B61)),B61)</f>
        <v>[effect:nothing]</v>
      </c>
      <c r="H61" s="64">
        <f t="shared" ref="H61:H62" si="168">FIND("effect:",G61)+7</f>
        <v>9</v>
      </c>
      <c r="I61" s="64">
        <f t="shared" ref="I61:I62" si="169">IFERROR(FIND(",",G61),LEN(G61))</f>
        <v>16</v>
      </c>
      <c r="J61" s="64" t="e">
        <f t="shared" ref="J61:J62" si="170">FIND("target:",G61)+7</f>
        <v>#VALUE!</v>
      </c>
      <c r="K61" s="64" t="e">
        <f t="shared" ref="K61:K62" si="171">FIND(",",G61,I61+1)</f>
        <v>#VALUE!</v>
      </c>
      <c r="L61" s="64" t="str">
        <f>IFERROR(VLOOKUP(MID(G61,J61,K61-J61),[6]skilldef!$C:$D,2,FALSE),"-") &amp; " / " &amp; IFERROR(VLOOKUP(MID(G61,H61,I61-H61),[6]skilldef!$A:$B,2,FALSE),"-")</f>
        <v>- / 何もしない</v>
      </c>
      <c r="M61" s="64" t="str">
        <f t="shared" ref="M61:M62" si="172">IFERROR(RIGHT(B61,LEN(B61)-FIND("],",B61)-1),"none")</f>
        <v>none</v>
      </c>
      <c r="N61" s="48" t="str">
        <f t="shared" ref="N61:N62" si="173">IFERROR(LEFT(M61,FIND("],",M61)+S70),M61)</f>
        <v>none</v>
      </c>
      <c r="O61" s="64" t="e">
        <f t="shared" ref="O61:O62" si="174">FIND("effect:",N61)+7</f>
        <v>#VALUE!</v>
      </c>
      <c r="P61" s="64">
        <f t="shared" ref="P61:P62" si="175">IFERROR(FIND(",",N61),LEN(N61))</f>
        <v>4</v>
      </c>
      <c r="Q61" s="64" t="e">
        <f t="shared" ref="Q61:Q62" si="176">FIND("target:",N61)+7</f>
        <v>#VALUE!</v>
      </c>
      <c r="R61" s="64" t="e">
        <f t="shared" ref="R61:R62" si="177">FIND(",",N61,P61+1)</f>
        <v>#VALUE!</v>
      </c>
      <c r="S61" s="64" t="str">
        <f>IFERROR(VLOOKUP(MID(N61,Q61,R61-Q61),[6]skilldef!$C:$D,2,FALSE),"-") &amp; " / " &amp; IFERROR(VLOOKUP(MID(N61,O61,P61-O61),[6]skilldef!$A:$B,2,FALSE),"-")</f>
        <v>- / -</v>
      </c>
      <c r="T61" s="48" t="str">
        <f t="shared" ref="T61:T62" si="178">IFERROR(RIGHT(M61,LEN(M61)-FIND("],",M61)-1),"none")</f>
        <v>none</v>
      </c>
      <c r="U61" s="64" t="e">
        <f t="shared" ref="U61:U62" si="179">FIND("effect:",T61)+7</f>
        <v>#VALUE!</v>
      </c>
      <c r="V61" s="64">
        <f t="shared" ref="V61:V62" si="180">IFERROR(FIND(",",T61),LEN(T61))</f>
        <v>4</v>
      </c>
      <c r="W61" s="64" t="e">
        <f t="shared" ref="W61:W62" si="181">FIND("target:",T61)+7</f>
        <v>#VALUE!</v>
      </c>
      <c r="X61" s="64" t="e">
        <f t="shared" ref="X61:X62" si="182">FIND(",",T61,V61+1)</f>
        <v>#VALUE!</v>
      </c>
      <c r="Y61" s="64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21" customHeight="1" x14ac:dyDescent="0.15">
      <c r="A62" s="105">
        <v>39002061</v>
      </c>
      <c r="B62" s="47" t="s">
        <v>257</v>
      </c>
      <c r="C62" s="50">
        <v>3</v>
      </c>
      <c r="D62" s="50" t="s">
        <v>263</v>
      </c>
      <c r="E62" s="51" t="s">
        <v>296</v>
      </c>
      <c r="F62" s="51" t="s">
        <v>248</v>
      </c>
      <c r="G62" s="64" t="str">
        <f t="shared" si="167"/>
        <v>[effect:critical, val:1.3]</v>
      </c>
      <c r="H62" s="64">
        <f t="shared" si="168"/>
        <v>9</v>
      </c>
      <c r="I62" s="64">
        <f t="shared" si="169"/>
        <v>17</v>
      </c>
      <c r="J62" s="64" t="e">
        <f t="shared" si="170"/>
        <v>#VALUE!</v>
      </c>
      <c r="K62" s="64" t="e">
        <f t="shared" si="171"/>
        <v>#VALUE!</v>
      </c>
      <c r="L62" s="64" t="str">
        <f>IFERROR(VLOOKUP(MID(G62,J62,K62-J62),[6]skilldef!$C:$D,2,FALSE),"-") &amp; " / " &amp; IFERROR(VLOOKUP(MID(G62,H62,I62-H62),[6]skilldef!$A:$B,2,FALSE),"-")</f>
        <v>- / 大攻撃</v>
      </c>
      <c r="M62" s="64" t="str">
        <f t="shared" si="172"/>
        <v>none</v>
      </c>
      <c r="N62" s="48" t="str">
        <f t="shared" si="173"/>
        <v>none</v>
      </c>
      <c r="O62" s="64" t="e">
        <f t="shared" si="174"/>
        <v>#VALUE!</v>
      </c>
      <c r="P62" s="64">
        <f t="shared" si="175"/>
        <v>4</v>
      </c>
      <c r="Q62" s="64" t="e">
        <f t="shared" si="176"/>
        <v>#VALUE!</v>
      </c>
      <c r="R62" s="64" t="e">
        <f t="shared" si="177"/>
        <v>#VALUE!</v>
      </c>
      <c r="S62" s="64" t="str">
        <f>IFERROR(VLOOKUP(MID(N62,Q62,R62-Q62),[6]skilldef!$C:$D,2,FALSE),"-") &amp; " / " &amp; IFERROR(VLOOKUP(MID(N62,O62,P62-O62),[6]skilldef!$A:$B,2,FALSE),"-")</f>
        <v>- / -</v>
      </c>
      <c r="T62" s="48" t="str">
        <f t="shared" si="178"/>
        <v>none</v>
      </c>
      <c r="U62" s="64" t="e">
        <f t="shared" si="179"/>
        <v>#VALUE!</v>
      </c>
      <c r="V62" s="64">
        <f t="shared" si="180"/>
        <v>4</v>
      </c>
      <c r="W62" s="64" t="e">
        <f t="shared" si="181"/>
        <v>#VALUE!</v>
      </c>
      <c r="X62" s="64" t="e">
        <f t="shared" si="182"/>
        <v>#VALUE!</v>
      </c>
      <c r="Y62" s="64" t="str">
        <f>IFERROR(VLOOKUP(MID(T62,W62,X62-W62),[6]skilldef!$C:$D,2,FALSE),"-") &amp; " / " &amp; IFERROR(VLOOKUP(MID(T62,U62,V62-U62),[6]skilldef!$A:$B,2,FALSE),"-")</f>
        <v>- / -</v>
      </c>
      <c r="Z62" s="50"/>
      <c r="AA62" s="52"/>
      <c r="AB62" s="50"/>
    </row>
    <row r="63" spans="1:28" ht="21" customHeight="1" x14ac:dyDescent="0.15">
      <c r="A63" s="105">
        <v>39002062</v>
      </c>
      <c r="B63" s="47" t="s">
        <v>308</v>
      </c>
      <c r="C63" s="50">
        <v>3</v>
      </c>
      <c r="D63" s="50" t="s">
        <v>129</v>
      </c>
      <c r="E63" s="51" t="s">
        <v>298</v>
      </c>
      <c r="F63" s="51" t="s">
        <v>299</v>
      </c>
      <c r="G63" s="64" t="str">
        <f t="shared" si="0"/>
        <v>[effect:enemy_message, val1:3, val2:3, dead_type:escape]</v>
      </c>
      <c r="H63" s="64">
        <f t="shared" si="1"/>
        <v>9</v>
      </c>
      <c r="I63" s="64">
        <f t="shared" si="2"/>
        <v>22</v>
      </c>
      <c r="J63" s="64" t="e">
        <f t="shared" si="3"/>
        <v>#VALUE!</v>
      </c>
      <c r="K63" s="64">
        <f t="shared" si="4"/>
        <v>30</v>
      </c>
      <c r="L63" s="64" t="str">
        <f>IFERROR(VLOOKUP(MID(G63,J63,K63-J63),[6]skilldef!$C:$D,2,FALSE),"-") &amp; " / " &amp; IFERROR(VLOOKUP(MID(G63,H63,I63-H63),[6]skilldef!$A:$B,2,FALSE),"-")</f>
        <v>- / -</v>
      </c>
      <c r="M63" s="64" t="str">
        <f t="shared" si="5"/>
        <v>none</v>
      </c>
      <c r="N63" s="48" t="str">
        <f t="shared" ref="N63" si="183">IFERROR(LEFT(M63,FIND("],",M63)+S70),M63)</f>
        <v>none</v>
      </c>
      <c r="O63" s="64" t="e">
        <f t="shared" si="7"/>
        <v>#VALUE!</v>
      </c>
      <c r="P63" s="64">
        <f t="shared" si="8"/>
        <v>4</v>
      </c>
      <c r="Q63" s="64" t="e">
        <f t="shared" si="9"/>
        <v>#VALUE!</v>
      </c>
      <c r="R63" s="64" t="e">
        <f t="shared" si="10"/>
        <v>#VALUE!</v>
      </c>
      <c r="S63" s="64" t="str">
        <f>IFERROR(VLOOKUP(MID(N63,Q63,R63-Q63),[6]skilldef!$C:$D,2,FALSE),"-") &amp; " / " &amp; IFERROR(VLOOKUP(MID(N63,O63,P63-O63),[6]skilldef!$A:$B,2,FALSE),"-")</f>
        <v>- / -</v>
      </c>
      <c r="T63" s="48" t="str">
        <f t="shared" si="11"/>
        <v>none</v>
      </c>
      <c r="U63" s="64" t="e">
        <f t="shared" si="12"/>
        <v>#VALUE!</v>
      </c>
      <c r="V63" s="64">
        <f t="shared" si="13"/>
        <v>4</v>
      </c>
      <c r="W63" s="64" t="e">
        <f t="shared" si="14"/>
        <v>#VALUE!</v>
      </c>
      <c r="X63" s="64" t="e">
        <f t="shared" si="15"/>
        <v>#VALUE!</v>
      </c>
      <c r="Y63" s="64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 x14ac:dyDescent="0.15">
      <c r="A64" s="116">
        <v>39002063</v>
      </c>
      <c r="B64" s="47" t="s">
        <v>232</v>
      </c>
      <c r="C64" s="50">
        <v>3</v>
      </c>
      <c r="D64" s="50" t="s">
        <v>129</v>
      </c>
      <c r="E64" s="51" t="s">
        <v>288</v>
      </c>
      <c r="F64" s="51" t="s">
        <v>307</v>
      </c>
      <c r="G64" s="64" t="str">
        <f t="shared" ref="G64:G67" si="184">IFERROR(LEFT(B64,FIND("],",B64)),B64)</f>
        <v>[effect:nothing]</v>
      </c>
      <c r="H64" s="64">
        <f t="shared" ref="H64:H67" si="185">FIND("effect:",G64)+7</f>
        <v>9</v>
      </c>
      <c r="I64" s="64">
        <f t="shared" ref="I64:I67" si="186">IFERROR(FIND(",",G64),LEN(G64))</f>
        <v>16</v>
      </c>
      <c r="J64" s="64" t="e">
        <f t="shared" ref="J64:J67" si="187">FIND("target:",G64)+7</f>
        <v>#VALUE!</v>
      </c>
      <c r="K64" s="64" t="e">
        <f t="shared" ref="K64:K67" si="188">FIND(",",G64,I64+1)</f>
        <v>#VALUE!</v>
      </c>
      <c r="L64" s="64" t="str">
        <f>IFERROR(VLOOKUP(MID(G64,J64,K64-J64),[6]skilldef!$C:$D,2,FALSE),"-") &amp; " / " &amp; IFERROR(VLOOKUP(MID(G64,H64,I64-H64),[6]skilldef!$A:$B,2,FALSE),"-")</f>
        <v>- / 何もしない</v>
      </c>
      <c r="M64" s="64" t="str">
        <f t="shared" ref="M64:M67" si="189">IFERROR(RIGHT(B64,LEN(B64)-FIND("],",B64)-1),"none")</f>
        <v>none</v>
      </c>
      <c r="N64" s="48" t="str">
        <f t="shared" ref="N64:N65" si="190">IFERROR(LEFT(M64,FIND("],",M64)+S73),M64)</f>
        <v>none</v>
      </c>
      <c r="O64" s="64" t="e">
        <f t="shared" ref="O64:O67" si="191">FIND("effect:",N64)+7</f>
        <v>#VALUE!</v>
      </c>
      <c r="P64" s="64">
        <f t="shared" ref="P64:P67" si="192">IFERROR(FIND(",",N64),LEN(N64))</f>
        <v>4</v>
      </c>
      <c r="Q64" s="64" t="e">
        <f t="shared" ref="Q64:Q67" si="193">FIND("target:",N64)+7</f>
        <v>#VALUE!</v>
      </c>
      <c r="R64" s="64" t="e">
        <f t="shared" ref="R64:R67" si="194">FIND(",",N64,P64+1)</f>
        <v>#VALUE!</v>
      </c>
      <c r="S64" s="64" t="str">
        <f>IFERROR(VLOOKUP(MID(N64,Q64,R64-Q64),[6]skilldef!$C:$D,2,FALSE),"-") &amp; " / " &amp; IFERROR(VLOOKUP(MID(N64,O64,P64-O64),[6]skilldef!$A:$B,2,FALSE),"-")</f>
        <v>- / -</v>
      </c>
      <c r="T64" s="48" t="str">
        <f t="shared" ref="T64:T67" si="195">IFERROR(RIGHT(M64,LEN(M64)-FIND("],",M64)-1),"none")</f>
        <v>none</v>
      </c>
      <c r="U64" s="64" t="e">
        <f t="shared" ref="U64:U67" si="196">FIND("effect:",T64)+7</f>
        <v>#VALUE!</v>
      </c>
      <c r="V64" s="64">
        <f t="shared" ref="V64:V67" si="197">IFERROR(FIND(",",T64),LEN(T64))</f>
        <v>4</v>
      </c>
      <c r="W64" s="64" t="e">
        <f t="shared" ref="W64:W67" si="198">FIND("target:",T64)+7</f>
        <v>#VALUE!</v>
      </c>
      <c r="X64" s="64" t="e">
        <f t="shared" ref="X64:X67" si="199">FIND(",",T64,V64+1)</f>
        <v>#VALUE!</v>
      </c>
      <c r="Y64" s="64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21" customHeight="1" x14ac:dyDescent="0.15">
      <c r="A65" s="117">
        <v>39002064</v>
      </c>
      <c r="B65" s="47" t="s">
        <v>304</v>
      </c>
      <c r="C65" s="50">
        <v>3</v>
      </c>
      <c r="D65" s="50" t="s">
        <v>129</v>
      </c>
      <c r="E65" s="51" t="s">
        <v>288</v>
      </c>
      <c r="F65" s="51" t="s">
        <v>305</v>
      </c>
      <c r="G65" s="64" t="str">
        <f t="shared" si="184"/>
        <v>[effect:dis_panel, target:block_yellow, turn:3, animation:enemy_dis_yellow]</v>
      </c>
      <c r="H65" s="64">
        <f t="shared" si="185"/>
        <v>9</v>
      </c>
      <c r="I65" s="64">
        <f t="shared" si="186"/>
        <v>18</v>
      </c>
      <c r="J65" s="64">
        <f t="shared" si="187"/>
        <v>27</v>
      </c>
      <c r="K65" s="64">
        <f t="shared" si="188"/>
        <v>39</v>
      </c>
      <c r="L65" s="64" t="str">
        <f>IFERROR(VLOOKUP(MID(G65,J65,K65-J65),[6]skilldef!$C:$D,2,FALSE),"-") &amp; " / " &amp; IFERROR(VLOOKUP(MID(G65,H65,I65-H65),[6]skilldef!$A:$B,2,FALSE),"-")</f>
        <v>黄色パネルを / ディスパネル</v>
      </c>
      <c r="M65" s="64" t="str">
        <f t="shared" si="189"/>
        <v>none</v>
      </c>
      <c r="N65" s="48" t="str">
        <f t="shared" si="190"/>
        <v>none</v>
      </c>
      <c r="O65" s="64" t="e">
        <f t="shared" si="191"/>
        <v>#VALUE!</v>
      </c>
      <c r="P65" s="64">
        <f t="shared" si="192"/>
        <v>4</v>
      </c>
      <c r="Q65" s="64" t="e">
        <f t="shared" si="193"/>
        <v>#VALUE!</v>
      </c>
      <c r="R65" s="64" t="e">
        <f t="shared" si="194"/>
        <v>#VALUE!</v>
      </c>
      <c r="S65" s="64" t="str">
        <f>IFERROR(VLOOKUP(MID(N65,Q65,R65-Q65),[6]skilldef!$C:$D,2,FALSE),"-") &amp; " / " &amp; IFERROR(VLOOKUP(MID(N65,O65,P65-O65),[6]skilldef!$A:$B,2,FALSE),"-")</f>
        <v>- / -</v>
      </c>
      <c r="T65" s="48" t="str">
        <f t="shared" si="195"/>
        <v>none</v>
      </c>
      <c r="U65" s="64" t="e">
        <f t="shared" si="196"/>
        <v>#VALUE!</v>
      </c>
      <c r="V65" s="64">
        <f t="shared" si="197"/>
        <v>4</v>
      </c>
      <c r="W65" s="64" t="e">
        <f t="shared" si="198"/>
        <v>#VALUE!</v>
      </c>
      <c r="X65" s="64" t="e">
        <f t="shared" si="199"/>
        <v>#VALUE!</v>
      </c>
      <c r="Y65" s="64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8" ht="21" customHeight="1" x14ac:dyDescent="0.15">
      <c r="A66" s="118">
        <v>39002065</v>
      </c>
      <c r="B66" s="47" t="s">
        <v>265</v>
      </c>
      <c r="C66" s="50">
        <v>3</v>
      </c>
      <c r="D66" s="50" t="s">
        <v>129</v>
      </c>
      <c r="E66" s="51" t="s">
        <v>292</v>
      </c>
      <c r="F66" s="51" t="s">
        <v>240</v>
      </c>
      <c r="G66" s="64" t="str">
        <f t="shared" si="184"/>
        <v>[effect:change_block, new_block:block_yellow, target:block_green, count:0, val:0, animation:change_block]</v>
      </c>
      <c r="H66" s="64">
        <f t="shared" si="185"/>
        <v>9</v>
      </c>
      <c r="I66" s="64">
        <f t="shared" si="186"/>
        <v>21</v>
      </c>
      <c r="J66" s="64">
        <f t="shared" si="187"/>
        <v>54</v>
      </c>
      <c r="K66" s="64">
        <f t="shared" si="188"/>
        <v>45</v>
      </c>
      <c r="L66" s="64" t="str">
        <f>IFERROR(VLOOKUP(MID(G66,J66,K66-J66),[6]skilldef!$C:$D,2,FALSE),"-") &amp; " / " &amp; IFERROR(VLOOKUP(MID(G66,H66,I66-H66),[6]skilldef!$A:$B,2,FALSE),"-")</f>
        <v>- / ブロック変換</v>
      </c>
      <c r="M66" s="64" t="str">
        <f t="shared" si="189"/>
        <v>none</v>
      </c>
      <c r="N66" s="48" t="str">
        <f>IFERROR(LEFT(M66,FIND("],",M66)+#REF!),M66)</f>
        <v>none</v>
      </c>
      <c r="O66" s="64" t="e">
        <f t="shared" si="191"/>
        <v>#VALUE!</v>
      </c>
      <c r="P66" s="64">
        <f t="shared" si="192"/>
        <v>4</v>
      </c>
      <c r="Q66" s="64" t="e">
        <f t="shared" si="193"/>
        <v>#VALUE!</v>
      </c>
      <c r="R66" s="64" t="e">
        <f t="shared" si="194"/>
        <v>#VALUE!</v>
      </c>
      <c r="S66" s="64" t="str">
        <f>IFERROR(VLOOKUP(MID(N66,Q66,R66-Q66),[6]skilldef!$C:$D,2,FALSE),"-") &amp; " / " &amp; IFERROR(VLOOKUP(MID(N66,O66,P66-O66),[6]skilldef!$A:$B,2,FALSE),"-")</f>
        <v>- / -</v>
      </c>
      <c r="T66" s="48" t="str">
        <f t="shared" si="195"/>
        <v>none</v>
      </c>
      <c r="U66" s="64" t="e">
        <f t="shared" si="196"/>
        <v>#VALUE!</v>
      </c>
      <c r="V66" s="64">
        <f t="shared" si="197"/>
        <v>4</v>
      </c>
      <c r="W66" s="64" t="e">
        <f t="shared" si="198"/>
        <v>#VALUE!</v>
      </c>
      <c r="X66" s="64" t="e">
        <f t="shared" si="199"/>
        <v>#VALUE!</v>
      </c>
      <c r="Y66" s="64" t="str">
        <f>IFERROR(VLOOKUP(MID(T66,W66,X66-W66),[6]skilldef!$C:$D,2,FALSE),"-") &amp; " / " &amp; IFERROR(VLOOKUP(MID(T66,U66,V66-U66),[6]skilldef!$A:$B,2,FALSE),"-")</f>
        <v>- / -</v>
      </c>
      <c r="Z66" s="50"/>
      <c r="AA66" s="52"/>
      <c r="AB66" s="50"/>
    </row>
    <row r="67" spans="1:28" ht="21" customHeight="1" x14ac:dyDescent="0.15">
      <c r="A67" s="109">
        <v>39002066</v>
      </c>
      <c r="B67" s="47" t="s">
        <v>265</v>
      </c>
      <c r="C67" s="50">
        <v>3</v>
      </c>
      <c r="D67" s="50" t="s">
        <v>129</v>
      </c>
      <c r="E67" s="51" t="s">
        <v>262</v>
      </c>
      <c r="F67" s="51" t="s">
        <v>240</v>
      </c>
      <c r="G67" s="64" t="str">
        <f t="shared" si="184"/>
        <v>[effect:change_block, new_block:block_yellow, target:block_green, count:0, val:0, animation:change_block]</v>
      </c>
      <c r="H67" s="64">
        <f t="shared" si="185"/>
        <v>9</v>
      </c>
      <c r="I67" s="64">
        <f t="shared" si="186"/>
        <v>21</v>
      </c>
      <c r="J67" s="64">
        <f t="shared" si="187"/>
        <v>54</v>
      </c>
      <c r="K67" s="64">
        <f t="shared" si="188"/>
        <v>45</v>
      </c>
      <c r="L67" s="64" t="str">
        <f>IFERROR(VLOOKUP(MID(G67,J67,K67-J67),[6]skilldef!$C:$D,2,FALSE),"-") &amp; " / " &amp; IFERROR(VLOOKUP(MID(G67,H67,I67-H67),[6]skilldef!$A:$B,2,FALSE),"-")</f>
        <v>- / ブロック変換</v>
      </c>
      <c r="M67" s="64" t="str">
        <f t="shared" si="189"/>
        <v>none</v>
      </c>
      <c r="N67" s="48" t="str">
        <f t="shared" ref="N67" si="200">IFERROR(LEFT(M67,FIND("],",M67)+S76),M67)</f>
        <v>none</v>
      </c>
      <c r="O67" s="64" t="e">
        <f t="shared" si="191"/>
        <v>#VALUE!</v>
      </c>
      <c r="P67" s="64">
        <f t="shared" si="192"/>
        <v>4</v>
      </c>
      <c r="Q67" s="64" t="e">
        <f t="shared" si="193"/>
        <v>#VALUE!</v>
      </c>
      <c r="R67" s="64" t="e">
        <f t="shared" si="194"/>
        <v>#VALUE!</v>
      </c>
      <c r="S67" s="64" t="str">
        <f>IFERROR(VLOOKUP(MID(N67,Q67,R67-Q67),[6]skilldef!$C:$D,2,FALSE),"-") &amp; " / " &amp; IFERROR(VLOOKUP(MID(N67,O67,P67-O67),[6]skilldef!$A:$B,2,FALSE),"-")</f>
        <v>- / -</v>
      </c>
      <c r="T67" s="48" t="str">
        <f t="shared" si="195"/>
        <v>none</v>
      </c>
      <c r="U67" s="64" t="e">
        <f t="shared" si="196"/>
        <v>#VALUE!</v>
      </c>
      <c r="V67" s="64">
        <f t="shared" si="197"/>
        <v>4</v>
      </c>
      <c r="W67" s="64" t="e">
        <f t="shared" si="198"/>
        <v>#VALUE!</v>
      </c>
      <c r="X67" s="64" t="e">
        <f t="shared" si="199"/>
        <v>#VALUE!</v>
      </c>
      <c r="Y67" s="64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8" spans="1:28" ht="21" customHeight="1" x14ac:dyDescent="0.15">
      <c r="A68" s="47">
        <v>39002067</v>
      </c>
      <c r="B68" s="47" t="s">
        <v>232</v>
      </c>
      <c r="C68" s="50">
        <v>3</v>
      </c>
      <c r="D68" s="50" t="s">
        <v>129</v>
      </c>
      <c r="E68" s="51" t="s">
        <v>231</v>
      </c>
      <c r="F68" s="51" t="s">
        <v>233</v>
      </c>
      <c r="G68" s="64" t="str">
        <f t="shared" ref="G68:G69" si="201">IFERROR(LEFT(B68,FIND("],",B68)),B68)</f>
        <v>[effect:nothing]</v>
      </c>
      <c r="H68" s="64">
        <f t="shared" ref="H68:H69" si="202">FIND("effect:",G68)+7</f>
        <v>9</v>
      </c>
      <c r="I68" s="64">
        <f t="shared" ref="I68:I69" si="203">IFERROR(FIND(",",G68),LEN(G68))</f>
        <v>16</v>
      </c>
      <c r="J68" s="64" t="e">
        <f t="shared" ref="J68:J69" si="204">FIND("target:",G68)+7</f>
        <v>#VALUE!</v>
      </c>
      <c r="K68" s="64" t="e">
        <f t="shared" ref="K68:K69" si="205">FIND(",",G68,I68+1)</f>
        <v>#VALUE!</v>
      </c>
      <c r="L68" s="64" t="str">
        <f>IFERROR(VLOOKUP(MID(G68,J68,K68-J68),[6]skilldef!$C:$D,2,FALSE),"-") &amp; " / " &amp; IFERROR(VLOOKUP(MID(G68,H68,I68-H68),[6]skilldef!$A:$B,2,FALSE),"-")</f>
        <v>- / 何もしない</v>
      </c>
      <c r="M68" s="64" t="str">
        <f t="shared" ref="M68:M69" si="206">IFERROR(RIGHT(B68,LEN(B68)-FIND("],",B68)-1),"none")</f>
        <v>none</v>
      </c>
      <c r="N68" s="48" t="str">
        <f t="shared" ref="N68:N69" si="207">IFERROR(LEFT(M68,FIND("],",M68)+S75),M68)</f>
        <v>none</v>
      </c>
      <c r="O68" s="64" t="e">
        <f t="shared" ref="O68:O69" si="208">FIND("effect:",N68)+7</f>
        <v>#VALUE!</v>
      </c>
      <c r="P68" s="64">
        <f t="shared" ref="P68:P69" si="209">IFERROR(FIND(",",N68),LEN(N68))</f>
        <v>4</v>
      </c>
      <c r="Q68" s="64" t="e">
        <f t="shared" ref="Q68:Q69" si="210">FIND("target:",N68)+7</f>
        <v>#VALUE!</v>
      </c>
      <c r="R68" s="64" t="e">
        <f t="shared" ref="R68:R69" si="211">FIND(",",N68,P68+1)</f>
        <v>#VALUE!</v>
      </c>
      <c r="S68" s="64" t="str">
        <f>IFERROR(VLOOKUP(MID(N68,Q68,R68-Q68),[6]skilldef!$C:$D,2,FALSE),"-") &amp; " / " &amp; IFERROR(VLOOKUP(MID(N68,O68,P68-O68),[6]skilldef!$A:$B,2,FALSE),"-")</f>
        <v>- / -</v>
      </c>
      <c r="T68" s="48" t="str">
        <f t="shared" ref="T68:T69" si="212">IFERROR(RIGHT(M68,LEN(M68)-FIND("],",M68)-1),"none")</f>
        <v>none</v>
      </c>
      <c r="U68" s="64" t="e">
        <f t="shared" ref="U68:U69" si="213">FIND("effect:",T68)+7</f>
        <v>#VALUE!</v>
      </c>
      <c r="V68" s="64">
        <f t="shared" ref="V68:V69" si="214">IFERROR(FIND(",",T68),LEN(T68))</f>
        <v>4</v>
      </c>
      <c r="W68" s="64" t="e">
        <f t="shared" ref="W68:W69" si="215">FIND("target:",T68)+7</f>
        <v>#VALUE!</v>
      </c>
      <c r="X68" s="64" t="e">
        <f t="shared" ref="X68:X69" si="216">FIND(",",T68,V68+1)</f>
        <v>#VALUE!</v>
      </c>
      <c r="Y68" s="64" t="str">
        <f>IFERROR(VLOOKUP(MID(T68,W68,X68-W68),[6]skilldef!$C:$D,2,FALSE),"-") &amp; " / " &amp; IFERROR(VLOOKUP(MID(T68,U68,V68-U68),[6]skilldef!$A:$B,2,FALSE),"-")</f>
        <v>- / -</v>
      </c>
      <c r="Z68" s="50"/>
      <c r="AA68" s="52"/>
      <c r="AB68" s="50"/>
    </row>
    <row r="69" spans="1:28" ht="21" customHeight="1" x14ac:dyDescent="0.15">
      <c r="A69" s="47">
        <v>39002068</v>
      </c>
      <c r="B69" s="47" t="s">
        <v>232</v>
      </c>
      <c r="C69" s="50">
        <v>3</v>
      </c>
      <c r="D69" s="50" t="s">
        <v>129</v>
      </c>
      <c r="E69" s="51" t="s">
        <v>231</v>
      </c>
      <c r="F69" s="51" t="s">
        <v>233</v>
      </c>
      <c r="G69" s="64" t="str">
        <f t="shared" si="201"/>
        <v>[effect:nothing]</v>
      </c>
      <c r="H69" s="64">
        <f t="shared" si="202"/>
        <v>9</v>
      </c>
      <c r="I69" s="64">
        <f t="shared" si="203"/>
        <v>16</v>
      </c>
      <c r="J69" s="64" t="e">
        <f t="shared" si="204"/>
        <v>#VALUE!</v>
      </c>
      <c r="K69" s="64" t="e">
        <f t="shared" si="205"/>
        <v>#VALUE!</v>
      </c>
      <c r="L69" s="64" t="str">
        <f>IFERROR(VLOOKUP(MID(G69,J69,K69-J69),[6]skilldef!$C:$D,2,FALSE),"-") &amp; " / " &amp; IFERROR(VLOOKUP(MID(G69,H69,I69-H69),[6]skilldef!$A:$B,2,FALSE),"-")</f>
        <v>- / 何もしない</v>
      </c>
      <c r="M69" s="64" t="str">
        <f t="shared" si="206"/>
        <v>none</v>
      </c>
      <c r="N69" s="48" t="str">
        <f t="shared" si="207"/>
        <v>none</v>
      </c>
      <c r="O69" s="64" t="e">
        <f t="shared" si="208"/>
        <v>#VALUE!</v>
      </c>
      <c r="P69" s="64">
        <f t="shared" si="209"/>
        <v>4</v>
      </c>
      <c r="Q69" s="64" t="e">
        <f t="shared" si="210"/>
        <v>#VALUE!</v>
      </c>
      <c r="R69" s="64" t="e">
        <f t="shared" si="211"/>
        <v>#VALUE!</v>
      </c>
      <c r="S69" s="64" t="str">
        <f>IFERROR(VLOOKUP(MID(N69,Q69,R69-Q69),[6]skilldef!$C:$D,2,FALSE),"-") &amp; " / " &amp; IFERROR(VLOOKUP(MID(N69,O69,P69-O69),[6]skilldef!$A:$B,2,FALSE),"-")</f>
        <v>- / -</v>
      </c>
      <c r="T69" s="48" t="str">
        <f t="shared" si="212"/>
        <v>none</v>
      </c>
      <c r="U69" s="64" t="e">
        <f t="shared" si="213"/>
        <v>#VALUE!</v>
      </c>
      <c r="V69" s="64">
        <f t="shared" si="214"/>
        <v>4</v>
      </c>
      <c r="W69" s="64" t="e">
        <f t="shared" si="215"/>
        <v>#VALUE!</v>
      </c>
      <c r="X69" s="64" t="e">
        <f t="shared" si="216"/>
        <v>#VALUE!</v>
      </c>
      <c r="Y69" s="64" t="str">
        <f>IFERROR(VLOOKUP(MID(T69,W69,X69-W69),[6]skilldef!$C:$D,2,FALSE),"-") &amp; " / " &amp; IFERROR(VLOOKUP(MID(T69,U69,V69-U69),[6]skilldef!$A:$B,2,FALSE),"-")</f>
        <v>- / -</v>
      </c>
      <c r="Z69" s="50"/>
      <c r="AA69" s="52"/>
      <c r="AB69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37"/>
  <sheetViews>
    <sheetView showGridLines="0" zoomScale="115" zoomScaleNormal="115" zoomScalePageLayoutView="115" workbookViewId="0">
      <pane ySplit="1" topLeftCell="A2" activePane="bottomLeft" state="frozenSplit"/>
      <selection pane="bottomLeft" activeCell="A37" sqref="A3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2" ht="21" customHeight="1" x14ac:dyDescent="0.15">
      <c r="A1" s="42" t="s">
        <v>85</v>
      </c>
      <c r="B1" s="42" t="s">
        <v>86</v>
      </c>
      <c r="C1" s="42" t="s">
        <v>87</v>
      </c>
      <c r="D1" s="42" t="s">
        <v>88</v>
      </c>
      <c r="E1" s="42" t="s">
        <v>70</v>
      </c>
      <c r="F1" s="53" t="s">
        <v>71</v>
      </c>
      <c r="G1" s="53" t="s">
        <v>72</v>
      </c>
      <c r="H1" s="42" t="s">
        <v>266</v>
      </c>
      <c r="I1" s="42" t="s">
        <v>74</v>
      </c>
      <c r="J1" s="42" t="s">
        <v>75</v>
      </c>
      <c r="K1" s="54" t="s">
        <v>89</v>
      </c>
    </row>
    <row r="2" spans="1:12" ht="21" customHeight="1" x14ac:dyDescent="0.15">
      <c r="A2" s="104">
        <v>39002001</v>
      </c>
      <c r="B2" s="47">
        <v>0</v>
      </c>
      <c r="C2" s="47" t="s">
        <v>90</v>
      </c>
      <c r="D2" s="47">
        <v>20</v>
      </c>
      <c r="E2" s="47">
        <v>80</v>
      </c>
      <c r="F2" s="47" t="s">
        <v>91</v>
      </c>
      <c r="G2" s="47" t="s">
        <v>90</v>
      </c>
      <c r="H2" s="47" t="s">
        <v>91</v>
      </c>
      <c r="I2" s="47" t="s">
        <v>91</v>
      </c>
      <c r="J2" s="48">
        <f t="shared" ref="J2" si="0">D2</f>
        <v>20</v>
      </c>
    </row>
    <row r="3" spans="1:12" ht="21" customHeight="1" x14ac:dyDescent="0.15">
      <c r="A3" s="104">
        <v>39002006</v>
      </c>
      <c r="B3" s="47">
        <v>0</v>
      </c>
      <c r="C3" s="47" t="s">
        <v>90</v>
      </c>
      <c r="D3" s="47">
        <v>20</v>
      </c>
      <c r="E3" s="47">
        <v>100</v>
      </c>
      <c r="F3" s="47" t="s">
        <v>53</v>
      </c>
      <c r="G3" s="47" t="s">
        <v>90</v>
      </c>
      <c r="H3" s="47" t="s">
        <v>53</v>
      </c>
      <c r="I3" s="47" t="s">
        <v>53</v>
      </c>
      <c r="J3" s="48">
        <f t="shared" ref="J3:J18" si="1">D3</f>
        <v>20</v>
      </c>
    </row>
    <row r="4" spans="1:12" ht="21" customHeight="1" x14ac:dyDescent="0.15">
      <c r="A4" s="104">
        <v>39002011</v>
      </c>
      <c r="B4" s="47">
        <v>0</v>
      </c>
      <c r="C4" s="47" t="s">
        <v>90</v>
      </c>
      <c r="D4" s="47">
        <v>20</v>
      </c>
      <c r="E4" s="47">
        <v>80</v>
      </c>
      <c r="F4" s="47" t="s">
        <v>53</v>
      </c>
      <c r="G4" s="47" t="s">
        <v>90</v>
      </c>
      <c r="H4" s="47" t="s">
        <v>53</v>
      </c>
      <c r="I4" s="47" t="s">
        <v>53</v>
      </c>
      <c r="J4" s="48">
        <f t="shared" si="1"/>
        <v>20</v>
      </c>
    </row>
    <row r="5" spans="1:12" ht="21" customHeight="1" x14ac:dyDescent="0.15">
      <c r="A5" s="104">
        <v>39002016</v>
      </c>
      <c r="B5" s="47">
        <v>0</v>
      </c>
      <c r="C5" s="47" t="s">
        <v>90</v>
      </c>
      <c r="D5" s="47">
        <v>100</v>
      </c>
      <c r="E5" s="47">
        <v>100</v>
      </c>
      <c r="F5" s="47" t="s">
        <v>53</v>
      </c>
      <c r="G5" s="47" t="s">
        <v>90</v>
      </c>
      <c r="H5" s="47">
        <v>3</v>
      </c>
      <c r="I5" s="47" t="s">
        <v>53</v>
      </c>
      <c r="J5" s="48">
        <f t="shared" si="1"/>
        <v>100</v>
      </c>
    </row>
    <row r="6" spans="1:12" ht="21" customHeight="1" x14ac:dyDescent="0.15">
      <c r="A6" s="104">
        <v>39002021</v>
      </c>
      <c r="B6" s="47">
        <v>0</v>
      </c>
      <c r="C6" s="47" t="s">
        <v>90</v>
      </c>
      <c r="D6" s="47">
        <v>20</v>
      </c>
      <c r="E6" s="47">
        <v>80</v>
      </c>
      <c r="F6" s="47" t="s">
        <v>53</v>
      </c>
      <c r="G6" s="47" t="s">
        <v>90</v>
      </c>
      <c r="H6" s="47" t="s">
        <v>53</v>
      </c>
      <c r="I6" s="47" t="s">
        <v>53</v>
      </c>
      <c r="J6" s="48">
        <f t="shared" si="1"/>
        <v>20</v>
      </c>
    </row>
    <row r="7" spans="1:12" ht="21" customHeight="1" x14ac:dyDescent="0.15">
      <c r="A7" s="104">
        <v>39002026</v>
      </c>
      <c r="B7" s="47">
        <v>0</v>
      </c>
      <c r="C7" s="47" t="s">
        <v>90</v>
      </c>
      <c r="D7" s="47">
        <v>20</v>
      </c>
      <c r="E7" s="47">
        <v>100</v>
      </c>
      <c r="F7" s="47" t="s">
        <v>53</v>
      </c>
      <c r="G7" s="47">
        <v>2</v>
      </c>
      <c r="H7" s="47">
        <v>3</v>
      </c>
      <c r="I7" s="47" t="s">
        <v>53</v>
      </c>
      <c r="J7" s="48">
        <f t="shared" si="1"/>
        <v>20</v>
      </c>
    </row>
    <row r="8" spans="1:12" ht="21" customHeight="1" x14ac:dyDescent="0.15">
      <c r="A8" s="104">
        <v>39002027</v>
      </c>
      <c r="B8" s="47">
        <v>0</v>
      </c>
      <c r="C8" s="47" t="s">
        <v>90</v>
      </c>
      <c r="D8" s="47">
        <v>20</v>
      </c>
      <c r="E8" s="47">
        <v>100</v>
      </c>
      <c r="F8" s="47" t="s">
        <v>53</v>
      </c>
      <c r="G8" s="47" t="s">
        <v>90</v>
      </c>
      <c r="H8" s="47" t="s">
        <v>53</v>
      </c>
      <c r="I8" s="47" t="s">
        <v>53</v>
      </c>
      <c r="J8" s="48">
        <f t="shared" si="1"/>
        <v>20</v>
      </c>
    </row>
    <row r="9" spans="1:12" ht="21" customHeight="1" x14ac:dyDescent="0.15">
      <c r="A9" s="104">
        <v>39002031</v>
      </c>
      <c r="B9" s="47">
        <v>0</v>
      </c>
      <c r="C9" s="47" t="s">
        <v>90</v>
      </c>
      <c r="D9" s="47">
        <v>20</v>
      </c>
      <c r="E9" s="47">
        <v>100</v>
      </c>
      <c r="F9" s="47" t="s">
        <v>53</v>
      </c>
      <c r="G9" s="47">
        <v>1</v>
      </c>
      <c r="H9" s="47" t="s">
        <v>53</v>
      </c>
      <c r="I9" s="47" t="s">
        <v>53</v>
      </c>
      <c r="J9" s="48">
        <f t="shared" si="1"/>
        <v>20</v>
      </c>
    </row>
    <row r="10" spans="1:12" ht="21" customHeight="1" x14ac:dyDescent="0.15">
      <c r="A10" s="104">
        <v>39002032</v>
      </c>
      <c r="B10" s="47">
        <v>0</v>
      </c>
      <c r="C10" s="47" t="s">
        <v>90</v>
      </c>
      <c r="D10" s="47">
        <v>20</v>
      </c>
      <c r="E10" s="47">
        <v>100</v>
      </c>
      <c r="F10" s="47" t="s">
        <v>53</v>
      </c>
      <c r="G10" s="47" t="s">
        <v>90</v>
      </c>
      <c r="H10" s="47" t="s">
        <v>53</v>
      </c>
      <c r="I10" s="47" t="s">
        <v>53</v>
      </c>
      <c r="J10" s="48">
        <f t="shared" ref="J10" si="2">D10</f>
        <v>20</v>
      </c>
    </row>
    <row r="11" spans="1:12" ht="21" customHeight="1" x14ac:dyDescent="0.15">
      <c r="A11" s="105">
        <v>39002037</v>
      </c>
      <c r="B11" s="47">
        <v>1</v>
      </c>
      <c r="C11" s="47">
        <v>1</v>
      </c>
      <c r="D11" s="47">
        <v>100</v>
      </c>
      <c r="E11" s="47">
        <v>100</v>
      </c>
      <c r="F11" s="47" t="s">
        <v>53</v>
      </c>
      <c r="G11" s="47">
        <v>1</v>
      </c>
      <c r="H11" s="47" t="s">
        <v>53</v>
      </c>
      <c r="I11" s="47">
        <v>712</v>
      </c>
      <c r="J11" s="48">
        <f t="shared" si="1"/>
        <v>100</v>
      </c>
      <c r="L11" s="45" t="s">
        <v>309</v>
      </c>
    </row>
    <row r="12" spans="1:12" ht="21" customHeight="1" x14ac:dyDescent="0.15">
      <c r="A12" s="105">
        <v>39002038</v>
      </c>
      <c r="B12" s="47">
        <v>1</v>
      </c>
      <c r="C12" s="47">
        <v>1</v>
      </c>
      <c r="D12" s="47">
        <v>100</v>
      </c>
      <c r="E12" s="47">
        <v>100</v>
      </c>
      <c r="F12" s="47" t="s">
        <v>53</v>
      </c>
      <c r="G12" s="47">
        <v>1</v>
      </c>
      <c r="H12" s="47" t="s">
        <v>53</v>
      </c>
      <c r="I12" s="47">
        <v>713</v>
      </c>
      <c r="J12" s="48">
        <f t="shared" si="1"/>
        <v>100</v>
      </c>
      <c r="L12" s="45" t="s">
        <v>309</v>
      </c>
    </row>
    <row r="13" spans="1:12" ht="21" customHeight="1" x14ac:dyDescent="0.15">
      <c r="A13" s="105">
        <v>39002039</v>
      </c>
      <c r="B13" s="47">
        <v>1</v>
      </c>
      <c r="C13" s="47">
        <v>1</v>
      </c>
      <c r="D13" s="47">
        <v>100</v>
      </c>
      <c r="E13" s="47">
        <v>100</v>
      </c>
      <c r="F13" s="47" t="s">
        <v>53</v>
      </c>
      <c r="G13" s="47">
        <v>1</v>
      </c>
      <c r="H13" s="47" t="s">
        <v>53</v>
      </c>
      <c r="I13" s="47">
        <v>700</v>
      </c>
      <c r="J13" s="48">
        <f t="shared" si="1"/>
        <v>100</v>
      </c>
      <c r="L13" s="45" t="s">
        <v>310</v>
      </c>
    </row>
    <row r="14" spans="1:12" ht="21" customHeight="1" x14ac:dyDescent="0.15">
      <c r="A14" s="105">
        <v>39002040</v>
      </c>
      <c r="B14" s="47">
        <v>1</v>
      </c>
      <c r="C14" s="47">
        <v>1</v>
      </c>
      <c r="D14" s="47">
        <v>100</v>
      </c>
      <c r="E14" s="47">
        <v>100</v>
      </c>
      <c r="F14" s="47" t="s">
        <v>53</v>
      </c>
      <c r="G14" s="47">
        <v>1</v>
      </c>
      <c r="H14" s="47" t="s">
        <v>53</v>
      </c>
      <c r="I14" s="47">
        <v>701</v>
      </c>
      <c r="J14" s="48">
        <f t="shared" si="1"/>
        <v>100</v>
      </c>
      <c r="L14" s="45" t="s">
        <v>310</v>
      </c>
    </row>
    <row r="15" spans="1:12" ht="21" customHeight="1" x14ac:dyDescent="0.15">
      <c r="A15" s="105">
        <v>39002041</v>
      </c>
      <c r="B15" s="47">
        <v>1</v>
      </c>
      <c r="C15" s="47">
        <v>1</v>
      </c>
      <c r="D15" s="47">
        <v>100</v>
      </c>
      <c r="E15" s="47">
        <v>100</v>
      </c>
      <c r="F15" s="47" t="s">
        <v>53</v>
      </c>
      <c r="G15" s="47">
        <v>1</v>
      </c>
      <c r="H15" s="47" t="s">
        <v>53</v>
      </c>
      <c r="I15" s="47">
        <v>698</v>
      </c>
      <c r="J15" s="48">
        <f t="shared" si="1"/>
        <v>100</v>
      </c>
      <c r="L15" s="45" t="s">
        <v>287</v>
      </c>
    </row>
    <row r="16" spans="1:12" ht="21" customHeight="1" x14ac:dyDescent="0.15">
      <c r="A16" s="105">
        <v>39002042</v>
      </c>
      <c r="B16" s="47">
        <v>1</v>
      </c>
      <c r="C16" s="47">
        <v>1</v>
      </c>
      <c r="D16" s="47">
        <v>100</v>
      </c>
      <c r="E16" s="47">
        <v>100</v>
      </c>
      <c r="F16" s="47" t="s">
        <v>53</v>
      </c>
      <c r="G16" s="47">
        <v>1</v>
      </c>
      <c r="H16" s="47" t="s">
        <v>53</v>
      </c>
      <c r="I16" s="47">
        <v>699</v>
      </c>
      <c r="J16" s="48">
        <f t="shared" si="1"/>
        <v>100</v>
      </c>
      <c r="L16" s="45" t="s">
        <v>287</v>
      </c>
    </row>
    <row r="17" spans="1:12" ht="21" customHeight="1" x14ac:dyDescent="0.15">
      <c r="A17" s="105">
        <v>39002043</v>
      </c>
      <c r="B17" s="47">
        <v>1</v>
      </c>
      <c r="C17" s="47">
        <v>1</v>
      </c>
      <c r="D17" s="47">
        <v>100</v>
      </c>
      <c r="E17" s="47">
        <v>100</v>
      </c>
      <c r="F17" s="47" t="s">
        <v>53</v>
      </c>
      <c r="G17" s="47">
        <v>1</v>
      </c>
      <c r="H17" s="47" t="s">
        <v>53</v>
      </c>
      <c r="I17" s="47" t="s">
        <v>53</v>
      </c>
      <c r="J17" s="48">
        <f t="shared" si="1"/>
        <v>100</v>
      </c>
      <c r="L17" s="45" t="s">
        <v>311</v>
      </c>
    </row>
    <row r="18" spans="1:12" ht="21" customHeight="1" x14ac:dyDescent="0.15">
      <c r="A18" s="105">
        <v>39002044</v>
      </c>
      <c r="B18" s="47">
        <v>0</v>
      </c>
      <c r="C18" s="47">
        <v>5</v>
      </c>
      <c r="D18" s="47">
        <v>25</v>
      </c>
      <c r="E18" s="47">
        <v>100</v>
      </c>
      <c r="F18" s="47" t="s">
        <v>53</v>
      </c>
      <c r="G18" s="47" t="s">
        <v>90</v>
      </c>
      <c r="H18" s="47">
        <v>3</v>
      </c>
      <c r="I18" s="47" t="s">
        <v>53</v>
      </c>
      <c r="J18" s="48">
        <f t="shared" si="1"/>
        <v>25</v>
      </c>
      <c r="L18" s="45" t="s">
        <v>240</v>
      </c>
    </row>
    <row r="19" spans="1:12" ht="21" customHeight="1" x14ac:dyDescent="0.15">
      <c r="A19" s="105">
        <v>39002045</v>
      </c>
      <c r="B19" s="47">
        <v>0</v>
      </c>
      <c r="C19" s="47">
        <v>4</v>
      </c>
      <c r="D19" s="47">
        <v>33</v>
      </c>
      <c r="E19" s="47">
        <v>100</v>
      </c>
      <c r="F19" s="47" t="s">
        <v>53</v>
      </c>
      <c r="G19" s="47" t="s">
        <v>90</v>
      </c>
      <c r="H19" s="47" t="s">
        <v>53</v>
      </c>
      <c r="I19" s="47" t="s">
        <v>53</v>
      </c>
      <c r="J19" s="48">
        <f t="shared" ref="J19:J25" si="3">D19</f>
        <v>33</v>
      </c>
      <c r="L19" s="45" t="s">
        <v>312</v>
      </c>
    </row>
    <row r="20" spans="1:12" ht="21" customHeight="1" x14ac:dyDescent="0.15">
      <c r="A20" s="105">
        <v>39002046</v>
      </c>
      <c r="B20" s="47">
        <v>0</v>
      </c>
      <c r="C20" s="47">
        <v>3</v>
      </c>
      <c r="D20" s="47">
        <v>50</v>
      </c>
      <c r="E20" s="47">
        <v>100</v>
      </c>
      <c r="F20" s="47" t="s">
        <v>53</v>
      </c>
      <c r="G20" s="47" t="s">
        <v>90</v>
      </c>
      <c r="H20" s="47" t="s">
        <v>53</v>
      </c>
      <c r="I20" s="47" t="s">
        <v>53</v>
      </c>
      <c r="J20" s="48">
        <f t="shared" si="3"/>
        <v>50</v>
      </c>
      <c r="L20" s="45" t="s">
        <v>238</v>
      </c>
    </row>
    <row r="21" spans="1:12" ht="21" customHeight="1" x14ac:dyDescent="0.15">
      <c r="A21" s="106">
        <v>39002050</v>
      </c>
      <c r="B21" s="47">
        <v>1</v>
      </c>
      <c r="C21" s="47">
        <v>1</v>
      </c>
      <c r="D21" s="47">
        <v>100</v>
      </c>
      <c r="E21" s="47">
        <v>100</v>
      </c>
      <c r="F21" s="47" t="s">
        <v>53</v>
      </c>
      <c r="G21" s="47">
        <v>1</v>
      </c>
      <c r="H21" s="47">
        <v>1</v>
      </c>
      <c r="I21" s="47">
        <v>712</v>
      </c>
      <c r="J21" s="48">
        <f t="shared" si="3"/>
        <v>100</v>
      </c>
      <c r="L21" s="45" t="s">
        <v>313</v>
      </c>
    </row>
    <row r="22" spans="1:12" ht="21" customHeight="1" x14ac:dyDescent="0.15">
      <c r="A22" s="106">
        <v>39002051</v>
      </c>
      <c r="B22" s="47">
        <v>1</v>
      </c>
      <c r="C22" s="47">
        <v>1</v>
      </c>
      <c r="D22" s="47">
        <v>100</v>
      </c>
      <c r="E22" s="47">
        <v>100</v>
      </c>
      <c r="F22" s="47" t="s">
        <v>53</v>
      </c>
      <c r="G22" s="47">
        <v>1</v>
      </c>
      <c r="H22" s="47">
        <v>1</v>
      </c>
      <c r="I22" s="47">
        <v>713</v>
      </c>
      <c r="J22" s="48">
        <f t="shared" si="3"/>
        <v>100</v>
      </c>
      <c r="L22" s="45" t="s">
        <v>313</v>
      </c>
    </row>
    <row r="23" spans="1:12" ht="21" customHeight="1" x14ac:dyDescent="0.15">
      <c r="A23" s="106">
        <v>39002052</v>
      </c>
      <c r="B23" s="47">
        <v>1</v>
      </c>
      <c r="C23" s="47">
        <v>1</v>
      </c>
      <c r="D23" s="47">
        <v>100</v>
      </c>
      <c r="E23" s="47">
        <v>100</v>
      </c>
      <c r="F23" s="47" t="s">
        <v>53</v>
      </c>
      <c r="G23" s="47">
        <v>1</v>
      </c>
      <c r="H23" s="47">
        <v>1</v>
      </c>
      <c r="I23" s="47">
        <v>700</v>
      </c>
      <c r="J23" s="48">
        <f t="shared" si="3"/>
        <v>100</v>
      </c>
      <c r="L23" s="45" t="s">
        <v>313</v>
      </c>
    </row>
    <row r="24" spans="1:12" ht="21" customHeight="1" x14ac:dyDescent="0.15">
      <c r="A24" s="106">
        <v>39002053</v>
      </c>
      <c r="B24" s="47">
        <v>1</v>
      </c>
      <c r="C24" s="47">
        <v>1</v>
      </c>
      <c r="D24" s="47">
        <v>100</v>
      </c>
      <c r="E24" s="47">
        <v>100</v>
      </c>
      <c r="F24" s="47" t="s">
        <v>53</v>
      </c>
      <c r="G24" s="47">
        <v>1</v>
      </c>
      <c r="H24" s="47">
        <v>1</v>
      </c>
      <c r="I24" s="47">
        <v>701</v>
      </c>
      <c r="J24" s="48">
        <f t="shared" si="3"/>
        <v>100</v>
      </c>
      <c r="L24" s="45" t="s">
        <v>313</v>
      </c>
    </row>
    <row r="25" spans="1:12" ht="21" customHeight="1" x14ac:dyDescent="0.15">
      <c r="A25" s="106">
        <v>39002054</v>
      </c>
      <c r="B25" s="47">
        <v>1</v>
      </c>
      <c r="C25" s="47">
        <v>1</v>
      </c>
      <c r="D25" s="47">
        <v>100</v>
      </c>
      <c r="E25" s="47">
        <v>100</v>
      </c>
      <c r="F25" s="47" t="s">
        <v>53</v>
      </c>
      <c r="G25" s="47">
        <v>1</v>
      </c>
      <c r="H25" s="47">
        <v>1</v>
      </c>
      <c r="I25" s="47">
        <v>698</v>
      </c>
      <c r="J25" s="48">
        <f t="shared" si="3"/>
        <v>100</v>
      </c>
      <c r="L25" s="45" t="s">
        <v>267</v>
      </c>
    </row>
    <row r="26" spans="1:12" ht="21" customHeight="1" x14ac:dyDescent="0.15">
      <c r="A26" s="106">
        <v>39002055</v>
      </c>
      <c r="B26" s="47">
        <v>1</v>
      </c>
      <c r="C26" s="47">
        <v>1</v>
      </c>
      <c r="D26" s="47">
        <v>100</v>
      </c>
      <c r="E26" s="47">
        <v>100</v>
      </c>
      <c r="F26" s="47" t="s">
        <v>53</v>
      </c>
      <c r="G26" s="47">
        <v>1</v>
      </c>
      <c r="H26" s="47">
        <v>1</v>
      </c>
      <c r="I26" s="47">
        <v>699</v>
      </c>
      <c r="J26" s="48">
        <f t="shared" ref="J26:J31" si="4">D26</f>
        <v>100</v>
      </c>
      <c r="L26" s="45" t="s">
        <v>267</v>
      </c>
    </row>
    <row r="27" spans="1:12" ht="21" customHeight="1" x14ac:dyDescent="0.15">
      <c r="A27" s="106">
        <v>39002056</v>
      </c>
      <c r="B27" s="47">
        <v>1</v>
      </c>
      <c r="C27" s="47">
        <v>1</v>
      </c>
      <c r="D27" s="47">
        <v>100</v>
      </c>
      <c r="E27" s="47">
        <v>100</v>
      </c>
      <c r="F27" s="47" t="s">
        <v>53</v>
      </c>
      <c r="G27" s="47">
        <v>1</v>
      </c>
      <c r="H27" s="47">
        <v>1</v>
      </c>
      <c r="I27" s="47" t="s">
        <v>53</v>
      </c>
      <c r="J27" s="48">
        <f t="shared" si="4"/>
        <v>100</v>
      </c>
      <c r="L27" s="45" t="s">
        <v>239</v>
      </c>
    </row>
    <row r="28" spans="1:12" ht="21" customHeight="1" x14ac:dyDescent="0.15">
      <c r="A28" s="106">
        <v>39002057</v>
      </c>
      <c r="B28" s="47">
        <v>0</v>
      </c>
      <c r="C28" s="47">
        <v>3</v>
      </c>
      <c r="D28" s="47">
        <v>25</v>
      </c>
      <c r="E28" s="47">
        <v>100</v>
      </c>
      <c r="F28" s="47" t="s">
        <v>53</v>
      </c>
      <c r="G28" s="47" t="s">
        <v>90</v>
      </c>
      <c r="H28" s="47">
        <v>4</v>
      </c>
      <c r="I28" s="47" t="s">
        <v>53</v>
      </c>
      <c r="J28" s="48">
        <f t="shared" si="4"/>
        <v>25</v>
      </c>
      <c r="L28" s="45" t="s">
        <v>240</v>
      </c>
    </row>
    <row r="29" spans="1:12" ht="21" customHeight="1" x14ac:dyDescent="0.15">
      <c r="A29" s="106">
        <v>39002058</v>
      </c>
      <c r="B29" s="47">
        <v>0</v>
      </c>
      <c r="C29" s="47">
        <v>2</v>
      </c>
      <c r="D29" s="47">
        <v>33</v>
      </c>
      <c r="E29" s="47">
        <v>100</v>
      </c>
      <c r="F29" s="47" t="s">
        <v>53</v>
      </c>
      <c r="G29" s="47" t="s">
        <v>90</v>
      </c>
      <c r="H29" s="47">
        <v>3</v>
      </c>
      <c r="I29" s="47" t="s">
        <v>53</v>
      </c>
      <c r="J29" s="48">
        <f t="shared" si="4"/>
        <v>33</v>
      </c>
      <c r="L29" s="45" t="s">
        <v>312</v>
      </c>
    </row>
    <row r="30" spans="1:12" ht="21" customHeight="1" x14ac:dyDescent="0.15">
      <c r="A30" s="106">
        <v>39002059</v>
      </c>
      <c r="B30" s="47">
        <v>0</v>
      </c>
      <c r="C30" s="47">
        <v>1</v>
      </c>
      <c r="D30" s="47">
        <v>50</v>
      </c>
      <c r="E30" s="47">
        <v>100</v>
      </c>
      <c r="F30" s="47" t="s">
        <v>53</v>
      </c>
      <c r="G30" s="47" t="s">
        <v>90</v>
      </c>
      <c r="H30" s="47" t="s">
        <v>53</v>
      </c>
      <c r="I30" s="47" t="s">
        <v>53</v>
      </c>
      <c r="J30" s="48">
        <f t="shared" si="4"/>
        <v>50</v>
      </c>
      <c r="L30" s="45" t="s">
        <v>238</v>
      </c>
    </row>
    <row r="31" spans="1:12" ht="21" customHeight="1" x14ac:dyDescent="0.15">
      <c r="A31" s="109">
        <v>39002060</v>
      </c>
      <c r="B31" s="47">
        <v>0</v>
      </c>
      <c r="C31" s="47">
        <v>5</v>
      </c>
      <c r="D31" s="47">
        <v>100</v>
      </c>
      <c r="E31" s="47">
        <v>30</v>
      </c>
      <c r="F31" s="47" t="s">
        <v>53</v>
      </c>
      <c r="G31" s="47">
        <v>1</v>
      </c>
      <c r="H31" s="47">
        <v>1</v>
      </c>
      <c r="I31" s="47" t="s">
        <v>53</v>
      </c>
      <c r="J31" s="48">
        <f t="shared" si="4"/>
        <v>100</v>
      </c>
      <c r="L31" s="45" t="s">
        <v>297</v>
      </c>
    </row>
    <row r="32" spans="1:12" ht="21" customHeight="1" x14ac:dyDescent="0.15">
      <c r="A32" s="109">
        <v>39002061</v>
      </c>
      <c r="B32" s="47">
        <v>0</v>
      </c>
      <c r="C32" s="47">
        <v>4</v>
      </c>
      <c r="D32" s="47">
        <v>100</v>
      </c>
      <c r="E32" s="47">
        <v>30</v>
      </c>
      <c r="F32" s="47" t="s">
        <v>53</v>
      </c>
      <c r="G32" s="47">
        <v>1</v>
      </c>
      <c r="H32" s="47">
        <v>1</v>
      </c>
      <c r="I32" s="47" t="s">
        <v>53</v>
      </c>
      <c r="J32" s="48">
        <f t="shared" ref="J32" si="5">D32</f>
        <v>100</v>
      </c>
      <c r="L32" s="45" t="s">
        <v>248</v>
      </c>
    </row>
    <row r="33" spans="1:12" ht="21" customHeight="1" x14ac:dyDescent="0.15">
      <c r="A33" s="106">
        <v>39002062</v>
      </c>
      <c r="B33" s="47">
        <v>0</v>
      </c>
      <c r="C33" s="47" t="s">
        <v>90</v>
      </c>
      <c r="D33" s="47">
        <v>100</v>
      </c>
      <c r="E33" s="47">
        <v>100</v>
      </c>
      <c r="F33" s="47" t="s">
        <v>53</v>
      </c>
      <c r="G33" s="47">
        <v>0</v>
      </c>
      <c r="H33" s="47" t="s">
        <v>53</v>
      </c>
      <c r="I33" s="47">
        <v>0</v>
      </c>
      <c r="J33" s="48">
        <f t="shared" ref="J33:J36" si="6">D33</f>
        <v>100</v>
      </c>
      <c r="L33" s="45" t="s">
        <v>299</v>
      </c>
    </row>
    <row r="34" spans="1:12" ht="21" customHeight="1" x14ac:dyDescent="0.15">
      <c r="A34" s="106">
        <v>39002063</v>
      </c>
      <c r="B34" s="47">
        <v>1</v>
      </c>
      <c r="C34" s="47">
        <v>1</v>
      </c>
      <c r="D34" s="47">
        <v>100</v>
      </c>
      <c r="E34" s="47">
        <v>100</v>
      </c>
      <c r="F34" s="47" t="s">
        <v>53</v>
      </c>
      <c r="G34" s="47">
        <v>1</v>
      </c>
      <c r="H34" s="47">
        <v>1</v>
      </c>
      <c r="I34" s="47" t="s">
        <v>53</v>
      </c>
      <c r="J34" s="48">
        <f t="shared" si="6"/>
        <v>100</v>
      </c>
      <c r="L34" s="45" t="s">
        <v>306</v>
      </c>
    </row>
    <row r="35" spans="1:12" ht="21" customHeight="1" x14ac:dyDescent="0.15">
      <c r="A35" s="106">
        <v>39002064</v>
      </c>
      <c r="B35" s="47">
        <v>1</v>
      </c>
      <c r="C35" s="47">
        <v>1</v>
      </c>
      <c r="D35" s="47">
        <v>100</v>
      </c>
      <c r="E35" s="47">
        <v>100</v>
      </c>
      <c r="F35" s="47" t="s">
        <v>53</v>
      </c>
      <c r="G35" s="47">
        <v>1</v>
      </c>
      <c r="H35" s="47">
        <v>1</v>
      </c>
      <c r="I35" s="47" t="s">
        <v>53</v>
      </c>
      <c r="J35" s="48">
        <f t="shared" si="6"/>
        <v>100</v>
      </c>
      <c r="L35" s="45" t="s">
        <v>305</v>
      </c>
    </row>
    <row r="36" spans="1:12" ht="21" customHeight="1" x14ac:dyDescent="0.15">
      <c r="A36" s="105">
        <v>39002065</v>
      </c>
      <c r="B36" s="47">
        <v>0</v>
      </c>
      <c r="C36" s="47">
        <v>5</v>
      </c>
      <c r="D36" s="47">
        <v>50</v>
      </c>
      <c r="E36" s="47">
        <v>100</v>
      </c>
      <c r="F36" s="47" t="s">
        <v>53</v>
      </c>
      <c r="G36" s="47" t="s">
        <v>90</v>
      </c>
      <c r="H36" s="47">
        <v>3</v>
      </c>
      <c r="I36" s="47" t="s">
        <v>53</v>
      </c>
      <c r="J36" s="48">
        <f t="shared" si="6"/>
        <v>50</v>
      </c>
      <c r="L36" s="45" t="s">
        <v>240</v>
      </c>
    </row>
    <row r="37" spans="1:12" ht="21" customHeight="1" x14ac:dyDescent="0.15">
      <c r="A37" s="109">
        <v>39002066</v>
      </c>
      <c r="B37" s="47">
        <v>0</v>
      </c>
      <c r="C37" s="47">
        <v>5</v>
      </c>
      <c r="D37" s="47">
        <v>50</v>
      </c>
      <c r="E37" s="47">
        <v>100</v>
      </c>
      <c r="F37" s="47" t="s">
        <v>53</v>
      </c>
      <c r="G37" s="47" t="s">
        <v>90</v>
      </c>
      <c r="H37" s="47">
        <v>3</v>
      </c>
      <c r="I37" s="47" t="s">
        <v>53</v>
      </c>
      <c r="J37" s="48">
        <f t="shared" ref="J37" si="7">D37</f>
        <v>50</v>
      </c>
      <c r="L37" s="45" t="s">
        <v>240</v>
      </c>
    </row>
  </sheetData>
  <autoFilter ref="A1:G1"/>
  <phoneticPr fontId="5"/>
  <conditionalFormatting sqref="K38:K1048576 K1:K9 K11:K18">
    <cfRule type="duplicateValues" dxfId="8" priority="9"/>
  </conditionalFormatting>
  <conditionalFormatting sqref="K19:K25">
    <cfRule type="duplicateValues" dxfId="7" priority="8"/>
  </conditionalFormatting>
  <conditionalFormatting sqref="K26:K31">
    <cfRule type="duplicateValues" dxfId="6" priority="11"/>
  </conditionalFormatting>
  <conditionalFormatting sqref="K32">
    <cfRule type="duplicateValues" dxfId="5" priority="6"/>
  </conditionalFormatting>
  <conditionalFormatting sqref="K10">
    <cfRule type="duplicateValues" dxfId="4" priority="5"/>
  </conditionalFormatting>
  <conditionalFormatting sqref="K33">
    <cfRule type="duplicateValues" dxfId="3" priority="4"/>
  </conditionalFormatting>
  <conditionalFormatting sqref="K34:K35">
    <cfRule type="duplicateValues" dxfId="2" priority="3"/>
  </conditionalFormatting>
  <conditionalFormatting sqref="K36">
    <cfRule type="duplicateValues" dxfId="1" priority="2"/>
  </conditionalFormatting>
  <conditionalFormatting sqref="K3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3"/>
  <sheetViews>
    <sheetView tabSelected="1" topLeftCell="A9" workbookViewId="0">
      <selection activeCell="P29" sqref="P2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152</v>
      </c>
      <c r="B1" s="65" t="s">
        <v>153</v>
      </c>
      <c r="C1" s="66" t="s">
        <v>154</v>
      </c>
      <c r="D1" s="73" t="s">
        <v>155</v>
      </c>
      <c r="E1" s="67" t="s">
        <v>156</v>
      </c>
      <c r="F1" s="65" t="s">
        <v>157</v>
      </c>
      <c r="G1" s="65" t="s">
        <v>158</v>
      </c>
      <c r="H1" s="65" t="s">
        <v>159</v>
      </c>
      <c r="I1" s="65" t="s">
        <v>160</v>
      </c>
      <c r="J1" s="65" t="s">
        <v>161</v>
      </c>
      <c r="K1" s="65" t="s">
        <v>162</v>
      </c>
      <c r="L1" s="65" t="s">
        <v>163</v>
      </c>
      <c r="M1" s="65" t="s">
        <v>164</v>
      </c>
      <c r="N1" s="65" t="s">
        <v>165</v>
      </c>
      <c r="O1" s="65" t="s">
        <v>166</v>
      </c>
      <c r="P1" s="65" t="s">
        <v>167</v>
      </c>
      <c r="Q1" s="65" t="s">
        <v>168</v>
      </c>
      <c r="R1" s="65" t="s">
        <v>169</v>
      </c>
    </row>
    <row r="2" spans="1:18" x14ac:dyDescent="0.15">
      <c r="A2" s="101">
        <v>39002</v>
      </c>
      <c r="B2" s="83">
        <v>1</v>
      </c>
      <c r="C2" s="72" t="str">
        <f>A2&amp; "_"&amp;B2</f>
        <v>39002_1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3">
        <v>1</v>
      </c>
      <c r="F2" s="83" t="s">
        <v>170</v>
      </c>
      <c r="G2" s="83">
        <v>1700</v>
      </c>
      <c r="H2" s="83" t="s">
        <v>215</v>
      </c>
      <c r="I2" s="83">
        <v>1</v>
      </c>
      <c r="J2" s="83">
        <v>1</v>
      </c>
      <c r="K2" s="83">
        <v>0</v>
      </c>
      <c r="L2" s="83">
        <v>0</v>
      </c>
      <c r="M2" s="83">
        <v>0</v>
      </c>
      <c r="N2" s="83">
        <v>0</v>
      </c>
      <c r="O2" s="83">
        <v>1</v>
      </c>
      <c r="P2" s="83">
        <v>250</v>
      </c>
      <c r="Q2" s="83" t="s">
        <v>171</v>
      </c>
      <c r="R2" s="83" t="s">
        <v>172</v>
      </c>
    </row>
    <row r="3" spans="1:18" x14ac:dyDescent="0.15">
      <c r="A3" s="101">
        <v>39002</v>
      </c>
      <c r="B3" s="83">
        <v>1</v>
      </c>
      <c r="C3" s="72" t="str">
        <f t="shared" ref="C3:C43" si="0">A3&amp; "_"&amp;B3</f>
        <v>39002_1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3">
        <v>2</v>
      </c>
      <c r="F3" s="83" t="s">
        <v>216</v>
      </c>
      <c r="G3" s="83">
        <v>20</v>
      </c>
      <c r="H3" s="83" t="s">
        <v>215</v>
      </c>
      <c r="I3" s="83">
        <v>1</v>
      </c>
      <c r="J3" s="83">
        <v>1</v>
      </c>
      <c r="K3" s="83">
        <v>0</v>
      </c>
      <c r="L3" s="83">
        <v>0</v>
      </c>
      <c r="M3" s="83">
        <v>0</v>
      </c>
      <c r="N3" s="83">
        <v>0</v>
      </c>
      <c r="O3" s="83">
        <v>1</v>
      </c>
      <c r="P3" s="83">
        <v>250</v>
      </c>
      <c r="Q3" s="83" t="s">
        <v>171</v>
      </c>
      <c r="R3" s="83" t="s">
        <v>172</v>
      </c>
    </row>
    <row r="4" spans="1:18" x14ac:dyDescent="0.15">
      <c r="A4" s="101">
        <v>39002</v>
      </c>
      <c r="B4" s="83">
        <v>1</v>
      </c>
      <c r="C4" s="72" t="str">
        <f t="shared" si="0"/>
        <v>39002_1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3">
        <v>3</v>
      </c>
      <c r="F4" s="83" t="s">
        <v>217</v>
      </c>
      <c r="G4" s="83">
        <v>344</v>
      </c>
      <c r="H4" s="83">
        <v>1</v>
      </c>
      <c r="I4" s="83">
        <v>1</v>
      </c>
      <c r="J4" s="83">
        <v>1</v>
      </c>
      <c r="K4" s="83">
        <v>0</v>
      </c>
      <c r="L4" s="83">
        <v>0</v>
      </c>
      <c r="M4" s="83">
        <v>0</v>
      </c>
      <c r="N4" s="83">
        <v>0</v>
      </c>
      <c r="O4" s="83">
        <v>1</v>
      </c>
      <c r="P4" s="83">
        <v>98</v>
      </c>
      <c r="Q4" s="83" t="s">
        <v>171</v>
      </c>
      <c r="R4" s="83" t="s">
        <v>172</v>
      </c>
    </row>
    <row r="5" spans="1:18" x14ac:dyDescent="0.15">
      <c r="A5" s="101">
        <v>39002</v>
      </c>
      <c r="B5" s="83">
        <v>1</v>
      </c>
      <c r="C5" s="72" t="str">
        <f t="shared" si="0"/>
        <v>39002_1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3">
        <v>4</v>
      </c>
      <c r="F5" s="83" t="s">
        <v>217</v>
      </c>
      <c r="G5" s="83">
        <v>345</v>
      </c>
      <c r="H5" s="83">
        <v>1</v>
      </c>
      <c r="I5" s="83">
        <v>1</v>
      </c>
      <c r="J5" s="83">
        <v>1</v>
      </c>
      <c r="K5" s="83">
        <v>0</v>
      </c>
      <c r="L5" s="83">
        <v>0</v>
      </c>
      <c r="M5" s="83">
        <v>0</v>
      </c>
      <c r="N5" s="83">
        <v>0</v>
      </c>
      <c r="O5" s="83">
        <v>1</v>
      </c>
      <c r="P5" s="83">
        <v>42</v>
      </c>
      <c r="Q5" s="83" t="s">
        <v>171</v>
      </c>
      <c r="R5" s="83" t="s">
        <v>172</v>
      </c>
    </row>
    <row r="6" spans="1:18" x14ac:dyDescent="0.15">
      <c r="A6" s="101">
        <v>39002</v>
      </c>
      <c r="B6" s="83">
        <v>1</v>
      </c>
      <c r="C6" s="72" t="str">
        <f t="shared" si="0"/>
        <v>39002_1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3">
        <v>5</v>
      </c>
      <c r="F6" s="83" t="s">
        <v>217</v>
      </c>
      <c r="G6" s="83">
        <v>121</v>
      </c>
      <c r="H6" s="83">
        <v>1</v>
      </c>
      <c r="I6" s="83">
        <v>1</v>
      </c>
      <c r="J6" s="83">
        <v>1</v>
      </c>
      <c r="K6" s="83">
        <v>0</v>
      </c>
      <c r="L6" s="83">
        <v>0</v>
      </c>
      <c r="M6" s="83">
        <v>0</v>
      </c>
      <c r="N6" s="83">
        <v>0</v>
      </c>
      <c r="O6" s="83">
        <v>1</v>
      </c>
      <c r="P6" s="83">
        <v>50</v>
      </c>
      <c r="Q6" s="83" t="s">
        <v>171</v>
      </c>
      <c r="R6" s="83" t="s">
        <v>172</v>
      </c>
    </row>
    <row r="7" spans="1:18" x14ac:dyDescent="0.15">
      <c r="A7" s="101">
        <v>39002</v>
      </c>
      <c r="B7" s="83">
        <v>1</v>
      </c>
      <c r="C7" s="72" t="str">
        <f t="shared" si="0"/>
        <v>39002_1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3">
        <v>6</v>
      </c>
      <c r="F7" s="83" t="s">
        <v>217</v>
      </c>
      <c r="G7" s="83">
        <v>122</v>
      </c>
      <c r="H7" s="83">
        <v>1</v>
      </c>
      <c r="I7" s="83">
        <v>1</v>
      </c>
      <c r="J7" s="83">
        <v>1</v>
      </c>
      <c r="K7" s="83">
        <v>0</v>
      </c>
      <c r="L7" s="83">
        <v>0</v>
      </c>
      <c r="M7" s="83">
        <v>0</v>
      </c>
      <c r="N7" s="83">
        <v>0</v>
      </c>
      <c r="O7" s="83">
        <v>1</v>
      </c>
      <c r="P7" s="83">
        <v>50</v>
      </c>
      <c r="Q7" s="83" t="s">
        <v>171</v>
      </c>
      <c r="R7" s="83" t="s">
        <v>172</v>
      </c>
    </row>
    <row r="8" spans="1:18" x14ac:dyDescent="0.15">
      <c r="A8" s="101">
        <v>39002</v>
      </c>
      <c r="B8" s="83">
        <v>1</v>
      </c>
      <c r="C8" s="72" t="str">
        <f t="shared" si="0"/>
        <v>39002_1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3">
        <v>7</v>
      </c>
      <c r="F8" s="83" t="s">
        <v>217</v>
      </c>
      <c r="G8" s="83">
        <v>123</v>
      </c>
      <c r="H8" s="83">
        <v>1</v>
      </c>
      <c r="I8" s="83">
        <v>1</v>
      </c>
      <c r="J8" s="83">
        <v>1</v>
      </c>
      <c r="K8" s="83">
        <v>0</v>
      </c>
      <c r="L8" s="83">
        <v>0</v>
      </c>
      <c r="M8" s="83">
        <v>0</v>
      </c>
      <c r="N8" s="83">
        <v>0</v>
      </c>
      <c r="O8" s="83">
        <v>1</v>
      </c>
      <c r="P8" s="83">
        <v>50</v>
      </c>
      <c r="Q8" s="83" t="s">
        <v>171</v>
      </c>
      <c r="R8" s="83" t="s">
        <v>172</v>
      </c>
    </row>
    <row r="9" spans="1:18" x14ac:dyDescent="0.15">
      <c r="A9" s="101">
        <v>39002</v>
      </c>
      <c r="B9" s="83">
        <v>1</v>
      </c>
      <c r="C9" s="72" t="str">
        <f t="shared" si="0"/>
        <v>39002_1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3">
        <v>8</v>
      </c>
      <c r="F9" s="83" t="s">
        <v>217</v>
      </c>
      <c r="G9" s="83">
        <v>125</v>
      </c>
      <c r="H9" s="83">
        <v>1</v>
      </c>
      <c r="I9" s="83">
        <v>1</v>
      </c>
      <c r="J9" s="83">
        <v>1</v>
      </c>
      <c r="K9" s="83">
        <v>0</v>
      </c>
      <c r="L9" s="83">
        <v>0</v>
      </c>
      <c r="M9" s="83">
        <v>0</v>
      </c>
      <c r="N9" s="83">
        <v>0</v>
      </c>
      <c r="O9" s="83">
        <v>1</v>
      </c>
      <c r="P9" s="83">
        <v>10</v>
      </c>
      <c r="Q9" s="83" t="s">
        <v>171</v>
      </c>
      <c r="R9" s="83" t="s">
        <v>172</v>
      </c>
    </row>
    <row r="10" spans="1:18" x14ac:dyDescent="0.15">
      <c r="A10" s="101">
        <v>39002</v>
      </c>
      <c r="B10" s="83">
        <v>1</v>
      </c>
      <c r="C10" s="72" t="str">
        <f t="shared" si="0"/>
        <v>39002_1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3">
        <v>9</v>
      </c>
      <c r="F10" s="83" t="s">
        <v>217</v>
      </c>
      <c r="G10" s="102">
        <v>693</v>
      </c>
      <c r="H10" s="83">
        <v>1</v>
      </c>
      <c r="I10" s="83">
        <v>1</v>
      </c>
      <c r="J10" s="83">
        <v>1</v>
      </c>
      <c r="K10" s="83">
        <v>0</v>
      </c>
      <c r="L10" s="83">
        <v>0</v>
      </c>
      <c r="M10" s="83">
        <v>0</v>
      </c>
      <c r="N10" s="83">
        <v>0</v>
      </c>
      <c r="O10" s="83">
        <v>1</v>
      </c>
      <c r="P10" s="83">
        <v>50</v>
      </c>
      <c r="Q10" s="83" t="s">
        <v>171</v>
      </c>
      <c r="R10" s="83" t="s">
        <v>172</v>
      </c>
    </row>
    <row r="11" spans="1:18" x14ac:dyDescent="0.15">
      <c r="A11" s="101">
        <v>39002</v>
      </c>
      <c r="B11" s="83">
        <v>1</v>
      </c>
      <c r="C11" s="72" t="str">
        <f t="shared" si="0"/>
        <v>39002_1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83">
        <v>10</v>
      </c>
      <c r="F11" s="83" t="s">
        <v>217</v>
      </c>
      <c r="G11" s="83">
        <v>354</v>
      </c>
      <c r="H11" s="83">
        <v>1</v>
      </c>
      <c r="I11" s="83">
        <v>1</v>
      </c>
      <c r="J11" s="83">
        <v>1</v>
      </c>
      <c r="K11" s="83">
        <v>0</v>
      </c>
      <c r="L11" s="83">
        <v>0</v>
      </c>
      <c r="M11" s="83">
        <v>0</v>
      </c>
      <c r="N11" s="83">
        <v>0</v>
      </c>
      <c r="O11" s="83">
        <v>1</v>
      </c>
      <c r="P11" s="83">
        <v>150</v>
      </c>
      <c r="Q11" s="83" t="s">
        <v>171</v>
      </c>
      <c r="R11" s="83" t="s">
        <v>172</v>
      </c>
    </row>
    <row r="12" spans="1:18" x14ac:dyDescent="0.15">
      <c r="A12" s="101">
        <v>39002</v>
      </c>
      <c r="B12" s="83">
        <v>2</v>
      </c>
      <c r="C12" s="72" t="str">
        <f t="shared" si="0"/>
        <v>39002_2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3">
        <v>11</v>
      </c>
      <c r="F12" s="83" t="s">
        <v>170</v>
      </c>
      <c r="G12" s="83">
        <v>3200</v>
      </c>
      <c r="H12" s="83" t="s">
        <v>215</v>
      </c>
      <c r="I12" s="83">
        <v>1</v>
      </c>
      <c r="J12" s="83">
        <v>1</v>
      </c>
      <c r="K12" s="83">
        <v>0</v>
      </c>
      <c r="L12" s="83">
        <v>0</v>
      </c>
      <c r="M12" s="83">
        <v>0</v>
      </c>
      <c r="N12" s="83">
        <v>0</v>
      </c>
      <c r="O12" s="83">
        <v>1</v>
      </c>
      <c r="P12" s="83">
        <v>250</v>
      </c>
      <c r="Q12" s="83" t="s">
        <v>171</v>
      </c>
      <c r="R12" s="83" t="s">
        <v>172</v>
      </c>
    </row>
    <row r="13" spans="1:18" x14ac:dyDescent="0.15">
      <c r="A13" s="101">
        <v>39002</v>
      </c>
      <c r="B13" s="83">
        <v>2</v>
      </c>
      <c r="C13" s="72" t="str">
        <f t="shared" si="0"/>
        <v>39002_2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3">
        <v>12</v>
      </c>
      <c r="F13" s="83" t="s">
        <v>218</v>
      </c>
      <c r="G13" s="83">
        <v>20</v>
      </c>
      <c r="H13" s="83" t="s">
        <v>215</v>
      </c>
      <c r="I13" s="83">
        <v>1</v>
      </c>
      <c r="J13" s="83">
        <v>1</v>
      </c>
      <c r="K13" s="83">
        <v>0</v>
      </c>
      <c r="L13" s="83">
        <v>0</v>
      </c>
      <c r="M13" s="83">
        <v>0</v>
      </c>
      <c r="N13" s="83">
        <v>0</v>
      </c>
      <c r="O13" s="83">
        <v>1</v>
      </c>
      <c r="P13" s="83">
        <v>200</v>
      </c>
      <c r="Q13" s="83" t="s">
        <v>171</v>
      </c>
      <c r="R13" s="83" t="s">
        <v>172</v>
      </c>
    </row>
    <row r="14" spans="1:18" x14ac:dyDescent="0.15">
      <c r="A14" s="101">
        <v>39002</v>
      </c>
      <c r="B14" s="83">
        <v>2</v>
      </c>
      <c r="C14" s="72" t="str">
        <f t="shared" si="0"/>
        <v>39002_2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3">
        <v>13</v>
      </c>
      <c r="F14" s="83" t="s">
        <v>217</v>
      </c>
      <c r="G14" s="83">
        <v>344</v>
      </c>
      <c r="H14" s="83">
        <v>1</v>
      </c>
      <c r="I14" s="83">
        <v>1</v>
      </c>
      <c r="J14" s="83">
        <v>1</v>
      </c>
      <c r="K14" s="83">
        <v>0</v>
      </c>
      <c r="L14" s="83">
        <v>0</v>
      </c>
      <c r="M14" s="83">
        <v>0</v>
      </c>
      <c r="N14" s="83">
        <v>0</v>
      </c>
      <c r="O14" s="83">
        <v>1</v>
      </c>
      <c r="P14" s="83">
        <v>70</v>
      </c>
      <c r="Q14" s="83" t="s">
        <v>171</v>
      </c>
      <c r="R14" s="83" t="s">
        <v>172</v>
      </c>
    </row>
    <row r="15" spans="1:18" x14ac:dyDescent="0.15">
      <c r="A15" s="101">
        <v>39002</v>
      </c>
      <c r="B15" s="83">
        <v>2</v>
      </c>
      <c r="C15" s="72" t="str">
        <f t="shared" si="0"/>
        <v>39002_2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3">
        <v>14</v>
      </c>
      <c r="F15" s="83" t="s">
        <v>217</v>
      </c>
      <c r="G15" s="83">
        <v>345</v>
      </c>
      <c r="H15" s="83">
        <v>1</v>
      </c>
      <c r="I15" s="83">
        <v>1</v>
      </c>
      <c r="J15" s="83">
        <v>1</v>
      </c>
      <c r="K15" s="83">
        <v>0</v>
      </c>
      <c r="L15" s="83">
        <v>0</v>
      </c>
      <c r="M15" s="83">
        <v>0</v>
      </c>
      <c r="N15" s="83">
        <v>0</v>
      </c>
      <c r="O15" s="83">
        <v>1</v>
      </c>
      <c r="P15" s="83">
        <v>70</v>
      </c>
      <c r="Q15" s="83" t="s">
        <v>171</v>
      </c>
      <c r="R15" s="83" t="s">
        <v>172</v>
      </c>
    </row>
    <row r="16" spans="1:18" x14ac:dyDescent="0.15">
      <c r="A16" s="101">
        <v>39002</v>
      </c>
      <c r="B16" s="83">
        <v>2</v>
      </c>
      <c r="C16" s="72" t="str">
        <f t="shared" si="0"/>
        <v>39002_2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3">
        <v>15</v>
      </c>
      <c r="F16" s="83" t="s">
        <v>217</v>
      </c>
      <c r="G16" s="83">
        <v>121</v>
      </c>
      <c r="H16" s="83">
        <v>1</v>
      </c>
      <c r="I16" s="83">
        <v>1</v>
      </c>
      <c r="J16" s="83">
        <v>1</v>
      </c>
      <c r="K16" s="83">
        <v>0</v>
      </c>
      <c r="L16" s="83">
        <v>0</v>
      </c>
      <c r="M16" s="83">
        <v>0</v>
      </c>
      <c r="N16" s="83">
        <v>0</v>
      </c>
      <c r="O16" s="83">
        <v>1</v>
      </c>
      <c r="P16" s="83">
        <v>50</v>
      </c>
      <c r="Q16" s="83" t="s">
        <v>171</v>
      </c>
      <c r="R16" s="83" t="s">
        <v>172</v>
      </c>
    </row>
    <row r="17" spans="1:18" x14ac:dyDescent="0.15">
      <c r="A17" s="101">
        <v>39002</v>
      </c>
      <c r="B17" s="83">
        <v>2</v>
      </c>
      <c r="C17" s="72" t="str">
        <f t="shared" si="0"/>
        <v>39002_2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3">
        <v>16</v>
      </c>
      <c r="F17" s="83" t="s">
        <v>217</v>
      </c>
      <c r="G17" s="83">
        <v>122</v>
      </c>
      <c r="H17" s="83">
        <v>1</v>
      </c>
      <c r="I17" s="83">
        <v>1</v>
      </c>
      <c r="J17" s="83">
        <v>1</v>
      </c>
      <c r="K17" s="83">
        <v>0</v>
      </c>
      <c r="L17" s="83">
        <v>0</v>
      </c>
      <c r="M17" s="83">
        <v>0</v>
      </c>
      <c r="N17" s="83">
        <v>0</v>
      </c>
      <c r="O17" s="83">
        <v>1</v>
      </c>
      <c r="P17" s="83">
        <v>50</v>
      </c>
      <c r="Q17" s="83" t="s">
        <v>171</v>
      </c>
      <c r="R17" s="83" t="s">
        <v>172</v>
      </c>
    </row>
    <row r="18" spans="1:18" x14ac:dyDescent="0.15">
      <c r="A18" s="101">
        <v>39002</v>
      </c>
      <c r="B18" s="83">
        <v>2</v>
      </c>
      <c r="C18" s="72" t="str">
        <f t="shared" si="0"/>
        <v>39002_2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3">
        <v>17</v>
      </c>
      <c r="F18" s="83" t="s">
        <v>217</v>
      </c>
      <c r="G18" s="83">
        <v>123</v>
      </c>
      <c r="H18" s="83">
        <v>1</v>
      </c>
      <c r="I18" s="83">
        <v>1</v>
      </c>
      <c r="J18" s="83">
        <v>1</v>
      </c>
      <c r="K18" s="83">
        <v>0</v>
      </c>
      <c r="L18" s="83">
        <v>0</v>
      </c>
      <c r="M18" s="83">
        <v>0</v>
      </c>
      <c r="N18" s="83">
        <v>0</v>
      </c>
      <c r="O18" s="83">
        <v>1</v>
      </c>
      <c r="P18" s="83">
        <v>50</v>
      </c>
      <c r="Q18" s="83" t="s">
        <v>171</v>
      </c>
      <c r="R18" s="83" t="s">
        <v>172</v>
      </c>
    </row>
    <row r="19" spans="1:18" x14ac:dyDescent="0.15">
      <c r="A19" s="101">
        <v>39002</v>
      </c>
      <c r="B19" s="83">
        <v>2</v>
      </c>
      <c r="C19" s="72" t="str">
        <f t="shared" si="0"/>
        <v>39002_2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83">
        <v>18</v>
      </c>
      <c r="F19" s="83" t="s">
        <v>217</v>
      </c>
      <c r="G19" s="83">
        <v>125</v>
      </c>
      <c r="H19" s="83">
        <v>1</v>
      </c>
      <c r="I19" s="83">
        <v>1</v>
      </c>
      <c r="J19" s="83">
        <v>1</v>
      </c>
      <c r="K19" s="83">
        <v>0</v>
      </c>
      <c r="L19" s="83">
        <v>0</v>
      </c>
      <c r="M19" s="83">
        <v>0</v>
      </c>
      <c r="N19" s="83">
        <v>0</v>
      </c>
      <c r="O19" s="83">
        <v>1</v>
      </c>
      <c r="P19" s="83">
        <v>10</v>
      </c>
      <c r="Q19" s="83" t="s">
        <v>171</v>
      </c>
      <c r="R19" s="83" t="s">
        <v>172</v>
      </c>
    </row>
    <row r="20" spans="1:18" x14ac:dyDescent="0.15">
      <c r="A20" s="101">
        <v>39002</v>
      </c>
      <c r="B20" s="83">
        <v>2</v>
      </c>
      <c r="C20" s="72" t="str">
        <f t="shared" si="0"/>
        <v>39002_2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3">
        <v>19</v>
      </c>
      <c r="F20" s="83" t="s">
        <v>217</v>
      </c>
      <c r="G20" s="102">
        <v>693</v>
      </c>
      <c r="H20" s="83">
        <v>1</v>
      </c>
      <c r="I20" s="83">
        <v>1</v>
      </c>
      <c r="J20" s="83">
        <v>1</v>
      </c>
      <c r="K20" s="83">
        <v>0</v>
      </c>
      <c r="L20" s="83">
        <v>0</v>
      </c>
      <c r="M20" s="83">
        <v>0</v>
      </c>
      <c r="N20" s="83">
        <v>0</v>
      </c>
      <c r="O20" s="83">
        <v>1</v>
      </c>
      <c r="P20" s="83">
        <v>100</v>
      </c>
      <c r="Q20" s="83" t="s">
        <v>171</v>
      </c>
      <c r="R20" s="83" t="s">
        <v>172</v>
      </c>
    </row>
    <row r="21" spans="1:18" x14ac:dyDescent="0.15">
      <c r="A21" s="101">
        <v>39002</v>
      </c>
      <c r="B21" s="83">
        <v>2</v>
      </c>
      <c r="C21" s="72" t="str">
        <f t="shared" si="0"/>
        <v>39002_2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3">
        <v>20</v>
      </c>
      <c r="F21" s="83" t="s">
        <v>217</v>
      </c>
      <c r="G21" s="83">
        <v>354</v>
      </c>
      <c r="H21" s="83">
        <v>1</v>
      </c>
      <c r="I21" s="83">
        <v>1</v>
      </c>
      <c r="J21" s="83">
        <v>1</v>
      </c>
      <c r="K21" s="83">
        <v>0</v>
      </c>
      <c r="L21" s="83">
        <v>0</v>
      </c>
      <c r="M21" s="83">
        <v>0</v>
      </c>
      <c r="N21" s="83">
        <v>0</v>
      </c>
      <c r="O21" s="83">
        <v>1</v>
      </c>
      <c r="P21" s="83">
        <v>150</v>
      </c>
      <c r="Q21" s="83" t="s">
        <v>171</v>
      </c>
      <c r="R21" s="83" t="s">
        <v>172</v>
      </c>
    </row>
    <row r="22" spans="1:18" x14ac:dyDescent="0.15">
      <c r="A22" s="101">
        <v>39002</v>
      </c>
      <c r="B22" s="83">
        <v>3</v>
      </c>
      <c r="C22" s="72" t="str">
        <f t="shared" si="0"/>
        <v>39002_3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83">
        <v>21</v>
      </c>
      <c r="F22" s="83" t="s">
        <v>170</v>
      </c>
      <c r="G22" s="83">
        <v>5000</v>
      </c>
      <c r="H22" s="83" t="s">
        <v>215</v>
      </c>
      <c r="I22" s="83">
        <v>1</v>
      </c>
      <c r="J22" s="83">
        <v>1</v>
      </c>
      <c r="K22" s="83">
        <v>0</v>
      </c>
      <c r="L22" s="83">
        <v>0</v>
      </c>
      <c r="M22" s="83">
        <v>0</v>
      </c>
      <c r="N22" s="83">
        <v>0</v>
      </c>
      <c r="O22" s="83">
        <v>1</v>
      </c>
      <c r="P22" s="83">
        <v>200</v>
      </c>
      <c r="Q22" s="83" t="s">
        <v>171</v>
      </c>
      <c r="R22" s="83" t="s">
        <v>172</v>
      </c>
    </row>
    <row r="23" spans="1:18" x14ac:dyDescent="0.15">
      <c r="A23" s="101">
        <v>39002</v>
      </c>
      <c r="B23" s="83">
        <v>3</v>
      </c>
      <c r="C23" s="72" t="str">
        <f t="shared" si="0"/>
        <v>39002_3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83">
        <v>22</v>
      </c>
      <c r="F23" s="83" t="s">
        <v>218</v>
      </c>
      <c r="G23" s="83">
        <v>25</v>
      </c>
      <c r="H23" s="83" t="s">
        <v>215</v>
      </c>
      <c r="I23" s="83">
        <v>1</v>
      </c>
      <c r="J23" s="83">
        <v>1</v>
      </c>
      <c r="K23" s="83">
        <v>0</v>
      </c>
      <c r="L23" s="83">
        <v>0</v>
      </c>
      <c r="M23" s="83">
        <v>0</v>
      </c>
      <c r="N23" s="83">
        <v>0</v>
      </c>
      <c r="O23" s="83">
        <v>1</v>
      </c>
      <c r="P23" s="83">
        <v>250</v>
      </c>
      <c r="Q23" s="83" t="s">
        <v>171</v>
      </c>
      <c r="R23" s="83" t="s">
        <v>172</v>
      </c>
    </row>
    <row r="24" spans="1:18" x14ac:dyDescent="0.15">
      <c r="A24" s="101">
        <v>39002</v>
      </c>
      <c r="B24" s="83">
        <v>3</v>
      </c>
      <c r="C24" s="72" t="str">
        <f t="shared" si="0"/>
        <v>39002_3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3">
        <v>23</v>
      </c>
      <c r="F24" s="83" t="s">
        <v>217</v>
      </c>
      <c r="G24" s="83">
        <v>344</v>
      </c>
      <c r="H24" s="83">
        <v>1</v>
      </c>
      <c r="I24" s="83">
        <v>1</v>
      </c>
      <c r="J24" s="83">
        <v>1</v>
      </c>
      <c r="K24" s="83">
        <v>0</v>
      </c>
      <c r="L24" s="83">
        <v>0</v>
      </c>
      <c r="M24" s="83">
        <v>0</v>
      </c>
      <c r="N24" s="83">
        <v>0</v>
      </c>
      <c r="O24" s="83">
        <v>1</v>
      </c>
      <c r="P24" s="83">
        <v>28</v>
      </c>
      <c r="Q24" s="83" t="s">
        <v>171</v>
      </c>
      <c r="R24" s="83" t="s">
        <v>172</v>
      </c>
    </row>
    <row r="25" spans="1:18" x14ac:dyDescent="0.15">
      <c r="A25" s="101">
        <v>39002</v>
      </c>
      <c r="B25" s="83">
        <v>3</v>
      </c>
      <c r="C25" s="72" t="str">
        <f t="shared" si="0"/>
        <v>39002_3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3">
        <v>24</v>
      </c>
      <c r="F25" s="83" t="s">
        <v>217</v>
      </c>
      <c r="G25" s="83">
        <v>345</v>
      </c>
      <c r="H25" s="83">
        <v>1</v>
      </c>
      <c r="I25" s="83">
        <v>1</v>
      </c>
      <c r="J25" s="83">
        <v>1</v>
      </c>
      <c r="K25" s="83">
        <v>0</v>
      </c>
      <c r="L25" s="83">
        <v>0</v>
      </c>
      <c r="M25" s="83">
        <v>0</v>
      </c>
      <c r="N25" s="83">
        <v>0</v>
      </c>
      <c r="O25" s="83">
        <v>1</v>
      </c>
      <c r="P25" s="83">
        <v>56</v>
      </c>
      <c r="Q25" s="83" t="s">
        <v>171</v>
      </c>
      <c r="R25" s="83" t="s">
        <v>172</v>
      </c>
    </row>
    <row r="26" spans="1:18" x14ac:dyDescent="0.15">
      <c r="A26" s="101">
        <v>39002</v>
      </c>
      <c r="B26" s="83">
        <v>3</v>
      </c>
      <c r="C26" s="72" t="str">
        <f t="shared" si="0"/>
        <v>39002_3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3">
        <v>25</v>
      </c>
      <c r="F26" s="83" t="s">
        <v>217</v>
      </c>
      <c r="G26" s="83">
        <v>342</v>
      </c>
      <c r="H26" s="83">
        <v>1</v>
      </c>
      <c r="I26" s="83">
        <v>1</v>
      </c>
      <c r="J26" s="83">
        <v>1</v>
      </c>
      <c r="K26" s="83">
        <v>0</v>
      </c>
      <c r="L26" s="83">
        <v>0</v>
      </c>
      <c r="M26" s="83">
        <v>0</v>
      </c>
      <c r="N26" s="83">
        <v>0</v>
      </c>
      <c r="O26" s="83">
        <v>1</v>
      </c>
      <c r="P26" s="83">
        <v>56</v>
      </c>
      <c r="Q26" s="83" t="s">
        <v>171</v>
      </c>
      <c r="R26" s="83" t="s">
        <v>172</v>
      </c>
    </row>
    <row r="27" spans="1:18" x14ac:dyDescent="0.15">
      <c r="A27" s="101">
        <v>39002</v>
      </c>
      <c r="B27" s="83">
        <v>3</v>
      </c>
      <c r="C27" s="72" t="str">
        <f t="shared" si="0"/>
        <v>39002_3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83">
        <v>26</v>
      </c>
      <c r="F27" s="83" t="s">
        <v>217</v>
      </c>
      <c r="G27" s="83">
        <v>121</v>
      </c>
      <c r="H27" s="83">
        <v>1</v>
      </c>
      <c r="I27" s="83">
        <v>1</v>
      </c>
      <c r="J27" s="83">
        <v>1</v>
      </c>
      <c r="K27" s="83">
        <v>0</v>
      </c>
      <c r="L27" s="83">
        <v>0</v>
      </c>
      <c r="M27" s="83">
        <v>0</v>
      </c>
      <c r="N27" s="83">
        <v>0</v>
      </c>
      <c r="O27" s="83">
        <v>1</v>
      </c>
      <c r="P27" s="83">
        <v>50</v>
      </c>
      <c r="Q27" s="83" t="s">
        <v>171</v>
      </c>
      <c r="R27" s="83" t="s">
        <v>172</v>
      </c>
    </row>
    <row r="28" spans="1:18" x14ac:dyDescent="0.15">
      <c r="A28" s="101">
        <v>39002</v>
      </c>
      <c r="B28" s="83">
        <v>3</v>
      </c>
      <c r="C28" s="72" t="str">
        <f t="shared" si="0"/>
        <v>39002_3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83">
        <v>27</v>
      </c>
      <c r="F28" s="83" t="s">
        <v>217</v>
      </c>
      <c r="G28" s="83">
        <v>122</v>
      </c>
      <c r="H28" s="83">
        <v>1</v>
      </c>
      <c r="I28" s="83">
        <v>1</v>
      </c>
      <c r="J28" s="83">
        <v>1</v>
      </c>
      <c r="K28" s="83">
        <v>0</v>
      </c>
      <c r="L28" s="83">
        <v>0</v>
      </c>
      <c r="M28" s="83">
        <v>0</v>
      </c>
      <c r="N28" s="83">
        <v>0</v>
      </c>
      <c r="O28" s="83">
        <v>1</v>
      </c>
      <c r="P28" s="83">
        <v>50</v>
      </c>
      <c r="Q28" s="83" t="s">
        <v>171</v>
      </c>
      <c r="R28" s="83" t="s">
        <v>172</v>
      </c>
    </row>
    <row r="29" spans="1:18" x14ac:dyDescent="0.15">
      <c r="A29" s="101">
        <v>39002</v>
      </c>
      <c r="B29" s="83">
        <v>3</v>
      </c>
      <c r="C29" s="72" t="str">
        <f t="shared" si="0"/>
        <v>39002_3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83">
        <v>28</v>
      </c>
      <c r="F29" s="83" t="s">
        <v>217</v>
      </c>
      <c r="G29" s="83">
        <v>123</v>
      </c>
      <c r="H29" s="83">
        <v>1</v>
      </c>
      <c r="I29" s="83">
        <v>1</v>
      </c>
      <c r="J29" s="83">
        <v>1</v>
      </c>
      <c r="K29" s="83">
        <v>0</v>
      </c>
      <c r="L29" s="83">
        <v>0</v>
      </c>
      <c r="M29" s="83">
        <v>0</v>
      </c>
      <c r="N29" s="83">
        <v>0</v>
      </c>
      <c r="O29" s="83">
        <v>1</v>
      </c>
      <c r="P29" s="83">
        <v>50</v>
      </c>
      <c r="Q29" s="83" t="s">
        <v>171</v>
      </c>
      <c r="R29" s="83" t="s">
        <v>172</v>
      </c>
    </row>
    <row r="30" spans="1:18" x14ac:dyDescent="0.15">
      <c r="A30" s="101">
        <v>39002</v>
      </c>
      <c r="B30" s="83">
        <v>3</v>
      </c>
      <c r="C30" s="72" t="str">
        <f t="shared" si="0"/>
        <v>39002_3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83">
        <v>29</v>
      </c>
      <c r="F30" s="83" t="s">
        <v>217</v>
      </c>
      <c r="G30" s="83">
        <v>125</v>
      </c>
      <c r="H30" s="83">
        <v>1</v>
      </c>
      <c r="I30" s="83">
        <v>1</v>
      </c>
      <c r="J30" s="83">
        <v>1</v>
      </c>
      <c r="K30" s="83">
        <v>0</v>
      </c>
      <c r="L30" s="83">
        <v>0</v>
      </c>
      <c r="M30" s="83">
        <v>0</v>
      </c>
      <c r="N30" s="83">
        <v>0</v>
      </c>
      <c r="O30" s="83">
        <v>1</v>
      </c>
      <c r="P30" s="83">
        <v>10</v>
      </c>
      <c r="Q30" s="83" t="s">
        <v>171</v>
      </c>
      <c r="R30" s="83" t="s">
        <v>172</v>
      </c>
    </row>
    <row r="31" spans="1:18" x14ac:dyDescent="0.15">
      <c r="A31" s="101">
        <v>39002</v>
      </c>
      <c r="B31" s="83">
        <v>3</v>
      </c>
      <c r="C31" s="72" t="str">
        <f t="shared" si="0"/>
        <v>39002_3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83">
        <v>30</v>
      </c>
      <c r="F31" s="83" t="s">
        <v>217</v>
      </c>
      <c r="G31" s="102">
        <v>693</v>
      </c>
      <c r="H31" s="83">
        <v>1</v>
      </c>
      <c r="I31" s="83">
        <v>1</v>
      </c>
      <c r="J31" s="83">
        <v>1</v>
      </c>
      <c r="K31" s="83">
        <v>0</v>
      </c>
      <c r="L31" s="83">
        <v>0</v>
      </c>
      <c r="M31" s="83">
        <v>0</v>
      </c>
      <c r="N31" s="83">
        <v>0</v>
      </c>
      <c r="O31" s="83">
        <v>1</v>
      </c>
      <c r="P31" s="83">
        <v>150</v>
      </c>
      <c r="Q31" s="83" t="s">
        <v>171</v>
      </c>
      <c r="R31" s="83" t="s">
        <v>172</v>
      </c>
    </row>
    <row r="32" spans="1:18" x14ac:dyDescent="0.15">
      <c r="A32" s="101">
        <v>39002</v>
      </c>
      <c r="B32" s="83">
        <v>3</v>
      </c>
      <c r="C32" s="72" t="str">
        <f t="shared" si="0"/>
        <v>39002_3</v>
      </c>
      <c r="D32" s="1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83">
        <v>31</v>
      </c>
      <c r="F32" s="83" t="s">
        <v>217</v>
      </c>
      <c r="G32" s="83">
        <v>354</v>
      </c>
      <c r="H32" s="83">
        <v>1</v>
      </c>
      <c r="I32" s="83">
        <v>1</v>
      </c>
      <c r="J32" s="83">
        <v>1</v>
      </c>
      <c r="K32" s="83">
        <v>0</v>
      </c>
      <c r="L32" s="83">
        <v>0</v>
      </c>
      <c r="M32" s="83">
        <v>0</v>
      </c>
      <c r="N32" s="83">
        <v>0</v>
      </c>
      <c r="O32" s="83">
        <v>1</v>
      </c>
      <c r="P32" s="83">
        <v>150</v>
      </c>
      <c r="Q32" s="83" t="s">
        <v>171</v>
      </c>
      <c r="R32" s="83" t="s">
        <v>172</v>
      </c>
    </row>
    <row r="33" spans="1:18" x14ac:dyDescent="0.15">
      <c r="A33" s="101">
        <v>39002</v>
      </c>
      <c r="B33" s="83">
        <v>4</v>
      </c>
      <c r="C33" s="72" t="str">
        <f t="shared" si="0"/>
        <v>39002_4</v>
      </c>
      <c r="D33" s="18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83">
        <v>32</v>
      </c>
      <c r="F33" s="83" t="s">
        <v>170</v>
      </c>
      <c r="G33" s="83">
        <v>6500</v>
      </c>
      <c r="H33" s="83" t="s">
        <v>215</v>
      </c>
      <c r="I33" s="83">
        <v>1</v>
      </c>
      <c r="J33" s="83">
        <v>1</v>
      </c>
      <c r="K33" s="83">
        <v>0</v>
      </c>
      <c r="L33" s="83">
        <v>0</v>
      </c>
      <c r="M33" s="83">
        <v>0</v>
      </c>
      <c r="N33" s="83">
        <v>0</v>
      </c>
      <c r="O33" s="83">
        <v>1</v>
      </c>
      <c r="P33" s="83">
        <v>150</v>
      </c>
      <c r="Q33" s="83" t="s">
        <v>171</v>
      </c>
      <c r="R33" s="103" t="s">
        <v>219</v>
      </c>
    </row>
    <row r="34" spans="1:18" x14ac:dyDescent="0.15">
      <c r="A34" s="101">
        <v>39002</v>
      </c>
      <c r="B34" s="83">
        <v>4</v>
      </c>
      <c r="C34" s="72" t="str">
        <f t="shared" si="0"/>
        <v>39002_4</v>
      </c>
      <c r="D34" s="18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83">
        <v>33</v>
      </c>
      <c r="F34" s="83" t="s">
        <v>216</v>
      </c>
      <c r="G34" s="83">
        <v>25</v>
      </c>
      <c r="H34" s="83" t="s">
        <v>220</v>
      </c>
      <c r="I34" s="83">
        <v>1</v>
      </c>
      <c r="J34" s="83">
        <v>1</v>
      </c>
      <c r="K34" s="83">
        <v>0</v>
      </c>
      <c r="L34" s="83">
        <v>0</v>
      </c>
      <c r="M34" s="83">
        <v>0</v>
      </c>
      <c r="N34" s="83">
        <v>0</v>
      </c>
      <c r="O34" s="83">
        <v>1</v>
      </c>
      <c r="P34" s="83">
        <v>150</v>
      </c>
      <c r="Q34" s="83" t="s">
        <v>171</v>
      </c>
      <c r="R34" s="103" t="s">
        <v>221</v>
      </c>
    </row>
    <row r="35" spans="1:18" x14ac:dyDescent="0.15">
      <c r="A35" s="101">
        <v>39002</v>
      </c>
      <c r="B35" s="83">
        <v>4</v>
      </c>
      <c r="C35" s="72" t="str">
        <f t="shared" si="0"/>
        <v>39002_4</v>
      </c>
      <c r="D35" s="18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83">
        <v>34</v>
      </c>
      <c r="F35" s="83" t="s">
        <v>222</v>
      </c>
      <c r="G35" s="83">
        <v>344</v>
      </c>
      <c r="H35" s="83">
        <v>1</v>
      </c>
      <c r="I35" s="83">
        <v>1</v>
      </c>
      <c r="J35" s="83">
        <v>1</v>
      </c>
      <c r="K35" s="83">
        <v>0</v>
      </c>
      <c r="L35" s="83">
        <v>0</v>
      </c>
      <c r="M35" s="83">
        <v>0</v>
      </c>
      <c r="N35" s="83">
        <v>0</v>
      </c>
      <c r="O35" s="83">
        <v>1</v>
      </c>
      <c r="P35" s="83">
        <v>28</v>
      </c>
      <c r="Q35" s="83" t="s">
        <v>171</v>
      </c>
      <c r="R35" s="103" t="s">
        <v>172</v>
      </c>
    </row>
    <row r="36" spans="1:18" x14ac:dyDescent="0.15">
      <c r="A36" s="101">
        <v>39002</v>
      </c>
      <c r="B36" s="83">
        <v>4</v>
      </c>
      <c r="C36" s="72" t="str">
        <f t="shared" si="0"/>
        <v>39002_4</v>
      </c>
      <c r="D36" s="18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83">
        <v>35</v>
      </c>
      <c r="F36" s="83" t="s">
        <v>222</v>
      </c>
      <c r="G36" s="83">
        <v>345</v>
      </c>
      <c r="H36" s="83">
        <v>1</v>
      </c>
      <c r="I36" s="83">
        <v>1</v>
      </c>
      <c r="J36" s="83">
        <v>1</v>
      </c>
      <c r="K36" s="83">
        <v>0</v>
      </c>
      <c r="L36" s="83">
        <v>0</v>
      </c>
      <c r="M36" s="83">
        <v>0</v>
      </c>
      <c r="N36" s="83">
        <v>0</v>
      </c>
      <c r="O36" s="83">
        <v>1</v>
      </c>
      <c r="P36" s="83">
        <v>56</v>
      </c>
      <c r="Q36" s="83" t="s">
        <v>171</v>
      </c>
      <c r="R36" s="103" t="s">
        <v>172</v>
      </c>
    </row>
    <row r="37" spans="1:18" x14ac:dyDescent="0.15">
      <c r="A37" s="101">
        <v>39002</v>
      </c>
      <c r="B37" s="83">
        <v>4</v>
      </c>
      <c r="C37" s="72" t="str">
        <f t="shared" si="0"/>
        <v>39002_4</v>
      </c>
      <c r="D37" s="18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83">
        <v>36</v>
      </c>
      <c r="F37" s="83" t="s">
        <v>222</v>
      </c>
      <c r="G37" s="83">
        <v>346</v>
      </c>
      <c r="H37" s="83">
        <v>1</v>
      </c>
      <c r="I37" s="83">
        <v>1</v>
      </c>
      <c r="J37" s="83">
        <v>1</v>
      </c>
      <c r="K37" s="83">
        <v>0</v>
      </c>
      <c r="L37" s="83">
        <v>0</v>
      </c>
      <c r="M37" s="83">
        <v>0</v>
      </c>
      <c r="N37" s="83">
        <v>0</v>
      </c>
      <c r="O37" s="83">
        <v>1</v>
      </c>
      <c r="P37" s="83">
        <v>56</v>
      </c>
      <c r="Q37" s="83" t="s">
        <v>171</v>
      </c>
      <c r="R37" s="103" t="s">
        <v>172</v>
      </c>
    </row>
    <row r="38" spans="1:18" x14ac:dyDescent="0.15">
      <c r="A38" s="101">
        <v>39002</v>
      </c>
      <c r="B38" s="83">
        <v>4</v>
      </c>
      <c r="C38" s="72" t="str">
        <f t="shared" si="0"/>
        <v>39002_4</v>
      </c>
      <c r="D38" s="18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83">
        <v>37</v>
      </c>
      <c r="F38" s="83" t="s">
        <v>222</v>
      </c>
      <c r="G38" s="83">
        <v>121</v>
      </c>
      <c r="H38" s="83">
        <v>1</v>
      </c>
      <c r="I38" s="83">
        <v>1</v>
      </c>
      <c r="J38" s="83">
        <v>1</v>
      </c>
      <c r="K38" s="83">
        <v>0</v>
      </c>
      <c r="L38" s="83">
        <v>0</v>
      </c>
      <c r="M38" s="83">
        <v>0</v>
      </c>
      <c r="N38" s="83">
        <v>0</v>
      </c>
      <c r="O38" s="83">
        <v>1</v>
      </c>
      <c r="P38" s="83">
        <v>50</v>
      </c>
      <c r="Q38" s="83" t="s">
        <v>171</v>
      </c>
      <c r="R38" s="103" t="s">
        <v>172</v>
      </c>
    </row>
    <row r="39" spans="1:18" x14ac:dyDescent="0.15">
      <c r="A39" s="101">
        <v>39002</v>
      </c>
      <c r="B39" s="83">
        <v>4</v>
      </c>
      <c r="C39" s="72" t="str">
        <f t="shared" si="0"/>
        <v>39002_4</v>
      </c>
      <c r="D39" s="18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83">
        <v>38</v>
      </c>
      <c r="F39" s="83" t="s">
        <v>222</v>
      </c>
      <c r="G39" s="83">
        <v>122</v>
      </c>
      <c r="H39" s="83">
        <v>1</v>
      </c>
      <c r="I39" s="83">
        <v>1</v>
      </c>
      <c r="J39" s="83">
        <v>1</v>
      </c>
      <c r="K39" s="83">
        <v>0</v>
      </c>
      <c r="L39" s="83">
        <v>0</v>
      </c>
      <c r="M39" s="83">
        <v>0</v>
      </c>
      <c r="N39" s="83">
        <v>0</v>
      </c>
      <c r="O39" s="83">
        <v>1</v>
      </c>
      <c r="P39" s="83">
        <v>50</v>
      </c>
      <c r="Q39" s="83" t="s">
        <v>171</v>
      </c>
      <c r="R39" s="103" t="s">
        <v>172</v>
      </c>
    </row>
    <row r="40" spans="1:18" x14ac:dyDescent="0.15">
      <c r="A40" s="101">
        <v>39002</v>
      </c>
      <c r="B40" s="83">
        <v>4</v>
      </c>
      <c r="C40" s="72" t="str">
        <f t="shared" si="0"/>
        <v>39002_4</v>
      </c>
      <c r="D40" s="18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83">
        <v>39</v>
      </c>
      <c r="F40" s="83" t="s">
        <v>222</v>
      </c>
      <c r="G40" s="83">
        <v>123</v>
      </c>
      <c r="H40" s="83">
        <v>1</v>
      </c>
      <c r="I40" s="83">
        <v>1</v>
      </c>
      <c r="J40" s="83">
        <v>1</v>
      </c>
      <c r="K40" s="83">
        <v>0</v>
      </c>
      <c r="L40" s="83">
        <v>0</v>
      </c>
      <c r="M40" s="83">
        <v>0</v>
      </c>
      <c r="N40" s="83">
        <v>0</v>
      </c>
      <c r="O40" s="83">
        <v>1</v>
      </c>
      <c r="P40" s="83">
        <v>50</v>
      </c>
      <c r="Q40" s="83" t="s">
        <v>171</v>
      </c>
      <c r="R40" s="103" t="s">
        <v>172</v>
      </c>
    </row>
    <row r="41" spans="1:18" x14ac:dyDescent="0.15">
      <c r="A41" s="101">
        <v>39002</v>
      </c>
      <c r="B41" s="83">
        <v>4</v>
      </c>
      <c r="C41" s="72" t="str">
        <f t="shared" si="0"/>
        <v>39002_4</v>
      </c>
      <c r="D41" s="18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83">
        <v>40</v>
      </c>
      <c r="F41" s="83" t="s">
        <v>222</v>
      </c>
      <c r="G41" s="83">
        <v>125</v>
      </c>
      <c r="H41" s="83">
        <v>1</v>
      </c>
      <c r="I41" s="83">
        <v>1</v>
      </c>
      <c r="J41" s="83">
        <v>1</v>
      </c>
      <c r="K41" s="83">
        <v>0</v>
      </c>
      <c r="L41" s="83">
        <v>0</v>
      </c>
      <c r="M41" s="83">
        <v>0</v>
      </c>
      <c r="N41" s="83">
        <v>0</v>
      </c>
      <c r="O41" s="83">
        <v>1</v>
      </c>
      <c r="P41" s="83">
        <v>10</v>
      </c>
      <c r="Q41" s="83" t="s">
        <v>171</v>
      </c>
      <c r="R41" s="103" t="s">
        <v>172</v>
      </c>
    </row>
    <row r="42" spans="1:18" x14ac:dyDescent="0.15">
      <c r="A42" s="101">
        <v>39002</v>
      </c>
      <c r="B42" s="83">
        <v>4</v>
      </c>
      <c r="C42" s="72" t="str">
        <f t="shared" si="0"/>
        <v>39002_4</v>
      </c>
      <c r="D42" s="18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83">
        <v>41</v>
      </c>
      <c r="F42" s="83" t="s">
        <v>222</v>
      </c>
      <c r="G42" s="102">
        <v>693</v>
      </c>
      <c r="H42" s="83">
        <v>1</v>
      </c>
      <c r="I42" s="83">
        <v>1</v>
      </c>
      <c r="J42" s="83">
        <v>1</v>
      </c>
      <c r="K42" s="83">
        <v>0</v>
      </c>
      <c r="L42" s="83">
        <v>0</v>
      </c>
      <c r="M42" s="83">
        <v>0</v>
      </c>
      <c r="N42" s="83">
        <v>0</v>
      </c>
      <c r="O42" s="83">
        <v>1</v>
      </c>
      <c r="P42" s="83">
        <v>250</v>
      </c>
      <c r="Q42" s="83" t="s">
        <v>171</v>
      </c>
      <c r="R42" s="103" t="s">
        <v>172</v>
      </c>
    </row>
    <row r="43" spans="1:18" x14ac:dyDescent="0.15">
      <c r="A43" s="101">
        <v>39002</v>
      </c>
      <c r="B43" s="83">
        <v>4</v>
      </c>
      <c r="C43" s="72" t="str">
        <f t="shared" si="0"/>
        <v>39002_4</v>
      </c>
      <c r="D43" s="18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83">
        <v>42</v>
      </c>
      <c r="F43" s="83" t="s">
        <v>217</v>
      </c>
      <c r="G43" s="83">
        <v>354</v>
      </c>
      <c r="H43" s="83">
        <v>1</v>
      </c>
      <c r="I43" s="83">
        <v>1</v>
      </c>
      <c r="J43" s="83">
        <v>1</v>
      </c>
      <c r="K43" s="83">
        <v>0</v>
      </c>
      <c r="L43" s="83">
        <v>0</v>
      </c>
      <c r="M43" s="83">
        <v>0</v>
      </c>
      <c r="N43" s="83">
        <v>0</v>
      </c>
      <c r="O43" s="83">
        <v>1</v>
      </c>
      <c r="P43" s="83">
        <v>150</v>
      </c>
      <c r="Q43" s="83" t="s">
        <v>171</v>
      </c>
      <c r="R43" s="103" t="s">
        <v>172</v>
      </c>
    </row>
  </sheetData>
  <phoneticPr fontId="5"/>
  <dataValidations count="1">
    <dataValidation type="list" allowBlank="1" showInputMessage="1" showErrorMessage="1" sqref="F2:F43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08"/>
  <sheetViews>
    <sheetView showGridLines="0" workbookViewId="0">
      <pane ySplit="1" topLeftCell="A81" activePane="bottomLeft" state="frozen"/>
      <selection pane="bottomLeft" activeCell="E111" sqref="E111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8" t="s">
        <v>189</v>
      </c>
      <c r="B1" s="74" t="s">
        <v>190</v>
      </c>
      <c r="C1" s="79" t="s">
        <v>191</v>
      </c>
      <c r="D1" s="79" t="s">
        <v>33</v>
      </c>
      <c r="E1" s="74" t="s">
        <v>192</v>
      </c>
      <c r="F1" s="79" t="s">
        <v>193</v>
      </c>
      <c r="G1" s="79" t="s">
        <v>33</v>
      </c>
      <c r="H1" s="74" t="s">
        <v>194</v>
      </c>
      <c r="I1" s="93" t="s">
        <v>196</v>
      </c>
      <c r="J1" s="81" t="s">
        <v>128</v>
      </c>
      <c r="K1" s="80" t="s">
        <v>188</v>
      </c>
      <c r="L1" s="94" t="s">
        <v>187</v>
      </c>
      <c r="M1" s="82" t="s">
        <v>197</v>
      </c>
    </row>
    <row r="2" spans="1:13" x14ac:dyDescent="0.15">
      <c r="A2" s="83" t="s">
        <v>202</v>
      </c>
      <c r="B2" s="84">
        <f>floors!$C$2</f>
        <v>39002</v>
      </c>
      <c r="C2" s="85" t="str">
        <f ca="1">VLOOKUP($B2,OFFSET([2]quests!$A$1,0,0,COUNTA([2]quests!$A:$A),MATCH(C$1,[2]quests!$1:$1,0)-MATCH($B$1,[2]quests!$1:$1,0)+1),MATCH(C$1,[2]quests!$1:$1,0)-MATCH($B$1,[2]quests!$1:$1,0)+1,FALSE)</f>
        <v>黄巾賊の暴走を止めろ</v>
      </c>
      <c r="D2" s="85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9">
        <v>1</v>
      </c>
      <c r="F2" s="85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2" s="85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7">
        <v>0</v>
      </c>
      <c r="I2">
        <v>1</v>
      </c>
      <c r="J2" s="86" t="s">
        <v>199</v>
      </c>
      <c r="K2" s="95" t="str">
        <f>VLOOKUP(I2,[7]stage_hints!$A:$C,3,FALSE)</f>
        <v>長くつなげて大ダメージ</v>
      </c>
      <c r="L2" s="96" t="str">
        <f>VLOOKUP(I2,[7]stage_hints!$A:$D,4,FALSE)</f>
        <v>パネルを長くつなげるほど_x000D_大ダメージを与えることができます</v>
      </c>
      <c r="M2" s="57" t="s">
        <v>212</v>
      </c>
    </row>
    <row r="3" spans="1:13" x14ac:dyDescent="0.15">
      <c r="A3" s="83" t="s">
        <v>202</v>
      </c>
      <c r="B3" s="84">
        <f>floors!$C$2</f>
        <v>39002</v>
      </c>
      <c r="C3" s="85" t="str">
        <f ca="1">VLOOKUP($B3,OFFSET([2]quests!$A$1,0,0,COUNTA([2]quests!$A:$A),MATCH(C$1,[2]quests!$1:$1,0)-MATCH($B$1,[2]quests!$1:$1,0)+1),MATCH(C$1,[2]quests!$1:$1,0)-MATCH($B$1,[2]quests!$1:$1,0)+1,FALSE)</f>
        <v>黄巾賊の暴走を止めろ</v>
      </c>
      <c r="D3" s="85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9">
        <v>1</v>
      </c>
      <c r="F3" s="85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3" s="85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7">
        <v>0</v>
      </c>
      <c r="I3">
        <v>2</v>
      </c>
      <c r="J3" s="86" t="s">
        <v>199</v>
      </c>
      <c r="K3" s="95" t="str">
        <f>VLOOKUP(I3,[7]stage_hints!$A:$C,3,FALSE)</f>
        <v>属性の相性</v>
      </c>
      <c r="L3" s="96" t="str">
        <f>VLOOKUP(I3,[7]stage_hints!$A:$D,4,FALSE)</f>
        <v>赤＞青　青＞黄　黄＞緑　緑＞赤_x000D_敵属性に最適なパーティがオススメです</v>
      </c>
      <c r="M3" s="57" t="s">
        <v>212</v>
      </c>
    </row>
    <row r="4" spans="1:13" x14ac:dyDescent="0.15">
      <c r="A4" s="83" t="s">
        <v>202</v>
      </c>
      <c r="B4" s="84">
        <f>floors!$C$2</f>
        <v>39002</v>
      </c>
      <c r="C4" s="85" t="str">
        <f ca="1">VLOOKUP($B4,OFFSET([2]quests!$A$1,0,0,COUNTA([2]quests!$A:$A),MATCH(C$1,[2]quests!$1:$1,0)-MATCH($B$1,[2]quests!$1:$1,0)+1),MATCH(C$1,[2]quests!$1:$1,0)-MATCH($B$1,[2]quests!$1:$1,0)+1,FALSE)</f>
        <v>黄巾賊の暴走を止めろ</v>
      </c>
      <c r="D4" s="85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9">
        <v>1</v>
      </c>
      <c r="F4" s="85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4" s="85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7">
        <v>0</v>
      </c>
      <c r="I4">
        <v>3</v>
      </c>
      <c r="J4" s="86" t="s">
        <v>199</v>
      </c>
      <c r="K4" s="95" t="str">
        <f>VLOOKUP(I4,[7]stage_hints!$A:$C,3,FALSE)</f>
        <v>ターゲット</v>
      </c>
      <c r="L4" s="96" t="str">
        <f>VLOOKUP(I4,[7]stage_hints!$A:$D,4,FALSE)</f>
        <v>敵ユニットをタップすると_x000D_その敵を狙い撃ちできます</v>
      </c>
      <c r="M4" s="57" t="s">
        <v>212</v>
      </c>
    </row>
    <row r="5" spans="1:13" x14ac:dyDescent="0.15">
      <c r="A5" s="83" t="s">
        <v>202</v>
      </c>
      <c r="B5" s="84">
        <f>floors!$C$2</f>
        <v>39002</v>
      </c>
      <c r="C5" s="85" t="str">
        <f ca="1">VLOOKUP($B5,OFFSET([2]quests!$A$1,0,0,COUNTA([2]quests!$A:$A),MATCH(C$1,[2]quests!$1:$1,0)-MATCH($B$1,[2]quests!$1:$1,0)+1),MATCH(C$1,[2]quests!$1:$1,0)-MATCH($B$1,[2]quests!$1:$1,0)+1,FALSE)</f>
        <v>黄巾賊の暴走を止めろ</v>
      </c>
      <c r="D5" s="85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9">
        <v>1</v>
      </c>
      <c r="F5" s="85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5" s="85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7">
        <v>0</v>
      </c>
      <c r="I5">
        <v>5</v>
      </c>
      <c r="J5" s="86" t="s">
        <v>199</v>
      </c>
      <c r="K5" s="95" t="str">
        <f>VLOOKUP(I5,[7]stage_hints!$A:$C,3,FALSE)</f>
        <v>ユニット強化でレベルアップ</v>
      </c>
      <c r="L5" s="96" t="str">
        <f>VLOOKUP(I5,[7]stage_hints!$A:$D,4,FALSE)</f>
        <v>「ユニット強化」でレベルアップすると_x000D_勝てない敵にも勝てるようになります</v>
      </c>
      <c r="M5" s="57" t="s">
        <v>212</v>
      </c>
    </row>
    <row r="6" spans="1:13" x14ac:dyDescent="0.15">
      <c r="A6" s="83" t="s">
        <v>202</v>
      </c>
      <c r="B6" s="84">
        <f>floors!$C$2</f>
        <v>39002</v>
      </c>
      <c r="C6" s="85" t="str">
        <f ca="1">VLOOKUP($B6,OFFSET([2]quests!$A$1,0,0,COUNTA([2]quests!$A:$A),MATCH(C$1,[2]quests!$1:$1,0)-MATCH($B$1,[2]quests!$1:$1,0)+1),MATCH(C$1,[2]quests!$1:$1,0)-MATCH($B$1,[2]quests!$1:$1,0)+1,FALSE)</f>
        <v>黄巾賊の暴走を止めろ</v>
      </c>
      <c r="D6" s="85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9">
        <v>1</v>
      </c>
      <c r="F6" s="85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6" s="85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7">
        <v>0</v>
      </c>
      <c r="I6">
        <v>6</v>
      </c>
      <c r="J6" s="86" t="s">
        <v>199</v>
      </c>
      <c r="K6" s="95" t="str">
        <f>VLOOKUP(I6,[7]stage_hints!$A:$C,3,FALSE)</f>
        <v>ユニット強化の属性ボーナス</v>
      </c>
      <c r="L6" s="96" t="str">
        <f>VLOOKUP(I6,[7]stage_hints!$A:$D,4,FALSE)</f>
        <v>同属性ユニットを強化素材にすると_x000D_経験値が多くもらえます</v>
      </c>
      <c r="M6" s="57" t="s">
        <v>212</v>
      </c>
    </row>
    <row r="7" spans="1:13" x14ac:dyDescent="0.15">
      <c r="A7" s="83" t="s">
        <v>202</v>
      </c>
      <c r="B7" s="84">
        <f>floors!$C$2</f>
        <v>39002</v>
      </c>
      <c r="C7" s="85" t="str">
        <f ca="1">VLOOKUP($B7,OFFSET([2]quests!$A$1,0,0,COUNTA([2]quests!$A:$A),MATCH(C$1,[2]quests!$1:$1,0)-MATCH($B$1,[2]quests!$1:$1,0)+1),MATCH(C$1,[2]quests!$1:$1,0)-MATCH($B$1,[2]quests!$1:$1,0)+1,FALSE)</f>
        <v>黄巾賊の暴走を止めろ</v>
      </c>
      <c r="D7" s="85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89">
        <v>1</v>
      </c>
      <c r="F7" s="85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7" s="85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87">
        <v>0</v>
      </c>
      <c r="I7">
        <v>7</v>
      </c>
      <c r="J7" s="86" t="s">
        <v>199</v>
      </c>
      <c r="K7" s="95" t="str">
        <f>VLOOKUP(I7,[7]stage_hints!$A:$C,3,FALSE)</f>
        <v>メタルダックで経験値を獲得</v>
      </c>
      <c r="L7" s="96" t="str">
        <f>VLOOKUP(I7,[7]stage_hints!$A:$D,4,FALSE)</f>
        <v>「メタルなアヒル」を強化素材にすると_x000D_大量の経験値がもらえます</v>
      </c>
      <c r="M7" s="57" t="s">
        <v>212</v>
      </c>
    </row>
    <row r="8" spans="1:13" x14ac:dyDescent="0.15">
      <c r="A8" s="83" t="s">
        <v>202</v>
      </c>
      <c r="B8" s="84">
        <f>floors!$C$2</f>
        <v>39002</v>
      </c>
      <c r="C8" s="85" t="str">
        <f ca="1">VLOOKUP($B8,OFFSET([2]quests!$A$1,0,0,COUNTA([2]quests!$A:$A),MATCH(C$1,[2]quests!$1:$1,0)-MATCH($B$1,[2]quests!$1:$1,0)+1),MATCH(C$1,[2]quests!$1:$1,0)-MATCH($B$1,[2]quests!$1:$1,0)+1,FALSE)</f>
        <v>黄巾賊の暴走を止めろ</v>
      </c>
      <c r="D8" s="85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89">
        <v>1</v>
      </c>
      <c r="F8" s="85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8" s="85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87">
        <v>0</v>
      </c>
      <c r="I8">
        <v>8</v>
      </c>
      <c r="J8" s="86" t="s">
        <v>199</v>
      </c>
      <c r="K8" s="95" t="str">
        <f>VLOOKUP(I8,[7]stage_hints!$A:$C,3,FALSE)</f>
        <v>ゲリラクエストは要チェック</v>
      </c>
      <c r="L8" s="96" t="str">
        <f>VLOOKUP(I8,[7]stage_hints!$A:$D,4,FALSE)</f>
        <v>時間限定の「アヒル捕獲作戦」では_x000D_経験値素材ユニットが多く手に入ります</v>
      </c>
      <c r="M8" s="57" t="s">
        <v>212</v>
      </c>
    </row>
    <row r="9" spans="1:13" x14ac:dyDescent="0.15">
      <c r="A9" s="83" t="s">
        <v>202</v>
      </c>
      <c r="B9" s="84">
        <f>floors!$C$2</f>
        <v>39002</v>
      </c>
      <c r="C9" s="85" t="str">
        <f ca="1">VLOOKUP($B9,OFFSET([2]quests!$A$1,0,0,COUNTA([2]quests!$A:$A),MATCH(C$1,[2]quests!$1:$1,0)-MATCH($B$1,[2]quests!$1:$1,0)+1),MATCH(C$1,[2]quests!$1:$1,0)-MATCH($B$1,[2]quests!$1:$1,0)+1,FALSE)</f>
        <v>黄巾賊の暴走を止めろ</v>
      </c>
      <c r="D9" s="85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89">
        <v>1</v>
      </c>
      <c r="F9" s="85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9" s="85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87">
        <v>0</v>
      </c>
      <c r="I9">
        <v>9</v>
      </c>
      <c r="J9" s="86" t="s">
        <v>199</v>
      </c>
      <c r="K9" s="95" t="str">
        <f>VLOOKUP(I9,[7]stage_hints!$A:$C,3,FALSE)</f>
        <v>ゴールドダックでビットを獲得</v>
      </c>
      <c r="L9" s="96" t="str">
        <f>VLOOKUP(I9,[7]stage_hints!$A:$D,4,FALSE)</f>
        <v>「ゴールドなアヒル」を売却すると_x000D_大量のビットがもらえます</v>
      </c>
      <c r="M9" s="57" t="s">
        <v>212</v>
      </c>
    </row>
    <row r="10" spans="1:13" x14ac:dyDescent="0.15">
      <c r="A10" s="83" t="s">
        <v>202</v>
      </c>
      <c r="B10" s="84">
        <f>floors!$C$2</f>
        <v>39002</v>
      </c>
      <c r="C10" s="85" t="str">
        <f ca="1">VLOOKUP($B10,OFFSET([2]quests!$A$1,0,0,COUNTA([2]quests!$A:$A),MATCH(C$1,[2]quests!$1:$1,0)-MATCH($B$1,[2]quests!$1:$1,0)+1),MATCH(C$1,[2]quests!$1:$1,0)-MATCH($B$1,[2]quests!$1:$1,0)+1,FALSE)</f>
        <v>黄巾賊の暴走を止めろ</v>
      </c>
      <c r="D10" s="85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89">
        <v>1</v>
      </c>
      <c r="F10" s="85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10" s="85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87">
        <v>0</v>
      </c>
      <c r="I10">
        <v>10</v>
      </c>
      <c r="J10" s="86" t="s">
        <v>199</v>
      </c>
      <c r="K10" s="95" t="str">
        <f>VLOOKUP(I10,[7]stage_hints!$A:$C,3,FALSE)</f>
        <v>土日に大量のビットを獲得</v>
      </c>
      <c r="L10" s="96" t="str">
        <f>VLOOKUP(I10,[7]stage_hints!$A:$D,4,FALSE)</f>
        <v>土日限定の「ゴールドカジノ」では_x000D_売却素材ユニットが多く手に入ります</v>
      </c>
      <c r="M10" s="57" t="s">
        <v>212</v>
      </c>
    </row>
    <row r="11" spans="1:13" x14ac:dyDescent="0.15">
      <c r="A11" s="83" t="s">
        <v>202</v>
      </c>
      <c r="B11" s="84">
        <f>floors!$C$2</f>
        <v>39002</v>
      </c>
      <c r="C11" s="85" t="str">
        <f ca="1">VLOOKUP($B11,OFFSET([2]quests!$A$1,0,0,COUNTA([2]quests!$A:$A),MATCH(C$1,[2]quests!$1:$1,0)-MATCH($B$1,[2]quests!$1:$1,0)+1),MATCH(C$1,[2]quests!$1:$1,0)-MATCH($B$1,[2]quests!$1:$1,0)+1,FALSE)</f>
        <v>黄巾賊の暴走を止めろ</v>
      </c>
      <c r="D11" s="85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89">
        <v>1</v>
      </c>
      <c r="F11" s="85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11" s="85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87">
        <v>0</v>
      </c>
      <c r="I11">
        <v>11</v>
      </c>
      <c r="J11" s="86" t="s">
        <v>199</v>
      </c>
      <c r="K11" s="95" t="str">
        <f>VLOOKUP(I11,[7]stage_hints!$A:$C,3,FALSE)</f>
        <v>ランク解放クエスト</v>
      </c>
      <c r="L11" s="96" t="str">
        <f>VLOOKUP(I11,[7]stage_hints!$A:$D,4,FALSE)</f>
        <v>一定ランクに到達すると_x000D_報酬付きのランク開放クエストが現れます</v>
      </c>
      <c r="M11" s="57" t="s">
        <v>212</v>
      </c>
    </row>
    <row r="12" spans="1:13" x14ac:dyDescent="0.15">
      <c r="A12" s="83" t="s">
        <v>202</v>
      </c>
      <c r="B12" s="84">
        <f>floors!$C$2</f>
        <v>39002</v>
      </c>
      <c r="C12" s="85" t="str">
        <f ca="1">VLOOKUP($B12,OFFSET([2]quests!$A$1,0,0,COUNTA([2]quests!$A:$A),MATCH(C$1,[2]quests!$1:$1,0)-MATCH($B$1,[2]quests!$1:$1,0)+1),MATCH(C$1,[2]quests!$1:$1,0)-MATCH($B$1,[2]quests!$1:$1,0)+1,FALSE)</f>
        <v>黄巾賊の暴走を止めろ</v>
      </c>
      <c r="D12" s="85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89">
        <v>1</v>
      </c>
      <c r="F12" s="85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12" s="85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87">
        <v>0</v>
      </c>
      <c r="I12">
        <v>12</v>
      </c>
      <c r="J12" s="86" t="s">
        <v>199</v>
      </c>
      <c r="K12" s="95" t="str">
        <f>VLOOKUP(I12,[7]stage_hints!$A:$C,3,FALSE)</f>
        <v>ユニットのお気に入り登録</v>
      </c>
      <c r="L12" s="96" t="str">
        <f>VLOOKUP(I12,[7]stage_hints!$A:$D,4,FALSE)</f>
        <v>大事なユニットを誤って消さないように_x000D_フォルダから「お気に入り登録」しましょう</v>
      </c>
      <c r="M12" s="57" t="s">
        <v>212</v>
      </c>
    </row>
    <row r="13" spans="1:13" x14ac:dyDescent="0.15">
      <c r="A13" s="83" t="s">
        <v>202</v>
      </c>
      <c r="B13" s="84">
        <f>floors!$C$2</f>
        <v>39002</v>
      </c>
      <c r="C13" s="85" t="str">
        <f ca="1">VLOOKUP($B13,OFFSET([2]quests!$A$1,0,0,COUNTA([2]quests!$A:$A),MATCH(C$1,[2]quests!$1:$1,0)-MATCH($B$1,[2]quests!$1:$1,0)+1),MATCH(C$1,[2]quests!$1:$1,0)-MATCH($B$1,[2]quests!$1:$1,0)+1,FALSE)</f>
        <v>黄巾賊の暴走を止めろ</v>
      </c>
      <c r="D13" s="85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89">
        <v>1</v>
      </c>
      <c r="F13" s="85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13" s="85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87">
        <v>0</v>
      </c>
      <c r="I13">
        <v>13</v>
      </c>
      <c r="J13" s="86" t="s">
        <v>199</v>
      </c>
      <c r="K13" s="95" t="str">
        <f>VLOOKUP(I13,[7]stage_hints!$A:$C,3,FALSE)</f>
        <v>ユニットの覚醒</v>
      </c>
      <c r="L13" s="96" t="str">
        <f>VLOOKUP(I13,[7]stage_hints!$A:$D,4,FALSE)</f>
        <v>ユニットを覚醒させると_x000D_比べものにならない強さが手に入ります</v>
      </c>
      <c r="M13" s="57" t="s">
        <v>212</v>
      </c>
    </row>
    <row r="14" spans="1:13" x14ac:dyDescent="0.15">
      <c r="A14" s="83" t="s">
        <v>202</v>
      </c>
      <c r="B14" s="84">
        <f>floors!$C$2</f>
        <v>39002</v>
      </c>
      <c r="C14" s="85" t="str">
        <f ca="1">VLOOKUP($B14,OFFSET([2]quests!$A$1,0,0,COUNTA([2]quests!$A:$A),MATCH(C$1,[2]quests!$1:$1,0)-MATCH($B$1,[2]quests!$1:$1,0)+1),MATCH(C$1,[2]quests!$1:$1,0)-MATCH($B$1,[2]quests!$1:$1,0)+1,FALSE)</f>
        <v>黄巾賊の暴走を止めろ</v>
      </c>
      <c r="D14" s="85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89">
        <v>1</v>
      </c>
      <c r="F14" s="85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14" s="85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87">
        <v>0</v>
      </c>
      <c r="I14">
        <v>14</v>
      </c>
      <c r="J14" s="86" t="s">
        <v>199</v>
      </c>
      <c r="K14" s="95" t="str">
        <f>VLOOKUP(I14,[7]stage_hints!$A:$C,3,FALSE)</f>
        <v>覚醒するにはレベルを最大に</v>
      </c>
      <c r="L14" s="96" t="str">
        <f>VLOOKUP(I14,[7]stage_hints!$A:$D,4,FALSE)</f>
        <v>覚醒するにはユニットのレベルを_x000D_最大まで上げる必要があります</v>
      </c>
      <c r="M14" s="57" t="s">
        <v>212</v>
      </c>
    </row>
    <row r="15" spans="1:13" x14ac:dyDescent="0.15">
      <c r="A15" s="83" t="s">
        <v>202</v>
      </c>
      <c r="B15" s="84">
        <f>floors!$C$2</f>
        <v>39002</v>
      </c>
      <c r="C15" s="85" t="str">
        <f ca="1">VLOOKUP($B15,OFFSET([2]quests!$A$1,0,0,COUNTA([2]quests!$A:$A),MATCH(C$1,[2]quests!$1:$1,0)-MATCH($B$1,[2]quests!$1:$1,0)+1),MATCH(C$1,[2]quests!$1:$1,0)-MATCH($B$1,[2]quests!$1:$1,0)+1,FALSE)</f>
        <v>黄巾賊の暴走を止めろ</v>
      </c>
      <c r="D15" s="85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89">
        <v>1</v>
      </c>
      <c r="F15" s="85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15" s="85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87">
        <v>0</v>
      </c>
      <c r="I15">
        <v>15</v>
      </c>
      <c r="J15" s="86" t="s">
        <v>199</v>
      </c>
      <c r="K15" s="95" t="str">
        <f>VLOOKUP(I15,[7]stage_hints!$A:$C,3,FALSE)</f>
        <v>覚醒素材を獲得</v>
      </c>
      <c r="L15" s="96" t="str">
        <f>VLOOKUP(I15,[7]stage_hints!$A:$D,4,FALSE)</f>
        <v>「曜日クエスト」では_x000D_ユニットの覚醒に必要な素材が手に入ります</v>
      </c>
      <c r="M15" s="57" t="s">
        <v>212</v>
      </c>
    </row>
    <row r="16" spans="1:13" x14ac:dyDescent="0.15">
      <c r="A16" s="83" t="s">
        <v>202</v>
      </c>
      <c r="B16" s="84">
        <f>floors!$C$2</f>
        <v>39002</v>
      </c>
      <c r="C16" s="85" t="str">
        <f ca="1">VLOOKUP($B16,OFFSET([2]quests!$A$1,0,0,COUNTA([2]quests!$A:$A),MATCH(C$1,[2]quests!$1:$1,0)-MATCH($B$1,[2]quests!$1:$1,0)+1),MATCH(C$1,[2]quests!$1:$1,0)-MATCH($B$1,[2]quests!$1:$1,0)+1,FALSE)</f>
        <v>黄巾賊の暴走を止めろ</v>
      </c>
      <c r="D16" s="85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89">
        <v>1</v>
      </c>
      <c r="F16" s="85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16" s="85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87">
        <v>0</v>
      </c>
      <c r="I16">
        <v>16</v>
      </c>
      <c r="J16" s="86" t="s">
        <v>199</v>
      </c>
      <c r="K16" s="95" t="str">
        <f>VLOOKUP(I16,[7]stage_hints!$A:$C,3,FALSE)</f>
        <v>マルチプレイのメリット（その1）</v>
      </c>
      <c r="L16" s="96" t="str">
        <f>VLOOKUP(I16,[7]stage_hints!$A:$D,4,FALSE)</f>
        <v>他のプレイヤーとマルチプレイで遊ぶと_x000D_ポリゴンがもらえます（100人まで）</v>
      </c>
      <c r="M16" s="57" t="s">
        <v>212</v>
      </c>
    </row>
    <row r="17" spans="1:13" x14ac:dyDescent="0.15">
      <c r="A17" s="83" t="s">
        <v>202</v>
      </c>
      <c r="B17" s="84">
        <f>floors!$C$2</f>
        <v>39002</v>
      </c>
      <c r="C17" s="85" t="str">
        <f ca="1">VLOOKUP($B17,OFFSET([2]quests!$A$1,0,0,COUNTA([2]quests!$A:$A),MATCH(C$1,[2]quests!$1:$1,0)-MATCH($B$1,[2]quests!$1:$1,0)+1),MATCH(C$1,[2]quests!$1:$1,0)-MATCH($B$1,[2]quests!$1:$1,0)+1,FALSE)</f>
        <v>黄巾賊の暴走を止めろ</v>
      </c>
      <c r="D17" s="85" t="str">
        <f ca="1">VLOOKUP($B17,OFFSET([2]quests!$A$1,0,0,COUNTA([2]quests!$A:$A),MATCH(D$1,[2]quests!$1:$1,0)-MATCH($B$1,[2]quests!$1:$1,0)+1),MATCH(D$1,[2]quests!$1:$1,0)-MATCH($B$1,[2]quests!$1:$1,0)+1,FALSE)</f>
        <v>コラボクエスト</v>
      </c>
      <c r="E17" s="89">
        <v>1</v>
      </c>
      <c r="F17" s="85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17" s="85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</v>
      </c>
      <c r="H17" s="87">
        <v>0</v>
      </c>
      <c r="I17">
        <v>17</v>
      </c>
      <c r="J17" s="86" t="s">
        <v>199</v>
      </c>
      <c r="K17" s="95" t="str">
        <f>VLOOKUP(I17,[7]stage_hints!$A:$C,3,FALSE)</f>
        <v>リンクガチャ</v>
      </c>
      <c r="L17" s="96" t="str">
        <f>VLOOKUP(I17,[7]stage_hints!$A:$D,4,FALSE)</f>
        <v>無料のリンクガチャを回して_x000D_経験値素材や売却素材を獲得しましょう</v>
      </c>
      <c r="M17" s="57" t="s">
        <v>212</v>
      </c>
    </row>
    <row r="18" spans="1:13" x14ac:dyDescent="0.15">
      <c r="A18" s="83" t="s">
        <v>202</v>
      </c>
      <c r="B18" s="84">
        <f>floors!$C$2</f>
        <v>39002</v>
      </c>
      <c r="C18" s="85" t="str">
        <f ca="1">VLOOKUP($B18,OFFSET([2]quests!$A$1,0,0,COUNTA([2]quests!$A:$A),MATCH(C$1,[2]quests!$1:$1,0)-MATCH($B$1,[2]quests!$1:$1,0)+1),MATCH(C$1,[2]quests!$1:$1,0)-MATCH($B$1,[2]quests!$1:$1,0)+1,FALSE)</f>
        <v>黄巾賊の暴走を止めろ</v>
      </c>
      <c r="D18" s="85" t="str">
        <f ca="1">VLOOKUP($B18,OFFSET([2]quests!$A$1,0,0,COUNTA([2]quests!$A:$A),MATCH(D$1,[2]quests!$1:$1,0)-MATCH($B$1,[2]quests!$1:$1,0)+1),MATCH(D$1,[2]quests!$1:$1,0)-MATCH($B$1,[2]quests!$1:$1,0)+1,FALSE)</f>
        <v>コラボクエスト</v>
      </c>
      <c r="E18" s="89">
        <v>1</v>
      </c>
      <c r="F18" s="85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18" s="85" t="str">
        <f ca="1">VLOOKUP($B18&amp;"_"&amp;$E18,OFFSET([2]stages!$A$1,0,0,COUNTA([2]stages!$A:$A),MATCH(G$1,[2]stages!$2:$2,0)-MATCH("temp_stage",[2]stages!$2:$2,0)+1),MATCH(G$1,[2]stages!$2:$2,0)-MATCH("temp_stage",[2]stages!$2:$2,0)+1,FALSE)</f>
        <v>コラボクエスト</v>
      </c>
      <c r="H18" s="87">
        <v>0</v>
      </c>
      <c r="I18">
        <v>18</v>
      </c>
      <c r="J18" s="86" t="s">
        <v>199</v>
      </c>
      <c r="K18" s="95" t="str">
        <f>VLOOKUP(I18,[7]stage_hints!$A:$C,3,FALSE)</f>
        <v>マルチプレイのメリット（その2）</v>
      </c>
      <c r="L18" s="96" t="str">
        <f>VLOOKUP(I18,[7]stage_hints!$A:$D,4,FALSE)</f>
        <v>マルチプレイならリンクが2倍もらえます_x000D_リンクガチャをたくさん回しましょう</v>
      </c>
      <c r="M18" s="57" t="s">
        <v>212</v>
      </c>
    </row>
    <row r="19" spans="1:13" x14ac:dyDescent="0.15">
      <c r="A19" s="83" t="s">
        <v>202</v>
      </c>
      <c r="B19" s="84">
        <f>floors!$C$2</f>
        <v>39002</v>
      </c>
      <c r="C19" s="85" t="str">
        <f ca="1">VLOOKUP($B19,OFFSET([2]quests!$A$1,0,0,COUNTA([2]quests!$A:$A),MATCH(C$1,[2]quests!$1:$1,0)-MATCH($B$1,[2]quests!$1:$1,0)+1),MATCH(C$1,[2]quests!$1:$1,0)-MATCH($B$1,[2]quests!$1:$1,0)+1,FALSE)</f>
        <v>黄巾賊の暴走を止めろ</v>
      </c>
      <c r="D19" s="85" t="str">
        <f ca="1">VLOOKUP($B19,OFFSET([2]quests!$A$1,0,0,COUNTA([2]quests!$A:$A),MATCH(D$1,[2]quests!$1:$1,0)-MATCH($B$1,[2]quests!$1:$1,0)+1),MATCH(D$1,[2]quests!$1:$1,0)-MATCH($B$1,[2]quests!$1:$1,0)+1,FALSE)</f>
        <v>コラボクエスト</v>
      </c>
      <c r="E19" s="89">
        <v>1</v>
      </c>
      <c r="F19" s="85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19" s="85" t="str">
        <f ca="1">VLOOKUP($B19&amp;"_"&amp;$E19,OFFSET([2]stages!$A$1,0,0,COUNTA([2]stages!$A:$A),MATCH(G$1,[2]stages!$2:$2,0)-MATCH("temp_stage",[2]stages!$2:$2,0)+1),MATCH(G$1,[2]stages!$2:$2,0)-MATCH("temp_stage",[2]stages!$2:$2,0)+1,FALSE)</f>
        <v>コラボクエスト</v>
      </c>
      <c r="H19" s="87">
        <v>0</v>
      </c>
      <c r="I19">
        <v>19</v>
      </c>
      <c r="J19" s="86" t="s">
        <v>199</v>
      </c>
      <c r="K19" s="95" t="str">
        <f>VLOOKUP(I19,[7]stage_hints!$A:$C,3,FALSE)</f>
        <v>ソロ専用チャレンジタワー</v>
      </c>
      <c r="L19" s="96" t="str">
        <f>VLOOKUP(I19,[7]stage_hints!$A:$D,4,FALSE)</f>
        <v>ソロ専用の「チャレンジタワー」では_x000D_各フロアごとにクリア報酬がもらえます</v>
      </c>
      <c r="M19" s="57" t="s">
        <v>212</v>
      </c>
    </row>
    <row r="20" spans="1:13" x14ac:dyDescent="0.15">
      <c r="A20" s="83" t="s">
        <v>202</v>
      </c>
      <c r="B20" s="84">
        <f>floors!$C$2</f>
        <v>39002</v>
      </c>
      <c r="C20" s="85" t="str">
        <f ca="1">VLOOKUP($B20,OFFSET([2]quests!$A$1,0,0,COUNTA([2]quests!$A:$A),MATCH(C$1,[2]quests!$1:$1,0)-MATCH($B$1,[2]quests!$1:$1,0)+1),MATCH(C$1,[2]quests!$1:$1,0)-MATCH($B$1,[2]quests!$1:$1,0)+1,FALSE)</f>
        <v>黄巾賊の暴走を止めろ</v>
      </c>
      <c r="D20" s="85" t="str">
        <f ca="1">VLOOKUP($B20,OFFSET([2]quests!$A$1,0,0,COUNTA([2]quests!$A:$A),MATCH(D$1,[2]quests!$1:$1,0)-MATCH($B$1,[2]quests!$1:$1,0)+1),MATCH(D$1,[2]quests!$1:$1,0)-MATCH($B$1,[2]quests!$1:$1,0)+1,FALSE)</f>
        <v>コラボクエスト</v>
      </c>
      <c r="E20" s="89">
        <v>1</v>
      </c>
      <c r="F20" s="85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20" s="85" t="str">
        <f ca="1">VLOOKUP($B20&amp;"_"&amp;$E20,OFFSET([2]stages!$A$1,0,0,COUNTA([2]stages!$A:$A),MATCH(G$1,[2]stages!$2:$2,0)-MATCH("temp_stage",[2]stages!$2:$2,0)+1),MATCH(G$1,[2]stages!$2:$2,0)-MATCH("temp_stage",[2]stages!$2:$2,0)+1,FALSE)</f>
        <v>コラボクエスト</v>
      </c>
      <c r="H20" s="87">
        <v>0</v>
      </c>
      <c r="I20">
        <v>20</v>
      </c>
      <c r="J20" s="86" t="s">
        <v>199</v>
      </c>
      <c r="K20" s="95" t="str">
        <f>VLOOKUP(I20,[7]stage_hints!$A:$C,3,FALSE)</f>
        <v>マルチプレイのメリット（その3）</v>
      </c>
      <c r="L20" s="96" t="str">
        <f>VLOOKUP(I20,[7]stage_hints!$A:$D,4,FALSE)</f>
        <v>マルチプレイへの参加はエナジー消費ゼロ_x000D_いつでも好きなだけ遊ぶことができます</v>
      </c>
      <c r="M20" s="57" t="s">
        <v>212</v>
      </c>
    </row>
    <row r="21" spans="1:13" x14ac:dyDescent="0.15">
      <c r="A21" s="83" t="s">
        <v>202</v>
      </c>
      <c r="B21" s="84">
        <f>floors!$C$2</f>
        <v>39002</v>
      </c>
      <c r="C21" s="85" t="str">
        <f ca="1">VLOOKUP($B21,OFFSET([2]quests!$A$1,0,0,COUNTA([2]quests!$A:$A),MATCH(C$1,[2]quests!$1:$1,0)-MATCH($B$1,[2]quests!$1:$1,0)+1),MATCH(C$1,[2]quests!$1:$1,0)-MATCH($B$1,[2]quests!$1:$1,0)+1,FALSE)</f>
        <v>黄巾賊の暴走を止めろ</v>
      </c>
      <c r="D21" s="85" t="str">
        <f ca="1">VLOOKUP($B21,OFFSET([2]quests!$A$1,0,0,COUNTA([2]quests!$A:$A),MATCH(D$1,[2]quests!$1:$1,0)-MATCH($B$1,[2]quests!$1:$1,0)+1),MATCH(D$1,[2]quests!$1:$1,0)-MATCH($B$1,[2]quests!$1:$1,0)+1,FALSE)</f>
        <v>コラボクエスト</v>
      </c>
      <c r="E21" s="89">
        <v>1</v>
      </c>
      <c r="F21" s="85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21" s="85" t="str">
        <f ca="1">VLOOKUP($B21&amp;"_"&amp;$E21,OFFSET([2]stages!$A$1,0,0,COUNTA([2]stages!$A:$A),MATCH(G$1,[2]stages!$2:$2,0)-MATCH("temp_stage",[2]stages!$2:$2,0)+1),MATCH(G$1,[2]stages!$2:$2,0)-MATCH("temp_stage",[2]stages!$2:$2,0)+1,FALSE)</f>
        <v>コラボクエスト</v>
      </c>
      <c r="H21" s="87">
        <v>0</v>
      </c>
      <c r="I21">
        <v>21</v>
      </c>
      <c r="J21" s="86" t="s">
        <v>199</v>
      </c>
      <c r="K21" s="95" t="str">
        <f>VLOOKUP(I21,[7]stage_hints!$A:$C,3,FALSE)</f>
        <v>スキルを有効に</v>
      </c>
      <c r="L21" s="96" t="str">
        <f>VLOOKUP(I21,[7]stage_hints!$A:$D,4,FALSE)</f>
        <v>ターン経過でユニットのスキルが使えます_x000D_強力スキルでバトルを有利に進めましょう</v>
      </c>
      <c r="M21" s="57" t="s">
        <v>212</v>
      </c>
    </row>
    <row r="22" spans="1:13" x14ac:dyDescent="0.15">
      <c r="A22" s="83" t="s">
        <v>202</v>
      </c>
      <c r="B22" s="84">
        <f>floors!$C$2</f>
        <v>39002</v>
      </c>
      <c r="C22" s="85" t="str">
        <f ca="1">VLOOKUP($B22,OFFSET([2]quests!$A$1,0,0,COUNTA([2]quests!$A:$A),MATCH(C$1,[2]quests!$1:$1,0)-MATCH($B$1,[2]quests!$1:$1,0)+1),MATCH(C$1,[2]quests!$1:$1,0)-MATCH($B$1,[2]quests!$1:$1,0)+1,FALSE)</f>
        <v>黄巾賊の暴走を止めろ</v>
      </c>
      <c r="D22" s="85" t="str">
        <f ca="1">VLOOKUP($B22,OFFSET([2]quests!$A$1,0,0,COUNTA([2]quests!$A:$A),MATCH(D$1,[2]quests!$1:$1,0)-MATCH($B$1,[2]quests!$1:$1,0)+1),MATCH(D$1,[2]quests!$1:$1,0)-MATCH($B$1,[2]quests!$1:$1,0)+1,FALSE)</f>
        <v>コラボクエスト</v>
      </c>
      <c r="E22" s="89">
        <v>1</v>
      </c>
      <c r="F22" s="85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22" s="85" t="str">
        <f ca="1">VLOOKUP($B22&amp;"_"&amp;$E22,OFFSET([2]stages!$A$1,0,0,COUNTA([2]stages!$A:$A),MATCH(G$1,[2]stages!$2:$2,0)-MATCH("temp_stage",[2]stages!$2:$2,0)+1),MATCH(G$1,[2]stages!$2:$2,0)-MATCH("temp_stage",[2]stages!$2:$2,0)+1,FALSE)</f>
        <v>コラボクエスト</v>
      </c>
      <c r="H22" s="87">
        <v>0</v>
      </c>
      <c r="I22">
        <v>22</v>
      </c>
      <c r="J22" s="86" t="s">
        <v>199</v>
      </c>
      <c r="K22" s="95" t="str">
        <f>VLOOKUP(I22,[7]stage_hints!$A:$C,3,FALSE)</f>
        <v>フィーバーで一発逆転（その1）</v>
      </c>
      <c r="L22" s="96" t="str">
        <f>VLOOKUP(I22,[7]stage_hints!$A:$D,4,FALSE)</f>
        <v>フィーバーは攻撃と回復を兼ね備えます_x000D_ピンチからの一発逆転を狙いましょう</v>
      </c>
      <c r="M22" s="57" t="s">
        <v>212</v>
      </c>
    </row>
    <row r="23" spans="1:13" x14ac:dyDescent="0.15">
      <c r="A23" s="83" t="s">
        <v>202</v>
      </c>
      <c r="B23" s="84">
        <f>floors!$C$2</f>
        <v>39002</v>
      </c>
      <c r="C23" s="85" t="str">
        <f ca="1">VLOOKUP($B23,OFFSET([2]quests!$A$1,0,0,COUNTA([2]quests!$A:$A),MATCH(C$1,[2]quests!$1:$1,0)-MATCH($B$1,[2]quests!$1:$1,0)+1),MATCH(C$1,[2]quests!$1:$1,0)-MATCH($B$1,[2]quests!$1:$1,0)+1,FALSE)</f>
        <v>黄巾賊の暴走を止めろ</v>
      </c>
      <c r="D23" s="85" t="str">
        <f ca="1">VLOOKUP($B23,OFFSET([2]quests!$A$1,0,0,COUNTA([2]quests!$A:$A),MATCH(D$1,[2]quests!$1:$1,0)-MATCH($B$1,[2]quests!$1:$1,0)+1),MATCH(D$1,[2]quests!$1:$1,0)-MATCH($B$1,[2]quests!$1:$1,0)+1,FALSE)</f>
        <v>コラボクエスト</v>
      </c>
      <c r="E23" s="89">
        <v>1</v>
      </c>
      <c r="F23" s="85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23" s="85" t="str">
        <f ca="1">VLOOKUP($B23&amp;"_"&amp;$E23,OFFSET([2]stages!$A$1,0,0,COUNTA([2]stages!$A:$A),MATCH(G$1,[2]stages!$2:$2,0)-MATCH("temp_stage",[2]stages!$2:$2,0)+1),MATCH(G$1,[2]stages!$2:$2,0)-MATCH("temp_stage",[2]stages!$2:$2,0)+1,FALSE)</f>
        <v>コラボクエスト</v>
      </c>
      <c r="H23" s="87">
        <v>0</v>
      </c>
      <c r="I23">
        <v>23</v>
      </c>
      <c r="J23" s="86" t="s">
        <v>199</v>
      </c>
      <c r="K23" s="95" t="str">
        <f>VLOOKUP(I23,[7]stage_hints!$A:$C,3,FALSE)</f>
        <v>フィーバーで一発逆転（その2）</v>
      </c>
      <c r="L23" s="96" t="str">
        <f>VLOOKUP(I23,[7]stage_hints!$A:$D,4,FALSE)</f>
        <v>フィーバー中は虹色のボムパネルを狙って_x000D_画面上のパネルを一気に破壊しましょう</v>
      </c>
      <c r="M23" s="57" t="s">
        <v>212</v>
      </c>
    </row>
    <row r="24" spans="1:13" x14ac:dyDescent="0.15">
      <c r="A24" s="83" t="s">
        <v>202</v>
      </c>
      <c r="B24" s="84">
        <f>floors!$C$2</f>
        <v>39002</v>
      </c>
      <c r="C24" s="85" t="str">
        <f ca="1">VLOOKUP($B24,OFFSET([2]quests!$A$1,0,0,COUNTA([2]quests!$A:$A),MATCH(C$1,[2]quests!$1:$1,0)-MATCH($B$1,[2]quests!$1:$1,0)+1),MATCH(C$1,[2]quests!$1:$1,0)-MATCH($B$1,[2]quests!$1:$1,0)+1,FALSE)</f>
        <v>黄巾賊の暴走を止めろ</v>
      </c>
      <c r="D24" s="85" t="str">
        <f ca="1">VLOOKUP($B24,OFFSET([2]quests!$A$1,0,0,COUNTA([2]quests!$A:$A),MATCH(D$1,[2]quests!$1:$1,0)-MATCH($B$1,[2]quests!$1:$1,0)+1),MATCH(D$1,[2]quests!$1:$1,0)-MATCH($B$1,[2]quests!$1:$1,0)+1,FALSE)</f>
        <v>コラボクエスト</v>
      </c>
      <c r="E24" s="89">
        <v>1</v>
      </c>
      <c r="F24" s="85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24" s="85" t="str">
        <f ca="1">VLOOKUP($B24&amp;"_"&amp;$E24,OFFSET([2]stages!$A$1,0,0,COUNTA([2]stages!$A:$A),MATCH(G$1,[2]stages!$2:$2,0)-MATCH("temp_stage",[2]stages!$2:$2,0)+1),MATCH(G$1,[2]stages!$2:$2,0)-MATCH("temp_stage",[2]stages!$2:$2,0)+1,FALSE)</f>
        <v>コラボクエスト</v>
      </c>
      <c r="H24" s="87">
        <v>0</v>
      </c>
      <c r="I24">
        <v>24</v>
      </c>
      <c r="J24" s="86" t="s">
        <v>199</v>
      </c>
      <c r="K24" s="95" t="str">
        <f>VLOOKUP(I24,[7]stage_hints!$A:$C,3,FALSE)</f>
        <v>りんごを使って限界突破</v>
      </c>
      <c r="L24" s="96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212</v>
      </c>
    </row>
    <row r="25" spans="1:13" x14ac:dyDescent="0.15">
      <c r="A25" s="83" t="s">
        <v>202</v>
      </c>
      <c r="B25" s="84">
        <f>floors!$C$2</f>
        <v>39002</v>
      </c>
      <c r="C25" s="85" t="str">
        <f ca="1">VLOOKUP($B25,OFFSET([2]quests!$A$1,0,0,COUNTA([2]quests!$A:$A),MATCH(C$1,[2]quests!$1:$1,0)-MATCH($B$1,[2]quests!$1:$1,0)+1),MATCH(C$1,[2]quests!$1:$1,0)-MATCH($B$1,[2]quests!$1:$1,0)+1,FALSE)</f>
        <v>黄巾賊の暴走を止めろ</v>
      </c>
      <c r="D25" s="85" t="str">
        <f ca="1">VLOOKUP($B25,OFFSET([2]quests!$A$1,0,0,COUNTA([2]quests!$A:$A),MATCH(D$1,[2]quests!$1:$1,0)-MATCH($B$1,[2]quests!$1:$1,0)+1),MATCH(D$1,[2]quests!$1:$1,0)-MATCH($B$1,[2]quests!$1:$1,0)+1,FALSE)</f>
        <v>コラボクエスト</v>
      </c>
      <c r="E25" s="89">
        <v>1</v>
      </c>
      <c r="F25" s="85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25" s="85" t="str">
        <f ca="1">VLOOKUP($B25&amp;"_"&amp;$E25,OFFSET([2]stages!$A$1,0,0,COUNTA([2]stages!$A:$A),MATCH(G$1,[2]stages!$2:$2,0)-MATCH("temp_stage",[2]stages!$2:$2,0)+1),MATCH(G$1,[2]stages!$2:$2,0)-MATCH("temp_stage",[2]stages!$2:$2,0)+1,FALSE)</f>
        <v>コラボクエスト</v>
      </c>
      <c r="H25" s="87">
        <v>0</v>
      </c>
      <c r="I25">
        <v>25</v>
      </c>
      <c r="J25" s="86" t="s">
        <v>199</v>
      </c>
      <c r="K25" s="95" t="str">
        <f>VLOOKUP(I25,[7]stage_hints!$A:$C,3,FALSE)</f>
        <v>スキルレベルアップ</v>
      </c>
      <c r="L25" s="96" t="str">
        <f>VLOOKUP(I25,[7]stage_hints!$A:$D,4,FALSE)</f>
        <v>「クリスタルのりんご」を強化に使うと_x000D_スキルレベルを上げることができます</v>
      </c>
      <c r="M25" s="57" t="s">
        <v>212</v>
      </c>
    </row>
    <row r="26" spans="1:13" x14ac:dyDescent="0.15">
      <c r="A26" s="83" t="s">
        <v>202</v>
      </c>
      <c r="B26" s="84">
        <f>floors!$C$2</f>
        <v>39002</v>
      </c>
      <c r="C26" s="85" t="str">
        <f ca="1">VLOOKUP($B26,OFFSET([2]quests!$A$1,0,0,COUNTA([2]quests!$A:$A),MATCH(C$1,[2]quests!$1:$1,0)-MATCH($B$1,[2]quests!$1:$1,0)+1),MATCH(C$1,[2]quests!$1:$1,0)-MATCH($B$1,[2]quests!$1:$1,0)+1,FALSE)</f>
        <v>黄巾賊の暴走を止めろ</v>
      </c>
      <c r="D26" s="85" t="str">
        <f ca="1">VLOOKUP($B26,OFFSET([2]quests!$A$1,0,0,COUNTA([2]quests!$A:$A),MATCH(D$1,[2]quests!$1:$1,0)-MATCH($B$1,[2]quests!$1:$1,0)+1),MATCH(D$1,[2]quests!$1:$1,0)-MATCH($B$1,[2]quests!$1:$1,0)+1,FALSE)</f>
        <v>コラボクエスト</v>
      </c>
      <c r="E26" s="89">
        <v>1</v>
      </c>
      <c r="F26" s="85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26" s="85" t="str">
        <f ca="1">VLOOKUP($B26&amp;"_"&amp;$E26,OFFSET([2]stages!$A$1,0,0,COUNTA([2]stages!$A:$A),MATCH(G$1,[2]stages!$2:$2,0)-MATCH("temp_stage",[2]stages!$2:$2,0)+1),MATCH(G$1,[2]stages!$2:$2,0)-MATCH("temp_stage",[2]stages!$2:$2,0)+1,FALSE)</f>
        <v>コラボクエスト</v>
      </c>
      <c r="H26" s="87">
        <v>0</v>
      </c>
      <c r="I26">
        <v>26</v>
      </c>
      <c r="J26" s="86" t="s">
        <v>199</v>
      </c>
      <c r="K26" s="95" t="str">
        <f>VLOOKUP(I26,[7]stage_hints!$A:$C,3,FALSE)</f>
        <v>スキルレベルの効果</v>
      </c>
      <c r="L26" s="96" t="str">
        <f>VLOOKUP(I26,[7]stage_hints!$A:$D,4,FALSE)</f>
        <v>スキルレベルが上がると_x000D_短いターンでスキルを使うことができます</v>
      </c>
      <c r="M26" s="57" t="s">
        <v>212</v>
      </c>
    </row>
    <row r="27" spans="1:13" x14ac:dyDescent="0.15">
      <c r="A27" s="83" t="s">
        <v>202</v>
      </c>
      <c r="B27" s="84">
        <f>floors!$C$2</f>
        <v>39002</v>
      </c>
      <c r="C27" s="85" t="str">
        <f ca="1">VLOOKUP($B27,OFFSET([2]quests!$A$1,0,0,COUNTA([2]quests!$A:$A),MATCH(C$1,[2]quests!$1:$1,0)-MATCH($B$1,[2]quests!$1:$1,0)+1),MATCH(C$1,[2]quests!$1:$1,0)-MATCH($B$1,[2]quests!$1:$1,0)+1,FALSE)</f>
        <v>黄巾賊の暴走を止めろ</v>
      </c>
      <c r="D27" s="85" t="str">
        <f ca="1">VLOOKUP($B27,OFFSET([2]quests!$A$1,0,0,COUNTA([2]quests!$A:$A),MATCH(D$1,[2]quests!$1:$1,0)-MATCH($B$1,[2]quests!$1:$1,0)+1),MATCH(D$1,[2]quests!$1:$1,0)-MATCH($B$1,[2]quests!$1:$1,0)+1,FALSE)</f>
        <v>コラボクエスト</v>
      </c>
      <c r="E27" s="89">
        <v>1</v>
      </c>
      <c r="F27" s="85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27" s="85" t="str">
        <f ca="1">VLOOKUP($B27&amp;"_"&amp;$E27,OFFSET([2]stages!$A$1,0,0,COUNTA([2]stages!$A:$A),MATCH(G$1,[2]stages!$2:$2,0)-MATCH("temp_stage",[2]stages!$2:$2,0)+1),MATCH(G$1,[2]stages!$2:$2,0)-MATCH("temp_stage",[2]stages!$2:$2,0)+1,FALSE)</f>
        <v>コラボクエスト</v>
      </c>
      <c r="H27" s="87">
        <v>0</v>
      </c>
      <c r="I27">
        <v>39</v>
      </c>
      <c r="J27" s="86" t="s">
        <v>199</v>
      </c>
      <c r="K27" s="95" t="str">
        <f>VLOOKUP(I27,[7]stage_hints!$A:$C,3,FALSE)</f>
        <v>システム適合者を確認</v>
      </c>
      <c r="L27" s="96" t="str">
        <f>VLOOKUP(I27,[7]stage_hints!$A:$D,4,FALSE)</f>
        <v>ALICEが「アナタ」を呼んでいます</v>
      </c>
      <c r="M27" s="57" t="s">
        <v>212</v>
      </c>
    </row>
    <row r="28" spans="1:13" x14ac:dyDescent="0.15">
      <c r="A28" s="83" t="s">
        <v>202</v>
      </c>
      <c r="B28" s="84">
        <f>floors!$C$2</f>
        <v>39002</v>
      </c>
      <c r="C28" s="85" t="str">
        <f ca="1">VLOOKUP($B28,OFFSET([2]quests!$A$1,0,0,COUNTA([2]quests!$A:$A),MATCH(C$1,[2]quests!$1:$1,0)-MATCH($B$1,[2]quests!$1:$1,0)+1),MATCH(C$1,[2]quests!$1:$1,0)-MATCH($B$1,[2]quests!$1:$1,0)+1,FALSE)</f>
        <v>黄巾賊の暴走を止めろ</v>
      </c>
      <c r="D28" s="85" t="str">
        <f ca="1">VLOOKUP($B28,OFFSET([2]quests!$A$1,0,0,COUNTA([2]quests!$A:$A),MATCH(D$1,[2]quests!$1:$1,0)-MATCH($B$1,[2]quests!$1:$1,0)+1),MATCH(D$1,[2]quests!$1:$1,0)-MATCH($B$1,[2]quests!$1:$1,0)+1,FALSE)</f>
        <v>コラボクエスト</v>
      </c>
      <c r="E28" s="89">
        <v>2</v>
      </c>
      <c r="F28" s="85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28" s="85" t="str">
        <f ca="1">VLOOKUP($B28&amp;"_"&amp;$E28,OFFSET([2]stages!$A$1,0,0,COUNTA([2]stages!$A:$A),MATCH(G$1,[2]stages!$2:$2,0)-MATCH("temp_stage",[2]stages!$2:$2,0)+1),MATCH(G$1,[2]stages!$2:$2,0)-MATCH("temp_stage",[2]stages!$2:$2,0)+1,FALSE)</f>
        <v>コラボクエスト</v>
      </c>
      <c r="H28" s="87">
        <v>0</v>
      </c>
      <c r="I28">
        <v>3</v>
      </c>
      <c r="J28" s="86" t="s">
        <v>199</v>
      </c>
      <c r="K28" s="95" t="str">
        <f>VLOOKUP(I28,[7]stage_hints!$A:$C,3,FALSE)</f>
        <v>ターゲット</v>
      </c>
      <c r="L28" s="96" t="str">
        <f>VLOOKUP(I28,[7]stage_hints!$A:$D,4,FALSE)</f>
        <v>敵ユニットをタップすると_x000D_その敵を狙い撃ちできます</v>
      </c>
      <c r="M28" s="57" t="s">
        <v>212</v>
      </c>
    </row>
    <row r="29" spans="1:13" x14ac:dyDescent="0.15">
      <c r="A29" s="83" t="s">
        <v>202</v>
      </c>
      <c r="B29" s="84">
        <f>floors!$C$2</f>
        <v>39002</v>
      </c>
      <c r="C29" s="85" t="str">
        <f ca="1">VLOOKUP($B29,OFFSET([2]quests!$A$1,0,0,COUNTA([2]quests!$A:$A),MATCH(C$1,[2]quests!$1:$1,0)-MATCH($B$1,[2]quests!$1:$1,0)+1),MATCH(C$1,[2]quests!$1:$1,0)-MATCH($B$1,[2]quests!$1:$1,0)+1,FALSE)</f>
        <v>黄巾賊の暴走を止めろ</v>
      </c>
      <c r="D29" s="85" t="str">
        <f ca="1">VLOOKUP($B29,OFFSET([2]quests!$A$1,0,0,COUNTA([2]quests!$A:$A),MATCH(D$1,[2]quests!$1:$1,0)-MATCH($B$1,[2]quests!$1:$1,0)+1),MATCH(D$1,[2]quests!$1:$1,0)-MATCH($B$1,[2]quests!$1:$1,0)+1,FALSE)</f>
        <v>コラボクエスト</v>
      </c>
      <c r="E29" s="89">
        <v>2</v>
      </c>
      <c r="F29" s="85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29" s="85" t="str">
        <f ca="1">VLOOKUP($B29&amp;"_"&amp;$E29,OFFSET([2]stages!$A$1,0,0,COUNTA([2]stages!$A:$A),MATCH(G$1,[2]stages!$2:$2,0)-MATCH("temp_stage",[2]stages!$2:$2,0)+1),MATCH(G$1,[2]stages!$2:$2,0)-MATCH("temp_stage",[2]stages!$2:$2,0)+1,FALSE)</f>
        <v>コラボクエスト</v>
      </c>
      <c r="H29" s="87">
        <v>0</v>
      </c>
      <c r="I29">
        <v>6</v>
      </c>
      <c r="J29" s="86" t="s">
        <v>199</v>
      </c>
      <c r="K29" s="95" t="str">
        <f>VLOOKUP(I29,[7]stage_hints!$A:$C,3,FALSE)</f>
        <v>ユニット強化の属性ボーナス</v>
      </c>
      <c r="L29" s="96" t="str">
        <f>VLOOKUP(I29,[7]stage_hints!$A:$D,4,FALSE)</f>
        <v>同属性ユニットを強化素材にすると_x000D_経験値が多くもらえます</v>
      </c>
      <c r="M29" s="57" t="s">
        <v>212</v>
      </c>
    </row>
    <row r="30" spans="1:13" x14ac:dyDescent="0.15">
      <c r="A30" s="83" t="s">
        <v>202</v>
      </c>
      <c r="B30" s="84">
        <f>floors!$C$2</f>
        <v>39002</v>
      </c>
      <c r="C30" s="85" t="str">
        <f ca="1">VLOOKUP($B30,OFFSET([2]quests!$A$1,0,0,COUNTA([2]quests!$A:$A),MATCH(C$1,[2]quests!$1:$1,0)-MATCH($B$1,[2]quests!$1:$1,0)+1),MATCH(C$1,[2]quests!$1:$1,0)-MATCH($B$1,[2]quests!$1:$1,0)+1,FALSE)</f>
        <v>黄巾賊の暴走を止めろ</v>
      </c>
      <c r="D30" s="85" t="str">
        <f ca="1">VLOOKUP($B30,OFFSET([2]quests!$A$1,0,0,COUNTA([2]quests!$A:$A),MATCH(D$1,[2]quests!$1:$1,0)-MATCH($B$1,[2]quests!$1:$1,0)+1),MATCH(D$1,[2]quests!$1:$1,0)-MATCH($B$1,[2]quests!$1:$1,0)+1,FALSE)</f>
        <v>コラボクエスト</v>
      </c>
      <c r="E30" s="89">
        <v>2</v>
      </c>
      <c r="F30" s="85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30" s="85" t="str">
        <f ca="1">VLOOKUP($B30&amp;"_"&amp;$E30,OFFSET([2]stages!$A$1,0,0,COUNTA([2]stages!$A:$A),MATCH(G$1,[2]stages!$2:$2,0)-MATCH("temp_stage",[2]stages!$2:$2,0)+1),MATCH(G$1,[2]stages!$2:$2,0)-MATCH("temp_stage",[2]stages!$2:$2,0)+1,FALSE)</f>
        <v>コラボクエスト</v>
      </c>
      <c r="H30" s="87">
        <v>0</v>
      </c>
      <c r="I30">
        <v>7</v>
      </c>
      <c r="J30" s="86" t="s">
        <v>199</v>
      </c>
      <c r="K30" s="95" t="str">
        <f>VLOOKUP(I30,[7]stage_hints!$A:$C,3,FALSE)</f>
        <v>メタルダックで経験値を獲得</v>
      </c>
      <c r="L30" s="96" t="str">
        <f>VLOOKUP(I30,[7]stage_hints!$A:$D,4,FALSE)</f>
        <v>「メタルなアヒル」を強化素材にすると_x000D_大量の経験値がもらえます</v>
      </c>
      <c r="M30" s="57" t="s">
        <v>212</v>
      </c>
    </row>
    <row r="31" spans="1:13" x14ac:dyDescent="0.15">
      <c r="A31" s="83" t="s">
        <v>202</v>
      </c>
      <c r="B31" s="84">
        <f>floors!$C$2</f>
        <v>39002</v>
      </c>
      <c r="C31" s="85" t="str">
        <f ca="1">VLOOKUP($B31,OFFSET([2]quests!$A$1,0,0,COUNTA([2]quests!$A:$A),MATCH(C$1,[2]quests!$1:$1,0)-MATCH($B$1,[2]quests!$1:$1,0)+1),MATCH(C$1,[2]quests!$1:$1,0)-MATCH($B$1,[2]quests!$1:$1,0)+1,FALSE)</f>
        <v>黄巾賊の暴走を止めろ</v>
      </c>
      <c r="D31" s="85" t="str">
        <f ca="1">VLOOKUP($B31,OFFSET([2]quests!$A$1,0,0,COUNTA([2]quests!$A:$A),MATCH(D$1,[2]quests!$1:$1,0)-MATCH($B$1,[2]quests!$1:$1,0)+1),MATCH(D$1,[2]quests!$1:$1,0)-MATCH($B$1,[2]quests!$1:$1,0)+1,FALSE)</f>
        <v>コラボクエスト</v>
      </c>
      <c r="E31" s="89">
        <v>2</v>
      </c>
      <c r="F31" s="85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31" s="85" t="str">
        <f ca="1">VLOOKUP($B31&amp;"_"&amp;$E31,OFFSET([2]stages!$A$1,0,0,COUNTA([2]stages!$A:$A),MATCH(G$1,[2]stages!$2:$2,0)-MATCH("temp_stage",[2]stages!$2:$2,0)+1),MATCH(G$1,[2]stages!$2:$2,0)-MATCH("temp_stage",[2]stages!$2:$2,0)+1,FALSE)</f>
        <v>コラボクエスト</v>
      </c>
      <c r="H31" s="87">
        <v>0</v>
      </c>
      <c r="I31">
        <v>8</v>
      </c>
      <c r="J31" s="86" t="s">
        <v>199</v>
      </c>
      <c r="K31" s="95" t="str">
        <f>VLOOKUP(I31,[7]stage_hints!$A:$C,3,FALSE)</f>
        <v>ゲリラクエストは要チェック</v>
      </c>
      <c r="L31" s="96" t="str">
        <f>VLOOKUP(I31,[7]stage_hints!$A:$D,4,FALSE)</f>
        <v>時間限定の「アヒル捕獲作戦」では_x000D_経験値素材ユニットが多く手に入ります</v>
      </c>
      <c r="M31" s="57" t="s">
        <v>212</v>
      </c>
    </row>
    <row r="32" spans="1:13" x14ac:dyDescent="0.15">
      <c r="A32" s="83" t="s">
        <v>202</v>
      </c>
      <c r="B32" s="84">
        <f>floors!$C$2</f>
        <v>39002</v>
      </c>
      <c r="C32" s="85" t="str">
        <f ca="1">VLOOKUP($B32,OFFSET([2]quests!$A$1,0,0,COUNTA([2]quests!$A:$A),MATCH(C$1,[2]quests!$1:$1,0)-MATCH($B$1,[2]quests!$1:$1,0)+1),MATCH(C$1,[2]quests!$1:$1,0)-MATCH($B$1,[2]quests!$1:$1,0)+1,FALSE)</f>
        <v>黄巾賊の暴走を止めろ</v>
      </c>
      <c r="D32" s="85" t="str">
        <f ca="1">VLOOKUP($B32,OFFSET([2]quests!$A$1,0,0,COUNTA([2]quests!$A:$A),MATCH(D$1,[2]quests!$1:$1,0)-MATCH($B$1,[2]quests!$1:$1,0)+1),MATCH(D$1,[2]quests!$1:$1,0)-MATCH($B$1,[2]quests!$1:$1,0)+1,FALSE)</f>
        <v>コラボクエスト</v>
      </c>
      <c r="E32" s="89">
        <v>2</v>
      </c>
      <c r="F32" s="85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32" s="85" t="str">
        <f ca="1">VLOOKUP($B32&amp;"_"&amp;$E32,OFFSET([2]stages!$A$1,0,0,COUNTA([2]stages!$A:$A),MATCH(G$1,[2]stages!$2:$2,0)-MATCH("temp_stage",[2]stages!$2:$2,0)+1),MATCH(G$1,[2]stages!$2:$2,0)-MATCH("temp_stage",[2]stages!$2:$2,0)+1,FALSE)</f>
        <v>コラボクエスト</v>
      </c>
      <c r="H32" s="87">
        <v>0</v>
      </c>
      <c r="I32">
        <v>9</v>
      </c>
      <c r="J32" s="86" t="s">
        <v>199</v>
      </c>
      <c r="K32" s="95" t="str">
        <f>VLOOKUP(I32,[7]stage_hints!$A:$C,3,FALSE)</f>
        <v>ゴールドダックでビットを獲得</v>
      </c>
      <c r="L32" s="96" t="str">
        <f>VLOOKUP(I32,[7]stage_hints!$A:$D,4,FALSE)</f>
        <v>「ゴールドなアヒル」を売却すると_x000D_大量のビットがもらえます</v>
      </c>
      <c r="M32" s="57" t="s">
        <v>212</v>
      </c>
    </row>
    <row r="33" spans="1:13" x14ac:dyDescent="0.15">
      <c r="A33" s="83" t="s">
        <v>202</v>
      </c>
      <c r="B33" s="84">
        <f>floors!$C$2</f>
        <v>39002</v>
      </c>
      <c r="C33" s="85" t="str">
        <f ca="1">VLOOKUP($B33,OFFSET([2]quests!$A$1,0,0,COUNTA([2]quests!$A:$A),MATCH(C$1,[2]quests!$1:$1,0)-MATCH($B$1,[2]quests!$1:$1,0)+1),MATCH(C$1,[2]quests!$1:$1,0)-MATCH($B$1,[2]quests!$1:$1,0)+1,FALSE)</f>
        <v>黄巾賊の暴走を止めろ</v>
      </c>
      <c r="D33" s="85" t="str">
        <f ca="1">VLOOKUP($B33,OFFSET([2]quests!$A$1,0,0,COUNTA([2]quests!$A:$A),MATCH(D$1,[2]quests!$1:$1,0)-MATCH($B$1,[2]quests!$1:$1,0)+1),MATCH(D$1,[2]quests!$1:$1,0)-MATCH($B$1,[2]quests!$1:$1,0)+1,FALSE)</f>
        <v>コラボクエスト</v>
      </c>
      <c r="E33" s="89">
        <v>2</v>
      </c>
      <c r="F33" s="85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33" s="85" t="str">
        <f ca="1">VLOOKUP($B33&amp;"_"&amp;$E33,OFFSET([2]stages!$A$1,0,0,COUNTA([2]stages!$A:$A),MATCH(G$1,[2]stages!$2:$2,0)-MATCH("temp_stage",[2]stages!$2:$2,0)+1),MATCH(G$1,[2]stages!$2:$2,0)-MATCH("temp_stage",[2]stages!$2:$2,0)+1,FALSE)</f>
        <v>コラボクエスト</v>
      </c>
      <c r="H33" s="87">
        <v>0</v>
      </c>
      <c r="I33">
        <v>10</v>
      </c>
      <c r="J33" s="86" t="s">
        <v>199</v>
      </c>
      <c r="K33" s="95" t="str">
        <f>VLOOKUP(I33,[7]stage_hints!$A:$C,3,FALSE)</f>
        <v>土日に大量のビットを獲得</v>
      </c>
      <c r="L33" s="96" t="str">
        <f>VLOOKUP(I33,[7]stage_hints!$A:$D,4,FALSE)</f>
        <v>土日限定の「ゴールドカジノ」では_x000D_売却素材ユニットが多く手に入ります</v>
      </c>
      <c r="M33" s="57" t="s">
        <v>212</v>
      </c>
    </row>
    <row r="34" spans="1:13" x14ac:dyDescent="0.15">
      <c r="A34" s="83" t="s">
        <v>202</v>
      </c>
      <c r="B34" s="84">
        <f>floors!$C$2</f>
        <v>39002</v>
      </c>
      <c r="C34" s="85" t="str">
        <f ca="1">VLOOKUP($B34,OFFSET([2]quests!$A$1,0,0,COUNTA([2]quests!$A:$A),MATCH(C$1,[2]quests!$1:$1,0)-MATCH($B$1,[2]quests!$1:$1,0)+1),MATCH(C$1,[2]quests!$1:$1,0)-MATCH($B$1,[2]quests!$1:$1,0)+1,FALSE)</f>
        <v>黄巾賊の暴走を止めろ</v>
      </c>
      <c r="D34" s="85" t="str">
        <f ca="1">VLOOKUP($B34,OFFSET([2]quests!$A$1,0,0,COUNTA([2]quests!$A:$A),MATCH(D$1,[2]quests!$1:$1,0)-MATCH($B$1,[2]quests!$1:$1,0)+1),MATCH(D$1,[2]quests!$1:$1,0)-MATCH($B$1,[2]quests!$1:$1,0)+1,FALSE)</f>
        <v>コラボクエスト</v>
      </c>
      <c r="E34" s="89">
        <v>2</v>
      </c>
      <c r="F34" s="85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34" s="85" t="str">
        <f ca="1">VLOOKUP($B34&amp;"_"&amp;$E34,OFFSET([2]stages!$A$1,0,0,COUNTA([2]stages!$A:$A),MATCH(G$1,[2]stages!$2:$2,0)-MATCH("temp_stage",[2]stages!$2:$2,0)+1),MATCH(G$1,[2]stages!$2:$2,0)-MATCH("temp_stage",[2]stages!$2:$2,0)+1,FALSE)</f>
        <v>コラボクエスト</v>
      </c>
      <c r="H34" s="87">
        <v>0</v>
      </c>
      <c r="I34">
        <v>11</v>
      </c>
      <c r="J34" s="86" t="s">
        <v>199</v>
      </c>
      <c r="K34" s="95" t="str">
        <f>VLOOKUP(I34,[7]stage_hints!$A:$C,3,FALSE)</f>
        <v>ランク解放クエスト</v>
      </c>
      <c r="L34" s="96" t="str">
        <f>VLOOKUP(I34,[7]stage_hints!$A:$D,4,FALSE)</f>
        <v>一定ランクに到達すると_x000D_報酬付きのランク開放クエストが現れます</v>
      </c>
      <c r="M34" s="57" t="s">
        <v>212</v>
      </c>
    </row>
    <row r="35" spans="1:13" x14ac:dyDescent="0.15">
      <c r="A35" s="83" t="s">
        <v>202</v>
      </c>
      <c r="B35" s="84">
        <f>floors!$C$2</f>
        <v>39002</v>
      </c>
      <c r="C35" s="85" t="str">
        <f ca="1">VLOOKUP($B35,OFFSET([2]quests!$A$1,0,0,COUNTA([2]quests!$A:$A),MATCH(C$1,[2]quests!$1:$1,0)-MATCH($B$1,[2]quests!$1:$1,0)+1),MATCH(C$1,[2]quests!$1:$1,0)-MATCH($B$1,[2]quests!$1:$1,0)+1,FALSE)</f>
        <v>黄巾賊の暴走を止めろ</v>
      </c>
      <c r="D35" s="85" t="str">
        <f ca="1">VLOOKUP($B35,OFFSET([2]quests!$A$1,0,0,COUNTA([2]quests!$A:$A),MATCH(D$1,[2]quests!$1:$1,0)-MATCH($B$1,[2]quests!$1:$1,0)+1),MATCH(D$1,[2]quests!$1:$1,0)-MATCH($B$1,[2]quests!$1:$1,0)+1,FALSE)</f>
        <v>コラボクエスト</v>
      </c>
      <c r="E35" s="89">
        <v>2</v>
      </c>
      <c r="F35" s="85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35" s="85" t="str">
        <f ca="1">VLOOKUP($B35&amp;"_"&amp;$E35,OFFSET([2]stages!$A$1,0,0,COUNTA([2]stages!$A:$A),MATCH(G$1,[2]stages!$2:$2,0)-MATCH("temp_stage",[2]stages!$2:$2,0)+1),MATCH(G$1,[2]stages!$2:$2,0)-MATCH("temp_stage",[2]stages!$2:$2,0)+1,FALSE)</f>
        <v>コラボクエスト</v>
      </c>
      <c r="H35" s="87">
        <v>0</v>
      </c>
      <c r="I35">
        <v>12</v>
      </c>
      <c r="J35" s="86" t="s">
        <v>199</v>
      </c>
      <c r="K35" s="95" t="str">
        <f>VLOOKUP(I35,[7]stage_hints!$A:$C,3,FALSE)</f>
        <v>ユニットのお気に入り登録</v>
      </c>
      <c r="L35" s="96" t="str">
        <f>VLOOKUP(I35,[7]stage_hints!$A:$D,4,FALSE)</f>
        <v>大事なユニットを誤って消さないように_x000D_フォルダから「お気に入り登録」しましょう</v>
      </c>
      <c r="M35" s="57" t="s">
        <v>212</v>
      </c>
    </row>
    <row r="36" spans="1:13" x14ac:dyDescent="0.15">
      <c r="A36" s="83" t="s">
        <v>202</v>
      </c>
      <c r="B36" s="84">
        <f>floors!$C$2</f>
        <v>39002</v>
      </c>
      <c r="C36" s="85" t="str">
        <f ca="1">VLOOKUP($B36,OFFSET([2]quests!$A$1,0,0,COUNTA([2]quests!$A:$A),MATCH(C$1,[2]quests!$1:$1,0)-MATCH($B$1,[2]quests!$1:$1,0)+1),MATCH(C$1,[2]quests!$1:$1,0)-MATCH($B$1,[2]quests!$1:$1,0)+1,FALSE)</f>
        <v>黄巾賊の暴走を止めろ</v>
      </c>
      <c r="D36" s="85" t="str">
        <f ca="1">VLOOKUP($B36,OFFSET([2]quests!$A$1,0,0,COUNTA([2]quests!$A:$A),MATCH(D$1,[2]quests!$1:$1,0)-MATCH($B$1,[2]quests!$1:$1,0)+1),MATCH(D$1,[2]quests!$1:$1,0)-MATCH($B$1,[2]quests!$1:$1,0)+1,FALSE)</f>
        <v>コラボクエスト</v>
      </c>
      <c r="E36" s="89">
        <v>2</v>
      </c>
      <c r="F36" s="85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36" s="85" t="str">
        <f ca="1">VLOOKUP($B36&amp;"_"&amp;$E36,OFFSET([2]stages!$A$1,0,0,COUNTA([2]stages!$A:$A),MATCH(G$1,[2]stages!$2:$2,0)-MATCH("temp_stage",[2]stages!$2:$2,0)+1),MATCH(G$1,[2]stages!$2:$2,0)-MATCH("temp_stage",[2]stages!$2:$2,0)+1,FALSE)</f>
        <v>コラボクエスト</v>
      </c>
      <c r="H36" s="87">
        <v>0</v>
      </c>
      <c r="I36">
        <v>13</v>
      </c>
      <c r="J36" s="86" t="s">
        <v>199</v>
      </c>
      <c r="K36" s="95" t="str">
        <f>VLOOKUP(I36,[7]stage_hints!$A:$C,3,FALSE)</f>
        <v>ユニットの覚醒</v>
      </c>
      <c r="L36" s="96" t="str">
        <f>VLOOKUP(I36,[7]stage_hints!$A:$D,4,FALSE)</f>
        <v>ユニットを覚醒させると_x000D_比べものにならない強さが手に入ります</v>
      </c>
      <c r="M36" s="57" t="s">
        <v>212</v>
      </c>
    </row>
    <row r="37" spans="1:13" x14ac:dyDescent="0.15">
      <c r="A37" s="83" t="s">
        <v>202</v>
      </c>
      <c r="B37" s="84">
        <f>floors!$C$2</f>
        <v>39002</v>
      </c>
      <c r="C37" s="85" t="str">
        <f ca="1">VLOOKUP($B37,OFFSET([2]quests!$A$1,0,0,COUNTA([2]quests!$A:$A),MATCH(C$1,[2]quests!$1:$1,0)-MATCH($B$1,[2]quests!$1:$1,0)+1),MATCH(C$1,[2]quests!$1:$1,0)-MATCH($B$1,[2]quests!$1:$1,0)+1,FALSE)</f>
        <v>黄巾賊の暴走を止めろ</v>
      </c>
      <c r="D37" s="85" t="str">
        <f ca="1">VLOOKUP($B37,OFFSET([2]quests!$A$1,0,0,COUNTA([2]quests!$A:$A),MATCH(D$1,[2]quests!$1:$1,0)-MATCH($B$1,[2]quests!$1:$1,0)+1),MATCH(D$1,[2]quests!$1:$1,0)-MATCH($B$1,[2]quests!$1:$1,0)+1,FALSE)</f>
        <v>コラボクエスト</v>
      </c>
      <c r="E37" s="89">
        <v>2</v>
      </c>
      <c r="F37" s="85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37" s="85" t="str">
        <f ca="1">VLOOKUP($B37&amp;"_"&amp;$E37,OFFSET([2]stages!$A$1,0,0,COUNTA([2]stages!$A:$A),MATCH(G$1,[2]stages!$2:$2,0)-MATCH("temp_stage",[2]stages!$2:$2,0)+1),MATCH(G$1,[2]stages!$2:$2,0)-MATCH("temp_stage",[2]stages!$2:$2,0)+1,FALSE)</f>
        <v>コラボクエスト</v>
      </c>
      <c r="H37" s="87">
        <v>0</v>
      </c>
      <c r="I37">
        <v>14</v>
      </c>
      <c r="J37" s="86" t="s">
        <v>199</v>
      </c>
      <c r="K37" s="95" t="str">
        <f>VLOOKUP(I37,[7]stage_hints!$A:$C,3,FALSE)</f>
        <v>覚醒するにはレベルを最大に</v>
      </c>
      <c r="L37" s="96" t="str">
        <f>VLOOKUP(I37,[7]stage_hints!$A:$D,4,FALSE)</f>
        <v>覚醒するにはユニットのレベルを_x000D_最大まで上げる必要があります</v>
      </c>
      <c r="M37" s="57" t="s">
        <v>212</v>
      </c>
    </row>
    <row r="38" spans="1:13" x14ac:dyDescent="0.15">
      <c r="A38" s="83" t="s">
        <v>202</v>
      </c>
      <c r="B38" s="84">
        <f>floors!$C$2</f>
        <v>39002</v>
      </c>
      <c r="C38" s="85" t="str">
        <f ca="1">VLOOKUP($B38,OFFSET([2]quests!$A$1,0,0,COUNTA([2]quests!$A:$A),MATCH(C$1,[2]quests!$1:$1,0)-MATCH($B$1,[2]quests!$1:$1,0)+1),MATCH(C$1,[2]quests!$1:$1,0)-MATCH($B$1,[2]quests!$1:$1,0)+1,FALSE)</f>
        <v>黄巾賊の暴走を止めろ</v>
      </c>
      <c r="D38" s="85" t="str">
        <f ca="1">VLOOKUP($B38,OFFSET([2]quests!$A$1,0,0,COUNTA([2]quests!$A:$A),MATCH(D$1,[2]quests!$1:$1,0)-MATCH($B$1,[2]quests!$1:$1,0)+1),MATCH(D$1,[2]quests!$1:$1,0)-MATCH($B$1,[2]quests!$1:$1,0)+1,FALSE)</f>
        <v>コラボクエスト</v>
      </c>
      <c r="E38" s="89">
        <v>2</v>
      </c>
      <c r="F38" s="85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38" s="85" t="str">
        <f ca="1">VLOOKUP($B38&amp;"_"&amp;$E38,OFFSET([2]stages!$A$1,0,0,COUNTA([2]stages!$A:$A),MATCH(G$1,[2]stages!$2:$2,0)-MATCH("temp_stage",[2]stages!$2:$2,0)+1),MATCH(G$1,[2]stages!$2:$2,0)-MATCH("temp_stage",[2]stages!$2:$2,0)+1,FALSE)</f>
        <v>コラボクエスト</v>
      </c>
      <c r="H38" s="87">
        <v>0</v>
      </c>
      <c r="I38">
        <v>15</v>
      </c>
      <c r="J38" s="86" t="s">
        <v>199</v>
      </c>
      <c r="K38" s="95" t="str">
        <f>VLOOKUP(I38,[7]stage_hints!$A:$C,3,FALSE)</f>
        <v>覚醒素材を獲得</v>
      </c>
      <c r="L38" s="96" t="str">
        <f>VLOOKUP(I38,[7]stage_hints!$A:$D,4,FALSE)</f>
        <v>「曜日クエスト」では_x000D_ユニットの覚醒に必要な素材が手に入ります</v>
      </c>
      <c r="M38" s="57" t="s">
        <v>212</v>
      </c>
    </row>
    <row r="39" spans="1:13" x14ac:dyDescent="0.15">
      <c r="A39" s="83" t="s">
        <v>202</v>
      </c>
      <c r="B39" s="84">
        <f>floors!$C$2</f>
        <v>39002</v>
      </c>
      <c r="C39" s="85" t="str">
        <f ca="1">VLOOKUP($B39,OFFSET([2]quests!$A$1,0,0,COUNTA([2]quests!$A:$A),MATCH(C$1,[2]quests!$1:$1,0)-MATCH($B$1,[2]quests!$1:$1,0)+1),MATCH(C$1,[2]quests!$1:$1,0)-MATCH($B$1,[2]quests!$1:$1,0)+1,FALSE)</f>
        <v>黄巾賊の暴走を止めろ</v>
      </c>
      <c r="D39" s="85" t="str">
        <f ca="1">VLOOKUP($B39,OFFSET([2]quests!$A$1,0,0,COUNTA([2]quests!$A:$A),MATCH(D$1,[2]quests!$1:$1,0)-MATCH($B$1,[2]quests!$1:$1,0)+1),MATCH(D$1,[2]quests!$1:$1,0)-MATCH($B$1,[2]quests!$1:$1,0)+1,FALSE)</f>
        <v>コラボクエスト</v>
      </c>
      <c r="E39" s="89">
        <v>2</v>
      </c>
      <c r="F39" s="85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39" s="85" t="str">
        <f ca="1">VLOOKUP($B39&amp;"_"&amp;$E39,OFFSET([2]stages!$A$1,0,0,COUNTA([2]stages!$A:$A),MATCH(G$1,[2]stages!$2:$2,0)-MATCH("temp_stage",[2]stages!$2:$2,0)+1),MATCH(G$1,[2]stages!$2:$2,0)-MATCH("temp_stage",[2]stages!$2:$2,0)+1,FALSE)</f>
        <v>コラボクエスト</v>
      </c>
      <c r="H39" s="87">
        <v>0</v>
      </c>
      <c r="I39">
        <v>16</v>
      </c>
      <c r="J39" s="86" t="s">
        <v>199</v>
      </c>
      <c r="K39" s="95" t="str">
        <f>VLOOKUP(I39,[7]stage_hints!$A:$C,3,FALSE)</f>
        <v>マルチプレイのメリット（その1）</v>
      </c>
      <c r="L39" s="96" t="str">
        <f>VLOOKUP(I39,[7]stage_hints!$A:$D,4,FALSE)</f>
        <v>他のプレイヤーとマルチプレイで遊ぶと_x000D_ポリゴンがもらえます（100人まで）</v>
      </c>
      <c r="M39" s="57" t="s">
        <v>212</v>
      </c>
    </row>
    <row r="40" spans="1:13" x14ac:dyDescent="0.15">
      <c r="A40" s="83" t="s">
        <v>202</v>
      </c>
      <c r="B40" s="84">
        <f>floors!$C$2</f>
        <v>39002</v>
      </c>
      <c r="C40" s="85" t="str">
        <f ca="1">VLOOKUP($B40,OFFSET([2]quests!$A$1,0,0,COUNTA([2]quests!$A:$A),MATCH(C$1,[2]quests!$1:$1,0)-MATCH($B$1,[2]quests!$1:$1,0)+1),MATCH(C$1,[2]quests!$1:$1,0)-MATCH($B$1,[2]quests!$1:$1,0)+1,FALSE)</f>
        <v>黄巾賊の暴走を止めろ</v>
      </c>
      <c r="D40" s="85" t="str">
        <f ca="1">VLOOKUP($B40,OFFSET([2]quests!$A$1,0,0,COUNTA([2]quests!$A:$A),MATCH(D$1,[2]quests!$1:$1,0)-MATCH($B$1,[2]quests!$1:$1,0)+1),MATCH(D$1,[2]quests!$1:$1,0)-MATCH($B$1,[2]quests!$1:$1,0)+1,FALSE)</f>
        <v>コラボクエスト</v>
      </c>
      <c r="E40" s="89">
        <v>2</v>
      </c>
      <c r="F40" s="85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40" s="85" t="str">
        <f ca="1">VLOOKUP($B40&amp;"_"&amp;$E40,OFFSET([2]stages!$A$1,0,0,COUNTA([2]stages!$A:$A),MATCH(G$1,[2]stages!$2:$2,0)-MATCH("temp_stage",[2]stages!$2:$2,0)+1),MATCH(G$1,[2]stages!$2:$2,0)-MATCH("temp_stage",[2]stages!$2:$2,0)+1,FALSE)</f>
        <v>コラボクエスト</v>
      </c>
      <c r="H40" s="87">
        <v>0</v>
      </c>
      <c r="I40">
        <v>17</v>
      </c>
      <c r="J40" s="86" t="s">
        <v>199</v>
      </c>
      <c r="K40" s="95" t="str">
        <f>VLOOKUP(I40,[7]stage_hints!$A:$C,3,FALSE)</f>
        <v>リンクガチャ</v>
      </c>
      <c r="L40" s="96" t="str">
        <f>VLOOKUP(I40,[7]stage_hints!$A:$D,4,FALSE)</f>
        <v>無料のリンクガチャを回して_x000D_経験値素材や売却素材を獲得しましょう</v>
      </c>
      <c r="M40" s="57" t="s">
        <v>212</v>
      </c>
    </row>
    <row r="41" spans="1:13" x14ac:dyDescent="0.15">
      <c r="A41" s="83" t="s">
        <v>202</v>
      </c>
      <c r="B41" s="84">
        <f>floors!$C$2</f>
        <v>39002</v>
      </c>
      <c r="C41" s="85" t="str">
        <f ca="1">VLOOKUP($B41,OFFSET([2]quests!$A$1,0,0,COUNTA([2]quests!$A:$A),MATCH(C$1,[2]quests!$1:$1,0)-MATCH($B$1,[2]quests!$1:$1,0)+1),MATCH(C$1,[2]quests!$1:$1,0)-MATCH($B$1,[2]quests!$1:$1,0)+1,FALSE)</f>
        <v>黄巾賊の暴走を止めろ</v>
      </c>
      <c r="D41" s="85" t="str">
        <f ca="1">VLOOKUP($B41,OFFSET([2]quests!$A$1,0,0,COUNTA([2]quests!$A:$A),MATCH(D$1,[2]quests!$1:$1,0)-MATCH($B$1,[2]quests!$1:$1,0)+1),MATCH(D$1,[2]quests!$1:$1,0)-MATCH($B$1,[2]quests!$1:$1,0)+1,FALSE)</f>
        <v>コラボクエスト</v>
      </c>
      <c r="E41" s="89">
        <v>2</v>
      </c>
      <c r="F41" s="85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41" s="85" t="str">
        <f ca="1">VLOOKUP($B41&amp;"_"&amp;$E41,OFFSET([2]stages!$A$1,0,0,COUNTA([2]stages!$A:$A),MATCH(G$1,[2]stages!$2:$2,0)-MATCH("temp_stage",[2]stages!$2:$2,0)+1),MATCH(G$1,[2]stages!$2:$2,0)-MATCH("temp_stage",[2]stages!$2:$2,0)+1,FALSE)</f>
        <v>コラボクエスト</v>
      </c>
      <c r="H41" s="87">
        <v>0</v>
      </c>
      <c r="I41">
        <v>18</v>
      </c>
      <c r="J41" s="86" t="s">
        <v>199</v>
      </c>
      <c r="K41" s="95" t="str">
        <f>VLOOKUP(I41,[7]stage_hints!$A:$C,3,FALSE)</f>
        <v>マルチプレイのメリット（その2）</v>
      </c>
      <c r="L41" s="96" t="str">
        <f>VLOOKUP(I41,[7]stage_hints!$A:$D,4,FALSE)</f>
        <v>マルチプレイならリンクが2倍もらえます_x000D_リンクガチャをたくさん回しましょう</v>
      </c>
      <c r="M41" s="57" t="s">
        <v>212</v>
      </c>
    </row>
    <row r="42" spans="1:13" x14ac:dyDescent="0.15">
      <c r="A42" s="83" t="s">
        <v>202</v>
      </c>
      <c r="B42" s="84">
        <f>floors!$C$2</f>
        <v>39002</v>
      </c>
      <c r="C42" s="85" t="str">
        <f ca="1">VLOOKUP($B42,OFFSET([2]quests!$A$1,0,0,COUNTA([2]quests!$A:$A),MATCH(C$1,[2]quests!$1:$1,0)-MATCH($B$1,[2]quests!$1:$1,0)+1),MATCH(C$1,[2]quests!$1:$1,0)-MATCH($B$1,[2]quests!$1:$1,0)+1,FALSE)</f>
        <v>黄巾賊の暴走を止めろ</v>
      </c>
      <c r="D42" s="85" t="str">
        <f ca="1">VLOOKUP($B42,OFFSET([2]quests!$A$1,0,0,COUNTA([2]quests!$A:$A),MATCH(D$1,[2]quests!$1:$1,0)-MATCH($B$1,[2]quests!$1:$1,0)+1),MATCH(D$1,[2]quests!$1:$1,0)-MATCH($B$1,[2]quests!$1:$1,0)+1,FALSE)</f>
        <v>コラボクエスト</v>
      </c>
      <c r="E42" s="89">
        <v>2</v>
      </c>
      <c r="F42" s="85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42" s="85" t="str">
        <f ca="1">VLOOKUP($B42&amp;"_"&amp;$E42,OFFSET([2]stages!$A$1,0,0,COUNTA([2]stages!$A:$A),MATCH(G$1,[2]stages!$2:$2,0)-MATCH("temp_stage",[2]stages!$2:$2,0)+1),MATCH(G$1,[2]stages!$2:$2,0)-MATCH("temp_stage",[2]stages!$2:$2,0)+1,FALSE)</f>
        <v>コラボクエスト</v>
      </c>
      <c r="H42" s="87">
        <v>0</v>
      </c>
      <c r="I42">
        <v>19</v>
      </c>
      <c r="J42" s="86" t="s">
        <v>199</v>
      </c>
      <c r="K42" s="95" t="str">
        <f>VLOOKUP(I42,[7]stage_hints!$A:$C,3,FALSE)</f>
        <v>ソロ専用チャレンジタワー</v>
      </c>
      <c r="L42" s="96" t="str">
        <f>VLOOKUP(I42,[7]stage_hints!$A:$D,4,FALSE)</f>
        <v>ソロ専用の「チャレンジタワー」では_x000D_各フロアごとにクリア報酬がもらえます</v>
      </c>
      <c r="M42" s="57" t="s">
        <v>212</v>
      </c>
    </row>
    <row r="43" spans="1:13" x14ac:dyDescent="0.15">
      <c r="A43" s="83" t="s">
        <v>202</v>
      </c>
      <c r="B43" s="84">
        <f>floors!$C$2</f>
        <v>39002</v>
      </c>
      <c r="C43" s="85" t="str">
        <f ca="1">VLOOKUP($B43,OFFSET([2]quests!$A$1,0,0,COUNTA([2]quests!$A:$A),MATCH(C$1,[2]quests!$1:$1,0)-MATCH($B$1,[2]quests!$1:$1,0)+1),MATCH(C$1,[2]quests!$1:$1,0)-MATCH($B$1,[2]quests!$1:$1,0)+1,FALSE)</f>
        <v>黄巾賊の暴走を止めろ</v>
      </c>
      <c r="D43" s="85" t="str">
        <f ca="1">VLOOKUP($B43,OFFSET([2]quests!$A$1,0,0,COUNTA([2]quests!$A:$A),MATCH(D$1,[2]quests!$1:$1,0)-MATCH($B$1,[2]quests!$1:$1,0)+1),MATCH(D$1,[2]quests!$1:$1,0)-MATCH($B$1,[2]quests!$1:$1,0)+1,FALSE)</f>
        <v>コラボクエスト</v>
      </c>
      <c r="E43" s="89">
        <v>2</v>
      </c>
      <c r="F43" s="85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43" s="85" t="str">
        <f ca="1">VLOOKUP($B43&amp;"_"&amp;$E43,OFFSET([2]stages!$A$1,0,0,COUNTA([2]stages!$A:$A),MATCH(G$1,[2]stages!$2:$2,0)-MATCH("temp_stage",[2]stages!$2:$2,0)+1),MATCH(G$1,[2]stages!$2:$2,0)-MATCH("temp_stage",[2]stages!$2:$2,0)+1,FALSE)</f>
        <v>コラボクエスト</v>
      </c>
      <c r="H43" s="87">
        <v>0</v>
      </c>
      <c r="I43">
        <v>20</v>
      </c>
      <c r="J43" s="86" t="s">
        <v>199</v>
      </c>
      <c r="K43" s="95" t="str">
        <f>VLOOKUP(I43,[7]stage_hints!$A:$C,3,FALSE)</f>
        <v>マルチプレイのメリット（その3）</v>
      </c>
      <c r="L43" s="96" t="str">
        <f>VLOOKUP(I43,[7]stage_hints!$A:$D,4,FALSE)</f>
        <v>マルチプレイへの参加はエナジー消費ゼロ_x000D_いつでも好きなだけ遊ぶことができます</v>
      </c>
      <c r="M43" s="57" t="s">
        <v>212</v>
      </c>
    </row>
    <row r="44" spans="1:13" x14ac:dyDescent="0.15">
      <c r="A44" s="83" t="s">
        <v>202</v>
      </c>
      <c r="B44" s="84">
        <f>floors!$C$2</f>
        <v>39002</v>
      </c>
      <c r="C44" s="85" t="str">
        <f ca="1">VLOOKUP($B44,OFFSET([2]quests!$A$1,0,0,COUNTA([2]quests!$A:$A),MATCH(C$1,[2]quests!$1:$1,0)-MATCH($B$1,[2]quests!$1:$1,0)+1),MATCH(C$1,[2]quests!$1:$1,0)-MATCH($B$1,[2]quests!$1:$1,0)+1,FALSE)</f>
        <v>黄巾賊の暴走を止めろ</v>
      </c>
      <c r="D44" s="85" t="str">
        <f ca="1">VLOOKUP($B44,OFFSET([2]quests!$A$1,0,0,COUNTA([2]quests!$A:$A),MATCH(D$1,[2]quests!$1:$1,0)-MATCH($B$1,[2]quests!$1:$1,0)+1),MATCH(D$1,[2]quests!$1:$1,0)-MATCH($B$1,[2]quests!$1:$1,0)+1,FALSE)</f>
        <v>コラボクエスト</v>
      </c>
      <c r="E44" s="89">
        <v>2</v>
      </c>
      <c r="F44" s="85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44" s="85" t="str">
        <f ca="1">VLOOKUP($B44&amp;"_"&amp;$E44,OFFSET([2]stages!$A$1,0,0,COUNTA([2]stages!$A:$A),MATCH(G$1,[2]stages!$2:$2,0)-MATCH("temp_stage",[2]stages!$2:$2,0)+1),MATCH(G$1,[2]stages!$2:$2,0)-MATCH("temp_stage",[2]stages!$2:$2,0)+1,FALSE)</f>
        <v>コラボクエスト</v>
      </c>
      <c r="H44" s="87">
        <v>0</v>
      </c>
      <c r="I44">
        <v>21</v>
      </c>
      <c r="J44" s="86" t="s">
        <v>199</v>
      </c>
      <c r="K44" s="95" t="str">
        <f>VLOOKUP(I44,[7]stage_hints!$A:$C,3,FALSE)</f>
        <v>スキルを有効に</v>
      </c>
      <c r="L44" s="96" t="str">
        <f>VLOOKUP(I44,[7]stage_hints!$A:$D,4,FALSE)</f>
        <v>ターン経過でユニットのスキルが使えます_x000D_強力スキルでバトルを有利に進めましょう</v>
      </c>
      <c r="M44" s="57" t="s">
        <v>212</v>
      </c>
    </row>
    <row r="45" spans="1:13" x14ac:dyDescent="0.15">
      <c r="A45" s="83" t="s">
        <v>202</v>
      </c>
      <c r="B45" s="84">
        <f>floors!$C$2</f>
        <v>39002</v>
      </c>
      <c r="C45" s="85" t="str">
        <f ca="1">VLOOKUP($B45,OFFSET([2]quests!$A$1,0,0,COUNTA([2]quests!$A:$A),MATCH(C$1,[2]quests!$1:$1,0)-MATCH($B$1,[2]quests!$1:$1,0)+1),MATCH(C$1,[2]quests!$1:$1,0)-MATCH($B$1,[2]quests!$1:$1,0)+1,FALSE)</f>
        <v>黄巾賊の暴走を止めろ</v>
      </c>
      <c r="D45" s="85" t="str">
        <f ca="1">VLOOKUP($B45,OFFSET([2]quests!$A$1,0,0,COUNTA([2]quests!$A:$A),MATCH(D$1,[2]quests!$1:$1,0)-MATCH($B$1,[2]quests!$1:$1,0)+1),MATCH(D$1,[2]quests!$1:$1,0)-MATCH($B$1,[2]quests!$1:$1,0)+1,FALSE)</f>
        <v>コラボクエスト</v>
      </c>
      <c r="E45" s="89">
        <v>2</v>
      </c>
      <c r="F45" s="85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45" s="85" t="str">
        <f ca="1">VLOOKUP($B45&amp;"_"&amp;$E45,OFFSET([2]stages!$A$1,0,0,COUNTA([2]stages!$A:$A),MATCH(G$1,[2]stages!$2:$2,0)-MATCH("temp_stage",[2]stages!$2:$2,0)+1),MATCH(G$1,[2]stages!$2:$2,0)-MATCH("temp_stage",[2]stages!$2:$2,0)+1,FALSE)</f>
        <v>コラボクエスト</v>
      </c>
      <c r="H45" s="87">
        <v>0</v>
      </c>
      <c r="I45">
        <v>22</v>
      </c>
      <c r="J45" s="86" t="s">
        <v>199</v>
      </c>
      <c r="K45" s="95" t="str">
        <f>VLOOKUP(I45,[7]stage_hints!$A:$C,3,FALSE)</f>
        <v>フィーバーで一発逆転（その1）</v>
      </c>
      <c r="L45" s="96" t="str">
        <f>VLOOKUP(I45,[7]stage_hints!$A:$D,4,FALSE)</f>
        <v>フィーバーは攻撃と回復を兼ね備えます_x000D_ピンチからの一発逆転を狙いましょう</v>
      </c>
      <c r="M45" s="57" t="s">
        <v>212</v>
      </c>
    </row>
    <row r="46" spans="1:13" x14ac:dyDescent="0.15">
      <c r="A46" s="83" t="s">
        <v>202</v>
      </c>
      <c r="B46" s="84">
        <f>floors!$C$2</f>
        <v>39002</v>
      </c>
      <c r="C46" s="85" t="str">
        <f ca="1">VLOOKUP($B46,OFFSET([2]quests!$A$1,0,0,COUNTA([2]quests!$A:$A),MATCH(C$1,[2]quests!$1:$1,0)-MATCH($B$1,[2]quests!$1:$1,0)+1),MATCH(C$1,[2]quests!$1:$1,0)-MATCH($B$1,[2]quests!$1:$1,0)+1,FALSE)</f>
        <v>黄巾賊の暴走を止めろ</v>
      </c>
      <c r="D46" s="85" t="str">
        <f ca="1">VLOOKUP($B46,OFFSET([2]quests!$A$1,0,0,COUNTA([2]quests!$A:$A),MATCH(D$1,[2]quests!$1:$1,0)-MATCH($B$1,[2]quests!$1:$1,0)+1),MATCH(D$1,[2]quests!$1:$1,0)-MATCH($B$1,[2]quests!$1:$1,0)+1,FALSE)</f>
        <v>コラボクエスト</v>
      </c>
      <c r="E46" s="89">
        <v>2</v>
      </c>
      <c r="F46" s="85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46" s="85" t="str">
        <f ca="1">VLOOKUP($B46&amp;"_"&amp;$E46,OFFSET([2]stages!$A$1,0,0,COUNTA([2]stages!$A:$A),MATCH(G$1,[2]stages!$2:$2,0)-MATCH("temp_stage",[2]stages!$2:$2,0)+1),MATCH(G$1,[2]stages!$2:$2,0)-MATCH("temp_stage",[2]stages!$2:$2,0)+1,FALSE)</f>
        <v>コラボクエスト</v>
      </c>
      <c r="H46" s="87">
        <v>0</v>
      </c>
      <c r="I46">
        <v>23</v>
      </c>
      <c r="J46" s="86" t="s">
        <v>199</v>
      </c>
      <c r="K46" s="95" t="str">
        <f>VLOOKUP(I46,[7]stage_hints!$A:$C,3,FALSE)</f>
        <v>フィーバーで一発逆転（その2）</v>
      </c>
      <c r="L46" s="96" t="str">
        <f>VLOOKUP(I46,[7]stage_hints!$A:$D,4,FALSE)</f>
        <v>フィーバー中は虹色のボムパネルを狙って_x000D_画面上のパネルを一気に破壊しましょう</v>
      </c>
      <c r="M46" s="57" t="s">
        <v>212</v>
      </c>
    </row>
    <row r="47" spans="1:13" x14ac:dyDescent="0.15">
      <c r="A47" s="83" t="s">
        <v>202</v>
      </c>
      <c r="B47" s="84">
        <f>floors!$C$2</f>
        <v>39002</v>
      </c>
      <c r="C47" s="85" t="str">
        <f ca="1">VLOOKUP($B47,OFFSET([2]quests!$A$1,0,0,COUNTA([2]quests!$A:$A),MATCH(C$1,[2]quests!$1:$1,0)-MATCH($B$1,[2]quests!$1:$1,0)+1),MATCH(C$1,[2]quests!$1:$1,0)-MATCH($B$1,[2]quests!$1:$1,0)+1,FALSE)</f>
        <v>黄巾賊の暴走を止めろ</v>
      </c>
      <c r="D47" s="85" t="str">
        <f ca="1">VLOOKUP($B47,OFFSET([2]quests!$A$1,0,0,COUNTA([2]quests!$A:$A),MATCH(D$1,[2]quests!$1:$1,0)-MATCH($B$1,[2]quests!$1:$1,0)+1),MATCH(D$1,[2]quests!$1:$1,0)-MATCH($B$1,[2]quests!$1:$1,0)+1,FALSE)</f>
        <v>コラボクエスト</v>
      </c>
      <c r="E47" s="89">
        <v>2</v>
      </c>
      <c r="F47" s="85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47" s="85" t="str">
        <f ca="1">VLOOKUP($B47&amp;"_"&amp;$E47,OFFSET([2]stages!$A$1,0,0,COUNTA([2]stages!$A:$A),MATCH(G$1,[2]stages!$2:$2,0)-MATCH("temp_stage",[2]stages!$2:$2,0)+1),MATCH(G$1,[2]stages!$2:$2,0)-MATCH("temp_stage",[2]stages!$2:$2,0)+1,FALSE)</f>
        <v>コラボクエスト</v>
      </c>
      <c r="H47" s="87">
        <v>0</v>
      </c>
      <c r="I47">
        <v>24</v>
      </c>
      <c r="J47" s="86" t="s">
        <v>199</v>
      </c>
      <c r="K47" s="95" t="str">
        <f>VLOOKUP(I47,[7]stage_hints!$A:$C,3,FALSE)</f>
        <v>りんごを使って限界突破</v>
      </c>
      <c r="L47" s="96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7" t="s">
        <v>212</v>
      </c>
    </row>
    <row r="48" spans="1:13" x14ac:dyDescent="0.15">
      <c r="A48" s="83" t="s">
        <v>202</v>
      </c>
      <c r="B48" s="84">
        <f>floors!$C$2</f>
        <v>39002</v>
      </c>
      <c r="C48" s="85" t="str">
        <f ca="1">VLOOKUP($B48,OFFSET([2]quests!$A$1,0,0,COUNTA([2]quests!$A:$A),MATCH(C$1,[2]quests!$1:$1,0)-MATCH($B$1,[2]quests!$1:$1,0)+1),MATCH(C$1,[2]quests!$1:$1,0)-MATCH($B$1,[2]quests!$1:$1,0)+1,FALSE)</f>
        <v>黄巾賊の暴走を止めろ</v>
      </c>
      <c r="D48" s="85" t="str">
        <f ca="1">VLOOKUP($B48,OFFSET([2]quests!$A$1,0,0,COUNTA([2]quests!$A:$A),MATCH(D$1,[2]quests!$1:$1,0)-MATCH($B$1,[2]quests!$1:$1,0)+1),MATCH(D$1,[2]quests!$1:$1,0)-MATCH($B$1,[2]quests!$1:$1,0)+1,FALSE)</f>
        <v>コラボクエスト</v>
      </c>
      <c r="E48" s="89">
        <v>2</v>
      </c>
      <c r="F48" s="85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48" s="85" t="str">
        <f ca="1">VLOOKUP($B48&amp;"_"&amp;$E48,OFFSET([2]stages!$A$1,0,0,COUNTA([2]stages!$A:$A),MATCH(G$1,[2]stages!$2:$2,0)-MATCH("temp_stage",[2]stages!$2:$2,0)+1),MATCH(G$1,[2]stages!$2:$2,0)-MATCH("temp_stage",[2]stages!$2:$2,0)+1,FALSE)</f>
        <v>コラボクエスト</v>
      </c>
      <c r="H48" s="87">
        <v>0</v>
      </c>
      <c r="I48">
        <v>25</v>
      </c>
      <c r="J48" s="86" t="s">
        <v>199</v>
      </c>
      <c r="K48" s="95" t="str">
        <f>VLOOKUP(I48,[7]stage_hints!$A:$C,3,FALSE)</f>
        <v>スキルレベルアップ</v>
      </c>
      <c r="L48" s="96" t="str">
        <f>VLOOKUP(I48,[7]stage_hints!$A:$D,4,FALSE)</f>
        <v>「クリスタルのりんご」を強化に使うと_x000D_スキルレベルを上げることができます</v>
      </c>
      <c r="M48" s="57" t="s">
        <v>212</v>
      </c>
    </row>
    <row r="49" spans="1:13" x14ac:dyDescent="0.15">
      <c r="A49" s="83" t="s">
        <v>202</v>
      </c>
      <c r="B49" s="84">
        <f>floors!$C$2</f>
        <v>39002</v>
      </c>
      <c r="C49" s="85" t="str">
        <f ca="1">VLOOKUP($B49,OFFSET([2]quests!$A$1,0,0,COUNTA([2]quests!$A:$A),MATCH(C$1,[2]quests!$1:$1,0)-MATCH($B$1,[2]quests!$1:$1,0)+1),MATCH(C$1,[2]quests!$1:$1,0)-MATCH($B$1,[2]quests!$1:$1,0)+1,FALSE)</f>
        <v>黄巾賊の暴走を止めろ</v>
      </c>
      <c r="D49" s="85" t="str">
        <f ca="1">VLOOKUP($B49,OFFSET([2]quests!$A$1,0,0,COUNTA([2]quests!$A:$A),MATCH(D$1,[2]quests!$1:$1,0)-MATCH($B$1,[2]quests!$1:$1,0)+1),MATCH(D$1,[2]quests!$1:$1,0)-MATCH($B$1,[2]quests!$1:$1,0)+1,FALSE)</f>
        <v>コラボクエスト</v>
      </c>
      <c r="E49" s="89">
        <v>2</v>
      </c>
      <c r="F49" s="85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49" s="85" t="str">
        <f ca="1">VLOOKUP($B49&amp;"_"&amp;$E49,OFFSET([2]stages!$A$1,0,0,COUNTA([2]stages!$A:$A),MATCH(G$1,[2]stages!$2:$2,0)-MATCH("temp_stage",[2]stages!$2:$2,0)+1),MATCH(G$1,[2]stages!$2:$2,0)-MATCH("temp_stage",[2]stages!$2:$2,0)+1,FALSE)</f>
        <v>コラボクエスト</v>
      </c>
      <c r="H49" s="87">
        <v>0</v>
      </c>
      <c r="I49">
        <v>26</v>
      </c>
      <c r="J49" s="86" t="s">
        <v>199</v>
      </c>
      <c r="K49" s="95" t="str">
        <f>VLOOKUP(I49,[7]stage_hints!$A:$C,3,FALSE)</f>
        <v>スキルレベルの効果</v>
      </c>
      <c r="L49" s="96" t="str">
        <f>VLOOKUP(I49,[7]stage_hints!$A:$D,4,FALSE)</f>
        <v>スキルレベルが上がると_x000D_短いターンでスキルを使うことができます</v>
      </c>
      <c r="M49" s="57" t="s">
        <v>212</v>
      </c>
    </row>
    <row r="50" spans="1:13" x14ac:dyDescent="0.15">
      <c r="A50" s="83" t="s">
        <v>202</v>
      </c>
      <c r="B50" s="84">
        <f>floors!$C$2</f>
        <v>39002</v>
      </c>
      <c r="C50" s="85" t="str">
        <f ca="1">VLOOKUP($B50,OFFSET([2]quests!$A$1,0,0,COUNTA([2]quests!$A:$A),MATCH(C$1,[2]quests!$1:$1,0)-MATCH($B$1,[2]quests!$1:$1,0)+1),MATCH(C$1,[2]quests!$1:$1,0)-MATCH($B$1,[2]quests!$1:$1,0)+1,FALSE)</f>
        <v>黄巾賊の暴走を止めろ</v>
      </c>
      <c r="D50" s="85" t="str">
        <f ca="1">VLOOKUP($B50,OFFSET([2]quests!$A$1,0,0,COUNTA([2]quests!$A:$A),MATCH(D$1,[2]quests!$1:$1,0)-MATCH($B$1,[2]quests!$1:$1,0)+1),MATCH(D$1,[2]quests!$1:$1,0)-MATCH($B$1,[2]quests!$1:$1,0)+1,FALSE)</f>
        <v>コラボクエスト</v>
      </c>
      <c r="E50" s="89">
        <v>2</v>
      </c>
      <c r="F50" s="85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50" s="85" t="str">
        <f ca="1">VLOOKUP($B50&amp;"_"&amp;$E50,OFFSET([2]stages!$A$1,0,0,COUNTA([2]stages!$A:$A),MATCH(G$1,[2]stages!$2:$2,0)-MATCH("temp_stage",[2]stages!$2:$2,0)+1),MATCH(G$1,[2]stages!$2:$2,0)-MATCH("temp_stage",[2]stages!$2:$2,0)+1,FALSE)</f>
        <v>コラボクエスト</v>
      </c>
      <c r="H50" s="87">
        <v>0</v>
      </c>
      <c r="I50">
        <v>27</v>
      </c>
      <c r="J50" s="86" t="s">
        <v>199</v>
      </c>
      <c r="K50" s="95" t="str">
        <f>VLOOKUP(I50,[7]stage_hints!$A:$C,3,FALSE)</f>
        <v>ホーム画面からデッキを編成</v>
      </c>
      <c r="L50" s="96" t="str">
        <f>VLOOKUP(I50,[7]stage_hints!$A:$D,4,FALSE)</f>
        <v>ホーム画面でユニットを長押しすると_x000D_すぐにパーティ編成に移動できます</v>
      </c>
      <c r="M50" s="57" t="s">
        <v>212</v>
      </c>
    </row>
    <row r="51" spans="1:13" x14ac:dyDescent="0.15">
      <c r="A51" s="83" t="s">
        <v>202</v>
      </c>
      <c r="B51" s="84">
        <f>floors!$C$2</f>
        <v>39002</v>
      </c>
      <c r="C51" s="85" t="str">
        <f ca="1">VLOOKUP($B51,OFFSET([2]quests!$A$1,0,0,COUNTA([2]quests!$A:$A),MATCH(C$1,[2]quests!$1:$1,0)-MATCH($B$1,[2]quests!$1:$1,0)+1),MATCH(C$1,[2]quests!$1:$1,0)-MATCH($B$1,[2]quests!$1:$1,0)+1,FALSE)</f>
        <v>黄巾賊の暴走を止めろ</v>
      </c>
      <c r="D51" s="85" t="str">
        <f ca="1">VLOOKUP($B51,OFFSET([2]quests!$A$1,0,0,COUNTA([2]quests!$A:$A),MATCH(D$1,[2]quests!$1:$1,0)-MATCH($B$1,[2]quests!$1:$1,0)+1),MATCH(D$1,[2]quests!$1:$1,0)-MATCH($B$1,[2]quests!$1:$1,0)+1,FALSE)</f>
        <v>コラボクエスト</v>
      </c>
      <c r="E51" s="89">
        <v>2</v>
      </c>
      <c r="F51" s="85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51" s="85" t="str">
        <f ca="1">VLOOKUP($B51&amp;"_"&amp;$E51,OFFSET([2]stages!$A$1,0,0,COUNTA([2]stages!$A:$A),MATCH(G$1,[2]stages!$2:$2,0)-MATCH("temp_stage",[2]stages!$2:$2,0)+1),MATCH(G$1,[2]stages!$2:$2,0)-MATCH("temp_stage",[2]stages!$2:$2,0)+1,FALSE)</f>
        <v>コラボクエスト</v>
      </c>
      <c r="H51" s="87">
        <v>0</v>
      </c>
      <c r="I51">
        <v>28</v>
      </c>
      <c r="J51" s="86" t="s">
        <v>199</v>
      </c>
      <c r="K51" s="95" t="str">
        <f>VLOOKUP(I51,[7]stage_hints!$A:$C,3,FALSE)</f>
        <v>ステータス情報は長押しで</v>
      </c>
      <c r="L51" s="96" t="str">
        <f>VLOOKUP(I51,[7]stage_hints!$A:$D,4,FALSE)</f>
        <v>ユニットのアイコンを長押しすると_x000D_ステータス情報を確認することができます</v>
      </c>
      <c r="M51" s="57" t="s">
        <v>212</v>
      </c>
    </row>
    <row r="52" spans="1:13" x14ac:dyDescent="0.15">
      <c r="A52" s="83" t="s">
        <v>202</v>
      </c>
      <c r="B52" s="84">
        <f>floors!$C$2</f>
        <v>39002</v>
      </c>
      <c r="C52" s="85" t="str">
        <f ca="1">VLOOKUP($B52,OFFSET([2]quests!$A$1,0,0,COUNTA([2]quests!$A:$A),MATCH(C$1,[2]quests!$1:$1,0)-MATCH($B$1,[2]quests!$1:$1,0)+1),MATCH(C$1,[2]quests!$1:$1,0)-MATCH($B$1,[2]quests!$1:$1,0)+1,FALSE)</f>
        <v>黄巾賊の暴走を止めろ</v>
      </c>
      <c r="D52" s="85" t="str">
        <f ca="1">VLOOKUP($B52,OFFSET([2]quests!$A$1,0,0,COUNTA([2]quests!$A:$A),MATCH(D$1,[2]quests!$1:$1,0)-MATCH($B$1,[2]quests!$1:$1,0)+1),MATCH(D$1,[2]quests!$1:$1,0)-MATCH($B$1,[2]quests!$1:$1,0)+1,FALSE)</f>
        <v>コラボクエスト</v>
      </c>
      <c r="E52" s="89">
        <v>2</v>
      </c>
      <c r="F52" s="85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52" s="85" t="str">
        <f ca="1">VLOOKUP($B52&amp;"_"&amp;$E52,OFFSET([2]stages!$A$1,0,0,COUNTA([2]stages!$A:$A),MATCH(G$1,[2]stages!$2:$2,0)-MATCH("temp_stage",[2]stages!$2:$2,0)+1),MATCH(G$1,[2]stages!$2:$2,0)-MATCH("temp_stage",[2]stages!$2:$2,0)+1,FALSE)</f>
        <v>コラボクエスト</v>
      </c>
      <c r="H52" s="87">
        <v>0</v>
      </c>
      <c r="I52">
        <v>29</v>
      </c>
      <c r="J52" s="86" t="s">
        <v>199</v>
      </c>
      <c r="K52" s="95" t="str">
        <f>VLOOKUP(I52,[7]stage_hints!$A:$C,3,FALSE)</f>
        <v>「バグ」のメリット</v>
      </c>
      <c r="L52" s="96" t="str">
        <f>VLOOKUP(I52,[7]stage_hints!$A:$D,4,FALSE)</f>
        <v>ユニットの「バグ」を増やすと_x000D_報酬をもらえる確率がアップします</v>
      </c>
      <c r="M52" s="57" t="s">
        <v>212</v>
      </c>
    </row>
    <row r="53" spans="1:13" x14ac:dyDescent="0.15">
      <c r="A53" s="83" t="s">
        <v>202</v>
      </c>
      <c r="B53" s="84">
        <f>floors!$C$2</f>
        <v>39002</v>
      </c>
      <c r="C53" s="85" t="str">
        <f ca="1">VLOOKUP($B53,OFFSET([2]quests!$A$1,0,0,COUNTA([2]quests!$A:$A),MATCH(C$1,[2]quests!$1:$1,0)-MATCH($B$1,[2]quests!$1:$1,0)+1),MATCH(C$1,[2]quests!$1:$1,0)-MATCH($B$1,[2]quests!$1:$1,0)+1,FALSE)</f>
        <v>黄巾賊の暴走を止めろ</v>
      </c>
      <c r="D53" s="85" t="str">
        <f ca="1">VLOOKUP($B53,OFFSET([2]quests!$A$1,0,0,COUNTA([2]quests!$A:$A),MATCH(D$1,[2]quests!$1:$1,0)-MATCH($B$1,[2]quests!$1:$1,0)+1),MATCH(D$1,[2]quests!$1:$1,0)-MATCH($B$1,[2]quests!$1:$1,0)+1,FALSE)</f>
        <v>コラボクエスト</v>
      </c>
      <c r="E53" s="89">
        <v>2</v>
      </c>
      <c r="F53" s="85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53" s="85" t="str">
        <f ca="1">VLOOKUP($B53&amp;"_"&amp;$E53,OFFSET([2]stages!$A$1,0,0,COUNTA([2]stages!$A:$A),MATCH(G$1,[2]stages!$2:$2,0)-MATCH("temp_stage",[2]stages!$2:$2,0)+1),MATCH(G$1,[2]stages!$2:$2,0)-MATCH("temp_stage",[2]stages!$2:$2,0)+1,FALSE)</f>
        <v>コラボクエスト</v>
      </c>
      <c r="H53" s="87">
        <v>0</v>
      </c>
      <c r="I53">
        <v>30</v>
      </c>
      <c r="J53" s="86" t="s">
        <v>199</v>
      </c>
      <c r="K53" s="95" t="str">
        <f>VLOOKUP(I53,[7]stage_hints!$A:$C,3,FALSE)</f>
        <v>「バグ」の増やし方</v>
      </c>
      <c r="L53" s="96" t="str">
        <f>VLOOKUP(I53,[7]stage_hints!$A:$D,4,FALSE)</f>
        <v>同じユニット同士を強化で合成すると_x000D_「バグ」を増やすことができます</v>
      </c>
      <c r="M53" s="57" t="s">
        <v>212</v>
      </c>
    </row>
    <row r="54" spans="1:13" x14ac:dyDescent="0.15">
      <c r="A54" s="83" t="s">
        <v>202</v>
      </c>
      <c r="B54" s="84">
        <f>floors!$C$2</f>
        <v>39002</v>
      </c>
      <c r="C54" s="85" t="str">
        <f ca="1">VLOOKUP($B54,OFFSET([2]quests!$A$1,0,0,COUNTA([2]quests!$A:$A),MATCH(C$1,[2]quests!$1:$1,0)-MATCH($B$1,[2]quests!$1:$1,0)+1),MATCH(C$1,[2]quests!$1:$1,0)-MATCH($B$1,[2]quests!$1:$1,0)+1,FALSE)</f>
        <v>黄巾賊の暴走を止めろ</v>
      </c>
      <c r="D54" s="85" t="str">
        <f ca="1">VLOOKUP($B54,OFFSET([2]quests!$A$1,0,0,COUNTA([2]quests!$A:$A),MATCH(D$1,[2]quests!$1:$1,0)-MATCH($B$1,[2]quests!$1:$1,0)+1),MATCH(D$1,[2]quests!$1:$1,0)-MATCH($B$1,[2]quests!$1:$1,0)+1,FALSE)</f>
        <v>コラボクエスト</v>
      </c>
      <c r="E54" s="89">
        <v>2</v>
      </c>
      <c r="F54" s="85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54" s="85" t="str">
        <f ca="1">VLOOKUP($B54&amp;"_"&amp;$E54,OFFSET([2]stages!$A$1,0,0,COUNTA([2]stages!$A:$A),MATCH(G$1,[2]stages!$2:$2,0)-MATCH("temp_stage",[2]stages!$2:$2,0)+1),MATCH(G$1,[2]stages!$2:$2,0)-MATCH("temp_stage",[2]stages!$2:$2,0)+1,FALSE)</f>
        <v>コラボクエスト</v>
      </c>
      <c r="H54" s="87">
        <v>0</v>
      </c>
      <c r="I54">
        <v>31</v>
      </c>
      <c r="J54" s="86" t="s">
        <v>199</v>
      </c>
      <c r="K54" s="95" t="str">
        <f>VLOOKUP(I54,[7]stage_hints!$A:$C,3,FALSE)</f>
        <v>イベントはお知らせでチェック</v>
      </c>
      <c r="L54" s="96" t="str">
        <f>VLOOKUP(I54,[7]stage_hints!$A:$D,4,FALSE)</f>
        <v>イベント限定ユニットを取り忘れないように_x000D_お知らせをこまめにチェックしましょう</v>
      </c>
      <c r="M54" s="57" t="s">
        <v>212</v>
      </c>
    </row>
    <row r="55" spans="1:13" x14ac:dyDescent="0.15">
      <c r="A55" s="83" t="s">
        <v>202</v>
      </c>
      <c r="B55" s="84">
        <f>floors!$C$2</f>
        <v>39002</v>
      </c>
      <c r="C55" s="85" t="str">
        <f ca="1">VLOOKUP($B55,OFFSET([2]quests!$A$1,0,0,COUNTA([2]quests!$A:$A),MATCH(C$1,[2]quests!$1:$1,0)-MATCH($B$1,[2]quests!$1:$1,0)+1),MATCH(C$1,[2]quests!$1:$1,0)-MATCH($B$1,[2]quests!$1:$1,0)+1,FALSE)</f>
        <v>黄巾賊の暴走を止めろ</v>
      </c>
      <c r="D55" s="85" t="str">
        <f ca="1">VLOOKUP($B55,OFFSET([2]quests!$A$1,0,0,COUNTA([2]quests!$A:$A),MATCH(D$1,[2]quests!$1:$1,0)-MATCH($B$1,[2]quests!$1:$1,0)+1),MATCH(D$1,[2]quests!$1:$1,0)-MATCH($B$1,[2]quests!$1:$1,0)+1,FALSE)</f>
        <v>コラボクエスト</v>
      </c>
      <c r="E55" s="89">
        <v>2</v>
      </c>
      <c r="F55" s="85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55" s="85" t="str">
        <f ca="1">VLOOKUP($B55&amp;"_"&amp;$E55,OFFSET([2]stages!$A$1,0,0,COUNTA([2]stages!$A:$A),MATCH(G$1,[2]stages!$2:$2,0)-MATCH("temp_stage",[2]stages!$2:$2,0)+1),MATCH(G$1,[2]stages!$2:$2,0)-MATCH("temp_stage",[2]stages!$2:$2,0)+1,FALSE)</f>
        <v>コラボクエスト</v>
      </c>
      <c r="H55" s="87">
        <v>0</v>
      </c>
      <c r="I55">
        <v>32</v>
      </c>
      <c r="J55" s="86" t="s">
        <v>199</v>
      </c>
      <c r="K55" s="95" t="str">
        <f>VLOOKUP(I55,[7]stage_hints!$A:$C,3,FALSE)</f>
        <v>敵の連続攻撃には</v>
      </c>
      <c r="L55" s="96" t="str">
        <f>VLOOKUP(I55,[7]stage_hints!$A:$D,4,FALSE)</f>
        <v>カウンタースキルを持つユニットがいれば_x000D_ダメージ回数分の反撃ができます</v>
      </c>
      <c r="M55" s="57" t="s">
        <v>212</v>
      </c>
    </row>
    <row r="56" spans="1:13" x14ac:dyDescent="0.15">
      <c r="A56" s="83" t="s">
        <v>202</v>
      </c>
      <c r="B56" s="84">
        <f>floors!$C$2</f>
        <v>39002</v>
      </c>
      <c r="C56" s="85" t="str">
        <f ca="1">VLOOKUP($B56,OFFSET([2]quests!$A$1,0,0,COUNTA([2]quests!$A:$A),MATCH(C$1,[2]quests!$1:$1,0)-MATCH($B$1,[2]quests!$1:$1,0)+1),MATCH(C$1,[2]quests!$1:$1,0)-MATCH($B$1,[2]quests!$1:$1,0)+1,FALSE)</f>
        <v>黄巾賊の暴走を止めろ</v>
      </c>
      <c r="D56" s="85" t="str">
        <f ca="1">VLOOKUP($B56,OFFSET([2]quests!$A$1,0,0,COUNTA([2]quests!$A:$A),MATCH(D$1,[2]quests!$1:$1,0)-MATCH($B$1,[2]quests!$1:$1,0)+1),MATCH(D$1,[2]quests!$1:$1,0)-MATCH($B$1,[2]quests!$1:$1,0)+1,FALSE)</f>
        <v>コラボクエスト</v>
      </c>
      <c r="E56" s="89">
        <v>2</v>
      </c>
      <c r="F56" s="85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56" s="85" t="str">
        <f ca="1">VLOOKUP($B56&amp;"_"&amp;$E56,OFFSET([2]stages!$A$1,0,0,COUNTA([2]stages!$A:$A),MATCH(G$1,[2]stages!$2:$2,0)-MATCH("temp_stage",[2]stages!$2:$2,0)+1),MATCH(G$1,[2]stages!$2:$2,0)-MATCH("temp_stage",[2]stages!$2:$2,0)+1,FALSE)</f>
        <v>コラボクエスト</v>
      </c>
      <c r="H56" s="87">
        <v>0</v>
      </c>
      <c r="I56">
        <v>33</v>
      </c>
      <c r="J56" s="86" t="s">
        <v>199</v>
      </c>
      <c r="K56" s="95" t="str">
        <f>VLOOKUP(I56,[7]stage_hints!$A:$C,3,FALSE)</f>
        <v>敵のカウンター攻撃には</v>
      </c>
      <c r="L56" s="96" t="str">
        <f>VLOOKUP(I56,[7]stage_hints!$A:$D,4,FALSE)</f>
        <v>カウンターブレイクスキルを持っていれば_x000D_敵のカウンターを解除して攻撃ができます</v>
      </c>
      <c r="M56" s="57" t="s">
        <v>212</v>
      </c>
    </row>
    <row r="57" spans="1:13" x14ac:dyDescent="0.15">
      <c r="A57" s="83" t="s">
        <v>202</v>
      </c>
      <c r="B57" s="84">
        <f>floors!$C$2</f>
        <v>39002</v>
      </c>
      <c r="C57" s="85" t="str">
        <f ca="1">VLOOKUP($B57,OFFSET([2]quests!$A$1,0,0,COUNTA([2]quests!$A:$A),MATCH(C$1,[2]quests!$1:$1,0)-MATCH($B$1,[2]quests!$1:$1,0)+1),MATCH(C$1,[2]quests!$1:$1,0)-MATCH($B$1,[2]quests!$1:$1,0)+1,FALSE)</f>
        <v>黄巾賊の暴走を止めろ</v>
      </c>
      <c r="D57" s="85" t="str">
        <f ca="1">VLOOKUP($B57,OFFSET([2]quests!$A$1,0,0,COUNTA([2]quests!$A:$A),MATCH(D$1,[2]quests!$1:$1,0)-MATCH($B$1,[2]quests!$1:$1,0)+1),MATCH(D$1,[2]quests!$1:$1,0)-MATCH($B$1,[2]quests!$1:$1,0)+1,FALSE)</f>
        <v>コラボクエスト</v>
      </c>
      <c r="E57" s="89">
        <v>2</v>
      </c>
      <c r="F57" s="85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57" s="85" t="str">
        <f ca="1">VLOOKUP($B57&amp;"_"&amp;$E57,OFFSET([2]stages!$A$1,0,0,COUNTA([2]stages!$A:$A),MATCH(G$1,[2]stages!$2:$2,0)-MATCH("temp_stage",[2]stages!$2:$2,0)+1),MATCH(G$1,[2]stages!$2:$2,0)-MATCH("temp_stage",[2]stages!$2:$2,0)+1,FALSE)</f>
        <v>コラボクエスト</v>
      </c>
      <c r="H57" s="87">
        <v>0</v>
      </c>
      <c r="I57">
        <v>34</v>
      </c>
      <c r="J57" s="86" t="s">
        <v>199</v>
      </c>
      <c r="K57" s="95" t="str">
        <f>VLOOKUP(I57,[7]stage_hints!$A:$C,3,FALSE)</f>
        <v>ステータスをスキルで下げられたら</v>
      </c>
      <c r="L57" s="96" t="str">
        <f>VLOOKUP(I57,[7]stage_hints!$A:$D,4,FALSE)</f>
        <v>ステータスダウンのスキルを受けたら_x000D_ステータスアップスキルで上書きしましょう</v>
      </c>
      <c r="M57" s="57" t="s">
        <v>212</v>
      </c>
    </row>
    <row r="58" spans="1:13" x14ac:dyDescent="0.15">
      <c r="A58" s="83" t="s">
        <v>202</v>
      </c>
      <c r="B58" s="84">
        <f>floors!$C$2</f>
        <v>39002</v>
      </c>
      <c r="C58" s="85" t="str">
        <f ca="1">VLOOKUP($B58,OFFSET([2]quests!$A$1,0,0,COUNTA([2]quests!$A:$A),MATCH(C$1,[2]quests!$1:$1,0)-MATCH($B$1,[2]quests!$1:$1,0)+1),MATCH(C$1,[2]quests!$1:$1,0)-MATCH($B$1,[2]quests!$1:$1,0)+1,FALSE)</f>
        <v>黄巾賊の暴走を止めろ</v>
      </c>
      <c r="D58" s="85" t="str">
        <f ca="1">VLOOKUP($B58,OFFSET([2]quests!$A$1,0,0,COUNTA([2]quests!$A:$A),MATCH(D$1,[2]quests!$1:$1,0)-MATCH($B$1,[2]quests!$1:$1,0)+1),MATCH(D$1,[2]quests!$1:$1,0)-MATCH($B$1,[2]quests!$1:$1,0)+1,FALSE)</f>
        <v>コラボクエスト</v>
      </c>
      <c r="E58" s="89">
        <v>2</v>
      </c>
      <c r="F58" s="85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58" s="85" t="str">
        <f ca="1">VLOOKUP($B58&amp;"_"&amp;$E58,OFFSET([2]stages!$A$1,0,0,COUNTA([2]stages!$A:$A),MATCH(G$1,[2]stages!$2:$2,0)-MATCH("temp_stage",[2]stages!$2:$2,0)+1),MATCH(G$1,[2]stages!$2:$2,0)-MATCH("temp_stage",[2]stages!$2:$2,0)+1,FALSE)</f>
        <v>コラボクエスト</v>
      </c>
      <c r="H58" s="87">
        <v>0</v>
      </c>
      <c r="I58">
        <v>35</v>
      </c>
      <c r="J58" s="86" t="s">
        <v>199</v>
      </c>
      <c r="K58" s="95" t="str">
        <f>VLOOKUP(I58,[7]stage_hints!$A:$C,3,FALSE)</f>
        <v>敵のステータスがスキルで上がったら</v>
      </c>
      <c r="L58" s="96" t="str">
        <f>VLOOKUP(I58,[7]stage_hints!$A:$D,4,FALSE)</f>
        <v>敵のステータスがスキルでアップしたときは_x000D_ステータスダウンスキルで上書きしましょう</v>
      </c>
      <c r="M58" s="57" t="s">
        <v>212</v>
      </c>
    </row>
    <row r="59" spans="1:13" x14ac:dyDescent="0.15">
      <c r="A59" s="83" t="s">
        <v>202</v>
      </c>
      <c r="B59" s="84">
        <f>floors!$C$2</f>
        <v>39002</v>
      </c>
      <c r="C59" s="85" t="str">
        <f ca="1">VLOOKUP($B59,OFFSET([2]quests!$A$1,0,0,COUNTA([2]quests!$A:$A),MATCH(C$1,[2]quests!$1:$1,0)-MATCH($B$1,[2]quests!$1:$1,0)+1),MATCH(C$1,[2]quests!$1:$1,0)-MATCH($B$1,[2]quests!$1:$1,0)+1,FALSE)</f>
        <v>黄巾賊の暴走を止めろ</v>
      </c>
      <c r="D59" s="85" t="str">
        <f ca="1">VLOOKUP($B59,OFFSET([2]quests!$A$1,0,0,COUNTA([2]quests!$A:$A),MATCH(D$1,[2]quests!$1:$1,0)-MATCH($B$1,[2]quests!$1:$1,0)+1),MATCH(D$1,[2]quests!$1:$1,0)-MATCH($B$1,[2]quests!$1:$1,0)+1,FALSE)</f>
        <v>コラボクエスト</v>
      </c>
      <c r="E59" s="89">
        <v>2</v>
      </c>
      <c r="F59" s="85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59" s="85" t="str">
        <f ca="1">VLOOKUP($B59&amp;"_"&amp;$E59,OFFSET([2]stages!$A$1,0,0,COUNTA([2]stages!$A:$A),MATCH(G$1,[2]stages!$2:$2,0)-MATCH("temp_stage",[2]stages!$2:$2,0)+1),MATCH(G$1,[2]stages!$2:$2,0)-MATCH("temp_stage",[2]stages!$2:$2,0)+1,FALSE)</f>
        <v>コラボクエスト</v>
      </c>
      <c r="H59" s="87">
        <v>0</v>
      </c>
      <c r="I59">
        <v>39</v>
      </c>
      <c r="J59" s="86" t="s">
        <v>199</v>
      </c>
      <c r="K59" s="95" t="str">
        <f>VLOOKUP(I59,[7]stage_hints!$A:$C,3,FALSE)</f>
        <v>システム適合者を確認</v>
      </c>
      <c r="L59" s="96" t="str">
        <f>VLOOKUP(I59,[7]stage_hints!$A:$D,4,FALSE)</f>
        <v>ALICEが「アナタ」を呼んでいます</v>
      </c>
      <c r="M59" s="57" t="s">
        <v>212</v>
      </c>
    </row>
    <row r="60" spans="1:13" x14ac:dyDescent="0.15">
      <c r="A60" s="83" t="s">
        <v>202</v>
      </c>
      <c r="B60" s="84">
        <f>floors!$C$2</f>
        <v>39002</v>
      </c>
      <c r="C60" s="85" t="str">
        <f ca="1">VLOOKUP($B60,OFFSET([2]quests!$A$1,0,0,COUNTA([2]quests!$A:$A),MATCH(C$1,[2]quests!$1:$1,0)-MATCH($B$1,[2]quests!$1:$1,0)+1),MATCH(C$1,[2]quests!$1:$1,0)-MATCH($B$1,[2]quests!$1:$1,0)+1,FALSE)</f>
        <v>黄巾賊の暴走を止めろ</v>
      </c>
      <c r="D60" s="85" t="str">
        <f ca="1">VLOOKUP($B60,OFFSET([2]quests!$A$1,0,0,COUNTA([2]quests!$A:$A),MATCH(D$1,[2]quests!$1:$1,0)-MATCH($B$1,[2]quests!$1:$1,0)+1),MATCH(D$1,[2]quests!$1:$1,0)-MATCH($B$1,[2]quests!$1:$1,0)+1,FALSE)</f>
        <v>コラボクエスト</v>
      </c>
      <c r="E60" s="89">
        <v>3</v>
      </c>
      <c r="F60" s="85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60" s="85" t="str">
        <f ca="1">VLOOKUP($B60&amp;"_"&amp;$E60,OFFSET([2]stages!$A$1,0,0,COUNTA([2]stages!$A:$A),MATCH(G$1,[2]stages!$2:$2,0)-MATCH("temp_stage",[2]stages!$2:$2,0)+1),MATCH(G$1,[2]stages!$2:$2,0)-MATCH("temp_stage",[2]stages!$2:$2,0)+1,FALSE)</f>
        <v>コラボクエスト</v>
      </c>
      <c r="H60" s="87">
        <v>0</v>
      </c>
      <c r="I60" s="99">
        <v>3</v>
      </c>
      <c r="J60" s="86" t="s">
        <v>199</v>
      </c>
      <c r="K60" s="95" t="str">
        <f>VLOOKUP(I60,[7]stage_hints!$A:$C,3,FALSE)</f>
        <v>ターゲット</v>
      </c>
      <c r="L60" s="96" t="str">
        <f>VLOOKUP(I60,[7]stage_hints!$A:$D,4,FALSE)</f>
        <v>敵ユニットをタップすると_x000D_その敵を狙い撃ちできます</v>
      </c>
      <c r="M60" s="57" t="s">
        <v>212</v>
      </c>
    </row>
    <row r="61" spans="1:13" x14ac:dyDescent="0.15">
      <c r="A61" s="83" t="s">
        <v>202</v>
      </c>
      <c r="B61" s="84">
        <f>floors!$C$2</f>
        <v>39002</v>
      </c>
      <c r="C61" s="85" t="str">
        <f ca="1">VLOOKUP($B61,OFFSET([2]quests!$A$1,0,0,COUNTA([2]quests!$A:$A),MATCH(C$1,[2]quests!$1:$1,0)-MATCH($B$1,[2]quests!$1:$1,0)+1),MATCH(C$1,[2]quests!$1:$1,0)-MATCH($B$1,[2]quests!$1:$1,0)+1,FALSE)</f>
        <v>黄巾賊の暴走を止めろ</v>
      </c>
      <c r="D61" s="85" t="str">
        <f ca="1">VLOOKUP($B61,OFFSET([2]quests!$A$1,0,0,COUNTA([2]quests!$A:$A),MATCH(D$1,[2]quests!$1:$1,0)-MATCH($B$1,[2]quests!$1:$1,0)+1),MATCH(D$1,[2]quests!$1:$1,0)-MATCH($B$1,[2]quests!$1:$1,0)+1,FALSE)</f>
        <v>コラボクエスト</v>
      </c>
      <c r="E61" s="89">
        <v>3</v>
      </c>
      <c r="F61" s="85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61" s="85" t="str">
        <f ca="1">VLOOKUP($B61&amp;"_"&amp;$E61,OFFSET([2]stages!$A$1,0,0,COUNTA([2]stages!$A:$A),MATCH(G$1,[2]stages!$2:$2,0)-MATCH("temp_stage",[2]stages!$2:$2,0)+1),MATCH(G$1,[2]stages!$2:$2,0)-MATCH("temp_stage",[2]stages!$2:$2,0)+1,FALSE)</f>
        <v>コラボクエスト</v>
      </c>
      <c r="H61" s="87">
        <v>0</v>
      </c>
      <c r="I61" s="99">
        <v>6</v>
      </c>
      <c r="J61" s="86" t="s">
        <v>199</v>
      </c>
      <c r="K61" s="95" t="str">
        <f>VLOOKUP(I61,[7]stage_hints!$A:$C,3,FALSE)</f>
        <v>ユニット強化の属性ボーナス</v>
      </c>
      <c r="L61" s="96" t="str">
        <f>VLOOKUP(I61,[7]stage_hints!$A:$D,4,FALSE)</f>
        <v>同属性ユニットを強化素材にすると_x000D_経験値が多くもらえます</v>
      </c>
      <c r="M61" s="57" t="s">
        <v>212</v>
      </c>
    </row>
    <row r="62" spans="1:13" x14ac:dyDescent="0.15">
      <c r="A62" s="83" t="s">
        <v>202</v>
      </c>
      <c r="B62" s="84">
        <f>floors!$C$2</f>
        <v>39002</v>
      </c>
      <c r="C62" s="85" t="str">
        <f ca="1">VLOOKUP($B62,OFFSET([2]quests!$A$1,0,0,COUNTA([2]quests!$A:$A),MATCH(C$1,[2]quests!$1:$1,0)-MATCH($B$1,[2]quests!$1:$1,0)+1),MATCH(C$1,[2]quests!$1:$1,0)-MATCH($B$1,[2]quests!$1:$1,0)+1,FALSE)</f>
        <v>黄巾賊の暴走を止めろ</v>
      </c>
      <c r="D62" s="85" t="str">
        <f ca="1">VLOOKUP($B62,OFFSET([2]quests!$A$1,0,0,COUNTA([2]quests!$A:$A),MATCH(D$1,[2]quests!$1:$1,0)-MATCH($B$1,[2]quests!$1:$1,0)+1),MATCH(D$1,[2]quests!$1:$1,0)-MATCH($B$1,[2]quests!$1:$1,0)+1,FALSE)</f>
        <v>コラボクエスト</v>
      </c>
      <c r="E62" s="89">
        <v>3</v>
      </c>
      <c r="F62" s="85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62" s="85" t="str">
        <f ca="1">VLOOKUP($B62&amp;"_"&amp;$E62,OFFSET([2]stages!$A$1,0,0,COUNTA([2]stages!$A:$A),MATCH(G$1,[2]stages!$2:$2,0)-MATCH("temp_stage",[2]stages!$2:$2,0)+1),MATCH(G$1,[2]stages!$2:$2,0)-MATCH("temp_stage",[2]stages!$2:$2,0)+1,FALSE)</f>
        <v>コラボクエスト</v>
      </c>
      <c r="H62" s="87">
        <v>0</v>
      </c>
      <c r="I62" s="99">
        <v>7</v>
      </c>
      <c r="J62" s="86" t="s">
        <v>199</v>
      </c>
      <c r="K62" s="95" t="str">
        <f>VLOOKUP(I62,[7]stage_hints!$A:$C,3,FALSE)</f>
        <v>メタルダックで経験値を獲得</v>
      </c>
      <c r="L62" s="96" t="str">
        <f>VLOOKUP(I62,[7]stage_hints!$A:$D,4,FALSE)</f>
        <v>「メタルなアヒル」を強化素材にすると_x000D_大量の経験値がもらえます</v>
      </c>
      <c r="M62" s="57" t="s">
        <v>212</v>
      </c>
    </row>
    <row r="63" spans="1:13" x14ac:dyDescent="0.15">
      <c r="A63" s="83" t="s">
        <v>202</v>
      </c>
      <c r="B63" s="84">
        <f>floors!$C$2</f>
        <v>39002</v>
      </c>
      <c r="C63" s="85" t="str">
        <f ca="1">VLOOKUP($B63,OFFSET([2]quests!$A$1,0,0,COUNTA([2]quests!$A:$A),MATCH(C$1,[2]quests!$1:$1,0)-MATCH($B$1,[2]quests!$1:$1,0)+1),MATCH(C$1,[2]quests!$1:$1,0)-MATCH($B$1,[2]quests!$1:$1,0)+1,FALSE)</f>
        <v>黄巾賊の暴走を止めろ</v>
      </c>
      <c r="D63" s="85" t="str">
        <f ca="1">VLOOKUP($B63,OFFSET([2]quests!$A$1,0,0,COUNTA([2]quests!$A:$A),MATCH(D$1,[2]quests!$1:$1,0)-MATCH($B$1,[2]quests!$1:$1,0)+1),MATCH(D$1,[2]quests!$1:$1,0)-MATCH($B$1,[2]quests!$1:$1,0)+1,FALSE)</f>
        <v>コラボクエスト</v>
      </c>
      <c r="E63" s="89">
        <v>3</v>
      </c>
      <c r="F63" s="85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63" s="85" t="str">
        <f ca="1">VLOOKUP($B63&amp;"_"&amp;$E63,OFFSET([2]stages!$A$1,0,0,COUNTA([2]stages!$A:$A),MATCH(G$1,[2]stages!$2:$2,0)-MATCH("temp_stage",[2]stages!$2:$2,0)+1),MATCH(G$1,[2]stages!$2:$2,0)-MATCH("temp_stage",[2]stages!$2:$2,0)+1,FALSE)</f>
        <v>コラボクエスト</v>
      </c>
      <c r="H63" s="87">
        <v>0</v>
      </c>
      <c r="I63" s="99">
        <v>8</v>
      </c>
      <c r="J63" s="86" t="s">
        <v>199</v>
      </c>
      <c r="K63" s="95" t="str">
        <f>VLOOKUP(I63,[7]stage_hints!$A:$C,3,FALSE)</f>
        <v>ゲリラクエストは要チェック</v>
      </c>
      <c r="L63" s="96" t="str">
        <f>VLOOKUP(I63,[7]stage_hints!$A:$D,4,FALSE)</f>
        <v>時間限定の「アヒル捕獲作戦」では_x000D_経験値素材ユニットが多く手に入ります</v>
      </c>
      <c r="M63" s="57" t="s">
        <v>212</v>
      </c>
    </row>
    <row r="64" spans="1:13" x14ac:dyDescent="0.15">
      <c r="A64" s="83" t="s">
        <v>202</v>
      </c>
      <c r="B64" s="84">
        <f>floors!$C$2</f>
        <v>39002</v>
      </c>
      <c r="C64" s="85" t="str">
        <f ca="1">VLOOKUP($B64,OFFSET([2]quests!$A$1,0,0,COUNTA([2]quests!$A:$A),MATCH(C$1,[2]quests!$1:$1,0)-MATCH($B$1,[2]quests!$1:$1,0)+1),MATCH(C$1,[2]quests!$1:$1,0)-MATCH($B$1,[2]quests!$1:$1,0)+1,FALSE)</f>
        <v>黄巾賊の暴走を止めろ</v>
      </c>
      <c r="D64" s="85" t="str">
        <f ca="1">VLOOKUP($B64,OFFSET([2]quests!$A$1,0,0,COUNTA([2]quests!$A:$A),MATCH(D$1,[2]quests!$1:$1,0)-MATCH($B$1,[2]quests!$1:$1,0)+1),MATCH(D$1,[2]quests!$1:$1,0)-MATCH($B$1,[2]quests!$1:$1,0)+1,FALSE)</f>
        <v>コラボクエスト</v>
      </c>
      <c r="E64" s="89">
        <v>3</v>
      </c>
      <c r="F64" s="85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64" s="85" t="str">
        <f ca="1">VLOOKUP($B64&amp;"_"&amp;$E64,OFFSET([2]stages!$A$1,0,0,COUNTA([2]stages!$A:$A),MATCH(G$1,[2]stages!$2:$2,0)-MATCH("temp_stage",[2]stages!$2:$2,0)+1),MATCH(G$1,[2]stages!$2:$2,0)-MATCH("temp_stage",[2]stages!$2:$2,0)+1,FALSE)</f>
        <v>コラボクエスト</v>
      </c>
      <c r="H64" s="87">
        <v>0</v>
      </c>
      <c r="I64" s="99">
        <v>9</v>
      </c>
      <c r="J64" s="86" t="s">
        <v>199</v>
      </c>
      <c r="K64" s="95" t="str">
        <f>VLOOKUP(I64,[7]stage_hints!$A:$C,3,FALSE)</f>
        <v>ゴールドダックでビットを獲得</v>
      </c>
      <c r="L64" s="96" t="str">
        <f>VLOOKUP(I64,[7]stage_hints!$A:$D,4,FALSE)</f>
        <v>「ゴールドなアヒル」を売却すると_x000D_大量のビットがもらえます</v>
      </c>
      <c r="M64" s="57" t="s">
        <v>212</v>
      </c>
    </row>
    <row r="65" spans="1:13" x14ac:dyDescent="0.15">
      <c r="A65" s="83" t="s">
        <v>202</v>
      </c>
      <c r="B65" s="84">
        <f>floors!$C$2</f>
        <v>39002</v>
      </c>
      <c r="C65" s="85" t="str">
        <f ca="1">VLOOKUP($B65,OFFSET([2]quests!$A$1,0,0,COUNTA([2]quests!$A:$A),MATCH(C$1,[2]quests!$1:$1,0)-MATCH($B$1,[2]quests!$1:$1,0)+1),MATCH(C$1,[2]quests!$1:$1,0)-MATCH($B$1,[2]quests!$1:$1,0)+1,FALSE)</f>
        <v>黄巾賊の暴走を止めろ</v>
      </c>
      <c r="D65" s="85" t="str">
        <f ca="1">VLOOKUP($B65,OFFSET([2]quests!$A$1,0,0,COUNTA([2]quests!$A:$A),MATCH(D$1,[2]quests!$1:$1,0)-MATCH($B$1,[2]quests!$1:$1,0)+1),MATCH(D$1,[2]quests!$1:$1,0)-MATCH($B$1,[2]quests!$1:$1,0)+1,FALSE)</f>
        <v>コラボクエスト</v>
      </c>
      <c r="E65" s="89">
        <v>3</v>
      </c>
      <c r="F65" s="85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65" s="85" t="str">
        <f ca="1">VLOOKUP($B65&amp;"_"&amp;$E65,OFFSET([2]stages!$A$1,0,0,COUNTA([2]stages!$A:$A),MATCH(G$1,[2]stages!$2:$2,0)-MATCH("temp_stage",[2]stages!$2:$2,0)+1),MATCH(G$1,[2]stages!$2:$2,0)-MATCH("temp_stage",[2]stages!$2:$2,0)+1,FALSE)</f>
        <v>コラボクエスト</v>
      </c>
      <c r="H65" s="87">
        <v>0</v>
      </c>
      <c r="I65" s="99">
        <v>10</v>
      </c>
      <c r="J65" s="86" t="s">
        <v>199</v>
      </c>
      <c r="K65" s="95" t="str">
        <f>VLOOKUP(I65,[7]stage_hints!$A:$C,3,FALSE)</f>
        <v>土日に大量のビットを獲得</v>
      </c>
      <c r="L65" s="96" t="str">
        <f>VLOOKUP(I65,[7]stage_hints!$A:$D,4,FALSE)</f>
        <v>土日限定の「ゴールドカジノ」では_x000D_売却素材ユニットが多く手に入ります</v>
      </c>
      <c r="M65" s="57" t="s">
        <v>212</v>
      </c>
    </row>
    <row r="66" spans="1:13" x14ac:dyDescent="0.15">
      <c r="A66" s="83" t="s">
        <v>202</v>
      </c>
      <c r="B66" s="84">
        <f>floors!$C$2</f>
        <v>39002</v>
      </c>
      <c r="C66" s="85" t="str">
        <f ca="1">VLOOKUP($B66,OFFSET([2]quests!$A$1,0,0,COUNTA([2]quests!$A:$A),MATCH(C$1,[2]quests!$1:$1,0)-MATCH($B$1,[2]quests!$1:$1,0)+1),MATCH(C$1,[2]quests!$1:$1,0)-MATCH($B$1,[2]quests!$1:$1,0)+1,FALSE)</f>
        <v>黄巾賊の暴走を止めろ</v>
      </c>
      <c r="D66" s="85" t="str">
        <f ca="1">VLOOKUP($B66,OFFSET([2]quests!$A$1,0,0,COUNTA([2]quests!$A:$A),MATCH(D$1,[2]quests!$1:$1,0)-MATCH($B$1,[2]quests!$1:$1,0)+1),MATCH(D$1,[2]quests!$1:$1,0)-MATCH($B$1,[2]quests!$1:$1,0)+1,FALSE)</f>
        <v>コラボクエスト</v>
      </c>
      <c r="E66" s="89">
        <v>3</v>
      </c>
      <c r="F66" s="85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66" s="85" t="str">
        <f ca="1">VLOOKUP($B66&amp;"_"&amp;$E66,OFFSET([2]stages!$A$1,0,0,COUNTA([2]stages!$A:$A),MATCH(G$1,[2]stages!$2:$2,0)-MATCH("temp_stage",[2]stages!$2:$2,0)+1),MATCH(G$1,[2]stages!$2:$2,0)-MATCH("temp_stage",[2]stages!$2:$2,0)+1,FALSE)</f>
        <v>コラボクエスト</v>
      </c>
      <c r="H66" s="87">
        <v>0</v>
      </c>
      <c r="I66" s="99">
        <v>11</v>
      </c>
      <c r="J66" s="86" t="s">
        <v>199</v>
      </c>
      <c r="K66" s="95" t="str">
        <f>VLOOKUP(I66,[7]stage_hints!$A:$C,3,FALSE)</f>
        <v>ランク解放クエスト</v>
      </c>
      <c r="L66" s="96" t="str">
        <f>VLOOKUP(I66,[7]stage_hints!$A:$D,4,FALSE)</f>
        <v>一定ランクに到達すると_x000D_報酬付きのランク開放クエストが現れます</v>
      </c>
      <c r="M66" s="57" t="s">
        <v>212</v>
      </c>
    </row>
    <row r="67" spans="1:13" x14ac:dyDescent="0.15">
      <c r="A67" s="83" t="s">
        <v>202</v>
      </c>
      <c r="B67" s="84">
        <f>floors!$C$2</f>
        <v>39002</v>
      </c>
      <c r="C67" s="85" t="str">
        <f ca="1">VLOOKUP($B67,OFFSET([2]quests!$A$1,0,0,COUNTA([2]quests!$A:$A),MATCH(C$1,[2]quests!$1:$1,0)-MATCH($B$1,[2]quests!$1:$1,0)+1),MATCH(C$1,[2]quests!$1:$1,0)-MATCH($B$1,[2]quests!$1:$1,0)+1,FALSE)</f>
        <v>黄巾賊の暴走を止めろ</v>
      </c>
      <c r="D67" s="85" t="str">
        <f ca="1">VLOOKUP($B67,OFFSET([2]quests!$A$1,0,0,COUNTA([2]quests!$A:$A),MATCH(D$1,[2]quests!$1:$1,0)-MATCH($B$1,[2]quests!$1:$1,0)+1),MATCH(D$1,[2]quests!$1:$1,0)-MATCH($B$1,[2]quests!$1:$1,0)+1,FALSE)</f>
        <v>コラボクエスト</v>
      </c>
      <c r="E67" s="89">
        <v>3</v>
      </c>
      <c r="F67" s="85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67" s="85" t="str">
        <f ca="1">VLOOKUP($B67&amp;"_"&amp;$E67,OFFSET([2]stages!$A$1,0,0,COUNTA([2]stages!$A:$A),MATCH(G$1,[2]stages!$2:$2,0)-MATCH("temp_stage",[2]stages!$2:$2,0)+1),MATCH(G$1,[2]stages!$2:$2,0)-MATCH("temp_stage",[2]stages!$2:$2,0)+1,FALSE)</f>
        <v>コラボクエスト</v>
      </c>
      <c r="H67" s="87">
        <v>0</v>
      </c>
      <c r="I67" s="99">
        <v>12</v>
      </c>
      <c r="J67" s="86" t="s">
        <v>199</v>
      </c>
      <c r="K67" s="95" t="str">
        <f>VLOOKUP(I67,[7]stage_hints!$A:$C,3,FALSE)</f>
        <v>ユニットのお気に入り登録</v>
      </c>
      <c r="L67" s="96" t="str">
        <f>VLOOKUP(I67,[7]stage_hints!$A:$D,4,FALSE)</f>
        <v>大事なユニットを誤って消さないように_x000D_フォルダから「お気に入り登録」しましょう</v>
      </c>
      <c r="M67" s="57" t="s">
        <v>212</v>
      </c>
    </row>
    <row r="68" spans="1:13" x14ac:dyDescent="0.15">
      <c r="A68" s="83" t="s">
        <v>202</v>
      </c>
      <c r="B68" s="84">
        <f>floors!$C$2</f>
        <v>39002</v>
      </c>
      <c r="C68" s="85" t="str">
        <f ca="1">VLOOKUP($B68,OFFSET([2]quests!$A$1,0,0,COUNTA([2]quests!$A:$A),MATCH(C$1,[2]quests!$1:$1,0)-MATCH($B$1,[2]quests!$1:$1,0)+1),MATCH(C$1,[2]quests!$1:$1,0)-MATCH($B$1,[2]quests!$1:$1,0)+1,FALSE)</f>
        <v>黄巾賊の暴走を止めろ</v>
      </c>
      <c r="D68" s="85" t="str">
        <f ca="1">VLOOKUP($B68,OFFSET([2]quests!$A$1,0,0,COUNTA([2]quests!$A:$A),MATCH(D$1,[2]quests!$1:$1,0)-MATCH($B$1,[2]quests!$1:$1,0)+1),MATCH(D$1,[2]quests!$1:$1,0)-MATCH($B$1,[2]quests!$1:$1,0)+1,FALSE)</f>
        <v>コラボクエスト</v>
      </c>
      <c r="E68" s="89">
        <v>3</v>
      </c>
      <c r="F68" s="85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68" s="85" t="str">
        <f ca="1">VLOOKUP($B68&amp;"_"&amp;$E68,OFFSET([2]stages!$A$1,0,0,COUNTA([2]stages!$A:$A),MATCH(G$1,[2]stages!$2:$2,0)-MATCH("temp_stage",[2]stages!$2:$2,0)+1),MATCH(G$1,[2]stages!$2:$2,0)-MATCH("temp_stage",[2]stages!$2:$2,0)+1,FALSE)</f>
        <v>コラボクエスト</v>
      </c>
      <c r="H68" s="87">
        <v>0</v>
      </c>
      <c r="I68" s="99">
        <v>13</v>
      </c>
      <c r="J68" s="86" t="s">
        <v>199</v>
      </c>
      <c r="K68" s="95" t="str">
        <f>VLOOKUP(I68,[7]stage_hints!$A:$C,3,FALSE)</f>
        <v>ユニットの覚醒</v>
      </c>
      <c r="L68" s="96" t="str">
        <f>VLOOKUP(I68,[7]stage_hints!$A:$D,4,FALSE)</f>
        <v>ユニットを覚醒させると_x000D_比べものにならない強さが手に入ります</v>
      </c>
      <c r="M68" s="57" t="s">
        <v>212</v>
      </c>
    </row>
    <row r="69" spans="1:13" x14ac:dyDescent="0.15">
      <c r="A69" s="83" t="s">
        <v>202</v>
      </c>
      <c r="B69" s="84">
        <f>floors!$C$2</f>
        <v>39002</v>
      </c>
      <c r="C69" s="85" t="str">
        <f ca="1">VLOOKUP($B69,OFFSET([2]quests!$A$1,0,0,COUNTA([2]quests!$A:$A),MATCH(C$1,[2]quests!$1:$1,0)-MATCH($B$1,[2]quests!$1:$1,0)+1),MATCH(C$1,[2]quests!$1:$1,0)-MATCH($B$1,[2]quests!$1:$1,0)+1,FALSE)</f>
        <v>黄巾賊の暴走を止めろ</v>
      </c>
      <c r="D69" s="85" t="str">
        <f ca="1">VLOOKUP($B69,OFFSET([2]quests!$A$1,0,0,COUNTA([2]quests!$A:$A),MATCH(D$1,[2]quests!$1:$1,0)-MATCH($B$1,[2]quests!$1:$1,0)+1),MATCH(D$1,[2]quests!$1:$1,0)-MATCH($B$1,[2]quests!$1:$1,0)+1,FALSE)</f>
        <v>コラボクエスト</v>
      </c>
      <c r="E69" s="89">
        <v>3</v>
      </c>
      <c r="F69" s="85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69" s="85" t="str">
        <f ca="1">VLOOKUP($B69&amp;"_"&amp;$E69,OFFSET([2]stages!$A$1,0,0,COUNTA([2]stages!$A:$A),MATCH(G$1,[2]stages!$2:$2,0)-MATCH("temp_stage",[2]stages!$2:$2,0)+1),MATCH(G$1,[2]stages!$2:$2,0)-MATCH("temp_stage",[2]stages!$2:$2,0)+1,FALSE)</f>
        <v>コラボクエスト</v>
      </c>
      <c r="H69" s="87">
        <v>0</v>
      </c>
      <c r="I69" s="99">
        <v>14</v>
      </c>
      <c r="J69" s="86" t="s">
        <v>199</v>
      </c>
      <c r="K69" s="95" t="str">
        <f>VLOOKUP(I69,[7]stage_hints!$A:$C,3,FALSE)</f>
        <v>覚醒するにはレベルを最大に</v>
      </c>
      <c r="L69" s="96" t="str">
        <f>VLOOKUP(I69,[7]stage_hints!$A:$D,4,FALSE)</f>
        <v>覚醒するにはユニットのレベルを_x000D_最大まで上げる必要があります</v>
      </c>
      <c r="M69" s="57" t="s">
        <v>212</v>
      </c>
    </row>
    <row r="70" spans="1:13" x14ac:dyDescent="0.15">
      <c r="A70" s="83" t="s">
        <v>202</v>
      </c>
      <c r="B70" s="84">
        <f>floors!$C$2</f>
        <v>39002</v>
      </c>
      <c r="C70" s="85" t="str">
        <f ca="1">VLOOKUP($B70,OFFSET([2]quests!$A$1,0,0,COUNTA([2]quests!$A:$A),MATCH(C$1,[2]quests!$1:$1,0)-MATCH($B$1,[2]quests!$1:$1,0)+1),MATCH(C$1,[2]quests!$1:$1,0)-MATCH($B$1,[2]quests!$1:$1,0)+1,FALSE)</f>
        <v>黄巾賊の暴走を止めろ</v>
      </c>
      <c r="D70" s="85" t="str">
        <f ca="1">VLOOKUP($B70,OFFSET([2]quests!$A$1,0,0,COUNTA([2]quests!$A:$A),MATCH(D$1,[2]quests!$1:$1,0)-MATCH($B$1,[2]quests!$1:$1,0)+1),MATCH(D$1,[2]quests!$1:$1,0)-MATCH($B$1,[2]quests!$1:$1,0)+1,FALSE)</f>
        <v>コラボクエスト</v>
      </c>
      <c r="E70" s="89">
        <v>3</v>
      </c>
      <c r="F70" s="85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70" s="85" t="str">
        <f ca="1">VLOOKUP($B70&amp;"_"&amp;$E70,OFFSET([2]stages!$A$1,0,0,COUNTA([2]stages!$A:$A),MATCH(G$1,[2]stages!$2:$2,0)-MATCH("temp_stage",[2]stages!$2:$2,0)+1),MATCH(G$1,[2]stages!$2:$2,0)-MATCH("temp_stage",[2]stages!$2:$2,0)+1,FALSE)</f>
        <v>コラボクエスト</v>
      </c>
      <c r="H70" s="87">
        <v>0</v>
      </c>
      <c r="I70" s="99">
        <v>15</v>
      </c>
      <c r="J70" s="86" t="s">
        <v>199</v>
      </c>
      <c r="K70" s="95" t="str">
        <f>VLOOKUP(I70,[7]stage_hints!$A:$C,3,FALSE)</f>
        <v>覚醒素材を獲得</v>
      </c>
      <c r="L70" s="96" t="str">
        <f>VLOOKUP(I70,[7]stage_hints!$A:$D,4,FALSE)</f>
        <v>「曜日クエスト」では_x000D_ユニットの覚醒に必要な素材が手に入ります</v>
      </c>
      <c r="M70" s="57" t="s">
        <v>212</v>
      </c>
    </row>
    <row r="71" spans="1:13" x14ac:dyDescent="0.15">
      <c r="A71" s="83" t="s">
        <v>202</v>
      </c>
      <c r="B71" s="84">
        <f>floors!$C$2</f>
        <v>39002</v>
      </c>
      <c r="C71" s="85" t="str">
        <f ca="1">VLOOKUP($B71,OFFSET([2]quests!$A$1,0,0,COUNTA([2]quests!$A:$A),MATCH(C$1,[2]quests!$1:$1,0)-MATCH($B$1,[2]quests!$1:$1,0)+1),MATCH(C$1,[2]quests!$1:$1,0)-MATCH($B$1,[2]quests!$1:$1,0)+1,FALSE)</f>
        <v>黄巾賊の暴走を止めろ</v>
      </c>
      <c r="D71" s="85" t="str">
        <f ca="1">VLOOKUP($B71,OFFSET([2]quests!$A$1,0,0,COUNTA([2]quests!$A:$A),MATCH(D$1,[2]quests!$1:$1,0)-MATCH($B$1,[2]quests!$1:$1,0)+1),MATCH(D$1,[2]quests!$1:$1,0)-MATCH($B$1,[2]quests!$1:$1,0)+1,FALSE)</f>
        <v>コラボクエスト</v>
      </c>
      <c r="E71" s="89">
        <v>3</v>
      </c>
      <c r="F71" s="85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71" s="85" t="str">
        <f ca="1">VLOOKUP($B71&amp;"_"&amp;$E71,OFFSET([2]stages!$A$1,0,0,COUNTA([2]stages!$A:$A),MATCH(G$1,[2]stages!$2:$2,0)-MATCH("temp_stage",[2]stages!$2:$2,0)+1),MATCH(G$1,[2]stages!$2:$2,0)-MATCH("temp_stage",[2]stages!$2:$2,0)+1,FALSE)</f>
        <v>コラボクエスト</v>
      </c>
      <c r="H71" s="87">
        <v>0</v>
      </c>
      <c r="I71" s="99">
        <v>16</v>
      </c>
      <c r="J71" s="86" t="s">
        <v>199</v>
      </c>
      <c r="K71" s="95" t="str">
        <f>VLOOKUP(I71,[7]stage_hints!$A:$C,3,FALSE)</f>
        <v>マルチプレイのメリット（その1）</v>
      </c>
      <c r="L71" s="96" t="str">
        <f>VLOOKUP(I71,[7]stage_hints!$A:$D,4,FALSE)</f>
        <v>他のプレイヤーとマルチプレイで遊ぶと_x000D_ポリゴンがもらえます（100人まで）</v>
      </c>
      <c r="M71" s="57" t="s">
        <v>212</v>
      </c>
    </row>
    <row r="72" spans="1:13" x14ac:dyDescent="0.15">
      <c r="A72" s="83" t="s">
        <v>202</v>
      </c>
      <c r="B72" s="84">
        <f>floors!$C$2</f>
        <v>39002</v>
      </c>
      <c r="C72" s="85" t="str">
        <f ca="1">VLOOKUP($B72,OFFSET([2]quests!$A$1,0,0,COUNTA([2]quests!$A:$A),MATCH(C$1,[2]quests!$1:$1,0)-MATCH($B$1,[2]quests!$1:$1,0)+1),MATCH(C$1,[2]quests!$1:$1,0)-MATCH($B$1,[2]quests!$1:$1,0)+1,FALSE)</f>
        <v>黄巾賊の暴走を止めろ</v>
      </c>
      <c r="D72" s="85" t="str">
        <f ca="1">VLOOKUP($B72,OFFSET([2]quests!$A$1,0,0,COUNTA([2]quests!$A:$A),MATCH(D$1,[2]quests!$1:$1,0)-MATCH($B$1,[2]quests!$1:$1,0)+1),MATCH(D$1,[2]quests!$1:$1,0)-MATCH($B$1,[2]quests!$1:$1,0)+1,FALSE)</f>
        <v>コラボクエスト</v>
      </c>
      <c r="E72" s="89">
        <v>3</v>
      </c>
      <c r="F72" s="85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72" s="85" t="str">
        <f ca="1">VLOOKUP($B72&amp;"_"&amp;$E72,OFFSET([2]stages!$A$1,0,0,COUNTA([2]stages!$A:$A),MATCH(G$1,[2]stages!$2:$2,0)-MATCH("temp_stage",[2]stages!$2:$2,0)+1),MATCH(G$1,[2]stages!$2:$2,0)-MATCH("temp_stage",[2]stages!$2:$2,0)+1,FALSE)</f>
        <v>コラボクエスト</v>
      </c>
      <c r="H72" s="87">
        <v>0</v>
      </c>
      <c r="I72" s="99">
        <v>17</v>
      </c>
      <c r="J72" s="86" t="s">
        <v>199</v>
      </c>
      <c r="K72" s="95" t="str">
        <f>VLOOKUP(I72,[7]stage_hints!$A:$C,3,FALSE)</f>
        <v>リンクガチャ</v>
      </c>
      <c r="L72" s="96" t="str">
        <f>VLOOKUP(I72,[7]stage_hints!$A:$D,4,FALSE)</f>
        <v>無料のリンクガチャを回して_x000D_経験値素材や売却素材を獲得しましょう</v>
      </c>
      <c r="M72" s="57" t="s">
        <v>212</v>
      </c>
    </row>
    <row r="73" spans="1:13" x14ac:dyDescent="0.15">
      <c r="A73" s="83" t="s">
        <v>202</v>
      </c>
      <c r="B73" s="84">
        <f>floors!$C$2</f>
        <v>39002</v>
      </c>
      <c r="C73" s="85" t="str">
        <f ca="1">VLOOKUP($B73,OFFSET([2]quests!$A$1,0,0,COUNTA([2]quests!$A:$A),MATCH(C$1,[2]quests!$1:$1,0)-MATCH($B$1,[2]quests!$1:$1,0)+1),MATCH(C$1,[2]quests!$1:$1,0)-MATCH($B$1,[2]quests!$1:$1,0)+1,FALSE)</f>
        <v>黄巾賊の暴走を止めろ</v>
      </c>
      <c r="D73" s="85" t="str">
        <f ca="1">VLOOKUP($B73,OFFSET([2]quests!$A$1,0,0,COUNTA([2]quests!$A:$A),MATCH(D$1,[2]quests!$1:$1,0)-MATCH($B$1,[2]quests!$1:$1,0)+1),MATCH(D$1,[2]quests!$1:$1,0)-MATCH($B$1,[2]quests!$1:$1,0)+1,FALSE)</f>
        <v>コラボクエスト</v>
      </c>
      <c r="E73" s="89">
        <v>3</v>
      </c>
      <c r="F73" s="85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73" s="85" t="str">
        <f ca="1">VLOOKUP($B73&amp;"_"&amp;$E73,OFFSET([2]stages!$A$1,0,0,COUNTA([2]stages!$A:$A),MATCH(G$1,[2]stages!$2:$2,0)-MATCH("temp_stage",[2]stages!$2:$2,0)+1),MATCH(G$1,[2]stages!$2:$2,0)-MATCH("temp_stage",[2]stages!$2:$2,0)+1,FALSE)</f>
        <v>コラボクエスト</v>
      </c>
      <c r="H73" s="87">
        <v>0</v>
      </c>
      <c r="I73" s="99">
        <v>18</v>
      </c>
      <c r="J73" s="86" t="s">
        <v>199</v>
      </c>
      <c r="K73" s="95" t="str">
        <f>VLOOKUP(I73,[7]stage_hints!$A:$C,3,FALSE)</f>
        <v>マルチプレイのメリット（その2）</v>
      </c>
      <c r="L73" s="96" t="str">
        <f>VLOOKUP(I73,[7]stage_hints!$A:$D,4,FALSE)</f>
        <v>マルチプレイならリンクが2倍もらえます_x000D_リンクガチャをたくさん回しましょう</v>
      </c>
      <c r="M73" s="57" t="s">
        <v>212</v>
      </c>
    </row>
    <row r="74" spans="1:13" x14ac:dyDescent="0.15">
      <c r="A74" s="83" t="s">
        <v>202</v>
      </c>
      <c r="B74" s="84">
        <f>floors!$C$2</f>
        <v>39002</v>
      </c>
      <c r="C74" s="85" t="str">
        <f ca="1">VLOOKUP($B74,OFFSET([2]quests!$A$1,0,0,COUNTA([2]quests!$A:$A),MATCH(C$1,[2]quests!$1:$1,0)-MATCH($B$1,[2]quests!$1:$1,0)+1),MATCH(C$1,[2]quests!$1:$1,0)-MATCH($B$1,[2]quests!$1:$1,0)+1,FALSE)</f>
        <v>黄巾賊の暴走を止めろ</v>
      </c>
      <c r="D74" s="85" t="str">
        <f ca="1">VLOOKUP($B74,OFFSET([2]quests!$A$1,0,0,COUNTA([2]quests!$A:$A),MATCH(D$1,[2]quests!$1:$1,0)-MATCH($B$1,[2]quests!$1:$1,0)+1),MATCH(D$1,[2]quests!$1:$1,0)-MATCH($B$1,[2]quests!$1:$1,0)+1,FALSE)</f>
        <v>コラボクエスト</v>
      </c>
      <c r="E74" s="89">
        <v>3</v>
      </c>
      <c r="F74" s="85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74" s="85" t="str">
        <f ca="1">VLOOKUP($B74&amp;"_"&amp;$E74,OFFSET([2]stages!$A$1,0,0,COUNTA([2]stages!$A:$A),MATCH(G$1,[2]stages!$2:$2,0)-MATCH("temp_stage",[2]stages!$2:$2,0)+1),MATCH(G$1,[2]stages!$2:$2,0)-MATCH("temp_stage",[2]stages!$2:$2,0)+1,FALSE)</f>
        <v>コラボクエスト</v>
      </c>
      <c r="H74" s="87">
        <v>0</v>
      </c>
      <c r="I74" s="99">
        <v>19</v>
      </c>
      <c r="J74" s="86" t="s">
        <v>199</v>
      </c>
      <c r="K74" s="95" t="str">
        <f>VLOOKUP(I74,[7]stage_hints!$A:$C,3,FALSE)</f>
        <v>ソロ専用チャレンジタワー</v>
      </c>
      <c r="L74" s="96" t="str">
        <f>VLOOKUP(I74,[7]stage_hints!$A:$D,4,FALSE)</f>
        <v>ソロ専用の「チャレンジタワー」では_x000D_各フロアごとにクリア報酬がもらえます</v>
      </c>
      <c r="M74" s="57" t="s">
        <v>212</v>
      </c>
    </row>
    <row r="75" spans="1:13" x14ac:dyDescent="0.15">
      <c r="A75" s="83" t="s">
        <v>202</v>
      </c>
      <c r="B75" s="84">
        <f>floors!$C$2</f>
        <v>39002</v>
      </c>
      <c r="C75" s="85" t="str">
        <f ca="1">VLOOKUP($B75,OFFSET([2]quests!$A$1,0,0,COUNTA([2]quests!$A:$A),MATCH(C$1,[2]quests!$1:$1,0)-MATCH($B$1,[2]quests!$1:$1,0)+1),MATCH(C$1,[2]quests!$1:$1,0)-MATCH($B$1,[2]quests!$1:$1,0)+1,FALSE)</f>
        <v>黄巾賊の暴走を止めろ</v>
      </c>
      <c r="D75" s="85" t="str">
        <f ca="1">VLOOKUP($B75,OFFSET([2]quests!$A$1,0,0,COUNTA([2]quests!$A:$A),MATCH(D$1,[2]quests!$1:$1,0)-MATCH($B$1,[2]quests!$1:$1,0)+1),MATCH(D$1,[2]quests!$1:$1,0)-MATCH($B$1,[2]quests!$1:$1,0)+1,FALSE)</f>
        <v>コラボクエスト</v>
      </c>
      <c r="E75" s="89">
        <v>3</v>
      </c>
      <c r="F75" s="85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75" s="85" t="str">
        <f ca="1">VLOOKUP($B75&amp;"_"&amp;$E75,OFFSET([2]stages!$A$1,0,0,COUNTA([2]stages!$A:$A),MATCH(G$1,[2]stages!$2:$2,0)-MATCH("temp_stage",[2]stages!$2:$2,0)+1),MATCH(G$1,[2]stages!$2:$2,0)-MATCH("temp_stage",[2]stages!$2:$2,0)+1,FALSE)</f>
        <v>コラボクエスト</v>
      </c>
      <c r="H75" s="87">
        <v>0</v>
      </c>
      <c r="I75" s="99">
        <v>20</v>
      </c>
      <c r="J75" s="86" t="s">
        <v>199</v>
      </c>
      <c r="K75" s="95" t="str">
        <f>VLOOKUP(I75,[7]stage_hints!$A:$C,3,FALSE)</f>
        <v>マルチプレイのメリット（その3）</v>
      </c>
      <c r="L75" s="96" t="str">
        <f>VLOOKUP(I75,[7]stage_hints!$A:$D,4,FALSE)</f>
        <v>マルチプレイへの参加はエナジー消費ゼロ_x000D_いつでも好きなだけ遊ぶことができます</v>
      </c>
      <c r="M75" s="57" t="s">
        <v>212</v>
      </c>
    </row>
    <row r="76" spans="1:13" x14ac:dyDescent="0.15">
      <c r="A76" s="83" t="s">
        <v>202</v>
      </c>
      <c r="B76" s="84">
        <f>floors!$C$2</f>
        <v>39002</v>
      </c>
      <c r="C76" s="85" t="str">
        <f ca="1">VLOOKUP($B76,OFFSET([2]quests!$A$1,0,0,COUNTA([2]quests!$A:$A),MATCH(C$1,[2]quests!$1:$1,0)-MATCH($B$1,[2]quests!$1:$1,0)+1),MATCH(C$1,[2]quests!$1:$1,0)-MATCH($B$1,[2]quests!$1:$1,0)+1,FALSE)</f>
        <v>黄巾賊の暴走を止めろ</v>
      </c>
      <c r="D76" s="85" t="str">
        <f ca="1">VLOOKUP($B76,OFFSET([2]quests!$A$1,0,0,COUNTA([2]quests!$A:$A),MATCH(D$1,[2]quests!$1:$1,0)-MATCH($B$1,[2]quests!$1:$1,0)+1),MATCH(D$1,[2]quests!$1:$1,0)-MATCH($B$1,[2]quests!$1:$1,0)+1,FALSE)</f>
        <v>コラボクエスト</v>
      </c>
      <c r="E76" s="89">
        <v>3</v>
      </c>
      <c r="F76" s="85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76" s="85" t="str">
        <f ca="1">VLOOKUP($B76&amp;"_"&amp;$E76,OFFSET([2]stages!$A$1,0,0,COUNTA([2]stages!$A:$A),MATCH(G$1,[2]stages!$2:$2,0)-MATCH("temp_stage",[2]stages!$2:$2,0)+1),MATCH(G$1,[2]stages!$2:$2,0)-MATCH("temp_stage",[2]stages!$2:$2,0)+1,FALSE)</f>
        <v>コラボクエスト</v>
      </c>
      <c r="H76" s="87">
        <v>0</v>
      </c>
      <c r="I76" s="99">
        <v>21</v>
      </c>
      <c r="J76" s="86" t="s">
        <v>199</v>
      </c>
      <c r="K76" s="95" t="str">
        <f>VLOOKUP(I76,[7]stage_hints!$A:$C,3,FALSE)</f>
        <v>スキルを有効に</v>
      </c>
      <c r="L76" s="96" t="str">
        <f>VLOOKUP(I76,[7]stage_hints!$A:$D,4,FALSE)</f>
        <v>ターン経過でユニットのスキルが使えます_x000D_強力スキルでバトルを有利に進めましょう</v>
      </c>
      <c r="M76" s="57" t="s">
        <v>212</v>
      </c>
    </row>
    <row r="77" spans="1:13" x14ac:dyDescent="0.15">
      <c r="A77" s="83" t="s">
        <v>202</v>
      </c>
      <c r="B77" s="84">
        <f>floors!$C$2</f>
        <v>39002</v>
      </c>
      <c r="C77" s="85" t="str">
        <f ca="1">VLOOKUP($B77,OFFSET([2]quests!$A$1,0,0,COUNTA([2]quests!$A:$A),MATCH(C$1,[2]quests!$1:$1,0)-MATCH($B$1,[2]quests!$1:$1,0)+1),MATCH(C$1,[2]quests!$1:$1,0)-MATCH($B$1,[2]quests!$1:$1,0)+1,FALSE)</f>
        <v>黄巾賊の暴走を止めろ</v>
      </c>
      <c r="D77" s="85" t="str">
        <f ca="1">VLOOKUP($B77,OFFSET([2]quests!$A$1,0,0,COUNTA([2]quests!$A:$A),MATCH(D$1,[2]quests!$1:$1,0)-MATCH($B$1,[2]quests!$1:$1,0)+1),MATCH(D$1,[2]quests!$1:$1,0)-MATCH($B$1,[2]quests!$1:$1,0)+1,FALSE)</f>
        <v>コラボクエスト</v>
      </c>
      <c r="E77" s="89">
        <v>3</v>
      </c>
      <c r="F77" s="85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77" s="85" t="str">
        <f ca="1">VLOOKUP($B77&amp;"_"&amp;$E77,OFFSET([2]stages!$A$1,0,0,COUNTA([2]stages!$A:$A),MATCH(G$1,[2]stages!$2:$2,0)-MATCH("temp_stage",[2]stages!$2:$2,0)+1),MATCH(G$1,[2]stages!$2:$2,0)-MATCH("temp_stage",[2]stages!$2:$2,0)+1,FALSE)</f>
        <v>コラボクエスト</v>
      </c>
      <c r="H77" s="87">
        <v>0</v>
      </c>
      <c r="I77" s="99">
        <v>22</v>
      </c>
      <c r="J77" s="86" t="s">
        <v>199</v>
      </c>
      <c r="K77" s="95" t="str">
        <f>VLOOKUP(I77,[7]stage_hints!$A:$C,3,FALSE)</f>
        <v>フィーバーで一発逆転（その1）</v>
      </c>
      <c r="L77" s="96" t="str">
        <f>VLOOKUP(I77,[7]stage_hints!$A:$D,4,FALSE)</f>
        <v>フィーバーは攻撃と回復を兼ね備えます_x000D_ピンチからの一発逆転を狙いましょう</v>
      </c>
      <c r="M77" s="57" t="s">
        <v>212</v>
      </c>
    </row>
    <row r="78" spans="1:13" x14ac:dyDescent="0.15">
      <c r="A78" s="83" t="s">
        <v>202</v>
      </c>
      <c r="B78" s="84">
        <f>floors!$C$2</f>
        <v>39002</v>
      </c>
      <c r="C78" s="85" t="str">
        <f ca="1">VLOOKUP($B78,OFFSET([2]quests!$A$1,0,0,COUNTA([2]quests!$A:$A),MATCH(C$1,[2]quests!$1:$1,0)-MATCH($B$1,[2]quests!$1:$1,0)+1),MATCH(C$1,[2]quests!$1:$1,0)-MATCH($B$1,[2]quests!$1:$1,0)+1,FALSE)</f>
        <v>黄巾賊の暴走を止めろ</v>
      </c>
      <c r="D78" s="85" t="str">
        <f ca="1">VLOOKUP($B78,OFFSET([2]quests!$A$1,0,0,COUNTA([2]quests!$A:$A),MATCH(D$1,[2]quests!$1:$1,0)-MATCH($B$1,[2]quests!$1:$1,0)+1),MATCH(D$1,[2]quests!$1:$1,0)-MATCH($B$1,[2]quests!$1:$1,0)+1,FALSE)</f>
        <v>コラボクエスト</v>
      </c>
      <c r="E78" s="89">
        <v>3</v>
      </c>
      <c r="F78" s="85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78" s="85" t="str">
        <f ca="1">VLOOKUP($B78&amp;"_"&amp;$E78,OFFSET([2]stages!$A$1,0,0,COUNTA([2]stages!$A:$A),MATCH(G$1,[2]stages!$2:$2,0)-MATCH("temp_stage",[2]stages!$2:$2,0)+1),MATCH(G$1,[2]stages!$2:$2,0)-MATCH("temp_stage",[2]stages!$2:$2,0)+1,FALSE)</f>
        <v>コラボクエスト</v>
      </c>
      <c r="H78" s="87">
        <v>0</v>
      </c>
      <c r="I78" s="99">
        <v>23</v>
      </c>
      <c r="J78" s="86" t="s">
        <v>199</v>
      </c>
      <c r="K78" s="95" t="str">
        <f>VLOOKUP(I78,[7]stage_hints!$A:$C,3,FALSE)</f>
        <v>フィーバーで一発逆転（その2）</v>
      </c>
      <c r="L78" s="96" t="str">
        <f>VLOOKUP(I78,[7]stage_hints!$A:$D,4,FALSE)</f>
        <v>フィーバー中は虹色のボムパネルを狙って_x000D_画面上のパネルを一気に破壊しましょう</v>
      </c>
      <c r="M78" s="57" t="s">
        <v>212</v>
      </c>
    </row>
    <row r="79" spans="1:13" x14ac:dyDescent="0.15">
      <c r="A79" s="83" t="s">
        <v>202</v>
      </c>
      <c r="B79" s="84">
        <f>floors!$C$2</f>
        <v>39002</v>
      </c>
      <c r="C79" s="85" t="str">
        <f ca="1">VLOOKUP($B79,OFFSET([2]quests!$A$1,0,0,COUNTA([2]quests!$A:$A),MATCH(C$1,[2]quests!$1:$1,0)-MATCH($B$1,[2]quests!$1:$1,0)+1),MATCH(C$1,[2]quests!$1:$1,0)-MATCH($B$1,[2]quests!$1:$1,0)+1,FALSE)</f>
        <v>黄巾賊の暴走を止めろ</v>
      </c>
      <c r="D79" s="85" t="str">
        <f ca="1">VLOOKUP($B79,OFFSET([2]quests!$A$1,0,0,COUNTA([2]quests!$A:$A),MATCH(D$1,[2]quests!$1:$1,0)-MATCH($B$1,[2]quests!$1:$1,0)+1),MATCH(D$1,[2]quests!$1:$1,0)-MATCH($B$1,[2]quests!$1:$1,0)+1,FALSE)</f>
        <v>コラボクエスト</v>
      </c>
      <c r="E79" s="89">
        <v>3</v>
      </c>
      <c r="F79" s="85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79" s="85" t="str">
        <f ca="1">VLOOKUP($B79&amp;"_"&amp;$E79,OFFSET([2]stages!$A$1,0,0,COUNTA([2]stages!$A:$A),MATCH(G$1,[2]stages!$2:$2,0)-MATCH("temp_stage",[2]stages!$2:$2,0)+1),MATCH(G$1,[2]stages!$2:$2,0)-MATCH("temp_stage",[2]stages!$2:$2,0)+1,FALSE)</f>
        <v>コラボクエスト</v>
      </c>
      <c r="H79" s="87">
        <v>0</v>
      </c>
      <c r="I79" s="99">
        <v>24</v>
      </c>
      <c r="J79" s="86" t="s">
        <v>199</v>
      </c>
      <c r="K79" s="95" t="str">
        <f>VLOOKUP(I79,[7]stage_hints!$A:$C,3,FALSE)</f>
        <v>りんごを使って限界突破</v>
      </c>
      <c r="L79" s="96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7" t="s">
        <v>212</v>
      </c>
    </row>
    <row r="80" spans="1:13" x14ac:dyDescent="0.15">
      <c r="A80" s="83" t="s">
        <v>202</v>
      </c>
      <c r="B80" s="84">
        <f>floors!$C$2</f>
        <v>39002</v>
      </c>
      <c r="C80" s="85" t="str">
        <f ca="1">VLOOKUP($B80,OFFSET([2]quests!$A$1,0,0,COUNTA([2]quests!$A:$A),MATCH(C$1,[2]quests!$1:$1,0)-MATCH($B$1,[2]quests!$1:$1,0)+1),MATCH(C$1,[2]quests!$1:$1,0)-MATCH($B$1,[2]quests!$1:$1,0)+1,FALSE)</f>
        <v>黄巾賊の暴走を止めろ</v>
      </c>
      <c r="D80" s="85" t="str">
        <f ca="1">VLOOKUP($B80,OFFSET([2]quests!$A$1,0,0,COUNTA([2]quests!$A:$A),MATCH(D$1,[2]quests!$1:$1,0)-MATCH($B$1,[2]quests!$1:$1,0)+1),MATCH(D$1,[2]quests!$1:$1,0)-MATCH($B$1,[2]quests!$1:$1,0)+1,FALSE)</f>
        <v>コラボクエスト</v>
      </c>
      <c r="E80" s="89">
        <v>3</v>
      </c>
      <c r="F80" s="85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80" s="85" t="str">
        <f ca="1">VLOOKUP($B80&amp;"_"&amp;$E80,OFFSET([2]stages!$A$1,0,0,COUNTA([2]stages!$A:$A),MATCH(G$1,[2]stages!$2:$2,0)-MATCH("temp_stage",[2]stages!$2:$2,0)+1),MATCH(G$1,[2]stages!$2:$2,0)-MATCH("temp_stage",[2]stages!$2:$2,0)+1,FALSE)</f>
        <v>コラボクエスト</v>
      </c>
      <c r="H80" s="87">
        <v>0</v>
      </c>
      <c r="I80" s="99">
        <v>25</v>
      </c>
      <c r="J80" s="86" t="s">
        <v>199</v>
      </c>
      <c r="K80" s="95" t="str">
        <f>VLOOKUP(I80,[7]stage_hints!$A:$C,3,FALSE)</f>
        <v>スキルレベルアップ</v>
      </c>
      <c r="L80" s="96" t="str">
        <f>VLOOKUP(I80,[7]stage_hints!$A:$D,4,FALSE)</f>
        <v>「クリスタルのりんご」を強化に使うと_x000D_スキルレベルを上げることができます</v>
      </c>
      <c r="M80" s="57" t="s">
        <v>212</v>
      </c>
    </row>
    <row r="81" spans="1:13" x14ac:dyDescent="0.15">
      <c r="A81" s="83" t="s">
        <v>202</v>
      </c>
      <c r="B81" s="84">
        <f>floors!$C$2</f>
        <v>39002</v>
      </c>
      <c r="C81" s="85" t="str">
        <f ca="1">VLOOKUP($B81,OFFSET([2]quests!$A$1,0,0,COUNTA([2]quests!$A:$A),MATCH(C$1,[2]quests!$1:$1,0)-MATCH($B$1,[2]quests!$1:$1,0)+1),MATCH(C$1,[2]quests!$1:$1,0)-MATCH($B$1,[2]quests!$1:$1,0)+1,FALSE)</f>
        <v>黄巾賊の暴走を止めろ</v>
      </c>
      <c r="D81" s="85" t="str">
        <f ca="1">VLOOKUP($B81,OFFSET([2]quests!$A$1,0,0,COUNTA([2]quests!$A:$A),MATCH(D$1,[2]quests!$1:$1,0)-MATCH($B$1,[2]quests!$1:$1,0)+1),MATCH(D$1,[2]quests!$1:$1,0)-MATCH($B$1,[2]quests!$1:$1,0)+1,FALSE)</f>
        <v>コラボクエスト</v>
      </c>
      <c r="E81" s="89">
        <v>3</v>
      </c>
      <c r="F81" s="85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81" s="85" t="str">
        <f ca="1">VLOOKUP($B81&amp;"_"&amp;$E81,OFFSET([2]stages!$A$1,0,0,COUNTA([2]stages!$A:$A),MATCH(G$1,[2]stages!$2:$2,0)-MATCH("temp_stage",[2]stages!$2:$2,0)+1),MATCH(G$1,[2]stages!$2:$2,0)-MATCH("temp_stage",[2]stages!$2:$2,0)+1,FALSE)</f>
        <v>コラボクエスト</v>
      </c>
      <c r="H81" s="87">
        <v>0</v>
      </c>
      <c r="I81" s="99">
        <v>26</v>
      </c>
      <c r="J81" s="86" t="s">
        <v>199</v>
      </c>
      <c r="K81" s="95" t="str">
        <f>VLOOKUP(I81,[7]stage_hints!$A:$C,3,FALSE)</f>
        <v>スキルレベルの効果</v>
      </c>
      <c r="L81" s="96" t="str">
        <f>VLOOKUP(I81,[7]stage_hints!$A:$D,4,FALSE)</f>
        <v>スキルレベルが上がると_x000D_短いターンでスキルを使うことができます</v>
      </c>
      <c r="M81" s="57" t="s">
        <v>212</v>
      </c>
    </row>
    <row r="82" spans="1:13" x14ac:dyDescent="0.15">
      <c r="A82" s="83" t="s">
        <v>202</v>
      </c>
      <c r="B82" s="84">
        <f>floors!$C$2</f>
        <v>39002</v>
      </c>
      <c r="C82" s="85" t="str">
        <f ca="1">VLOOKUP($B82,OFFSET([2]quests!$A$1,0,0,COUNTA([2]quests!$A:$A),MATCH(C$1,[2]quests!$1:$1,0)-MATCH($B$1,[2]quests!$1:$1,0)+1),MATCH(C$1,[2]quests!$1:$1,0)-MATCH($B$1,[2]quests!$1:$1,0)+1,FALSE)</f>
        <v>黄巾賊の暴走を止めろ</v>
      </c>
      <c r="D82" s="85" t="str">
        <f ca="1">VLOOKUP($B82,OFFSET([2]quests!$A$1,0,0,COUNTA([2]quests!$A:$A),MATCH(D$1,[2]quests!$1:$1,0)-MATCH($B$1,[2]quests!$1:$1,0)+1),MATCH(D$1,[2]quests!$1:$1,0)-MATCH($B$1,[2]quests!$1:$1,0)+1,FALSE)</f>
        <v>コラボクエスト</v>
      </c>
      <c r="E82" s="89">
        <v>3</v>
      </c>
      <c r="F82" s="85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82" s="85" t="str">
        <f ca="1">VLOOKUP($B82&amp;"_"&amp;$E82,OFFSET([2]stages!$A$1,0,0,COUNTA([2]stages!$A:$A),MATCH(G$1,[2]stages!$2:$2,0)-MATCH("temp_stage",[2]stages!$2:$2,0)+1),MATCH(G$1,[2]stages!$2:$2,0)-MATCH("temp_stage",[2]stages!$2:$2,0)+1,FALSE)</f>
        <v>コラボクエスト</v>
      </c>
      <c r="H82" s="87">
        <v>0</v>
      </c>
      <c r="I82" s="99">
        <v>27</v>
      </c>
      <c r="J82" s="86" t="s">
        <v>199</v>
      </c>
      <c r="K82" s="95" t="str">
        <f>VLOOKUP(I82,[7]stage_hints!$A:$C,3,FALSE)</f>
        <v>ホーム画面からデッキを編成</v>
      </c>
      <c r="L82" s="96" t="str">
        <f>VLOOKUP(I82,[7]stage_hints!$A:$D,4,FALSE)</f>
        <v>ホーム画面でユニットを長押しすると_x000D_すぐにパーティ編成に移動できます</v>
      </c>
      <c r="M82" s="57" t="s">
        <v>212</v>
      </c>
    </row>
    <row r="83" spans="1:13" x14ac:dyDescent="0.15">
      <c r="A83" s="83" t="s">
        <v>202</v>
      </c>
      <c r="B83" s="84">
        <f>floors!$C$2</f>
        <v>39002</v>
      </c>
      <c r="C83" s="85" t="str">
        <f ca="1">VLOOKUP($B83,OFFSET([2]quests!$A$1,0,0,COUNTA([2]quests!$A:$A),MATCH(C$1,[2]quests!$1:$1,0)-MATCH($B$1,[2]quests!$1:$1,0)+1),MATCH(C$1,[2]quests!$1:$1,0)-MATCH($B$1,[2]quests!$1:$1,0)+1,FALSE)</f>
        <v>黄巾賊の暴走を止めろ</v>
      </c>
      <c r="D83" s="85" t="str">
        <f ca="1">VLOOKUP($B83,OFFSET([2]quests!$A$1,0,0,COUNTA([2]quests!$A:$A),MATCH(D$1,[2]quests!$1:$1,0)-MATCH($B$1,[2]quests!$1:$1,0)+1),MATCH(D$1,[2]quests!$1:$1,0)-MATCH($B$1,[2]quests!$1:$1,0)+1,FALSE)</f>
        <v>コラボクエスト</v>
      </c>
      <c r="E83" s="89">
        <v>3</v>
      </c>
      <c r="F83" s="85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83" s="85" t="str">
        <f ca="1">VLOOKUP($B83&amp;"_"&amp;$E83,OFFSET([2]stages!$A$1,0,0,COUNTA([2]stages!$A:$A),MATCH(G$1,[2]stages!$2:$2,0)-MATCH("temp_stage",[2]stages!$2:$2,0)+1),MATCH(G$1,[2]stages!$2:$2,0)-MATCH("temp_stage",[2]stages!$2:$2,0)+1,FALSE)</f>
        <v>コラボクエスト</v>
      </c>
      <c r="H83" s="87">
        <v>0</v>
      </c>
      <c r="I83" s="99">
        <v>28</v>
      </c>
      <c r="J83" s="86" t="s">
        <v>199</v>
      </c>
      <c r="K83" s="95" t="str">
        <f>VLOOKUP(I83,[7]stage_hints!$A:$C,3,FALSE)</f>
        <v>ステータス情報は長押しで</v>
      </c>
      <c r="L83" s="96" t="str">
        <f>VLOOKUP(I83,[7]stage_hints!$A:$D,4,FALSE)</f>
        <v>ユニットのアイコンを長押しすると_x000D_ステータス情報を確認することができます</v>
      </c>
      <c r="M83" s="57" t="s">
        <v>212</v>
      </c>
    </row>
    <row r="84" spans="1:13" x14ac:dyDescent="0.15">
      <c r="A84" s="83" t="s">
        <v>202</v>
      </c>
      <c r="B84" s="84">
        <f>floors!$C$2</f>
        <v>39002</v>
      </c>
      <c r="C84" s="85" t="str">
        <f ca="1">VLOOKUP($B84,OFFSET([2]quests!$A$1,0,0,COUNTA([2]quests!$A:$A),MATCH(C$1,[2]quests!$1:$1,0)-MATCH($B$1,[2]quests!$1:$1,0)+1),MATCH(C$1,[2]quests!$1:$1,0)-MATCH($B$1,[2]quests!$1:$1,0)+1,FALSE)</f>
        <v>黄巾賊の暴走を止めろ</v>
      </c>
      <c r="D84" s="85" t="str">
        <f ca="1">VLOOKUP($B84,OFFSET([2]quests!$A$1,0,0,COUNTA([2]quests!$A:$A),MATCH(D$1,[2]quests!$1:$1,0)-MATCH($B$1,[2]quests!$1:$1,0)+1),MATCH(D$1,[2]quests!$1:$1,0)-MATCH($B$1,[2]quests!$1:$1,0)+1,FALSE)</f>
        <v>コラボクエスト</v>
      </c>
      <c r="E84" s="89">
        <v>3</v>
      </c>
      <c r="F84" s="85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84" s="85" t="str">
        <f ca="1">VLOOKUP($B84&amp;"_"&amp;$E84,OFFSET([2]stages!$A$1,0,0,COUNTA([2]stages!$A:$A),MATCH(G$1,[2]stages!$2:$2,0)-MATCH("temp_stage",[2]stages!$2:$2,0)+1),MATCH(G$1,[2]stages!$2:$2,0)-MATCH("temp_stage",[2]stages!$2:$2,0)+1,FALSE)</f>
        <v>コラボクエスト</v>
      </c>
      <c r="H84" s="87">
        <v>0</v>
      </c>
      <c r="I84" s="99">
        <v>29</v>
      </c>
      <c r="J84" s="86" t="s">
        <v>199</v>
      </c>
      <c r="K84" s="95" t="str">
        <f>VLOOKUP(I84,[7]stage_hints!$A:$C,3,FALSE)</f>
        <v>「バグ」のメリット</v>
      </c>
      <c r="L84" s="96" t="str">
        <f>VLOOKUP(I84,[7]stage_hints!$A:$D,4,FALSE)</f>
        <v>ユニットの「バグ」を増やすと_x000D_報酬をもらえる確率がアップします</v>
      </c>
      <c r="M84" s="57" t="s">
        <v>212</v>
      </c>
    </row>
    <row r="85" spans="1:13" x14ac:dyDescent="0.15">
      <c r="A85" s="83" t="s">
        <v>202</v>
      </c>
      <c r="B85" s="84">
        <f>floors!$C$2</f>
        <v>39002</v>
      </c>
      <c r="C85" s="85" t="str">
        <f ca="1">VLOOKUP($B85,OFFSET([2]quests!$A$1,0,0,COUNTA([2]quests!$A:$A),MATCH(C$1,[2]quests!$1:$1,0)-MATCH($B$1,[2]quests!$1:$1,0)+1),MATCH(C$1,[2]quests!$1:$1,0)-MATCH($B$1,[2]quests!$1:$1,0)+1,FALSE)</f>
        <v>黄巾賊の暴走を止めろ</v>
      </c>
      <c r="D85" s="85" t="str">
        <f ca="1">VLOOKUP($B85,OFFSET([2]quests!$A$1,0,0,COUNTA([2]quests!$A:$A),MATCH(D$1,[2]quests!$1:$1,0)-MATCH($B$1,[2]quests!$1:$1,0)+1),MATCH(D$1,[2]quests!$1:$1,0)-MATCH($B$1,[2]quests!$1:$1,0)+1,FALSE)</f>
        <v>コラボクエスト</v>
      </c>
      <c r="E85" s="89">
        <v>3</v>
      </c>
      <c r="F85" s="85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85" s="85" t="str">
        <f ca="1">VLOOKUP($B85&amp;"_"&amp;$E85,OFFSET([2]stages!$A$1,0,0,COUNTA([2]stages!$A:$A),MATCH(G$1,[2]stages!$2:$2,0)-MATCH("temp_stage",[2]stages!$2:$2,0)+1),MATCH(G$1,[2]stages!$2:$2,0)-MATCH("temp_stage",[2]stages!$2:$2,0)+1,FALSE)</f>
        <v>コラボクエスト</v>
      </c>
      <c r="H85" s="87">
        <v>0</v>
      </c>
      <c r="I85" s="99">
        <v>30</v>
      </c>
      <c r="J85" s="86" t="s">
        <v>199</v>
      </c>
      <c r="K85" s="95" t="str">
        <f>VLOOKUP(I85,[7]stage_hints!$A:$C,3,FALSE)</f>
        <v>「バグ」の増やし方</v>
      </c>
      <c r="L85" s="96" t="str">
        <f>VLOOKUP(I85,[7]stage_hints!$A:$D,4,FALSE)</f>
        <v>同じユニット同士を強化で合成すると_x000D_「バグ」を増やすことができます</v>
      </c>
      <c r="M85" s="57" t="s">
        <v>212</v>
      </c>
    </row>
    <row r="86" spans="1:13" x14ac:dyDescent="0.15">
      <c r="A86" s="83" t="s">
        <v>202</v>
      </c>
      <c r="B86" s="84">
        <f>floors!$C$2</f>
        <v>39002</v>
      </c>
      <c r="C86" s="85" t="str">
        <f ca="1">VLOOKUP($B86,OFFSET([2]quests!$A$1,0,0,COUNTA([2]quests!$A:$A),MATCH(C$1,[2]quests!$1:$1,0)-MATCH($B$1,[2]quests!$1:$1,0)+1),MATCH(C$1,[2]quests!$1:$1,0)-MATCH($B$1,[2]quests!$1:$1,0)+1,FALSE)</f>
        <v>黄巾賊の暴走を止めろ</v>
      </c>
      <c r="D86" s="85" t="str">
        <f ca="1">VLOOKUP($B86,OFFSET([2]quests!$A$1,0,0,COUNTA([2]quests!$A:$A),MATCH(D$1,[2]quests!$1:$1,0)-MATCH($B$1,[2]quests!$1:$1,0)+1),MATCH(D$1,[2]quests!$1:$1,0)-MATCH($B$1,[2]quests!$1:$1,0)+1,FALSE)</f>
        <v>コラボクエスト</v>
      </c>
      <c r="E86" s="89">
        <v>3</v>
      </c>
      <c r="F86" s="85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86" s="85" t="str">
        <f ca="1">VLOOKUP($B86&amp;"_"&amp;$E86,OFFSET([2]stages!$A$1,0,0,COUNTA([2]stages!$A:$A),MATCH(G$1,[2]stages!$2:$2,0)-MATCH("temp_stage",[2]stages!$2:$2,0)+1),MATCH(G$1,[2]stages!$2:$2,0)-MATCH("temp_stage",[2]stages!$2:$2,0)+1,FALSE)</f>
        <v>コラボクエスト</v>
      </c>
      <c r="H86" s="87">
        <v>0</v>
      </c>
      <c r="I86" s="99">
        <v>31</v>
      </c>
      <c r="J86" s="86" t="s">
        <v>199</v>
      </c>
      <c r="K86" s="95" t="str">
        <f>VLOOKUP(I86,[7]stage_hints!$A:$C,3,FALSE)</f>
        <v>イベントはお知らせでチェック</v>
      </c>
      <c r="L86" s="96" t="str">
        <f>VLOOKUP(I86,[7]stage_hints!$A:$D,4,FALSE)</f>
        <v>イベント限定ユニットを取り忘れないように_x000D_お知らせをこまめにチェックしましょう</v>
      </c>
      <c r="M86" s="57" t="s">
        <v>212</v>
      </c>
    </row>
    <row r="87" spans="1:13" x14ac:dyDescent="0.15">
      <c r="A87" s="83" t="s">
        <v>202</v>
      </c>
      <c r="B87" s="84">
        <f>floors!$C$2</f>
        <v>39002</v>
      </c>
      <c r="C87" s="85" t="str">
        <f ca="1">VLOOKUP($B87,OFFSET([2]quests!$A$1,0,0,COUNTA([2]quests!$A:$A),MATCH(C$1,[2]quests!$1:$1,0)-MATCH($B$1,[2]quests!$1:$1,0)+1),MATCH(C$1,[2]quests!$1:$1,0)-MATCH($B$1,[2]quests!$1:$1,0)+1,FALSE)</f>
        <v>黄巾賊の暴走を止めろ</v>
      </c>
      <c r="D87" s="85" t="str">
        <f ca="1">VLOOKUP($B87,OFFSET([2]quests!$A$1,0,0,COUNTA([2]quests!$A:$A),MATCH(D$1,[2]quests!$1:$1,0)-MATCH($B$1,[2]quests!$1:$1,0)+1),MATCH(D$1,[2]quests!$1:$1,0)-MATCH($B$1,[2]quests!$1:$1,0)+1,FALSE)</f>
        <v>コラボクエスト</v>
      </c>
      <c r="E87" s="89">
        <v>3</v>
      </c>
      <c r="F87" s="85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87" s="85" t="str">
        <f ca="1">VLOOKUP($B87&amp;"_"&amp;$E87,OFFSET([2]stages!$A$1,0,0,COUNTA([2]stages!$A:$A),MATCH(G$1,[2]stages!$2:$2,0)-MATCH("temp_stage",[2]stages!$2:$2,0)+1),MATCH(G$1,[2]stages!$2:$2,0)-MATCH("temp_stage",[2]stages!$2:$2,0)+1,FALSE)</f>
        <v>コラボクエスト</v>
      </c>
      <c r="H87" s="87">
        <v>0</v>
      </c>
      <c r="I87" s="99">
        <v>32</v>
      </c>
      <c r="J87" s="86" t="s">
        <v>199</v>
      </c>
      <c r="K87" s="95" t="str">
        <f>VLOOKUP(I87,[7]stage_hints!$A:$C,3,FALSE)</f>
        <v>敵の連続攻撃には</v>
      </c>
      <c r="L87" s="96" t="str">
        <f>VLOOKUP(I87,[7]stage_hints!$A:$D,4,FALSE)</f>
        <v>カウンタースキルを持つユニットがいれば_x000D_ダメージ回数分の反撃ができます</v>
      </c>
      <c r="M87" s="57" t="s">
        <v>212</v>
      </c>
    </row>
    <row r="88" spans="1:13" x14ac:dyDescent="0.15">
      <c r="A88" s="83" t="s">
        <v>202</v>
      </c>
      <c r="B88" s="84">
        <f>floors!$C$2</f>
        <v>39002</v>
      </c>
      <c r="C88" s="85" t="str">
        <f ca="1">VLOOKUP($B88,OFFSET([2]quests!$A$1,0,0,COUNTA([2]quests!$A:$A),MATCH(C$1,[2]quests!$1:$1,0)-MATCH($B$1,[2]quests!$1:$1,0)+1),MATCH(C$1,[2]quests!$1:$1,0)-MATCH($B$1,[2]quests!$1:$1,0)+1,FALSE)</f>
        <v>黄巾賊の暴走を止めろ</v>
      </c>
      <c r="D88" s="85" t="str">
        <f ca="1">VLOOKUP($B88,OFFSET([2]quests!$A$1,0,0,COUNTA([2]quests!$A:$A),MATCH(D$1,[2]quests!$1:$1,0)-MATCH($B$1,[2]quests!$1:$1,0)+1),MATCH(D$1,[2]quests!$1:$1,0)-MATCH($B$1,[2]quests!$1:$1,0)+1,FALSE)</f>
        <v>コラボクエスト</v>
      </c>
      <c r="E88" s="89">
        <v>3</v>
      </c>
      <c r="F88" s="85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88" s="85" t="str">
        <f ca="1">VLOOKUP($B88&amp;"_"&amp;$E88,OFFSET([2]stages!$A$1,0,0,COUNTA([2]stages!$A:$A),MATCH(G$1,[2]stages!$2:$2,0)-MATCH("temp_stage",[2]stages!$2:$2,0)+1),MATCH(G$1,[2]stages!$2:$2,0)-MATCH("temp_stage",[2]stages!$2:$2,0)+1,FALSE)</f>
        <v>コラボクエスト</v>
      </c>
      <c r="H88" s="87">
        <v>0</v>
      </c>
      <c r="I88" s="99">
        <v>33</v>
      </c>
      <c r="J88" s="86" t="s">
        <v>199</v>
      </c>
      <c r="K88" s="95" t="str">
        <f>VLOOKUP(I88,[7]stage_hints!$A:$C,3,FALSE)</f>
        <v>敵のカウンター攻撃には</v>
      </c>
      <c r="L88" s="96" t="str">
        <f>VLOOKUP(I88,[7]stage_hints!$A:$D,4,FALSE)</f>
        <v>カウンターブレイクスキルを持っていれば_x000D_敵のカウンターを解除して攻撃ができます</v>
      </c>
      <c r="M88" s="57" t="s">
        <v>212</v>
      </c>
    </row>
    <row r="89" spans="1:13" x14ac:dyDescent="0.15">
      <c r="A89" s="83" t="s">
        <v>202</v>
      </c>
      <c r="B89" s="84">
        <f>floors!$C$2</f>
        <v>39002</v>
      </c>
      <c r="C89" s="85" t="str">
        <f ca="1">VLOOKUP($B89,OFFSET([2]quests!$A$1,0,0,COUNTA([2]quests!$A:$A),MATCH(C$1,[2]quests!$1:$1,0)-MATCH($B$1,[2]quests!$1:$1,0)+1),MATCH(C$1,[2]quests!$1:$1,0)-MATCH($B$1,[2]quests!$1:$1,0)+1,FALSE)</f>
        <v>黄巾賊の暴走を止めろ</v>
      </c>
      <c r="D89" s="85" t="str">
        <f ca="1">VLOOKUP($B89,OFFSET([2]quests!$A$1,0,0,COUNTA([2]quests!$A:$A),MATCH(D$1,[2]quests!$1:$1,0)-MATCH($B$1,[2]quests!$1:$1,0)+1),MATCH(D$1,[2]quests!$1:$1,0)-MATCH($B$1,[2]quests!$1:$1,0)+1,FALSE)</f>
        <v>コラボクエスト</v>
      </c>
      <c r="E89" s="89">
        <v>3</v>
      </c>
      <c r="F89" s="85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89" s="85" t="str">
        <f ca="1">VLOOKUP($B89&amp;"_"&amp;$E89,OFFSET([2]stages!$A$1,0,0,COUNTA([2]stages!$A:$A),MATCH(G$1,[2]stages!$2:$2,0)-MATCH("temp_stage",[2]stages!$2:$2,0)+1),MATCH(G$1,[2]stages!$2:$2,0)-MATCH("temp_stage",[2]stages!$2:$2,0)+1,FALSE)</f>
        <v>コラボクエスト</v>
      </c>
      <c r="H89" s="87">
        <v>0</v>
      </c>
      <c r="I89" s="99">
        <v>34</v>
      </c>
      <c r="J89" s="86" t="s">
        <v>199</v>
      </c>
      <c r="K89" s="95" t="str">
        <f>VLOOKUP(I89,[7]stage_hints!$A:$C,3,FALSE)</f>
        <v>ステータスをスキルで下げられたら</v>
      </c>
      <c r="L89" s="96" t="str">
        <f>VLOOKUP(I89,[7]stage_hints!$A:$D,4,FALSE)</f>
        <v>ステータスダウンのスキルを受けたら_x000D_ステータスアップスキルで上書きしましょう</v>
      </c>
      <c r="M89" s="57" t="s">
        <v>212</v>
      </c>
    </row>
    <row r="90" spans="1:13" x14ac:dyDescent="0.15">
      <c r="A90" s="83" t="s">
        <v>202</v>
      </c>
      <c r="B90" s="84">
        <f>floors!$C$2</f>
        <v>39002</v>
      </c>
      <c r="C90" s="85" t="str">
        <f ca="1">VLOOKUP($B90,OFFSET([2]quests!$A$1,0,0,COUNTA([2]quests!$A:$A),MATCH(C$1,[2]quests!$1:$1,0)-MATCH($B$1,[2]quests!$1:$1,0)+1),MATCH(C$1,[2]quests!$1:$1,0)-MATCH($B$1,[2]quests!$1:$1,0)+1,FALSE)</f>
        <v>黄巾賊の暴走を止めろ</v>
      </c>
      <c r="D90" s="85" t="str">
        <f ca="1">VLOOKUP($B90,OFFSET([2]quests!$A$1,0,0,COUNTA([2]quests!$A:$A),MATCH(D$1,[2]quests!$1:$1,0)-MATCH($B$1,[2]quests!$1:$1,0)+1),MATCH(D$1,[2]quests!$1:$1,0)-MATCH($B$1,[2]quests!$1:$1,0)+1,FALSE)</f>
        <v>コラボクエスト</v>
      </c>
      <c r="E90" s="89">
        <v>3</v>
      </c>
      <c r="F90" s="85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90" s="85" t="str">
        <f ca="1">VLOOKUP($B90&amp;"_"&amp;$E90,OFFSET([2]stages!$A$1,0,0,COUNTA([2]stages!$A:$A),MATCH(G$1,[2]stages!$2:$2,0)-MATCH("temp_stage",[2]stages!$2:$2,0)+1),MATCH(G$1,[2]stages!$2:$2,0)-MATCH("temp_stage",[2]stages!$2:$2,0)+1,FALSE)</f>
        <v>コラボクエスト</v>
      </c>
      <c r="H90" s="87">
        <v>0</v>
      </c>
      <c r="I90" s="99">
        <v>35</v>
      </c>
      <c r="J90" s="86" t="s">
        <v>199</v>
      </c>
      <c r="K90" s="95" t="str">
        <f>VLOOKUP(I90,[7]stage_hints!$A:$C,3,FALSE)</f>
        <v>敵のステータスがスキルで上がったら</v>
      </c>
      <c r="L90" s="96" t="str">
        <f>VLOOKUP(I90,[7]stage_hints!$A:$D,4,FALSE)</f>
        <v>敵のステータスがスキルでアップしたときは_x000D_ステータスダウンスキルで上書きしましょう</v>
      </c>
      <c r="M90" s="57" t="s">
        <v>212</v>
      </c>
    </row>
    <row r="91" spans="1:13" x14ac:dyDescent="0.15">
      <c r="A91" s="83" t="s">
        <v>202</v>
      </c>
      <c r="B91" s="84">
        <f>floors!$C$2</f>
        <v>39002</v>
      </c>
      <c r="C91" s="85" t="str">
        <f ca="1">VLOOKUP($B91,OFFSET([2]quests!$A$1,0,0,COUNTA([2]quests!$A:$A),MATCH(C$1,[2]quests!$1:$1,0)-MATCH($B$1,[2]quests!$1:$1,0)+1),MATCH(C$1,[2]quests!$1:$1,0)-MATCH($B$1,[2]quests!$1:$1,0)+1,FALSE)</f>
        <v>黄巾賊の暴走を止めろ</v>
      </c>
      <c r="D91" s="85" t="str">
        <f ca="1">VLOOKUP($B91,OFFSET([2]quests!$A$1,0,0,COUNTA([2]quests!$A:$A),MATCH(D$1,[2]quests!$1:$1,0)-MATCH($B$1,[2]quests!$1:$1,0)+1),MATCH(D$1,[2]quests!$1:$1,0)-MATCH($B$1,[2]quests!$1:$1,0)+1,FALSE)</f>
        <v>コラボクエスト</v>
      </c>
      <c r="E91" s="89">
        <v>3</v>
      </c>
      <c r="F91" s="85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91" s="85" t="str">
        <f ca="1">VLOOKUP($B91&amp;"_"&amp;$E91,OFFSET([2]stages!$A$1,0,0,COUNTA([2]stages!$A:$A),MATCH(G$1,[2]stages!$2:$2,0)-MATCH("temp_stage",[2]stages!$2:$2,0)+1),MATCH(G$1,[2]stages!$2:$2,0)-MATCH("temp_stage",[2]stages!$2:$2,0)+1,FALSE)</f>
        <v>コラボクエスト</v>
      </c>
      <c r="H91" s="87">
        <v>0</v>
      </c>
      <c r="I91" s="99">
        <v>36</v>
      </c>
      <c r="J91" s="86" t="s">
        <v>199</v>
      </c>
      <c r="K91" s="95" t="str">
        <f>VLOOKUP(I91,[7]stage_hints!$A:$C,3,FALSE)</f>
        <v>チャレンジタワーのボス</v>
      </c>
      <c r="L91" s="96" t="str">
        <f>VLOOKUP(I91,[7]stage_hints!$A:$D,4,FALSE)</f>
        <v>チャレンジタワーでのみ登場するボスは_x000D_一定確率で獲得することができます</v>
      </c>
      <c r="M91" s="57" t="s">
        <v>212</v>
      </c>
    </row>
    <row r="92" spans="1:13" x14ac:dyDescent="0.15">
      <c r="A92" s="83" t="s">
        <v>202</v>
      </c>
      <c r="B92" s="84">
        <f>floors!$C$2</f>
        <v>39002</v>
      </c>
      <c r="C92" s="85" t="str">
        <f ca="1">VLOOKUP($B92,OFFSET([2]quests!$A$1,0,0,COUNTA([2]quests!$A:$A),MATCH(C$1,[2]quests!$1:$1,0)-MATCH($B$1,[2]quests!$1:$1,0)+1),MATCH(C$1,[2]quests!$1:$1,0)-MATCH($B$1,[2]quests!$1:$1,0)+1,FALSE)</f>
        <v>黄巾賊の暴走を止めろ</v>
      </c>
      <c r="D92" s="85" t="str">
        <f ca="1">VLOOKUP($B92,OFFSET([2]quests!$A$1,0,0,COUNTA([2]quests!$A:$A),MATCH(D$1,[2]quests!$1:$1,0)-MATCH($B$1,[2]quests!$1:$1,0)+1),MATCH(D$1,[2]quests!$1:$1,0)-MATCH($B$1,[2]quests!$1:$1,0)+1,FALSE)</f>
        <v>コラボクエスト</v>
      </c>
      <c r="E92" s="89">
        <v>3</v>
      </c>
      <c r="F92" s="85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92" s="85" t="str">
        <f ca="1">VLOOKUP($B92&amp;"_"&amp;$E92,OFFSET([2]stages!$A$1,0,0,COUNTA([2]stages!$A:$A),MATCH(G$1,[2]stages!$2:$2,0)-MATCH("temp_stage",[2]stages!$2:$2,0)+1),MATCH(G$1,[2]stages!$2:$2,0)-MATCH("temp_stage",[2]stages!$2:$2,0)+1,FALSE)</f>
        <v>コラボクエスト</v>
      </c>
      <c r="H92" s="87">
        <v>0</v>
      </c>
      <c r="I92" s="99">
        <v>37</v>
      </c>
      <c r="J92" s="86" t="s">
        <v>199</v>
      </c>
      <c r="K92" s="95" t="str">
        <f>VLOOKUP(I92,[7]stage_hints!$A:$C,3,FALSE)</f>
        <v>限界突破値の引き継ぎ</v>
      </c>
      <c r="L92" s="96" t="str">
        <f>VLOOKUP(I92,[7]stage_hints!$A:$D,4,FALSE)</f>
        <v>同じユニットを強化で合成すると_x000D_限界突破値を引き継げます（覚醒前後も可）</v>
      </c>
      <c r="M92" s="57" t="s">
        <v>212</v>
      </c>
    </row>
    <row r="93" spans="1:13" x14ac:dyDescent="0.15">
      <c r="A93" s="83" t="s">
        <v>202</v>
      </c>
      <c r="B93" s="84">
        <f>floors!$C$2</f>
        <v>39002</v>
      </c>
      <c r="C93" s="85" t="str">
        <f ca="1">VLOOKUP($B93,OFFSET([2]quests!$A$1,0,0,COUNTA([2]quests!$A:$A),MATCH(C$1,[2]quests!$1:$1,0)-MATCH($B$1,[2]quests!$1:$1,0)+1),MATCH(C$1,[2]quests!$1:$1,0)-MATCH($B$1,[2]quests!$1:$1,0)+1,FALSE)</f>
        <v>黄巾賊の暴走を止めろ</v>
      </c>
      <c r="D93" s="85" t="str">
        <f ca="1">VLOOKUP($B93,OFFSET([2]quests!$A$1,0,0,COUNTA([2]quests!$A:$A),MATCH(D$1,[2]quests!$1:$1,0)-MATCH($B$1,[2]quests!$1:$1,0)+1),MATCH(D$1,[2]quests!$1:$1,0)-MATCH($B$1,[2]quests!$1:$1,0)+1,FALSE)</f>
        <v>コラボクエスト</v>
      </c>
      <c r="E93" s="89">
        <v>3</v>
      </c>
      <c r="F93" s="85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93" s="85" t="str">
        <f ca="1">VLOOKUP($B93&amp;"_"&amp;$E93,OFFSET([2]stages!$A$1,0,0,COUNTA([2]stages!$A:$A),MATCH(G$1,[2]stages!$2:$2,0)-MATCH("temp_stage",[2]stages!$2:$2,0)+1),MATCH(G$1,[2]stages!$2:$2,0)-MATCH("temp_stage",[2]stages!$2:$2,0)+1,FALSE)</f>
        <v>コラボクエスト</v>
      </c>
      <c r="H93" s="87">
        <v>0</v>
      </c>
      <c r="I93" s="99">
        <v>39</v>
      </c>
      <c r="J93" s="86" t="s">
        <v>199</v>
      </c>
      <c r="K93" s="95" t="str">
        <f>VLOOKUP(I93,[7]stage_hints!$A:$C,3,FALSE)</f>
        <v>システム適合者を確認</v>
      </c>
      <c r="L93" s="96" t="str">
        <f>VLOOKUP(I93,[7]stage_hints!$A:$D,4,FALSE)</f>
        <v>ALICEが「アナタ」を呼んでいます</v>
      </c>
      <c r="M93" s="57" t="s">
        <v>212</v>
      </c>
    </row>
    <row r="94" spans="1:13" x14ac:dyDescent="0.15">
      <c r="A94" s="83" t="s">
        <v>202</v>
      </c>
      <c r="B94" s="84">
        <f>floors!$C$2</f>
        <v>39002</v>
      </c>
      <c r="C94" s="85" t="str">
        <f ca="1">VLOOKUP($B94,OFFSET([2]quests!$A$1,0,0,COUNTA([2]quests!$A:$A),MATCH(C$1,[2]quests!$1:$1,0)-MATCH($B$1,[2]quests!$1:$1,0)+1),MATCH(C$1,[2]quests!$1:$1,0)-MATCH($B$1,[2]quests!$1:$1,0)+1,FALSE)</f>
        <v>黄巾賊の暴走を止めろ</v>
      </c>
      <c r="D94" s="85" t="str">
        <f ca="1">VLOOKUP($B94,OFFSET([2]quests!$A$1,0,0,COUNTA([2]quests!$A:$A),MATCH(D$1,[2]quests!$1:$1,0)-MATCH($B$1,[2]quests!$1:$1,0)+1),MATCH(D$1,[2]quests!$1:$1,0)-MATCH($B$1,[2]quests!$1:$1,0)+1,FALSE)</f>
        <v>コラボクエスト</v>
      </c>
      <c r="E94" s="89">
        <v>4</v>
      </c>
      <c r="F94" s="85" t="str">
        <f ca="1">VLOOKUP($B94&amp;"_"&amp;$E94,OFFSET([2]stages!$A$1,0,0,COUNTA([2]stages!$A:$A),MATCH(F$1,[2]stages!$2:$2,0)-MATCH("temp_stage",[2]stages!$2:$2,0)+1),MATCH(F$1,[2]stages!$2:$2,0)-MATCH("temp_stage",[2]stages!$2:$2,0)+1,FALSE)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94" s="85" t="str">
        <f ca="1">VLOOKUP($B94&amp;"_"&amp;$E94,OFFSET([2]stages!$A$1,0,0,COUNTA([2]stages!$A:$A),MATCH(G$1,[2]stages!$2:$2,0)-MATCH("temp_stage",[2]stages!$2:$2,0)+1),MATCH(G$1,[2]stages!$2:$2,0)-MATCH("temp_stage",[2]stages!$2:$2,0)+1,FALSE)</f>
        <v>コラボクエスト</v>
      </c>
      <c r="H94" s="87">
        <v>0</v>
      </c>
      <c r="I94">
        <v>12</v>
      </c>
      <c r="J94" s="86" t="s">
        <v>199</v>
      </c>
      <c r="K94" s="95" t="str">
        <f>VLOOKUP(I94,[7]stage_hints!$A:$C,3,FALSE)</f>
        <v>ユニットのお気に入り登録</v>
      </c>
      <c r="L94" s="96" t="str">
        <f>VLOOKUP(I94,[7]stage_hints!$A:$D,4,FALSE)</f>
        <v>大事なユニットを誤って消さないように_x000D_フォルダから「お気に入り登録」しましょう</v>
      </c>
      <c r="M94" s="57" t="s">
        <v>212</v>
      </c>
    </row>
    <row r="95" spans="1:13" x14ac:dyDescent="0.15">
      <c r="A95" s="83" t="s">
        <v>202</v>
      </c>
      <c r="B95" s="84">
        <f>floors!$C$2</f>
        <v>39002</v>
      </c>
      <c r="C95" s="85" t="str">
        <f ca="1">VLOOKUP($B95,OFFSET([2]quests!$A$1,0,0,COUNTA([2]quests!$A:$A),MATCH(C$1,[2]quests!$1:$1,0)-MATCH($B$1,[2]quests!$1:$1,0)+1),MATCH(C$1,[2]quests!$1:$1,0)-MATCH($B$1,[2]quests!$1:$1,0)+1,FALSE)</f>
        <v>黄巾賊の暴走を止めろ</v>
      </c>
      <c r="D95" s="85" t="str">
        <f ca="1">VLOOKUP($B95,OFFSET([2]quests!$A$1,0,0,COUNTA([2]quests!$A:$A),MATCH(D$1,[2]quests!$1:$1,0)-MATCH($B$1,[2]quests!$1:$1,0)+1),MATCH(D$1,[2]quests!$1:$1,0)-MATCH($B$1,[2]quests!$1:$1,0)+1,FALSE)</f>
        <v>コラボクエスト</v>
      </c>
      <c r="E95" s="89">
        <v>4</v>
      </c>
      <c r="F95" s="85" t="str">
        <f ca="1">VLOOKUP($B95&amp;"_"&amp;$E95,OFFSET([2]stages!$A$1,0,0,COUNTA([2]stages!$A:$A),MATCH(F$1,[2]stages!$2:$2,0)-MATCH("temp_stage",[2]stages!$2:$2,0)+1),MATCH(F$1,[2]stages!$2:$2,0)-MATCH("temp_stage",[2]stages!$2:$2,0)+1,FALSE)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95" s="85" t="str">
        <f ca="1">VLOOKUP($B95&amp;"_"&amp;$E95,OFFSET([2]stages!$A$1,0,0,COUNTA([2]stages!$A:$A),MATCH(G$1,[2]stages!$2:$2,0)-MATCH("temp_stage",[2]stages!$2:$2,0)+1),MATCH(G$1,[2]stages!$2:$2,0)-MATCH("temp_stage",[2]stages!$2:$2,0)+1,FALSE)</f>
        <v>コラボクエスト</v>
      </c>
      <c r="H95" s="87">
        <v>0</v>
      </c>
      <c r="I95">
        <v>17</v>
      </c>
      <c r="J95" s="86" t="s">
        <v>199</v>
      </c>
      <c r="K95" s="95" t="str">
        <f>VLOOKUP(I95,[7]stage_hints!$A:$C,3,FALSE)</f>
        <v>リンクガチャ</v>
      </c>
      <c r="L95" s="96" t="str">
        <f>VLOOKUP(I95,[7]stage_hints!$A:$D,4,FALSE)</f>
        <v>無料のリンクガチャを回して_x000D_経験値素材や売却素材を獲得しましょう</v>
      </c>
      <c r="M95" s="57" t="s">
        <v>212</v>
      </c>
    </row>
    <row r="96" spans="1:13" x14ac:dyDescent="0.15">
      <c r="A96" s="83" t="s">
        <v>202</v>
      </c>
      <c r="B96" s="84">
        <f>floors!$C$2</f>
        <v>39002</v>
      </c>
      <c r="C96" s="85" t="str">
        <f ca="1">VLOOKUP($B96,OFFSET([2]quests!$A$1,0,0,COUNTA([2]quests!$A:$A),MATCH(C$1,[2]quests!$1:$1,0)-MATCH($B$1,[2]quests!$1:$1,0)+1),MATCH(C$1,[2]quests!$1:$1,0)-MATCH($B$1,[2]quests!$1:$1,0)+1,FALSE)</f>
        <v>黄巾賊の暴走を止めろ</v>
      </c>
      <c r="D96" s="85" t="str">
        <f ca="1">VLOOKUP($B96,OFFSET([2]quests!$A$1,0,0,COUNTA([2]quests!$A:$A),MATCH(D$1,[2]quests!$1:$1,0)-MATCH($B$1,[2]quests!$1:$1,0)+1),MATCH(D$1,[2]quests!$1:$1,0)-MATCH($B$1,[2]quests!$1:$1,0)+1,FALSE)</f>
        <v>コラボクエスト</v>
      </c>
      <c r="E96" s="89">
        <v>4</v>
      </c>
      <c r="F96" s="85" t="str">
        <f ca="1">VLOOKUP($B96&amp;"_"&amp;$E96,OFFSET([2]stages!$A$1,0,0,COUNTA([2]stages!$A:$A),MATCH(F$1,[2]stages!$2:$2,0)-MATCH("temp_stage",[2]stages!$2:$2,0)+1),MATCH(F$1,[2]stages!$2:$2,0)-MATCH("temp_stage",[2]stages!$2:$2,0)+1,FALSE)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96" s="85" t="str">
        <f ca="1">VLOOKUP($B96&amp;"_"&amp;$E96,OFFSET([2]stages!$A$1,0,0,COUNTA([2]stages!$A:$A),MATCH(G$1,[2]stages!$2:$2,0)-MATCH("temp_stage",[2]stages!$2:$2,0)+1),MATCH(G$1,[2]stages!$2:$2,0)-MATCH("temp_stage",[2]stages!$2:$2,0)+1,FALSE)</f>
        <v>コラボクエスト</v>
      </c>
      <c r="H96" s="87">
        <v>0</v>
      </c>
      <c r="I96">
        <v>19</v>
      </c>
      <c r="J96" s="86" t="s">
        <v>199</v>
      </c>
      <c r="K96" s="95" t="str">
        <f>VLOOKUP(I96,[7]stage_hints!$A:$C,3,FALSE)</f>
        <v>ソロ専用チャレンジタワー</v>
      </c>
      <c r="L96" s="96" t="str">
        <f>VLOOKUP(I96,[7]stage_hints!$A:$D,4,FALSE)</f>
        <v>ソロ専用の「チャレンジタワー」では_x000D_各フロアごとにクリア報酬がもらえます</v>
      </c>
      <c r="M96" s="57" t="s">
        <v>212</v>
      </c>
    </row>
    <row r="97" spans="1:13" x14ac:dyDescent="0.15">
      <c r="A97" s="83" t="s">
        <v>202</v>
      </c>
      <c r="B97" s="84">
        <f>floors!$C$2</f>
        <v>39002</v>
      </c>
      <c r="C97" s="85" t="str">
        <f ca="1">VLOOKUP($B97,OFFSET([2]quests!$A$1,0,0,COUNTA([2]quests!$A:$A),MATCH(C$1,[2]quests!$1:$1,0)-MATCH($B$1,[2]quests!$1:$1,0)+1),MATCH(C$1,[2]quests!$1:$1,0)-MATCH($B$1,[2]quests!$1:$1,0)+1,FALSE)</f>
        <v>黄巾賊の暴走を止めろ</v>
      </c>
      <c r="D97" s="85" t="str">
        <f ca="1">VLOOKUP($B97,OFFSET([2]quests!$A$1,0,0,COUNTA([2]quests!$A:$A),MATCH(D$1,[2]quests!$1:$1,0)-MATCH($B$1,[2]quests!$1:$1,0)+1),MATCH(D$1,[2]quests!$1:$1,0)-MATCH($B$1,[2]quests!$1:$1,0)+1,FALSE)</f>
        <v>コラボクエスト</v>
      </c>
      <c r="E97" s="89">
        <v>4</v>
      </c>
      <c r="F97" s="85" t="str">
        <f ca="1">VLOOKUP($B97&amp;"_"&amp;$E97,OFFSET([2]stages!$A$1,0,0,COUNTA([2]stages!$A:$A),MATCH(F$1,[2]stages!$2:$2,0)-MATCH("temp_stage",[2]stages!$2:$2,0)+1),MATCH(F$1,[2]stages!$2:$2,0)-MATCH("temp_stage",[2]stages!$2:$2,0)+1,FALSE)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97" s="85" t="str">
        <f ca="1">VLOOKUP($B97&amp;"_"&amp;$E97,OFFSET([2]stages!$A$1,0,0,COUNTA([2]stages!$A:$A),MATCH(G$1,[2]stages!$2:$2,0)-MATCH("temp_stage",[2]stages!$2:$2,0)+1),MATCH(G$1,[2]stages!$2:$2,0)-MATCH("temp_stage",[2]stages!$2:$2,0)+1,FALSE)</f>
        <v>コラボクエスト</v>
      </c>
      <c r="H97" s="87">
        <v>0</v>
      </c>
      <c r="I97">
        <v>21</v>
      </c>
      <c r="J97" s="86" t="s">
        <v>199</v>
      </c>
      <c r="K97" s="95" t="str">
        <f>VLOOKUP(I97,[7]stage_hints!$A:$C,3,FALSE)</f>
        <v>スキルを有効に</v>
      </c>
      <c r="L97" s="96" t="str">
        <f>VLOOKUP(I97,[7]stage_hints!$A:$D,4,FALSE)</f>
        <v>ターン経過でユニットのスキルが使えます_x000D_強力スキルでバトルを有利に進めましょう</v>
      </c>
      <c r="M97" s="57" t="s">
        <v>212</v>
      </c>
    </row>
    <row r="98" spans="1:13" x14ac:dyDescent="0.15">
      <c r="A98" s="83" t="s">
        <v>202</v>
      </c>
      <c r="B98" s="84">
        <f>floors!$C$2</f>
        <v>39002</v>
      </c>
      <c r="C98" s="85" t="str">
        <f ca="1">VLOOKUP($B98,OFFSET([2]quests!$A$1,0,0,COUNTA([2]quests!$A:$A),MATCH(C$1,[2]quests!$1:$1,0)-MATCH($B$1,[2]quests!$1:$1,0)+1),MATCH(C$1,[2]quests!$1:$1,0)-MATCH($B$1,[2]quests!$1:$1,0)+1,FALSE)</f>
        <v>黄巾賊の暴走を止めろ</v>
      </c>
      <c r="D98" s="85" t="str">
        <f ca="1">VLOOKUP($B98,OFFSET([2]quests!$A$1,0,0,COUNTA([2]quests!$A:$A),MATCH(D$1,[2]quests!$1:$1,0)-MATCH($B$1,[2]quests!$1:$1,0)+1),MATCH(D$1,[2]quests!$1:$1,0)-MATCH($B$1,[2]quests!$1:$1,0)+1,FALSE)</f>
        <v>コラボクエスト</v>
      </c>
      <c r="E98" s="89">
        <v>4</v>
      </c>
      <c r="F98" s="85" t="str">
        <f ca="1">VLOOKUP($B98&amp;"_"&amp;$E98,OFFSET([2]stages!$A$1,0,0,COUNTA([2]stages!$A:$A),MATCH(F$1,[2]stages!$2:$2,0)-MATCH("temp_stage",[2]stages!$2:$2,0)+1),MATCH(F$1,[2]stages!$2:$2,0)-MATCH("temp_stage",[2]stages!$2:$2,0)+1,FALSE)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98" s="85" t="str">
        <f ca="1">VLOOKUP($B98&amp;"_"&amp;$E98,OFFSET([2]stages!$A$1,0,0,COUNTA([2]stages!$A:$A),MATCH(G$1,[2]stages!$2:$2,0)-MATCH("temp_stage",[2]stages!$2:$2,0)+1),MATCH(G$1,[2]stages!$2:$2,0)-MATCH("temp_stage",[2]stages!$2:$2,0)+1,FALSE)</f>
        <v>コラボクエスト</v>
      </c>
      <c r="H98" s="87">
        <v>0</v>
      </c>
      <c r="I98">
        <v>27</v>
      </c>
      <c r="J98" s="86" t="s">
        <v>199</v>
      </c>
      <c r="K98" s="95" t="str">
        <f>VLOOKUP(I98,[7]stage_hints!$A:$C,3,FALSE)</f>
        <v>ホーム画面からデッキを編成</v>
      </c>
      <c r="L98" s="96" t="str">
        <f>VLOOKUP(I98,[7]stage_hints!$A:$D,4,FALSE)</f>
        <v>ホーム画面でユニットを長押しすると_x000D_すぐにパーティ編成に移動できます</v>
      </c>
      <c r="M98" s="57" t="s">
        <v>212</v>
      </c>
    </row>
    <row r="99" spans="1:13" x14ac:dyDescent="0.15">
      <c r="A99" s="83" t="s">
        <v>202</v>
      </c>
      <c r="B99" s="84">
        <f>floors!$C$2</f>
        <v>39002</v>
      </c>
      <c r="C99" s="85" t="str">
        <f ca="1">VLOOKUP($B99,OFFSET([2]quests!$A$1,0,0,COUNTA([2]quests!$A:$A),MATCH(C$1,[2]quests!$1:$1,0)-MATCH($B$1,[2]quests!$1:$1,0)+1),MATCH(C$1,[2]quests!$1:$1,0)-MATCH($B$1,[2]quests!$1:$1,0)+1,FALSE)</f>
        <v>黄巾賊の暴走を止めろ</v>
      </c>
      <c r="D99" s="85" t="str">
        <f ca="1">VLOOKUP($B99,OFFSET([2]quests!$A$1,0,0,COUNTA([2]quests!$A:$A),MATCH(D$1,[2]quests!$1:$1,0)-MATCH($B$1,[2]quests!$1:$1,0)+1),MATCH(D$1,[2]quests!$1:$1,0)-MATCH($B$1,[2]quests!$1:$1,0)+1,FALSE)</f>
        <v>コラボクエスト</v>
      </c>
      <c r="E99" s="89">
        <v>4</v>
      </c>
      <c r="F99" s="85" t="str">
        <f ca="1">VLOOKUP($B99&amp;"_"&amp;$E99,OFFSET([2]stages!$A$1,0,0,COUNTA([2]stages!$A:$A),MATCH(F$1,[2]stages!$2:$2,0)-MATCH("temp_stage",[2]stages!$2:$2,0)+1),MATCH(F$1,[2]stages!$2:$2,0)-MATCH("temp_stage",[2]stages!$2:$2,0)+1,FALSE)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99" s="85" t="str">
        <f ca="1">VLOOKUP($B99&amp;"_"&amp;$E99,OFFSET([2]stages!$A$1,0,0,COUNTA([2]stages!$A:$A),MATCH(G$1,[2]stages!$2:$2,0)-MATCH("temp_stage",[2]stages!$2:$2,0)+1),MATCH(G$1,[2]stages!$2:$2,0)-MATCH("temp_stage",[2]stages!$2:$2,0)+1,FALSE)</f>
        <v>コラボクエスト</v>
      </c>
      <c r="H99" s="87">
        <v>0</v>
      </c>
      <c r="I99">
        <v>28</v>
      </c>
      <c r="J99" s="86" t="s">
        <v>199</v>
      </c>
      <c r="K99" s="95" t="str">
        <f>VLOOKUP(I99,[7]stage_hints!$A:$C,3,FALSE)</f>
        <v>ステータス情報は長押しで</v>
      </c>
      <c r="L99" s="96" t="str">
        <f>VLOOKUP(I99,[7]stage_hints!$A:$D,4,FALSE)</f>
        <v>ユニットのアイコンを長押しすると_x000D_ステータス情報を確認することができます</v>
      </c>
      <c r="M99" s="57" t="s">
        <v>212</v>
      </c>
    </row>
    <row r="100" spans="1:13" x14ac:dyDescent="0.15">
      <c r="A100" s="83" t="s">
        <v>202</v>
      </c>
      <c r="B100" s="84">
        <f>floors!$C$2</f>
        <v>39002</v>
      </c>
      <c r="C100" s="85" t="str">
        <f ca="1">VLOOKUP($B100,OFFSET([2]quests!$A$1,0,0,COUNTA([2]quests!$A:$A),MATCH(C$1,[2]quests!$1:$1,0)-MATCH($B$1,[2]quests!$1:$1,0)+1),MATCH(C$1,[2]quests!$1:$1,0)-MATCH($B$1,[2]quests!$1:$1,0)+1,FALSE)</f>
        <v>黄巾賊の暴走を止めろ</v>
      </c>
      <c r="D100" s="85" t="str">
        <f ca="1">VLOOKUP($B100,OFFSET([2]quests!$A$1,0,0,COUNTA([2]quests!$A:$A),MATCH(D$1,[2]quests!$1:$1,0)-MATCH($B$1,[2]quests!$1:$1,0)+1),MATCH(D$1,[2]quests!$1:$1,0)-MATCH($B$1,[2]quests!$1:$1,0)+1,FALSE)</f>
        <v>コラボクエスト</v>
      </c>
      <c r="E100" s="89">
        <v>4</v>
      </c>
      <c r="F100" s="85" t="str">
        <f ca="1">VLOOKUP($B100&amp;"_"&amp;$E100,OFFSET([2]stages!$A$1,0,0,COUNTA([2]stages!$A:$A),MATCH(F$1,[2]stages!$2:$2,0)-MATCH("temp_stage",[2]stages!$2:$2,0)+1),MATCH(F$1,[2]stages!$2:$2,0)-MATCH("temp_stage",[2]stages!$2:$2,0)+1,FALSE)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100" s="85" t="str">
        <f ca="1">VLOOKUP($B100&amp;"_"&amp;$E100,OFFSET([2]stages!$A$1,0,0,COUNTA([2]stages!$A:$A),MATCH(G$1,[2]stages!$2:$2,0)-MATCH("temp_stage",[2]stages!$2:$2,0)+1),MATCH(G$1,[2]stages!$2:$2,0)-MATCH("temp_stage",[2]stages!$2:$2,0)+1,FALSE)</f>
        <v>コラボクエスト</v>
      </c>
      <c r="H100" s="87">
        <v>0</v>
      </c>
      <c r="I100">
        <v>29</v>
      </c>
      <c r="J100" s="86" t="s">
        <v>199</v>
      </c>
      <c r="K100" s="95" t="str">
        <f>VLOOKUP(I100,[7]stage_hints!$A:$C,3,FALSE)</f>
        <v>「バグ」のメリット</v>
      </c>
      <c r="L100" s="96" t="str">
        <f>VLOOKUP(I100,[7]stage_hints!$A:$D,4,FALSE)</f>
        <v>ユニットの「バグ」を増やすと_x000D_報酬をもらえる確率がアップします</v>
      </c>
      <c r="M100" s="57" t="s">
        <v>212</v>
      </c>
    </row>
    <row r="101" spans="1:13" x14ac:dyDescent="0.15">
      <c r="A101" s="83" t="s">
        <v>202</v>
      </c>
      <c r="B101" s="84">
        <f>floors!$C$2</f>
        <v>39002</v>
      </c>
      <c r="C101" s="85" t="str">
        <f ca="1">VLOOKUP($B101,OFFSET([2]quests!$A$1,0,0,COUNTA([2]quests!$A:$A),MATCH(C$1,[2]quests!$1:$1,0)-MATCH($B$1,[2]quests!$1:$1,0)+1),MATCH(C$1,[2]quests!$1:$1,0)-MATCH($B$1,[2]quests!$1:$1,0)+1,FALSE)</f>
        <v>黄巾賊の暴走を止めろ</v>
      </c>
      <c r="D101" s="85" t="str">
        <f ca="1">VLOOKUP($B101,OFFSET([2]quests!$A$1,0,0,COUNTA([2]quests!$A:$A),MATCH(D$1,[2]quests!$1:$1,0)-MATCH($B$1,[2]quests!$1:$1,0)+1),MATCH(D$1,[2]quests!$1:$1,0)-MATCH($B$1,[2]quests!$1:$1,0)+1,FALSE)</f>
        <v>コラボクエスト</v>
      </c>
      <c r="E101" s="89">
        <v>4</v>
      </c>
      <c r="F101" s="85" t="str">
        <f ca="1">VLOOKUP($B101&amp;"_"&amp;$E101,OFFSET([2]stages!$A$1,0,0,COUNTA([2]stages!$A:$A),MATCH(F$1,[2]stages!$2:$2,0)-MATCH("temp_stage",[2]stages!$2:$2,0)+1),MATCH(F$1,[2]stages!$2:$2,0)-MATCH("temp_stage",[2]stages!$2:$2,0)+1,FALSE)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101" s="85" t="str">
        <f ca="1">VLOOKUP($B101&amp;"_"&amp;$E101,OFFSET([2]stages!$A$1,0,0,COUNTA([2]stages!$A:$A),MATCH(G$1,[2]stages!$2:$2,0)-MATCH("temp_stage",[2]stages!$2:$2,0)+1),MATCH(G$1,[2]stages!$2:$2,0)-MATCH("temp_stage",[2]stages!$2:$2,0)+1,FALSE)</f>
        <v>コラボクエスト</v>
      </c>
      <c r="H101" s="87">
        <v>0</v>
      </c>
      <c r="I101">
        <v>30</v>
      </c>
      <c r="J101" s="86" t="s">
        <v>199</v>
      </c>
      <c r="K101" s="95" t="str">
        <f>VLOOKUP(I101,[7]stage_hints!$A:$C,3,FALSE)</f>
        <v>「バグ」の増やし方</v>
      </c>
      <c r="L101" s="96" t="str">
        <f>VLOOKUP(I101,[7]stage_hints!$A:$D,4,FALSE)</f>
        <v>同じユニット同士を強化で合成すると_x000D_「バグ」を増やすことができます</v>
      </c>
      <c r="M101" s="57" t="s">
        <v>212</v>
      </c>
    </row>
    <row r="102" spans="1:13" x14ac:dyDescent="0.15">
      <c r="A102" s="83" t="s">
        <v>202</v>
      </c>
      <c r="B102" s="84">
        <f>floors!$C$2</f>
        <v>39002</v>
      </c>
      <c r="C102" s="85" t="str">
        <f ca="1">VLOOKUP($B102,OFFSET([2]quests!$A$1,0,0,COUNTA([2]quests!$A:$A),MATCH(C$1,[2]quests!$1:$1,0)-MATCH($B$1,[2]quests!$1:$1,0)+1),MATCH(C$1,[2]quests!$1:$1,0)-MATCH($B$1,[2]quests!$1:$1,0)+1,FALSE)</f>
        <v>黄巾賊の暴走を止めろ</v>
      </c>
      <c r="D102" s="85" t="str">
        <f ca="1">VLOOKUP($B102,OFFSET([2]quests!$A$1,0,0,COUNTA([2]quests!$A:$A),MATCH(D$1,[2]quests!$1:$1,0)-MATCH($B$1,[2]quests!$1:$1,0)+1),MATCH(D$1,[2]quests!$1:$1,0)-MATCH($B$1,[2]quests!$1:$1,0)+1,FALSE)</f>
        <v>コラボクエスト</v>
      </c>
      <c r="E102" s="89">
        <v>4</v>
      </c>
      <c r="F102" s="85" t="str">
        <f ca="1">VLOOKUP($B102&amp;"_"&amp;$E102,OFFSET([2]stages!$A$1,0,0,COUNTA([2]stages!$A:$A),MATCH(F$1,[2]stages!$2:$2,0)-MATCH("temp_stage",[2]stages!$2:$2,0)+1),MATCH(F$1,[2]stages!$2:$2,0)-MATCH("temp_stage",[2]stages!$2:$2,0)+1,FALSE)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102" s="85" t="str">
        <f ca="1">VLOOKUP($B102&amp;"_"&amp;$E102,OFFSET([2]stages!$A$1,0,0,COUNTA([2]stages!$A:$A),MATCH(G$1,[2]stages!$2:$2,0)-MATCH("temp_stage",[2]stages!$2:$2,0)+1),MATCH(G$1,[2]stages!$2:$2,0)-MATCH("temp_stage",[2]stages!$2:$2,0)+1,FALSE)</f>
        <v>コラボクエスト</v>
      </c>
      <c r="H102" s="87">
        <v>0</v>
      </c>
      <c r="I102">
        <v>32</v>
      </c>
      <c r="J102" s="86" t="s">
        <v>199</v>
      </c>
      <c r="K102" s="95" t="str">
        <f>VLOOKUP(I102,[7]stage_hints!$A:$C,3,FALSE)</f>
        <v>敵の連続攻撃には</v>
      </c>
      <c r="L102" s="96" t="str">
        <f>VLOOKUP(I102,[7]stage_hints!$A:$D,4,FALSE)</f>
        <v>カウンタースキルを持つユニットがいれば_x000D_ダメージ回数分の反撃ができます</v>
      </c>
      <c r="M102" s="57" t="s">
        <v>212</v>
      </c>
    </row>
    <row r="103" spans="1:13" x14ac:dyDescent="0.15">
      <c r="A103" s="83" t="s">
        <v>202</v>
      </c>
      <c r="B103" s="84">
        <f>floors!$C$2</f>
        <v>39002</v>
      </c>
      <c r="C103" s="85" t="str">
        <f ca="1">VLOOKUP($B103,OFFSET([2]quests!$A$1,0,0,COUNTA([2]quests!$A:$A),MATCH(C$1,[2]quests!$1:$1,0)-MATCH($B$1,[2]quests!$1:$1,0)+1),MATCH(C$1,[2]quests!$1:$1,0)-MATCH($B$1,[2]quests!$1:$1,0)+1,FALSE)</f>
        <v>黄巾賊の暴走を止めろ</v>
      </c>
      <c r="D103" s="85" t="str">
        <f ca="1">VLOOKUP($B103,OFFSET([2]quests!$A$1,0,0,COUNTA([2]quests!$A:$A),MATCH(D$1,[2]quests!$1:$1,0)-MATCH($B$1,[2]quests!$1:$1,0)+1),MATCH(D$1,[2]quests!$1:$1,0)-MATCH($B$1,[2]quests!$1:$1,0)+1,FALSE)</f>
        <v>コラボクエスト</v>
      </c>
      <c r="E103" s="89">
        <v>4</v>
      </c>
      <c r="F103" s="85" t="str">
        <f ca="1">VLOOKUP($B103&amp;"_"&amp;$E103,OFFSET([2]stages!$A$1,0,0,COUNTA([2]stages!$A:$A),MATCH(F$1,[2]stages!$2:$2,0)-MATCH("temp_stage",[2]stages!$2:$2,0)+1),MATCH(F$1,[2]stages!$2:$2,0)-MATCH("temp_stage",[2]stages!$2:$2,0)+1,FALSE)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103" s="85" t="str">
        <f ca="1">VLOOKUP($B103&amp;"_"&amp;$E103,OFFSET([2]stages!$A$1,0,0,COUNTA([2]stages!$A:$A),MATCH(G$1,[2]stages!$2:$2,0)-MATCH("temp_stage",[2]stages!$2:$2,0)+1),MATCH(G$1,[2]stages!$2:$2,0)-MATCH("temp_stage",[2]stages!$2:$2,0)+1,FALSE)</f>
        <v>コラボクエスト</v>
      </c>
      <c r="H103" s="87">
        <v>0</v>
      </c>
      <c r="I103">
        <v>33</v>
      </c>
      <c r="J103" s="86" t="s">
        <v>199</v>
      </c>
      <c r="K103" s="95" t="str">
        <f>VLOOKUP(I103,[7]stage_hints!$A:$C,3,FALSE)</f>
        <v>敵のカウンター攻撃には</v>
      </c>
      <c r="L103" s="96" t="str">
        <f>VLOOKUP(I103,[7]stage_hints!$A:$D,4,FALSE)</f>
        <v>カウンターブレイクスキルを持っていれば_x000D_敵のカウンターを解除して攻撃ができます</v>
      </c>
      <c r="M103" s="57" t="s">
        <v>212</v>
      </c>
    </row>
    <row r="104" spans="1:13" x14ac:dyDescent="0.15">
      <c r="A104" s="83" t="s">
        <v>202</v>
      </c>
      <c r="B104" s="84">
        <f>floors!$C$2</f>
        <v>39002</v>
      </c>
      <c r="C104" s="85" t="str">
        <f ca="1">VLOOKUP($B104,OFFSET([2]quests!$A$1,0,0,COUNTA([2]quests!$A:$A),MATCH(C$1,[2]quests!$1:$1,0)-MATCH($B$1,[2]quests!$1:$1,0)+1),MATCH(C$1,[2]quests!$1:$1,0)-MATCH($B$1,[2]quests!$1:$1,0)+1,FALSE)</f>
        <v>黄巾賊の暴走を止めろ</v>
      </c>
      <c r="D104" s="85" t="str">
        <f ca="1">VLOOKUP($B104,OFFSET([2]quests!$A$1,0,0,COUNTA([2]quests!$A:$A),MATCH(D$1,[2]quests!$1:$1,0)-MATCH($B$1,[2]quests!$1:$1,0)+1),MATCH(D$1,[2]quests!$1:$1,0)-MATCH($B$1,[2]quests!$1:$1,0)+1,FALSE)</f>
        <v>コラボクエスト</v>
      </c>
      <c r="E104" s="89">
        <v>4</v>
      </c>
      <c r="F104" s="85" t="str">
        <f ca="1">VLOOKUP($B104&amp;"_"&amp;$E104,OFFSET([2]stages!$A$1,0,0,COUNTA([2]stages!$A:$A),MATCH(F$1,[2]stages!$2:$2,0)-MATCH("temp_stage",[2]stages!$2:$2,0)+1),MATCH(F$1,[2]stages!$2:$2,0)-MATCH("temp_stage",[2]stages!$2:$2,0)+1,FALSE)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104" s="85" t="str">
        <f ca="1">VLOOKUP($B104&amp;"_"&amp;$E104,OFFSET([2]stages!$A$1,0,0,COUNTA([2]stages!$A:$A),MATCH(G$1,[2]stages!$2:$2,0)-MATCH("temp_stage",[2]stages!$2:$2,0)+1),MATCH(G$1,[2]stages!$2:$2,0)-MATCH("temp_stage",[2]stages!$2:$2,0)+1,FALSE)</f>
        <v>コラボクエスト</v>
      </c>
      <c r="H104" s="87">
        <v>0</v>
      </c>
      <c r="I104">
        <v>34</v>
      </c>
      <c r="J104" s="86" t="s">
        <v>199</v>
      </c>
      <c r="K104" s="95" t="str">
        <f>VLOOKUP(I104,[7]stage_hints!$A:$C,3,FALSE)</f>
        <v>ステータスをスキルで下げられたら</v>
      </c>
      <c r="L104" s="96" t="str">
        <f>VLOOKUP(I104,[7]stage_hints!$A:$D,4,FALSE)</f>
        <v>ステータスダウンのスキルを受けたら_x000D_ステータスアップスキルで上書きしましょう</v>
      </c>
      <c r="M104" s="57" t="s">
        <v>212</v>
      </c>
    </row>
    <row r="105" spans="1:13" x14ac:dyDescent="0.15">
      <c r="A105" s="83" t="s">
        <v>202</v>
      </c>
      <c r="B105" s="84">
        <f>floors!$C$2</f>
        <v>39002</v>
      </c>
      <c r="C105" s="85" t="str">
        <f ca="1">VLOOKUP($B105,OFFSET([2]quests!$A$1,0,0,COUNTA([2]quests!$A:$A),MATCH(C$1,[2]quests!$1:$1,0)-MATCH($B$1,[2]quests!$1:$1,0)+1),MATCH(C$1,[2]quests!$1:$1,0)-MATCH($B$1,[2]quests!$1:$1,0)+1,FALSE)</f>
        <v>黄巾賊の暴走を止めろ</v>
      </c>
      <c r="D105" s="85" t="str">
        <f ca="1">VLOOKUP($B105,OFFSET([2]quests!$A$1,0,0,COUNTA([2]quests!$A:$A),MATCH(D$1,[2]quests!$1:$1,0)-MATCH($B$1,[2]quests!$1:$1,0)+1),MATCH(D$1,[2]quests!$1:$1,0)-MATCH($B$1,[2]quests!$1:$1,0)+1,FALSE)</f>
        <v>コラボクエスト</v>
      </c>
      <c r="E105" s="89">
        <v>4</v>
      </c>
      <c r="F105" s="85" t="str">
        <f ca="1">VLOOKUP($B105&amp;"_"&amp;$E105,OFFSET([2]stages!$A$1,0,0,COUNTA([2]stages!$A:$A),MATCH(F$1,[2]stages!$2:$2,0)-MATCH("temp_stage",[2]stages!$2:$2,0)+1),MATCH(F$1,[2]stages!$2:$2,0)-MATCH("temp_stage",[2]stages!$2:$2,0)+1,FALSE)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105" s="85" t="str">
        <f ca="1">VLOOKUP($B105&amp;"_"&amp;$E105,OFFSET([2]stages!$A$1,0,0,COUNTA([2]stages!$A:$A),MATCH(G$1,[2]stages!$2:$2,0)-MATCH("temp_stage",[2]stages!$2:$2,0)+1),MATCH(G$1,[2]stages!$2:$2,0)-MATCH("temp_stage",[2]stages!$2:$2,0)+1,FALSE)</f>
        <v>コラボクエスト</v>
      </c>
      <c r="H105" s="87">
        <v>0</v>
      </c>
      <c r="I105">
        <v>35</v>
      </c>
      <c r="J105" s="86" t="s">
        <v>199</v>
      </c>
      <c r="K105" s="95" t="str">
        <f>VLOOKUP(I105,[7]stage_hints!$A:$C,3,FALSE)</f>
        <v>敵のステータスがスキルで上がったら</v>
      </c>
      <c r="L105" s="96" t="str">
        <f>VLOOKUP(I105,[7]stage_hints!$A:$D,4,FALSE)</f>
        <v>敵のステータスがスキルでアップしたときは_x000D_ステータスダウンスキルで上書きしましょう</v>
      </c>
      <c r="M105" s="57" t="s">
        <v>212</v>
      </c>
    </row>
    <row r="106" spans="1:13" x14ac:dyDescent="0.15">
      <c r="A106" s="83" t="s">
        <v>202</v>
      </c>
      <c r="B106" s="84">
        <f>floors!$C$2</f>
        <v>39002</v>
      </c>
      <c r="C106" s="85" t="str">
        <f ca="1">VLOOKUP($B106,OFFSET([2]quests!$A$1,0,0,COUNTA([2]quests!$A:$A),MATCH(C$1,[2]quests!$1:$1,0)-MATCH($B$1,[2]quests!$1:$1,0)+1),MATCH(C$1,[2]quests!$1:$1,0)-MATCH($B$1,[2]quests!$1:$1,0)+1,FALSE)</f>
        <v>黄巾賊の暴走を止めろ</v>
      </c>
      <c r="D106" s="85" t="str">
        <f ca="1">VLOOKUP($B106,OFFSET([2]quests!$A$1,0,0,COUNTA([2]quests!$A:$A),MATCH(D$1,[2]quests!$1:$1,0)-MATCH($B$1,[2]quests!$1:$1,0)+1),MATCH(D$1,[2]quests!$1:$1,0)-MATCH($B$1,[2]quests!$1:$1,0)+1,FALSE)</f>
        <v>コラボクエスト</v>
      </c>
      <c r="E106" s="89">
        <v>4</v>
      </c>
      <c r="F106" s="85" t="str">
        <f ca="1">VLOOKUP($B106&amp;"_"&amp;$E106,OFFSET([2]stages!$A$1,0,0,COUNTA([2]stages!$A:$A),MATCH(F$1,[2]stages!$2:$2,0)-MATCH("temp_stage",[2]stages!$2:$2,0)+1),MATCH(F$1,[2]stages!$2:$2,0)-MATCH("temp_stage",[2]stages!$2:$2,0)+1,FALSE)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106" s="85" t="str">
        <f ca="1">VLOOKUP($B106&amp;"_"&amp;$E106,OFFSET([2]stages!$A$1,0,0,COUNTA([2]stages!$A:$A),MATCH(G$1,[2]stages!$2:$2,0)-MATCH("temp_stage",[2]stages!$2:$2,0)+1),MATCH(G$1,[2]stages!$2:$2,0)-MATCH("temp_stage",[2]stages!$2:$2,0)+1,FALSE)</f>
        <v>コラボクエスト</v>
      </c>
      <c r="H106" s="87">
        <v>0</v>
      </c>
      <c r="I106">
        <v>36</v>
      </c>
      <c r="J106" s="86" t="s">
        <v>199</v>
      </c>
      <c r="K106" s="95" t="str">
        <f>VLOOKUP(I106,[7]stage_hints!$A:$C,3,FALSE)</f>
        <v>チャレンジタワーのボス</v>
      </c>
      <c r="L106" s="96" t="str">
        <f>VLOOKUP(I106,[7]stage_hints!$A:$D,4,FALSE)</f>
        <v>チャレンジタワーでのみ登場するボスは_x000D_一定確率で獲得することができます</v>
      </c>
      <c r="M106" s="57" t="s">
        <v>212</v>
      </c>
    </row>
    <row r="107" spans="1:13" x14ac:dyDescent="0.15">
      <c r="A107" s="83" t="s">
        <v>202</v>
      </c>
      <c r="B107" s="84">
        <f>floors!$C$2</f>
        <v>39002</v>
      </c>
      <c r="C107" s="85" t="str">
        <f ca="1">VLOOKUP($B107,OFFSET([2]quests!$A$1,0,0,COUNTA([2]quests!$A:$A),MATCH(C$1,[2]quests!$1:$1,0)-MATCH($B$1,[2]quests!$1:$1,0)+1),MATCH(C$1,[2]quests!$1:$1,0)-MATCH($B$1,[2]quests!$1:$1,0)+1,FALSE)</f>
        <v>黄巾賊の暴走を止めろ</v>
      </c>
      <c r="D107" s="85" t="str">
        <f ca="1">VLOOKUP($B107,OFFSET([2]quests!$A$1,0,0,COUNTA([2]quests!$A:$A),MATCH(D$1,[2]quests!$1:$1,0)-MATCH($B$1,[2]quests!$1:$1,0)+1),MATCH(D$1,[2]quests!$1:$1,0)-MATCH($B$1,[2]quests!$1:$1,0)+1,FALSE)</f>
        <v>コラボクエスト</v>
      </c>
      <c r="E107" s="89">
        <v>4</v>
      </c>
      <c r="F107" s="85" t="str">
        <f ca="1">VLOOKUP($B107&amp;"_"&amp;$E107,OFFSET([2]stages!$A$1,0,0,COUNTA([2]stages!$A:$A),MATCH(F$1,[2]stages!$2:$2,0)-MATCH("temp_stage",[2]stages!$2:$2,0)+1),MATCH(F$1,[2]stages!$2:$2,0)-MATCH("temp_stage",[2]stages!$2:$2,0)+1,FALSE)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107" s="85" t="str">
        <f ca="1">VLOOKUP($B107&amp;"_"&amp;$E107,OFFSET([2]stages!$A$1,0,0,COUNTA([2]stages!$A:$A),MATCH(G$1,[2]stages!$2:$2,0)-MATCH("temp_stage",[2]stages!$2:$2,0)+1),MATCH(G$1,[2]stages!$2:$2,0)-MATCH("temp_stage",[2]stages!$2:$2,0)+1,FALSE)</f>
        <v>コラボクエスト</v>
      </c>
      <c r="H107" s="87">
        <v>0</v>
      </c>
      <c r="I107">
        <v>37</v>
      </c>
      <c r="J107" s="86" t="s">
        <v>199</v>
      </c>
      <c r="K107" s="95" t="str">
        <f>VLOOKUP(I107,[7]stage_hints!$A:$C,3,FALSE)</f>
        <v>限界突破値の引き継ぎ</v>
      </c>
      <c r="L107" s="96" t="str">
        <f>VLOOKUP(I107,[7]stage_hints!$A:$D,4,FALSE)</f>
        <v>同じユニットを強化で合成すると_x000D_限界突破値を引き継げます（覚醒前後も可）</v>
      </c>
      <c r="M107" s="57" t="s">
        <v>212</v>
      </c>
    </row>
    <row r="108" spans="1:13" x14ac:dyDescent="0.15">
      <c r="A108" s="83" t="s">
        <v>202</v>
      </c>
      <c r="B108" s="84">
        <f>floors!$C$2</f>
        <v>39002</v>
      </c>
      <c r="C108" s="85" t="str">
        <f ca="1">VLOOKUP($B108,OFFSET([2]quests!$A$1,0,0,COUNTA([2]quests!$A:$A),MATCH(C$1,[2]quests!$1:$1,0)-MATCH($B$1,[2]quests!$1:$1,0)+1),MATCH(C$1,[2]quests!$1:$1,0)-MATCH($B$1,[2]quests!$1:$1,0)+1,FALSE)</f>
        <v>黄巾賊の暴走を止めろ</v>
      </c>
      <c r="D108" s="85" t="str">
        <f ca="1">VLOOKUP($B108,OFFSET([2]quests!$A$1,0,0,COUNTA([2]quests!$A:$A),MATCH(D$1,[2]quests!$1:$1,0)-MATCH($B$1,[2]quests!$1:$1,0)+1),MATCH(D$1,[2]quests!$1:$1,0)-MATCH($B$1,[2]quests!$1:$1,0)+1,FALSE)</f>
        <v>コラボクエスト</v>
      </c>
      <c r="E108" s="89">
        <v>4</v>
      </c>
      <c r="F108" s="85" t="str">
        <f ca="1">VLOOKUP($B108&amp;"_"&amp;$E108,OFFSET([2]stages!$A$1,0,0,COUNTA([2]stages!$A:$A),MATCH(F$1,[2]stages!$2:$2,0)-MATCH("temp_stage",[2]stages!$2:$2,0)+1),MATCH(F$1,[2]stages!$2:$2,0)-MATCH("temp_stage",[2]stages!$2:$2,0)+1,FALSE)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108" s="85" t="str">
        <f ca="1">VLOOKUP($B108&amp;"_"&amp;$E108,OFFSET([2]stages!$A$1,0,0,COUNTA([2]stages!$A:$A),MATCH(G$1,[2]stages!$2:$2,0)-MATCH("temp_stage",[2]stages!$2:$2,0)+1),MATCH(G$1,[2]stages!$2:$2,0)-MATCH("temp_stage",[2]stages!$2:$2,0)+1,FALSE)</f>
        <v>コラボクエスト</v>
      </c>
      <c r="H108" s="87">
        <v>0</v>
      </c>
      <c r="I108">
        <v>39</v>
      </c>
      <c r="J108" s="86" t="s">
        <v>199</v>
      </c>
      <c r="K108" s="95" t="str">
        <f>VLOOKUP(I108,[7]stage_hints!$A:$C,3,FALSE)</f>
        <v>システム適合者を確認</v>
      </c>
      <c r="L108" s="96" t="str">
        <f>VLOOKUP(I108,[7]stage_hints!$A:$D,4,FALSE)</f>
        <v>ALICEが「アナタ」を呼んでいます</v>
      </c>
      <c r="M108" s="57" t="s">
        <v>212</v>
      </c>
    </row>
  </sheetData>
  <phoneticPr fontId="5"/>
  <dataValidations count="1">
    <dataValidation type="list" allowBlank="1" showInputMessage="1" showErrorMessage="1" sqref="A2:A10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7"/>
  <sheetViews>
    <sheetView showGridLines="0" workbookViewId="0">
      <pane ySplit="1" topLeftCell="A2" activePane="bottomLeft" state="frozen"/>
      <selection pane="bottomLeft" activeCell="L14" sqref="L14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8" t="s">
        <v>189</v>
      </c>
      <c r="B1" s="74" t="s">
        <v>152</v>
      </c>
      <c r="C1" s="79" t="s">
        <v>191</v>
      </c>
      <c r="D1" s="79" t="s">
        <v>33</v>
      </c>
      <c r="E1" s="74" t="s">
        <v>192</v>
      </c>
      <c r="F1" s="79" t="s">
        <v>18</v>
      </c>
      <c r="G1" s="79" t="s">
        <v>33</v>
      </c>
      <c r="H1" s="74" t="s">
        <v>194</v>
      </c>
      <c r="I1" s="91" t="s">
        <v>195</v>
      </c>
      <c r="J1" s="93" t="s">
        <v>196</v>
      </c>
      <c r="K1" s="81" t="s">
        <v>128</v>
      </c>
      <c r="L1" s="80" t="s">
        <v>188</v>
      </c>
      <c r="M1" s="94" t="s">
        <v>187</v>
      </c>
      <c r="N1" s="82" t="s">
        <v>197</v>
      </c>
    </row>
    <row r="2" spans="1:14" ht="28" x14ac:dyDescent="0.15">
      <c r="A2" s="83" t="s">
        <v>198</v>
      </c>
      <c r="B2" s="84">
        <f>floors!$C$2</f>
        <v>39002</v>
      </c>
      <c r="C2" s="85" t="str">
        <f ca="1">VLOOKUP($B2,OFFSET([2]quests!$A$1,0,0,COUNTA([2]quests!$A:$A),MATCH(C$1,[2]quests!$1:$1,0)-MATCH($B$1,[2]quests!$1:$1,0)+1),MATCH(C$1,[2]quests!$1:$1,0)-MATCH($B$1,[2]quests!$1:$1,0)+1,FALSE)</f>
        <v>黄巾賊の暴走を止めろ</v>
      </c>
      <c r="D2" s="85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6">
        <v>1</v>
      </c>
      <c r="F2" s="85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2" s="85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7">
        <v>1</v>
      </c>
      <c r="I2" s="92">
        <f>ROW()-1</f>
        <v>1</v>
      </c>
      <c r="J2" s="88" t="str">
        <f>B2&amp;TEXT(I2,"00")</f>
        <v>3900201</v>
      </c>
      <c r="K2" s="86" t="s">
        <v>199</v>
      </c>
      <c r="L2" s="89" t="s">
        <v>200</v>
      </c>
      <c r="M2" s="115" t="s">
        <v>268</v>
      </c>
      <c r="N2" s="57" t="s">
        <v>201</v>
      </c>
    </row>
    <row r="3" spans="1:14" ht="42" x14ac:dyDescent="0.15">
      <c r="A3" s="83" t="s">
        <v>198</v>
      </c>
      <c r="B3" s="84">
        <f>floors!$C$2</f>
        <v>39002</v>
      </c>
      <c r="C3" s="85" t="str">
        <f ca="1">VLOOKUP($B3,OFFSET([2]quests!$A$1,0,0,COUNTA([2]quests!$A:$A),MATCH(C$1,[2]quests!$1:$1,0)-MATCH($B$1,[2]quests!$1:$1,0)+1),MATCH(C$1,[2]quests!$1:$1,0)-MATCH($B$1,[2]quests!$1:$1,0)+1,FALSE)</f>
        <v>黄巾賊の暴走を止めろ</v>
      </c>
      <c r="D3" s="85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6">
        <v>1</v>
      </c>
      <c r="F3" s="85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3" s="85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7">
        <v>2</v>
      </c>
      <c r="I3" s="92">
        <f t="shared" ref="I3:I17" si="0">ROW()-1</f>
        <v>2</v>
      </c>
      <c r="J3" s="88" t="str">
        <f t="shared" ref="J3:J5" si="1">B3&amp;TEXT(I3,"00")</f>
        <v>3900202</v>
      </c>
      <c r="K3" s="86" t="s">
        <v>199</v>
      </c>
      <c r="L3" s="89" t="s">
        <v>200</v>
      </c>
      <c r="M3" s="115" t="s">
        <v>269</v>
      </c>
      <c r="N3" s="57" t="s">
        <v>201</v>
      </c>
    </row>
    <row r="4" spans="1:14" ht="42" x14ac:dyDescent="0.15">
      <c r="A4" s="83" t="s">
        <v>198</v>
      </c>
      <c r="B4" s="84">
        <f>floors!$C$2</f>
        <v>39002</v>
      </c>
      <c r="C4" s="85" t="str">
        <f ca="1">VLOOKUP($B4,OFFSET([2]quests!$A$1,0,0,COUNTA([2]quests!$A:$A),MATCH(C$1,[2]quests!$1:$1,0)-MATCH($B$1,[2]quests!$1:$1,0)+1),MATCH(C$1,[2]quests!$1:$1,0)-MATCH($B$1,[2]quests!$1:$1,0)+1,FALSE)</f>
        <v>黄巾賊の暴走を止めろ</v>
      </c>
      <c r="D4" s="85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6">
        <v>1</v>
      </c>
      <c r="F4" s="85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4" s="85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7">
        <v>3</v>
      </c>
      <c r="I4" s="92">
        <f t="shared" si="0"/>
        <v>3</v>
      </c>
      <c r="J4" s="88" t="str">
        <f t="shared" si="1"/>
        <v>3900203</v>
      </c>
      <c r="K4" s="86" t="s">
        <v>199</v>
      </c>
      <c r="L4" s="89" t="s">
        <v>200</v>
      </c>
      <c r="M4" s="115" t="s">
        <v>270</v>
      </c>
      <c r="N4" s="57" t="s">
        <v>201</v>
      </c>
    </row>
    <row r="5" spans="1:14" ht="42" x14ac:dyDescent="0.15">
      <c r="A5" s="83" t="s">
        <v>198</v>
      </c>
      <c r="B5" s="84">
        <f>floors!$C$2</f>
        <v>39002</v>
      </c>
      <c r="C5" s="85" t="str">
        <f ca="1">VLOOKUP($B5,OFFSET([2]quests!$A$1,0,0,COUNTA([2]quests!$A:$A),MATCH(C$1,[2]quests!$1:$1,0)-MATCH($B$1,[2]quests!$1:$1,0)+1),MATCH(C$1,[2]quests!$1:$1,0)-MATCH($B$1,[2]quests!$1:$1,0)+1,FALSE)</f>
        <v>黄巾賊の暴走を止めろ</v>
      </c>
      <c r="D5" s="85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6">
        <v>1</v>
      </c>
      <c r="F5" s="85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【初級】黄巾賊の暴走を止めろ</v>
      </c>
      <c r="G5" s="85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7">
        <v>4</v>
      </c>
      <c r="I5" s="92">
        <f t="shared" si="0"/>
        <v>4</v>
      </c>
      <c r="J5" s="88" t="str">
        <f t="shared" si="1"/>
        <v>3900204</v>
      </c>
      <c r="K5" s="86" t="s">
        <v>199</v>
      </c>
      <c r="L5" s="89" t="s">
        <v>200</v>
      </c>
      <c r="M5" s="115" t="s">
        <v>271</v>
      </c>
      <c r="N5" s="57" t="s">
        <v>201</v>
      </c>
    </row>
    <row r="6" spans="1:14" ht="28" x14ac:dyDescent="0.15">
      <c r="A6" s="83" t="s">
        <v>198</v>
      </c>
      <c r="B6" s="84">
        <f>floors!$C$2</f>
        <v>39002</v>
      </c>
      <c r="C6" s="85" t="str">
        <f ca="1">VLOOKUP($B6,OFFSET([2]quests!$A$1,0,0,COUNTA([2]quests!$A:$A),MATCH(C$1,[2]quests!$1:$1,0)-MATCH($B$1,[2]quests!$1:$1,0)+1),MATCH(C$1,[2]quests!$1:$1,0)-MATCH($B$1,[2]quests!$1:$1,0)+1,FALSE)</f>
        <v>黄巾賊の暴走を止めろ</v>
      </c>
      <c r="D6" s="85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6">
        <v>2</v>
      </c>
      <c r="F6" s="85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6" s="85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7">
        <v>1</v>
      </c>
      <c r="I6" s="92">
        <f>ROW()-1</f>
        <v>5</v>
      </c>
      <c r="J6" s="88" t="str">
        <f>B6&amp;TEXT(I6,"00")</f>
        <v>3900205</v>
      </c>
      <c r="K6" s="86" t="s">
        <v>199</v>
      </c>
      <c r="L6" s="89" t="s">
        <v>200</v>
      </c>
      <c r="M6" s="115" t="s">
        <v>268</v>
      </c>
      <c r="N6" s="57" t="s">
        <v>201</v>
      </c>
    </row>
    <row r="7" spans="1:14" ht="42" x14ac:dyDescent="0.15">
      <c r="A7" s="83" t="s">
        <v>198</v>
      </c>
      <c r="B7" s="84">
        <f>floors!$C$2</f>
        <v>39002</v>
      </c>
      <c r="C7" s="85" t="str">
        <f ca="1">VLOOKUP($B7,OFFSET([2]quests!$A$1,0,0,COUNTA([2]quests!$A:$A),MATCH(C$1,[2]quests!$1:$1,0)-MATCH($B$1,[2]quests!$1:$1,0)+1),MATCH(C$1,[2]quests!$1:$1,0)-MATCH($B$1,[2]quests!$1:$1,0)+1,FALSE)</f>
        <v>黄巾賊の暴走を止めろ</v>
      </c>
      <c r="D7" s="85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86">
        <v>2</v>
      </c>
      <c r="F7" s="85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7" s="85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87">
        <v>2</v>
      </c>
      <c r="I7" s="92">
        <f t="shared" si="0"/>
        <v>6</v>
      </c>
      <c r="J7" s="88" t="str">
        <f t="shared" ref="J7:J9" si="2">B7&amp;TEXT(I7,"00")</f>
        <v>3900206</v>
      </c>
      <c r="K7" s="86" t="s">
        <v>199</v>
      </c>
      <c r="L7" s="89" t="s">
        <v>200</v>
      </c>
      <c r="M7" s="115" t="s">
        <v>269</v>
      </c>
      <c r="N7" s="57" t="s">
        <v>201</v>
      </c>
    </row>
    <row r="8" spans="1:14" ht="42" x14ac:dyDescent="0.15">
      <c r="A8" s="83" t="s">
        <v>198</v>
      </c>
      <c r="B8" s="84">
        <f>floors!$C$2</f>
        <v>39002</v>
      </c>
      <c r="C8" s="85" t="str">
        <f ca="1">VLOOKUP($B8,OFFSET([2]quests!$A$1,0,0,COUNTA([2]quests!$A:$A),MATCH(C$1,[2]quests!$1:$1,0)-MATCH($B$1,[2]quests!$1:$1,0)+1),MATCH(C$1,[2]quests!$1:$1,0)-MATCH($B$1,[2]quests!$1:$1,0)+1,FALSE)</f>
        <v>黄巾賊の暴走を止めろ</v>
      </c>
      <c r="D8" s="85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86">
        <v>2</v>
      </c>
      <c r="F8" s="85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8" s="85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87">
        <v>3</v>
      </c>
      <c r="I8" s="92">
        <f t="shared" si="0"/>
        <v>7</v>
      </c>
      <c r="J8" s="88" t="str">
        <f t="shared" si="2"/>
        <v>3900207</v>
      </c>
      <c r="K8" s="86" t="s">
        <v>199</v>
      </c>
      <c r="L8" s="89" t="s">
        <v>200</v>
      </c>
      <c r="M8" s="115" t="s">
        <v>270</v>
      </c>
      <c r="N8" s="57" t="s">
        <v>201</v>
      </c>
    </row>
    <row r="9" spans="1:14" ht="42" x14ac:dyDescent="0.15">
      <c r="A9" s="83" t="s">
        <v>198</v>
      </c>
      <c r="B9" s="84">
        <f>floors!$C$2</f>
        <v>39002</v>
      </c>
      <c r="C9" s="85" t="str">
        <f ca="1">VLOOKUP($B9,OFFSET([2]quests!$A$1,0,0,COUNTA([2]quests!$A:$A),MATCH(C$1,[2]quests!$1:$1,0)-MATCH($B$1,[2]quests!$1:$1,0)+1),MATCH(C$1,[2]quests!$1:$1,0)-MATCH($B$1,[2]quests!$1:$1,0)+1,FALSE)</f>
        <v>黄巾賊の暴走を止めろ</v>
      </c>
      <c r="D9" s="85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86">
        <v>2</v>
      </c>
      <c r="F9" s="85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【中級】黄巾賊の暴走を止めろ</v>
      </c>
      <c r="G9" s="85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87">
        <v>4</v>
      </c>
      <c r="I9" s="92">
        <f t="shared" si="0"/>
        <v>8</v>
      </c>
      <c r="J9" s="88" t="str">
        <f t="shared" si="2"/>
        <v>3900208</v>
      </c>
      <c r="K9" s="86" t="s">
        <v>199</v>
      </c>
      <c r="L9" s="89" t="s">
        <v>200</v>
      </c>
      <c r="M9" s="115" t="s">
        <v>271</v>
      </c>
      <c r="N9" s="57" t="s">
        <v>201</v>
      </c>
    </row>
    <row r="10" spans="1:14" ht="28" x14ac:dyDescent="0.15">
      <c r="A10" s="83" t="s">
        <v>198</v>
      </c>
      <c r="B10" s="84">
        <f>floors!$C$2</f>
        <v>39002</v>
      </c>
      <c r="C10" s="85" t="str">
        <f ca="1">VLOOKUP($B10,OFFSET([2]quests!$A$1,0,0,COUNTA([2]quests!$A:$A),MATCH(C$1,[2]quests!$1:$1,0)-MATCH($B$1,[2]quests!$1:$1,0)+1),MATCH(C$1,[2]quests!$1:$1,0)-MATCH($B$1,[2]quests!$1:$1,0)+1,FALSE)</f>
        <v>黄巾賊の暴走を止めろ</v>
      </c>
      <c r="D10" s="85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86">
        <v>3</v>
      </c>
      <c r="F10" s="85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10" s="85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87">
        <v>1</v>
      </c>
      <c r="I10" s="92">
        <f>ROW()-1</f>
        <v>9</v>
      </c>
      <c r="J10" s="88" t="str">
        <f>B10&amp;TEXT(I10,"00")</f>
        <v>3900209</v>
      </c>
      <c r="K10" s="86" t="s">
        <v>199</v>
      </c>
      <c r="L10" s="89" t="s">
        <v>200</v>
      </c>
      <c r="M10" s="115" t="s">
        <v>268</v>
      </c>
      <c r="N10" s="57" t="s">
        <v>201</v>
      </c>
    </row>
    <row r="11" spans="1:14" ht="42" x14ac:dyDescent="0.15">
      <c r="A11" s="83" t="s">
        <v>198</v>
      </c>
      <c r="B11" s="84">
        <f>floors!$C$2</f>
        <v>39002</v>
      </c>
      <c r="C11" s="85" t="str">
        <f ca="1">VLOOKUP($B11,OFFSET([2]quests!$A$1,0,0,COUNTA([2]quests!$A:$A),MATCH(C$1,[2]quests!$1:$1,0)-MATCH($B$1,[2]quests!$1:$1,0)+1),MATCH(C$1,[2]quests!$1:$1,0)-MATCH($B$1,[2]quests!$1:$1,0)+1,FALSE)</f>
        <v>黄巾賊の暴走を止めろ</v>
      </c>
      <c r="D11" s="85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86">
        <v>3</v>
      </c>
      <c r="F11" s="85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11" s="85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87">
        <v>2</v>
      </c>
      <c r="I11" s="92">
        <f t="shared" si="0"/>
        <v>10</v>
      </c>
      <c r="J11" s="88" t="str">
        <f t="shared" ref="J11:J13" si="3">B11&amp;TEXT(I11,"00")</f>
        <v>3900210</v>
      </c>
      <c r="K11" s="86" t="s">
        <v>199</v>
      </c>
      <c r="L11" s="89" t="s">
        <v>200</v>
      </c>
      <c r="M11" s="115" t="s">
        <v>269</v>
      </c>
      <c r="N11" s="57" t="s">
        <v>201</v>
      </c>
    </row>
    <row r="12" spans="1:14" ht="42" x14ac:dyDescent="0.15">
      <c r="A12" s="83" t="s">
        <v>198</v>
      </c>
      <c r="B12" s="84">
        <f>floors!$C$2</f>
        <v>39002</v>
      </c>
      <c r="C12" s="85" t="str">
        <f ca="1">VLOOKUP($B12,OFFSET([2]quests!$A$1,0,0,COUNTA([2]quests!$A:$A),MATCH(C$1,[2]quests!$1:$1,0)-MATCH($B$1,[2]quests!$1:$1,0)+1),MATCH(C$1,[2]quests!$1:$1,0)-MATCH($B$1,[2]quests!$1:$1,0)+1,FALSE)</f>
        <v>黄巾賊の暴走を止めろ</v>
      </c>
      <c r="D12" s="85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86">
        <v>3</v>
      </c>
      <c r="F12" s="85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12" s="85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87">
        <v>3</v>
      </c>
      <c r="I12" s="92">
        <f t="shared" si="0"/>
        <v>11</v>
      </c>
      <c r="J12" s="88" t="str">
        <f t="shared" si="3"/>
        <v>3900211</v>
      </c>
      <c r="K12" s="86" t="s">
        <v>199</v>
      </c>
      <c r="L12" s="89" t="s">
        <v>200</v>
      </c>
      <c r="M12" s="115" t="s">
        <v>270</v>
      </c>
      <c r="N12" s="57" t="s">
        <v>201</v>
      </c>
    </row>
    <row r="13" spans="1:14" ht="42" x14ac:dyDescent="0.15">
      <c r="A13" s="83" t="s">
        <v>198</v>
      </c>
      <c r="B13" s="84">
        <f>floors!$C$2</f>
        <v>39002</v>
      </c>
      <c r="C13" s="85" t="str">
        <f ca="1">VLOOKUP($B13,OFFSET([2]quests!$A$1,0,0,COUNTA([2]quests!$A:$A),MATCH(C$1,[2]quests!$1:$1,0)-MATCH($B$1,[2]quests!$1:$1,0)+1),MATCH(C$1,[2]quests!$1:$1,0)-MATCH($B$1,[2]quests!$1:$1,0)+1,FALSE)</f>
        <v>黄巾賊の暴走を止めろ</v>
      </c>
      <c r="D13" s="85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86">
        <v>3</v>
      </c>
      <c r="F13" s="85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【上級】黄巾賊の暴走を止めろ</v>
      </c>
      <c r="G13" s="85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87">
        <v>4</v>
      </c>
      <c r="I13" s="92">
        <f t="shared" si="0"/>
        <v>12</v>
      </c>
      <c r="J13" s="88" t="str">
        <f t="shared" si="3"/>
        <v>3900212</v>
      </c>
      <c r="K13" s="86" t="s">
        <v>272</v>
      </c>
      <c r="L13" s="89" t="s">
        <v>200</v>
      </c>
      <c r="M13" s="115" t="s">
        <v>271</v>
      </c>
      <c r="N13" s="57" t="s">
        <v>201</v>
      </c>
    </row>
    <row r="14" spans="1:14" ht="28" x14ac:dyDescent="0.15">
      <c r="A14" s="83" t="s">
        <v>198</v>
      </c>
      <c r="B14" s="84">
        <f>floors!$C$2</f>
        <v>39002</v>
      </c>
      <c r="C14" s="85" t="str">
        <f ca="1">VLOOKUP($B14,OFFSET([2]quests!$A$1,0,0,COUNTA([2]quests!$A:$A),MATCH(C$1,[2]quests!$1:$1,0)-MATCH($B$1,[2]quests!$1:$1,0)+1),MATCH(C$1,[2]quests!$1:$1,0)-MATCH($B$1,[2]quests!$1:$1,0)+1,FALSE)</f>
        <v>黄巾賊の暴走を止めろ</v>
      </c>
      <c r="D14" s="85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86">
        <v>4</v>
      </c>
      <c r="F14" s="85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14" s="85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87">
        <v>1</v>
      </c>
      <c r="I14" s="92">
        <f>ROW()-1</f>
        <v>13</v>
      </c>
      <c r="J14" s="88" t="str">
        <f>B14&amp;TEXT(I14,"00")</f>
        <v>3900213</v>
      </c>
      <c r="K14" s="86" t="s">
        <v>199</v>
      </c>
      <c r="L14" s="89" t="s">
        <v>200</v>
      </c>
      <c r="M14" s="115" t="s">
        <v>268</v>
      </c>
      <c r="N14" s="57" t="s">
        <v>201</v>
      </c>
    </row>
    <row r="15" spans="1:14" ht="42" x14ac:dyDescent="0.15">
      <c r="A15" s="83" t="s">
        <v>198</v>
      </c>
      <c r="B15" s="84">
        <f>floors!$C$2</f>
        <v>39002</v>
      </c>
      <c r="C15" s="85" t="str">
        <f ca="1">VLOOKUP($B15,OFFSET([2]quests!$A$1,0,0,COUNTA([2]quests!$A:$A),MATCH(C$1,[2]quests!$1:$1,0)-MATCH($B$1,[2]quests!$1:$1,0)+1),MATCH(C$1,[2]quests!$1:$1,0)-MATCH($B$1,[2]quests!$1:$1,0)+1,FALSE)</f>
        <v>黄巾賊の暴走を止めろ</v>
      </c>
      <c r="D15" s="85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86">
        <v>4</v>
      </c>
      <c r="F15" s="85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15" s="85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87">
        <v>2</v>
      </c>
      <c r="I15" s="92">
        <f t="shared" si="0"/>
        <v>14</v>
      </c>
      <c r="J15" s="88" t="str">
        <f t="shared" ref="J15:J17" si="4">B15&amp;TEXT(I15,"00")</f>
        <v>3900214</v>
      </c>
      <c r="K15" s="86" t="s">
        <v>199</v>
      </c>
      <c r="L15" s="89" t="s">
        <v>200</v>
      </c>
      <c r="M15" s="115" t="s">
        <v>269</v>
      </c>
      <c r="N15" s="57" t="s">
        <v>201</v>
      </c>
    </row>
    <row r="16" spans="1:14" ht="42" x14ac:dyDescent="0.15">
      <c r="A16" s="83" t="s">
        <v>198</v>
      </c>
      <c r="B16" s="84">
        <f>floors!$C$2</f>
        <v>39002</v>
      </c>
      <c r="C16" s="85" t="str">
        <f ca="1">VLOOKUP($B16,OFFSET([2]quests!$A$1,0,0,COUNTA([2]quests!$A:$A),MATCH(C$1,[2]quests!$1:$1,0)-MATCH($B$1,[2]quests!$1:$1,0)+1),MATCH(C$1,[2]quests!$1:$1,0)-MATCH($B$1,[2]quests!$1:$1,0)+1,FALSE)</f>
        <v>黄巾賊の暴走を止めろ</v>
      </c>
      <c r="D16" s="85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86">
        <v>4</v>
      </c>
      <c r="F16" s="85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16" s="85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87">
        <v>3</v>
      </c>
      <c r="I16" s="92">
        <f t="shared" si="0"/>
        <v>15</v>
      </c>
      <c r="J16" s="88" t="str">
        <f t="shared" si="4"/>
        <v>3900215</v>
      </c>
      <c r="K16" s="86" t="s">
        <v>199</v>
      </c>
      <c r="L16" s="89" t="s">
        <v>200</v>
      </c>
      <c r="M16" s="115" t="s">
        <v>270</v>
      </c>
      <c r="N16" s="57" t="s">
        <v>201</v>
      </c>
    </row>
    <row r="17" spans="1:14" ht="42" x14ac:dyDescent="0.15">
      <c r="A17" s="83" t="s">
        <v>198</v>
      </c>
      <c r="B17" s="84">
        <f>floors!$C$2</f>
        <v>39002</v>
      </c>
      <c r="C17" s="85" t="str">
        <f ca="1">VLOOKUP($B17,OFFSET([2]quests!$A$1,0,0,COUNTA([2]quests!$A:$A),MATCH(C$1,[2]quests!$1:$1,0)-MATCH($B$1,[2]quests!$1:$1,0)+1),MATCH(C$1,[2]quests!$1:$1,0)-MATCH($B$1,[2]quests!$1:$1,0)+1,FALSE)</f>
        <v>黄巾賊の暴走を止めろ</v>
      </c>
      <c r="D17" s="85" t="str">
        <f ca="1">VLOOKUP($B17,OFFSET([2]quests!$A$1,0,0,COUNTA([2]quests!$A:$A),MATCH(D$1,[2]quests!$1:$1,0)-MATCH($B$1,[2]quests!$1:$1,0)+1),MATCH(D$1,[2]quests!$1:$1,0)-MATCH($B$1,[2]quests!$1:$1,0)+1,FALSE)</f>
        <v>コラボクエスト</v>
      </c>
      <c r="E17" s="86">
        <v>4</v>
      </c>
      <c r="F17" s="85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【超級】黄巾賊の暴走を止めろ</v>
      </c>
      <c r="G17" s="85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</v>
      </c>
      <c r="H17" s="87">
        <v>4</v>
      </c>
      <c r="I17" s="92">
        <f t="shared" si="0"/>
        <v>16</v>
      </c>
      <c r="J17" s="88" t="str">
        <f t="shared" si="4"/>
        <v>3900216</v>
      </c>
      <c r="K17" s="86" t="s">
        <v>199</v>
      </c>
      <c r="L17" s="89" t="s">
        <v>200</v>
      </c>
      <c r="M17" s="115" t="s">
        <v>271</v>
      </c>
      <c r="N17" s="57" t="s">
        <v>201</v>
      </c>
    </row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cp:lastPrinted>2016-03-30T01:41:47Z</cp:lastPrinted>
  <dcterms:created xsi:type="dcterms:W3CDTF">2015-01-30T13:36:44Z</dcterms:created>
  <dcterms:modified xsi:type="dcterms:W3CDTF">2016-04-20T13:28:31Z</dcterms:modified>
</cp:coreProperties>
</file>