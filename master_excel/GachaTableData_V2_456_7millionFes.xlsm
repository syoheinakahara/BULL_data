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56100" sheetId="153" r:id="rId4"/>
    <sheet name="tables_456100" sheetId="154" r:id="rId5"/>
    <sheet name="tables_settle_456104" sheetId="159" r:id="rId6"/>
    <sheet name="tables_settle_456107" sheetId="160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tables_456100!$A$1:$V$294</definedName>
    <definedName name="_xlnm._FilterDatabase" localSheetId="5" hidden="1">tables_settle_456104!$A$1:$V$294</definedName>
    <definedName name="_xlnm._FilterDatabase" localSheetId="6" hidden="1">tables_settle_456107!$A$1:$V$1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53" l="1"/>
  <c r="B27" i="153"/>
  <c r="A2" i="153"/>
  <c r="G27" i="153"/>
  <c r="H27" i="153"/>
  <c r="O138" i="154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G20" i="153"/>
  <c r="H20" i="153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F48" i="153"/>
  <c r="F49" i="153"/>
  <c r="G48" i="153"/>
  <c r="B21" i="153"/>
  <c r="G21" i="153"/>
  <c r="H21" i="153"/>
  <c r="F42" i="153"/>
  <c r="G42" i="153"/>
  <c r="F35" i="153"/>
  <c r="B10" i="153"/>
  <c r="E6" i="153"/>
  <c r="B19" i="153"/>
  <c r="B24" i="153"/>
  <c r="B17" i="153"/>
  <c r="B18" i="153"/>
  <c r="A36" i="153"/>
  <c r="G18" i="153"/>
  <c r="H18" i="153"/>
  <c r="G17" i="153"/>
  <c r="H17" i="153"/>
  <c r="G24" i="153"/>
  <c r="H24" i="153"/>
  <c r="B25" i="153"/>
  <c r="G25" i="153"/>
  <c r="H25" i="153"/>
  <c r="B26" i="153"/>
  <c r="G26" i="153"/>
  <c r="H26" i="153"/>
  <c r="G19" i="153"/>
  <c r="H19" i="153"/>
  <c r="B23" i="153"/>
  <c r="E5" i="153"/>
  <c r="B28" i="153"/>
  <c r="B29" i="153"/>
  <c r="G28" i="153"/>
  <c r="H28" i="153"/>
  <c r="G23" i="153"/>
  <c r="H23" i="153"/>
  <c r="B22" i="153"/>
  <c r="G22" i="153"/>
  <c r="H22" i="153"/>
  <c r="G29" i="153"/>
  <c r="H29" i="153"/>
  <c r="R3" i="153"/>
  <c r="R4" i="153"/>
  <c r="R5" i="153"/>
  <c r="R6" i="153"/>
  <c r="R7" i="153"/>
  <c r="R8" i="153"/>
  <c r="R9" i="153"/>
  <c r="R10" i="153"/>
  <c r="R11" i="153"/>
  <c r="R12" i="153"/>
  <c r="R13" i="153"/>
  <c r="F41" i="153"/>
  <c r="G41" i="153"/>
  <c r="F34" i="153"/>
  <c r="C3" i="103"/>
  <c r="E3" i="103"/>
  <c r="P12" i="160"/>
  <c r="N12" i="160"/>
  <c r="M12" i="160"/>
  <c r="L12" i="160"/>
  <c r="K12" i="160"/>
  <c r="J12" i="160"/>
  <c r="I12" i="160"/>
  <c r="H12" i="160"/>
  <c r="F12" i="160"/>
  <c r="E12" i="160"/>
  <c r="D12" i="160"/>
  <c r="C12" i="160"/>
  <c r="P11" i="160"/>
  <c r="N11" i="160"/>
  <c r="M11" i="160"/>
  <c r="L11" i="160"/>
  <c r="K11" i="160"/>
  <c r="J11" i="160"/>
  <c r="I11" i="160"/>
  <c r="H11" i="160"/>
  <c r="F11" i="160"/>
  <c r="E11" i="160"/>
  <c r="D11" i="160"/>
  <c r="C11" i="160"/>
  <c r="P10" i="160"/>
  <c r="N10" i="160"/>
  <c r="M10" i="160"/>
  <c r="L10" i="160"/>
  <c r="K10" i="160"/>
  <c r="J10" i="160"/>
  <c r="I10" i="160"/>
  <c r="H10" i="160"/>
  <c r="F10" i="160"/>
  <c r="E10" i="160"/>
  <c r="D10" i="160"/>
  <c r="C10" i="160"/>
  <c r="P9" i="160"/>
  <c r="N9" i="160"/>
  <c r="M9" i="160"/>
  <c r="L9" i="160"/>
  <c r="K9" i="160"/>
  <c r="J9" i="160"/>
  <c r="I9" i="160"/>
  <c r="H9" i="160"/>
  <c r="F9" i="160"/>
  <c r="E9" i="160"/>
  <c r="D9" i="160"/>
  <c r="C9" i="160"/>
  <c r="P8" i="160"/>
  <c r="N8" i="160"/>
  <c r="M8" i="160"/>
  <c r="L8" i="160"/>
  <c r="K8" i="160"/>
  <c r="J8" i="160"/>
  <c r="I8" i="160"/>
  <c r="H8" i="160"/>
  <c r="F8" i="160"/>
  <c r="E8" i="160"/>
  <c r="D8" i="160"/>
  <c r="C8" i="160"/>
  <c r="P7" i="160"/>
  <c r="N7" i="160"/>
  <c r="M7" i="160"/>
  <c r="L7" i="160"/>
  <c r="K7" i="160"/>
  <c r="J7" i="160"/>
  <c r="I7" i="160"/>
  <c r="H7" i="160"/>
  <c r="F7" i="160"/>
  <c r="E7" i="160"/>
  <c r="D7" i="160"/>
  <c r="C7" i="160"/>
  <c r="P6" i="160"/>
  <c r="N6" i="160"/>
  <c r="M6" i="160"/>
  <c r="L6" i="160"/>
  <c r="K6" i="160"/>
  <c r="J6" i="160"/>
  <c r="I6" i="160"/>
  <c r="H6" i="160"/>
  <c r="F6" i="160"/>
  <c r="E6" i="160"/>
  <c r="D6" i="160"/>
  <c r="C6" i="160"/>
  <c r="P5" i="160"/>
  <c r="N5" i="160"/>
  <c r="M5" i="160"/>
  <c r="L5" i="160"/>
  <c r="K5" i="160"/>
  <c r="J5" i="160"/>
  <c r="I5" i="160"/>
  <c r="H5" i="160"/>
  <c r="F5" i="160"/>
  <c r="E5" i="160"/>
  <c r="D5" i="160"/>
  <c r="C5" i="160"/>
  <c r="P4" i="160"/>
  <c r="N4" i="160"/>
  <c r="M4" i="160"/>
  <c r="L4" i="160"/>
  <c r="K4" i="160"/>
  <c r="J4" i="160"/>
  <c r="I4" i="160"/>
  <c r="H4" i="160"/>
  <c r="F4" i="160"/>
  <c r="E4" i="160"/>
  <c r="D4" i="160"/>
  <c r="C4" i="160"/>
  <c r="P3" i="160"/>
  <c r="N3" i="160"/>
  <c r="M3" i="160"/>
  <c r="L3" i="160"/>
  <c r="K3" i="160"/>
  <c r="J3" i="160"/>
  <c r="I3" i="160"/>
  <c r="H3" i="160"/>
  <c r="F3" i="160"/>
  <c r="E3" i="160"/>
  <c r="D3" i="160"/>
  <c r="C3" i="160"/>
  <c r="P2" i="160"/>
  <c r="N2" i="160"/>
  <c r="M2" i="160"/>
  <c r="L2" i="160"/>
  <c r="K2" i="160"/>
  <c r="J2" i="160"/>
  <c r="I2" i="160"/>
  <c r="H2" i="160"/>
  <c r="F2" i="160"/>
  <c r="E2" i="160"/>
  <c r="D2" i="160"/>
  <c r="C2" i="160"/>
  <c r="E3" i="159"/>
  <c r="J3" i="159"/>
  <c r="O3" i="159"/>
  <c r="E4" i="159"/>
  <c r="J4" i="159"/>
  <c r="O4" i="159"/>
  <c r="E5" i="159"/>
  <c r="J5" i="159"/>
  <c r="O5" i="159"/>
  <c r="E6" i="159"/>
  <c r="J6" i="159"/>
  <c r="O6" i="159"/>
  <c r="E7" i="159"/>
  <c r="J7" i="159"/>
  <c r="O7" i="159"/>
  <c r="E8" i="159"/>
  <c r="J8" i="159"/>
  <c r="O8" i="159"/>
  <c r="E9" i="159"/>
  <c r="J9" i="159"/>
  <c r="O9" i="159"/>
  <c r="E10" i="159"/>
  <c r="J10" i="159"/>
  <c r="O10" i="159"/>
  <c r="E11" i="159"/>
  <c r="J11" i="159"/>
  <c r="O11" i="159"/>
  <c r="E12" i="159"/>
  <c r="J12" i="159"/>
  <c r="O12" i="159"/>
  <c r="E13" i="159"/>
  <c r="J13" i="159"/>
  <c r="O13" i="159"/>
  <c r="E14" i="159"/>
  <c r="J14" i="159"/>
  <c r="O14" i="159"/>
  <c r="E15" i="159"/>
  <c r="J15" i="159"/>
  <c r="O15" i="159"/>
  <c r="E16" i="159"/>
  <c r="J16" i="159"/>
  <c r="O16" i="159"/>
  <c r="E17" i="159"/>
  <c r="J17" i="159"/>
  <c r="O17" i="159"/>
  <c r="E18" i="159"/>
  <c r="J18" i="159"/>
  <c r="O18" i="159"/>
  <c r="E19" i="159"/>
  <c r="J19" i="159"/>
  <c r="O19" i="159"/>
  <c r="E20" i="159"/>
  <c r="J20" i="159"/>
  <c r="O20" i="159"/>
  <c r="E21" i="159"/>
  <c r="J21" i="159"/>
  <c r="O21" i="159"/>
  <c r="E22" i="159"/>
  <c r="J22" i="159"/>
  <c r="O22" i="159"/>
  <c r="E23" i="159"/>
  <c r="J23" i="159"/>
  <c r="O23" i="159"/>
  <c r="E24" i="159"/>
  <c r="J24" i="159"/>
  <c r="O24" i="159"/>
  <c r="E25" i="159"/>
  <c r="J25" i="159"/>
  <c r="O25" i="159"/>
  <c r="E26" i="159"/>
  <c r="J26" i="159"/>
  <c r="O26" i="159"/>
  <c r="E27" i="159"/>
  <c r="J27" i="159"/>
  <c r="O27" i="159"/>
  <c r="E28" i="159"/>
  <c r="J28" i="159"/>
  <c r="O28" i="159"/>
  <c r="E29" i="159"/>
  <c r="J29" i="159"/>
  <c r="O29" i="159"/>
  <c r="E30" i="159"/>
  <c r="J30" i="159"/>
  <c r="O30" i="159"/>
  <c r="E31" i="159"/>
  <c r="J31" i="159"/>
  <c r="O31" i="159"/>
  <c r="E32" i="159"/>
  <c r="J32" i="159"/>
  <c r="O32" i="159"/>
  <c r="E33" i="159"/>
  <c r="J33" i="159"/>
  <c r="O33" i="159"/>
  <c r="E34" i="159"/>
  <c r="J34" i="159"/>
  <c r="O34" i="159"/>
  <c r="E35" i="159"/>
  <c r="J35" i="159"/>
  <c r="O35" i="159"/>
  <c r="E36" i="159"/>
  <c r="J36" i="159"/>
  <c r="O36" i="159"/>
  <c r="E37" i="159"/>
  <c r="J37" i="159"/>
  <c r="O37" i="159"/>
  <c r="E38" i="159"/>
  <c r="J38" i="159"/>
  <c r="O38" i="159"/>
  <c r="E39" i="159"/>
  <c r="J39" i="159"/>
  <c r="O39" i="159"/>
  <c r="E40" i="159"/>
  <c r="J40" i="159"/>
  <c r="O40" i="159"/>
  <c r="E41" i="159"/>
  <c r="J41" i="159"/>
  <c r="O41" i="159"/>
  <c r="I42" i="159"/>
  <c r="E42" i="159"/>
  <c r="O42" i="159"/>
  <c r="I43" i="159"/>
  <c r="E43" i="159"/>
  <c r="O43" i="159"/>
  <c r="E44" i="159"/>
  <c r="J44" i="159"/>
  <c r="O44" i="159"/>
  <c r="E45" i="159"/>
  <c r="J45" i="159"/>
  <c r="O45" i="159"/>
  <c r="E46" i="159"/>
  <c r="J46" i="159"/>
  <c r="O46" i="159"/>
  <c r="E47" i="159"/>
  <c r="J47" i="159"/>
  <c r="O47" i="159"/>
  <c r="I48" i="159"/>
  <c r="E48" i="159"/>
  <c r="O48" i="159"/>
  <c r="I49" i="159"/>
  <c r="E49" i="159"/>
  <c r="O49" i="159"/>
  <c r="I50" i="159"/>
  <c r="E50" i="159"/>
  <c r="O50" i="159"/>
  <c r="I51" i="159"/>
  <c r="E51" i="159"/>
  <c r="O51" i="159"/>
  <c r="I52" i="159"/>
  <c r="E52" i="159"/>
  <c r="O52" i="159"/>
  <c r="I53" i="159"/>
  <c r="E53" i="159"/>
  <c r="O53" i="159"/>
  <c r="I54" i="159"/>
  <c r="E54" i="159"/>
  <c r="O54" i="159"/>
  <c r="I55" i="159"/>
  <c r="E55" i="159"/>
  <c r="O55" i="159"/>
  <c r="I56" i="159"/>
  <c r="E56" i="159"/>
  <c r="O56" i="159"/>
  <c r="I57" i="159"/>
  <c r="E57" i="159"/>
  <c r="O57" i="159"/>
  <c r="I58" i="159"/>
  <c r="E58" i="159"/>
  <c r="O58" i="159"/>
  <c r="I59" i="159"/>
  <c r="E59" i="159"/>
  <c r="O59" i="159"/>
  <c r="I60" i="159"/>
  <c r="E60" i="159"/>
  <c r="O60" i="159"/>
  <c r="I61" i="159"/>
  <c r="E61" i="159"/>
  <c r="O61" i="159"/>
  <c r="I62" i="159"/>
  <c r="E62" i="159"/>
  <c r="O62" i="159"/>
  <c r="I63" i="159"/>
  <c r="E63" i="159"/>
  <c r="O63" i="159"/>
  <c r="I64" i="159"/>
  <c r="E64" i="159"/>
  <c r="O64" i="159"/>
  <c r="I65" i="159"/>
  <c r="E65" i="159"/>
  <c r="O65" i="159"/>
  <c r="I66" i="159"/>
  <c r="E66" i="159"/>
  <c r="O66" i="159"/>
  <c r="I67" i="159"/>
  <c r="E67" i="159"/>
  <c r="O67" i="159"/>
  <c r="I68" i="159"/>
  <c r="E68" i="159"/>
  <c r="O68" i="159"/>
  <c r="I69" i="159"/>
  <c r="E69" i="159"/>
  <c r="O69" i="159"/>
  <c r="I70" i="159"/>
  <c r="E70" i="159"/>
  <c r="O70" i="159"/>
  <c r="I71" i="159"/>
  <c r="E71" i="159"/>
  <c r="O71" i="159"/>
  <c r="I72" i="159"/>
  <c r="E72" i="159"/>
  <c r="O72" i="159"/>
  <c r="I73" i="159"/>
  <c r="E73" i="159"/>
  <c r="O73" i="159"/>
  <c r="I74" i="159"/>
  <c r="E74" i="159"/>
  <c r="O74" i="159"/>
  <c r="I75" i="159"/>
  <c r="E75" i="159"/>
  <c r="O75" i="159"/>
  <c r="I76" i="159"/>
  <c r="E76" i="159"/>
  <c r="O76" i="159"/>
  <c r="I77" i="159"/>
  <c r="E77" i="159"/>
  <c r="O77" i="159"/>
  <c r="I78" i="159"/>
  <c r="E78" i="159"/>
  <c r="O78" i="159"/>
  <c r="I79" i="159"/>
  <c r="E79" i="159"/>
  <c r="O79" i="159"/>
  <c r="I80" i="159"/>
  <c r="E80" i="159"/>
  <c r="O80" i="159"/>
  <c r="E2" i="159"/>
  <c r="J2" i="159"/>
  <c r="O2" i="159"/>
  <c r="D78" i="159"/>
  <c r="J78" i="159"/>
  <c r="F78" i="159"/>
  <c r="C78" i="159"/>
  <c r="H78" i="159"/>
  <c r="K78" i="159"/>
  <c r="L78" i="159"/>
  <c r="M78" i="159"/>
  <c r="N78" i="159"/>
  <c r="D79" i="159"/>
  <c r="J79" i="159"/>
  <c r="F79" i="159"/>
  <c r="C79" i="159"/>
  <c r="D80" i="159"/>
  <c r="J80" i="159"/>
  <c r="F80" i="159"/>
  <c r="C80" i="159"/>
  <c r="P78" i="159"/>
  <c r="H79" i="159"/>
  <c r="K79" i="159"/>
  <c r="L79" i="159"/>
  <c r="M79" i="159"/>
  <c r="N79" i="159"/>
  <c r="P79" i="159"/>
  <c r="H80" i="159"/>
  <c r="K80" i="159"/>
  <c r="L80" i="159"/>
  <c r="M80" i="159"/>
  <c r="N80" i="159"/>
  <c r="P80" i="159"/>
  <c r="I2" i="159"/>
  <c r="D2" i="159"/>
  <c r="F2" i="159"/>
  <c r="C2" i="159"/>
  <c r="I3" i="159"/>
  <c r="D3" i="159"/>
  <c r="F3" i="159"/>
  <c r="C3" i="159"/>
  <c r="I4" i="159"/>
  <c r="D4" i="159"/>
  <c r="F4" i="159"/>
  <c r="C4" i="159"/>
  <c r="I5" i="159"/>
  <c r="D5" i="159"/>
  <c r="F5" i="159"/>
  <c r="C5" i="159"/>
  <c r="I6" i="159"/>
  <c r="D6" i="159"/>
  <c r="F6" i="159"/>
  <c r="C6" i="159"/>
  <c r="I7" i="159"/>
  <c r="D7" i="159"/>
  <c r="F7" i="159"/>
  <c r="C7" i="159"/>
  <c r="I8" i="159"/>
  <c r="D8" i="159"/>
  <c r="F8" i="159"/>
  <c r="C8" i="159"/>
  <c r="I9" i="159"/>
  <c r="D9" i="159"/>
  <c r="F9" i="159"/>
  <c r="C9" i="159"/>
  <c r="I10" i="159"/>
  <c r="D10" i="159"/>
  <c r="F10" i="159"/>
  <c r="C10" i="159"/>
  <c r="I11" i="159"/>
  <c r="D11" i="159"/>
  <c r="F11" i="159"/>
  <c r="C11" i="159"/>
  <c r="I12" i="159"/>
  <c r="D12" i="159"/>
  <c r="F12" i="159"/>
  <c r="C12" i="159"/>
  <c r="I13" i="159"/>
  <c r="D13" i="159"/>
  <c r="F13" i="159"/>
  <c r="C13" i="159"/>
  <c r="I14" i="159"/>
  <c r="D14" i="159"/>
  <c r="F14" i="159"/>
  <c r="C14" i="159"/>
  <c r="I15" i="159"/>
  <c r="D15" i="159"/>
  <c r="F15" i="159"/>
  <c r="C15" i="159"/>
  <c r="I16" i="159"/>
  <c r="D16" i="159"/>
  <c r="F16" i="159"/>
  <c r="C16" i="159"/>
  <c r="I17" i="159"/>
  <c r="D17" i="159"/>
  <c r="F17" i="159"/>
  <c r="C17" i="159"/>
  <c r="I18" i="159"/>
  <c r="D18" i="159"/>
  <c r="F18" i="159"/>
  <c r="C18" i="159"/>
  <c r="I19" i="159"/>
  <c r="D19" i="159"/>
  <c r="F19" i="159"/>
  <c r="C19" i="159"/>
  <c r="I20" i="159"/>
  <c r="D20" i="159"/>
  <c r="F20" i="159"/>
  <c r="C20" i="159"/>
  <c r="I21" i="159"/>
  <c r="D21" i="159"/>
  <c r="F21" i="159"/>
  <c r="C21" i="159"/>
  <c r="I22" i="159"/>
  <c r="D22" i="159"/>
  <c r="F22" i="159"/>
  <c r="C22" i="159"/>
  <c r="I23" i="159"/>
  <c r="D23" i="159"/>
  <c r="F23" i="159"/>
  <c r="C23" i="159"/>
  <c r="I24" i="159"/>
  <c r="D24" i="159"/>
  <c r="F24" i="159"/>
  <c r="C24" i="159"/>
  <c r="I25" i="159"/>
  <c r="D25" i="159"/>
  <c r="F25" i="159"/>
  <c r="C25" i="159"/>
  <c r="I26" i="159"/>
  <c r="D26" i="159"/>
  <c r="F26" i="159"/>
  <c r="C26" i="159"/>
  <c r="I27" i="159"/>
  <c r="D27" i="159"/>
  <c r="F27" i="159"/>
  <c r="C27" i="159"/>
  <c r="I28" i="159"/>
  <c r="D28" i="159"/>
  <c r="F28" i="159"/>
  <c r="C28" i="159"/>
  <c r="I29" i="159"/>
  <c r="D29" i="159"/>
  <c r="F29" i="159"/>
  <c r="C29" i="159"/>
  <c r="I30" i="159"/>
  <c r="D30" i="159"/>
  <c r="F30" i="159"/>
  <c r="C30" i="159"/>
  <c r="I31" i="159"/>
  <c r="D31" i="159"/>
  <c r="F31" i="159"/>
  <c r="C31" i="159"/>
  <c r="I32" i="159"/>
  <c r="D32" i="159"/>
  <c r="F32" i="159"/>
  <c r="C32" i="159"/>
  <c r="I33" i="159"/>
  <c r="D33" i="159"/>
  <c r="F33" i="159"/>
  <c r="C33" i="159"/>
  <c r="I34" i="159"/>
  <c r="D34" i="159"/>
  <c r="F34" i="159"/>
  <c r="C34" i="159"/>
  <c r="I35" i="159"/>
  <c r="D35" i="159"/>
  <c r="F35" i="159"/>
  <c r="C35" i="159"/>
  <c r="I36" i="159"/>
  <c r="D36" i="159"/>
  <c r="F36" i="159"/>
  <c r="C36" i="159"/>
  <c r="I37" i="159"/>
  <c r="D37" i="159"/>
  <c r="F37" i="159"/>
  <c r="C37" i="159"/>
  <c r="I38" i="159"/>
  <c r="D38" i="159"/>
  <c r="F38" i="159"/>
  <c r="C38" i="159"/>
  <c r="I39" i="159"/>
  <c r="D39" i="159"/>
  <c r="F39" i="159"/>
  <c r="C39" i="159"/>
  <c r="I40" i="159"/>
  <c r="D40" i="159"/>
  <c r="F40" i="159"/>
  <c r="C40" i="159"/>
  <c r="I41" i="159"/>
  <c r="D41" i="159"/>
  <c r="F41" i="159"/>
  <c r="C41" i="159"/>
  <c r="D42" i="159"/>
  <c r="J42" i="159"/>
  <c r="F42" i="159"/>
  <c r="C42" i="159"/>
  <c r="D43" i="159"/>
  <c r="J43" i="159"/>
  <c r="F43" i="159"/>
  <c r="C43" i="159"/>
  <c r="I44" i="159"/>
  <c r="D44" i="159"/>
  <c r="F44" i="159"/>
  <c r="C44" i="159"/>
  <c r="I45" i="159"/>
  <c r="D45" i="159"/>
  <c r="F45" i="159"/>
  <c r="C45" i="159"/>
  <c r="I46" i="159"/>
  <c r="D46" i="159"/>
  <c r="F46" i="159"/>
  <c r="C46" i="159"/>
  <c r="I47" i="159"/>
  <c r="D47" i="159"/>
  <c r="F47" i="159"/>
  <c r="C47" i="159"/>
  <c r="D48" i="159"/>
  <c r="J48" i="159"/>
  <c r="F48" i="159"/>
  <c r="C48" i="159"/>
  <c r="D49" i="159"/>
  <c r="J49" i="159"/>
  <c r="F49" i="159"/>
  <c r="C49" i="159"/>
  <c r="D50" i="159"/>
  <c r="J50" i="159"/>
  <c r="F50" i="159"/>
  <c r="C50" i="159"/>
  <c r="D51" i="159"/>
  <c r="J51" i="159"/>
  <c r="F51" i="159"/>
  <c r="C51" i="159"/>
  <c r="D52" i="159"/>
  <c r="J52" i="159"/>
  <c r="F52" i="159"/>
  <c r="C52" i="159"/>
  <c r="D53" i="159"/>
  <c r="J53" i="159"/>
  <c r="F53" i="159"/>
  <c r="C53" i="159"/>
  <c r="D54" i="159"/>
  <c r="J54" i="159"/>
  <c r="F54" i="159"/>
  <c r="C54" i="159"/>
  <c r="D55" i="159"/>
  <c r="J55" i="159"/>
  <c r="F55" i="159"/>
  <c r="C55" i="159"/>
  <c r="D56" i="159"/>
  <c r="J56" i="159"/>
  <c r="F56" i="159"/>
  <c r="C56" i="159"/>
  <c r="D57" i="159"/>
  <c r="J57" i="159"/>
  <c r="F57" i="159"/>
  <c r="C57" i="159"/>
  <c r="D58" i="159"/>
  <c r="J58" i="159"/>
  <c r="F58" i="159"/>
  <c r="C58" i="159"/>
  <c r="D59" i="159"/>
  <c r="J59" i="159"/>
  <c r="F59" i="159"/>
  <c r="C59" i="159"/>
  <c r="D60" i="159"/>
  <c r="J60" i="159"/>
  <c r="F60" i="159"/>
  <c r="C60" i="159"/>
  <c r="D61" i="159"/>
  <c r="J61" i="159"/>
  <c r="F61" i="159"/>
  <c r="C61" i="159"/>
  <c r="D62" i="159"/>
  <c r="J62" i="159"/>
  <c r="F62" i="159"/>
  <c r="C62" i="159"/>
  <c r="D63" i="159"/>
  <c r="J63" i="159"/>
  <c r="F63" i="159"/>
  <c r="C63" i="159"/>
  <c r="D64" i="159"/>
  <c r="J64" i="159"/>
  <c r="F64" i="159"/>
  <c r="C64" i="159"/>
  <c r="D65" i="159"/>
  <c r="J65" i="159"/>
  <c r="F65" i="159"/>
  <c r="C65" i="159"/>
  <c r="D66" i="159"/>
  <c r="J66" i="159"/>
  <c r="F66" i="159"/>
  <c r="C66" i="159"/>
  <c r="D67" i="159"/>
  <c r="J67" i="159"/>
  <c r="F67" i="159"/>
  <c r="C67" i="159"/>
  <c r="D68" i="159"/>
  <c r="J68" i="159"/>
  <c r="F68" i="159"/>
  <c r="C68" i="159"/>
  <c r="D69" i="159"/>
  <c r="J69" i="159"/>
  <c r="F69" i="159"/>
  <c r="C69" i="159"/>
  <c r="D70" i="159"/>
  <c r="J70" i="159"/>
  <c r="F70" i="159"/>
  <c r="C70" i="159"/>
  <c r="D71" i="159"/>
  <c r="J71" i="159"/>
  <c r="F71" i="159"/>
  <c r="C71" i="159"/>
  <c r="D72" i="159"/>
  <c r="J72" i="159"/>
  <c r="F72" i="159"/>
  <c r="C72" i="159"/>
  <c r="D73" i="159"/>
  <c r="J73" i="159"/>
  <c r="F73" i="159"/>
  <c r="C73" i="159"/>
  <c r="D74" i="159"/>
  <c r="J74" i="159"/>
  <c r="F74" i="159"/>
  <c r="C74" i="159"/>
  <c r="D75" i="159"/>
  <c r="J75" i="159"/>
  <c r="F75" i="159"/>
  <c r="C75" i="159"/>
  <c r="D76" i="159"/>
  <c r="J76" i="159"/>
  <c r="F76" i="159"/>
  <c r="C76" i="159"/>
  <c r="D77" i="159"/>
  <c r="J77" i="159"/>
  <c r="F77" i="159"/>
  <c r="C77" i="159"/>
  <c r="P77" i="159"/>
  <c r="N77" i="159"/>
  <c r="M77" i="159"/>
  <c r="L77" i="159"/>
  <c r="K77" i="159"/>
  <c r="H77" i="159"/>
  <c r="P76" i="159"/>
  <c r="N76" i="159"/>
  <c r="M76" i="159"/>
  <c r="L76" i="159"/>
  <c r="K76" i="159"/>
  <c r="H76" i="159"/>
  <c r="P75" i="159"/>
  <c r="N75" i="159"/>
  <c r="M75" i="159"/>
  <c r="L75" i="159"/>
  <c r="K75" i="159"/>
  <c r="H75" i="159"/>
  <c r="P74" i="159"/>
  <c r="N74" i="159"/>
  <c r="M74" i="159"/>
  <c r="L74" i="159"/>
  <c r="K74" i="159"/>
  <c r="H74" i="159"/>
  <c r="P73" i="159"/>
  <c r="N73" i="159"/>
  <c r="M73" i="159"/>
  <c r="L73" i="159"/>
  <c r="K73" i="159"/>
  <c r="H73" i="159"/>
  <c r="P72" i="159"/>
  <c r="N72" i="159"/>
  <c r="M72" i="159"/>
  <c r="L72" i="159"/>
  <c r="K72" i="159"/>
  <c r="H72" i="159"/>
  <c r="P71" i="159"/>
  <c r="N71" i="159"/>
  <c r="M71" i="159"/>
  <c r="L71" i="159"/>
  <c r="K71" i="159"/>
  <c r="H71" i="159"/>
  <c r="P70" i="159"/>
  <c r="N70" i="159"/>
  <c r="M70" i="159"/>
  <c r="L70" i="159"/>
  <c r="K70" i="159"/>
  <c r="H70" i="159"/>
  <c r="P69" i="159"/>
  <c r="N69" i="159"/>
  <c r="M69" i="159"/>
  <c r="L69" i="159"/>
  <c r="K69" i="159"/>
  <c r="H69" i="159"/>
  <c r="P68" i="159"/>
  <c r="N68" i="159"/>
  <c r="M68" i="159"/>
  <c r="L68" i="159"/>
  <c r="K68" i="159"/>
  <c r="H68" i="159"/>
  <c r="P67" i="159"/>
  <c r="N67" i="159"/>
  <c r="M67" i="159"/>
  <c r="L67" i="159"/>
  <c r="K67" i="159"/>
  <c r="H67" i="159"/>
  <c r="P66" i="159"/>
  <c r="N66" i="159"/>
  <c r="M66" i="159"/>
  <c r="L66" i="159"/>
  <c r="K66" i="159"/>
  <c r="H66" i="159"/>
  <c r="P65" i="159"/>
  <c r="N65" i="159"/>
  <c r="M65" i="159"/>
  <c r="L65" i="159"/>
  <c r="K65" i="159"/>
  <c r="H65" i="159"/>
  <c r="P64" i="159"/>
  <c r="N64" i="159"/>
  <c r="M64" i="159"/>
  <c r="L64" i="159"/>
  <c r="K64" i="159"/>
  <c r="H64" i="159"/>
  <c r="P63" i="159"/>
  <c r="N63" i="159"/>
  <c r="M63" i="159"/>
  <c r="L63" i="159"/>
  <c r="K63" i="159"/>
  <c r="H63" i="159"/>
  <c r="P62" i="159"/>
  <c r="N62" i="159"/>
  <c r="M62" i="159"/>
  <c r="L62" i="159"/>
  <c r="K62" i="159"/>
  <c r="H62" i="159"/>
  <c r="P61" i="159"/>
  <c r="N61" i="159"/>
  <c r="M61" i="159"/>
  <c r="L61" i="159"/>
  <c r="K61" i="159"/>
  <c r="H61" i="159"/>
  <c r="P60" i="159"/>
  <c r="N60" i="159"/>
  <c r="M60" i="159"/>
  <c r="L60" i="159"/>
  <c r="K60" i="159"/>
  <c r="H60" i="159"/>
  <c r="P59" i="159"/>
  <c r="N59" i="159"/>
  <c r="M59" i="159"/>
  <c r="L59" i="159"/>
  <c r="K59" i="159"/>
  <c r="H59" i="159"/>
  <c r="P58" i="159"/>
  <c r="N58" i="159"/>
  <c r="M58" i="159"/>
  <c r="L58" i="159"/>
  <c r="K58" i="159"/>
  <c r="H58" i="159"/>
  <c r="P57" i="159"/>
  <c r="N57" i="159"/>
  <c r="M57" i="159"/>
  <c r="L57" i="159"/>
  <c r="K57" i="159"/>
  <c r="H57" i="159"/>
  <c r="P56" i="159"/>
  <c r="N56" i="159"/>
  <c r="M56" i="159"/>
  <c r="L56" i="159"/>
  <c r="K56" i="159"/>
  <c r="H56" i="159"/>
  <c r="P55" i="159"/>
  <c r="N55" i="159"/>
  <c r="M55" i="159"/>
  <c r="L55" i="159"/>
  <c r="K55" i="159"/>
  <c r="H55" i="159"/>
  <c r="P54" i="159"/>
  <c r="N54" i="159"/>
  <c r="M54" i="159"/>
  <c r="L54" i="159"/>
  <c r="K54" i="159"/>
  <c r="H54" i="159"/>
  <c r="P53" i="159"/>
  <c r="N53" i="159"/>
  <c r="M53" i="159"/>
  <c r="L53" i="159"/>
  <c r="K53" i="159"/>
  <c r="H53" i="159"/>
  <c r="P52" i="159"/>
  <c r="N52" i="159"/>
  <c r="M52" i="159"/>
  <c r="L52" i="159"/>
  <c r="K52" i="159"/>
  <c r="H52" i="159"/>
  <c r="P51" i="159"/>
  <c r="N51" i="159"/>
  <c r="M51" i="159"/>
  <c r="L51" i="159"/>
  <c r="K51" i="159"/>
  <c r="H51" i="159"/>
  <c r="P50" i="159"/>
  <c r="N50" i="159"/>
  <c r="M50" i="159"/>
  <c r="L50" i="159"/>
  <c r="K50" i="159"/>
  <c r="H50" i="159"/>
  <c r="P49" i="159"/>
  <c r="N49" i="159"/>
  <c r="M49" i="159"/>
  <c r="L49" i="159"/>
  <c r="K49" i="159"/>
  <c r="H49" i="159"/>
  <c r="P48" i="159"/>
  <c r="N48" i="159"/>
  <c r="M48" i="159"/>
  <c r="L48" i="159"/>
  <c r="K48" i="159"/>
  <c r="H48" i="159"/>
  <c r="P47" i="159"/>
  <c r="N47" i="159"/>
  <c r="M47" i="159"/>
  <c r="L47" i="159"/>
  <c r="K47" i="159"/>
  <c r="H47" i="159"/>
  <c r="P46" i="159"/>
  <c r="N46" i="159"/>
  <c r="M46" i="159"/>
  <c r="L46" i="159"/>
  <c r="K46" i="159"/>
  <c r="H46" i="159"/>
  <c r="P45" i="159"/>
  <c r="N45" i="159"/>
  <c r="M45" i="159"/>
  <c r="L45" i="159"/>
  <c r="K45" i="159"/>
  <c r="H45" i="159"/>
  <c r="P44" i="159"/>
  <c r="N44" i="159"/>
  <c r="M44" i="159"/>
  <c r="L44" i="159"/>
  <c r="K44" i="159"/>
  <c r="H44" i="159"/>
  <c r="P43" i="159"/>
  <c r="N43" i="159"/>
  <c r="M43" i="159"/>
  <c r="L43" i="159"/>
  <c r="K43" i="159"/>
  <c r="H43" i="159"/>
  <c r="P42" i="159"/>
  <c r="N42" i="159"/>
  <c r="M42" i="159"/>
  <c r="L42" i="159"/>
  <c r="K42" i="159"/>
  <c r="H42" i="159"/>
  <c r="P41" i="159"/>
  <c r="N41" i="159"/>
  <c r="M41" i="159"/>
  <c r="L41" i="159"/>
  <c r="K41" i="159"/>
  <c r="H41" i="159"/>
  <c r="P40" i="159"/>
  <c r="N40" i="159"/>
  <c r="M40" i="159"/>
  <c r="L40" i="159"/>
  <c r="K40" i="159"/>
  <c r="H40" i="159"/>
  <c r="P39" i="159"/>
  <c r="N39" i="159"/>
  <c r="M39" i="159"/>
  <c r="L39" i="159"/>
  <c r="K39" i="159"/>
  <c r="H39" i="159"/>
  <c r="P38" i="159"/>
  <c r="N38" i="159"/>
  <c r="M38" i="159"/>
  <c r="L38" i="159"/>
  <c r="K38" i="159"/>
  <c r="H38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I341" i="154"/>
  <c r="D341" i="154"/>
  <c r="J341" i="154"/>
  <c r="E341" i="154"/>
  <c r="F341" i="154"/>
  <c r="C341" i="154"/>
  <c r="H341" i="154"/>
  <c r="K341" i="154"/>
  <c r="L341" i="154"/>
  <c r="M341" i="154"/>
  <c r="N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F5" i="153"/>
  <c r="F6" i="153"/>
  <c r="G30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0" i="153"/>
  <c r="H30" i="153"/>
  <c r="E19" i="153"/>
  <c r="E24" i="153"/>
  <c r="E17" i="153"/>
  <c r="E18" i="153"/>
  <c r="E25" i="153"/>
  <c r="E26" i="153"/>
  <c r="E20" i="153"/>
  <c r="E23" i="153"/>
  <c r="E28" i="153"/>
  <c r="E29" i="153"/>
  <c r="E21" i="153"/>
  <c r="E27" i="153"/>
  <c r="E22" i="153"/>
  <c r="G31" i="153"/>
  <c r="E31" i="153"/>
  <c r="H31" i="153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H351" i="154"/>
  <c r="K351" i="154"/>
  <c r="L351" i="154"/>
  <c r="M351" i="154"/>
  <c r="N351" i="154"/>
  <c r="A341" i="154"/>
  <c r="A342" i="154"/>
  <c r="A343" i="154"/>
  <c r="A344" i="154"/>
  <c r="A345" i="154"/>
  <c r="A346" i="154"/>
  <c r="A347" i="154"/>
  <c r="A348" i="154"/>
  <c r="A349" i="154"/>
  <c r="A350" i="154"/>
  <c r="A351" i="154"/>
  <c r="F336" i="154"/>
  <c r="H336" i="154"/>
  <c r="K336" i="154"/>
  <c r="L336" i="154"/>
  <c r="M336" i="154"/>
  <c r="N336" i="154"/>
  <c r="F337" i="154"/>
  <c r="F338" i="154"/>
  <c r="F339" i="154"/>
  <c r="F340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B30" i="153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<sst xmlns="http://schemas.openxmlformats.org/spreadsheetml/2006/main" count="463" uniqueCount="266">
  <si>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</si>
  <si>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</si>
  <si>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</si>
  <si>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</si>
  <si>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</si>
  <si>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</si>
  <si>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</si>
  <si>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</si>
  <si>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</si>
  <si>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</si>
  <si>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</si>
  <si>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</si>
  <si>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</si>
  <si>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</si>
  <si>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</si>
  <si>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</si>
  <si>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</si>
  <si>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</si>
  <si>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</si>
  <si>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</si>
  <si>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</si>
  <si>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</si>
  <si>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</si>
  <si>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</si>
  <si>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</si>
  <si>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</si>
  <si>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</si>
  <si>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</si>
  <si>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</si>
  <si>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</si>
  <si>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</si>
  <si>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</si>
  <si>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</si>
  <si>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</si>
  <si>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</si>
  <si>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</si>
  <si>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</si>
  <si>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</si>
  <si>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</si>
  <si>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</si>
  <si>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</si>
  <si>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</si>
  <si>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</si>
  <si>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</si>
  <si>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</si>
  <si>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</si>
  <si>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</si>
  <si>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</si>
  <si>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</si>
  <si>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</si>
  <si>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</si>
  <si>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</si>
  <si>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</si>
  <si>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</si>
  <si>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</si>
  <si>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</si>
  <si>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</si>
  <si>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</si>
  <si>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</si>
  <si>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</si>
  <si>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</si>
  <si>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</si>
  <si>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</si>
  <si>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</si>
  <si>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</si>
  <si>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</si>
  <si>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</si>
  <si>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</si>
  <si>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</si>
  <si>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</si>
  <si>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</si>
  <si>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</si>
  <si>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</si>
  <si>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</si>
  <si>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</si>
  <si>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</si>
  <si>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</si>
  <si>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</si>
  <si>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</si>
  <si>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</si>
  <si>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</si>
  <si>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</si>
  <si>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</si>
  <si>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</si>
  <si>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</si>
  <si>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</si>
  <si>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</si>
  <si>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</si>
  <si>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</si>
  <si>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</si>
  <si>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</si>
  <si>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</si>
  <si>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</si>
  <si>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</si>
  <si>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</si>
  <si>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</si>
  <si>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</si>
  <si>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</si>
  <si>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</si>
  <si>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</si>
  <si>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</si>
  <si>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</si>
  <si>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</si>
  <si>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</si>
  <si>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</si>
  <si>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</si>
  <si>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</si>
  <si>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</si>
  <si>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</si>
  <si>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</si>
  <si>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</si>
  <si>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</si>
  <si>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</si>
  <si>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</si>
  <si>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</si>
  <si>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</si>
  <si>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</si>
  <si>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</si>
  <si>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</si>
  <si>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</si>
  <si>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</si>
  <si>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</si>
  <si>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</si>
  <si>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</si>
  <si>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</si>
  <si>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</si>
  <si>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</si>
  <si>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</si>
  <si>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</si>
  <si>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</si>
  <si>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</si>
  <si>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</si>
  <si>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</si>
  <si>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</si>
  <si>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</si>
  <si>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</si>
  <si>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</si>
  <si>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</si>
  <si>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</si>
  <si>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</si>
  <si>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</si>
  <si>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</si>
  <si>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</si>
  <si>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</si>
  <si>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</si>
  <si>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</si>
  <si>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</si>
  <si>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</si>
  <si>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</si>
  <si>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</si>
  <si>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</si>
  <si>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</si>
  <si>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</si>
  <si>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</si>
  <si>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</si>
  <si>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</si>
  <si>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</si>
  <si>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</si>
  <si>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</si>
  <si>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</si>
  <si>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</si>
  <si>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</si>
  <si>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</si>
  <si>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</si>
  <si>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</si>
  <si>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</si>
  <si>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</si>
  <si>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</si>
  <si>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</si>
  <si>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</si>
  <si>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</si>
  <si>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</si>
  <si>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</si>
  <si>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</si>
  <si>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</si>
  <si>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</si>
  <si>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</si>
  <si>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</si>
  <si>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</si>
  <si>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</si>
  <si>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</si>
  <si>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</si>
  <si>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</si>
  <si>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</si>
  <si>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</si>
  <si>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</si>
  <si>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</si>
  <si>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</si>
  <si>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</si>
  <si>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</si>
  <si>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</si>
  <si>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</si>
  <si>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</si>
  <si>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</si>
  <si>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</si>
  <si>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</si>
  <si>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</si>
  <si>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</si>
  <si>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</si>
  <si>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</si>
  <si>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</si>
  <si>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</si>
  <si>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</si>
  <si>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</si>
  <si>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</si>
  <si>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</si>
  <si>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</si>
  <si>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</si>
  <si>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</si>
  <si>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</si>
  <si>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</si>
  <si>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</si>
  <si>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</si>
  <si>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</si>
  <si>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</si>
  <si>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</si>
  <si>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</si>
  <si>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</si>
  <si>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</si>
  <si>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</si>
  <si>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</si>
  <si>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</si>
  <si>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</si>
  <si>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</si>
  <si>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</si>
  <si>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</si>
  <si>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</si>
  <si>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</si>
  <si>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</si>
  <si>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</si>
  <si>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</si>
  <si>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</si>
  <si>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</si>
  <si>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</si>
  <si>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</si>
  <si>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</si>
  <si>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</si>
  <si>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</si>
  <si>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</si>
  <si>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</si>
  <si>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</si>
  <si>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</si>
  <si>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</si>
  <si>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</si>
  <si>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</si>
  <si>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</si>
  <si>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</si>
  <si>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</si>
  <si>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</si>
  <si>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</si>
  <si>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tables_456100</t>
    <phoneticPr fontId="21"/>
  </si>
  <si>
    <t>item</t>
    <phoneticPr fontId="21"/>
  </si>
  <si>
    <t>ja</t>
    <phoneticPr fontId="21"/>
  </si>
  <si>
    <t>unit</t>
    <phoneticPr fontId="21"/>
  </si>
  <si>
    <t>マスターキー × 3</t>
    <phoneticPr fontId="21"/>
  </si>
  <si>
    <t>リトルハンプティ × 1</t>
    <phoneticPr fontId="21"/>
  </si>
  <si>
    <t>リトルハンプティ × 2</t>
    <phoneticPr fontId="21"/>
  </si>
  <si>
    <t>ギガ秘術の果実 × 1</t>
    <phoneticPr fontId="21"/>
  </si>
  <si>
    <t>全世界700万DL突破記念フェス限確定ガチャ</t>
    <phoneticPr fontId="21"/>
  </si>
  <si>
    <t>STEP2特典としてマスターキーを3本プレゼント！</t>
    <phoneticPr fontId="21"/>
  </si>
  <si>
    <t>STEP3特典としてリトルハンプティを1体プレゼント！</t>
    <phoneticPr fontId="21"/>
  </si>
  <si>
    <t>STEP5特典としてギガ秘術の果実を1体プレゼント！</t>
    <phoneticPr fontId="21"/>
  </si>
  <si>
    <t>STEP6特典としてリトルハンプティを2体プレゼント！</t>
    <phoneticPr fontId="21"/>
  </si>
  <si>
    <t>tables_settle_456104</t>
    <phoneticPr fontId="21"/>
  </si>
  <si>
    <t>tables_settle_456107</t>
    <phoneticPr fontId="21"/>
  </si>
  <si>
    <t>old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</si>
</sst>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3" fillId="4" borderId="1" xfId="2978" applyFont="1" applyFill="1" applyBorder="1"/>
    <xf numFmtId="184" fontId="26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4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6" sqref="D1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61" t="s">
        <v>110</v>
      </c>
      <c r="C2" s="50" t="str">
        <f t="shared" ref="C2:C3" si="0">RIGHT(F2,6)</f>
        <v>456100</v>
      </c>
      <c r="D2" s="19" t="s">
        <v>45</v>
      </c>
      <c r="E2" s="17" t="str">
        <f t="shared" ref="E2:E3" si="1">B2&amp;C2&amp;D2</f>
        <v>gacha_select_tables_456100.tmp</v>
      </c>
      <c r="F2" s="94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8" t="s">
        <v>246</v>
      </c>
      <c r="B3" s="91" t="s">
        <v>247</v>
      </c>
      <c r="C3" s="92" t="str">
        <f t="shared" si="0"/>
        <v>456104</v>
      </c>
      <c r="D3" s="19" t="s">
        <v>248</v>
      </c>
      <c r="E3" s="17" t="str">
        <f t="shared" si="1"/>
        <v>gacha_settle_tables_456104.tmp</v>
      </c>
      <c r="F3" s="96" t="s">
        <v>263</v>
      </c>
      <c r="G3" s="49" t="s">
        <v>84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8" t="s">
        <v>246</v>
      </c>
      <c r="B4" s="91" t="s">
        <v>247</v>
      </c>
      <c r="C4" s="92" t="str">
        <f t="shared" ref="C4:C7" si="2">RIGHT(F4,6)</f>
        <v>456107</v>
      </c>
      <c r="D4" s="19" t="s">
        <v>248</v>
      </c>
      <c r="E4" s="17" t="str">
        <f t="shared" ref="E4:E10" si="3">B4&amp;C4&amp;D4</f>
        <v>gacha_settle_tables_456107.tmp</v>
      </c>
      <c r="F4" s="96" t="s">
        <v>264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265</v>
      </c>
      <c r="B8" s="27" t="s">
        <v>50</v>
      </c>
      <c r="C8" s="32">
        <v>456</v>
      </c>
      <c r="D8" s="19" t="s">
        <v>46</v>
      </c>
      <c r="E8" s="17" t="str">
        <f t="shared" si="3"/>
        <v>gacha_bonus_tables_456.tmp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265</v>
      </c>
      <c r="B9" s="19" t="s">
        <v>48</v>
      </c>
      <c r="C9" s="32">
        <v>456</v>
      </c>
      <c r="D9" s="19" t="s">
        <v>46</v>
      </c>
      <c r="E9" s="17" t="str">
        <f t="shared" si="3"/>
        <v>gifts_tmp_456.tmp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265</v>
      </c>
      <c r="B10" s="19" t="s">
        <v>49</v>
      </c>
      <c r="C10" s="32">
        <v>456</v>
      </c>
      <c r="D10" s="19" t="s">
        <v>46</v>
      </c>
      <c r="E10" s="17" t="str">
        <f t="shared" si="3"/>
        <v>gifts_i18n_456.tmp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K31" sqref="K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2">
        <v>484</v>
      </c>
      <c r="M3" s="37" t="str">
        <f>VLOOKUP(L3,[1]characters!$A:$C,3,FALSE)</f>
        <v>ラグランジュ</v>
      </c>
      <c r="N3" s="63">
        <v>5.9349999999999995E-4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VLOOKUP(L3,tables_456100!B:C,2,FALSE)</f>
        <v>PremiumSSS4R3less</v>
      </c>
      <c r="R3" s="62">
        <f t="shared" ref="R3:R20" si="1">N3*A$36</f>
        <v>60715.049999999996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2">
        <v>485</v>
      </c>
      <c r="M4" s="37" t="str">
        <f>VLOOKUP(L4,[1]characters!$A:$C,3,FALSE)</f>
        <v>超越自我 ラグランジュ</v>
      </c>
      <c r="N4" s="63">
        <v>3.1250000000000001E-5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VLOOKUP(L4,tables_456100!B:C,2,FALSE)</f>
        <v>PremiumSSS5R3less</v>
      </c>
      <c r="R4" s="62">
        <f t="shared" si="1"/>
        <v>3196.875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8.1818181818181827E-4</v>
      </c>
      <c r="F5">
        <f>(COUNTIF(tables_456100!C:C,input_456100!A28)+COUNTIF(tables_456100!C:C,input_456100!A29))</f>
        <v>63</v>
      </c>
      <c r="H5" s="83">
        <v>5.0000000000000001E-3</v>
      </c>
      <c r="I5" s="31">
        <v>8</v>
      </c>
      <c r="L5" s="2">
        <v>486</v>
      </c>
      <c r="M5" s="37" t="str">
        <f>VLOOKUP(L5,[1]characters!$A:$C,3,FALSE)</f>
        <v>重なる世解 シュレディンガー</v>
      </c>
      <c r="N5" s="63">
        <v>6.2500000000000001E-4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VLOOKUP(L5,tables_456100!B:C,2,FALSE)</f>
        <v>PremiumSSS5R3less</v>
      </c>
      <c r="R5" s="62">
        <f t="shared" si="1"/>
        <v>63937.5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1.0161290322580644E-2</v>
      </c>
      <c r="F6">
        <f>(COUNTIF(tables_456100!C:C,input_456100!A25)+COUNTIF(tables_456100!C:C,input_456100!A18)+COUNTIF(tables_456100!C:C,input_456100!A20)+COUNTIF(tables_456100!C:C,input_456100!A22))</f>
        <v>93</v>
      </c>
      <c r="H6" s="86">
        <v>0</v>
      </c>
      <c r="I6" s="31">
        <v>0</v>
      </c>
      <c r="L6" s="2">
        <v>378</v>
      </c>
      <c r="M6" s="37" t="str">
        <f>VLOOKUP(L6,[1]characters!$A:$C,3,FALSE)</f>
        <v>オイラー</v>
      </c>
      <c r="N6" s="63">
        <v>5.9349999999999995E-4</v>
      </c>
      <c r="O6" s="37">
        <f>VLOOKUP(L6,[1]characters!$A:$I,9,FALSE)</f>
        <v>4</v>
      </c>
      <c r="P6" s="37" t="str">
        <f>VLOOKUP(L6,[1]characters!$A:$J,10,FALSE)</f>
        <v>PremiumSSS</v>
      </c>
      <c r="Q6" s="37" t="str">
        <f>VLOOKUP(L6,tables_456100!B:C,2,FALSE)</f>
        <v>PremiumSSS4R3less</v>
      </c>
      <c r="R6" s="62">
        <f t="shared" si="1"/>
        <v>60715.049999999996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2">
        <v>379</v>
      </c>
      <c r="M7" s="37" t="str">
        <f>VLOOKUP(L7,[1]characters!$A:$C,3,FALSE)</f>
        <v>幾何の機刃 オイラー</v>
      </c>
      <c r="N7" s="63">
        <v>3.1250000000000001E-5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VLOOKUP(L7,tables_456100!B:C,2,FALSE)</f>
        <v>PremiumSSS5R3less</v>
      </c>
      <c r="R7" s="62">
        <f t="shared" si="1"/>
        <v>3196.875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2">
        <v>750</v>
      </c>
      <c r="M8" s="37" t="str">
        <f>VLOOKUP(L8,[1]characters!$A:$C,3,FALSE)</f>
        <v>ポアソン</v>
      </c>
      <c r="N8" s="63">
        <v>6.2500000000000001E-4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VLOOKUP(L8,tables_456100!B:C,2,FALSE)</f>
        <v>PremiumSSS5R3less</v>
      </c>
      <c r="R8" s="62">
        <f t="shared" si="1"/>
        <v>63937.5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2">
        <v>488</v>
      </c>
      <c r="M9" s="37" t="str">
        <f>VLOOKUP(L9,[1]characters!$A:$C,3,FALSE)</f>
        <v>直観の異論 ヘンペル</v>
      </c>
      <c r="N9" s="63">
        <v>6.2500000000000001E-4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VLOOKUP(L9,tables_456100!B:C,2,FALSE)</f>
        <v>PremiumSSS5R3less</v>
      </c>
      <c r="R9" s="62">
        <f t="shared" si="1"/>
        <v>63937.5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2">
        <v>790</v>
      </c>
      <c r="M10" s="37" t="str">
        <f>VLOOKUP(L10,[1]characters!$A:$C,3,FALSE)</f>
        <v>戦略級の才脳 ノイマン</v>
      </c>
      <c r="N10" s="63">
        <v>6.2500000000000001E-4</v>
      </c>
      <c r="O10" s="37">
        <f>VLOOKUP(L10,[1]characters!$A:$I,9,FALSE)</f>
        <v>5</v>
      </c>
      <c r="P10" s="37" t="str">
        <f>VLOOKUP(L10,[1]characters!$A:$J,10,FALSE)</f>
        <v>PremiumSSS</v>
      </c>
      <c r="Q10" s="37" t="str">
        <f>VLOOKUP(L10,tables_456100!B:C,2,FALSE)</f>
        <v>PremiumSSS5R3less</v>
      </c>
      <c r="R10" s="62">
        <f t="shared" si="1"/>
        <v>63937.5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2">
        <v>410</v>
      </c>
      <c r="M11" s="37" t="str">
        <f>VLOOKUP(L11,[1]characters!$A:$C,3,FALSE)</f>
        <v>ファラデー</v>
      </c>
      <c r="N11" s="63">
        <v>5.9349999999999995E-4</v>
      </c>
      <c r="O11" s="37">
        <f>VLOOKUP(L11,[1]characters!$A:$I,9,FALSE)</f>
        <v>4</v>
      </c>
      <c r="P11" s="37" t="str">
        <f>VLOOKUP(L11,[1]characters!$A:$J,10,FALSE)</f>
        <v>PremiumSSS</v>
      </c>
      <c r="Q11" s="37" t="str">
        <f>VLOOKUP(L11,tables_456100!B:C,2,FALSE)</f>
        <v>PremiumSSS4R3less</v>
      </c>
      <c r="R11" s="62">
        <f t="shared" si="1"/>
        <v>60715.049999999996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L12" s="2">
        <v>411</v>
      </c>
      <c r="M12" s="37" t="str">
        <f>VLOOKUP(L12,[1]characters!$A:$C,3,FALSE)</f>
        <v>電隷の始祖 ファラデー</v>
      </c>
      <c r="N12" s="63">
        <v>3.1250000000000001E-5</v>
      </c>
      <c r="O12" s="37">
        <f>VLOOKUP(L12,[1]characters!$A:$I,9,FALSE)</f>
        <v>5</v>
      </c>
      <c r="P12" s="37" t="str">
        <f>VLOOKUP(L12,[1]characters!$A:$J,10,FALSE)</f>
        <v>PremiumSSS</v>
      </c>
      <c r="Q12" s="37" t="str">
        <f>VLOOKUP(L12,tables_456100!B:C,2,FALSE)</f>
        <v>PremiumSSS5R3less</v>
      </c>
      <c r="R12" s="62">
        <f t="shared" si="1"/>
        <v>3196.875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2">
        <v>792</v>
      </c>
      <c r="M13" s="37" t="str">
        <f>VLOOKUP(L13,[1]characters!$A:$C,3,FALSE)</f>
        <v>片還の収波 フーリエ</v>
      </c>
      <c r="N13" s="63">
        <v>6.2500000000000001E-4</v>
      </c>
      <c r="O13" s="37">
        <f>VLOOKUP(L13,[1]characters!$A:$I,9,FALSE)</f>
        <v>5</v>
      </c>
      <c r="P13" s="37" t="str">
        <f>VLOOKUP(L13,[1]characters!$A:$J,10,FALSE)</f>
        <v>PremiumSSS</v>
      </c>
      <c r="Q13" s="37" t="str">
        <f>VLOOKUP(L13,tables_456100!B:C,2,FALSE)</f>
        <v>PremiumSSS5R3less</v>
      </c>
      <c r="R13" s="62">
        <f t="shared" si="1"/>
        <v>63937.5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COUNTIF(tables_456100!C:C,input_456100!A17)-COUNTIF(Q:Q,A17)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0.24481876686461362</v>
      </c>
      <c r="C18" s="84">
        <f t="shared" si="2"/>
        <v>0</v>
      </c>
      <c r="D18" s="74">
        <f t="shared" si="3"/>
        <v>0.24481876686461362</v>
      </c>
      <c r="E18">
        <f>COUNTIF(tables_456100!C:C,input_456100!A18)-COUNTIF(Q:Q,A18)</f>
        <v>20</v>
      </c>
      <c r="F18" s="43">
        <f>IFERROR(B18/E18,0)</f>
        <v>1.2240938343230682E-2</v>
      </c>
      <c r="G18">
        <f t="shared" si="4"/>
        <v>25044959.850249972</v>
      </c>
      <c r="H18">
        <f t="shared" si="5"/>
        <v>1252247.99251</v>
      </c>
      <c r="I18">
        <f t="shared" si="6"/>
        <v>0.99251000001095235</v>
      </c>
      <c r="J18">
        <f t="shared" si="7"/>
        <v>1.0075465234496026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COUNTIF(tables_456100!C:C,input_456100!A19)-COUNTIF(Q:Q,A19)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E$6*E20*B$6-0.02+G49</f>
        <v>0.48351319648096347</v>
      </c>
      <c r="C20" s="84">
        <f t="shared" si="2"/>
        <v>0</v>
      </c>
      <c r="D20" s="74">
        <f t="shared" si="3"/>
        <v>0.48351319648096347</v>
      </c>
      <c r="E20">
        <f>COUNTIF(tables_456100!C:C,input_456100!A20)-COUNTIF(Q:Q,A20)</f>
        <v>52</v>
      </c>
      <c r="F20" s="43">
        <f t="shared" si="8"/>
        <v>9.2983307015569901E-3</v>
      </c>
      <c r="G20">
        <f t="shared" si="4"/>
        <v>49463400.000002563</v>
      </c>
      <c r="H20">
        <f t="shared" si="5"/>
        <v>951219.23077000002</v>
      </c>
      <c r="I20">
        <f t="shared" si="6"/>
        <v>0.23077000002376735</v>
      </c>
      <c r="J20">
        <f t="shared" si="7"/>
        <v>4.3333188884907416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B7-B23-B26-B28-B29+E35</f>
        <v>3.2816898850439868E-3</v>
      </c>
      <c r="C21" s="84">
        <f t="shared" si="2"/>
        <v>0</v>
      </c>
      <c r="D21" s="74">
        <f t="shared" si="3"/>
        <v>3.2816898850439868E-3</v>
      </c>
      <c r="E21">
        <f>COUNTIF(tables_456100!C:C,input_456100!A21)-COUNTIF(Q:Q,A21)</f>
        <v>52</v>
      </c>
      <c r="F21" s="43">
        <f t="shared" si="8"/>
        <v>6.3109420866230519E-5</v>
      </c>
      <c r="G21">
        <f t="shared" si="4"/>
        <v>335716.87523999985</v>
      </c>
      <c r="H21">
        <f t="shared" si="5"/>
        <v>6456.09375</v>
      </c>
      <c r="I21">
        <f t="shared" si="6"/>
        <v>9.375E-2</v>
      </c>
      <c r="J21">
        <f t="shared" si="7"/>
        <v>10.666666666666666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0.16105645161290322</v>
      </c>
      <c r="C22" s="84">
        <f t="shared" si="2"/>
        <v>0</v>
      </c>
      <c r="D22" s="74">
        <f t="shared" si="3"/>
        <v>0.16105645161290322</v>
      </c>
      <c r="E22">
        <f>COUNTIF(tables_456100!C:C,input_456100!A22)-COUNTIF(Q:Q,A22)</f>
        <v>17</v>
      </c>
      <c r="F22" s="43">
        <f t="shared" si="8"/>
        <v>9.4739089184060713E-3</v>
      </c>
      <c r="G22">
        <f t="shared" si="4"/>
        <v>16476075</v>
      </c>
      <c r="H22">
        <f t="shared" si="5"/>
        <v>969180.88234999997</v>
      </c>
      <c r="I22">
        <f t="shared" si="6"/>
        <v>0.88234999997075647</v>
      </c>
      <c r="J22">
        <f t="shared" si="7"/>
        <v>1.1333371111612658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1.1685483870967742E-2</v>
      </c>
      <c r="C23" s="84">
        <f t="shared" si="2"/>
        <v>0</v>
      </c>
      <c r="D23" s="74">
        <f t="shared" si="3"/>
        <v>1.1685483870967742E-2</v>
      </c>
      <c r="E23">
        <f>COUNTIF(tables_456100!C:C,input_456100!A23)-COUNTIF(Q:Q,A23)</f>
        <v>23</v>
      </c>
      <c r="F23" s="43">
        <f t="shared" si="8"/>
        <v>5.0806451612903233E-4</v>
      </c>
      <c r="G23">
        <f t="shared" si="4"/>
        <v>1195425</v>
      </c>
      <c r="H23">
        <f t="shared" si="5"/>
        <v>51975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COUNTIF(tables_456100!C:C,input_456100!A24)-COUNTIF(Q:Q,A24)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3.8612903225806447E-2</v>
      </c>
      <c r="C25" s="84">
        <f t="shared" si="2"/>
        <v>0</v>
      </c>
      <c r="D25" s="74">
        <f t="shared" si="3"/>
        <v>3.8612903225806447E-2</v>
      </c>
      <c r="E25">
        <f>COUNTIF(tables_456100!C:C,input_456100!A25)-COUNTIF(Q:Q,A25)</f>
        <v>4</v>
      </c>
      <c r="F25" s="43">
        <f t="shared" si="8"/>
        <v>9.6532258064516117E-3</v>
      </c>
      <c r="G25">
        <f t="shared" si="4"/>
        <v>3950099.9999999995</v>
      </c>
      <c r="H25">
        <f t="shared" si="5"/>
        <v>987525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2.0322580645161289E-3</v>
      </c>
      <c r="C26" s="84">
        <f t="shared" si="2"/>
        <v>0</v>
      </c>
      <c r="D26" s="74">
        <f t="shared" si="3"/>
        <v>2.0322580645161289E-3</v>
      </c>
      <c r="E26">
        <f>COUNTIF(tables_456100!C:C,input_456100!A26)-COUNTIF(Q:Q,A26)</f>
        <v>4</v>
      </c>
      <c r="F26" s="43">
        <f t="shared" si="8"/>
        <v>5.0806451612903222E-4</v>
      </c>
      <c r="G26">
        <f t="shared" si="4"/>
        <v>207899.99999999997</v>
      </c>
      <c r="H26">
        <f t="shared" si="5"/>
        <v>51975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E$5*E27*(B$5+B$6)-G49</f>
        <v>2.0218181818156617E-2</v>
      </c>
      <c r="C27" s="84">
        <f t="shared" si="2"/>
        <v>0</v>
      </c>
      <c r="D27" s="74">
        <f t="shared" si="3"/>
        <v>2.0218181818156617E-2</v>
      </c>
      <c r="E27">
        <f>COUNTIF(tables_456100!C:C,input_456100!A27)-COUNTIF(Q:Q,A27)</f>
        <v>28</v>
      </c>
      <c r="F27" s="43">
        <f>IFERROR(B27/E27,0)</f>
        <v>7.2207792207702206E-4</v>
      </c>
      <c r="G27">
        <f t="shared" si="4"/>
        <v>2068319.9999974219</v>
      </c>
      <c r="H27">
        <f t="shared" si="5"/>
        <v>73868.571429999996</v>
      </c>
      <c r="I27">
        <f t="shared" si="6"/>
        <v>0.57142999999632593</v>
      </c>
      <c r="J27">
        <f t="shared" si="7"/>
        <v>1.7499956250221893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1.1454545454545456E-3</v>
      </c>
      <c r="C28" s="84">
        <f t="shared" si="2"/>
        <v>0</v>
      </c>
      <c r="D28" s="74">
        <f t="shared" si="3"/>
        <v>1.1454545454545456E-3</v>
      </c>
      <c r="E28">
        <f>COUNTIF(tables_456100!C:C,input_456100!A28)-COUNTIF(Q:Q,A28)</f>
        <v>28</v>
      </c>
      <c r="F28" s="43">
        <f t="shared" si="8"/>
        <v>4.0909090909090915E-5</v>
      </c>
      <c r="G28">
        <f t="shared" si="4"/>
        <v>117180.00000000001</v>
      </c>
      <c r="H28">
        <f t="shared" si="5"/>
        <v>4185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2.863636363636364E-2</v>
      </c>
      <c r="C29" s="84">
        <f t="shared" si="2"/>
        <v>0</v>
      </c>
      <c r="D29" s="74">
        <f t="shared" si="3"/>
        <v>2.863636363636364E-2</v>
      </c>
      <c r="E29">
        <f>COUNTIF(tables_456100!C:C,input_456100!A29)-COUNTIF(Q:Q,A29)</f>
        <v>35</v>
      </c>
      <c r="F29" s="43">
        <f t="shared" si="8"/>
        <v>8.1818181818181827E-4</v>
      </c>
      <c r="G29">
        <f t="shared" si="4"/>
        <v>2929500.0000000005</v>
      </c>
      <c r="H29">
        <f t="shared" si="5"/>
        <v>83700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1.7805E-3</v>
      </c>
      <c r="D30" s="74">
        <f t="shared" si="3"/>
        <v>-1.7805E-3</v>
      </c>
      <c r="E30">
        <f>COUNTIF(tables_456100!C:C,input_456100!A30)-COUNTIF(Q:Q,A30)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3.2187500000000003E-3</v>
      </c>
      <c r="D31" s="74">
        <f t="shared" si="3"/>
        <v>-3.2187500000000003E-3</v>
      </c>
      <c r="E31">
        <f>COUNTIF(tables_456100!C:C,input_456100!A31)-COUNTIF(Q:Q,A31)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0.9950007500047896</v>
      </c>
      <c r="C32" s="41">
        <f>SUM(C19:C31)</f>
        <v>4.9992500000000002E-3</v>
      </c>
      <c r="D32" s="42">
        <f t="shared" si="3"/>
        <v>0.99000150000478959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2.1592960413000739E-2</v>
      </c>
      <c r="F34" s="55">
        <f ca="1">0.95-G41</f>
        <v>-2.2477575356560919E-12</v>
      </c>
    </row>
    <row r="35" spans="1:7" x14ac:dyDescent="0.15">
      <c r="A35" t="s">
        <v>73</v>
      </c>
      <c r="E35">
        <v>-3.2187499976539594E-3</v>
      </c>
      <c r="F35">
        <f ca="1">0.05-G42</f>
        <v>0</v>
      </c>
    </row>
    <row r="36" spans="1:7" x14ac:dyDescent="0.15">
      <c r="A36" s="31">
        <f>LCM(F5-I5,F6-I6)*1000*2*2*5</f>
        <v>102300000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SUMIF(tables_456100!C:C,input_456100!A40,tables_456100!O:O)</f>
        <v>0</v>
      </c>
      <c r="C40" s="54">
        <f t="shared" ref="C40:C46" ca="1" si="9">B40/B$47</f>
        <v>0</v>
      </c>
      <c r="E40">
        <v>3</v>
      </c>
      <c r="F40">
        <f ca="1">SUMIF(tables_456100!J:J,input_456100!E40,tables_456100!O:O)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SUMIF(tables_456100!C:C,input_456100!A41,tables_456100!O:O)</f>
        <v>49463400.000039972</v>
      </c>
      <c r="C41" s="54">
        <f t="shared" ca="1" si="9"/>
        <v>0.95150071258390656</v>
      </c>
      <c r="E41">
        <v>4</v>
      </c>
      <c r="F41">
        <f ca="1">SUMIF(tables_456100!J:J,input_456100!E41,tables_456100!O:O)</f>
        <v>97185000.00022994</v>
      </c>
      <c r="G41">
        <f ca="1">F41/A36</f>
        <v>0.95000000000224771</v>
      </c>
    </row>
    <row r="42" spans="1:7" x14ac:dyDescent="0.15">
      <c r="A42" s="33" t="s">
        <v>106</v>
      </c>
      <c r="B42">
        <f ca="1">SUMIF(tables_456100!C:C,input_456100!A42,tables_456100!O:O)</f>
        <v>2068320.0000400001</v>
      </c>
      <c r="C42" s="54">
        <f t="shared" ca="1" si="9"/>
        <v>3.9787154823324226E-2</v>
      </c>
      <c r="E42">
        <v>5</v>
      </c>
      <c r="F42">
        <f ca="1">SUMIF(tables_456100!J:J,input_456100!E42,tables_456100!O:O)</f>
        <v>5115000</v>
      </c>
      <c r="G42">
        <f ca="1">F42/A36</f>
        <v>0.05</v>
      </c>
    </row>
    <row r="43" spans="1:7" x14ac:dyDescent="0.15">
      <c r="A43" s="33" t="s">
        <v>109</v>
      </c>
      <c r="B43">
        <f>SUMIF(tables_456100!C:C,input_456100!A43,tables_456100!O:O)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SUMIF(tables_456100!C:C,input_456100!A44,tables_456100!O:O)</f>
        <v>335716.875</v>
      </c>
      <c r="C44" s="54">
        <f t="shared" ca="1" si="9"/>
        <v>6.4580042170308584E-3</v>
      </c>
      <c r="E44" t="s">
        <v>54</v>
      </c>
      <c r="F44" s="55"/>
    </row>
    <row r="45" spans="1:7" x14ac:dyDescent="0.15">
      <c r="A45" s="33" t="s">
        <v>107</v>
      </c>
      <c r="B45">
        <f ca="1">SUMIF(tables_456100!C:C,input_456100!A45,tables_456100!O:O)</f>
        <v>117180</v>
      </c>
      <c r="C45" s="54">
        <f t="shared" ca="1" si="9"/>
        <v>2.2541283757382645E-3</v>
      </c>
      <c r="E45" t="s">
        <v>204</v>
      </c>
      <c r="F45" s="55">
        <f ca="1">SUMIF(tables_456100!I:I,input_456100!E45,tables_456100!P:P)</f>
        <v>0.2478671539603422</v>
      </c>
    </row>
    <row r="46" spans="1:7" x14ac:dyDescent="0.15">
      <c r="A46" s="33" t="s">
        <v>108</v>
      </c>
      <c r="B46">
        <f>SUMIF(tables_456100!C:C,input_456100!A46,tables_456100!O:O)</f>
        <v>0</v>
      </c>
      <c r="C46" s="54">
        <f t="shared" ca="1" si="9"/>
        <v>0</v>
      </c>
      <c r="E46" t="s">
        <v>205</v>
      </c>
      <c r="F46" s="55">
        <f ca="1">SUMIF(tables_456100!I:I,input_456100!E46,tables_456100!P:P)</f>
        <v>0.18962835304786299</v>
      </c>
    </row>
    <row r="47" spans="1:7" x14ac:dyDescent="0.15">
      <c r="A47" s="39" t="s">
        <v>59</v>
      </c>
      <c r="B47">
        <f ca="1">SUM(B40:B46)</f>
        <v>51984616.875079975</v>
      </c>
      <c r="C47" s="55">
        <f ca="1">SUM(C40:C46)</f>
        <v>0.99999999999999989</v>
      </c>
      <c r="E47" t="s">
        <v>206</v>
      </c>
      <c r="F47" s="55">
        <f ca="1">SUMIF(tables_456100!I:I,input_456100!E47,tables_456100!P:P)</f>
        <v>0.50750524299152799</v>
      </c>
    </row>
    <row r="48" spans="1:7" x14ac:dyDescent="0.15">
      <c r="E48" t="s">
        <v>207</v>
      </c>
      <c r="F48" s="55">
        <f ca="1">SUMIF(tables_456100!I:I,input_456100!E48,tables_456100!P:P)</f>
        <v>4.50909090911987E-2</v>
      </c>
      <c r="G48" s="55">
        <f ca="1">F48+F49-0.05</f>
        <v>2.7856883466625959E-13</v>
      </c>
    </row>
    <row r="49" spans="5:7" x14ac:dyDescent="0.15">
      <c r="E49" t="s">
        <v>249</v>
      </c>
      <c r="F49" s="55">
        <f ca="1">SUMIF(tables_456100!I:I,input_456100!E49,tables_456100!P:P)</f>
        <v>4.9090909090798744E-3</v>
      </c>
      <c r="G49">
        <v>1.5454545454797464E-3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1"/>
  <sheetViews>
    <sheetView showGridLines="0" zoomScale="75" zoomScaleNormal="75" zoomScalePageLayoutView="75" workbookViewId="0">
      <pane ySplit="1" topLeftCell="A330" activePane="bottomLeft" state="frozen"/>
      <selection activeCell="D34" sqref="D34"/>
      <selection pane="bottomLeft" activeCell="B341" sqref="B341:B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input_456100!A$2</f>
        <v>456100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IFERROR(VLOOKUP(B2,input_456100!L:R,7,FALSE),VLOOKUP(tables_456100!C2,input_456100!A:H,8,FALSE))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input_456100!A$2</f>
        <v>456100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IFERROR(VLOOKUP(B3,input_456100!L:R,7,FALSE),VLOOKUP(tables_456100!C3,input_456100!A:H,8,FALSE))</f>
        <v>1252247.99251</v>
      </c>
      <c r="P3" s="46">
        <f t="shared" ca="1" si="1"/>
        <v>1.2240938343178742E-2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input_456100!A$2</f>
        <v>456100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IFERROR(VLOOKUP(B4,input_456100!L:R,7,FALSE),VLOOKUP(tables_456100!C4,input_456100!A:H,8,FALSE))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input_456100!A$2</f>
        <v>456100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IFERROR(VLOOKUP(B5,input_456100!L:R,7,FALSE),VLOOKUP(tables_456100!C5,input_456100!A:H,8,FALSE))</f>
        <v>1252247.99251</v>
      </c>
      <c r="P5" s="46">
        <f t="shared" ca="1" si="1"/>
        <v>1.2240938343178742E-2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input_456100!A$2</f>
        <v>456100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IFERROR(VLOOKUP(B6,input_456100!L:R,7,FALSE),VLOOKUP(tables_456100!C6,input_456100!A:H,8,FALSE))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input_456100!A$2</f>
        <v>456100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IFERROR(VLOOKUP(B7,input_456100!L:R,7,FALSE),VLOOKUP(tables_456100!C7,input_456100!A:H,8,FALSE))</f>
        <v>1252247.99251</v>
      </c>
      <c r="P7" s="46">
        <f t="shared" ca="1" si="1"/>
        <v>1.2240938343178742E-2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input_456100!A$2</f>
        <v>456100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IFERROR(VLOOKUP(B8,input_456100!L:R,7,FALSE),VLOOKUP(tables_456100!C8,input_456100!A:H,8,FALSE))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input_456100!A$2</f>
        <v>456100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IFERROR(VLOOKUP(B9,input_456100!L:R,7,FALSE),VLOOKUP(tables_456100!C9,input_456100!A:H,8,FALSE))</f>
        <v>1252247.99251</v>
      </c>
      <c r="P9" s="46">
        <f t="shared" ca="1" si="1"/>
        <v>1.2240938343178742E-2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input_456100!A$2</f>
        <v>456100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IFERROR(VLOOKUP(B10,input_456100!L:R,7,FALSE),VLOOKUP(tables_456100!C10,input_456100!A:H,8,FALSE))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input_456100!A$2</f>
        <v>456100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IFERROR(VLOOKUP(B11,input_456100!L:R,7,FALSE),VLOOKUP(tables_456100!C11,input_456100!A:H,8,FALSE))</f>
        <v>1252247.99251</v>
      </c>
      <c r="P11" s="46">
        <f t="shared" ca="1" si="1"/>
        <v>1.2240938343178742E-2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input_456100!A$2</f>
        <v>456100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IFERROR(VLOOKUP(B12,input_456100!L:R,7,FALSE),VLOOKUP(tables_456100!C12,input_456100!A:H,8,FALSE))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input_456100!A$2</f>
        <v>456100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IFERROR(VLOOKUP(B13,input_456100!L:R,7,FALSE),VLOOKUP(tables_456100!C13,input_456100!A:H,8,FALSE))</f>
        <v>1252247.99251</v>
      </c>
      <c r="P13" s="46">
        <f t="shared" ca="1" si="1"/>
        <v>1.2240938343178742E-2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input_456100!A$2</f>
        <v>456100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IFERROR(VLOOKUP(B14,input_456100!L:R,7,FALSE),VLOOKUP(tables_456100!C14,input_456100!A:H,8,FALSE))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input_456100!A$2</f>
        <v>456100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IFERROR(VLOOKUP(B15,input_456100!L:R,7,FALSE),VLOOKUP(tables_456100!C15,input_456100!A:H,8,FALSE))</f>
        <v>1252247.99251</v>
      </c>
      <c r="P15" s="46">
        <f t="shared" ca="1" si="1"/>
        <v>1.2240938343178742E-2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input_456100!A$2</f>
        <v>456100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IFERROR(VLOOKUP(B16,input_456100!L:R,7,FALSE),VLOOKUP(tables_456100!C16,input_456100!A:H,8,FALSE))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input_456100!A$2</f>
        <v>456100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IFERROR(VLOOKUP(B17,input_456100!L:R,7,FALSE),VLOOKUP(tables_456100!C17,input_456100!A:H,8,FALSE))</f>
        <v>1252247.99251</v>
      </c>
      <c r="P17" s="46">
        <f t="shared" ca="1" si="1"/>
        <v>1.2240938343178742E-2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input_456100!A$2</f>
        <v>456100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IFERROR(VLOOKUP(B18,input_456100!L:R,7,FALSE),VLOOKUP(tables_456100!C18,input_456100!A:H,8,FALSE))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input_456100!A$2</f>
        <v>456100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IFERROR(VLOOKUP(B19,input_456100!L:R,7,FALSE),VLOOKUP(tables_456100!C19,input_456100!A:H,8,FALSE))</f>
        <v>1252247.99251</v>
      </c>
      <c r="P19" s="46">
        <f t="shared" ca="1" si="1"/>
        <v>1.2240938343178742E-2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input_456100!A$2</f>
        <v>456100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IFERROR(VLOOKUP(B20,input_456100!L:R,7,FALSE),VLOOKUP(tables_456100!C20,input_456100!A:H,8,FALSE))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input_456100!A$2</f>
        <v>456100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IFERROR(VLOOKUP(B21,input_456100!L:R,7,FALSE),VLOOKUP(tables_456100!C21,input_456100!A:H,8,FALSE))</f>
        <v>1252247.99251</v>
      </c>
      <c r="P21" s="46">
        <f t="shared" ca="1" si="1"/>
        <v>1.2240938343178742E-2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input_456100!A$2</f>
        <v>456100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IFERROR(VLOOKUP(B22,input_456100!L:R,7,FALSE),VLOOKUP(tables_456100!C22,input_456100!A:H,8,FALSE))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input_456100!A$2</f>
        <v>456100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IFERROR(VLOOKUP(B23,input_456100!L:R,7,FALSE),VLOOKUP(tables_456100!C23,input_456100!A:H,8,FALSE))</f>
        <v>1252247.99251</v>
      </c>
      <c r="P23" s="46">
        <f t="shared" ca="1" si="1"/>
        <v>1.2240938343178742E-2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input_456100!A$2</f>
        <v>456100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IFERROR(VLOOKUP(B24,input_456100!L:R,7,FALSE),VLOOKUP(tables_456100!C24,input_456100!A:H,8,FALSE))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input_456100!A$2</f>
        <v>456100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IFERROR(VLOOKUP(B25,input_456100!L:R,7,FALSE),VLOOKUP(tables_456100!C25,input_456100!A:H,8,FALSE))</f>
        <v>1252247.99251</v>
      </c>
      <c r="P25" s="46">
        <f t="shared" ca="1" si="1"/>
        <v>1.2240938343178742E-2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input_456100!A$2</f>
        <v>456100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IFERROR(VLOOKUP(B26,input_456100!L:R,7,FALSE),VLOOKUP(tables_456100!C26,input_456100!A:H,8,FALSE))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input_456100!A$2</f>
        <v>456100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IFERROR(VLOOKUP(B27,input_456100!L:R,7,FALSE),VLOOKUP(tables_456100!C27,input_456100!A:H,8,FALSE))</f>
        <v>1252247.99251</v>
      </c>
      <c r="P27" s="46">
        <f t="shared" ca="1" si="1"/>
        <v>1.2240938343178742E-2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input_456100!A$2</f>
        <v>456100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IFERROR(VLOOKUP(B28,input_456100!L:R,7,FALSE),VLOOKUP(tables_456100!C28,input_456100!A:H,8,FALSE))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input_456100!A$2</f>
        <v>456100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IFERROR(VLOOKUP(B29,input_456100!L:R,7,FALSE),VLOOKUP(tables_456100!C29,input_456100!A:H,8,FALSE))</f>
        <v>1252247.99251</v>
      </c>
      <c r="P29" s="46">
        <f t="shared" ca="1" si="1"/>
        <v>1.2240938343178742E-2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input_456100!A$2</f>
        <v>456100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IFERROR(VLOOKUP(B30,input_456100!L:R,7,FALSE),VLOOKUP(tables_456100!C30,input_456100!A:H,8,FALSE))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input_456100!A$2</f>
        <v>456100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IFERROR(VLOOKUP(B31,input_456100!L:R,7,FALSE),VLOOKUP(tables_456100!C31,input_456100!A:H,8,FALSE))</f>
        <v>1252247.99251</v>
      </c>
      <c r="P31" s="46">
        <f t="shared" ca="1" si="1"/>
        <v>1.2240938343178742E-2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input_456100!A$2</f>
        <v>456100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IFERROR(VLOOKUP(B32,input_456100!L:R,7,FALSE),VLOOKUP(tables_456100!C32,input_456100!A:H,8,FALSE))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input_456100!A$2</f>
        <v>456100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IFERROR(VLOOKUP(B33,input_456100!L:R,7,FALSE),VLOOKUP(tables_456100!C33,input_456100!A:H,8,FALSE))</f>
        <v>1252247.99251</v>
      </c>
      <c r="P33" s="46">
        <f t="shared" ca="1" si="1"/>
        <v>1.2240938343178742E-2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input_456100!A$2</f>
        <v>456100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IFERROR(VLOOKUP(B34,input_456100!L:R,7,FALSE),VLOOKUP(tables_456100!C34,input_456100!A:H,8,FALSE))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input_456100!A$2</f>
        <v>456100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IFERROR(VLOOKUP(B35,input_456100!L:R,7,FALSE),VLOOKUP(tables_456100!C35,input_456100!A:H,8,FALSE))</f>
        <v>1252247.99251</v>
      </c>
      <c r="P35" s="46">
        <f t="shared" ca="1" si="1"/>
        <v>1.2240938343178742E-2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input_456100!A$2</f>
        <v>456100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IFERROR(VLOOKUP(B36,input_456100!L:R,7,FALSE),VLOOKUP(tables_456100!C36,input_456100!A:H,8,FALSE))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input_456100!A$2</f>
        <v>456100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IFERROR(VLOOKUP(B37,input_456100!L:R,7,FALSE),VLOOKUP(tables_456100!C37,input_456100!A:H,8,FALSE))</f>
        <v>1252247.99251</v>
      </c>
      <c r="P37" s="46">
        <f t="shared" ca="1" si="1"/>
        <v>1.2240938343178742E-2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input_456100!A$2</f>
        <v>456100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IFERROR(VLOOKUP(B38,input_456100!L:R,7,FALSE),VLOOKUP(tables_456100!C38,input_456100!A:H,8,FALSE))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input_456100!A$2</f>
        <v>456100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IFERROR(VLOOKUP(B39,input_456100!L:R,7,FALSE),VLOOKUP(tables_456100!C39,input_456100!A:H,8,FALSE))</f>
        <v>1252247.99251</v>
      </c>
      <c r="P39" s="46">
        <f t="shared" ca="1" si="1"/>
        <v>1.2240938343178742E-2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input_456100!A$2</f>
        <v>456100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IFERROR(VLOOKUP(B40,input_456100!L:R,7,FALSE),VLOOKUP(tables_456100!C40,input_456100!A:H,8,FALSE))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input_456100!A$2</f>
        <v>456100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IFERROR(VLOOKUP(B41,input_456100!L:R,7,FALSE),VLOOKUP(tables_456100!C41,input_456100!A:H,8,FALSE))</f>
        <v>1252247.99251</v>
      </c>
      <c r="P41" s="46">
        <f t="shared" ca="1" si="1"/>
        <v>1.2240938343178742E-2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input_456100!A$2</f>
        <v>456100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IFERROR(VLOOKUP(B42,input_456100!L:R,7,FALSE),VLOOKUP(tables_456100!C42,input_456100!A:H,8,FALSE))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input_456100!A$2</f>
        <v>456100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IFERROR(VLOOKUP(B43,input_456100!L:R,7,FALSE),VLOOKUP(tables_456100!C43,input_456100!A:H,8,FALSE))</f>
        <v>987525</v>
      </c>
      <c r="P43" s="46">
        <f t="shared" ca="1" si="1"/>
        <v>9.6532258064299156E-3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input_456100!A$2</f>
        <v>456100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IFERROR(VLOOKUP(B44,input_456100!L:R,7,FALSE),VLOOKUP(tables_456100!C44,input_456100!A:H,8,FALSE))</f>
        <v>51975</v>
      </c>
      <c r="P44" s="46">
        <f t="shared" ca="1" si="1"/>
        <v>5.0806451612789023E-4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input_456100!A$2</f>
        <v>456100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IFERROR(VLOOKUP(B45,input_456100!L:R,7,FALSE),VLOOKUP(tables_456100!C45,input_456100!A:H,8,FALSE))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input_456100!A$2</f>
        <v>456100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IFERROR(VLOOKUP(B46,input_456100!L:R,7,FALSE),VLOOKUP(tables_456100!C46,input_456100!A:H,8,FALSE))</f>
        <v>987525</v>
      </c>
      <c r="P46" s="46">
        <f t="shared" ca="1" si="1"/>
        <v>9.6532258064299156E-3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input_456100!A$2</f>
        <v>456100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IFERROR(VLOOKUP(B47,input_456100!L:R,7,FALSE),VLOOKUP(tables_456100!C47,input_456100!A:H,8,FALSE))</f>
        <v>51975</v>
      </c>
      <c r="P47" s="46">
        <f t="shared" ca="1" si="1"/>
        <v>5.0806451612789023E-4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input_456100!A$2</f>
        <v>456100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IFERROR(VLOOKUP(B48,input_456100!L:R,7,FALSE),VLOOKUP(tables_456100!C48,input_456100!A:H,8,FALSE))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input_456100!A$2</f>
        <v>456100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IFERROR(VLOOKUP(B49,input_456100!L:R,7,FALSE),VLOOKUP(tables_456100!C49,input_456100!A:H,8,FALSE))</f>
        <v>987525</v>
      </c>
      <c r="P49" s="46">
        <f t="shared" ca="1" si="1"/>
        <v>9.6532258064299156E-3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input_456100!A$2</f>
        <v>456100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IFERROR(VLOOKUP(B50,input_456100!L:R,7,FALSE),VLOOKUP(tables_456100!C50,input_456100!A:H,8,FALSE))</f>
        <v>51975</v>
      </c>
      <c r="P50" s="46">
        <f t="shared" ca="1" si="1"/>
        <v>5.0806451612789023E-4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input_456100!A$2</f>
        <v>456100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IFERROR(VLOOKUP(B51,input_456100!L:R,7,FALSE),VLOOKUP(tables_456100!C51,input_456100!A:H,8,FALSE))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input_456100!A$2</f>
        <v>456100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IFERROR(VLOOKUP(B52,input_456100!L:R,7,FALSE),VLOOKUP(tables_456100!C52,input_456100!A:H,8,FALSE))</f>
        <v>951219.23077000002</v>
      </c>
      <c r="P52" s="46">
        <f t="shared" ca="1" si="1"/>
        <v>9.2983307015431279E-3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input_456100!A$2</f>
        <v>456100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IFERROR(VLOOKUP(B53,input_456100!L:R,7,FALSE),VLOOKUP(tables_456100!C53,input_456100!A:H,8,FALSE))</f>
        <v>6456.09375</v>
      </c>
      <c r="P53" s="46">
        <f t="shared" ca="1" si="1"/>
        <v>6.3109420820972519E-5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input_456100!A$2</f>
        <v>456100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IFERROR(VLOOKUP(B54,input_456100!L:R,7,FALSE),VLOOKUP(tables_456100!C54,input_456100!A:H,8,FALSE))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input_456100!A$2</f>
        <v>456100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IFERROR(VLOOKUP(B55,input_456100!L:R,7,FALSE),VLOOKUP(tables_456100!C55,input_456100!A:H,8,FALSE))</f>
        <v>951219.23077000002</v>
      </c>
      <c r="P55" s="46">
        <f t="shared" ca="1" si="1"/>
        <v>9.2983307015431279E-3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input_456100!A$2</f>
        <v>456100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IFERROR(VLOOKUP(B56,input_456100!L:R,7,FALSE),VLOOKUP(tables_456100!C56,input_456100!A:H,8,FALSE))</f>
        <v>6456.09375</v>
      </c>
      <c r="P56" s="46">
        <f t="shared" ca="1" si="1"/>
        <v>6.3109420820972519E-5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input_456100!A$2</f>
        <v>456100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IFERROR(VLOOKUP(B57,input_456100!L:R,7,FALSE),VLOOKUP(tables_456100!C57,input_456100!A:H,8,FALSE))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input_456100!A$2</f>
        <v>456100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IFERROR(VLOOKUP(B58,input_456100!L:R,7,FALSE),VLOOKUP(tables_456100!C58,input_456100!A:H,8,FALSE))</f>
        <v>951219.23077000002</v>
      </c>
      <c r="P58" s="46">
        <f t="shared" ca="1" si="1"/>
        <v>9.2983307015431279E-3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input_456100!A$2</f>
        <v>456100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IFERROR(VLOOKUP(B59,input_456100!L:R,7,FALSE),VLOOKUP(tables_456100!C59,input_456100!A:H,8,FALSE))</f>
        <v>6456.09375</v>
      </c>
      <c r="P59" s="46">
        <f t="shared" ca="1" si="1"/>
        <v>6.3109420820972519E-5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input_456100!A$2</f>
        <v>456100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IFERROR(VLOOKUP(B60,input_456100!L:R,7,FALSE),VLOOKUP(tables_456100!C60,input_456100!A:H,8,FALSE))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input_456100!A$2</f>
        <v>456100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IFERROR(VLOOKUP(B61,input_456100!L:R,7,FALSE),VLOOKUP(tables_456100!C61,input_456100!A:H,8,FALSE))</f>
        <v>951219.23077000002</v>
      </c>
      <c r="P61" s="46">
        <f t="shared" ca="1" si="1"/>
        <v>9.2983307015431279E-3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input_456100!A$2</f>
        <v>456100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IFERROR(VLOOKUP(B62,input_456100!L:R,7,FALSE),VLOOKUP(tables_456100!C62,input_456100!A:H,8,FALSE))</f>
        <v>6456.09375</v>
      </c>
      <c r="P62" s="46">
        <f t="shared" ca="1" si="1"/>
        <v>6.3109420820972519E-5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input_456100!A$2</f>
        <v>456100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IFERROR(VLOOKUP(B63,input_456100!L:R,7,FALSE),VLOOKUP(tables_456100!C63,input_456100!A:H,8,FALSE))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input_456100!A$2</f>
        <v>456100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IFERROR(VLOOKUP(B64,input_456100!L:R,7,FALSE),VLOOKUP(tables_456100!C64,input_456100!A:H,8,FALSE))</f>
        <v>951219.23077000002</v>
      </c>
      <c r="P64" s="46">
        <f t="shared" ca="1" si="1"/>
        <v>9.2983307015431279E-3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input_456100!A$2</f>
        <v>456100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IFERROR(VLOOKUP(B65,input_456100!L:R,7,FALSE),VLOOKUP(tables_456100!C65,input_456100!A:H,8,FALSE))</f>
        <v>6456.09375</v>
      </c>
      <c r="P65" s="46">
        <f t="shared" ca="1" si="1"/>
        <v>6.3109420820972519E-5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input_456100!A$2</f>
        <v>456100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IFERROR(VLOOKUP(B66,input_456100!L:R,7,FALSE),VLOOKUP(tables_456100!C66,input_456100!A:H,8,FALSE))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input_456100!A$2</f>
        <v>456100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IFERROR(VLOOKUP(B67,input_456100!L:R,7,FALSE),VLOOKUP(tables_456100!C67,input_456100!A:H,8,FALSE))</f>
        <v>951219.23077000002</v>
      </c>
      <c r="P67" s="46">
        <f t="shared" ca="1" si="4"/>
        <v>9.2983307015431279E-3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input_456100!A$2</f>
        <v>456100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IFERROR(VLOOKUP(B68,input_456100!L:R,7,FALSE),VLOOKUP(tables_456100!C68,input_456100!A:H,8,FALSE))</f>
        <v>6456.09375</v>
      </c>
      <c r="P68" s="46">
        <f t="shared" ca="1" si="4"/>
        <v>6.3109420820972519E-5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input_456100!A$2</f>
        <v>456100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IFERROR(VLOOKUP(B69,input_456100!L:R,7,FALSE),VLOOKUP(tables_456100!C69,input_456100!A:H,8,FALSE))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input_456100!A$2</f>
        <v>456100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IFERROR(VLOOKUP(B70,input_456100!L:R,7,FALSE),VLOOKUP(tables_456100!C70,input_456100!A:H,8,FALSE))</f>
        <v>951219.23077000002</v>
      </c>
      <c r="P70" s="46">
        <f t="shared" ca="1" si="4"/>
        <v>9.2983307015431279E-3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input_456100!A$2</f>
        <v>456100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IFERROR(VLOOKUP(B71,input_456100!L:R,7,FALSE),VLOOKUP(tables_456100!C71,input_456100!A:H,8,FALSE))</f>
        <v>6456.09375</v>
      </c>
      <c r="P71" s="46">
        <f t="shared" ca="1" si="4"/>
        <v>6.3109420820972519E-5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input_456100!A$2</f>
        <v>456100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IFERROR(VLOOKUP(B72,input_456100!L:R,7,FALSE),VLOOKUP(tables_456100!C72,input_456100!A:H,8,FALSE))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input_456100!A$2</f>
        <v>456100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IFERROR(VLOOKUP(B73,input_456100!L:R,7,FALSE),VLOOKUP(tables_456100!C73,input_456100!A:H,8,FALSE))</f>
        <v>951219.23077000002</v>
      </c>
      <c r="P73" s="46">
        <f t="shared" ca="1" si="4"/>
        <v>9.2983307015431279E-3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input_456100!A$2</f>
        <v>456100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IFERROR(VLOOKUP(B74,input_456100!L:R,7,FALSE),VLOOKUP(tables_456100!C74,input_456100!A:H,8,FALSE))</f>
        <v>6456.09375</v>
      </c>
      <c r="P74" s="46">
        <f t="shared" ca="1" si="4"/>
        <v>6.3109420820972519E-5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input_456100!A$2</f>
        <v>456100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IFERROR(VLOOKUP(B75,input_456100!L:R,7,FALSE),VLOOKUP(tables_456100!C75,input_456100!A:H,8,FALSE))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input_456100!A$2</f>
        <v>456100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IFERROR(VLOOKUP(B76,input_456100!L:R,7,FALSE),VLOOKUP(tables_456100!C76,input_456100!A:H,8,FALSE))</f>
        <v>951219.23077000002</v>
      </c>
      <c r="P76" s="46">
        <f t="shared" ca="1" si="4"/>
        <v>9.2983307015431279E-3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input_456100!A$2</f>
        <v>456100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IFERROR(VLOOKUP(B77,input_456100!L:R,7,FALSE),VLOOKUP(tables_456100!C77,input_456100!A:H,8,FALSE))</f>
        <v>6456.09375</v>
      </c>
      <c r="P77" s="46">
        <f t="shared" ca="1" si="4"/>
        <v>6.3109420820972519E-5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input_456100!A$2</f>
        <v>456100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IFERROR(VLOOKUP(B78,input_456100!L:R,7,FALSE),VLOOKUP(tables_456100!C78,input_456100!A:H,8,FALSE))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input_456100!A$2</f>
        <v>456100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IFERROR(VLOOKUP(B79,input_456100!L:R,7,FALSE),VLOOKUP(tables_456100!C79,input_456100!A:H,8,FALSE))</f>
        <v>951219.23077000002</v>
      </c>
      <c r="P79" s="46">
        <f t="shared" ca="1" si="4"/>
        <v>9.2983307015431279E-3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input_456100!A$2</f>
        <v>456100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IFERROR(VLOOKUP(B80,input_456100!L:R,7,FALSE),VLOOKUP(tables_456100!C80,input_456100!A:H,8,FALSE))</f>
        <v>6456.09375</v>
      </c>
      <c r="P80" s="46">
        <f t="shared" ca="1" si="4"/>
        <v>6.3109420820972519E-5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input_456100!A$2</f>
        <v>456100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IFERROR(VLOOKUP(B81,input_456100!L:R,7,FALSE),VLOOKUP(tables_456100!C81,input_456100!A:H,8,FALSE))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input_456100!A$2</f>
        <v>456100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IFERROR(VLOOKUP(B82,input_456100!L:R,7,FALSE),VLOOKUP(tables_456100!C82,input_456100!A:H,8,FALSE))</f>
        <v>951219.23077000002</v>
      </c>
      <c r="P82" s="46">
        <f t="shared" ca="1" si="4"/>
        <v>9.2983307015431279E-3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input_456100!A$2</f>
        <v>456100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IFERROR(VLOOKUP(B83,input_456100!L:R,7,FALSE),VLOOKUP(tables_456100!C83,input_456100!A:H,8,FALSE))</f>
        <v>6456.09375</v>
      </c>
      <c r="P83" s="46">
        <f t="shared" ca="1" si="4"/>
        <v>6.3109420820972519E-5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input_456100!A$2</f>
        <v>456100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IFERROR(VLOOKUP(B84,input_456100!L:R,7,FALSE),VLOOKUP(tables_456100!C84,input_456100!A:H,8,FALSE))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input_456100!A$2</f>
        <v>456100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IFERROR(VLOOKUP(B85,input_456100!L:R,7,FALSE),VLOOKUP(tables_456100!C85,input_456100!A:H,8,FALSE))</f>
        <v>951219.23077000002</v>
      </c>
      <c r="P85" s="46">
        <f t="shared" ca="1" si="4"/>
        <v>9.2983307015431279E-3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input_456100!A$2</f>
        <v>456100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IFERROR(VLOOKUP(B86,input_456100!L:R,7,FALSE),VLOOKUP(tables_456100!C86,input_456100!A:H,8,FALSE))</f>
        <v>6456.09375</v>
      </c>
      <c r="P86" s="46">
        <f t="shared" ca="1" si="4"/>
        <v>6.3109420820972519E-5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input_456100!A$2</f>
        <v>456100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IFERROR(VLOOKUP(B87,input_456100!L:R,7,FALSE),VLOOKUP(tables_456100!C87,input_456100!A:H,8,FALSE))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input_456100!A$2</f>
        <v>456100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IFERROR(VLOOKUP(B88,input_456100!L:R,7,FALSE),VLOOKUP(tables_456100!C88,input_456100!A:H,8,FALSE))</f>
        <v>951219.23077000002</v>
      </c>
      <c r="P88" s="46">
        <f t="shared" ca="1" si="4"/>
        <v>9.2983307015431279E-3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input_456100!A$2</f>
        <v>456100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IFERROR(VLOOKUP(B89,input_456100!L:R,7,FALSE),VLOOKUP(tables_456100!C89,input_456100!A:H,8,FALSE))</f>
        <v>6456.09375</v>
      </c>
      <c r="P89" s="46">
        <f t="shared" ca="1" si="4"/>
        <v>6.3109420820972519E-5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input_456100!A$2</f>
        <v>456100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IFERROR(VLOOKUP(B90,input_456100!L:R,7,FALSE),VLOOKUP(tables_456100!C90,input_456100!A:H,8,FALSE))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input_456100!A$2</f>
        <v>456100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IFERROR(VLOOKUP(B91,input_456100!L:R,7,FALSE),VLOOKUP(tables_456100!C91,input_456100!A:H,8,FALSE))</f>
        <v>951219.23077000002</v>
      </c>
      <c r="P91" s="46">
        <f t="shared" ca="1" si="4"/>
        <v>9.2983307015431279E-3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input_456100!A$2</f>
        <v>456100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IFERROR(VLOOKUP(B92,input_456100!L:R,7,FALSE),VLOOKUP(tables_456100!C92,input_456100!A:H,8,FALSE))</f>
        <v>6456.09375</v>
      </c>
      <c r="P92" s="46">
        <f t="shared" ca="1" si="4"/>
        <v>6.3109420820972519E-5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input_456100!A$2</f>
        <v>456100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IFERROR(VLOOKUP(B93,input_456100!L:R,7,FALSE),VLOOKUP(tables_456100!C93,input_456100!A:H,8,FALSE))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input_456100!A$2</f>
        <v>456100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IFERROR(VLOOKUP(B94,input_456100!L:R,7,FALSE),VLOOKUP(tables_456100!C94,input_456100!A:H,8,FALSE))</f>
        <v>951219.23077000002</v>
      </c>
      <c r="P94" s="46">
        <f t="shared" ca="1" si="4"/>
        <v>9.2983307015431279E-3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input_456100!A$2</f>
        <v>456100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IFERROR(VLOOKUP(B95,input_456100!L:R,7,FALSE),VLOOKUP(tables_456100!C95,input_456100!A:H,8,FALSE))</f>
        <v>6456.09375</v>
      </c>
      <c r="P95" s="46">
        <f t="shared" ca="1" si="4"/>
        <v>6.3109420820972519E-5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input_456100!A$2</f>
        <v>456100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IFERROR(VLOOKUP(B96,input_456100!L:R,7,FALSE),VLOOKUP(tables_456100!C96,input_456100!A:H,8,FALSE))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input_456100!A$2</f>
        <v>456100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IFERROR(VLOOKUP(B97,input_456100!L:R,7,FALSE),VLOOKUP(tables_456100!C97,input_456100!A:H,8,FALSE))</f>
        <v>951219.23077000002</v>
      </c>
      <c r="P97" s="46">
        <f t="shared" ca="1" si="4"/>
        <v>9.2983307015431279E-3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input_456100!A$2</f>
        <v>456100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IFERROR(VLOOKUP(B98,input_456100!L:R,7,FALSE),VLOOKUP(tables_456100!C98,input_456100!A:H,8,FALSE))</f>
        <v>6456.09375</v>
      </c>
      <c r="P98" s="46">
        <f t="shared" ca="1" si="4"/>
        <v>6.3109420820972519E-5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input_456100!A$2</f>
        <v>456100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IFERROR(VLOOKUP(B99,input_456100!L:R,7,FALSE),VLOOKUP(tables_456100!C99,input_456100!A:H,8,FALSE))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input_456100!A$2</f>
        <v>456100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IFERROR(VLOOKUP(B100,input_456100!L:R,7,FALSE),VLOOKUP(tables_456100!C100,input_456100!A:H,8,FALSE))</f>
        <v>951219.23077000002</v>
      </c>
      <c r="P100" s="46">
        <f t="shared" ca="1" si="4"/>
        <v>9.2983307015431279E-3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input_456100!A$2</f>
        <v>456100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IFERROR(VLOOKUP(B101,input_456100!L:R,7,FALSE),VLOOKUP(tables_456100!C101,input_456100!A:H,8,FALSE))</f>
        <v>6456.09375</v>
      </c>
      <c r="P101" s="46">
        <f t="shared" ca="1" si="4"/>
        <v>6.3109420820972519E-5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input_456100!A$2</f>
        <v>456100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IFERROR(VLOOKUP(B102,input_456100!L:R,7,FALSE),VLOOKUP(tables_456100!C102,input_456100!A:H,8,FALSE))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input_456100!A$2</f>
        <v>456100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IFERROR(VLOOKUP(B103,input_456100!L:R,7,FALSE),VLOOKUP(tables_456100!C103,input_456100!A:H,8,FALSE))</f>
        <v>951219.23077000002</v>
      </c>
      <c r="P103" s="46">
        <f t="shared" ca="1" si="4"/>
        <v>9.2983307015431279E-3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input_456100!A$2</f>
        <v>456100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IFERROR(VLOOKUP(B104,input_456100!L:R,7,FALSE),VLOOKUP(tables_456100!C104,input_456100!A:H,8,FALSE))</f>
        <v>6456.09375</v>
      </c>
      <c r="P104" s="46">
        <f t="shared" ca="1" si="4"/>
        <v>6.3109420820972519E-5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input_456100!A$2</f>
        <v>456100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IFERROR(VLOOKUP(B105,input_456100!L:R,7,FALSE),VLOOKUP(tables_456100!C105,input_456100!A:H,8,FALSE))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input_456100!A$2</f>
        <v>456100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IFERROR(VLOOKUP(B106,input_456100!L:R,7,FALSE),VLOOKUP(tables_456100!C106,input_456100!A:H,8,FALSE))</f>
        <v>951219.23077000002</v>
      </c>
      <c r="P106" s="46">
        <f t="shared" ca="1" si="4"/>
        <v>9.2983307015431279E-3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input_456100!A$2</f>
        <v>456100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IFERROR(VLOOKUP(B107,input_456100!L:R,7,FALSE),VLOOKUP(tables_456100!C107,input_456100!A:H,8,FALSE))</f>
        <v>6456.09375</v>
      </c>
      <c r="P107" s="46">
        <f t="shared" ca="1" si="4"/>
        <v>6.3109420820972519E-5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input_456100!A$2</f>
        <v>456100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IFERROR(VLOOKUP(B108,input_456100!L:R,7,FALSE),VLOOKUP(tables_456100!C108,input_456100!A:H,8,FALSE))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input_456100!A$2</f>
        <v>456100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IFERROR(VLOOKUP(B109,input_456100!L:R,7,FALSE),VLOOKUP(tables_456100!C109,input_456100!A:H,8,FALSE))</f>
        <v>951219.23077000002</v>
      </c>
      <c r="P109" s="46">
        <f t="shared" ca="1" si="4"/>
        <v>9.2983307015431279E-3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input_456100!A$2</f>
        <v>456100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IFERROR(VLOOKUP(B110,input_456100!L:R,7,FALSE),VLOOKUP(tables_456100!C110,input_456100!A:H,8,FALSE))</f>
        <v>6456.09375</v>
      </c>
      <c r="P110" s="46">
        <f t="shared" ca="1" si="4"/>
        <v>6.3109420820972519E-5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input_456100!A$2</f>
        <v>456100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IFERROR(VLOOKUP(B111,input_456100!L:R,7,FALSE),VLOOKUP(tables_456100!C111,input_456100!A:H,8,FALSE))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input_456100!A$2</f>
        <v>456100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IFERROR(VLOOKUP(B112,input_456100!L:R,7,FALSE),VLOOKUP(tables_456100!C112,input_456100!A:H,8,FALSE))</f>
        <v>987525</v>
      </c>
      <c r="P112" s="46">
        <f t="shared" ca="1" si="4"/>
        <v>9.6532258064299156E-3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input_456100!A$2</f>
        <v>456100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IFERROR(VLOOKUP(B113,input_456100!L:R,7,FALSE),VLOOKUP(tables_456100!C113,input_456100!A:H,8,FALSE))</f>
        <v>51975</v>
      </c>
      <c r="P113" s="46">
        <f t="shared" ca="1" si="4"/>
        <v>5.0806451612789023E-4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input_456100!A$2</f>
        <v>456100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IFERROR(VLOOKUP(B114,input_456100!L:R,7,FALSE),VLOOKUP(tables_456100!C114,input_456100!A:H,8,FALSE))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input_456100!A$2</f>
        <v>456100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IFERROR(VLOOKUP(B115,input_456100!L:R,7,FALSE),VLOOKUP(tables_456100!C115,input_456100!A:H,8,FALSE))</f>
        <v>951219.23077000002</v>
      </c>
      <c r="P115" s="46">
        <f t="shared" ca="1" si="4"/>
        <v>9.2983307015431279E-3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input_456100!A$2</f>
        <v>456100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IFERROR(VLOOKUP(B116,input_456100!L:R,7,FALSE),VLOOKUP(tables_456100!C116,input_456100!A:H,8,FALSE))</f>
        <v>6456.09375</v>
      </c>
      <c r="P116" s="46">
        <f t="shared" ca="1" si="4"/>
        <v>6.3109420820972519E-5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input_456100!A$2</f>
        <v>456100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IFERROR(VLOOKUP(B117,input_456100!L:R,7,FALSE),VLOOKUP(tables_456100!C117,input_456100!A:H,8,FALSE))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input_456100!A$2</f>
        <v>456100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IFERROR(VLOOKUP(B118,input_456100!L:R,7,FALSE),VLOOKUP(tables_456100!C118,input_456100!A:H,8,FALSE))</f>
        <v>951219.23077000002</v>
      </c>
      <c r="P118" s="46">
        <f t="shared" ca="1" si="4"/>
        <v>9.2983307015431279E-3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input_456100!A$2</f>
        <v>456100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IFERROR(VLOOKUP(B119,input_456100!L:R,7,FALSE),VLOOKUP(tables_456100!C119,input_456100!A:H,8,FALSE))</f>
        <v>6456.09375</v>
      </c>
      <c r="P119" s="46">
        <f t="shared" ca="1" si="4"/>
        <v>6.3109420820972519E-5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input_456100!A$2</f>
        <v>456100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IFERROR(VLOOKUP(B120,input_456100!L:R,7,FALSE),VLOOKUP(tables_456100!C120,input_456100!A:H,8,FALSE))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input_456100!A$2</f>
        <v>456100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IFERROR(VLOOKUP(B121,input_456100!L:R,7,FALSE),VLOOKUP(tables_456100!C121,input_456100!A:H,8,FALSE))</f>
        <v>951219.23077000002</v>
      </c>
      <c r="P121" s="46">
        <f t="shared" ca="1" si="4"/>
        <v>9.2983307015431279E-3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input_456100!A$2</f>
        <v>456100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IFERROR(VLOOKUP(B122,input_456100!L:R,7,FALSE),VLOOKUP(tables_456100!C122,input_456100!A:H,8,FALSE))</f>
        <v>6456.09375</v>
      </c>
      <c r="P122" s="46">
        <f t="shared" ca="1" si="4"/>
        <v>6.3109420820972519E-5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input_456100!A$2</f>
        <v>456100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IFERROR(VLOOKUP(B123,input_456100!L:R,7,FALSE),VLOOKUP(tables_456100!C123,input_456100!A:H,8,FALSE))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input_456100!A$2</f>
        <v>456100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IFERROR(VLOOKUP(B124,input_456100!L:R,7,FALSE),VLOOKUP(tables_456100!C124,input_456100!A:H,8,FALSE))</f>
        <v>951219.23077000002</v>
      </c>
      <c r="P124" s="46">
        <f t="shared" ca="1" si="4"/>
        <v>9.2983307015431279E-3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input_456100!A$2</f>
        <v>456100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IFERROR(VLOOKUP(B125,input_456100!L:R,7,FALSE),VLOOKUP(tables_456100!C125,input_456100!A:H,8,FALSE))</f>
        <v>6456.09375</v>
      </c>
      <c r="P125" s="46">
        <f t="shared" ca="1" si="4"/>
        <v>6.3109420820972519E-5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input_456100!A$2</f>
        <v>456100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IFERROR(VLOOKUP(B126,input_456100!L:R,7,FALSE),VLOOKUP(tables_456100!C126,input_456100!A:H,8,FALSE))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input_456100!A$2</f>
        <v>456100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IFERROR(VLOOKUP(B127,input_456100!L:R,7,FALSE),VLOOKUP(tables_456100!C127,input_456100!A:H,8,FALSE))</f>
        <v>951219.23077000002</v>
      </c>
      <c r="P127" s="46">
        <f t="shared" ca="1" si="4"/>
        <v>9.2983307015431279E-3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input_456100!A$2</f>
        <v>456100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IFERROR(VLOOKUP(B128,input_456100!L:R,7,FALSE),VLOOKUP(tables_456100!C128,input_456100!A:H,8,FALSE))</f>
        <v>6456.09375</v>
      </c>
      <c r="P128" s="46">
        <f t="shared" ca="1" si="4"/>
        <v>6.3109420820972519E-5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input_456100!A$2</f>
        <v>456100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IFERROR(VLOOKUP(B129,input_456100!L:R,7,FALSE),VLOOKUP(tables_456100!C129,input_456100!A:H,8,FALSE))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input_456100!A$2</f>
        <v>456100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IFERROR(VLOOKUP(B130,input_456100!L:R,7,FALSE),VLOOKUP(tables_456100!C130,input_456100!A:H,8,FALSE))</f>
        <v>951219.23077000002</v>
      </c>
      <c r="P130" s="46">
        <f t="shared" ref="P130:P193" ca="1" si="7">O130/SUM(O:O)</f>
        <v>9.2983307015431279E-3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input_456100!A$2</f>
        <v>456100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IFERROR(VLOOKUP(B131,input_456100!L:R,7,FALSE),VLOOKUP(tables_456100!C131,input_456100!A:H,8,FALSE))</f>
        <v>6456.09375</v>
      </c>
      <c r="P131" s="46">
        <f t="shared" ca="1" si="7"/>
        <v>6.3109420820972519E-5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input_456100!A$2</f>
        <v>456100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IFERROR(VLOOKUP(B132,input_456100!L:R,7,FALSE),VLOOKUP(tables_456100!C132,input_456100!A:H,8,FALSE))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input_456100!A$2</f>
        <v>456100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IFERROR(VLOOKUP(B133,input_456100!L:R,7,FALSE),VLOOKUP(tables_456100!C133,input_456100!A:H,8,FALSE))</f>
        <v>951219.23077000002</v>
      </c>
      <c r="P133" s="46">
        <f t="shared" ca="1" si="7"/>
        <v>9.2983307015431279E-3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input_456100!A$2</f>
        <v>456100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IFERROR(VLOOKUP(B134,input_456100!L:R,7,FALSE),VLOOKUP(tables_456100!C134,input_456100!A:H,8,FALSE))</f>
        <v>6456.09375</v>
      </c>
      <c r="P134" s="46">
        <f t="shared" ca="1" si="7"/>
        <v>6.3109420820972519E-5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input_456100!A$2</f>
        <v>456100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IFERROR(VLOOKUP(B135,input_456100!L:R,7,FALSE),VLOOKUP(tables_456100!C135,input_456100!A:H,8,FALSE))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input_456100!A$2</f>
        <v>456100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IFERROR(VLOOKUP(B136,input_456100!L:R,7,FALSE),VLOOKUP(tables_456100!C136,input_456100!A:H,8,FALSE))</f>
        <v>951219.23077000002</v>
      </c>
      <c r="P136" s="46">
        <f t="shared" ca="1" si="7"/>
        <v>9.2983307015431279E-3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input_456100!A$2</f>
        <v>456100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IFERROR(VLOOKUP(B137,input_456100!L:R,7,FALSE),VLOOKUP(tables_456100!C137,input_456100!A:H,8,FALSE))</f>
        <v>6456.09375</v>
      </c>
      <c r="P137" s="46">
        <f t="shared" ca="1" si="7"/>
        <v>6.3109420820972519E-5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input_456100!A$2</f>
        <v>456100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IFERROR(VLOOKUP(B138,input_456100!L:R,7,FALSE),VLOOKUP(tables_456100!C138,input_456100!A:H,8,FALSE))</f>
        <v>73868.571429999996</v>
      </c>
      <c r="P138" s="46">
        <f t="shared" ca="1" si="7"/>
        <v>7.2207792209026352E-4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input_456100!A$2</f>
        <v>456100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IFERROR(VLOOKUP(B139,input_456100!L:R,7,FALSE),VLOOKUP(tables_456100!C139,input_456100!A:H,8,FALSE))</f>
        <v>4185</v>
      </c>
      <c r="P139" s="46">
        <f t="shared" ca="1" si="7"/>
        <v>4.0909090908998961E-5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input_456100!A$2</f>
        <v>456100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IFERROR(VLOOKUP(B140,input_456100!L:R,7,FALSE),VLOOKUP(tables_456100!C140,input_456100!A:H,8,FALSE))</f>
        <v>73868.571429999996</v>
      </c>
      <c r="P140" s="46">
        <f t="shared" ca="1" si="7"/>
        <v>7.2207792209026352E-4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input_456100!A$2</f>
        <v>456100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IFERROR(VLOOKUP(B141,input_456100!L:R,7,FALSE),VLOOKUP(tables_456100!C141,input_456100!A:H,8,FALSE))</f>
        <v>4185</v>
      </c>
      <c r="P141" s="46">
        <f t="shared" ca="1" si="7"/>
        <v>4.0909090908998961E-5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input_456100!A$2</f>
        <v>456100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IFERROR(VLOOKUP(B142,input_456100!L:R,7,FALSE),VLOOKUP(tables_456100!C142,input_456100!A:H,8,FALSE))</f>
        <v>73868.571429999996</v>
      </c>
      <c r="P142" s="46">
        <f t="shared" ca="1" si="7"/>
        <v>7.2207792209026352E-4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input_456100!A$2</f>
        <v>456100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IFERROR(VLOOKUP(B143,input_456100!L:R,7,FALSE),VLOOKUP(tables_456100!C143,input_456100!A:H,8,FALSE))</f>
        <v>4185</v>
      </c>
      <c r="P143" s="46">
        <f t="shared" ca="1" si="7"/>
        <v>4.0909090908998961E-5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input_456100!A$2</f>
        <v>456100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IFERROR(VLOOKUP(B144,input_456100!L:R,7,FALSE),VLOOKUP(tables_456100!C144,input_456100!A:H,8,FALSE))</f>
        <v>73868.571429999996</v>
      </c>
      <c r="P144" s="46">
        <f t="shared" ca="1" si="7"/>
        <v>7.2207792209026352E-4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input_456100!A$2</f>
        <v>456100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IFERROR(VLOOKUP(B145,input_456100!L:R,7,FALSE),VLOOKUP(tables_456100!C145,input_456100!A:H,8,FALSE))</f>
        <v>4185</v>
      </c>
      <c r="P145" s="46">
        <f t="shared" ca="1" si="7"/>
        <v>4.0909090908998961E-5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input_456100!A$2</f>
        <v>456100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IFERROR(VLOOKUP(B146,input_456100!L:R,7,FALSE),VLOOKUP(tables_456100!C146,input_456100!A:H,8,FALSE))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input_456100!A$2</f>
        <v>456100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IFERROR(VLOOKUP(B147,input_456100!L:R,7,FALSE),VLOOKUP(tables_456100!C147,input_456100!A:H,8,FALSE))</f>
        <v>951219.23077000002</v>
      </c>
      <c r="P147" s="46">
        <f t="shared" ca="1" si="7"/>
        <v>9.2983307015431279E-3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input_456100!A$2</f>
        <v>456100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IFERROR(VLOOKUP(B148,input_456100!L:R,7,FALSE),VLOOKUP(tables_456100!C148,input_456100!A:H,8,FALSE))</f>
        <v>6456.09375</v>
      </c>
      <c r="P148" s="46">
        <f t="shared" ca="1" si="7"/>
        <v>6.3109420820972519E-5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input_456100!A$2</f>
        <v>456100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IFERROR(VLOOKUP(B149,input_456100!L:R,7,FALSE),VLOOKUP(tables_456100!C149,input_456100!A:H,8,FALSE))</f>
        <v>73868.571429999996</v>
      </c>
      <c r="P149" s="46">
        <f t="shared" ca="1" si="7"/>
        <v>7.2207792209026352E-4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input_456100!A$2</f>
        <v>456100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IFERROR(VLOOKUP(B150,input_456100!L:R,7,FALSE),VLOOKUP(tables_456100!C150,input_456100!A:H,8,FALSE))</f>
        <v>4185</v>
      </c>
      <c r="P150" s="46">
        <f t="shared" ca="1" si="7"/>
        <v>4.0909090908998961E-5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input_456100!A$2</f>
        <v>456100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IFERROR(VLOOKUP(B151,input_456100!L:R,7,FALSE),VLOOKUP(tables_456100!C151,input_456100!A:H,8,FALSE))</f>
        <v>73868.571429999996</v>
      </c>
      <c r="P151" s="46">
        <f t="shared" ca="1" si="7"/>
        <v>7.2207792209026352E-4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input_456100!A$2</f>
        <v>456100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IFERROR(VLOOKUP(B152,input_456100!L:R,7,FALSE),VLOOKUP(tables_456100!C152,input_456100!A:H,8,FALSE))</f>
        <v>4185</v>
      </c>
      <c r="P152" s="46">
        <f t="shared" ca="1" si="7"/>
        <v>4.0909090908998961E-5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input_456100!A$2</f>
        <v>456100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IFERROR(VLOOKUP(B153,input_456100!L:R,7,FALSE),VLOOKUP(tables_456100!C153,input_456100!A:H,8,FALSE))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input_456100!A$2</f>
        <v>456100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IFERROR(VLOOKUP(B154,input_456100!L:R,7,FALSE),VLOOKUP(tables_456100!C154,input_456100!A:H,8,FALSE))</f>
        <v>951219.23077000002</v>
      </c>
      <c r="P154" s="46">
        <f t="shared" ca="1" si="7"/>
        <v>9.2983307015431279E-3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input_456100!A$2</f>
        <v>456100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IFERROR(VLOOKUP(B155,input_456100!L:R,7,FALSE),VLOOKUP(tables_456100!C155,input_456100!A:H,8,FALSE))</f>
        <v>6456.09375</v>
      </c>
      <c r="P155" s="46">
        <f t="shared" ca="1" si="7"/>
        <v>6.3109420820972519E-5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input_456100!A$2</f>
        <v>456100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IFERROR(VLOOKUP(B156,input_456100!L:R,7,FALSE),VLOOKUP(tables_456100!C156,input_456100!A:H,8,FALSE))</f>
        <v>73868.571429999996</v>
      </c>
      <c r="P156" s="46">
        <f t="shared" ca="1" si="7"/>
        <v>7.2207792209026352E-4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input_456100!A$2</f>
        <v>456100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IFERROR(VLOOKUP(B157,input_456100!L:R,7,FALSE),VLOOKUP(tables_456100!C157,input_456100!A:H,8,FALSE))</f>
        <v>4185</v>
      </c>
      <c r="P157" s="46">
        <f t="shared" ca="1" si="7"/>
        <v>4.0909090908998961E-5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input_456100!A$2</f>
        <v>456100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IFERROR(VLOOKUP(B158,input_456100!L:R,7,FALSE),VLOOKUP(tables_456100!C158,input_456100!A:H,8,FALSE))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input_456100!A$2</f>
        <v>456100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IFERROR(VLOOKUP(B159,input_456100!L:R,7,FALSE),VLOOKUP(tables_456100!C159,input_456100!A:H,8,FALSE))</f>
        <v>951219.23077000002</v>
      </c>
      <c r="P159" s="46">
        <f t="shared" ca="1" si="7"/>
        <v>9.2983307015431279E-3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input_456100!A$2</f>
        <v>456100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IFERROR(VLOOKUP(B160,input_456100!L:R,7,FALSE),VLOOKUP(tables_456100!C160,input_456100!A:H,8,FALSE))</f>
        <v>6456.09375</v>
      </c>
      <c r="P160" s="46">
        <f t="shared" ca="1" si="7"/>
        <v>6.3109420820972519E-5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input_456100!A$2</f>
        <v>456100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IFERROR(VLOOKUP(B161,input_456100!L:R,7,FALSE),VLOOKUP(tables_456100!C161,input_456100!A:H,8,FALSE))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input_456100!A$2</f>
        <v>456100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IFERROR(VLOOKUP(B162,input_456100!L:R,7,FALSE),VLOOKUP(tables_456100!C162,input_456100!A:H,8,FALSE))</f>
        <v>951219.23077000002</v>
      </c>
      <c r="P162" s="46">
        <f t="shared" ca="1" si="7"/>
        <v>9.2983307015431279E-3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input_456100!A$2</f>
        <v>456100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IFERROR(VLOOKUP(B163,input_456100!L:R,7,FALSE),VLOOKUP(tables_456100!C163,input_456100!A:H,8,FALSE))</f>
        <v>6456.09375</v>
      </c>
      <c r="P163" s="46">
        <f t="shared" ca="1" si="7"/>
        <v>6.3109420820972519E-5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input_456100!A$2</f>
        <v>456100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IFERROR(VLOOKUP(B164,input_456100!L:R,7,FALSE),VLOOKUP(tables_456100!C164,input_456100!A:H,8,FALSE))</f>
        <v>73868.571429999996</v>
      </c>
      <c r="P164" s="46">
        <f t="shared" ca="1" si="7"/>
        <v>7.2207792209026352E-4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input_456100!A$2</f>
        <v>456100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IFERROR(VLOOKUP(B165,input_456100!L:R,7,FALSE),VLOOKUP(tables_456100!C165,input_456100!A:H,8,FALSE))</f>
        <v>4185</v>
      </c>
      <c r="P165" s="46">
        <f t="shared" ca="1" si="7"/>
        <v>4.0909090908998961E-5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input_456100!A$2</f>
        <v>456100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IFERROR(VLOOKUP(B166,input_456100!L:R,7,FALSE),VLOOKUP(tables_456100!C166,input_456100!A:H,8,FALSE))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input_456100!A$2</f>
        <v>456100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IFERROR(VLOOKUP(B167,input_456100!L:R,7,FALSE),VLOOKUP(tables_456100!C167,input_456100!A:H,8,FALSE))</f>
        <v>951219.23077000002</v>
      </c>
      <c r="P167" s="46">
        <f t="shared" ca="1" si="7"/>
        <v>9.2983307015431279E-3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input_456100!A$2</f>
        <v>456100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IFERROR(VLOOKUP(B168,input_456100!L:R,7,FALSE),VLOOKUP(tables_456100!C168,input_456100!A:H,8,FALSE))</f>
        <v>6456.09375</v>
      </c>
      <c r="P168" s="46">
        <f t="shared" ca="1" si="7"/>
        <v>6.3109420820972519E-5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input_456100!A$2</f>
        <v>456100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IFERROR(VLOOKUP(B169,input_456100!L:R,7,FALSE),VLOOKUP(tables_456100!C169,input_456100!A:H,8,FALSE))</f>
        <v>73868.571429999996</v>
      </c>
      <c r="P169" s="46">
        <f t="shared" ca="1" si="7"/>
        <v>7.2207792209026352E-4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input_456100!A$2</f>
        <v>456100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IFERROR(VLOOKUP(B170,input_456100!L:R,7,FALSE),VLOOKUP(tables_456100!C170,input_456100!A:H,8,FALSE))</f>
        <v>4185</v>
      </c>
      <c r="P170" s="46">
        <f t="shared" ca="1" si="7"/>
        <v>4.0909090908998961E-5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input_456100!A$2</f>
        <v>456100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IFERROR(VLOOKUP(B171,input_456100!L:R,7,FALSE),VLOOKUP(tables_456100!C171,input_456100!A:H,8,FALSE))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input_456100!A$2</f>
        <v>456100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IFERROR(VLOOKUP(B172,input_456100!L:R,7,FALSE),VLOOKUP(tables_456100!C172,input_456100!A:H,8,FALSE))</f>
        <v>951219.23077000002</v>
      </c>
      <c r="P172" s="46">
        <f t="shared" ca="1" si="7"/>
        <v>9.2983307015431279E-3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input_456100!A$2</f>
        <v>456100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IFERROR(VLOOKUP(B173,input_456100!L:R,7,FALSE),VLOOKUP(tables_456100!C173,input_456100!A:H,8,FALSE))</f>
        <v>6456.09375</v>
      </c>
      <c r="P173" s="46">
        <f t="shared" ca="1" si="7"/>
        <v>6.3109420820972519E-5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input_456100!A$2</f>
        <v>456100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IFERROR(VLOOKUP(B174,input_456100!L:R,7,FALSE),VLOOKUP(tables_456100!C174,input_456100!A:H,8,FALSE))</f>
        <v>73868.571429999996</v>
      </c>
      <c r="P174" s="46">
        <f t="shared" ca="1" si="7"/>
        <v>7.2207792209026352E-4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input_456100!A$2</f>
        <v>456100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IFERROR(VLOOKUP(B175,input_456100!L:R,7,FALSE),VLOOKUP(tables_456100!C175,input_456100!A:H,8,FALSE))</f>
        <v>4185</v>
      </c>
      <c r="P175" s="46">
        <f t="shared" ca="1" si="7"/>
        <v>4.0909090908998961E-5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input_456100!A$2</f>
        <v>456100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IFERROR(VLOOKUP(B176,input_456100!L:R,7,FALSE),VLOOKUP(tables_456100!C176,input_456100!A:H,8,FALSE))</f>
        <v>73868.571429999996</v>
      </c>
      <c r="P176" s="46">
        <f t="shared" ca="1" si="7"/>
        <v>7.2207792209026352E-4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input_456100!A$2</f>
        <v>456100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IFERROR(VLOOKUP(B177,input_456100!L:R,7,FALSE),VLOOKUP(tables_456100!C177,input_456100!A:H,8,FALSE))</f>
        <v>4185</v>
      </c>
      <c r="P177" s="46">
        <f t="shared" ca="1" si="7"/>
        <v>4.0909090908998961E-5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input_456100!A$2</f>
        <v>456100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IFERROR(VLOOKUP(B178,input_456100!L:R,7,FALSE),VLOOKUP(tables_456100!C178,input_456100!A:H,8,FALSE))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input_456100!A$2</f>
        <v>456100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IFERROR(VLOOKUP(B179,input_456100!L:R,7,FALSE),VLOOKUP(tables_456100!C179,input_456100!A:H,8,FALSE))</f>
        <v>951219.23077000002</v>
      </c>
      <c r="P179" s="46">
        <f t="shared" ca="1" si="7"/>
        <v>9.2983307015431279E-3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input_456100!A$2</f>
        <v>456100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IFERROR(VLOOKUP(B180,input_456100!L:R,7,FALSE),VLOOKUP(tables_456100!C180,input_456100!A:H,8,FALSE))</f>
        <v>6456.09375</v>
      </c>
      <c r="P180" s="46">
        <f t="shared" ca="1" si="7"/>
        <v>6.3109420820972519E-5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input_456100!A$2</f>
        <v>456100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IFERROR(VLOOKUP(B181,input_456100!L:R,7,FALSE),VLOOKUP(tables_456100!C181,input_456100!A:H,8,FALSE))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input_456100!A$2</f>
        <v>456100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IFERROR(VLOOKUP(B182,input_456100!L:R,7,FALSE),VLOOKUP(tables_456100!C182,input_456100!A:H,8,FALSE))</f>
        <v>951219.23077000002</v>
      </c>
      <c r="P182" s="46">
        <f t="shared" ca="1" si="7"/>
        <v>9.2983307015431279E-3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input_456100!A$2</f>
        <v>456100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IFERROR(VLOOKUP(B183,input_456100!L:R,7,FALSE),VLOOKUP(tables_456100!C183,input_456100!A:H,8,FALSE))</f>
        <v>6456.09375</v>
      </c>
      <c r="P183" s="46">
        <f t="shared" ca="1" si="7"/>
        <v>6.3109420820972519E-5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input_456100!A$2</f>
        <v>456100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IFERROR(VLOOKUP(B184,input_456100!L:R,7,FALSE),VLOOKUP(tables_456100!C184,input_456100!A:H,8,FALSE))</f>
        <v>73868.571429999996</v>
      </c>
      <c r="P184" s="46">
        <f t="shared" ca="1" si="7"/>
        <v>7.2207792209026352E-4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input_456100!A$2</f>
        <v>456100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IFERROR(VLOOKUP(B185,input_456100!L:R,7,FALSE),VLOOKUP(tables_456100!C185,input_456100!A:H,8,FALSE))</f>
        <v>4185</v>
      </c>
      <c r="P185" s="46">
        <f t="shared" ca="1" si="7"/>
        <v>4.0909090908998961E-5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input_456100!A$2</f>
        <v>456100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IFERROR(VLOOKUP(B186,input_456100!L:R,7,FALSE),VLOOKUP(tables_456100!C186,input_456100!A:H,8,FALSE))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input_456100!A$2</f>
        <v>456100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IFERROR(VLOOKUP(B187,input_456100!L:R,7,FALSE),VLOOKUP(tables_456100!C187,input_456100!A:H,8,FALSE))</f>
        <v>951219.23077000002</v>
      </c>
      <c r="P187" s="46">
        <f t="shared" ca="1" si="7"/>
        <v>9.2983307015431279E-3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input_456100!A$2</f>
        <v>456100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IFERROR(VLOOKUP(B188,input_456100!L:R,7,FALSE),VLOOKUP(tables_456100!C188,input_456100!A:H,8,FALSE))</f>
        <v>6456.09375</v>
      </c>
      <c r="P188" s="46">
        <f t="shared" ca="1" si="7"/>
        <v>6.3109420820972519E-5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input_456100!A$2</f>
        <v>456100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IFERROR(VLOOKUP(B189,input_456100!L:R,7,FALSE),VLOOKUP(tables_456100!C189,input_456100!A:H,8,FALSE))</f>
        <v>73868.571429999996</v>
      </c>
      <c r="P189" s="46">
        <f t="shared" ca="1" si="7"/>
        <v>7.2207792209026352E-4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input_456100!A$2</f>
        <v>456100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IFERROR(VLOOKUP(B190,input_456100!L:R,7,FALSE),VLOOKUP(tables_456100!C190,input_456100!A:H,8,FALSE))</f>
        <v>4185</v>
      </c>
      <c r="P190" s="46">
        <f t="shared" ca="1" si="7"/>
        <v>4.0909090908998961E-5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input_456100!A$2</f>
        <v>456100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IFERROR(VLOOKUP(B191,input_456100!L:R,7,FALSE),VLOOKUP(tables_456100!C191,input_456100!A:H,8,FALSE))</f>
        <v>73868.571429999996</v>
      </c>
      <c r="P191" s="46">
        <f t="shared" ca="1" si="7"/>
        <v>7.2207792209026352E-4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input_456100!A$2</f>
        <v>456100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IFERROR(VLOOKUP(B192,input_456100!L:R,7,FALSE),VLOOKUP(tables_456100!C192,input_456100!A:H,8,FALSE))</f>
        <v>4185</v>
      </c>
      <c r="P192" s="46">
        <f t="shared" ca="1" si="7"/>
        <v>4.0909090908998961E-5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input_456100!A$2</f>
        <v>456100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IFERROR(VLOOKUP(B193,input_456100!L:R,7,FALSE),VLOOKUP(tables_456100!C193,input_456100!A:H,8,FALSE))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input_456100!A$2</f>
        <v>456100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IFERROR(VLOOKUP(B194,input_456100!L:R,7,FALSE),VLOOKUP(tables_456100!C194,input_456100!A:H,8,FALSE))</f>
        <v>951219.23077000002</v>
      </c>
      <c r="P194" s="46">
        <f t="shared" ref="P194:P257" ca="1" si="10">O194/SUM(O:O)</f>
        <v>9.2983307015431279E-3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input_456100!A$2</f>
        <v>456100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IFERROR(VLOOKUP(B195,input_456100!L:R,7,FALSE),VLOOKUP(tables_456100!C195,input_456100!A:H,8,FALSE))</f>
        <v>6456.09375</v>
      </c>
      <c r="P195" s="46">
        <f t="shared" ca="1" si="10"/>
        <v>6.3109420820972519E-5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input_456100!A$2</f>
        <v>456100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IFERROR(VLOOKUP(B196,input_456100!L:R,7,FALSE),VLOOKUP(tables_456100!C196,input_456100!A:H,8,FALSE))</f>
        <v>73868.571429999996</v>
      </c>
      <c r="P196" s="46">
        <f t="shared" ca="1" si="10"/>
        <v>7.2207792209026352E-4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input_456100!A$2</f>
        <v>456100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IFERROR(VLOOKUP(B197,input_456100!L:R,7,FALSE),VLOOKUP(tables_456100!C197,input_456100!A:H,8,FALSE))</f>
        <v>4185</v>
      </c>
      <c r="P197" s="46">
        <f t="shared" ca="1" si="10"/>
        <v>4.0909090908998961E-5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input_456100!A$2</f>
        <v>456100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IFERROR(VLOOKUP(B198,input_456100!L:R,7,FALSE),VLOOKUP(tables_456100!C198,input_456100!A:H,8,FALSE))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input_456100!A$2</f>
        <v>456100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IFERROR(VLOOKUP(B199,input_456100!L:R,7,FALSE),VLOOKUP(tables_456100!C199,input_456100!A:H,8,FALSE))</f>
        <v>951219.23077000002</v>
      </c>
      <c r="P199" s="46">
        <f t="shared" ca="1" si="10"/>
        <v>9.2983307015431279E-3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input_456100!A$2</f>
        <v>456100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IFERROR(VLOOKUP(B200,input_456100!L:R,7,FALSE),VLOOKUP(tables_456100!C200,input_456100!A:H,8,FALSE))</f>
        <v>6456.09375</v>
      </c>
      <c r="P200" s="46">
        <f t="shared" ca="1" si="10"/>
        <v>6.3109420820972519E-5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input_456100!A$2</f>
        <v>456100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IFERROR(VLOOKUP(B201,input_456100!L:R,7,FALSE),VLOOKUP(tables_456100!C201,input_456100!A:H,8,FALSE))</f>
        <v>73868.571429999996</v>
      </c>
      <c r="P201" s="46">
        <f t="shared" ca="1" si="10"/>
        <v>7.2207792209026352E-4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input_456100!A$2</f>
        <v>456100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IFERROR(VLOOKUP(B202,input_456100!L:R,7,FALSE),VLOOKUP(tables_456100!C202,input_456100!A:H,8,FALSE))</f>
        <v>4185</v>
      </c>
      <c r="P202" s="46">
        <f t="shared" ca="1" si="10"/>
        <v>4.0909090908998961E-5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input_456100!A$2</f>
        <v>456100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IFERROR(VLOOKUP(B203,input_456100!L:R,7,FALSE),VLOOKUP(tables_456100!C203,input_456100!A:H,8,FALSE))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input_456100!A$2</f>
        <v>456100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IFERROR(VLOOKUP(B204,input_456100!L:R,7,FALSE),VLOOKUP(tables_456100!C204,input_456100!A:H,8,FALSE))</f>
        <v>951219.23077000002</v>
      </c>
      <c r="P204" s="46">
        <f t="shared" ca="1" si="10"/>
        <v>9.2983307015431279E-3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input_456100!A$2</f>
        <v>456100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IFERROR(VLOOKUP(B205,input_456100!L:R,7,FALSE),VLOOKUP(tables_456100!C205,input_456100!A:H,8,FALSE))</f>
        <v>6456.09375</v>
      </c>
      <c r="P205" s="46">
        <f t="shared" ca="1" si="10"/>
        <v>6.3109420820972519E-5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input_456100!A$2</f>
        <v>456100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IFERROR(VLOOKUP(B206,input_456100!L:R,7,FALSE),VLOOKUP(tables_456100!C206,input_456100!A:H,8,FALSE))</f>
        <v>73868.571429999996</v>
      </c>
      <c r="P206" s="46">
        <f t="shared" ca="1" si="10"/>
        <v>7.2207792209026352E-4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input_456100!A$2</f>
        <v>456100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IFERROR(VLOOKUP(B207,input_456100!L:R,7,FALSE),VLOOKUP(tables_456100!C207,input_456100!A:H,8,FALSE))</f>
        <v>4185</v>
      </c>
      <c r="P207" s="46">
        <f t="shared" ca="1" si="10"/>
        <v>4.0909090908998961E-5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input_456100!A$2</f>
        <v>456100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IFERROR(VLOOKUP(B208,input_456100!L:R,7,FALSE),VLOOKUP(tables_456100!C208,input_456100!A:H,8,FALSE))</f>
        <v>73868.571429999996</v>
      </c>
      <c r="P208" s="46">
        <f t="shared" ca="1" si="10"/>
        <v>7.2207792209026352E-4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input_456100!A$2</f>
        <v>456100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IFERROR(VLOOKUP(B209,input_456100!L:R,7,FALSE),VLOOKUP(tables_456100!C209,input_456100!A:H,8,FALSE))</f>
        <v>4185</v>
      </c>
      <c r="P209" s="46">
        <f t="shared" ca="1" si="10"/>
        <v>4.0909090908998961E-5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input_456100!A$2</f>
        <v>456100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IFERROR(VLOOKUP(B210,input_456100!L:R,7,FALSE),VLOOKUP(tables_456100!C210,input_456100!A:H,8,FALSE))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input_456100!A$2</f>
        <v>456100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IFERROR(VLOOKUP(B211,input_456100!L:R,7,FALSE),VLOOKUP(tables_456100!C211,input_456100!A:H,8,FALSE))</f>
        <v>951219.23077000002</v>
      </c>
      <c r="P211" s="46">
        <f t="shared" ca="1" si="10"/>
        <v>9.2983307015431279E-3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input_456100!A$2</f>
        <v>456100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IFERROR(VLOOKUP(B212,input_456100!L:R,7,FALSE),VLOOKUP(tables_456100!C212,input_456100!A:H,8,FALSE))</f>
        <v>6456.09375</v>
      </c>
      <c r="P212" s="46">
        <f t="shared" ca="1" si="10"/>
        <v>6.3109420820972519E-5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input_456100!A$2</f>
        <v>456100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IFERROR(VLOOKUP(B213,input_456100!L:R,7,FALSE),VLOOKUP(tables_456100!C213,input_456100!A:H,8,FALSE))</f>
        <v>73868.571429999996</v>
      </c>
      <c r="P213" s="46">
        <f t="shared" ca="1" si="10"/>
        <v>7.2207792209026352E-4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input_456100!A$2</f>
        <v>456100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IFERROR(VLOOKUP(B214,input_456100!L:R,7,FALSE),VLOOKUP(tables_456100!C214,input_456100!A:H,8,FALSE))</f>
        <v>4185</v>
      </c>
      <c r="P214" s="46">
        <f t="shared" ca="1" si="10"/>
        <v>4.0909090908998961E-5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input_456100!A$2</f>
        <v>456100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IFERROR(VLOOKUP(B215,input_456100!L:R,7,FALSE),VLOOKUP(tables_456100!C215,input_456100!A:H,8,FALSE))</f>
        <v>51975</v>
      </c>
      <c r="P215" s="46">
        <f t="shared" ca="1" si="10"/>
        <v>5.0806451612789023E-4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input_456100!A$2</f>
        <v>456100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IFERROR(VLOOKUP(B216,input_456100!L:R,7,FALSE),VLOOKUP(tables_456100!C216,input_456100!A:H,8,FALSE))</f>
        <v>51975</v>
      </c>
      <c r="P216" s="46">
        <f t="shared" ca="1" si="10"/>
        <v>5.0806451612789023E-4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input_456100!A$2</f>
        <v>456100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IFERROR(VLOOKUP(B217,input_456100!L:R,7,FALSE),VLOOKUP(tables_456100!C217,input_456100!A:H,8,FALSE))</f>
        <v>51975</v>
      </c>
      <c r="P217" s="46">
        <f t="shared" ca="1" si="10"/>
        <v>5.0806451612789023E-4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input_456100!A$2</f>
        <v>456100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IFERROR(VLOOKUP(B218,input_456100!L:R,7,FALSE),VLOOKUP(tables_456100!C218,input_456100!A:H,8,FALSE))</f>
        <v>51975</v>
      </c>
      <c r="P218" s="46">
        <f t="shared" ca="1" si="10"/>
        <v>5.0806451612789023E-4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input_456100!A$2</f>
        <v>456100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IFERROR(VLOOKUP(B219,input_456100!L:R,7,FALSE),VLOOKUP(tables_456100!C219,input_456100!A:H,8,FALSE))</f>
        <v>51975</v>
      </c>
      <c r="P219" s="46">
        <f t="shared" ca="1" si="10"/>
        <v>5.0806451612789023E-4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input_456100!A$2</f>
        <v>456100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IFERROR(VLOOKUP(B220,input_456100!L:R,7,FALSE),VLOOKUP(tables_456100!C220,input_456100!A:H,8,FALSE))</f>
        <v>51975</v>
      </c>
      <c r="P220" s="46">
        <f t="shared" ca="1" si="10"/>
        <v>5.0806451612789023E-4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input_456100!A$2</f>
        <v>456100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IFERROR(VLOOKUP(B221,input_456100!L:R,7,FALSE),VLOOKUP(tables_456100!C221,input_456100!A:H,8,FALSE))</f>
        <v>73868.571429999996</v>
      </c>
      <c r="P221" s="46">
        <f t="shared" ca="1" si="10"/>
        <v>7.2207792209026352E-4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input_456100!A$2</f>
        <v>456100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IFERROR(VLOOKUP(B222,input_456100!L:R,7,FALSE),VLOOKUP(tables_456100!C222,input_456100!A:H,8,FALSE))</f>
        <v>4185</v>
      </c>
      <c r="P222" s="46">
        <f t="shared" ca="1" si="10"/>
        <v>4.0909090908998961E-5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input_456100!A$2</f>
        <v>456100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IFERROR(VLOOKUP(B223,input_456100!L:R,7,FALSE),VLOOKUP(tables_456100!C223,input_456100!A:H,8,FALSE))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input_456100!A$2</f>
        <v>456100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IFERROR(VLOOKUP(B224,input_456100!L:R,7,FALSE),VLOOKUP(tables_456100!C224,input_456100!A:H,8,FALSE))</f>
        <v>951219.23077000002</v>
      </c>
      <c r="P224" s="46">
        <f t="shared" ca="1" si="10"/>
        <v>9.2983307015431279E-3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input_456100!A$2</f>
        <v>456100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IFERROR(VLOOKUP(B225,input_456100!L:R,7,FALSE),VLOOKUP(tables_456100!C225,input_456100!A:H,8,FALSE))</f>
        <v>6456.09375</v>
      </c>
      <c r="P225" s="46">
        <f t="shared" ca="1" si="10"/>
        <v>6.3109420820972519E-5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input_456100!A$2</f>
        <v>456100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IFERROR(VLOOKUP(B226,input_456100!L:R,7,FALSE),VLOOKUP(tables_456100!C226,input_456100!A:H,8,FALSE))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input_456100!A$2</f>
        <v>456100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IFERROR(VLOOKUP(B227,input_456100!L:R,7,FALSE),VLOOKUP(tables_456100!C227,input_456100!A:H,8,FALSE))</f>
        <v>951219.23077000002</v>
      </c>
      <c r="P227" s="46">
        <f t="shared" ca="1" si="10"/>
        <v>9.2983307015431279E-3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input_456100!A$2</f>
        <v>456100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IFERROR(VLOOKUP(B228,input_456100!L:R,7,FALSE),VLOOKUP(tables_456100!C228,input_456100!A:H,8,FALSE))</f>
        <v>6456.09375</v>
      </c>
      <c r="P228" s="46">
        <f t="shared" ca="1" si="10"/>
        <v>6.3109420820972519E-5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input_456100!A$2</f>
        <v>456100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IFERROR(VLOOKUP(B229,input_456100!L:R,7,FALSE),VLOOKUP(tables_456100!C229,input_456100!A:H,8,FALSE))</f>
        <v>73868.571429999996</v>
      </c>
      <c r="P229" s="46">
        <f t="shared" ca="1" si="10"/>
        <v>7.2207792209026352E-4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input_456100!A$2</f>
        <v>456100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IFERROR(VLOOKUP(B230,input_456100!L:R,7,FALSE),VLOOKUP(tables_456100!C230,input_456100!A:H,8,FALSE))</f>
        <v>4185</v>
      </c>
      <c r="P230" s="46">
        <f t="shared" ca="1" si="10"/>
        <v>4.0909090908998961E-5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input_456100!A$2</f>
        <v>456100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IFERROR(VLOOKUP(B231,input_456100!L:R,7,FALSE),VLOOKUP(tables_456100!C231,input_456100!A:H,8,FALSE))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input_456100!A$2</f>
        <v>456100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IFERROR(VLOOKUP(B232,input_456100!L:R,7,FALSE),VLOOKUP(tables_456100!C232,input_456100!A:H,8,FALSE))</f>
        <v>951219.23077000002</v>
      </c>
      <c r="P232" s="46">
        <f t="shared" ca="1" si="10"/>
        <v>9.2983307015431279E-3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input_456100!A$2</f>
        <v>456100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IFERROR(VLOOKUP(B233,input_456100!L:R,7,FALSE),VLOOKUP(tables_456100!C233,input_456100!A:H,8,FALSE))</f>
        <v>6456.09375</v>
      </c>
      <c r="P233" s="46">
        <f t="shared" ca="1" si="10"/>
        <v>6.3109420820972519E-5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input_456100!A$2</f>
        <v>456100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IFERROR(VLOOKUP(B234,input_456100!L:R,7,FALSE),VLOOKUP(tables_456100!C234,input_456100!A:H,8,FALSE))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input_456100!A$2</f>
        <v>456100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IFERROR(VLOOKUP(B235,input_456100!L:R,7,FALSE),VLOOKUP(tables_456100!C235,input_456100!A:H,8,FALSE))</f>
        <v>951219.23077000002</v>
      </c>
      <c r="P235" s="46">
        <f t="shared" ca="1" si="10"/>
        <v>9.2983307015431279E-3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input_456100!A$2</f>
        <v>456100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IFERROR(VLOOKUP(B236,input_456100!L:R,7,FALSE),VLOOKUP(tables_456100!C236,input_456100!A:H,8,FALSE))</f>
        <v>6456.09375</v>
      </c>
      <c r="P236" s="46">
        <f t="shared" ca="1" si="10"/>
        <v>6.3109420820972519E-5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input_456100!A$2</f>
        <v>456100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IFERROR(VLOOKUP(B237,input_456100!L:R,7,FALSE),VLOOKUP(tables_456100!C237,input_456100!A:H,8,FALSE))</f>
        <v>73868.571429999996</v>
      </c>
      <c r="P237" s="46">
        <f t="shared" ca="1" si="10"/>
        <v>7.2207792209026352E-4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input_456100!A$2</f>
        <v>456100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IFERROR(VLOOKUP(B238,input_456100!L:R,7,FALSE),VLOOKUP(tables_456100!C238,input_456100!A:H,8,FALSE))</f>
        <v>4185</v>
      </c>
      <c r="P238" s="46">
        <f t="shared" ca="1" si="10"/>
        <v>4.0909090908998961E-5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input_456100!A$2</f>
        <v>456100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IFERROR(VLOOKUP(B239,input_456100!L:R,7,FALSE),VLOOKUP(tables_456100!C239,input_456100!A:H,8,FALSE))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input_456100!A$2</f>
        <v>456100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IFERROR(VLOOKUP(B240,input_456100!L:R,7,FALSE),VLOOKUP(tables_456100!C240,input_456100!A:H,8,FALSE))</f>
        <v>951219.23077000002</v>
      </c>
      <c r="P240" s="46">
        <f t="shared" ca="1" si="10"/>
        <v>9.2983307015431279E-3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input_456100!A$2</f>
        <v>456100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IFERROR(VLOOKUP(B241,input_456100!L:R,7,FALSE),VLOOKUP(tables_456100!C241,input_456100!A:H,8,FALSE))</f>
        <v>6456.09375</v>
      </c>
      <c r="P241" s="46">
        <f t="shared" ca="1" si="10"/>
        <v>6.3109420820972519E-5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input_456100!A$2</f>
        <v>456100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IFERROR(VLOOKUP(B242,input_456100!L:R,7,FALSE),VLOOKUP(tables_456100!C242,input_456100!A:H,8,FALSE))</f>
        <v>73868.571429999996</v>
      </c>
      <c r="P242" s="46">
        <f t="shared" ca="1" si="10"/>
        <v>7.2207792209026352E-4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input_456100!A$2</f>
        <v>456100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IFERROR(VLOOKUP(B243,input_456100!L:R,7,FALSE),VLOOKUP(tables_456100!C243,input_456100!A:H,8,FALSE))</f>
        <v>4185</v>
      </c>
      <c r="P243" s="46">
        <f t="shared" ca="1" si="10"/>
        <v>4.0909090908998961E-5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input_456100!A$2</f>
        <v>456100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IFERROR(VLOOKUP(B244,input_456100!L:R,7,FALSE),VLOOKUP(tables_456100!C244,input_456100!A:H,8,FALSE))</f>
        <v>73868.571429999996</v>
      </c>
      <c r="P244" s="46">
        <f t="shared" ca="1" si="10"/>
        <v>7.2207792209026352E-4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input_456100!A$2</f>
        <v>456100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IFERROR(VLOOKUP(B245,input_456100!L:R,7,FALSE),VLOOKUP(tables_456100!C245,input_456100!A:H,8,FALSE))</f>
        <v>4185</v>
      </c>
      <c r="P245" s="46">
        <f t="shared" ca="1" si="10"/>
        <v>4.0909090908998961E-5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input_456100!A$2</f>
        <v>456100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IFERROR(VLOOKUP(B246,input_456100!L:R,7,FALSE),VLOOKUP(tables_456100!C246,input_456100!A:H,8,FALSE))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input_456100!A$2</f>
        <v>456100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IFERROR(VLOOKUP(B247,input_456100!L:R,7,FALSE),VLOOKUP(tables_456100!C247,input_456100!A:H,8,FALSE))</f>
        <v>951219.23077000002</v>
      </c>
      <c r="P247" s="46">
        <f t="shared" ca="1" si="10"/>
        <v>9.2983307015431279E-3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input_456100!A$2</f>
        <v>456100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IFERROR(VLOOKUP(B248,input_456100!L:R,7,FALSE),VLOOKUP(tables_456100!C248,input_456100!A:H,8,FALSE))</f>
        <v>6456.09375</v>
      </c>
      <c r="P248" s="46">
        <f t="shared" ca="1" si="10"/>
        <v>6.3109420820972519E-5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input_456100!A$2</f>
        <v>456100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IFERROR(VLOOKUP(B249,input_456100!L:R,7,FALSE),VLOOKUP(tables_456100!C249,input_456100!A:H,8,FALSE))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input_456100!A$2</f>
        <v>456100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IFERROR(VLOOKUP(B250,input_456100!L:R,7,FALSE),VLOOKUP(tables_456100!C250,input_456100!A:H,8,FALSE))</f>
        <v>951219.23077000002</v>
      </c>
      <c r="P250" s="46">
        <f t="shared" ca="1" si="10"/>
        <v>9.2983307015431279E-3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input_456100!A$2</f>
        <v>456100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IFERROR(VLOOKUP(B251,input_456100!L:R,7,FALSE),VLOOKUP(tables_456100!C251,input_456100!A:H,8,FALSE))</f>
        <v>6456.09375</v>
      </c>
      <c r="P251" s="46">
        <f t="shared" ca="1" si="10"/>
        <v>6.3109420820972519E-5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input_456100!A$2</f>
        <v>456100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IFERROR(VLOOKUP(B252,input_456100!L:R,7,FALSE),VLOOKUP(tables_456100!C252,input_456100!A:H,8,FALSE))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input_456100!A$2</f>
        <v>456100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IFERROR(VLOOKUP(B253,input_456100!L:R,7,FALSE),VLOOKUP(tables_456100!C253,input_456100!A:H,8,FALSE))</f>
        <v>951219.23077000002</v>
      </c>
      <c r="P253" s="46">
        <f t="shared" ca="1" si="10"/>
        <v>9.2983307015431279E-3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input_456100!A$2</f>
        <v>456100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IFERROR(VLOOKUP(B254,input_456100!L:R,7,FALSE),VLOOKUP(tables_456100!C254,input_456100!A:H,8,FALSE))</f>
        <v>6456.09375</v>
      </c>
      <c r="P254" s="46">
        <f t="shared" ca="1" si="10"/>
        <v>6.3109420820972519E-5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input_456100!A$2</f>
        <v>456100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IFERROR(VLOOKUP(B255,input_456100!L:R,7,FALSE),VLOOKUP(tables_456100!C255,input_456100!A:H,8,FALSE))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input_456100!A$2</f>
        <v>456100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IFERROR(VLOOKUP(B256,input_456100!L:R,7,FALSE),VLOOKUP(tables_456100!C256,input_456100!A:H,8,FALSE))</f>
        <v>951219.23077000002</v>
      </c>
      <c r="P256" s="46">
        <f t="shared" ca="1" si="10"/>
        <v>9.2983307015431279E-3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input_456100!A$2</f>
        <v>456100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IFERROR(VLOOKUP(B257,input_456100!L:R,7,FALSE),VLOOKUP(tables_456100!C257,input_456100!A:H,8,FALSE))</f>
        <v>6456.09375</v>
      </c>
      <c r="P257" s="46">
        <f t="shared" ca="1" si="10"/>
        <v>6.3109420820972519E-5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input_456100!A$2</f>
        <v>456100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IFERROR(VLOOKUP(B258,input_456100!L:R,7,FALSE),VLOOKUP(tables_456100!C258,input_456100!A:H,8,FALSE))</f>
        <v>73868.571429999996</v>
      </c>
      <c r="P258" s="46">
        <f t="shared" ref="P258:P294" ca="1" si="13">O258/SUM(O:O)</f>
        <v>7.2207792209026352E-4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input_456100!A$2</f>
        <v>456100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IFERROR(VLOOKUP(B259,input_456100!L:R,7,FALSE),VLOOKUP(tables_456100!C259,input_456100!A:H,8,FALSE))</f>
        <v>4185</v>
      </c>
      <c r="P259" s="46">
        <f t="shared" ca="1" si="13"/>
        <v>4.0909090908998961E-5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input_456100!A$2</f>
        <v>456100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IFERROR(VLOOKUP(B260,input_456100!L:R,7,FALSE),VLOOKUP(tables_456100!C260,input_456100!A:H,8,FALSE))</f>
        <v>73868.571429999996</v>
      </c>
      <c r="P260" s="46">
        <f t="shared" ca="1" si="13"/>
        <v>7.2207792209026352E-4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input_456100!A$2</f>
        <v>456100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IFERROR(VLOOKUP(B261,input_456100!L:R,7,FALSE),VLOOKUP(tables_456100!C261,input_456100!A:H,8,FALSE))</f>
        <v>4185</v>
      </c>
      <c r="P261" s="46">
        <f t="shared" ca="1" si="13"/>
        <v>4.0909090908998961E-5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input_456100!A$2</f>
        <v>456100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IFERROR(VLOOKUP(B262,input_456100!L:R,7,FALSE),VLOOKUP(tables_456100!C262,input_456100!A:H,8,FALSE))</f>
        <v>969180.88234999997</v>
      </c>
      <c r="P262" s="46">
        <f t="shared" ca="1" si="13"/>
        <v>9.4739089183560263E-3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input_456100!A$2</f>
        <v>456100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IFERROR(VLOOKUP(B263,input_456100!L:R,7,FALSE),VLOOKUP(tables_456100!C263,input_456100!A:H,8,FALSE))</f>
        <v>51975</v>
      </c>
      <c r="P263" s="46">
        <f t="shared" ca="1" si="13"/>
        <v>5.0806451612789023E-4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input_456100!A$2</f>
        <v>456100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IFERROR(VLOOKUP(B264,input_456100!L:R,7,FALSE),VLOOKUP(tables_456100!C264,input_456100!A:H,8,FALSE))</f>
        <v>969180.88234999997</v>
      </c>
      <c r="P264" s="46">
        <f t="shared" ca="1" si="13"/>
        <v>9.4739089183560263E-3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input_456100!A$2</f>
        <v>456100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IFERROR(VLOOKUP(B265,input_456100!L:R,7,FALSE),VLOOKUP(tables_456100!C265,input_456100!A:H,8,FALSE))</f>
        <v>51975</v>
      </c>
      <c r="P265" s="46">
        <f t="shared" ca="1" si="13"/>
        <v>5.0806451612789023E-4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input_456100!A$2</f>
        <v>456100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IFERROR(VLOOKUP(B266,input_456100!L:R,7,FALSE),VLOOKUP(tables_456100!C266,input_456100!A:H,8,FALSE))</f>
        <v>83700</v>
      </c>
      <c r="P266" s="46">
        <f t="shared" ca="1" si="13"/>
        <v>8.1818181817997914E-4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input_456100!A$2</f>
        <v>456100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IFERROR(VLOOKUP(B267,input_456100!L:R,7,FALSE),VLOOKUP(tables_456100!C267,input_456100!A:H,8,FALSE))</f>
        <v>83700</v>
      </c>
      <c r="P267" s="46">
        <f t="shared" ca="1" si="13"/>
        <v>8.1818181817997914E-4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input_456100!A$2</f>
        <v>456100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IFERROR(VLOOKUP(B268,input_456100!L:R,7,FALSE),VLOOKUP(tables_456100!C268,input_456100!A:H,8,FALSE))</f>
        <v>83700</v>
      </c>
      <c r="P268" s="46">
        <f t="shared" ca="1" si="13"/>
        <v>8.1818181817997914E-4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input_456100!A$2</f>
        <v>456100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IFERROR(VLOOKUP(B269,input_456100!L:R,7,FALSE),VLOOKUP(tables_456100!C269,input_456100!A:H,8,FALSE))</f>
        <v>83700</v>
      </c>
      <c r="P269" s="46">
        <f t="shared" ca="1" si="13"/>
        <v>8.1818181817997914E-4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input_456100!A$2</f>
        <v>456100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IFERROR(VLOOKUP(B270,input_456100!L:R,7,FALSE),VLOOKUP(tables_456100!C270,input_456100!A:H,8,FALSE))</f>
        <v>969180.88234999997</v>
      </c>
      <c r="P270" s="46">
        <f t="shared" ca="1" si="13"/>
        <v>9.4739089183560263E-3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input_456100!A$2</f>
        <v>456100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IFERROR(VLOOKUP(B271,input_456100!L:R,7,FALSE),VLOOKUP(tables_456100!C271,input_456100!A:H,8,FALSE))</f>
        <v>51975</v>
      </c>
      <c r="P271" s="46">
        <f t="shared" ca="1" si="13"/>
        <v>5.0806451612789023E-4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input_456100!A$2</f>
        <v>456100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IFERROR(VLOOKUP(B272,input_456100!L:R,7,FALSE),VLOOKUP(tables_456100!C272,input_456100!A:H,8,FALSE))</f>
        <v>969180.88234999997</v>
      </c>
      <c r="P272" s="46">
        <f t="shared" ca="1" si="13"/>
        <v>9.4739089183560263E-3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input_456100!A$2</f>
        <v>456100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IFERROR(VLOOKUP(B273,input_456100!L:R,7,FALSE),VLOOKUP(tables_456100!C273,input_456100!A:H,8,FALSE))</f>
        <v>51975</v>
      </c>
      <c r="P273" s="46">
        <f t="shared" ca="1" si="13"/>
        <v>5.0806451612789023E-4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input_456100!A$2</f>
        <v>456100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IFERROR(VLOOKUP(B274,input_456100!L:R,7,FALSE),VLOOKUP(tables_456100!C274,input_456100!A:H,8,FALSE))</f>
        <v>73868.571429999996</v>
      </c>
      <c r="P274" s="46">
        <f t="shared" ca="1" si="13"/>
        <v>7.2207792209026352E-4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input_456100!A$2</f>
        <v>456100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IFERROR(VLOOKUP(B275,input_456100!L:R,7,FALSE),VLOOKUP(tables_456100!C275,input_456100!A:H,8,FALSE))</f>
        <v>4185</v>
      </c>
      <c r="P275" s="46">
        <f t="shared" ca="1" si="13"/>
        <v>4.0909090908998961E-5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input_456100!A$2</f>
        <v>456100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IFERROR(VLOOKUP(B276,input_456100!L:R,7,FALSE),VLOOKUP(tables_456100!C276,input_456100!A:H,8,FALSE))</f>
        <v>73868.571429999996</v>
      </c>
      <c r="P276" s="46">
        <f t="shared" ca="1" si="13"/>
        <v>7.2207792209026352E-4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input_456100!A$2</f>
        <v>456100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IFERROR(VLOOKUP(B277,input_456100!L:R,7,FALSE),VLOOKUP(tables_456100!C277,input_456100!A:H,8,FALSE))</f>
        <v>4185</v>
      </c>
      <c r="P277" s="46">
        <f t="shared" ca="1" si="13"/>
        <v>4.0909090908998961E-5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input_456100!A$2</f>
        <v>456100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IFERROR(VLOOKUP(B278,input_456100!L:R,7,FALSE),VLOOKUP(tables_456100!C278,input_456100!A:H,8,FALSE))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input_456100!A$2</f>
        <v>456100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IFERROR(VLOOKUP(B279,input_456100!L:R,7,FALSE),VLOOKUP(tables_456100!C279,input_456100!A:H,8,FALSE))</f>
        <v>951219.23077000002</v>
      </c>
      <c r="P279" s="46">
        <f t="shared" ca="1" si="13"/>
        <v>9.2983307015431279E-3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input_456100!A$2</f>
        <v>456100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IFERROR(VLOOKUP(B280,input_456100!L:R,7,FALSE),VLOOKUP(tables_456100!C280,input_456100!A:H,8,FALSE))</f>
        <v>6456.09375</v>
      </c>
      <c r="P280" s="46">
        <f t="shared" ca="1" si="13"/>
        <v>6.3109420820972519E-5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input_456100!A$2</f>
        <v>456100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IFERROR(VLOOKUP(B281,input_456100!L:R,7,FALSE),VLOOKUP(tables_456100!C281,input_456100!A:H,8,FALSE))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input_456100!A$2</f>
        <v>456100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IFERROR(VLOOKUP(B282,input_456100!L:R,7,FALSE),VLOOKUP(tables_456100!C282,input_456100!A:H,8,FALSE))</f>
        <v>951219.23077000002</v>
      </c>
      <c r="P282" s="46">
        <f t="shared" ca="1" si="13"/>
        <v>9.2983307015431279E-3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input_456100!A$2</f>
        <v>456100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IFERROR(VLOOKUP(B283,input_456100!L:R,7,FALSE),VLOOKUP(tables_456100!C283,input_456100!A:H,8,FALSE))</f>
        <v>6456.09375</v>
      </c>
      <c r="P283" s="46">
        <f t="shared" ca="1" si="13"/>
        <v>6.3109420820972519E-5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input_456100!A$2</f>
        <v>456100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IFERROR(VLOOKUP(B284,input_456100!L:R,7,FALSE),VLOOKUP(tables_456100!C284,input_456100!A:H,8,FALSE))</f>
        <v>83700</v>
      </c>
      <c r="P284" s="46">
        <f t="shared" ca="1" si="13"/>
        <v>8.1818181817997914E-4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input_456100!A$2</f>
        <v>456100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IFERROR(VLOOKUP(B285,input_456100!L:R,7,FALSE),VLOOKUP(tables_456100!C285,input_456100!A:H,8,FALSE))</f>
        <v>83700</v>
      </c>
      <c r="P285" s="46">
        <f t="shared" ca="1" si="13"/>
        <v>8.1818181817997914E-4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input_456100!A$2</f>
        <v>456100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IFERROR(VLOOKUP(B286,input_456100!L:R,7,FALSE),VLOOKUP(tables_456100!C286,input_456100!A:H,8,FALSE))</f>
        <v>969180.88234999997</v>
      </c>
      <c r="P286" s="46">
        <f t="shared" ca="1" si="13"/>
        <v>9.4739089183560263E-3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input_456100!A$2</f>
        <v>456100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IFERROR(VLOOKUP(B287,input_456100!L:R,7,FALSE),VLOOKUP(tables_456100!C287,input_456100!A:H,8,FALSE))</f>
        <v>51975</v>
      </c>
      <c r="P287" s="46">
        <f t="shared" ca="1" si="13"/>
        <v>5.0806451612789023E-4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input_456100!A$2</f>
        <v>456100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IFERROR(VLOOKUP(B288,input_456100!L:R,7,FALSE),VLOOKUP(tables_456100!C288,input_456100!A:H,8,FALSE))</f>
        <v>969180.88234999997</v>
      </c>
      <c r="P288" s="46">
        <f t="shared" ca="1" si="13"/>
        <v>9.4739089183560263E-3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input_456100!A$2</f>
        <v>456100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IFERROR(VLOOKUP(B289,input_456100!L:R,7,FALSE),VLOOKUP(tables_456100!C289,input_456100!A:H,8,FALSE))</f>
        <v>51975</v>
      </c>
      <c r="P289" s="46">
        <f t="shared" ca="1" si="13"/>
        <v>5.0806451612789023E-4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input_456100!A$2</f>
        <v>456100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IFERROR(VLOOKUP(B290,input_456100!L:R,7,FALSE),VLOOKUP(tables_456100!C290,input_456100!A:H,8,FALSE))</f>
        <v>969180.88234999997</v>
      </c>
      <c r="P290" s="46">
        <f t="shared" ca="1" si="13"/>
        <v>9.4739089183560263E-3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input_456100!A$2</f>
        <v>456100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IFERROR(VLOOKUP(B291,input_456100!L:R,7,FALSE),VLOOKUP(tables_456100!C291,input_456100!A:H,8,FALSE))</f>
        <v>51975</v>
      </c>
      <c r="P291" s="46">
        <f t="shared" ca="1" si="13"/>
        <v>5.0806451612789023E-4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input_456100!A$2</f>
        <v>456100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IFERROR(VLOOKUP(B292,input_456100!L:R,7,FALSE),VLOOKUP(tables_456100!C292,input_456100!A:H,8,FALSE))</f>
        <v>969180.88234999997</v>
      </c>
      <c r="P292" s="46">
        <f t="shared" ca="1" si="13"/>
        <v>9.4739089183560263E-3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input_456100!A$2</f>
        <v>456100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IFERROR(VLOOKUP(B293,input_456100!L:R,7,FALSE),VLOOKUP(tables_456100!C293,input_456100!A:H,8,FALSE))</f>
        <v>51975</v>
      </c>
      <c r="P293" s="46">
        <f t="shared" ca="1" si="13"/>
        <v>5.0806451612789023E-4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input_456100!A$2</f>
        <v>456100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IFERROR(VLOOKUP(B294,input_456100!L:R,7,FALSE),VLOOKUP(tables_456100!C294,input_456100!A:H,8,FALSE))</f>
        <v>83700</v>
      </c>
      <c r="P294" s="46">
        <f t="shared" ca="1" si="13"/>
        <v>8.1818181817997914E-4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input_456100!A$2</f>
        <v>456100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IFERROR(VLOOKUP(B295,input_456100!L:R,7,FALSE),VLOOKUP(tables_456100!C295,input_456100!A:H,8,FALSE))</f>
        <v>83700</v>
      </c>
      <c r="P295" s="46">
        <f t="shared" ref="P295:P299" ca="1" si="20">O295/SUM(O:O)</f>
        <v>8.1818181817997914E-4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input_456100!A$2</f>
        <v>456100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IFERROR(VLOOKUP(B296,input_456100!L:R,7,FALSE),VLOOKUP(tables_456100!C296,input_456100!A:H,8,FALSE))</f>
        <v>83700</v>
      </c>
      <c r="P296" s="46">
        <f t="shared" ca="1" si="20"/>
        <v>8.1818181817997914E-4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input_456100!A$2</f>
        <v>456100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IFERROR(VLOOKUP(B297,input_456100!L:R,7,FALSE),VLOOKUP(tables_456100!C297,input_456100!A:H,8,FALSE))</f>
        <v>969180.88234999997</v>
      </c>
      <c r="P297" s="46">
        <f t="shared" ca="1" si="20"/>
        <v>9.4739089183560263E-3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input_456100!A$2</f>
        <v>456100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IFERROR(VLOOKUP(B298,input_456100!L:R,7,FALSE),VLOOKUP(tables_456100!C298,input_456100!A:H,8,FALSE))</f>
        <v>51975</v>
      </c>
      <c r="P298" s="46">
        <f t="shared" ca="1" si="20"/>
        <v>5.0806451612789023E-4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input_456100!A$2</f>
        <v>456100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IFERROR(VLOOKUP(B299,input_456100!L:R,7,FALSE),VLOOKUP(tables_456100!C299,input_456100!A:H,8,FALSE))</f>
        <v>83700</v>
      </c>
      <c r="P299" s="46">
        <f t="shared" ca="1" si="20"/>
        <v>8.1818181817997914E-4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input_456100!A$2</f>
        <v>456100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IFERROR(VLOOKUP(B300,input_456100!L:R,7,FALSE),VLOOKUP(tables_456100!C300,input_456100!A:H,8,FALSE))</f>
        <v>83700</v>
      </c>
      <c r="P300" s="46">
        <f t="shared" ref="P300:P304" ca="1" si="22">O300/SUM(O:O)</f>
        <v>8.1818181817997914E-4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input_456100!A$2</f>
        <v>456100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IFERROR(VLOOKUP(B301,input_456100!L:R,7,FALSE),VLOOKUP(tables_456100!C301,input_456100!A:H,8,FALSE))</f>
        <v>83700</v>
      </c>
      <c r="P301" s="46">
        <f t="shared" ca="1" si="22"/>
        <v>8.1818181817997914E-4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input_456100!A$2</f>
        <v>456100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IFERROR(VLOOKUP(B302,input_456100!L:R,7,FALSE),VLOOKUP(tables_456100!C302,input_456100!A:H,8,FALSE))</f>
        <v>83700</v>
      </c>
      <c r="P302" s="46">
        <f t="shared" ca="1" si="22"/>
        <v>8.1818181817997914E-4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input_456100!A$2</f>
        <v>456100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IFERROR(VLOOKUP(B303,input_456100!L:R,7,FALSE),VLOOKUP(tables_456100!C303,input_456100!A:H,8,FALSE))</f>
        <v>969180.88234999997</v>
      </c>
      <c r="P303" s="46">
        <f t="shared" ca="1" si="22"/>
        <v>9.4739089183560263E-3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input_456100!A$2</f>
        <v>456100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IFERROR(VLOOKUP(B304,input_456100!L:R,7,FALSE),VLOOKUP(tables_456100!C304,input_456100!A:H,8,FALSE))</f>
        <v>51975</v>
      </c>
      <c r="P304" s="46">
        <f t="shared" ca="1" si="22"/>
        <v>5.0806451612789023E-4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input_456100!A$2</f>
        <v>456100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IFERROR(VLOOKUP(B305,input_456100!L:R,7,FALSE),VLOOKUP(tables_456100!C305,input_456100!A:H,8,FALSE))</f>
        <v>83700</v>
      </c>
      <c r="P305" s="46">
        <f t="shared" ref="P305:P308" ca="1" si="24">O305/SUM(O:O)</f>
        <v>8.1818181817997914E-4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input_456100!A$2</f>
        <v>456100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IFERROR(VLOOKUP(B306,input_456100!L:R,7,FALSE),VLOOKUP(tables_456100!C306,input_456100!A:H,8,FALSE))</f>
        <v>969180.88234999997</v>
      </c>
      <c r="P306" s="46">
        <f t="shared" ca="1" si="24"/>
        <v>9.4739089183560263E-3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input_456100!A$2</f>
        <v>456100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IFERROR(VLOOKUP(B307,input_456100!L:R,7,FALSE),VLOOKUP(tables_456100!C307,input_456100!A:H,8,FALSE))</f>
        <v>51975</v>
      </c>
      <c r="P307" s="46">
        <f t="shared" ca="1" si="24"/>
        <v>5.0806451612789023E-4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input_456100!A$2</f>
        <v>456100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IFERROR(VLOOKUP(B308,input_456100!L:R,7,FALSE),VLOOKUP(tables_456100!C308,input_456100!A:H,8,FALSE))</f>
        <v>83700</v>
      </c>
      <c r="P308" s="46">
        <f t="shared" ca="1" si="24"/>
        <v>8.1818181817997914E-4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input_456100!A$2</f>
        <v>456100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IFERROR(VLOOKUP(B309,input_456100!L:R,7,FALSE),VLOOKUP(tables_456100!C309,input_456100!A:H,8,FALSE))</f>
        <v>83700</v>
      </c>
      <c r="P309" s="46">
        <f t="shared" ref="P309" ca="1" si="26">O309/SUM(O:O)</f>
        <v>8.1818181817997914E-4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input_456100!A$2</f>
        <v>456100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IFERROR(VLOOKUP(B310,input_456100!L:R,7,FALSE),VLOOKUP(tables_456100!C310,input_456100!A:H,8,FALSE))</f>
        <v>83700</v>
      </c>
      <c r="P310" s="46">
        <f t="shared" ref="P310:P314" ca="1" si="28">O310/SUM(O:O)</f>
        <v>8.1818181817997914E-4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input_456100!A$2</f>
        <v>456100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IFERROR(VLOOKUP(B311,input_456100!L:R,7,FALSE),VLOOKUP(tables_456100!C311,input_456100!A:H,8,FALSE))</f>
        <v>969180.88234999997</v>
      </c>
      <c r="P311" s="46">
        <f t="shared" ca="1" si="28"/>
        <v>9.4739089183560263E-3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input_456100!A$2</f>
        <v>456100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IFERROR(VLOOKUP(B312,input_456100!L:R,7,FALSE),VLOOKUP(tables_456100!C312,input_456100!A:H,8,FALSE))</f>
        <v>51975</v>
      </c>
      <c r="P312" s="46">
        <f t="shared" ca="1" si="28"/>
        <v>5.0806451612789023E-4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input_456100!A$2</f>
        <v>456100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IFERROR(VLOOKUP(B313,input_456100!L:R,7,FALSE),VLOOKUP(tables_456100!C313,input_456100!A:H,8,FALSE))</f>
        <v>83700</v>
      </c>
      <c r="P313" s="46">
        <f t="shared" ca="1" si="28"/>
        <v>8.1818181817997914E-4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input_456100!A$2</f>
        <v>456100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IFERROR(VLOOKUP(B314,input_456100!L:R,7,FALSE),VLOOKUP(tables_456100!C314,input_456100!A:H,8,FALSE))</f>
        <v>83700</v>
      </c>
      <c r="P314" s="46">
        <f t="shared" ca="1" si="28"/>
        <v>8.1818181817997914E-4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input_456100!A$2</f>
        <v>456100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IFERROR(VLOOKUP(B315,input_456100!L:R,7,FALSE),VLOOKUP(tables_456100!C315,input_456100!A:H,8,FALSE))</f>
        <v>83700</v>
      </c>
      <c r="P315" s="46">
        <f t="shared" ref="P315:P319" ca="1" si="30">O315/SUM(O:O)</f>
        <v>8.1818181817997914E-4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input_456100!A$2</f>
        <v>456100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IFERROR(VLOOKUP(B316,input_456100!L:R,7,FALSE),VLOOKUP(tables_456100!C316,input_456100!A:H,8,FALSE))</f>
        <v>83700</v>
      </c>
      <c r="P316" s="46">
        <f t="shared" ca="1" si="30"/>
        <v>8.1818181817997914E-4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input_456100!A$2</f>
        <v>456100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IFERROR(VLOOKUP(B317,input_456100!L:R,7,FALSE),VLOOKUP(tables_456100!C317,input_456100!A:H,8,FALSE))</f>
        <v>83700</v>
      </c>
      <c r="P317" s="46">
        <f t="shared" ca="1" si="30"/>
        <v>8.1818181817997914E-4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input_456100!A$2</f>
        <v>456100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IFERROR(VLOOKUP(B318,input_456100!L:R,7,FALSE),VLOOKUP(tables_456100!C318,input_456100!A:H,8,FALSE))</f>
        <v>969180.88234999997</v>
      </c>
      <c r="P318" s="46">
        <f t="shared" ca="1" si="30"/>
        <v>9.4739089183560263E-3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input_456100!A$2</f>
        <v>456100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IFERROR(VLOOKUP(B319,input_456100!L:R,7,FALSE),VLOOKUP(tables_456100!C319,input_456100!A:H,8,FALSE))</f>
        <v>51975</v>
      </c>
      <c r="P319" s="46">
        <f t="shared" ca="1" si="30"/>
        <v>5.0806451612789023E-4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input_456100!A$2</f>
        <v>456100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IFERROR(VLOOKUP(B320,input_456100!L:R,7,FALSE),VLOOKUP(tables_456100!C320,input_456100!A:H,8,FALSE))</f>
        <v>83700</v>
      </c>
      <c r="P320" s="46">
        <f t="shared" ref="P320:P324" ca="1" si="32">O320/SUM(O:O)</f>
        <v>8.1818181817997914E-4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input_456100!A$2</f>
        <v>456100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IFERROR(VLOOKUP(B321,input_456100!L:R,7,FALSE),VLOOKUP(tables_456100!C321,input_456100!A:H,8,FALSE))</f>
        <v>83700</v>
      </c>
      <c r="P321" s="46">
        <f t="shared" ca="1" si="32"/>
        <v>8.1818181817997914E-4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input_456100!A$2</f>
        <v>456100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IFERROR(VLOOKUP(B322,input_456100!L:R,7,FALSE),VLOOKUP(tables_456100!C322,input_456100!A:H,8,FALSE))</f>
        <v>83700</v>
      </c>
      <c r="P322" s="46">
        <f t="shared" ca="1" si="32"/>
        <v>8.1818181817997914E-4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input_456100!A$2</f>
        <v>456100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IFERROR(VLOOKUP(B323,input_456100!L:R,7,FALSE),VLOOKUP(tables_456100!C323,input_456100!A:H,8,FALSE))</f>
        <v>83700</v>
      </c>
      <c r="P323" s="46">
        <f t="shared" ca="1" si="32"/>
        <v>8.1818181817997914E-4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input_456100!A$2</f>
        <v>456100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IFERROR(VLOOKUP(B324,input_456100!L:R,7,FALSE),VLOOKUP(tables_456100!C324,input_456100!A:H,8,FALSE))</f>
        <v>969180.88234999997</v>
      </c>
      <c r="P324" s="46">
        <f t="shared" ca="1" si="32"/>
        <v>9.4739089183560263E-3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input_456100!A$2</f>
        <v>456100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IFERROR(VLOOKUP(B325,input_456100!L:R,7,FALSE),VLOOKUP(tables_456100!C325,input_456100!A:H,8,FALSE))</f>
        <v>51975</v>
      </c>
      <c r="P325" s="46">
        <f t="shared" ref="P325:P330" ca="1" si="35">O325/SUM(O:O)</f>
        <v>5.0806451612789023E-4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input_456100!A$2</f>
        <v>456100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IFERROR(VLOOKUP(B326,input_456100!L:R,7,FALSE),VLOOKUP(tables_456100!C326,input_456100!A:H,8,FALSE))</f>
        <v>969180.88234999997</v>
      </c>
      <c r="P326" s="46">
        <f t="shared" ca="1" si="35"/>
        <v>9.4739089183560263E-3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input_456100!A$2</f>
        <v>456100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IFERROR(VLOOKUP(B327,input_456100!L:R,7,FALSE),VLOOKUP(tables_456100!C327,input_456100!A:H,8,FALSE))</f>
        <v>51975</v>
      </c>
      <c r="P327" s="46">
        <f t="shared" ca="1" si="35"/>
        <v>5.0806451612789023E-4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input_456100!A$2</f>
        <v>456100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IFERROR(VLOOKUP(B328,input_456100!L:R,7,FALSE),VLOOKUP(tables_456100!C328,input_456100!A:H,8,FALSE))</f>
        <v>83700</v>
      </c>
      <c r="P328" s="46">
        <f t="shared" ca="1" si="35"/>
        <v>8.1818181817997914E-4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input_456100!A$2</f>
        <v>456100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IFERROR(VLOOKUP(B329,input_456100!L:R,7,FALSE),VLOOKUP(tables_456100!C329,input_456100!A:H,8,FALSE))</f>
        <v>83700</v>
      </c>
      <c r="P329" s="46">
        <f t="shared" ca="1" si="35"/>
        <v>8.1818181817997914E-4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input_456100!A$2</f>
        <v>456100</v>
      </c>
      <c r="B330" s="2">
        <v>1157</v>
      </c>
      <c r="C330" s="7" t="str">
        <f t="shared" si="34"/>
        <v>PremiumSS5R5only</v>
      </c>
      <c r="D330" s="93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IFERROR(VLOOKUP(B330,input_456100!L:R,7,FALSE),VLOOKUP(tables_456100!C330,input_456100!A:H,8,FALSE))</f>
        <v>83700</v>
      </c>
      <c r="P330" s="46">
        <f t="shared" ca="1" si="35"/>
        <v>8.1818181817997914E-4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input_456100!A$2</f>
        <v>456100</v>
      </c>
      <c r="B331" s="60">
        <v>1214</v>
      </c>
      <c r="C331" s="7" t="str">
        <f t="shared" ref="C331:C335" si="36">D331&amp;J331&amp;E331&amp;F331&amp;G331</f>
        <v>PremiumSS5R5only</v>
      </c>
      <c r="D331" s="93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IFERROR(VLOOKUP(B331,input_456100!L:R,7,FALSE),VLOOKUP(tables_456100!C331,input_456100!A:H,8,FALSE))</f>
        <v>83700</v>
      </c>
      <c r="P331" s="46">
        <f t="shared" ref="P331:P335" ca="1" si="38">O331/SUM(O:O)</f>
        <v>8.1818181817997914E-4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input_456100!A$2</f>
        <v>456100</v>
      </c>
      <c r="B332" s="60">
        <v>1212</v>
      </c>
      <c r="C332" s="7" t="str">
        <f t="shared" si="36"/>
        <v>PremiumSS5R5only</v>
      </c>
      <c r="D332" s="93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IFERROR(VLOOKUP(B332,input_456100!L:R,7,FALSE),VLOOKUP(tables_456100!C332,input_456100!A:H,8,FALSE))</f>
        <v>83700</v>
      </c>
      <c r="P332" s="46">
        <f t="shared" ca="1" si="38"/>
        <v>8.1818181817997914E-4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input_456100!A$2</f>
        <v>456100</v>
      </c>
      <c r="B333" s="60">
        <v>1208</v>
      </c>
      <c r="C333" s="7" t="str">
        <f t="shared" si="36"/>
        <v>PremiumSS5R5only</v>
      </c>
      <c r="D333" s="93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IFERROR(VLOOKUP(B333,input_456100!L:R,7,FALSE),VLOOKUP(tables_456100!C333,input_456100!A:H,8,FALSE))</f>
        <v>83700</v>
      </c>
      <c r="P333" s="46">
        <f t="shared" ca="1" si="38"/>
        <v>8.1818181817997914E-4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input_456100!A$2</f>
        <v>456100</v>
      </c>
      <c r="B334" s="89">
        <v>1210</v>
      </c>
      <c r="C334" s="7" t="str">
        <f t="shared" si="36"/>
        <v>Premium4R3less</v>
      </c>
      <c r="D334" s="93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IFERROR(VLOOKUP(B334,input_456100!L:R,7,FALSE),VLOOKUP(tables_456100!C334,input_456100!A:H,8,FALSE))</f>
        <v>969180.88234999997</v>
      </c>
      <c r="P334" s="46">
        <f t="shared" ca="1" si="38"/>
        <v>9.4739089183560263E-3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input_456100!A$2</f>
        <v>456100</v>
      </c>
      <c r="B335" s="60">
        <v>1211</v>
      </c>
      <c r="C335" s="7" t="str">
        <f t="shared" si="36"/>
        <v>Premium5R3less</v>
      </c>
      <c r="D335" s="93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IFERROR(VLOOKUP(B335,input_456100!L:R,7,FALSE),VLOOKUP(tables_456100!C335,input_456100!A:H,8,FALSE))</f>
        <v>51975</v>
      </c>
      <c r="P335" s="46">
        <f t="shared" ca="1" si="38"/>
        <v>5.0806451612789023E-4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input_456100!A$2</f>
        <v>456100</v>
      </c>
      <c r="B336" s="2">
        <v>1224</v>
      </c>
      <c r="C336" s="7" t="str">
        <f t="shared" ref="C336:C340" si="39">D336&amp;J336&amp;E336&amp;F336&amp;G336</f>
        <v>Premium4R3less</v>
      </c>
      <c r="D336" s="93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IFERROR(VLOOKUP(B336,input_456100!L:R,7,FALSE),VLOOKUP(tables_456100!C336,input_456100!A:H,8,FALSE))</f>
        <v>969180.88234999997</v>
      </c>
      <c r="P336" s="46">
        <f t="shared" ref="P336:P340" ca="1" si="41">O336/SUM(O:O)</f>
        <v>9.4739089183560263E-3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input_456100!A$2</f>
        <v>456100</v>
      </c>
      <c r="B337" s="2">
        <v>1225</v>
      </c>
      <c r="C337" s="7" t="str">
        <f t="shared" si="39"/>
        <v>Premium5R3less</v>
      </c>
      <c r="D337" s="93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IFERROR(VLOOKUP(B337,input_456100!L:R,7,FALSE),VLOOKUP(tables_456100!C337,input_456100!A:H,8,FALSE))</f>
        <v>51975</v>
      </c>
      <c r="P337" s="46">
        <f t="shared" ca="1" si="41"/>
        <v>5.0806451612789023E-4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input_456100!A$2</f>
        <v>456100</v>
      </c>
      <c r="B338" s="2">
        <v>1226</v>
      </c>
      <c r="C338" s="7" t="str">
        <f t="shared" si="39"/>
        <v>PremiumSS5R5only</v>
      </c>
      <c r="D338" s="93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IFERROR(VLOOKUP(B338,input_456100!L:R,7,FALSE),VLOOKUP(tables_456100!C338,input_456100!A:H,8,FALSE))</f>
        <v>83700</v>
      </c>
      <c r="P338" s="46">
        <f t="shared" ca="1" si="41"/>
        <v>8.1818181817997914E-4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input_456100!A$2</f>
        <v>456100</v>
      </c>
      <c r="B339" s="2">
        <v>1228</v>
      </c>
      <c r="C339" s="7" t="str">
        <f t="shared" si="39"/>
        <v>PremiumSS5R5only</v>
      </c>
      <c r="D339" s="93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IFERROR(VLOOKUP(B339,input_456100!L:R,7,FALSE),VLOOKUP(tables_456100!C339,input_456100!A:H,8,FALSE))</f>
        <v>83700</v>
      </c>
      <c r="P339" s="46">
        <f t="shared" ca="1" si="41"/>
        <v>8.1818181817997914E-4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input_456100!A$2</f>
        <v>456100</v>
      </c>
      <c r="B340" s="2">
        <v>1230</v>
      </c>
      <c r="C340" s="7" t="str">
        <f t="shared" si="39"/>
        <v>PremiumSS5R5only</v>
      </c>
      <c r="D340" s="93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IFERROR(VLOOKUP(B340,input_456100!L:R,7,FALSE),VLOOKUP(tables_456100!C340,input_456100!A:H,8,FALSE))</f>
        <v>83700</v>
      </c>
      <c r="P340" s="46">
        <f t="shared" ca="1" si="41"/>
        <v>8.1818181817997914E-4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input_456100!A$2</f>
        <v>456100</v>
      </c>
      <c r="B341" s="2">
        <v>484</v>
      </c>
      <c r="C341" s="7" t="str">
        <f t="shared" ref="C341:C351" si="42">D341&amp;J341&amp;E341&amp;F341&amp;G341</f>
        <v>PremiumSSS4R3less</v>
      </c>
      <c r="D341" s="93" t="str">
        <f t="shared" ref="D341:D351" si="4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ラグランジュ</v>
      </c>
      <c r="I341" s="7" t="str">
        <f>VLOOKUP(B341,[1]characters!$A:$J,10,FALSE)</f>
        <v>PremiumSSS</v>
      </c>
      <c r="J341" s="7">
        <f>VLOOKUP(B341,[1]characters!$A:$I,9,FALSE)</f>
        <v>4</v>
      </c>
      <c r="K341" s="7" t="str">
        <f>VLOOKUP(B341,[1]characters!$A:$H,8,FALSE)</f>
        <v>red</v>
      </c>
      <c r="L341" s="7" t="str">
        <f>VLOOKUP(B341,[1]characters!$A:$K,11,FALSE)</f>
        <v>technical</v>
      </c>
      <c r="M341" s="7" t="str">
        <f>VLOOKUP(B341,[1]characters!$A:$M,13,FALSE)</f>
        <v>human</v>
      </c>
      <c r="N341" s="7" t="str">
        <f>VLOOKUP(B341,[1]characters!$A:$G,7,FALSE)</f>
        <v>女性</v>
      </c>
      <c r="O341" s="45">
        <f>IFERROR(VLOOKUP(B341,input_456100!L:R,7,FALSE),VLOOKUP(tables_456100!C341,input_456100!A:H,8,FALSE))</f>
        <v>60715.049999999996</v>
      </c>
      <c r="P341" s="46">
        <f t="shared" ref="P341:P351" ca="1" si="44">O341/SUM(O:O)</f>
        <v>5.9349999999866595E-4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input_456100!A$2</f>
        <v>456100</v>
      </c>
      <c r="B342" s="2">
        <v>485</v>
      </c>
      <c r="C342" s="7" t="str">
        <f t="shared" si="42"/>
        <v>PremiumSSS5R3less</v>
      </c>
      <c r="D342" s="93" t="str">
        <f t="shared" si="4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超越自我 ラグランジュ</v>
      </c>
      <c r="I342" s="7" t="str">
        <f>VLOOKUP(B342,[1]characters!$A:$J,10,FALSE)</f>
        <v>PremiumSSS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technical</v>
      </c>
      <c r="M342" s="7" t="str">
        <f>VLOOKUP(B342,[1]characters!$A:$M,13,FALSE)</f>
        <v>human</v>
      </c>
      <c r="N342" s="7" t="str">
        <f>VLOOKUP(B342,[1]characters!$A:$G,7,FALSE)</f>
        <v>女性</v>
      </c>
      <c r="O342" s="45">
        <f>IFERROR(VLOOKUP(B342,input_456100!L:R,7,FALSE),VLOOKUP(tables_456100!C342,input_456100!A:H,8,FALSE))</f>
        <v>3196.875</v>
      </c>
      <c r="P342" s="46">
        <f t="shared" ca="1" si="44"/>
        <v>3.1249999999929758E-5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input_456100!A$2</f>
        <v>456100</v>
      </c>
      <c r="B343" s="2">
        <v>486</v>
      </c>
      <c r="C343" s="7" t="str">
        <f t="shared" si="42"/>
        <v>PremiumSSS5R3less</v>
      </c>
      <c r="D343" s="93" t="str">
        <f t="shared" si="43"/>
        <v>PremiumSSS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重なる世解 シュレディンガー</v>
      </c>
      <c r="I343" s="7" t="str">
        <f>VLOOKUP(B343,[1]characters!$A:$J,10,FALSE)</f>
        <v>PremiumSSS</v>
      </c>
      <c r="J343" s="7">
        <f>VLOOKUP(B343,[1]characters!$A:$I,9,FALSE)</f>
        <v>5</v>
      </c>
      <c r="K343" s="7" t="str">
        <f>VLOOKUP(B343,[1]characters!$A:$H,8,FALSE)</f>
        <v>red</v>
      </c>
      <c r="L343" s="7" t="str">
        <f>VLOOKUP(B343,[1]characters!$A:$K,11,FALSE)</f>
        <v>balance</v>
      </c>
      <c r="M343" s="7" t="str">
        <f>VLOOKUP(B343,[1]characters!$A:$M,13,FALSE)</f>
        <v>animal</v>
      </c>
      <c r="N343" s="7" t="str">
        <f>VLOOKUP(B343,[1]characters!$A:$G,7,FALSE)</f>
        <v>男性</v>
      </c>
      <c r="O343" s="45">
        <f>IFERROR(VLOOKUP(B343,input_456100!L:R,7,FALSE),VLOOKUP(tables_456100!C343,input_456100!A:H,8,FALSE))</f>
        <v>63937.5</v>
      </c>
      <c r="P343" s="46">
        <f t="shared" ca="1" si="44"/>
        <v>6.2499999999859521E-4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input_456100!A$2</f>
        <v>456100</v>
      </c>
      <c r="B344" s="2">
        <v>378</v>
      </c>
      <c r="C344" s="7" t="str">
        <f t="shared" si="42"/>
        <v>PremiumSSS4R3less</v>
      </c>
      <c r="D344" s="93" t="str">
        <f t="shared" si="43"/>
        <v>PremiumSSS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オイラー</v>
      </c>
      <c r="I344" s="7" t="str">
        <f>VLOOKUP(B344,[1]characters!$A:$J,10,FALSE)</f>
        <v>PremiumSSS</v>
      </c>
      <c r="J344" s="7">
        <f>VLOOKUP(B344,[1]characters!$A:$I,9,FALSE)</f>
        <v>4</v>
      </c>
      <c r="K344" s="7" t="str">
        <f>VLOOKUP(B344,[1]characters!$A:$H,8,FALSE)</f>
        <v>green</v>
      </c>
      <c r="L344" s="7" t="str">
        <f>VLOOKUP(B344,[1]characters!$A:$K,11,FALSE)</f>
        <v>balance</v>
      </c>
      <c r="M344" s="7" t="str">
        <f>VLOOKUP(B344,[1]characters!$A:$M,13,FALSE)</f>
        <v>human</v>
      </c>
      <c r="N344" s="7" t="str">
        <f>VLOOKUP(B344,[1]characters!$A:$G,7,FALSE)</f>
        <v>女性</v>
      </c>
      <c r="O344" s="45">
        <f>IFERROR(VLOOKUP(B344,input_456100!L:R,7,FALSE),VLOOKUP(tables_456100!C344,input_456100!A:H,8,FALSE))</f>
        <v>60715.049999999996</v>
      </c>
      <c r="P344" s="46">
        <f t="shared" ca="1" si="44"/>
        <v>5.9349999999866595E-4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input_456100!A$2</f>
        <v>456100</v>
      </c>
      <c r="B345" s="2">
        <v>379</v>
      </c>
      <c r="C345" s="7" t="str">
        <f t="shared" si="42"/>
        <v>PremiumSSS5R3less</v>
      </c>
      <c r="D345" s="93" t="str">
        <f t="shared" si="43"/>
        <v>PremiumSSS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幾何の機刃 オイラー</v>
      </c>
      <c r="I345" s="7" t="str">
        <f>VLOOKUP(B345,[1]characters!$A:$J,10,FALSE)</f>
        <v>PremiumSSS</v>
      </c>
      <c r="J345" s="7">
        <f>VLOOKUP(B345,[1]characters!$A:$I,9,FALSE)</f>
        <v>5</v>
      </c>
      <c r="K345" s="7" t="str">
        <f>VLOOKUP(B345,[1]characters!$A:$H,8,FALSE)</f>
        <v>green</v>
      </c>
      <c r="L345" s="7" t="str">
        <f>VLOOKUP(B345,[1]characters!$A:$K,11,FALSE)</f>
        <v>balance</v>
      </c>
      <c r="M345" s="7" t="str">
        <f>VLOOKUP(B345,[1]characters!$A:$M,13,FALSE)</f>
        <v>human</v>
      </c>
      <c r="N345" s="7" t="str">
        <f>VLOOKUP(B345,[1]characters!$A:$G,7,FALSE)</f>
        <v>女性</v>
      </c>
      <c r="O345" s="45">
        <f>IFERROR(VLOOKUP(B345,input_456100!L:R,7,FALSE),VLOOKUP(tables_456100!C345,input_456100!A:H,8,FALSE))</f>
        <v>3196.875</v>
      </c>
      <c r="P345" s="46">
        <f t="shared" ca="1" si="44"/>
        <v>3.1249999999929758E-5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input_456100!A$2</f>
        <v>456100</v>
      </c>
      <c r="B346" s="2">
        <v>750</v>
      </c>
      <c r="C346" s="7" t="str">
        <f t="shared" si="42"/>
        <v>PremiumSSS5R3less</v>
      </c>
      <c r="D346" s="93" t="str">
        <f t="shared" si="43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ポアソン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45">
        <f>IFERROR(VLOOKUP(B346,input_456100!L:R,7,FALSE),VLOOKUP(tables_456100!C346,input_456100!A:H,8,FALSE))</f>
        <v>63937.5</v>
      </c>
      <c r="P346" s="46">
        <f t="shared" ca="1" si="44"/>
        <v>6.2499999999859521E-4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input_456100!A$2</f>
        <v>456100</v>
      </c>
      <c r="B347" s="2">
        <v>488</v>
      </c>
      <c r="C347" s="7" t="str">
        <f t="shared" si="42"/>
        <v>PremiumSSS5R3less</v>
      </c>
      <c r="D347" s="93" t="str">
        <f t="shared" si="43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直観の異論 ヘンペル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technical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>IFERROR(VLOOKUP(B347,input_456100!L:R,7,FALSE),VLOOKUP(tables_456100!C347,input_456100!A:H,8,FALSE))</f>
        <v>63937.5</v>
      </c>
      <c r="P347" s="46">
        <f t="shared" ca="1" si="44"/>
        <v>6.2499999999859521E-4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input_456100!A$2</f>
        <v>456100</v>
      </c>
      <c r="B348" s="2">
        <v>790</v>
      </c>
      <c r="C348" s="7" t="str">
        <f t="shared" si="42"/>
        <v>PremiumSSS5R3less</v>
      </c>
      <c r="D348" s="93" t="str">
        <f t="shared" si="43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戦略級の才脳 ノイマン</v>
      </c>
      <c r="I348" s="7" t="str">
        <f>VLOOKUP(B348,[1]characters!$A:$J,10,FALSE)</f>
        <v>PremiumSSS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attack</v>
      </c>
      <c r="M348" s="7" t="str">
        <f>VLOOKUP(B348,[1]characters!$A:$M,13,FALSE)</f>
        <v>machine</v>
      </c>
      <c r="N348" s="7" t="str">
        <f>VLOOKUP(B348,[1]characters!$A:$G,7,FALSE)</f>
        <v>女性</v>
      </c>
      <c r="O348" s="45">
        <f>IFERROR(VLOOKUP(B348,input_456100!L:R,7,FALSE),VLOOKUP(tables_456100!C348,input_456100!A:H,8,FALSE))</f>
        <v>63937.5</v>
      </c>
      <c r="P348" s="46">
        <f t="shared" ca="1" si="44"/>
        <v>6.2499999999859521E-4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input_456100!A$2</f>
        <v>456100</v>
      </c>
      <c r="B349" s="2">
        <v>410</v>
      </c>
      <c r="C349" s="7" t="str">
        <f t="shared" si="42"/>
        <v>PremiumSSS4R3less</v>
      </c>
      <c r="D349" s="93" t="str">
        <f t="shared" si="43"/>
        <v>PremiumSSS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ファラデー</v>
      </c>
      <c r="I349" s="7" t="str">
        <f>VLOOKUP(B349,[1]characters!$A:$J,10,FALSE)</f>
        <v>PremiumSSS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balance</v>
      </c>
      <c r="M349" s="7" t="str">
        <f>VLOOKUP(B349,[1]characters!$A:$M,13,FALSE)</f>
        <v>human</v>
      </c>
      <c r="N349" s="7" t="str">
        <f>VLOOKUP(B349,[1]characters!$A:$G,7,FALSE)</f>
        <v>女性</v>
      </c>
      <c r="O349" s="45">
        <f>IFERROR(VLOOKUP(B349,input_456100!L:R,7,FALSE),VLOOKUP(tables_456100!C349,input_456100!A:H,8,FALSE))</f>
        <v>60715.049999999996</v>
      </c>
      <c r="P349" s="46">
        <f t="shared" ca="1" si="44"/>
        <v>5.9349999999866595E-4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input_456100!A$2</f>
        <v>456100</v>
      </c>
      <c r="B350" s="2">
        <v>411</v>
      </c>
      <c r="C350" s="7" t="str">
        <f t="shared" si="42"/>
        <v>PremiumSSS5R3less</v>
      </c>
      <c r="D350" s="93" t="str">
        <f t="shared" si="43"/>
        <v>PremiumSSS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電隷の始祖 ファラデー</v>
      </c>
      <c r="I350" s="7" t="str">
        <f>VLOOKUP(B350,[1]characters!$A:$J,10,FALSE)</f>
        <v>PremiumSSS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balance</v>
      </c>
      <c r="M350" s="7" t="str">
        <f>VLOOKUP(B350,[1]characters!$A:$M,13,FALSE)</f>
        <v>human</v>
      </c>
      <c r="N350" s="7" t="str">
        <f>VLOOKUP(B350,[1]characters!$A:$G,7,FALSE)</f>
        <v>女性</v>
      </c>
      <c r="O350" s="45">
        <f>IFERROR(VLOOKUP(B350,input_456100!L:R,7,FALSE),VLOOKUP(tables_456100!C350,input_456100!A:H,8,FALSE))</f>
        <v>3196.875</v>
      </c>
      <c r="P350" s="46">
        <f t="shared" ca="1" si="44"/>
        <v>3.1249999999929758E-5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input_456100!A$2</f>
        <v>456100</v>
      </c>
      <c r="B351" s="2">
        <v>792</v>
      </c>
      <c r="C351" s="7" t="str">
        <f t="shared" si="42"/>
        <v>PremiumSSS5R3less</v>
      </c>
      <c r="D351" s="93" t="str">
        <f t="shared" si="43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片還の収波 フーリエ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yellow</v>
      </c>
      <c r="L351" s="7" t="str">
        <f>VLOOKUP(B351,[1]characters!$A:$K,11,FALSE)</f>
        <v>technical</v>
      </c>
      <c r="M351" s="7" t="str">
        <f>VLOOKUP(B351,[1]characters!$A:$M,13,FALSE)</f>
        <v>human</v>
      </c>
      <c r="N351" s="7" t="str">
        <f>VLOOKUP(B351,[1]characters!$A:$G,7,FALSE)</f>
        <v>男性</v>
      </c>
      <c r="O351" s="45">
        <f>IFERROR(VLOOKUP(B351,input_456100!L:R,7,FALSE),VLOOKUP(tables_456100!C351,input_456100!A:H,8,FALSE))</f>
        <v>63937.5</v>
      </c>
      <c r="P351" s="46">
        <f t="shared" ca="1" si="44"/>
        <v>6.2499999999859521E-4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1"/>
  <sheetViews>
    <sheetView showGridLines="0" zoomScale="75" zoomScaleNormal="75" zoomScalePageLayoutView="75" workbookViewId="0">
      <pane ySplit="1" topLeftCell="A32" activePane="bottomLeft" state="frozen"/>
      <selection activeCell="D34" sqref="D34"/>
      <selection pane="bottomLeft" activeCell="A2" sqref="A2:A8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456104</v>
      </c>
      <c r="B2" s="5">
        <v>320</v>
      </c>
      <c r="C2" s="7" t="str">
        <f t="shared" ref="C2:C65" si="0">D2&amp;J2&amp;E2&amp;F2&amp;G2</f>
        <v>PremiumSS4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f>IF(E2="R5only",20,IF(J2=4,19,1))</f>
        <v>19</v>
      </c>
      <c r="P2" s="46">
        <f t="shared" ref="P2:P65" si="1">O2/SUM(O:O)</f>
        <v>1.6666666666666666E-2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456104</v>
      </c>
      <c r="B3" s="5">
        <v>321</v>
      </c>
      <c r="C3" s="7" t="str">
        <f t="shared" si="0"/>
        <v>PremiumSS5</v>
      </c>
      <c r="D3" s="7" t="str">
        <f t="shared" ref="D3:D66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f t="shared" ref="O3:O66" si="3">IF(E3="R5only",20,IF(J3=4,19,1))</f>
        <v>1</v>
      </c>
      <c r="P3" s="46">
        <f t="shared" si="1"/>
        <v>8.7719298245614037E-4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456104</v>
      </c>
      <c r="B4" s="5">
        <v>324</v>
      </c>
      <c r="C4" s="7" t="str">
        <f t="shared" si="0"/>
        <v>PremiumSS4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t="shared" si="3"/>
        <v>19</v>
      </c>
      <c r="P4" s="46">
        <f t="shared" si="1"/>
        <v>1.6666666666666666E-2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456104</v>
      </c>
      <c r="B5" s="5">
        <v>325</v>
      </c>
      <c r="C5" s="7" t="str">
        <f t="shared" si="0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t="shared" si="3"/>
        <v>1</v>
      </c>
      <c r="P5" s="46">
        <f t="shared" si="1"/>
        <v>8.7719298245614037E-4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456104</v>
      </c>
      <c r="B6" s="5">
        <v>383</v>
      </c>
      <c r="C6" s="7" t="str">
        <f t="shared" si="0"/>
        <v>PremiumSS4</v>
      </c>
      <c r="D6" s="7" t="str">
        <f t="shared" si="2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f t="shared" si="3"/>
        <v>19</v>
      </c>
      <c r="P6" s="46">
        <f t="shared" si="1"/>
        <v>1.6666666666666666E-2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456104</v>
      </c>
      <c r="B7" s="2">
        <v>384</v>
      </c>
      <c r="C7" s="7" t="str">
        <f t="shared" si="0"/>
        <v>PremiumSS5</v>
      </c>
      <c r="D7" s="7" t="str">
        <f t="shared" si="2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f t="shared" si="3"/>
        <v>1</v>
      </c>
      <c r="P7" s="46">
        <f t="shared" si="1"/>
        <v>8.7719298245614037E-4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456104</v>
      </c>
      <c r="B8" s="2">
        <v>385</v>
      </c>
      <c r="C8" s="7" t="str">
        <f t="shared" si="0"/>
        <v>PremiumSS4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45">
        <f t="shared" si="3"/>
        <v>19</v>
      </c>
      <c r="P8" s="46">
        <f t="shared" si="1"/>
        <v>1.6666666666666666E-2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456104</v>
      </c>
      <c r="B9" s="2">
        <v>386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f t="shared" si="3"/>
        <v>1</v>
      </c>
      <c r="P9" s="46">
        <f t="shared" si="1"/>
        <v>8.7719298245614037E-4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456104</v>
      </c>
      <c r="B10" s="2">
        <v>390</v>
      </c>
      <c r="C10" s="7" t="str">
        <f t="shared" si="0"/>
        <v>PremiumSS4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19</v>
      </c>
      <c r="P10" s="46">
        <f t="shared" si="1"/>
        <v>1.6666666666666666E-2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456104</v>
      </c>
      <c r="B11" s="2">
        <v>391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</v>
      </c>
      <c r="P11" s="46">
        <f t="shared" si="1"/>
        <v>8.7719298245614037E-4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456104</v>
      </c>
      <c r="B12" s="2">
        <v>398</v>
      </c>
      <c r="C12" s="7" t="str">
        <f t="shared" si="0"/>
        <v>PremiumSS4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19</v>
      </c>
      <c r="P12" s="46">
        <f t="shared" si="1"/>
        <v>1.6666666666666666E-2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456104</v>
      </c>
      <c r="B13" s="2">
        <v>399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t="shared" si="3"/>
        <v>1</v>
      </c>
      <c r="P13" s="46">
        <f t="shared" si="1"/>
        <v>8.7719298245614037E-4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456104</v>
      </c>
      <c r="B14" s="2">
        <v>403</v>
      </c>
      <c r="C14" s="7" t="str">
        <f t="shared" si="0"/>
        <v>PremiumSS4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45">
        <f t="shared" si="3"/>
        <v>19</v>
      </c>
      <c r="P14" s="46">
        <f t="shared" si="1"/>
        <v>1.6666666666666666E-2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456104</v>
      </c>
      <c r="B15" s="2">
        <v>404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t="shared" si="3"/>
        <v>1</v>
      </c>
      <c r="P15" s="46">
        <f t="shared" si="1"/>
        <v>8.7719298245614037E-4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456104</v>
      </c>
      <c r="B16" s="2">
        <v>434</v>
      </c>
      <c r="C16" s="7" t="str">
        <f t="shared" si="0"/>
        <v>PremiumSS4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f t="shared" si="3"/>
        <v>19</v>
      </c>
      <c r="P16" s="46">
        <f t="shared" si="1"/>
        <v>1.6666666666666666E-2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456104</v>
      </c>
      <c r="B17" s="2">
        <v>435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t="shared" si="3"/>
        <v>1</v>
      </c>
      <c r="P17" s="46">
        <f t="shared" si="1"/>
        <v>8.7719298245614037E-4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456104</v>
      </c>
      <c r="B18" s="2">
        <v>465</v>
      </c>
      <c r="C18" s="7" t="str">
        <f t="shared" si="0"/>
        <v>PremiumSS4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45">
        <f t="shared" si="3"/>
        <v>19</v>
      </c>
      <c r="P18" s="46">
        <f t="shared" si="1"/>
        <v>1.6666666666666666E-2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456104</v>
      </c>
      <c r="B19" s="2">
        <v>466</v>
      </c>
      <c r="C19" s="7" t="str">
        <f t="shared" si="0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f t="shared" si="3"/>
        <v>1</v>
      </c>
      <c r="P19" s="46">
        <f t="shared" si="1"/>
        <v>8.7719298245614037E-4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456104</v>
      </c>
      <c r="B20" s="2">
        <v>467</v>
      </c>
      <c r="C20" s="7" t="str">
        <f t="shared" si="0"/>
        <v>PremiumSS4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t="shared" si="3"/>
        <v>19</v>
      </c>
      <c r="P20" s="46">
        <f t="shared" si="1"/>
        <v>1.6666666666666666E-2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456104</v>
      </c>
      <c r="B21" s="2">
        <v>468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t="shared" si="3"/>
        <v>1</v>
      </c>
      <c r="P21" s="46">
        <f t="shared" si="1"/>
        <v>8.7719298245614037E-4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456104</v>
      </c>
      <c r="B22" s="2">
        <v>474</v>
      </c>
      <c r="C22" s="7" t="str">
        <f t="shared" si="0"/>
        <v>PremiumSS4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f t="shared" si="3"/>
        <v>19</v>
      </c>
      <c r="P22" s="46">
        <f t="shared" si="1"/>
        <v>1.6666666666666666E-2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456104</v>
      </c>
      <c r="B23" s="2">
        <v>475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45">
        <f t="shared" si="3"/>
        <v>1</v>
      </c>
      <c r="P23" s="46">
        <f t="shared" si="1"/>
        <v>8.7719298245614037E-4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456104</v>
      </c>
      <c r="B24" s="2">
        <v>492</v>
      </c>
      <c r="C24" s="7" t="str">
        <f t="shared" si="0"/>
        <v>PremiumSS4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45">
        <f t="shared" si="3"/>
        <v>19</v>
      </c>
      <c r="P24" s="46">
        <f t="shared" si="1"/>
        <v>1.6666666666666666E-2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456104</v>
      </c>
      <c r="B25" s="2">
        <v>493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45">
        <f t="shared" si="3"/>
        <v>1</v>
      </c>
      <c r="P25" s="46">
        <f t="shared" si="1"/>
        <v>8.7719298245614037E-4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456104</v>
      </c>
      <c r="B26" s="2">
        <v>494</v>
      </c>
      <c r="C26" s="7" t="str">
        <f t="shared" si="0"/>
        <v>PremiumSS4</v>
      </c>
      <c r="D26" s="7" t="str">
        <f t="shared" si="2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45">
        <f t="shared" si="3"/>
        <v>19</v>
      </c>
      <c r="P26" s="46">
        <f t="shared" si="1"/>
        <v>1.6666666666666666E-2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456104</v>
      </c>
      <c r="B27" s="2">
        <v>495</v>
      </c>
      <c r="C27" s="7" t="str">
        <f t="shared" si="0"/>
        <v>PremiumSS5</v>
      </c>
      <c r="D27" s="7" t="str">
        <f t="shared" si="2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f t="shared" si="3"/>
        <v>1</v>
      </c>
      <c r="P27" s="46">
        <f t="shared" si="1"/>
        <v>8.7719298245614037E-4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456104</v>
      </c>
      <c r="B28" s="2">
        <v>499</v>
      </c>
      <c r="C28" s="7" t="str">
        <f t="shared" si="0"/>
        <v>PremiumSS4</v>
      </c>
      <c r="D28" s="7" t="str">
        <f t="shared" si="2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t="shared" si="3"/>
        <v>19</v>
      </c>
      <c r="P28" s="46">
        <f t="shared" si="1"/>
        <v>1.6666666666666666E-2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456104</v>
      </c>
      <c r="B29" s="2">
        <v>500</v>
      </c>
      <c r="C29" s="7" t="str">
        <f t="shared" si="0"/>
        <v>PremiumSS5</v>
      </c>
      <c r="D29" s="7" t="str">
        <f t="shared" si="2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t="shared" si="3"/>
        <v>1</v>
      </c>
      <c r="P29" s="46">
        <f t="shared" si="1"/>
        <v>8.7719298245614037E-4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456104</v>
      </c>
      <c r="B30" s="2">
        <v>594</v>
      </c>
      <c r="C30" s="7" t="str">
        <f t="shared" si="0"/>
        <v>PremiumSS4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45">
        <f t="shared" si="3"/>
        <v>19</v>
      </c>
      <c r="P30" s="46">
        <f t="shared" si="1"/>
        <v>1.6666666666666666E-2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456104</v>
      </c>
      <c r="B31" s="2">
        <v>595</v>
      </c>
      <c r="C31" s="7" t="str">
        <f t="shared" si="0"/>
        <v>PremiumSS5</v>
      </c>
      <c r="D31" s="7" t="str">
        <f t="shared" si="2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45">
        <f t="shared" si="3"/>
        <v>1</v>
      </c>
      <c r="P31" s="46">
        <f t="shared" si="1"/>
        <v>8.7719298245614037E-4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456104</v>
      </c>
      <c r="B32" s="2">
        <v>602</v>
      </c>
      <c r="C32" s="7" t="str">
        <f t="shared" si="0"/>
        <v>PremiumSS4</v>
      </c>
      <c r="D32" s="7" t="str">
        <f t="shared" si="2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f t="shared" si="3"/>
        <v>19</v>
      </c>
      <c r="P32" s="46">
        <f t="shared" si="1"/>
        <v>1.6666666666666666E-2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456104</v>
      </c>
      <c r="B33" s="2">
        <v>603</v>
      </c>
      <c r="C33" s="7" t="str">
        <f t="shared" si="0"/>
        <v>PremiumSS5</v>
      </c>
      <c r="D33" s="7" t="str">
        <f t="shared" si="2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f t="shared" si="3"/>
        <v>1</v>
      </c>
      <c r="P33" s="46">
        <f t="shared" si="1"/>
        <v>8.7719298245614037E-4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456104</v>
      </c>
      <c r="B34" s="2">
        <v>658</v>
      </c>
      <c r="C34" s="7" t="str">
        <f t="shared" si="0"/>
        <v>PremiumSS4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45">
        <f t="shared" si="3"/>
        <v>19</v>
      </c>
      <c r="P34" s="46">
        <f t="shared" si="1"/>
        <v>1.6666666666666666E-2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456104</v>
      </c>
      <c r="B35" s="2">
        <v>659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45">
        <f t="shared" si="3"/>
        <v>1</v>
      </c>
      <c r="P35" s="46">
        <f t="shared" si="1"/>
        <v>8.7719298245614037E-4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456104</v>
      </c>
      <c r="B36" s="2">
        <v>660</v>
      </c>
      <c r="C36" s="7" t="str">
        <f t="shared" si="0"/>
        <v>PremiumSS4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45">
        <f t="shared" si="3"/>
        <v>19</v>
      </c>
      <c r="P36" s="46">
        <f t="shared" si="1"/>
        <v>1.6666666666666666E-2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456104</v>
      </c>
      <c r="B37" s="2">
        <v>661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45">
        <f t="shared" si="3"/>
        <v>1</v>
      </c>
      <c r="P37" s="46">
        <f t="shared" si="1"/>
        <v>8.7719298245614037E-4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456104</v>
      </c>
      <c r="B38" s="2">
        <v>674</v>
      </c>
      <c r="C38" s="7" t="str">
        <f t="shared" si="0"/>
        <v>PremiumSS4</v>
      </c>
      <c r="D38" s="7" t="str">
        <f t="shared" si="2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45">
        <f t="shared" si="3"/>
        <v>19</v>
      </c>
      <c r="P38" s="46">
        <f t="shared" si="1"/>
        <v>1.6666666666666666E-2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456104</v>
      </c>
      <c r="B39" s="2">
        <v>675</v>
      </c>
      <c r="C39" s="7" t="str">
        <f t="shared" si="0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45">
        <f t="shared" si="3"/>
        <v>1</v>
      </c>
      <c r="P39" s="46">
        <f t="shared" si="1"/>
        <v>8.7719298245614037E-4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456104</v>
      </c>
      <c r="B40" s="2">
        <v>676</v>
      </c>
      <c r="C40" s="7" t="str">
        <f t="shared" si="0"/>
        <v>PremiumSS4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45">
        <f t="shared" si="3"/>
        <v>19</v>
      </c>
      <c r="P40" s="46">
        <f t="shared" si="1"/>
        <v>1.6666666666666666E-2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456104</v>
      </c>
      <c r="B41" s="2">
        <v>677</v>
      </c>
      <c r="C41" s="7" t="str">
        <f t="shared" si="0"/>
        <v>PremiumSS5</v>
      </c>
      <c r="D41" s="7" t="str">
        <f t="shared" si="2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45">
        <f t="shared" si="3"/>
        <v>1</v>
      </c>
      <c r="P41" s="46">
        <f t="shared" si="1"/>
        <v>8.7719298245614037E-4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456104</v>
      </c>
      <c r="B42" s="2">
        <v>732</v>
      </c>
      <c r="C42" s="7" t="str">
        <f t="shared" si="0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20</v>
      </c>
      <c r="P42" s="46">
        <f t="shared" si="1"/>
        <v>1.7543859649122806E-2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456104</v>
      </c>
      <c r="B43" s="2">
        <v>734</v>
      </c>
      <c r="C43" s="7" t="str">
        <f t="shared" si="0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20</v>
      </c>
      <c r="P43" s="46">
        <f t="shared" si="1"/>
        <v>1.7543859649122806E-2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456104</v>
      </c>
      <c r="B44" s="2">
        <v>770</v>
      </c>
      <c r="C44" s="7" t="str">
        <f t="shared" si="0"/>
        <v>PremiumSS4</v>
      </c>
      <c r="D44" s="7" t="str">
        <f t="shared" si="2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ハヅル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5">
        <f t="shared" si="3"/>
        <v>19</v>
      </c>
      <c r="P44" s="46">
        <f t="shared" si="1"/>
        <v>1.6666666666666666E-2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456104</v>
      </c>
      <c r="B45" s="2">
        <v>771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天織羽鶴 ハヅル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女性</v>
      </c>
      <c r="O45" s="45">
        <f t="shared" si="3"/>
        <v>1</v>
      </c>
      <c r="P45" s="46">
        <f t="shared" si="1"/>
        <v>8.7719298245614037E-4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456104</v>
      </c>
      <c r="B46" s="2">
        <v>772</v>
      </c>
      <c r="C46" s="7" t="str">
        <f t="shared" si="0"/>
        <v>PremiumSS4</v>
      </c>
      <c r="D46" s="7" t="str">
        <f t="shared" si="2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イナバ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19</v>
      </c>
      <c r="P46" s="46">
        <f t="shared" si="1"/>
        <v>1.6666666666666666E-2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456104</v>
      </c>
      <c r="B47" s="2">
        <v>773</v>
      </c>
      <c r="C47" s="7" t="str">
        <f t="shared" si="0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浮跳天兎 イナバ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1</v>
      </c>
      <c r="P47" s="46">
        <f t="shared" si="1"/>
        <v>8.7719298245614037E-4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456104</v>
      </c>
      <c r="B48" s="2">
        <v>848</v>
      </c>
      <c r="C48" s="7" t="str">
        <f t="shared" si="0"/>
        <v>PremiumSS5R5only</v>
      </c>
      <c r="D48" s="7" t="str">
        <f t="shared" si="2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メタトロン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男性</v>
      </c>
      <c r="O48" s="45">
        <f t="shared" si="3"/>
        <v>20</v>
      </c>
      <c r="P48" s="46">
        <f t="shared" si="1"/>
        <v>1.7543859649122806E-2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456104</v>
      </c>
      <c r="B49" s="2">
        <v>850</v>
      </c>
      <c r="C49" s="7" t="str">
        <f t="shared" si="0"/>
        <v>PremiumSS5R5only</v>
      </c>
      <c r="D49" s="7" t="str">
        <f t="shared" si="2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バアル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20</v>
      </c>
      <c r="P49" s="46">
        <f t="shared" si="1"/>
        <v>1.7543859649122806E-2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456104</v>
      </c>
      <c r="B50" s="2">
        <v>866</v>
      </c>
      <c r="C50" s="7" t="str">
        <f t="shared" si="0"/>
        <v>PremiumSS5R5only</v>
      </c>
      <c r="D50" s="7" t="str">
        <f t="shared" si="2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無敗の司令姫 白雪姫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45">
        <f t="shared" si="3"/>
        <v>20</v>
      </c>
      <c r="P50" s="46">
        <f t="shared" si="1"/>
        <v>1.7543859649122806E-2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456104</v>
      </c>
      <c r="B51" s="2">
        <v>868</v>
      </c>
      <c r="C51" s="7" t="str">
        <f t="shared" si="0"/>
        <v>PremiumSS5R5only</v>
      </c>
      <c r="D51" s="7" t="str">
        <f t="shared" si="2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アラジンと殲滅機兵LAMP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3"/>
        <v>20</v>
      </c>
      <c r="P51" s="46">
        <f t="shared" si="1"/>
        <v>1.7543859649122806E-2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456104</v>
      </c>
      <c r="B52" s="2">
        <v>742</v>
      </c>
      <c r="C52" s="7" t="str">
        <f t="shared" si="0"/>
        <v>PremiumSS5R5only</v>
      </c>
      <c r="D52" s="7" t="str">
        <f t="shared" si="2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アポロン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男性</v>
      </c>
      <c r="O52" s="45">
        <f t="shared" si="3"/>
        <v>20</v>
      </c>
      <c r="P52" s="46">
        <f t="shared" si="1"/>
        <v>1.7543859649122806E-2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456104</v>
      </c>
      <c r="B53" s="2">
        <v>744</v>
      </c>
      <c r="C53" s="7" t="str">
        <f t="shared" si="0"/>
        <v>PremiumSS5R5only</v>
      </c>
      <c r="D53" s="7" t="str">
        <f t="shared" si="2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ヘルメス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45">
        <f t="shared" si="3"/>
        <v>20</v>
      </c>
      <c r="P53" s="46">
        <f t="shared" si="1"/>
        <v>1.7543859649122806E-2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456104</v>
      </c>
      <c r="B54" s="2">
        <v>937</v>
      </c>
      <c r="C54" s="7" t="str">
        <f t="shared" si="0"/>
        <v>PremiumSS5R5only</v>
      </c>
      <c r="D54" s="7" t="str">
        <f t="shared" si="2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20</v>
      </c>
      <c r="P54" s="46">
        <f t="shared" si="1"/>
        <v>1.7543859649122806E-2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456104</v>
      </c>
      <c r="B55" s="2">
        <v>941</v>
      </c>
      <c r="C55" s="7" t="str">
        <f t="shared" si="0"/>
        <v>PremiumSS5R5only</v>
      </c>
      <c r="D55" s="7" t="str">
        <f t="shared" si="2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20</v>
      </c>
      <c r="P55" s="46">
        <f t="shared" si="1"/>
        <v>1.7543859649122806E-2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456104</v>
      </c>
      <c r="B56" s="2">
        <v>943</v>
      </c>
      <c r="C56" s="7" t="str">
        <f t="shared" si="0"/>
        <v>PremiumSS5R5only</v>
      </c>
      <c r="D56" s="7" t="str">
        <f t="shared" si="2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f t="shared" si="3"/>
        <v>20</v>
      </c>
      <c r="P56" s="46">
        <f t="shared" si="1"/>
        <v>1.7543859649122806E-2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456104</v>
      </c>
      <c r="B57" s="2">
        <v>1012</v>
      </c>
      <c r="C57" s="7" t="str">
        <f t="shared" si="0"/>
        <v>PremiumSS5R5only</v>
      </c>
      <c r="D57" s="7" t="str">
        <f t="shared" si="2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45">
        <f t="shared" si="3"/>
        <v>20</v>
      </c>
      <c r="P57" s="46">
        <f t="shared" si="1"/>
        <v>1.7543859649122806E-2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456104</v>
      </c>
      <c r="B58" s="2">
        <v>1014</v>
      </c>
      <c r="C58" s="7" t="str">
        <f t="shared" si="0"/>
        <v>PremiumSS5R5only</v>
      </c>
      <c r="D58" s="7" t="str">
        <f t="shared" si="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f t="shared" si="3"/>
        <v>20</v>
      </c>
      <c r="P58" s="46">
        <f t="shared" si="1"/>
        <v>1.7543859649122806E-2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456104</v>
      </c>
      <c r="B59" s="2">
        <v>1018</v>
      </c>
      <c r="C59" s="7" t="str">
        <f t="shared" si="0"/>
        <v>PremiumSS5R5only</v>
      </c>
      <c r="D59" s="7" t="str">
        <f t="shared" si="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45">
        <f t="shared" si="3"/>
        <v>20</v>
      </c>
      <c r="P59" s="46">
        <f t="shared" si="1"/>
        <v>1.7543859649122806E-2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456104</v>
      </c>
      <c r="B60" s="2">
        <v>1028</v>
      </c>
      <c r="C60" s="7" t="str">
        <f t="shared" si="0"/>
        <v>PremiumSS5R5only</v>
      </c>
      <c r="D60" s="7" t="str">
        <f t="shared" si="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45">
        <f t="shared" si="3"/>
        <v>20</v>
      </c>
      <c r="P60" s="46">
        <f t="shared" si="1"/>
        <v>1.7543859649122806E-2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456104</v>
      </c>
      <c r="B61" s="2">
        <v>1031</v>
      </c>
      <c r="C61" s="7" t="str">
        <f t="shared" si="0"/>
        <v>PremiumSS5R5only</v>
      </c>
      <c r="D61" s="7" t="str">
        <f t="shared" si="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20</v>
      </c>
      <c r="P61" s="46">
        <f t="shared" si="1"/>
        <v>1.7543859649122806E-2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456104</v>
      </c>
      <c r="B62" s="2">
        <v>1033</v>
      </c>
      <c r="C62" s="7" t="str">
        <f t="shared" si="0"/>
        <v>PremiumSS5R5only</v>
      </c>
      <c r="D62" s="7" t="str">
        <f t="shared" si="2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45">
        <f t="shared" si="3"/>
        <v>20</v>
      </c>
      <c r="P62" s="46">
        <f t="shared" si="1"/>
        <v>1.7543859649122806E-2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456104</v>
      </c>
      <c r="B63" s="2">
        <v>1072</v>
      </c>
      <c r="C63" s="7" t="str">
        <f t="shared" si="0"/>
        <v>PremiumSS5R5only</v>
      </c>
      <c r="D63" s="7" t="str">
        <f t="shared" si="2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エンキドゥ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20</v>
      </c>
      <c r="P63" s="46">
        <f t="shared" si="1"/>
        <v>1.7543859649122806E-2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456104</v>
      </c>
      <c r="B64" s="2">
        <v>1074</v>
      </c>
      <c r="C64" s="7" t="str">
        <f t="shared" si="0"/>
        <v>PremiumSS5R5only</v>
      </c>
      <c r="D64" s="7" t="str">
        <f t="shared" si="2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マルドゥク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technical</v>
      </c>
      <c r="M64" s="7" t="str">
        <f>VLOOKUP(B64,[1]characters!$A:$M,13,FALSE)</f>
        <v>god</v>
      </c>
      <c r="N64" s="7" t="str">
        <f>VLOOKUP(B64,[1]characters!$A:$G,7,FALSE)</f>
        <v>男性</v>
      </c>
      <c r="O64" s="45">
        <f t="shared" si="3"/>
        <v>20</v>
      </c>
      <c r="P64" s="46">
        <f t="shared" si="1"/>
        <v>1.7543859649122806E-2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456104</v>
      </c>
      <c r="B65" s="2">
        <v>1069</v>
      </c>
      <c r="C65" s="7" t="str">
        <f t="shared" si="0"/>
        <v>PremiumSS5R5only</v>
      </c>
      <c r="D65" s="7" t="str">
        <f t="shared" si="2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イシュタル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45">
        <f t="shared" si="3"/>
        <v>20</v>
      </c>
      <c r="P65" s="46">
        <f t="shared" si="1"/>
        <v>1.7543859649122806E-2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456104</v>
      </c>
      <c r="B66" s="2">
        <v>1100</v>
      </c>
      <c r="C66" s="7" t="str">
        <f t="shared" ref="C66:C77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45">
        <f t="shared" si="3"/>
        <v>20</v>
      </c>
      <c r="P66" s="46">
        <f t="shared" ref="P66:P77" si="5">O66/SUM(O:O)</f>
        <v>1.7543859649122806E-2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456104</v>
      </c>
      <c r="B67" s="2">
        <v>1102</v>
      </c>
      <c r="C67" s="7" t="str">
        <f t="shared" si="4"/>
        <v>PremiumSS5R5only</v>
      </c>
      <c r="D67" s="7" t="str">
        <f t="shared" ref="D67:D77" si="6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45">
        <f t="shared" ref="O67:O80" si="7">IF(E67="R5only",20,IF(J67=4,19,1))</f>
        <v>20</v>
      </c>
      <c r="P67" s="46">
        <f t="shared" si="5"/>
        <v>1.7543859649122806E-2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456104</v>
      </c>
      <c r="B68" s="2">
        <v>1106</v>
      </c>
      <c r="C68" s="7" t="str">
        <f t="shared" si="4"/>
        <v>PremiumSS5R5only</v>
      </c>
      <c r="D68" s="7" t="str">
        <f t="shared" si="6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45">
        <f t="shared" si="7"/>
        <v>20</v>
      </c>
      <c r="P68" s="46">
        <f t="shared" si="5"/>
        <v>1.7543859649122806E-2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456104</v>
      </c>
      <c r="B69" s="2">
        <v>1137</v>
      </c>
      <c r="C69" s="7" t="str">
        <f t="shared" si="4"/>
        <v>PremiumSS5R5only</v>
      </c>
      <c r="D69" s="7" t="str">
        <f t="shared" si="6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45">
        <f t="shared" si="7"/>
        <v>20</v>
      </c>
      <c r="P69" s="46">
        <f t="shared" si="5"/>
        <v>1.7543859649122806E-2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456104</v>
      </c>
      <c r="B70" s="2">
        <v>1141</v>
      </c>
      <c r="C70" s="7" t="str">
        <f t="shared" si="4"/>
        <v>PremiumSS5R5only</v>
      </c>
      <c r="D70" s="7" t="str">
        <f t="shared" si="6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月英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7"/>
        <v>20</v>
      </c>
      <c r="P70" s="46">
        <f t="shared" si="5"/>
        <v>1.7543859649122806E-2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456104</v>
      </c>
      <c r="B71" s="2">
        <v>1139</v>
      </c>
      <c r="C71" s="7" t="str">
        <f t="shared" si="4"/>
        <v>PremiumSS5R5only</v>
      </c>
      <c r="D71" s="7" t="str">
        <f t="shared" si="6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趙雲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samurai</v>
      </c>
      <c r="N71" s="7" t="str">
        <f>VLOOKUP(B71,[1]characters!$A:$G,7,FALSE)</f>
        <v>不明</v>
      </c>
      <c r="O71" s="45">
        <f t="shared" si="7"/>
        <v>20</v>
      </c>
      <c r="P71" s="46">
        <f t="shared" si="5"/>
        <v>1.7543859649122806E-2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456104</v>
      </c>
      <c r="B72" s="2">
        <v>1153</v>
      </c>
      <c r="C72" s="7" t="str">
        <f t="shared" si="4"/>
        <v>PremiumSS5R5only</v>
      </c>
      <c r="D72" s="7" t="str">
        <f t="shared" si="6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ラクシュミー</v>
      </c>
      <c r="I72" s="7" t="str">
        <f>VLOOKUP(B72,[1]characters!$A:$J,10,FALSE)</f>
        <v>PremiumSSW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god</v>
      </c>
      <c r="N72" s="7" t="str">
        <f>VLOOKUP(B72,[1]characters!$A:$G,7,FALSE)</f>
        <v>不明</v>
      </c>
      <c r="O72" s="45">
        <f t="shared" si="7"/>
        <v>20</v>
      </c>
      <c r="P72" s="46">
        <f t="shared" si="5"/>
        <v>1.7543859649122806E-2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456104</v>
      </c>
      <c r="B73" s="2">
        <v>1155</v>
      </c>
      <c r="C73" s="7" t="str">
        <f t="shared" si="4"/>
        <v>PremiumSS5R5only</v>
      </c>
      <c r="D73" s="7" t="str">
        <f t="shared" si="6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ドゥルガー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balance</v>
      </c>
      <c r="M73" s="7" t="str">
        <f>VLOOKUP(B73,[1]characters!$A:$M,13,FALSE)</f>
        <v>god</v>
      </c>
      <c r="N73" s="7" t="str">
        <f>VLOOKUP(B73,[1]characters!$A:$G,7,FALSE)</f>
        <v>不明</v>
      </c>
      <c r="O73" s="45">
        <f t="shared" si="7"/>
        <v>20</v>
      </c>
      <c r="P73" s="46">
        <f t="shared" si="5"/>
        <v>1.7543859649122806E-2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456104</v>
      </c>
      <c r="B74" s="2">
        <v>1157</v>
      </c>
      <c r="C74" s="7" t="str">
        <f t="shared" si="4"/>
        <v>PremiumSS5R5only</v>
      </c>
      <c r="D74" s="7" t="str">
        <f t="shared" si="6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インドラ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attack</v>
      </c>
      <c r="M74" s="7" t="str">
        <f>VLOOKUP(B74,[1]characters!$A:$M,13,FALSE)</f>
        <v>god</v>
      </c>
      <c r="N74" s="7" t="str">
        <f>VLOOKUP(B74,[1]characters!$A:$G,7,FALSE)</f>
        <v>不明</v>
      </c>
      <c r="O74" s="45">
        <f t="shared" si="7"/>
        <v>20</v>
      </c>
      <c r="P74" s="46">
        <f t="shared" si="5"/>
        <v>1.7543859649122806E-2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456104</v>
      </c>
      <c r="B75" s="60">
        <v>1214</v>
      </c>
      <c r="C75" s="7" t="str">
        <f t="shared" si="4"/>
        <v>PremiumSS5R5only</v>
      </c>
      <c r="D75" s="7" t="str">
        <f t="shared" si="6"/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アルテミス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balance</v>
      </c>
      <c r="M75" s="7" t="str">
        <f>VLOOKUP(B75,[1]characters!$A:$M,13,FALSE)</f>
        <v>god</v>
      </c>
      <c r="N75" s="7">
        <f>VLOOKUP(B75,[1]characters!$A:$G,7,FALSE)</f>
        <v>0</v>
      </c>
      <c r="O75" s="45">
        <f t="shared" si="7"/>
        <v>20</v>
      </c>
      <c r="P75" s="46">
        <f t="shared" si="5"/>
        <v>1.7543859649122806E-2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456104</v>
      </c>
      <c r="B76" s="60">
        <v>1212</v>
      </c>
      <c r="C76" s="7" t="str">
        <f t="shared" si="4"/>
        <v>PremiumSS5R5only</v>
      </c>
      <c r="D76" s="7" t="str">
        <f t="shared" si="6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クロノス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technical</v>
      </c>
      <c r="M76" s="7" t="str">
        <f>VLOOKUP(B76,[1]characters!$A:$M,13,FALSE)</f>
        <v>god</v>
      </c>
      <c r="N76" s="7">
        <f>VLOOKUP(B76,[1]characters!$A:$G,7,FALSE)</f>
        <v>0</v>
      </c>
      <c r="O76" s="45">
        <f t="shared" si="7"/>
        <v>20</v>
      </c>
      <c r="P76" s="46">
        <f t="shared" si="5"/>
        <v>1.7543859649122806E-2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456104</v>
      </c>
      <c r="B77" s="60">
        <v>1208</v>
      </c>
      <c r="C77" s="7" t="str">
        <f t="shared" si="4"/>
        <v>PremiumSS5R5only</v>
      </c>
      <c r="D77" s="7" t="str">
        <f t="shared" si="6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ネメシス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>
        <f>VLOOKUP(B77,[1]characters!$A:$G,7,FALSE)</f>
        <v>0</v>
      </c>
      <c r="O77" s="45">
        <f t="shared" si="7"/>
        <v>20</v>
      </c>
      <c r="P77" s="46">
        <f t="shared" si="5"/>
        <v>1.7543859649122806E-2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456104</v>
      </c>
      <c r="B78" s="5">
        <v>1226</v>
      </c>
      <c r="C78" s="7" t="str">
        <f t="shared" ref="C78:C80" si="8">D78&amp;J78&amp;E78&amp;F78&amp;G78</f>
        <v>PremiumSS5R5only</v>
      </c>
      <c r="D78" s="7" t="str">
        <f t="shared" ref="D78:D80" si="9">IF(OR(I78="PremiumSS",I78="PremiumSSw"),"PremiumSS",IF(I78="PremiumSSS",I78,IF(I78="PremiumW",IF(J78=5,"premium",I78),"Premium")))</f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トルストイ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green</v>
      </c>
      <c r="L78" s="7" t="str">
        <f>VLOOKUP(B78,[1]characters!$A:$K,11,FALSE)</f>
        <v>attack</v>
      </c>
      <c r="M78" s="7" t="str">
        <f>VLOOKUP(B78,[1]characters!$A:$M,13,FALSE)</f>
        <v>human</v>
      </c>
      <c r="N78" s="7">
        <f>VLOOKUP(B78,[1]characters!$A:$G,7,FALSE)</f>
        <v>0</v>
      </c>
      <c r="O78" s="45">
        <f t="shared" si="7"/>
        <v>20</v>
      </c>
      <c r="P78" s="46">
        <f t="shared" ref="P78:P80" si="10">O78/SUM(O:O)</f>
        <v>1.7543859649122806E-2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456104</v>
      </c>
      <c r="B79" s="5">
        <v>1228</v>
      </c>
      <c r="C79" s="7" t="str">
        <f t="shared" si="8"/>
        <v>PremiumSS5R5only</v>
      </c>
      <c r="D79" s="7" t="str">
        <f t="shared" si="9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芥川龍之介</v>
      </c>
      <c r="I79" s="7" t="str">
        <f>VLOOKUP(B79,[1]characters!$A:$J,10,FALSE)</f>
        <v>PremiumSSw</v>
      </c>
      <c r="J79" s="7">
        <f>VLOOKUP(B79,[1]characters!$A:$I,9,FALSE)</f>
        <v>5</v>
      </c>
      <c r="K79" s="7" t="str">
        <f>VLOOKUP(B79,[1]characters!$A:$H,8,FALSE)</f>
        <v>blue</v>
      </c>
      <c r="L79" s="7" t="str">
        <f>VLOOKUP(B79,[1]characters!$A:$K,11,FALSE)</f>
        <v>attack</v>
      </c>
      <c r="M79" s="7" t="str">
        <f>VLOOKUP(B79,[1]characters!$A:$M,13,FALSE)</f>
        <v>human</v>
      </c>
      <c r="N79" s="7">
        <f>VLOOKUP(B79,[1]characters!$A:$G,7,FALSE)</f>
        <v>0</v>
      </c>
      <c r="O79" s="45">
        <f t="shared" si="7"/>
        <v>20</v>
      </c>
      <c r="P79" s="46">
        <f t="shared" si="10"/>
        <v>1.7543859649122806E-2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456104</v>
      </c>
      <c r="B80" s="5">
        <v>1230</v>
      </c>
      <c r="C80" s="7" t="str">
        <f t="shared" si="8"/>
        <v>PremiumSS5R5only</v>
      </c>
      <c r="D80" s="7" t="str">
        <f t="shared" si="9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夏目漱石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yellow</v>
      </c>
      <c r="L80" s="7" t="str">
        <f>VLOOKUP(B80,[1]characters!$A:$K,11,FALSE)</f>
        <v>heal</v>
      </c>
      <c r="M80" s="7" t="str">
        <f>VLOOKUP(B80,[1]characters!$A:$M,13,FALSE)</f>
        <v>animal</v>
      </c>
      <c r="N80" s="7">
        <f>VLOOKUP(B80,[1]characters!$A:$G,7,FALSE)</f>
        <v>0</v>
      </c>
      <c r="O80" s="45">
        <f t="shared" si="7"/>
        <v>20</v>
      </c>
      <c r="P80" s="46">
        <f t="shared" si="10"/>
        <v>1.7543859649122806E-2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/>
      <c r="B81" s="5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45"/>
      <c r="P81" s="46"/>
      <c r="Q81" s="30"/>
      <c r="R81" s="30"/>
      <c r="S81" s="30"/>
      <c r="T81" s="30"/>
      <c r="U81" s="30"/>
      <c r="V81" s="30"/>
    </row>
    <row r="82" spans="1:22" ht="21" customHeight="1" x14ac:dyDescent="0.15">
      <c r="A82" s="2"/>
      <c r="B82" s="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45"/>
      <c r="P82" s="46"/>
      <c r="Q82" s="30"/>
      <c r="R82" s="30"/>
      <c r="S82" s="30"/>
      <c r="T82" s="30"/>
      <c r="U82" s="30"/>
      <c r="V82" s="30"/>
    </row>
    <row r="83" spans="1:22" ht="21" customHeight="1" x14ac:dyDescent="0.15">
      <c r="A83" s="2"/>
      <c r="B83" s="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45"/>
      <c r="P83" s="46"/>
      <c r="Q83" s="30"/>
      <c r="R83" s="30"/>
      <c r="S83" s="30"/>
      <c r="T83" s="30"/>
      <c r="U83" s="30"/>
      <c r="V83" s="30"/>
    </row>
    <row r="84" spans="1:22" ht="21" customHeight="1" x14ac:dyDescent="0.15">
      <c r="A84" s="2"/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45"/>
      <c r="P84" s="46"/>
      <c r="Q84" s="30"/>
      <c r="R84" s="30"/>
      <c r="S84" s="30"/>
      <c r="T84" s="30"/>
      <c r="U84" s="30"/>
      <c r="V84" s="30"/>
    </row>
    <row r="85" spans="1:22" ht="21" customHeight="1" x14ac:dyDescent="0.15">
      <c r="A85" s="2"/>
      <c r="B85" s="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45"/>
      <c r="P85" s="46"/>
      <c r="Q85" s="30"/>
      <c r="R85" s="30"/>
      <c r="S85" s="30"/>
      <c r="T85" s="30"/>
      <c r="U85" s="30"/>
      <c r="V85" s="30"/>
    </row>
    <row r="86" spans="1:22" ht="21" customHeight="1" x14ac:dyDescent="0.15">
      <c r="A86" s="2"/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45"/>
      <c r="P86" s="46"/>
      <c r="Q86" s="30"/>
      <c r="R86" s="30"/>
      <c r="S86" s="30"/>
      <c r="T86" s="30"/>
      <c r="U86" s="30"/>
      <c r="V86" s="30"/>
    </row>
    <row r="87" spans="1:22" ht="21" customHeight="1" x14ac:dyDescent="0.15">
      <c r="A87" s="2"/>
      <c r="B87" s="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45"/>
      <c r="P87" s="46"/>
      <c r="Q87" s="30"/>
      <c r="R87" s="30"/>
      <c r="S87" s="30"/>
      <c r="T87" s="30"/>
      <c r="U87" s="30"/>
      <c r="V87" s="30"/>
    </row>
    <row r="88" spans="1:22" ht="21" customHeight="1" x14ac:dyDescent="0.15">
      <c r="A88" s="2"/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45"/>
      <c r="P88" s="46"/>
      <c r="Q88" s="30"/>
      <c r="R88" s="30"/>
      <c r="S88" s="30"/>
      <c r="T88" s="30"/>
      <c r="U88" s="30"/>
      <c r="V88" s="30"/>
    </row>
    <row r="89" spans="1:22" ht="21" customHeight="1" x14ac:dyDescent="0.15">
      <c r="A89" s="2"/>
      <c r="B89" s="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45"/>
      <c r="P89" s="46"/>
      <c r="Q89" s="30"/>
      <c r="R89" s="30"/>
      <c r="S89" s="30"/>
      <c r="T89" s="30"/>
      <c r="U89" s="30"/>
      <c r="V89" s="30"/>
    </row>
    <row r="90" spans="1:22" ht="21" customHeight="1" x14ac:dyDescent="0.15">
      <c r="A90" s="2"/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45"/>
      <c r="P90" s="46"/>
      <c r="Q90" s="30"/>
      <c r="R90" s="30"/>
      <c r="S90" s="30"/>
      <c r="T90" s="30"/>
      <c r="U90" s="30"/>
      <c r="V90" s="30"/>
    </row>
    <row r="91" spans="1:22" ht="21" customHeight="1" x14ac:dyDescent="0.15">
      <c r="A91" s="2"/>
      <c r="B91" s="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45"/>
      <c r="P91" s="46"/>
      <c r="Q91" s="30"/>
      <c r="R91" s="30"/>
      <c r="S91" s="30"/>
      <c r="T91" s="30"/>
      <c r="U91" s="30"/>
      <c r="V91" s="30"/>
    </row>
    <row r="92" spans="1:22" ht="21" customHeight="1" x14ac:dyDescent="0.15">
      <c r="A92" s="2"/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45"/>
      <c r="P92" s="46"/>
      <c r="Q92" s="30"/>
      <c r="R92" s="30"/>
      <c r="S92" s="30"/>
      <c r="T92" s="30"/>
      <c r="U92" s="30"/>
      <c r="V92" s="30"/>
    </row>
    <row r="93" spans="1:22" ht="21" customHeight="1" x14ac:dyDescent="0.15">
      <c r="A93" s="2"/>
      <c r="B93" s="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45"/>
      <c r="P93" s="46"/>
      <c r="Q93" s="30"/>
      <c r="R93" s="30"/>
      <c r="S93" s="30"/>
      <c r="T93" s="30"/>
      <c r="U93" s="30"/>
      <c r="V93" s="30"/>
    </row>
    <row r="94" spans="1:22" ht="21" customHeight="1" x14ac:dyDescent="0.15">
      <c r="A94" s="2"/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45"/>
      <c r="P94" s="46"/>
      <c r="Q94" s="30"/>
      <c r="R94" s="30"/>
      <c r="S94" s="30"/>
      <c r="T94" s="30"/>
      <c r="U94" s="30"/>
      <c r="V94" s="30"/>
    </row>
    <row r="95" spans="1:22" ht="21" customHeight="1" x14ac:dyDescent="0.15">
      <c r="A95" s="2"/>
      <c r="B95" s="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45"/>
      <c r="P95" s="46"/>
      <c r="Q95" s="30"/>
      <c r="R95" s="30"/>
      <c r="S95" s="30"/>
      <c r="T95" s="30"/>
      <c r="U95" s="30"/>
      <c r="V95" s="30"/>
    </row>
    <row r="96" spans="1:22" ht="21" customHeight="1" x14ac:dyDescent="0.15">
      <c r="A96" s="2"/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45"/>
      <c r="P96" s="46"/>
      <c r="Q96" s="30"/>
      <c r="R96" s="30"/>
      <c r="S96" s="30"/>
      <c r="T96" s="30"/>
      <c r="U96" s="30"/>
      <c r="V96" s="30"/>
    </row>
    <row r="97" spans="1:22" ht="21" customHeight="1" x14ac:dyDescent="0.15">
      <c r="A97" s="2"/>
      <c r="B97" s="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45"/>
      <c r="P97" s="46"/>
      <c r="Q97" s="30"/>
      <c r="R97" s="30"/>
      <c r="S97" s="30"/>
      <c r="T97" s="30"/>
      <c r="U97" s="30"/>
      <c r="V97" s="30"/>
    </row>
    <row r="98" spans="1:22" ht="21" customHeight="1" x14ac:dyDescent="0.15">
      <c r="A98" s="2"/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45"/>
      <c r="P98" s="46"/>
      <c r="Q98" s="30"/>
      <c r="R98" s="30"/>
      <c r="S98" s="30"/>
      <c r="T98" s="30"/>
      <c r="U98" s="30"/>
      <c r="V98" s="30"/>
    </row>
    <row r="99" spans="1:22" ht="21" customHeight="1" x14ac:dyDescent="0.15">
      <c r="A99" s="2"/>
      <c r="B99" s="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45"/>
      <c r="P99" s="46"/>
      <c r="Q99" s="30"/>
      <c r="R99" s="30"/>
      <c r="S99" s="30"/>
      <c r="T99" s="30"/>
      <c r="U99" s="30"/>
      <c r="V99" s="30"/>
    </row>
    <row r="100" spans="1:22" ht="21" customHeight="1" x14ac:dyDescent="0.15">
      <c r="A100" s="2"/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45"/>
      <c r="P100" s="46"/>
      <c r="Q100" s="30"/>
      <c r="R100" s="30"/>
      <c r="S100" s="30"/>
      <c r="T100" s="30"/>
      <c r="U100" s="30"/>
      <c r="V100" s="30"/>
    </row>
    <row r="101" spans="1:22" ht="21" customHeight="1" x14ac:dyDescent="0.15">
      <c r="A101" s="2"/>
      <c r="B101" s="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45"/>
      <c r="P101" s="46"/>
      <c r="Q101" s="30"/>
      <c r="R101" s="30"/>
      <c r="S101" s="30"/>
      <c r="T101" s="30"/>
      <c r="U101" s="30"/>
      <c r="V101" s="30"/>
    </row>
    <row r="102" spans="1:22" ht="21" customHeight="1" x14ac:dyDescent="0.15">
      <c r="A102" s="2"/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45"/>
      <c r="P102" s="46"/>
      <c r="Q102" s="30"/>
      <c r="R102" s="30"/>
      <c r="S102" s="30"/>
      <c r="T102" s="30"/>
      <c r="U102" s="30"/>
      <c r="V102" s="30"/>
    </row>
    <row r="103" spans="1:22" ht="21" customHeight="1" x14ac:dyDescent="0.15">
      <c r="A103" s="2"/>
      <c r="B103" s="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45"/>
      <c r="P103" s="46"/>
      <c r="Q103" s="30"/>
      <c r="R103" s="30"/>
      <c r="S103" s="30"/>
      <c r="T103" s="30"/>
      <c r="U103" s="30"/>
      <c r="V103" s="30"/>
    </row>
    <row r="104" spans="1:22" ht="21" customHeight="1" x14ac:dyDescent="0.15">
      <c r="A104" s="2"/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45"/>
      <c r="P104" s="46"/>
      <c r="Q104" s="30"/>
      <c r="R104" s="30"/>
      <c r="S104" s="30"/>
      <c r="T104" s="30"/>
      <c r="U104" s="30"/>
      <c r="V104" s="30"/>
    </row>
    <row r="105" spans="1:22" ht="21" customHeight="1" x14ac:dyDescent="0.15">
      <c r="A105" s="2"/>
      <c r="B105" s="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45"/>
      <c r="P105" s="46"/>
      <c r="Q105" s="30"/>
      <c r="R105" s="30"/>
      <c r="S105" s="30"/>
      <c r="T105" s="30"/>
      <c r="U105" s="30"/>
      <c r="V105" s="30"/>
    </row>
    <row r="106" spans="1:22" ht="21" customHeight="1" x14ac:dyDescent="0.15">
      <c r="A106" s="2"/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45"/>
      <c r="P106" s="46"/>
      <c r="Q106" s="30"/>
      <c r="R106" s="30"/>
      <c r="S106" s="30"/>
      <c r="T106" s="30"/>
      <c r="U106" s="30"/>
      <c r="V106" s="30"/>
    </row>
    <row r="107" spans="1:22" ht="21" customHeight="1" x14ac:dyDescent="0.15">
      <c r="A107" s="2"/>
      <c r="B107" s="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45"/>
      <c r="P107" s="46"/>
      <c r="Q107" s="30"/>
      <c r="R107" s="30"/>
      <c r="S107" s="30"/>
      <c r="T107" s="30"/>
      <c r="U107" s="30"/>
      <c r="V107" s="30"/>
    </row>
    <row r="108" spans="1:22" ht="21" customHeight="1" x14ac:dyDescent="0.15">
      <c r="A108" s="2"/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45"/>
      <c r="P108" s="46"/>
      <c r="Q108" s="30"/>
      <c r="R108" s="30"/>
      <c r="S108" s="30"/>
      <c r="T108" s="30"/>
      <c r="U108" s="30"/>
      <c r="V108" s="30"/>
    </row>
    <row r="109" spans="1:22" ht="21" customHeight="1" x14ac:dyDescent="0.15">
      <c r="A109" s="2"/>
      <c r="B109" s="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45"/>
      <c r="P109" s="46"/>
      <c r="Q109" s="30"/>
      <c r="R109" s="30"/>
      <c r="S109" s="30"/>
      <c r="T109" s="30"/>
      <c r="U109" s="30"/>
      <c r="V109" s="30"/>
    </row>
    <row r="110" spans="1:22" ht="21" customHeight="1" x14ac:dyDescent="0.15">
      <c r="A110" s="2"/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45"/>
      <c r="P110" s="46"/>
      <c r="Q110" s="30"/>
      <c r="R110" s="30"/>
      <c r="S110" s="30"/>
      <c r="T110" s="30"/>
      <c r="U110" s="30"/>
      <c r="V110" s="30"/>
    </row>
    <row r="111" spans="1:22" ht="21" customHeight="1" x14ac:dyDescent="0.15">
      <c r="A111" s="2"/>
      <c r="B111" s="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45"/>
      <c r="P111" s="46"/>
      <c r="Q111" s="30"/>
      <c r="R111" s="30"/>
      <c r="S111" s="30"/>
      <c r="T111" s="30"/>
      <c r="U111" s="30"/>
      <c r="V111" s="30"/>
    </row>
    <row r="112" spans="1:22" ht="21" customHeight="1" x14ac:dyDescent="0.15">
      <c r="A112" s="2"/>
      <c r="B112" s="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45"/>
      <c r="P112" s="46"/>
      <c r="Q112" s="30"/>
      <c r="R112" s="30"/>
      <c r="S112" s="30"/>
      <c r="T112" s="30"/>
      <c r="U112" s="30"/>
      <c r="V112" s="30"/>
    </row>
    <row r="113" spans="1:22" ht="21" customHeight="1" x14ac:dyDescent="0.15">
      <c r="A113" s="2"/>
      <c r="B113" s="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45"/>
      <c r="P113" s="46"/>
      <c r="Q113" s="30"/>
      <c r="R113" s="30"/>
      <c r="S113" s="30"/>
      <c r="T113" s="30"/>
      <c r="U113" s="30"/>
      <c r="V113" s="30"/>
    </row>
    <row r="114" spans="1:22" ht="21" customHeight="1" x14ac:dyDescent="0.15">
      <c r="A114" s="2"/>
      <c r="B114" s="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45"/>
      <c r="P114" s="46"/>
      <c r="Q114" s="30"/>
      <c r="R114" s="30"/>
      <c r="S114" s="30"/>
      <c r="T114" s="30"/>
      <c r="U114" s="30"/>
      <c r="V114" s="30"/>
    </row>
    <row r="115" spans="1:22" ht="21" customHeight="1" x14ac:dyDescent="0.15">
      <c r="A115" s="2"/>
      <c r="B115" s="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45"/>
      <c r="P115" s="46"/>
      <c r="Q115" s="30"/>
      <c r="R115" s="30"/>
      <c r="S115" s="30"/>
      <c r="T115" s="30"/>
      <c r="U115" s="30"/>
      <c r="V115" s="30"/>
    </row>
    <row r="116" spans="1:22" ht="21" customHeight="1" x14ac:dyDescent="0.15">
      <c r="A116" s="2"/>
      <c r="B116" s="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45"/>
      <c r="P116" s="46"/>
      <c r="Q116" s="30"/>
      <c r="R116" s="30"/>
      <c r="S116" s="30"/>
      <c r="T116" s="30"/>
      <c r="U116" s="30"/>
      <c r="V116" s="30"/>
    </row>
    <row r="117" spans="1:22" ht="21" customHeight="1" x14ac:dyDescent="0.15">
      <c r="A117" s="2"/>
      <c r="B117" s="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45"/>
      <c r="P117" s="46"/>
      <c r="Q117" s="30"/>
      <c r="R117" s="30"/>
      <c r="S117" s="30"/>
      <c r="T117" s="30"/>
      <c r="U117" s="30"/>
      <c r="V117" s="30"/>
    </row>
    <row r="118" spans="1:22" ht="21" customHeight="1" x14ac:dyDescent="0.15">
      <c r="A118" s="2"/>
      <c r="B118" s="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45"/>
      <c r="P118" s="46"/>
      <c r="Q118" s="30"/>
      <c r="R118" s="30"/>
      <c r="S118" s="30"/>
      <c r="T118" s="30"/>
      <c r="U118" s="30"/>
      <c r="V118" s="30"/>
    </row>
    <row r="119" spans="1:22" ht="21" customHeight="1" x14ac:dyDescent="0.15">
      <c r="A119" s="2"/>
      <c r="B119" s="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45"/>
      <c r="P119" s="46"/>
      <c r="Q119" s="30"/>
      <c r="R119" s="30"/>
      <c r="S119" s="30"/>
      <c r="T119" s="30"/>
      <c r="U119" s="30"/>
      <c r="V119" s="30"/>
    </row>
    <row r="120" spans="1:22" ht="21" customHeight="1" x14ac:dyDescent="0.15">
      <c r="A120" s="2"/>
      <c r="B120" s="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45"/>
      <c r="P120" s="46"/>
      <c r="Q120" s="30"/>
      <c r="R120" s="30"/>
      <c r="S120" s="30"/>
      <c r="T120" s="30"/>
      <c r="U120" s="30"/>
      <c r="V120" s="30"/>
    </row>
    <row r="121" spans="1:22" ht="21" customHeight="1" x14ac:dyDescent="0.15">
      <c r="A121" s="2"/>
      <c r="B121" s="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45"/>
      <c r="P121" s="46"/>
      <c r="Q121" s="30"/>
      <c r="R121" s="30"/>
      <c r="S121" s="30"/>
      <c r="T121" s="30"/>
      <c r="U121" s="30"/>
      <c r="V121" s="30"/>
    </row>
    <row r="122" spans="1:22" ht="21" customHeight="1" x14ac:dyDescent="0.15">
      <c r="A122" s="2"/>
      <c r="B122" s="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45"/>
      <c r="P122" s="46"/>
      <c r="Q122" s="30"/>
      <c r="R122" s="30"/>
      <c r="S122" s="30"/>
      <c r="T122" s="30"/>
      <c r="U122" s="30"/>
      <c r="V122" s="30"/>
    </row>
    <row r="123" spans="1:22" ht="21" customHeight="1" x14ac:dyDescent="0.15">
      <c r="A123" s="2"/>
      <c r="B123" s="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45"/>
      <c r="P123" s="46"/>
      <c r="Q123" s="30"/>
      <c r="R123" s="30"/>
      <c r="S123" s="30"/>
      <c r="T123" s="30"/>
      <c r="U123" s="30"/>
      <c r="V123" s="30"/>
    </row>
    <row r="124" spans="1:22" ht="21" customHeight="1" x14ac:dyDescent="0.15">
      <c r="A124" s="2"/>
      <c r="B124" s="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45"/>
      <c r="P124" s="46"/>
      <c r="Q124" s="30"/>
      <c r="R124" s="30"/>
      <c r="S124" s="30"/>
      <c r="T124" s="30"/>
      <c r="U124" s="30"/>
      <c r="V124" s="30"/>
    </row>
    <row r="125" spans="1:22" ht="21" customHeight="1" x14ac:dyDescent="0.15">
      <c r="A125" s="2"/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45"/>
      <c r="P125" s="46"/>
      <c r="Q125" s="30"/>
      <c r="R125" s="30"/>
      <c r="S125" s="30"/>
      <c r="T125" s="30"/>
      <c r="U125" s="30"/>
      <c r="V125" s="30"/>
    </row>
    <row r="126" spans="1:22" ht="21" customHeight="1" x14ac:dyDescent="0.15">
      <c r="A126" s="2"/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45"/>
      <c r="P126" s="46"/>
      <c r="Q126" s="30"/>
      <c r="R126" s="30"/>
      <c r="S126" s="30"/>
      <c r="T126" s="30"/>
      <c r="U126" s="30"/>
      <c r="V126" s="30"/>
    </row>
    <row r="127" spans="1:22" ht="21" customHeight="1" x14ac:dyDescent="0.15">
      <c r="A127" s="2"/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45"/>
      <c r="P127" s="46"/>
      <c r="Q127" s="30"/>
      <c r="R127" s="30"/>
      <c r="S127" s="30"/>
      <c r="T127" s="30"/>
      <c r="U127" s="30"/>
      <c r="V127" s="30"/>
    </row>
    <row r="128" spans="1:22" ht="21" customHeight="1" x14ac:dyDescent="0.15">
      <c r="A128" s="2"/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45"/>
      <c r="P128" s="46"/>
      <c r="Q128" s="30"/>
      <c r="R128" s="30"/>
      <c r="S128" s="30"/>
      <c r="T128" s="30"/>
      <c r="U128" s="30"/>
      <c r="V128" s="30"/>
    </row>
    <row r="129" spans="1:22" ht="21" customHeight="1" x14ac:dyDescent="0.15">
      <c r="A129" s="2"/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45"/>
      <c r="P129" s="46"/>
      <c r="Q129" s="30"/>
      <c r="R129" s="30"/>
      <c r="S129" s="30"/>
      <c r="T129" s="30"/>
      <c r="U129" s="30"/>
      <c r="V129" s="30"/>
    </row>
    <row r="130" spans="1:22" ht="21" customHeight="1" x14ac:dyDescent="0.15">
      <c r="A130" s="2"/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45"/>
      <c r="P130" s="46"/>
      <c r="Q130" s="30"/>
      <c r="R130" s="30"/>
      <c r="S130" s="30"/>
      <c r="T130" s="30"/>
      <c r="U130" s="30"/>
      <c r="V130" s="30"/>
    </row>
    <row r="131" spans="1:22" ht="21" customHeight="1" x14ac:dyDescent="0.15">
      <c r="A131" s="2"/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45"/>
      <c r="P131" s="46"/>
      <c r="Q131" s="30"/>
      <c r="R131" s="30"/>
      <c r="S131" s="30"/>
      <c r="T131" s="30"/>
      <c r="U131" s="30"/>
      <c r="V131" s="30"/>
    </row>
    <row r="132" spans="1:22" ht="21" customHeight="1" x14ac:dyDescent="0.15">
      <c r="A132" s="2"/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45"/>
      <c r="P132" s="46"/>
      <c r="Q132" s="30"/>
      <c r="R132" s="30"/>
      <c r="S132" s="30"/>
      <c r="T132" s="30"/>
      <c r="U132" s="30"/>
      <c r="V132" s="30"/>
    </row>
    <row r="133" spans="1:22" ht="21" customHeight="1" x14ac:dyDescent="0.15">
      <c r="A133" s="2"/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45"/>
      <c r="P133" s="46"/>
      <c r="Q133" s="30"/>
      <c r="R133" s="30"/>
      <c r="S133" s="30"/>
      <c r="T133" s="30"/>
      <c r="U133" s="30"/>
      <c r="V133" s="30"/>
    </row>
    <row r="134" spans="1:22" ht="21" customHeight="1" x14ac:dyDescent="0.15">
      <c r="A134" s="2"/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45"/>
      <c r="P134" s="46"/>
      <c r="Q134" s="30"/>
      <c r="R134" s="30"/>
      <c r="S134" s="30"/>
      <c r="T134" s="30"/>
      <c r="U134" s="30"/>
      <c r="V134" s="30"/>
    </row>
    <row r="135" spans="1:22" ht="21" customHeight="1" x14ac:dyDescent="0.15">
      <c r="A135" s="2"/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45"/>
      <c r="P135" s="46"/>
      <c r="Q135" s="30"/>
      <c r="R135" s="30"/>
      <c r="S135" s="30"/>
      <c r="T135" s="30"/>
      <c r="U135" s="30"/>
      <c r="V135" s="30"/>
    </row>
    <row r="136" spans="1:22" ht="21" customHeight="1" x14ac:dyDescent="0.15">
      <c r="A136" s="2"/>
      <c r="B136" s="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45"/>
      <c r="P136" s="46"/>
      <c r="Q136" s="30"/>
      <c r="R136" s="30"/>
      <c r="S136" s="30"/>
      <c r="T136" s="30"/>
      <c r="U136" s="30"/>
      <c r="V136" s="30"/>
    </row>
    <row r="137" spans="1:22" ht="21" customHeight="1" x14ac:dyDescent="0.15">
      <c r="A137" s="2"/>
      <c r="B137" s="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45"/>
      <c r="P137" s="46"/>
      <c r="Q137" s="30"/>
      <c r="R137" s="30"/>
      <c r="S137" s="30"/>
      <c r="T137" s="30"/>
      <c r="U137" s="30"/>
      <c r="V137" s="30"/>
    </row>
    <row r="138" spans="1:22" ht="21" customHeight="1" x14ac:dyDescent="0.15">
      <c r="A138" s="2"/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45"/>
      <c r="P138" s="46"/>
      <c r="Q138" s="30"/>
      <c r="R138" s="30"/>
      <c r="S138" s="30"/>
      <c r="T138" s="30"/>
      <c r="U138" s="30"/>
      <c r="V138" s="30"/>
    </row>
    <row r="139" spans="1:22" ht="21" customHeight="1" x14ac:dyDescent="0.15">
      <c r="A139" s="2"/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45"/>
      <c r="P139" s="46"/>
      <c r="Q139" s="30"/>
      <c r="R139" s="30"/>
      <c r="S139" s="30"/>
      <c r="T139" s="30"/>
      <c r="U139" s="30"/>
      <c r="V139" s="30"/>
    </row>
    <row r="140" spans="1:22" ht="21" customHeight="1" x14ac:dyDescent="0.15">
      <c r="A140" s="2"/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45"/>
      <c r="P140" s="46"/>
      <c r="Q140" s="30"/>
      <c r="R140" s="30"/>
      <c r="S140" s="30"/>
      <c r="T140" s="30"/>
      <c r="U140" s="30"/>
      <c r="V140" s="30"/>
    </row>
    <row r="141" spans="1:22" ht="21" customHeight="1" x14ac:dyDescent="0.15">
      <c r="A141" s="2"/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45"/>
      <c r="P141" s="46"/>
      <c r="Q141" s="30"/>
      <c r="R141" s="30"/>
      <c r="S141" s="30"/>
      <c r="T141" s="30"/>
      <c r="U141" s="30"/>
      <c r="V141" s="30"/>
    </row>
    <row r="142" spans="1:22" ht="21" customHeight="1" x14ac:dyDescent="0.15">
      <c r="A142" s="2"/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45"/>
      <c r="P142" s="46"/>
      <c r="Q142" s="30"/>
      <c r="R142" s="30"/>
      <c r="S142" s="30"/>
      <c r="T142" s="30"/>
      <c r="U142" s="30"/>
      <c r="V142" s="30"/>
    </row>
    <row r="143" spans="1:22" s="12" customFormat="1" ht="21" customHeight="1" thickBot="1" x14ac:dyDescent="0.2">
      <c r="A143" s="2"/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45"/>
      <c r="P143" s="46"/>
      <c r="Q143" s="30"/>
      <c r="R143" s="30"/>
      <c r="S143" s="30"/>
      <c r="T143" s="30"/>
      <c r="U143" s="30"/>
      <c r="V143" s="30"/>
    </row>
    <row r="144" spans="1:22" ht="21" customHeight="1" x14ac:dyDescent="0.15">
      <c r="A144" s="2"/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45"/>
      <c r="P144" s="46"/>
      <c r="Q144" s="30"/>
      <c r="R144" s="30"/>
      <c r="S144" s="30"/>
      <c r="T144" s="30"/>
      <c r="U144" s="30"/>
      <c r="V144" s="30"/>
    </row>
    <row r="145" spans="1:22" ht="21" customHeight="1" x14ac:dyDescent="0.15">
      <c r="A145" s="2"/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45"/>
      <c r="P145" s="46"/>
      <c r="Q145" s="30"/>
      <c r="R145" s="30"/>
      <c r="S145" s="30"/>
      <c r="T145" s="30"/>
      <c r="U145" s="30"/>
      <c r="V145" s="30"/>
    </row>
    <row r="146" spans="1:22" ht="21" customHeight="1" x14ac:dyDescent="0.15">
      <c r="A146" s="2"/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45"/>
      <c r="P146" s="46"/>
      <c r="Q146" s="30"/>
      <c r="R146" s="30"/>
      <c r="S146" s="30"/>
      <c r="T146" s="30"/>
      <c r="U146" s="30"/>
      <c r="V146" s="30"/>
    </row>
    <row r="147" spans="1:22" ht="21" customHeight="1" x14ac:dyDescent="0.15">
      <c r="A147" s="2"/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45"/>
      <c r="P147" s="46"/>
      <c r="Q147" s="30"/>
      <c r="R147" s="30"/>
      <c r="S147" s="30"/>
      <c r="T147" s="30"/>
      <c r="U147" s="30"/>
      <c r="V147" s="30"/>
    </row>
    <row r="148" spans="1:22" ht="21" customHeight="1" x14ac:dyDescent="0.15">
      <c r="A148" s="2"/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45"/>
      <c r="P148" s="46"/>
      <c r="Q148" s="30"/>
      <c r="R148" s="30"/>
      <c r="S148" s="30"/>
      <c r="T148" s="30"/>
      <c r="U148" s="30"/>
      <c r="V148" s="30"/>
    </row>
    <row r="149" spans="1:22" ht="21" customHeight="1" x14ac:dyDescent="0.15">
      <c r="A149" s="2"/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45"/>
      <c r="P149" s="46"/>
      <c r="Q149" s="30"/>
      <c r="R149" s="30"/>
      <c r="S149" s="30"/>
      <c r="T149" s="30"/>
      <c r="U149" s="30"/>
      <c r="V149" s="30"/>
    </row>
    <row r="150" spans="1:22" ht="21" customHeight="1" x14ac:dyDescent="0.15">
      <c r="A150" s="2"/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45"/>
      <c r="P150" s="46"/>
      <c r="Q150" s="30"/>
      <c r="R150" s="30"/>
      <c r="S150" s="30"/>
      <c r="T150" s="30"/>
      <c r="U150" s="30"/>
      <c r="V150" s="30"/>
    </row>
    <row r="151" spans="1:22" ht="21" customHeight="1" x14ac:dyDescent="0.15">
      <c r="A151" s="2"/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45"/>
      <c r="P151" s="46"/>
      <c r="Q151" s="30"/>
      <c r="R151" s="30"/>
      <c r="S151" s="30"/>
      <c r="T151" s="30"/>
      <c r="U151" s="30"/>
      <c r="V151" s="30"/>
    </row>
    <row r="152" spans="1:22" ht="21" customHeight="1" x14ac:dyDescent="0.15">
      <c r="A152" s="2"/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45"/>
      <c r="P152" s="46"/>
      <c r="Q152" s="30"/>
      <c r="R152" s="30"/>
      <c r="S152" s="30"/>
      <c r="T152" s="30"/>
      <c r="U152" s="30"/>
      <c r="V152" s="30"/>
    </row>
    <row r="153" spans="1:22" ht="21" customHeight="1" x14ac:dyDescent="0.15">
      <c r="A153" s="2"/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45"/>
      <c r="P153" s="46"/>
      <c r="Q153" s="30"/>
      <c r="R153" s="30"/>
      <c r="S153" s="30"/>
      <c r="T153" s="30"/>
      <c r="U153" s="30"/>
      <c r="V153" s="30"/>
    </row>
    <row r="154" spans="1:22" ht="21" customHeight="1" x14ac:dyDescent="0.15">
      <c r="A154" s="2"/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45"/>
      <c r="P154" s="46"/>
      <c r="Q154" s="30"/>
      <c r="R154" s="30"/>
      <c r="S154" s="30"/>
      <c r="T154" s="30"/>
      <c r="U154" s="30"/>
      <c r="V154" s="30"/>
    </row>
    <row r="155" spans="1:22" ht="21" customHeight="1" x14ac:dyDescent="0.15">
      <c r="A155" s="2"/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45"/>
      <c r="P155" s="46"/>
      <c r="Q155" s="30"/>
      <c r="R155" s="30"/>
      <c r="S155" s="30"/>
      <c r="T155" s="30"/>
      <c r="U155" s="30"/>
      <c r="V155" s="30"/>
    </row>
    <row r="156" spans="1:22" ht="21" customHeight="1" x14ac:dyDescent="0.15">
      <c r="A156" s="2"/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45"/>
      <c r="P156" s="46"/>
      <c r="Q156" s="30"/>
      <c r="R156" s="30"/>
      <c r="S156" s="30"/>
      <c r="T156" s="30"/>
      <c r="U156" s="30"/>
      <c r="V156" s="30"/>
    </row>
    <row r="157" spans="1:22" ht="21" customHeight="1" x14ac:dyDescent="0.15">
      <c r="A157" s="2"/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45"/>
      <c r="P157" s="46"/>
      <c r="Q157" s="30"/>
      <c r="R157" s="30"/>
      <c r="S157" s="30"/>
      <c r="T157" s="30"/>
      <c r="U157" s="30"/>
      <c r="V157" s="30"/>
    </row>
    <row r="158" spans="1:22" ht="21" customHeight="1" x14ac:dyDescent="0.15">
      <c r="A158" s="2"/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45"/>
      <c r="P158" s="46"/>
      <c r="Q158" s="30"/>
      <c r="R158" s="30"/>
      <c r="S158" s="30"/>
      <c r="T158" s="30"/>
      <c r="U158" s="30"/>
      <c r="V158" s="30"/>
    </row>
    <row r="159" spans="1:22" ht="21" customHeight="1" x14ac:dyDescent="0.15">
      <c r="A159" s="2"/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45"/>
      <c r="P159" s="46"/>
      <c r="Q159" s="30"/>
      <c r="R159" s="30"/>
      <c r="S159" s="30"/>
      <c r="T159" s="30"/>
      <c r="U159" s="30"/>
      <c r="V159" s="30"/>
    </row>
    <row r="160" spans="1:22" ht="21" customHeight="1" x14ac:dyDescent="0.15">
      <c r="A160" s="2"/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45"/>
      <c r="P160" s="46"/>
      <c r="Q160" s="30"/>
      <c r="R160" s="30"/>
      <c r="S160" s="30"/>
      <c r="T160" s="30"/>
      <c r="U160" s="30"/>
      <c r="V160" s="30"/>
    </row>
    <row r="161" spans="1:22" ht="21" customHeight="1" x14ac:dyDescent="0.15">
      <c r="A161" s="2"/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45"/>
      <c r="P161" s="46"/>
      <c r="Q161" s="30"/>
      <c r="R161" s="30"/>
      <c r="S161" s="30"/>
      <c r="T161" s="30"/>
      <c r="U161" s="30"/>
      <c r="V161" s="30"/>
    </row>
    <row r="162" spans="1:22" ht="21" customHeight="1" x14ac:dyDescent="0.15">
      <c r="A162" s="2"/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45"/>
      <c r="P162" s="46"/>
      <c r="Q162" s="30"/>
      <c r="R162" s="30"/>
      <c r="S162" s="30"/>
      <c r="T162" s="30"/>
      <c r="U162" s="30"/>
      <c r="V162" s="30"/>
    </row>
    <row r="163" spans="1:22" ht="21" customHeight="1" x14ac:dyDescent="0.15">
      <c r="A163" s="2"/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45"/>
      <c r="P163" s="46"/>
      <c r="Q163" s="30"/>
      <c r="R163" s="30"/>
      <c r="S163" s="30"/>
      <c r="T163" s="30"/>
      <c r="U163" s="30"/>
      <c r="V163" s="30"/>
    </row>
    <row r="164" spans="1:22" ht="21" customHeight="1" x14ac:dyDescent="0.15">
      <c r="A164" s="2"/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45"/>
      <c r="P164" s="46"/>
      <c r="Q164" s="30"/>
      <c r="R164" s="30"/>
      <c r="S164" s="30"/>
      <c r="T164" s="30"/>
      <c r="U164" s="30"/>
      <c r="V164" s="30"/>
    </row>
    <row r="165" spans="1:22" ht="21" customHeight="1" x14ac:dyDescent="0.15">
      <c r="A165" s="2"/>
      <c r="B165" s="6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45"/>
      <c r="P165" s="46"/>
      <c r="Q165" s="30"/>
      <c r="R165" s="30"/>
      <c r="S165" s="30"/>
      <c r="T165" s="30"/>
      <c r="U165" s="30"/>
      <c r="V165" s="30"/>
    </row>
    <row r="166" spans="1:22" ht="21" customHeight="1" x14ac:dyDescent="0.15">
      <c r="A166" s="2"/>
      <c r="B166" s="6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45"/>
      <c r="P166" s="46"/>
      <c r="Q166" s="30"/>
      <c r="R166" s="30"/>
      <c r="S166" s="30"/>
      <c r="T166" s="30"/>
      <c r="U166" s="30"/>
      <c r="V166" s="30"/>
    </row>
    <row r="167" spans="1:22" ht="21" customHeight="1" x14ac:dyDescent="0.15">
      <c r="A167" s="2"/>
      <c r="B167" s="6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45"/>
      <c r="P167" s="46"/>
      <c r="Q167" s="30"/>
      <c r="R167" s="30"/>
      <c r="S167" s="30"/>
      <c r="T167" s="30"/>
      <c r="U167" s="30"/>
      <c r="V167" s="30"/>
    </row>
    <row r="168" spans="1:22" ht="21" customHeight="1" x14ac:dyDescent="0.15">
      <c r="A168" s="2"/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45"/>
      <c r="P168" s="46"/>
      <c r="Q168" s="30"/>
      <c r="R168" s="30"/>
      <c r="S168" s="30"/>
      <c r="T168" s="30"/>
      <c r="U168" s="30"/>
      <c r="V168" s="30"/>
    </row>
    <row r="169" spans="1:22" ht="21" customHeight="1" x14ac:dyDescent="0.15">
      <c r="A169" s="2"/>
      <c r="B169" s="6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45"/>
      <c r="P169" s="46"/>
      <c r="Q169" s="30"/>
      <c r="R169" s="30"/>
      <c r="S169" s="30"/>
      <c r="T169" s="30"/>
      <c r="U169" s="30"/>
      <c r="V169" s="30"/>
    </row>
    <row r="170" spans="1:22" ht="21" customHeight="1" x14ac:dyDescent="0.15">
      <c r="A170" s="2"/>
      <c r="B170" s="6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45"/>
      <c r="P170" s="46"/>
      <c r="Q170" s="30"/>
      <c r="R170" s="30"/>
      <c r="S170" s="30"/>
      <c r="T170" s="30"/>
      <c r="U170" s="30"/>
      <c r="V170" s="30"/>
    </row>
    <row r="171" spans="1:22" ht="21" customHeight="1" x14ac:dyDescent="0.15">
      <c r="A171" s="2"/>
      <c r="B171" s="6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45"/>
      <c r="P171" s="46"/>
      <c r="Q171" s="30"/>
      <c r="R171" s="30"/>
      <c r="S171" s="30"/>
      <c r="T171" s="30"/>
      <c r="U171" s="30"/>
      <c r="V171" s="30"/>
    </row>
    <row r="172" spans="1:22" ht="21" customHeight="1" x14ac:dyDescent="0.15">
      <c r="A172" s="2"/>
      <c r="B172" s="6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45"/>
      <c r="P172" s="46"/>
      <c r="Q172" s="30"/>
      <c r="R172" s="30"/>
      <c r="S172" s="30"/>
      <c r="T172" s="30"/>
      <c r="U172" s="30"/>
      <c r="V172" s="30"/>
    </row>
    <row r="173" spans="1:22" ht="21" customHeight="1" x14ac:dyDescent="0.15">
      <c r="A173" s="2"/>
      <c r="B173" s="6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45"/>
      <c r="P173" s="46"/>
      <c r="Q173" s="30"/>
      <c r="R173" s="30"/>
      <c r="S173" s="30"/>
      <c r="T173" s="30"/>
      <c r="U173" s="30"/>
      <c r="V173" s="30"/>
    </row>
    <row r="174" spans="1:22" ht="21" customHeight="1" x14ac:dyDescent="0.15">
      <c r="A174" s="2"/>
      <c r="B174" s="6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45"/>
      <c r="P174" s="46"/>
      <c r="Q174" s="30"/>
      <c r="R174" s="30"/>
      <c r="S174" s="30"/>
      <c r="T174" s="30"/>
      <c r="U174" s="30"/>
      <c r="V174" s="30"/>
    </row>
    <row r="175" spans="1:22" ht="21" customHeight="1" x14ac:dyDescent="0.15">
      <c r="A175" s="2"/>
      <c r="B175" s="6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45"/>
      <c r="P175" s="46"/>
      <c r="Q175" s="30"/>
      <c r="R175" s="30"/>
      <c r="S175" s="30"/>
      <c r="T175" s="30"/>
      <c r="U175" s="30"/>
      <c r="V175" s="30"/>
    </row>
    <row r="176" spans="1:22" ht="21" customHeight="1" x14ac:dyDescent="0.15">
      <c r="A176" s="2"/>
      <c r="B176" s="6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45"/>
      <c r="P176" s="46"/>
      <c r="Q176" s="30"/>
      <c r="R176" s="30"/>
      <c r="S176" s="30"/>
      <c r="T176" s="30"/>
      <c r="U176" s="30"/>
      <c r="V176" s="30"/>
    </row>
    <row r="177" spans="1:22" ht="21" customHeight="1" x14ac:dyDescent="0.15">
      <c r="A177" s="2"/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45"/>
      <c r="P177" s="46"/>
      <c r="Q177" s="30"/>
      <c r="R177" s="30"/>
      <c r="S177" s="30"/>
      <c r="T177" s="30"/>
      <c r="U177" s="30"/>
      <c r="V177" s="30"/>
    </row>
    <row r="178" spans="1:22" ht="21" customHeight="1" x14ac:dyDescent="0.15">
      <c r="A178" s="2"/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45"/>
      <c r="P178" s="46"/>
      <c r="Q178" s="30"/>
      <c r="R178" s="30"/>
      <c r="S178" s="30"/>
      <c r="T178" s="30"/>
      <c r="U178" s="30"/>
      <c r="V178" s="30"/>
    </row>
    <row r="179" spans="1:22" ht="21" customHeight="1" x14ac:dyDescent="0.15">
      <c r="A179" s="2"/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45"/>
      <c r="P179" s="46"/>
      <c r="Q179" s="30"/>
      <c r="R179" s="30"/>
      <c r="S179" s="30"/>
      <c r="T179" s="30"/>
      <c r="U179" s="30"/>
      <c r="V179" s="30"/>
    </row>
    <row r="180" spans="1:22" ht="21" customHeight="1" x14ac:dyDescent="0.15">
      <c r="A180" s="2"/>
      <c r="B180" s="6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45"/>
      <c r="P180" s="46"/>
      <c r="Q180" s="30"/>
      <c r="R180" s="30"/>
      <c r="S180" s="30"/>
      <c r="T180" s="30"/>
      <c r="U180" s="30"/>
      <c r="V180" s="30"/>
    </row>
    <row r="181" spans="1:22" ht="21" customHeight="1" x14ac:dyDescent="0.15">
      <c r="A181" s="2"/>
      <c r="B181" s="6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45"/>
      <c r="P181" s="46"/>
      <c r="Q181" s="30"/>
      <c r="R181" s="30"/>
      <c r="S181" s="30"/>
      <c r="T181" s="30"/>
      <c r="U181" s="30"/>
      <c r="V181" s="30"/>
    </row>
    <row r="182" spans="1:22" ht="21" customHeight="1" x14ac:dyDescent="0.15">
      <c r="A182" s="2"/>
      <c r="B182" s="6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45"/>
      <c r="P182" s="46"/>
      <c r="Q182" s="30"/>
      <c r="R182" s="30"/>
      <c r="S182" s="30"/>
      <c r="T182" s="30"/>
      <c r="U182" s="30"/>
      <c r="V182" s="30"/>
    </row>
    <row r="183" spans="1:22" ht="21" customHeight="1" x14ac:dyDescent="0.15">
      <c r="A183" s="2"/>
      <c r="B183" s="6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45"/>
      <c r="P183" s="46"/>
      <c r="Q183" s="30"/>
      <c r="R183" s="30"/>
      <c r="S183" s="30"/>
      <c r="T183" s="30"/>
      <c r="U183" s="30"/>
      <c r="V183" s="30"/>
    </row>
    <row r="184" spans="1:22" ht="21" customHeight="1" x14ac:dyDescent="0.15">
      <c r="A184" s="2"/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45"/>
      <c r="P184" s="46"/>
      <c r="Q184" s="30"/>
      <c r="R184" s="30"/>
      <c r="S184" s="30"/>
      <c r="T184" s="30"/>
      <c r="U184" s="30"/>
      <c r="V184" s="30"/>
    </row>
    <row r="185" spans="1:22" ht="21" customHeight="1" x14ac:dyDescent="0.15">
      <c r="A185" s="2"/>
      <c r="B185" s="6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45"/>
      <c r="P185" s="46"/>
      <c r="Q185" s="30"/>
      <c r="R185" s="30"/>
      <c r="S185" s="30"/>
      <c r="T185" s="30"/>
      <c r="U185" s="30"/>
      <c r="V185" s="30"/>
    </row>
    <row r="186" spans="1:22" ht="21" customHeight="1" x14ac:dyDescent="0.15">
      <c r="A186" s="2"/>
      <c r="B186" s="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45"/>
      <c r="P186" s="46"/>
      <c r="Q186" s="30"/>
      <c r="R186" s="30"/>
      <c r="S186" s="30"/>
      <c r="T186" s="30"/>
      <c r="U186" s="30"/>
      <c r="V186" s="30"/>
    </row>
    <row r="187" spans="1:22" ht="21" customHeight="1" x14ac:dyDescent="0.15">
      <c r="A187" s="2"/>
      <c r="B187" s="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45"/>
      <c r="P187" s="46"/>
      <c r="Q187" s="30"/>
      <c r="R187" s="30"/>
      <c r="S187" s="30"/>
      <c r="T187" s="30"/>
      <c r="U187" s="30"/>
      <c r="V187" s="30"/>
    </row>
    <row r="188" spans="1:22" ht="21" customHeight="1" x14ac:dyDescent="0.15">
      <c r="A188" s="2"/>
      <c r="B188" s="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45"/>
      <c r="P188" s="46"/>
      <c r="Q188" s="30"/>
      <c r="R188" s="30"/>
      <c r="S188" s="30"/>
      <c r="T188" s="30"/>
      <c r="U188" s="30"/>
      <c r="V188" s="30"/>
    </row>
    <row r="189" spans="1:22" ht="21" customHeight="1" x14ac:dyDescent="0.15">
      <c r="A189" s="2"/>
      <c r="B189" s="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45"/>
      <c r="P189" s="46"/>
      <c r="Q189" s="30"/>
      <c r="R189" s="30"/>
      <c r="S189" s="30"/>
      <c r="T189" s="30"/>
      <c r="U189" s="30"/>
      <c r="V189" s="30"/>
    </row>
    <row r="190" spans="1:22" s="9" customFormat="1" ht="21" customHeight="1" thickBot="1" x14ac:dyDescent="0.2">
      <c r="A190" s="2"/>
      <c r="B190" s="6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45"/>
      <c r="P190" s="46"/>
      <c r="Q190" s="30"/>
      <c r="R190" s="30"/>
      <c r="S190" s="30"/>
      <c r="T190" s="30"/>
      <c r="U190" s="30"/>
      <c r="V190" s="30"/>
    </row>
    <row r="191" spans="1:22" ht="21" customHeight="1" x14ac:dyDescent="0.15">
      <c r="A191" s="2"/>
      <c r="B191" s="6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45"/>
      <c r="P191" s="46"/>
      <c r="Q191" s="30"/>
      <c r="R191" s="30"/>
      <c r="S191" s="30"/>
      <c r="T191" s="30"/>
      <c r="U191" s="30"/>
      <c r="V191" s="30"/>
    </row>
    <row r="192" spans="1:22" ht="21" customHeight="1" x14ac:dyDescent="0.15">
      <c r="A192" s="2"/>
      <c r="B192" s="6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45"/>
      <c r="P192" s="46"/>
      <c r="Q192" s="30"/>
      <c r="R192" s="30"/>
      <c r="S192" s="30"/>
      <c r="T192" s="30"/>
      <c r="U192" s="30"/>
      <c r="V192" s="30"/>
    </row>
    <row r="193" spans="1:22" ht="21" customHeight="1" x14ac:dyDescent="0.15">
      <c r="A193" s="2"/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45"/>
      <c r="P193" s="46"/>
      <c r="Q193" s="30"/>
      <c r="R193" s="30"/>
      <c r="S193" s="30"/>
      <c r="T193" s="30"/>
      <c r="U193" s="30"/>
      <c r="V193" s="30"/>
    </row>
    <row r="194" spans="1:22" ht="21" customHeight="1" x14ac:dyDescent="0.15">
      <c r="A194" s="2"/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45"/>
      <c r="P194" s="46"/>
      <c r="Q194" s="30"/>
      <c r="R194" s="30"/>
      <c r="S194" s="30"/>
      <c r="T194" s="30"/>
      <c r="U194" s="30"/>
      <c r="V194" s="30"/>
    </row>
    <row r="195" spans="1:22" ht="21" customHeight="1" x14ac:dyDescent="0.15">
      <c r="A195" s="2"/>
      <c r="B195" s="6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45"/>
      <c r="P195" s="46"/>
      <c r="Q195" s="30"/>
      <c r="R195" s="30"/>
      <c r="S195" s="30"/>
      <c r="T195" s="30"/>
      <c r="U195" s="30"/>
      <c r="V195" s="30"/>
    </row>
    <row r="196" spans="1:22" ht="21" customHeight="1" x14ac:dyDescent="0.15">
      <c r="A196" s="2"/>
      <c r="B196" s="6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45"/>
      <c r="P196" s="46"/>
      <c r="Q196" s="30"/>
      <c r="R196" s="30"/>
      <c r="S196" s="30"/>
      <c r="T196" s="30"/>
      <c r="U196" s="30"/>
      <c r="V196" s="30"/>
    </row>
    <row r="197" spans="1:22" ht="21" customHeight="1" x14ac:dyDescent="0.15">
      <c r="A197" s="2"/>
      <c r="B197" s="6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45"/>
      <c r="P197" s="46"/>
      <c r="Q197" s="30"/>
      <c r="R197" s="30"/>
      <c r="S197" s="30"/>
      <c r="T197" s="30"/>
      <c r="U197" s="30"/>
      <c r="V197" s="30"/>
    </row>
    <row r="198" spans="1:22" ht="21" customHeight="1" x14ac:dyDescent="0.15">
      <c r="A198" s="2"/>
      <c r="B198" s="6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45"/>
      <c r="P198" s="46"/>
      <c r="Q198" s="30"/>
      <c r="R198" s="30"/>
      <c r="S198" s="30"/>
      <c r="T198" s="30"/>
      <c r="U198" s="30"/>
      <c r="V198" s="30"/>
    </row>
    <row r="199" spans="1:22" ht="21" customHeight="1" x14ac:dyDescent="0.15">
      <c r="A199" s="2"/>
      <c r="B199" s="6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45"/>
      <c r="P199" s="46"/>
      <c r="Q199" s="30"/>
      <c r="R199" s="30"/>
      <c r="S199" s="30"/>
      <c r="T199" s="30"/>
      <c r="U199" s="30"/>
      <c r="V199" s="30"/>
    </row>
    <row r="200" spans="1:22" ht="21" customHeight="1" x14ac:dyDescent="0.15">
      <c r="A200" s="2"/>
      <c r="B200" s="6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45"/>
      <c r="P200" s="46"/>
      <c r="Q200" s="30"/>
      <c r="R200" s="30"/>
      <c r="S200" s="30"/>
      <c r="T200" s="30"/>
      <c r="U200" s="30"/>
      <c r="V200" s="30"/>
    </row>
    <row r="201" spans="1:22" ht="21" customHeight="1" x14ac:dyDescent="0.15">
      <c r="A201" s="2"/>
      <c r="B201" s="6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45"/>
      <c r="P201" s="46"/>
      <c r="Q201" s="30"/>
      <c r="R201" s="30"/>
      <c r="S201" s="30"/>
      <c r="T201" s="30"/>
      <c r="U201" s="30"/>
      <c r="V201" s="30"/>
    </row>
    <row r="202" spans="1:22" ht="21" customHeight="1" x14ac:dyDescent="0.15">
      <c r="A202" s="2"/>
      <c r="B202" s="6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45"/>
      <c r="P202" s="46"/>
      <c r="Q202" s="30"/>
      <c r="R202" s="30"/>
      <c r="S202" s="30"/>
      <c r="T202" s="30"/>
      <c r="U202" s="30"/>
      <c r="V202" s="30"/>
    </row>
    <row r="203" spans="1:22" ht="21" customHeight="1" x14ac:dyDescent="0.15">
      <c r="A203" s="2"/>
      <c r="B203" s="6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45"/>
      <c r="P203" s="46"/>
      <c r="Q203" s="30"/>
      <c r="R203" s="30"/>
      <c r="S203" s="30"/>
      <c r="T203" s="30"/>
      <c r="U203" s="30"/>
      <c r="V203" s="30"/>
    </row>
    <row r="204" spans="1:22" ht="21" customHeight="1" x14ac:dyDescent="0.15">
      <c r="A204" s="2"/>
      <c r="B204" s="6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45"/>
      <c r="P204" s="46"/>
      <c r="Q204" s="30"/>
      <c r="R204" s="30"/>
      <c r="S204" s="30"/>
      <c r="T204" s="30"/>
      <c r="U204" s="30"/>
      <c r="V204" s="30"/>
    </row>
    <row r="205" spans="1:22" ht="21" customHeight="1" x14ac:dyDescent="0.15">
      <c r="A205" s="2"/>
      <c r="B205" s="6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45"/>
      <c r="P205" s="46"/>
      <c r="Q205" s="30"/>
      <c r="R205" s="30"/>
      <c r="S205" s="30"/>
      <c r="T205" s="30"/>
      <c r="U205" s="30"/>
      <c r="V205" s="30"/>
    </row>
    <row r="206" spans="1:22" ht="21" customHeight="1" x14ac:dyDescent="0.15">
      <c r="A206" s="2"/>
      <c r="B206" s="6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45"/>
      <c r="P206" s="46"/>
      <c r="Q206" s="30"/>
      <c r="R206" s="30"/>
      <c r="S206" s="30"/>
      <c r="T206" s="30"/>
      <c r="U206" s="30"/>
      <c r="V206" s="30"/>
    </row>
    <row r="207" spans="1:22" ht="21" customHeight="1" x14ac:dyDescent="0.15">
      <c r="A207" s="2"/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45"/>
      <c r="P207" s="46"/>
      <c r="Q207" s="30"/>
      <c r="R207" s="30"/>
      <c r="S207" s="30"/>
      <c r="T207" s="30"/>
      <c r="U207" s="30"/>
      <c r="V207" s="30"/>
    </row>
    <row r="208" spans="1:22" ht="21" customHeight="1" x14ac:dyDescent="0.15">
      <c r="A208" s="2"/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45"/>
      <c r="P208" s="46"/>
      <c r="Q208" s="30"/>
      <c r="R208" s="30"/>
      <c r="S208" s="30"/>
      <c r="T208" s="30"/>
      <c r="U208" s="30"/>
      <c r="V208" s="30"/>
    </row>
    <row r="209" spans="1:22" ht="21" customHeight="1" x14ac:dyDescent="0.15">
      <c r="A209" s="2"/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45"/>
      <c r="P209" s="46"/>
      <c r="Q209" s="30"/>
      <c r="R209" s="30"/>
      <c r="S209" s="30"/>
      <c r="T209" s="30"/>
      <c r="U209" s="30"/>
      <c r="V209" s="30"/>
    </row>
    <row r="210" spans="1:22" ht="21" customHeight="1" x14ac:dyDescent="0.15">
      <c r="A210" s="2"/>
      <c r="B210" s="6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45"/>
      <c r="P210" s="46"/>
      <c r="Q210" s="30"/>
      <c r="R210" s="30"/>
      <c r="S210" s="30"/>
      <c r="T210" s="30"/>
      <c r="U210" s="30"/>
      <c r="V210" s="30"/>
    </row>
    <row r="211" spans="1:22" ht="21" customHeight="1" x14ac:dyDescent="0.15">
      <c r="A211" s="2"/>
      <c r="B211" s="6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45"/>
      <c r="P211" s="46"/>
      <c r="Q211" s="30"/>
      <c r="R211" s="30"/>
      <c r="S211" s="30"/>
      <c r="T211" s="30"/>
      <c r="U211" s="30"/>
      <c r="V211" s="30"/>
    </row>
    <row r="212" spans="1:22" ht="21" customHeight="1" x14ac:dyDescent="0.15">
      <c r="A212" s="2"/>
      <c r="B212" s="6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45"/>
      <c r="P212" s="46"/>
      <c r="Q212" s="30"/>
      <c r="R212" s="30"/>
      <c r="S212" s="30"/>
      <c r="T212" s="30"/>
      <c r="U212" s="30"/>
      <c r="V212" s="30"/>
    </row>
    <row r="213" spans="1:22" ht="21" customHeight="1" x14ac:dyDescent="0.15">
      <c r="A213" s="2"/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45"/>
      <c r="P213" s="46"/>
      <c r="Q213" s="30"/>
      <c r="R213" s="30"/>
      <c r="S213" s="30"/>
      <c r="T213" s="30"/>
      <c r="U213" s="30"/>
      <c r="V213" s="30"/>
    </row>
    <row r="214" spans="1:22" ht="21" customHeight="1" x14ac:dyDescent="0.15">
      <c r="A214" s="2"/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45"/>
      <c r="P214" s="46"/>
      <c r="Q214" s="30"/>
      <c r="R214" s="30"/>
      <c r="S214" s="30"/>
      <c r="T214" s="30"/>
      <c r="U214" s="30"/>
      <c r="V214" s="30"/>
    </row>
    <row r="215" spans="1:22" ht="21" customHeight="1" x14ac:dyDescent="0.15">
      <c r="A215" s="2"/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45"/>
      <c r="P215" s="46"/>
      <c r="Q215" s="30"/>
      <c r="R215" s="30"/>
      <c r="S215" s="30"/>
      <c r="T215" s="30"/>
      <c r="U215" s="30"/>
      <c r="V215" s="30"/>
    </row>
    <row r="216" spans="1:22" ht="21" customHeight="1" x14ac:dyDescent="0.15">
      <c r="A216" s="2"/>
      <c r="B216" s="6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45"/>
      <c r="P216" s="46"/>
      <c r="Q216" s="30"/>
      <c r="R216" s="30"/>
      <c r="S216" s="30"/>
      <c r="T216" s="30"/>
      <c r="U216" s="30"/>
      <c r="V216" s="30"/>
    </row>
    <row r="217" spans="1:22" ht="21" customHeight="1" x14ac:dyDescent="0.15">
      <c r="A217" s="2"/>
      <c r="B217" s="6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45"/>
      <c r="P217" s="46"/>
      <c r="Q217" s="30"/>
      <c r="R217" s="30"/>
      <c r="S217" s="30"/>
      <c r="T217" s="30"/>
      <c r="U217" s="30"/>
      <c r="V217" s="30"/>
    </row>
    <row r="218" spans="1:22" ht="21" customHeight="1" x14ac:dyDescent="0.15">
      <c r="A218" s="2"/>
      <c r="B218" s="6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45"/>
      <c r="P218" s="46"/>
      <c r="Q218" s="30"/>
      <c r="R218" s="30"/>
      <c r="S218" s="30"/>
      <c r="T218" s="30"/>
      <c r="U218" s="30"/>
      <c r="V218" s="30"/>
    </row>
    <row r="219" spans="1:22" ht="21" customHeight="1" x14ac:dyDescent="0.15">
      <c r="A219" s="2"/>
      <c r="B219" s="6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45"/>
      <c r="P219" s="46"/>
      <c r="Q219" s="30"/>
      <c r="R219" s="30"/>
      <c r="S219" s="30"/>
      <c r="T219" s="30"/>
      <c r="U219" s="30"/>
      <c r="V219" s="30"/>
    </row>
    <row r="220" spans="1:22" ht="21" customHeight="1" x14ac:dyDescent="0.15">
      <c r="A220" s="2"/>
      <c r="B220" s="6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45"/>
      <c r="P220" s="46"/>
      <c r="Q220" s="30"/>
      <c r="R220" s="30"/>
      <c r="S220" s="30"/>
      <c r="T220" s="30"/>
      <c r="U220" s="30"/>
      <c r="V220" s="30"/>
    </row>
    <row r="221" spans="1:22" ht="21" customHeight="1" x14ac:dyDescent="0.15">
      <c r="A221" s="2"/>
      <c r="B221" s="6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45"/>
      <c r="P221" s="46"/>
      <c r="Q221" s="30"/>
      <c r="R221" s="30"/>
      <c r="S221" s="30"/>
      <c r="T221" s="30"/>
      <c r="U221" s="30"/>
      <c r="V221" s="30"/>
    </row>
    <row r="222" spans="1:22" ht="21" customHeight="1" x14ac:dyDescent="0.15">
      <c r="A222" s="2"/>
      <c r="B222" s="6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45"/>
      <c r="P222" s="46"/>
      <c r="Q222" s="30"/>
      <c r="R222" s="30"/>
      <c r="S222" s="30"/>
      <c r="T222" s="30"/>
      <c r="U222" s="30"/>
      <c r="V222" s="30"/>
    </row>
    <row r="223" spans="1:22" ht="21" customHeight="1" x14ac:dyDescent="0.15">
      <c r="A223" s="2"/>
      <c r="B223" s="6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45"/>
      <c r="P223" s="46"/>
      <c r="Q223" s="30"/>
      <c r="R223" s="30"/>
      <c r="S223" s="30"/>
      <c r="T223" s="30"/>
      <c r="U223" s="30"/>
      <c r="V223" s="30"/>
    </row>
    <row r="224" spans="1:22" ht="21" customHeight="1" x14ac:dyDescent="0.15">
      <c r="A224" s="2"/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45"/>
      <c r="P224" s="46"/>
      <c r="Q224" s="30"/>
      <c r="R224" s="30"/>
      <c r="S224" s="30"/>
      <c r="T224" s="30"/>
      <c r="U224" s="30"/>
      <c r="V224" s="30"/>
    </row>
    <row r="225" spans="1:22" ht="21" customHeight="1" x14ac:dyDescent="0.15">
      <c r="A225" s="2"/>
      <c r="B225" s="6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45"/>
      <c r="P225" s="46"/>
      <c r="Q225" s="30"/>
      <c r="R225" s="30"/>
      <c r="S225" s="30"/>
      <c r="T225" s="30"/>
      <c r="U225" s="30"/>
      <c r="V225" s="30"/>
    </row>
    <row r="226" spans="1:22" ht="21" customHeight="1" x14ac:dyDescent="0.15">
      <c r="A226" s="2"/>
      <c r="B226" s="6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45"/>
      <c r="P226" s="46"/>
      <c r="Q226" s="30"/>
      <c r="R226" s="30"/>
      <c r="S226" s="30"/>
      <c r="T226" s="30"/>
      <c r="U226" s="30"/>
      <c r="V226" s="30"/>
    </row>
    <row r="227" spans="1:22" ht="21" customHeight="1" x14ac:dyDescent="0.15">
      <c r="A227" s="2"/>
      <c r="B227" s="6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5"/>
      <c r="P227" s="46"/>
      <c r="Q227" s="30"/>
      <c r="R227" s="30"/>
      <c r="S227" s="30"/>
      <c r="T227" s="30"/>
      <c r="U227" s="30"/>
      <c r="V227" s="30"/>
    </row>
    <row r="228" spans="1:22" ht="21" customHeight="1" x14ac:dyDescent="0.15">
      <c r="A228" s="2"/>
      <c r="B228" s="6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5"/>
      <c r="P228" s="46"/>
      <c r="Q228" s="30"/>
      <c r="R228" s="30"/>
      <c r="S228" s="30"/>
      <c r="T228" s="30"/>
      <c r="U228" s="30"/>
      <c r="V228" s="30"/>
    </row>
    <row r="229" spans="1:22" ht="21" customHeight="1" x14ac:dyDescent="0.15">
      <c r="A229" s="2"/>
      <c r="B229" s="6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45"/>
      <c r="P229" s="46"/>
      <c r="Q229" s="30"/>
      <c r="R229" s="30"/>
      <c r="S229" s="30"/>
      <c r="T229" s="30"/>
      <c r="U229" s="30"/>
      <c r="V229" s="30"/>
    </row>
    <row r="230" spans="1:22" ht="21" customHeight="1" x14ac:dyDescent="0.15">
      <c r="A230" s="2"/>
      <c r="B230" s="6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45"/>
      <c r="P230" s="46"/>
      <c r="Q230" s="30"/>
      <c r="R230" s="30"/>
      <c r="S230" s="30"/>
      <c r="T230" s="30"/>
      <c r="U230" s="30"/>
      <c r="V230" s="30"/>
    </row>
    <row r="231" spans="1:22" ht="21" customHeight="1" x14ac:dyDescent="0.15">
      <c r="A231" s="2"/>
      <c r="B231" s="6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45"/>
      <c r="P231" s="46"/>
      <c r="Q231" s="30"/>
      <c r="R231" s="30"/>
      <c r="S231" s="30"/>
      <c r="T231" s="30"/>
      <c r="U231" s="30"/>
      <c r="V231" s="30"/>
    </row>
    <row r="232" spans="1:22" ht="21" customHeight="1" x14ac:dyDescent="0.15">
      <c r="A232" s="2"/>
      <c r="B232" s="6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45"/>
      <c r="P232" s="46"/>
      <c r="Q232" s="30"/>
      <c r="R232" s="30"/>
      <c r="S232" s="30"/>
      <c r="T232" s="30"/>
      <c r="U232" s="30"/>
      <c r="V232" s="30"/>
    </row>
    <row r="233" spans="1:22" ht="21" customHeight="1" x14ac:dyDescent="0.15">
      <c r="A233" s="2"/>
      <c r="B233" s="6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45"/>
      <c r="P233" s="46"/>
      <c r="Q233" s="30"/>
      <c r="R233" s="30"/>
      <c r="S233" s="30"/>
      <c r="T233" s="30"/>
      <c r="U233" s="30"/>
      <c r="V233" s="30"/>
    </row>
    <row r="234" spans="1:22" ht="21" customHeight="1" x14ac:dyDescent="0.15">
      <c r="A234" s="2"/>
      <c r="B234" s="6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45"/>
      <c r="P234" s="46"/>
      <c r="Q234" s="30"/>
      <c r="R234" s="30"/>
      <c r="S234" s="30"/>
      <c r="T234" s="30"/>
      <c r="U234" s="30"/>
      <c r="V234" s="30"/>
    </row>
    <row r="235" spans="1:22" ht="21" customHeight="1" x14ac:dyDescent="0.15">
      <c r="A235" s="2"/>
      <c r="B235" s="6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45"/>
      <c r="P235" s="46"/>
      <c r="Q235" s="30"/>
      <c r="R235" s="30"/>
      <c r="S235" s="30"/>
      <c r="T235" s="30"/>
      <c r="U235" s="30"/>
      <c r="V235" s="30"/>
    </row>
    <row r="236" spans="1:22" ht="21" customHeight="1" x14ac:dyDescent="0.15">
      <c r="A236" s="2"/>
      <c r="B236" s="6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45"/>
      <c r="P236" s="46"/>
      <c r="Q236" s="30"/>
      <c r="R236" s="30"/>
      <c r="S236" s="30"/>
      <c r="T236" s="30"/>
      <c r="U236" s="30"/>
      <c r="V236" s="30"/>
    </row>
    <row r="237" spans="1:22" ht="21" customHeight="1" x14ac:dyDescent="0.15">
      <c r="A237" s="2"/>
      <c r="B237" s="6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45"/>
      <c r="P237" s="46"/>
      <c r="Q237" s="30"/>
      <c r="R237" s="30"/>
      <c r="S237" s="30"/>
      <c r="T237" s="30"/>
      <c r="U237" s="30"/>
      <c r="V237" s="30"/>
    </row>
    <row r="238" spans="1:22" ht="21" customHeight="1" x14ac:dyDescent="0.15">
      <c r="A238" s="2"/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45"/>
      <c r="P238" s="46"/>
      <c r="Q238" s="30"/>
      <c r="R238" s="30"/>
      <c r="S238" s="30"/>
      <c r="T238" s="30"/>
      <c r="U238" s="30"/>
      <c r="V238" s="30"/>
    </row>
    <row r="239" spans="1:22" ht="21" customHeight="1" x14ac:dyDescent="0.15">
      <c r="A239" s="2"/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45"/>
      <c r="P239" s="46"/>
      <c r="Q239" s="30"/>
      <c r="R239" s="30"/>
      <c r="S239" s="30"/>
      <c r="T239" s="30"/>
      <c r="U239" s="30"/>
      <c r="V239" s="30"/>
    </row>
    <row r="240" spans="1:22" ht="21" customHeight="1" x14ac:dyDescent="0.15">
      <c r="A240" s="2"/>
      <c r="B240" s="6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45"/>
      <c r="P240" s="46"/>
      <c r="Q240" s="30"/>
      <c r="R240" s="30"/>
      <c r="S240" s="30"/>
      <c r="T240" s="30"/>
      <c r="U240" s="30"/>
      <c r="V240" s="30"/>
    </row>
    <row r="241" spans="1:22" ht="21" customHeight="1" x14ac:dyDescent="0.15">
      <c r="A241" s="2"/>
      <c r="B241" s="6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45"/>
      <c r="P241" s="46"/>
      <c r="Q241" s="30"/>
      <c r="R241" s="30"/>
      <c r="S241" s="30"/>
      <c r="T241" s="30"/>
      <c r="U241" s="30"/>
      <c r="V241" s="30"/>
    </row>
    <row r="242" spans="1:22" ht="21" customHeight="1" x14ac:dyDescent="0.15">
      <c r="A242" s="2"/>
      <c r="B242" s="6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45"/>
      <c r="P242" s="46"/>
      <c r="Q242" s="30"/>
      <c r="R242" s="30"/>
      <c r="S242" s="30"/>
      <c r="T242" s="30"/>
      <c r="U242" s="30"/>
      <c r="V242" s="30"/>
    </row>
    <row r="243" spans="1:22" ht="21" customHeight="1" x14ac:dyDescent="0.15">
      <c r="A243" s="2"/>
      <c r="B243" s="6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45"/>
      <c r="P243" s="46"/>
      <c r="Q243" s="30"/>
      <c r="R243" s="30"/>
      <c r="S243" s="30"/>
      <c r="T243" s="30"/>
      <c r="U243" s="30"/>
      <c r="V243" s="30"/>
    </row>
    <row r="244" spans="1:22" ht="21" customHeight="1" x14ac:dyDescent="0.15">
      <c r="A244" s="2"/>
      <c r="B244" s="6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45"/>
      <c r="P244" s="46"/>
      <c r="Q244" s="30"/>
      <c r="R244" s="30"/>
      <c r="S244" s="30"/>
      <c r="T244" s="30"/>
      <c r="U244" s="30"/>
      <c r="V244" s="30"/>
    </row>
    <row r="245" spans="1:22" ht="21" customHeight="1" x14ac:dyDescent="0.15">
      <c r="A245" s="2"/>
      <c r="B245" s="60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45"/>
      <c r="P245" s="46"/>
      <c r="Q245" s="30"/>
      <c r="R245" s="30"/>
      <c r="S245" s="30"/>
      <c r="T245" s="30"/>
      <c r="U245" s="30"/>
      <c r="V245" s="30"/>
    </row>
    <row r="246" spans="1:22" ht="21" customHeight="1" x14ac:dyDescent="0.15">
      <c r="A246" s="2"/>
      <c r="B246" s="60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45"/>
      <c r="P246" s="46"/>
      <c r="Q246" s="30"/>
      <c r="R246" s="30"/>
      <c r="S246" s="30"/>
      <c r="T246" s="30"/>
      <c r="U246" s="30"/>
      <c r="V246" s="30"/>
    </row>
    <row r="247" spans="1:22" ht="21" customHeight="1" x14ac:dyDescent="0.15">
      <c r="A247" s="2"/>
      <c r="B247" s="60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45"/>
      <c r="P247" s="46"/>
      <c r="Q247" s="30"/>
      <c r="R247" s="30"/>
      <c r="S247" s="30"/>
      <c r="T247" s="30"/>
      <c r="U247" s="30"/>
      <c r="V247" s="30"/>
    </row>
    <row r="248" spans="1:22" ht="21" customHeight="1" x14ac:dyDescent="0.15">
      <c r="A248" s="2"/>
      <c r="B248" s="60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45"/>
      <c r="P248" s="46"/>
      <c r="Q248" s="30"/>
      <c r="R248" s="30"/>
      <c r="S248" s="30"/>
      <c r="T248" s="30"/>
      <c r="U248" s="30"/>
      <c r="V248" s="30"/>
    </row>
    <row r="249" spans="1:22" ht="21" customHeight="1" x14ac:dyDescent="0.15">
      <c r="A249" s="2"/>
      <c r="B249" s="60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45"/>
      <c r="P249" s="46"/>
      <c r="Q249" s="30"/>
      <c r="R249" s="30"/>
      <c r="S249" s="30"/>
      <c r="T249" s="30"/>
      <c r="U249" s="30"/>
      <c r="V249" s="30"/>
    </row>
    <row r="250" spans="1:22" ht="21" customHeight="1" x14ac:dyDescent="0.15">
      <c r="A250" s="2"/>
      <c r="B250" s="60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45"/>
      <c r="P250" s="46"/>
      <c r="Q250" s="30"/>
      <c r="R250" s="30"/>
      <c r="S250" s="30"/>
      <c r="T250" s="30"/>
      <c r="U250" s="30"/>
      <c r="V250" s="30"/>
    </row>
    <row r="251" spans="1:22" ht="21" customHeight="1" x14ac:dyDescent="0.15">
      <c r="A251" s="2"/>
      <c r="B251" s="60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45"/>
      <c r="P251" s="46"/>
      <c r="Q251" s="30"/>
      <c r="R251" s="30"/>
      <c r="S251" s="30"/>
      <c r="T251" s="30"/>
      <c r="U251" s="30"/>
      <c r="V251" s="30"/>
    </row>
    <row r="252" spans="1:22" ht="21" customHeight="1" x14ac:dyDescent="0.15">
      <c r="A252" s="2"/>
      <c r="B252" s="60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45"/>
      <c r="P252" s="46"/>
      <c r="Q252" s="30"/>
      <c r="R252" s="30"/>
      <c r="S252" s="30"/>
      <c r="T252" s="30"/>
      <c r="U252" s="30"/>
      <c r="V252" s="30"/>
    </row>
    <row r="253" spans="1:22" ht="21" customHeight="1" x14ac:dyDescent="0.15">
      <c r="A253" s="2"/>
      <c r="B253" s="60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45"/>
      <c r="P253" s="46"/>
      <c r="Q253" s="30"/>
      <c r="R253" s="30"/>
      <c r="S253" s="30"/>
      <c r="T253" s="30"/>
      <c r="U253" s="30"/>
      <c r="V253" s="30"/>
    </row>
    <row r="254" spans="1:22" ht="21" customHeight="1" x14ac:dyDescent="0.15">
      <c r="A254" s="2"/>
      <c r="B254" s="60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45"/>
      <c r="P254" s="46"/>
      <c r="Q254" s="30"/>
      <c r="R254" s="30"/>
      <c r="S254" s="30"/>
      <c r="T254" s="30"/>
      <c r="U254" s="30"/>
      <c r="V254" s="30"/>
    </row>
    <row r="255" spans="1:22" ht="21" customHeight="1" x14ac:dyDescent="0.15">
      <c r="A255" s="2"/>
      <c r="B255" s="60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45"/>
      <c r="P255" s="46"/>
      <c r="Q255" s="30"/>
      <c r="R255" s="30"/>
      <c r="S255" s="30"/>
      <c r="T255" s="30"/>
      <c r="U255" s="30"/>
      <c r="V255" s="30"/>
    </row>
    <row r="256" spans="1:22" ht="21" customHeight="1" x14ac:dyDescent="0.15">
      <c r="A256" s="2"/>
      <c r="B256" s="60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45"/>
      <c r="P256" s="46"/>
      <c r="Q256" s="30"/>
      <c r="R256" s="30"/>
      <c r="S256" s="30"/>
      <c r="T256" s="30"/>
      <c r="U256" s="30"/>
      <c r="V256" s="30"/>
    </row>
    <row r="257" spans="1:22" ht="21" customHeight="1" x14ac:dyDescent="0.15">
      <c r="A257" s="2"/>
      <c r="B257" s="60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45"/>
      <c r="P257" s="46"/>
      <c r="Q257" s="30"/>
      <c r="R257" s="30"/>
      <c r="S257" s="30"/>
      <c r="T257" s="30"/>
      <c r="U257" s="30"/>
      <c r="V257" s="30"/>
    </row>
    <row r="258" spans="1:22" ht="21" customHeight="1" x14ac:dyDescent="0.15">
      <c r="A258" s="2"/>
      <c r="B258" s="60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45"/>
      <c r="P258" s="46"/>
      <c r="Q258" s="30"/>
      <c r="R258" s="30"/>
      <c r="S258" s="30"/>
      <c r="T258" s="30"/>
      <c r="U258" s="30"/>
      <c r="V258" s="30"/>
    </row>
    <row r="259" spans="1:22" ht="21" customHeight="1" x14ac:dyDescent="0.15">
      <c r="A259" s="2"/>
      <c r="B259" s="60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45"/>
      <c r="P259" s="46"/>
      <c r="Q259" s="30"/>
      <c r="R259" s="30"/>
      <c r="S259" s="30"/>
      <c r="T259" s="30"/>
      <c r="U259" s="30"/>
      <c r="V259" s="30"/>
    </row>
    <row r="260" spans="1:22" ht="21" customHeight="1" x14ac:dyDescent="0.15">
      <c r="A260" s="2"/>
      <c r="B260" s="60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45"/>
      <c r="P260" s="46"/>
      <c r="Q260" s="30"/>
      <c r="R260" s="30"/>
      <c r="S260" s="30"/>
      <c r="T260" s="30"/>
      <c r="U260" s="30"/>
      <c r="V260" s="30"/>
    </row>
    <row r="261" spans="1:22" ht="21" customHeight="1" x14ac:dyDescent="0.15">
      <c r="A261" s="2"/>
      <c r="B261" s="60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45"/>
      <c r="P261" s="46"/>
      <c r="Q261" s="30"/>
      <c r="R261" s="30"/>
      <c r="S261" s="30"/>
      <c r="T261" s="30"/>
      <c r="U261" s="30"/>
      <c r="V261" s="30"/>
    </row>
    <row r="262" spans="1:22" ht="21" customHeight="1" x14ac:dyDescent="0.15">
      <c r="A262" s="2"/>
      <c r="B262" s="60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45"/>
      <c r="P262" s="46"/>
      <c r="Q262" s="30"/>
      <c r="R262" s="30"/>
      <c r="S262" s="30"/>
      <c r="T262" s="30"/>
      <c r="U262" s="30"/>
      <c r="V262" s="30"/>
    </row>
    <row r="263" spans="1:22" ht="21" customHeight="1" x14ac:dyDescent="0.15">
      <c r="A263" s="2"/>
      <c r="B263" s="60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45"/>
      <c r="P263" s="46"/>
      <c r="Q263" s="30"/>
      <c r="R263" s="30"/>
      <c r="S263" s="30"/>
      <c r="T263" s="30"/>
      <c r="U263" s="30"/>
      <c r="V263" s="30"/>
    </row>
    <row r="264" spans="1:22" ht="21" customHeight="1" x14ac:dyDescent="0.15">
      <c r="A264" s="2"/>
      <c r="B264" s="60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45"/>
      <c r="P264" s="46"/>
      <c r="Q264" s="30"/>
      <c r="R264" s="30"/>
      <c r="S264" s="30"/>
      <c r="T264" s="30"/>
      <c r="U264" s="30"/>
      <c r="V264" s="30"/>
    </row>
    <row r="265" spans="1:22" ht="21" customHeight="1" x14ac:dyDescent="0.15">
      <c r="A265" s="2"/>
      <c r="B265" s="60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45"/>
      <c r="P265" s="46"/>
      <c r="Q265" s="30"/>
      <c r="R265" s="30"/>
      <c r="S265" s="30"/>
      <c r="T265" s="30"/>
      <c r="U265" s="30"/>
      <c r="V265" s="30"/>
    </row>
    <row r="266" spans="1:22" ht="21" customHeight="1" x14ac:dyDescent="0.15">
      <c r="A266" s="2"/>
      <c r="B266" s="60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45"/>
      <c r="P266" s="46"/>
      <c r="Q266" s="30"/>
      <c r="R266" s="30"/>
      <c r="S266" s="30"/>
      <c r="T266" s="30"/>
      <c r="U266" s="30"/>
      <c r="V266" s="30"/>
    </row>
    <row r="267" spans="1:22" ht="21" customHeight="1" x14ac:dyDescent="0.15">
      <c r="A267" s="2"/>
      <c r="B267" s="60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45"/>
      <c r="P267" s="46"/>
      <c r="Q267" s="30"/>
      <c r="R267" s="30"/>
      <c r="S267" s="30"/>
      <c r="T267" s="30"/>
      <c r="U267" s="30"/>
      <c r="V267" s="30"/>
    </row>
    <row r="268" spans="1:22" ht="21" customHeight="1" x14ac:dyDescent="0.15">
      <c r="A268" s="2"/>
      <c r="B268" s="60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45"/>
      <c r="P268" s="46"/>
      <c r="Q268" s="30"/>
      <c r="R268" s="30"/>
      <c r="S268" s="30"/>
      <c r="T268" s="30"/>
      <c r="U268" s="30"/>
      <c r="V268" s="30"/>
    </row>
    <row r="269" spans="1:22" ht="21" customHeight="1" x14ac:dyDescent="0.15">
      <c r="A269" s="2"/>
      <c r="B269" s="60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45"/>
      <c r="P269" s="46"/>
      <c r="Q269" s="30"/>
      <c r="R269" s="30"/>
      <c r="S269" s="30"/>
      <c r="T269" s="30"/>
      <c r="U269" s="30"/>
      <c r="V269" s="30"/>
    </row>
    <row r="270" spans="1:22" ht="21" customHeight="1" x14ac:dyDescent="0.15">
      <c r="A270" s="2"/>
      <c r="B270" s="60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45"/>
      <c r="P270" s="46"/>
      <c r="Q270" s="30"/>
      <c r="R270" s="30"/>
      <c r="S270" s="30"/>
      <c r="T270" s="30"/>
      <c r="U270" s="30"/>
      <c r="V270" s="30"/>
    </row>
    <row r="271" spans="1:22" ht="21" customHeight="1" x14ac:dyDescent="0.15">
      <c r="A271" s="2"/>
      <c r="B271" s="80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45"/>
      <c r="P271" s="46"/>
      <c r="Q271" s="30"/>
      <c r="R271" s="30"/>
      <c r="S271" s="30"/>
      <c r="T271" s="30"/>
      <c r="U271" s="30"/>
      <c r="V271" s="30"/>
    </row>
    <row r="272" spans="1:22" ht="21" customHeight="1" x14ac:dyDescent="0.15">
      <c r="A272" s="2"/>
      <c r="B272" s="80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45"/>
      <c r="P272" s="46"/>
      <c r="Q272" s="30"/>
      <c r="R272" s="30"/>
      <c r="S272" s="30"/>
      <c r="T272" s="30"/>
      <c r="U272" s="30"/>
      <c r="V272" s="30"/>
    </row>
    <row r="273" spans="1:22" ht="21" customHeight="1" x14ac:dyDescent="0.15">
      <c r="A273" s="2"/>
      <c r="B273" s="80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45"/>
      <c r="P273" s="46"/>
      <c r="Q273" s="30"/>
      <c r="R273" s="30"/>
      <c r="S273" s="30"/>
      <c r="T273" s="30"/>
      <c r="U273" s="30"/>
      <c r="V273" s="30"/>
    </row>
    <row r="274" spans="1:22" ht="21" customHeight="1" x14ac:dyDescent="0.15">
      <c r="A274" s="2"/>
      <c r="B274" s="80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45"/>
      <c r="P274" s="46"/>
      <c r="Q274" s="30"/>
      <c r="R274" s="30"/>
      <c r="S274" s="30"/>
      <c r="T274" s="30"/>
      <c r="U274" s="30"/>
      <c r="V274" s="30"/>
    </row>
    <row r="275" spans="1:22" ht="21" customHeight="1" x14ac:dyDescent="0.15">
      <c r="A275" s="2"/>
      <c r="B275" s="80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45"/>
      <c r="P275" s="46"/>
      <c r="Q275" s="30"/>
      <c r="R275" s="30"/>
      <c r="S275" s="30"/>
      <c r="T275" s="30"/>
      <c r="U275" s="30"/>
      <c r="V275" s="30"/>
    </row>
    <row r="276" spans="1:22" ht="21" customHeight="1" x14ac:dyDescent="0.15">
      <c r="A276" s="2"/>
      <c r="B276" s="80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45"/>
      <c r="P276" s="46"/>
      <c r="Q276" s="30"/>
      <c r="R276" s="30"/>
      <c r="S276" s="30"/>
      <c r="T276" s="30"/>
      <c r="U276" s="30"/>
      <c r="V276" s="30"/>
    </row>
    <row r="277" spans="1:22" ht="21" customHeight="1" x14ac:dyDescent="0.15">
      <c r="A277" s="2"/>
      <c r="B277" s="80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45"/>
      <c r="P277" s="46"/>
      <c r="Q277" s="30"/>
      <c r="R277" s="30"/>
      <c r="S277" s="30"/>
      <c r="T277" s="30"/>
      <c r="U277" s="30"/>
      <c r="V277" s="30"/>
    </row>
    <row r="278" spans="1:22" ht="21" customHeight="1" x14ac:dyDescent="0.15">
      <c r="A278" s="2"/>
      <c r="B278" s="80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45"/>
      <c r="P278" s="46"/>
      <c r="Q278" s="30"/>
      <c r="R278" s="30"/>
      <c r="S278" s="30"/>
      <c r="T278" s="30"/>
      <c r="U278" s="30"/>
      <c r="V278" s="30"/>
    </row>
    <row r="279" spans="1:22" ht="21" customHeight="1" x14ac:dyDescent="0.15">
      <c r="A279" s="2"/>
      <c r="B279" s="80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45"/>
      <c r="P279" s="46"/>
      <c r="Q279" s="30"/>
      <c r="R279" s="30"/>
      <c r="S279" s="30"/>
      <c r="T279" s="30"/>
      <c r="U279" s="30"/>
      <c r="V279" s="30"/>
    </row>
    <row r="280" spans="1:22" ht="21" customHeight="1" x14ac:dyDescent="0.15">
      <c r="A280" s="2"/>
      <c r="B280" s="80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45"/>
      <c r="P280" s="46"/>
      <c r="Q280" s="30"/>
      <c r="R280" s="30"/>
      <c r="S280" s="30"/>
      <c r="T280" s="30"/>
      <c r="U280" s="30"/>
      <c r="V280" s="30"/>
    </row>
    <row r="281" spans="1:22" ht="21" customHeight="1" x14ac:dyDescent="0.15">
      <c r="A281" s="2"/>
      <c r="B281" s="80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45"/>
      <c r="P281" s="46"/>
      <c r="Q281" s="30"/>
      <c r="R281" s="30"/>
      <c r="S281" s="30"/>
      <c r="T281" s="30"/>
      <c r="U281" s="30"/>
      <c r="V281" s="30"/>
    </row>
    <row r="282" spans="1:22" ht="21" customHeight="1" x14ac:dyDescent="0.15">
      <c r="A282" s="2"/>
      <c r="B282" s="80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45"/>
      <c r="P282" s="46"/>
      <c r="Q282" s="30"/>
      <c r="R282" s="30"/>
      <c r="S282" s="30"/>
      <c r="T282" s="30"/>
      <c r="U282" s="30"/>
      <c r="V282" s="30"/>
    </row>
    <row r="283" spans="1:22" ht="21" customHeight="1" x14ac:dyDescent="0.15">
      <c r="A283" s="2"/>
      <c r="B283" s="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45"/>
      <c r="P283" s="46"/>
      <c r="Q283" s="30"/>
      <c r="R283" s="30"/>
      <c r="S283" s="30"/>
      <c r="T283" s="30"/>
      <c r="U283" s="30"/>
      <c r="V283" s="30"/>
    </row>
    <row r="284" spans="1:22" ht="21" customHeight="1" x14ac:dyDescent="0.15">
      <c r="A284" s="2"/>
      <c r="B284" s="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45"/>
      <c r="P284" s="46"/>
      <c r="Q284" s="30"/>
      <c r="R284" s="30"/>
      <c r="S284" s="30"/>
      <c r="T284" s="30"/>
      <c r="U284" s="30"/>
      <c r="V284" s="30"/>
    </row>
    <row r="285" spans="1:22" ht="21" customHeight="1" x14ac:dyDescent="0.15">
      <c r="A285" s="2"/>
      <c r="B285" s="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45"/>
      <c r="P285" s="46"/>
      <c r="Q285" s="30"/>
      <c r="R285" s="30"/>
      <c r="S285" s="30"/>
      <c r="T285" s="30"/>
      <c r="U285" s="30"/>
      <c r="V285" s="30"/>
    </row>
    <row r="286" spans="1:22" ht="21" customHeight="1" x14ac:dyDescent="0.15">
      <c r="A286" s="2"/>
      <c r="B286" s="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45"/>
      <c r="P286" s="46"/>
      <c r="Q286" s="30"/>
      <c r="R286" s="30"/>
      <c r="S286" s="30"/>
      <c r="T286" s="30"/>
      <c r="U286" s="30"/>
      <c r="V286" s="30"/>
    </row>
    <row r="287" spans="1:22" ht="21" customHeight="1" x14ac:dyDescent="0.15">
      <c r="A287" s="2"/>
      <c r="B287" s="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45"/>
      <c r="P287" s="46"/>
      <c r="Q287" s="30"/>
      <c r="R287" s="30"/>
      <c r="S287" s="30"/>
      <c r="T287" s="30"/>
      <c r="U287" s="30"/>
      <c r="V287" s="30"/>
    </row>
    <row r="288" spans="1:22" ht="21" customHeight="1" x14ac:dyDescent="0.15">
      <c r="A288" s="2"/>
      <c r="B288" s="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45"/>
      <c r="P288" s="46"/>
      <c r="Q288" s="30"/>
      <c r="R288" s="30"/>
      <c r="S288" s="30"/>
      <c r="T288" s="30"/>
      <c r="U288" s="30"/>
      <c r="V288" s="30"/>
    </row>
    <row r="289" spans="1:22" ht="21" customHeight="1" x14ac:dyDescent="0.15">
      <c r="A289" s="2"/>
      <c r="B289" s="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45"/>
      <c r="P289" s="46"/>
      <c r="Q289" s="30"/>
      <c r="R289" s="30"/>
      <c r="S289" s="30"/>
      <c r="T289" s="30"/>
      <c r="U289" s="30"/>
      <c r="V289" s="30"/>
    </row>
    <row r="290" spans="1:22" ht="21" customHeight="1" x14ac:dyDescent="0.15">
      <c r="A290" s="2"/>
      <c r="B290" s="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45"/>
      <c r="P290" s="46"/>
      <c r="Q290" s="30"/>
      <c r="R290" s="30"/>
      <c r="S290" s="30"/>
      <c r="T290" s="30"/>
      <c r="U290" s="30"/>
      <c r="V290" s="30"/>
    </row>
    <row r="291" spans="1:22" ht="21" customHeight="1" x14ac:dyDescent="0.15">
      <c r="A291" s="2"/>
      <c r="B291" s="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45"/>
      <c r="P291" s="46"/>
      <c r="Q291" s="30"/>
      <c r="R291" s="30"/>
      <c r="S291" s="30"/>
      <c r="T291" s="30"/>
      <c r="U291" s="30"/>
      <c r="V291" s="30"/>
    </row>
    <row r="292" spans="1:22" ht="21" customHeight="1" x14ac:dyDescent="0.15">
      <c r="A292" s="2"/>
      <c r="B292" s="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45"/>
      <c r="P292" s="46"/>
      <c r="Q292" s="30"/>
      <c r="R292" s="30"/>
      <c r="S292" s="30"/>
      <c r="T292" s="30"/>
      <c r="U292" s="30"/>
      <c r="V292" s="30"/>
    </row>
    <row r="293" spans="1:22" ht="21" customHeight="1" x14ac:dyDescent="0.15">
      <c r="A293" s="2"/>
      <c r="B293" s="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45"/>
      <c r="P293" s="46"/>
      <c r="Q293" s="30"/>
      <c r="R293" s="30"/>
      <c r="S293" s="30"/>
      <c r="T293" s="30"/>
      <c r="U293" s="30"/>
      <c r="V293" s="30"/>
    </row>
    <row r="294" spans="1:22" ht="21" customHeight="1" x14ac:dyDescent="0.15">
      <c r="A294" s="2"/>
      <c r="B294" s="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45"/>
      <c r="P294" s="46"/>
      <c r="Q294" s="30"/>
      <c r="R294" s="30"/>
      <c r="S294" s="30"/>
      <c r="T294" s="30"/>
      <c r="U294" s="30"/>
      <c r="V294" s="30"/>
    </row>
    <row r="295" spans="1:22" ht="21" customHeight="1" x14ac:dyDescent="0.15">
      <c r="A295" s="2"/>
      <c r="B295" s="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45"/>
      <c r="P295" s="46"/>
      <c r="Q295" s="30"/>
      <c r="R295" s="30"/>
      <c r="S295" s="30"/>
      <c r="T295" s="30"/>
      <c r="U295" s="30"/>
      <c r="V295" s="30"/>
    </row>
    <row r="296" spans="1:22" ht="21" customHeight="1" x14ac:dyDescent="0.15">
      <c r="A296" s="2"/>
      <c r="B296" s="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45"/>
      <c r="P296" s="46"/>
      <c r="Q296" s="30"/>
      <c r="R296" s="30"/>
      <c r="S296" s="30"/>
      <c r="T296" s="30"/>
      <c r="U296" s="30"/>
      <c r="V296" s="30"/>
    </row>
    <row r="297" spans="1:22" ht="21" customHeight="1" x14ac:dyDescent="0.15">
      <c r="A297" s="2"/>
      <c r="B297" s="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45"/>
      <c r="P297" s="46"/>
      <c r="Q297" s="30"/>
      <c r="R297" s="30"/>
      <c r="S297" s="30"/>
      <c r="T297" s="30"/>
      <c r="U297" s="30"/>
      <c r="V297" s="30"/>
    </row>
    <row r="298" spans="1:22" ht="21" customHeight="1" x14ac:dyDescent="0.15">
      <c r="A298" s="2"/>
      <c r="B298" s="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45"/>
      <c r="P298" s="46"/>
      <c r="Q298" s="30"/>
      <c r="R298" s="30"/>
      <c r="S298" s="30"/>
      <c r="T298" s="30"/>
      <c r="U298" s="30"/>
      <c r="V298" s="30"/>
    </row>
    <row r="299" spans="1:22" ht="21" customHeight="1" x14ac:dyDescent="0.15">
      <c r="A299" s="2"/>
      <c r="B299" s="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45"/>
      <c r="P299" s="46"/>
      <c r="Q299" s="30"/>
      <c r="R299" s="30"/>
      <c r="S299" s="30"/>
      <c r="T299" s="30"/>
      <c r="U299" s="30"/>
      <c r="V299" s="30"/>
    </row>
    <row r="300" spans="1:22" ht="21" customHeight="1" x14ac:dyDescent="0.15">
      <c r="A300" s="2"/>
      <c r="B300" s="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45"/>
      <c r="P300" s="46"/>
      <c r="Q300" s="30"/>
      <c r="R300" s="30"/>
      <c r="S300" s="30"/>
      <c r="T300" s="30"/>
      <c r="U300" s="30"/>
      <c r="V300" s="30"/>
    </row>
    <row r="301" spans="1:22" ht="21" customHeight="1" x14ac:dyDescent="0.15">
      <c r="A301" s="2"/>
      <c r="B301" s="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45"/>
      <c r="P301" s="46"/>
      <c r="Q301" s="30"/>
      <c r="R301" s="30"/>
      <c r="S301" s="30"/>
      <c r="T301" s="30"/>
      <c r="U301" s="30"/>
      <c r="V301" s="30"/>
    </row>
    <row r="302" spans="1:22" ht="21" customHeight="1" x14ac:dyDescent="0.15">
      <c r="A302" s="2"/>
      <c r="B302" s="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45"/>
      <c r="P302" s="46"/>
      <c r="Q302" s="30"/>
      <c r="R302" s="30"/>
      <c r="S302" s="30"/>
      <c r="T302" s="30"/>
      <c r="U302" s="30"/>
      <c r="V302" s="30"/>
    </row>
    <row r="303" spans="1:22" ht="21" customHeight="1" x14ac:dyDescent="0.15">
      <c r="A303" s="2"/>
      <c r="B303" s="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45"/>
      <c r="P303" s="46"/>
      <c r="Q303" s="30"/>
      <c r="R303" s="30"/>
      <c r="S303" s="30"/>
      <c r="T303" s="30"/>
      <c r="U303" s="30"/>
      <c r="V303" s="30"/>
    </row>
    <row r="304" spans="1:22" ht="21" customHeight="1" x14ac:dyDescent="0.15">
      <c r="A304" s="2"/>
      <c r="B304" s="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45"/>
      <c r="P304" s="46"/>
      <c r="Q304" s="30"/>
      <c r="R304" s="30"/>
      <c r="S304" s="30"/>
      <c r="T304" s="30"/>
      <c r="U304" s="30"/>
      <c r="V304" s="30"/>
    </row>
    <row r="305" spans="1:22" ht="21" customHeight="1" x14ac:dyDescent="0.15">
      <c r="A305" s="2"/>
      <c r="B305" s="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45"/>
      <c r="P305" s="46"/>
      <c r="Q305" s="30"/>
      <c r="R305" s="30"/>
      <c r="S305" s="30"/>
      <c r="T305" s="30"/>
      <c r="U305" s="30"/>
      <c r="V305" s="30"/>
    </row>
    <row r="306" spans="1:22" ht="21" customHeight="1" x14ac:dyDescent="0.15">
      <c r="A306" s="2"/>
      <c r="B306" s="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45"/>
      <c r="P306" s="46"/>
      <c r="Q306" s="30"/>
      <c r="R306" s="30"/>
      <c r="S306" s="30"/>
      <c r="T306" s="30"/>
      <c r="U306" s="30"/>
      <c r="V306" s="30"/>
    </row>
    <row r="307" spans="1:22" ht="21" customHeight="1" x14ac:dyDescent="0.15">
      <c r="A307" s="2"/>
      <c r="B307" s="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45"/>
      <c r="P307" s="46"/>
      <c r="Q307" s="30"/>
      <c r="R307" s="30"/>
      <c r="S307" s="30"/>
      <c r="T307" s="30"/>
      <c r="U307" s="30"/>
      <c r="V307" s="30"/>
    </row>
    <row r="308" spans="1:22" ht="21" customHeight="1" x14ac:dyDescent="0.15">
      <c r="A308" s="2"/>
      <c r="B308" s="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45"/>
      <c r="P308" s="46"/>
      <c r="Q308" s="30"/>
      <c r="R308" s="30"/>
      <c r="S308" s="30"/>
      <c r="T308" s="30"/>
      <c r="U308" s="30"/>
      <c r="V308" s="30"/>
    </row>
    <row r="309" spans="1:22" ht="21" customHeight="1" x14ac:dyDescent="0.15">
      <c r="A309" s="2"/>
      <c r="B309" s="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45"/>
      <c r="P309" s="46"/>
      <c r="Q309" s="30"/>
      <c r="R309" s="30"/>
      <c r="S309" s="30"/>
      <c r="T309" s="30"/>
      <c r="U309" s="30"/>
      <c r="V309" s="30"/>
    </row>
    <row r="310" spans="1:22" ht="21" customHeight="1" x14ac:dyDescent="0.15">
      <c r="A310" s="2"/>
      <c r="B310" s="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45"/>
      <c r="P310" s="46"/>
      <c r="Q310" s="30"/>
      <c r="R310" s="30"/>
      <c r="S310" s="30"/>
      <c r="T310" s="30"/>
      <c r="U310" s="30"/>
      <c r="V310" s="30"/>
    </row>
    <row r="311" spans="1:22" ht="21" customHeight="1" x14ac:dyDescent="0.15">
      <c r="A311" s="2"/>
      <c r="B311" s="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45"/>
      <c r="P311" s="46"/>
      <c r="Q311" s="30"/>
      <c r="R311" s="30"/>
      <c r="S311" s="30"/>
      <c r="T311" s="30"/>
      <c r="U311" s="30"/>
      <c r="V311" s="30"/>
    </row>
    <row r="312" spans="1:22" ht="21" customHeight="1" x14ac:dyDescent="0.15">
      <c r="A312" s="2"/>
      <c r="B312" s="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45"/>
      <c r="P312" s="46"/>
      <c r="Q312" s="30"/>
      <c r="R312" s="30"/>
      <c r="S312" s="30"/>
      <c r="T312" s="30"/>
      <c r="U312" s="30"/>
      <c r="V312" s="30"/>
    </row>
    <row r="313" spans="1:22" ht="21" customHeight="1" x14ac:dyDescent="0.15">
      <c r="A313" s="2"/>
      <c r="B313" s="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45"/>
      <c r="P313" s="46"/>
      <c r="Q313" s="30"/>
      <c r="R313" s="30"/>
      <c r="S313" s="30"/>
      <c r="T313" s="30"/>
      <c r="U313" s="30"/>
      <c r="V313" s="30"/>
    </row>
    <row r="314" spans="1:22" ht="21" customHeight="1" x14ac:dyDescent="0.15">
      <c r="A314" s="2"/>
      <c r="B314" s="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45"/>
      <c r="P314" s="46"/>
      <c r="Q314" s="30"/>
      <c r="R314" s="30"/>
      <c r="S314" s="30"/>
      <c r="T314" s="30"/>
      <c r="U314" s="30"/>
      <c r="V314" s="30"/>
    </row>
    <row r="315" spans="1:22" ht="21" customHeight="1" x14ac:dyDescent="0.15">
      <c r="A315" s="2"/>
      <c r="B315" s="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45"/>
      <c r="P315" s="46"/>
      <c r="Q315" s="30"/>
      <c r="R315" s="30"/>
      <c r="S315" s="30"/>
      <c r="T315" s="30"/>
      <c r="U315" s="30"/>
      <c r="V315" s="30"/>
    </row>
    <row r="316" spans="1:22" ht="21" customHeight="1" x14ac:dyDescent="0.15">
      <c r="A316" s="2"/>
      <c r="B316" s="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45"/>
      <c r="P316" s="46"/>
      <c r="Q316" s="30"/>
      <c r="R316" s="30"/>
      <c r="S316" s="30"/>
      <c r="T316" s="30"/>
      <c r="U316" s="30"/>
      <c r="V316" s="30"/>
    </row>
    <row r="317" spans="1:22" ht="21" customHeight="1" x14ac:dyDescent="0.15">
      <c r="A317" s="2"/>
      <c r="B317" s="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45"/>
      <c r="P317" s="46"/>
      <c r="Q317" s="30"/>
      <c r="R317" s="30"/>
      <c r="S317" s="30"/>
      <c r="T317" s="30"/>
      <c r="U317" s="30"/>
      <c r="V317" s="30"/>
    </row>
    <row r="318" spans="1:22" ht="21" customHeight="1" x14ac:dyDescent="0.15">
      <c r="A318" s="2"/>
      <c r="B318" s="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45"/>
      <c r="P318" s="46"/>
      <c r="Q318" s="30"/>
      <c r="R318" s="30"/>
      <c r="S318" s="30"/>
      <c r="T318" s="30"/>
      <c r="U318" s="30"/>
      <c r="V318" s="30"/>
    </row>
    <row r="319" spans="1:22" ht="21" customHeight="1" x14ac:dyDescent="0.15">
      <c r="A319" s="2"/>
      <c r="B319" s="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45"/>
      <c r="P319" s="46"/>
      <c r="Q319" s="30"/>
      <c r="R319" s="30"/>
      <c r="S319" s="30"/>
      <c r="T319" s="30"/>
      <c r="U319" s="30"/>
      <c r="V319" s="30"/>
    </row>
    <row r="320" spans="1:22" ht="21" customHeight="1" x14ac:dyDescent="0.15">
      <c r="A320" s="2"/>
      <c r="B320" s="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45"/>
      <c r="P320" s="46"/>
      <c r="Q320" s="30"/>
      <c r="R320" s="30"/>
      <c r="S320" s="30"/>
      <c r="T320" s="30"/>
      <c r="U320" s="30"/>
      <c r="V320" s="30"/>
    </row>
    <row r="321" spans="1:22" ht="21" customHeight="1" x14ac:dyDescent="0.15">
      <c r="A321" s="2"/>
      <c r="B321" s="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45"/>
      <c r="P321" s="46"/>
      <c r="Q321" s="30"/>
      <c r="R321" s="30"/>
      <c r="S321" s="30"/>
      <c r="T321" s="30"/>
      <c r="U321" s="30"/>
      <c r="V321" s="30"/>
    </row>
    <row r="322" spans="1:22" ht="21" customHeight="1" x14ac:dyDescent="0.15">
      <c r="A322" s="2"/>
      <c r="B322" s="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45"/>
      <c r="P322" s="46"/>
      <c r="Q322" s="30"/>
      <c r="R322" s="30"/>
      <c r="S322" s="30"/>
      <c r="T322" s="30"/>
      <c r="U322" s="30"/>
      <c r="V322" s="30"/>
    </row>
    <row r="323" spans="1:22" ht="21" customHeight="1" x14ac:dyDescent="0.15">
      <c r="A323" s="2"/>
      <c r="B323" s="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45"/>
      <c r="P323" s="46"/>
      <c r="Q323" s="30"/>
      <c r="R323" s="30"/>
      <c r="S323" s="30"/>
      <c r="T323" s="30"/>
      <c r="U323" s="30"/>
      <c r="V323" s="30"/>
    </row>
    <row r="324" spans="1:22" ht="21" customHeight="1" x14ac:dyDescent="0.15">
      <c r="A324" s="2"/>
      <c r="B324" s="2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45"/>
      <c r="P324" s="46"/>
      <c r="Q324" s="30"/>
      <c r="R324" s="30"/>
      <c r="S324" s="30"/>
      <c r="T324" s="30"/>
      <c r="U324" s="30"/>
      <c r="V324" s="30"/>
    </row>
    <row r="325" spans="1:22" ht="21" customHeight="1" x14ac:dyDescent="0.15">
      <c r="A325" s="2"/>
      <c r="B325" s="2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45"/>
      <c r="P325" s="46"/>
      <c r="Q325" s="30"/>
      <c r="R325" s="30"/>
      <c r="S325" s="30"/>
      <c r="T325" s="30"/>
      <c r="U325" s="30"/>
      <c r="V325" s="30"/>
    </row>
    <row r="326" spans="1:22" ht="21" customHeight="1" x14ac:dyDescent="0.15">
      <c r="A326" s="2"/>
      <c r="B326" s="2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45"/>
      <c r="P326" s="46"/>
      <c r="Q326" s="30"/>
      <c r="R326" s="30"/>
      <c r="S326" s="30"/>
      <c r="T326" s="30"/>
      <c r="U326" s="30"/>
      <c r="V326" s="30"/>
    </row>
    <row r="327" spans="1:22" ht="21" customHeight="1" x14ac:dyDescent="0.15">
      <c r="A327" s="2"/>
      <c r="B327" s="2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45"/>
      <c r="P327" s="46"/>
      <c r="Q327" s="30"/>
      <c r="R327" s="30"/>
      <c r="S327" s="30"/>
      <c r="T327" s="30"/>
      <c r="U327" s="30"/>
      <c r="V327" s="30"/>
    </row>
    <row r="328" spans="1:22" ht="21" customHeight="1" x14ac:dyDescent="0.15">
      <c r="A328" s="2"/>
      <c r="B328" s="2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45"/>
      <c r="P328" s="46"/>
      <c r="Q328" s="30"/>
      <c r="R328" s="30"/>
      <c r="S328" s="30"/>
      <c r="T328" s="30"/>
      <c r="U328" s="30"/>
      <c r="V328" s="30"/>
    </row>
    <row r="329" spans="1:22" ht="21" customHeight="1" x14ac:dyDescent="0.15">
      <c r="A329" s="2"/>
      <c r="B329" s="2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45"/>
      <c r="P329" s="46"/>
      <c r="Q329" s="30"/>
      <c r="R329" s="30"/>
      <c r="S329" s="30"/>
      <c r="T329" s="30"/>
      <c r="U329" s="30"/>
      <c r="V329" s="30"/>
    </row>
    <row r="330" spans="1:22" ht="21" customHeight="1" x14ac:dyDescent="0.15">
      <c r="A330" s="2"/>
      <c r="B330" s="2"/>
      <c r="C330" s="7"/>
      <c r="D330" s="93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45"/>
      <c r="P330" s="46"/>
      <c r="Q330" s="30"/>
      <c r="R330" s="30"/>
      <c r="S330" s="30"/>
      <c r="T330" s="30"/>
      <c r="U330" s="30"/>
      <c r="V330" s="30"/>
    </row>
    <row r="331" spans="1:22" ht="21" customHeight="1" x14ac:dyDescent="0.15">
      <c r="A331" s="2"/>
      <c r="B331" s="60"/>
      <c r="C331" s="7"/>
      <c r="D331" s="93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45"/>
      <c r="P331" s="46"/>
      <c r="Q331" s="30"/>
      <c r="R331" s="30"/>
      <c r="S331" s="30"/>
      <c r="T331" s="30"/>
      <c r="U331" s="30"/>
      <c r="V331" s="30"/>
    </row>
    <row r="332" spans="1:22" ht="21" customHeight="1" x14ac:dyDescent="0.15">
      <c r="A332" s="2"/>
      <c r="B332" s="60"/>
      <c r="C332" s="7"/>
      <c r="D332" s="93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45"/>
      <c r="P332" s="46"/>
      <c r="Q332" s="30"/>
      <c r="R332" s="30"/>
      <c r="S332" s="30"/>
      <c r="T332" s="30"/>
      <c r="U332" s="30"/>
      <c r="V332" s="30"/>
    </row>
    <row r="333" spans="1:22" ht="21" customHeight="1" x14ac:dyDescent="0.15">
      <c r="A333" s="2"/>
      <c r="B333" s="60"/>
      <c r="C333" s="7"/>
      <c r="D333" s="93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45"/>
      <c r="P333" s="46"/>
      <c r="Q333" s="30"/>
      <c r="R333" s="30"/>
      <c r="S333" s="30"/>
      <c r="T333" s="30"/>
      <c r="U333" s="30"/>
      <c r="V333" s="30"/>
    </row>
    <row r="334" spans="1:22" ht="21" customHeight="1" x14ac:dyDescent="0.15">
      <c r="A334" s="2"/>
      <c r="B334" s="89"/>
      <c r="C334" s="7"/>
      <c r="D334" s="93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45"/>
      <c r="P334" s="46"/>
      <c r="Q334" s="30"/>
      <c r="R334" s="30"/>
      <c r="S334" s="30"/>
      <c r="T334" s="30"/>
      <c r="U334" s="30"/>
      <c r="V334" s="30"/>
    </row>
    <row r="335" spans="1:22" ht="21" customHeight="1" x14ac:dyDescent="0.15">
      <c r="A335" s="2"/>
      <c r="B335" s="60"/>
      <c r="C335" s="7"/>
      <c r="D335" s="93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45"/>
      <c r="P335" s="46"/>
      <c r="Q335" s="30"/>
      <c r="R335" s="30"/>
      <c r="S335" s="30"/>
      <c r="T335" s="30"/>
      <c r="U335" s="30"/>
      <c r="V335" s="30"/>
    </row>
    <row r="336" spans="1:22" ht="21" customHeight="1" x14ac:dyDescent="0.15">
      <c r="A336" s="2"/>
      <c r="B336" s="2"/>
      <c r="C336" s="7"/>
      <c r="D336" s="93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45"/>
      <c r="P336" s="46"/>
      <c r="Q336" s="30"/>
      <c r="R336" s="30"/>
      <c r="S336" s="30"/>
      <c r="T336" s="30"/>
      <c r="U336" s="30"/>
      <c r="V336" s="30"/>
    </row>
    <row r="337" spans="1:22" ht="21" customHeight="1" x14ac:dyDescent="0.15">
      <c r="A337" s="2"/>
      <c r="B337" s="2"/>
      <c r="C337" s="7"/>
      <c r="D337" s="93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45"/>
      <c r="P337" s="46"/>
      <c r="Q337" s="30"/>
      <c r="R337" s="30"/>
      <c r="S337" s="30"/>
      <c r="T337" s="30"/>
      <c r="U337" s="30"/>
      <c r="V337" s="30"/>
    </row>
    <row r="338" spans="1:22" ht="21" customHeight="1" x14ac:dyDescent="0.15">
      <c r="A338" s="2"/>
      <c r="B338" s="2"/>
      <c r="C338" s="7"/>
      <c r="D338" s="93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45"/>
      <c r="P338" s="46"/>
      <c r="Q338" s="30"/>
      <c r="R338" s="30"/>
      <c r="S338" s="30"/>
      <c r="T338" s="30"/>
      <c r="U338" s="30"/>
      <c r="V338" s="30"/>
    </row>
    <row r="339" spans="1:22" ht="21" customHeight="1" x14ac:dyDescent="0.15">
      <c r="A339" s="2"/>
      <c r="B339" s="2"/>
      <c r="C339" s="7"/>
      <c r="D339" s="93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45"/>
      <c r="P339" s="46"/>
      <c r="Q339" s="30"/>
      <c r="R339" s="30"/>
      <c r="S339" s="30"/>
      <c r="T339" s="30"/>
      <c r="U339" s="30"/>
      <c r="V339" s="30"/>
    </row>
    <row r="340" spans="1:22" ht="21" customHeight="1" x14ac:dyDescent="0.15">
      <c r="A340" s="2"/>
      <c r="B340" s="2"/>
      <c r="C340" s="7"/>
      <c r="D340" s="93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45"/>
      <c r="P340" s="46"/>
      <c r="Q340" s="30"/>
      <c r="R340" s="30"/>
      <c r="S340" s="30"/>
      <c r="T340" s="30"/>
      <c r="U340" s="30"/>
      <c r="V340" s="30"/>
    </row>
    <row r="341" spans="1:22" ht="21" customHeight="1" x14ac:dyDescent="0.15">
      <c r="A341" s="2"/>
      <c r="B341" s="2"/>
      <c r="C341" s="7"/>
      <c r="D341" s="93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45"/>
      <c r="P341" s="46"/>
      <c r="Q341" s="30"/>
      <c r="R341" s="30"/>
      <c r="S341" s="30"/>
      <c r="T341" s="30"/>
      <c r="U341" s="30"/>
      <c r="V341" s="30"/>
    </row>
    <row r="342" spans="1:22" ht="21" customHeight="1" x14ac:dyDescent="0.15">
      <c r="A342" s="2"/>
      <c r="B342" s="2"/>
      <c r="C342" s="7"/>
      <c r="D342" s="93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45"/>
      <c r="P342" s="46"/>
      <c r="Q342" s="30"/>
      <c r="R342" s="30"/>
      <c r="S342" s="30"/>
      <c r="T342" s="30"/>
      <c r="U342" s="30"/>
      <c r="V342" s="30"/>
    </row>
    <row r="343" spans="1:22" ht="21" customHeight="1" x14ac:dyDescent="0.15">
      <c r="A343" s="2"/>
      <c r="B343" s="2"/>
      <c r="C343" s="7"/>
      <c r="D343" s="93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45"/>
      <c r="P343" s="46"/>
      <c r="Q343" s="30"/>
      <c r="R343" s="30"/>
      <c r="S343" s="30"/>
      <c r="T343" s="30"/>
      <c r="U343" s="30"/>
      <c r="V343" s="30"/>
    </row>
    <row r="344" spans="1:22" ht="21" customHeight="1" x14ac:dyDescent="0.15">
      <c r="A344" s="2"/>
      <c r="B344" s="2"/>
      <c r="C344" s="7"/>
      <c r="D344" s="93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45"/>
      <c r="P344" s="46"/>
      <c r="Q344" s="30"/>
      <c r="R344" s="30"/>
      <c r="S344" s="30"/>
      <c r="T344" s="30"/>
      <c r="U344" s="30"/>
      <c r="V344" s="30"/>
    </row>
    <row r="345" spans="1:22" ht="21" customHeight="1" x14ac:dyDescent="0.15">
      <c r="A345" s="2"/>
      <c r="B345" s="2"/>
      <c r="C345" s="7"/>
      <c r="D345" s="93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45"/>
      <c r="P345" s="46"/>
      <c r="Q345" s="30"/>
      <c r="R345" s="30"/>
      <c r="S345" s="30"/>
      <c r="T345" s="30"/>
      <c r="U345" s="30"/>
      <c r="V345" s="30"/>
    </row>
    <row r="346" spans="1:22" ht="21" customHeight="1" x14ac:dyDescent="0.15">
      <c r="A346" s="2"/>
      <c r="B346" s="2"/>
      <c r="C346" s="7"/>
      <c r="D346" s="93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45"/>
      <c r="P346" s="46"/>
      <c r="Q346" s="30"/>
      <c r="R346" s="30"/>
      <c r="S346" s="30"/>
      <c r="T346" s="30"/>
      <c r="U346" s="30"/>
      <c r="V346" s="30"/>
    </row>
    <row r="347" spans="1:22" ht="21" customHeight="1" x14ac:dyDescent="0.15">
      <c r="A347" s="2"/>
      <c r="B347" s="2"/>
      <c r="C347" s="7"/>
      <c r="D347" s="93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45"/>
      <c r="P347" s="46"/>
      <c r="Q347" s="30"/>
      <c r="R347" s="30"/>
      <c r="S347" s="30"/>
      <c r="T347" s="30"/>
      <c r="U347" s="30"/>
      <c r="V347" s="30"/>
    </row>
    <row r="348" spans="1:22" ht="21" customHeight="1" x14ac:dyDescent="0.15">
      <c r="A348" s="2"/>
      <c r="B348" s="2"/>
      <c r="C348" s="7"/>
      <c r="D348" s="93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45"/>
      <c r="P348" s="46"/>
      <c r="Q348" s="30"/>
      <c r="R348" s="30"/>
      <c r="S348" s="30"/>
      <c r="T348" s="30"/>
      <c r="U348" s="30"/>
      <c r="V348" s="30"/>
    </row>
    <row r="349" spans="1:22" ht="21" customHeight="1" x14ac:dyDescent="0.15">
      <c r="A349" s="2"/>
      <c r="B349" s="2"/>
      <c r="C349" s="7"/>
      <c r="D349" s="93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45"/>
      <c r="P349" s="46"/>
      <c r="Q349" s="30"/>
      <c r="R349" s="30"/>
      <c r="S349" s="30"/>
      <c r="T349" s="30"/>
      <c r="U349" s="30"/>
      <c r="V349" s="30"/>
    </row>
    <row r="350" spans="1:22" ht="21" customHeight="1" x14ac:dyDescent="0.15">
      <c r="A350" s="2"/>
      <c r="B350" s="2"/>
      <c r="C350" s="7"/>
      <c r="D350" s="93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45"/>
      <c r="P350" s="46"/>
      <c r="Q350" s="30"/>
      <c r="R350" s="30"/>
      <c r="S350" s="30"/>
      <c r="T350" s="30"/>
      <c r="U350" s="30"/>
      <c r="V350" s="30"/>
    </row>
    <row r="351" spans="1:22" ht="21" customHeight="1" x14ac:dyDescent="0.15">
      <c r="A351" s="2"/>
      <c r="B351" s="2"/>
      <c r="C351" s="7"/>
      <c r="D351" s="93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45"/>
      <c r="P351" s="46"/>
      <c r="Q351" s="30"/>
      <c r="R351" s="30"/>
      <c r="S351" s="30"/>
      <c r="T351" s="30"/>
      <c r="U351" s="30"/>
      <c r="V351" s="30"/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12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O1" sqref="O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456107</v>
      </c>
      <c r="B2" s="2">
        <v>484</v>
      </c>
      <c r="C2" s="7" t="str">
        <f t="shared" ref="C2:C12" si="0">D2&amp;J2&amp;E2&amp;F2&amp;G2</f>
        <v>PremiumSSS4R3less</v>
      </c>
      <c r="D2" s="93" t="str">
        <f t="shared" ref="D2:D12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ラグランジュ</v>
      </c>
      <c r="I2" s="7" t="str">
        <f>VLOOKUP(B2,[1]characters!$A:$J,10,FALSE)</f>
        <v>PremiumSSS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v>19</v>
      </c>
      <c r="P2" s="46">
        <f t="shared" ref="P2:P12" si="2">O2/SUM(O:O)</f>
        <v>0.11874999999999999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456107</v>
      </c>
      <c r="B3" s="2">
        <v>485</v>
      </c>
      <c r="C3" s="7" t="str">
        <f t="shared" si="0"/>
        <v>PremiumSSS5R3less</v>
      </c>
      <c r="D3" s="93" t="str">
        <f t="shared" si="1"/>
        <v>PremiumSSS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超越自我 ラグランジュ</v>
      </c>
      <c r="I3" s="7" t="str">
        <f>VLOOKUP(B3,[1]characters!$A:$J,10,FALSE)</f>
        <v>PremiumSSS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technical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</v>
      </c>
      <c r="P3" s="46">
        <f t="shared" si="2"/>
        <v>6.2500000000000003E-3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456107</v>
      </c>
      <c r="B4" s="2">
        <v>486</v>
      </c>
      <c r="C4" s="7" t="str">
        <f t="shared" si="0"/>
        <v>PremiumSSS5R3less</v>
      </c>
      <c r="D4" s="93" t="str">
        <f t="shared" si="1"/>
        <v>PremiumSSS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重なる世解 シュレディンガー</v>
      </c>
      <c r="I4" s="7" t="str">
        <f>VLOOKUP(B4,[1]characters!$A:$J,10,FALSE)</f>
        <v>PremiumSSS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animal</v>
      </c>
      <c r="N4" s="7" t="str">
        <f>VLOOKUP(B4,[1]characters!$A:$G,7,FALSE)</f>
        <v>男性</v>
      </c>
      <c r="O4" s="45">
        <v>20</v>
      </c>
      <c r="P4" s="46">
        <f t="shared" si="2"/>
        <v>0.125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456107</v>
      </c>
      <c r="B5" s="2">
        <v>378</v>
      </c>
      <c r="C5" s="7" t="str">
        <f t="shared" si="0"/>
        <v>PremiumSSS4R3less</v>
      </c>
      <c r="D5" s="93" t="str">
        <f t="shared" si="1"/>
        <v>PremiumSSS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オイラー</v>
      </c>
      <c r="I5" s="7" t="str">
        <f>VLOOKUP(B5,[1]characters!$A:$J,10,FALSE)</f>
        <v>PremiumSSS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19</v>
      </c>
      <c r="P5" s="46">
        <f t="shared" si="2"/>
        <v>0.11874999999999999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456107</v>
      </c>
      <c r="B6" s="2">
        <v>379</v>
      </c>
      <c r="C6" s="7" t="str">
        <f t="shared" si="0"/>
        <v>PremiumSSS5R3less</v>
      </c>
      <c r="D6" s="93" t="str">
        <f t="shared" si="1"/>
        <v>PremiumSSS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幾何の機刃 オイラー</v>
      </c>
      <c r="I6" s="7" t="str">
        <f>VLOOKUP(B6,[1]characters!$A:$J,10,FALSE)</f>
        <v>PremiumSSS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</v>
      </c>
      <c r="P6" s="46">
        <f t="shared" si="2"/>
        <v>6.2500000000000003E-3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456107</v>
      </c>
      <c r="B7" s="2">
        <v>750</v>
      </c>
      <c r="C7" s="7" t="str">
        <f t="shared" si="0"/>
        <v>PremiumSSS5R3less</v>
      </c>
      <c r="D7" s="93" t="str">
        <f t="shared" si="1"/>
        <v>PremiumSSS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ポアソン</v>
      </c>
      <c r="I7" s="7" t="str">
        <f>VLOOKUP(B7,[1]characters!$A:$J,10,FALSE)</f>
        <v>PremiumSSS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balance</v>
      </c>
      <c r="M7" s="7" t="str">
        <f>VLOOKUP(B7,[1]characters!$A:$M,13,FALSE)</f>
        <v>academia</v>
      </c>
      <c r="N7" s="7" t="str">
        <f>VLOOKUP(B7,[1]characters!$A:$G,7,FALSE)</f>
        <v>男性</v>
      </c>
      <c r="O7" s="45">
        <v>20</v>
      </c>
      <c r="P7" s="46">
        <f t="shared" si="2"/>
        <v>0.125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456107</v>
      </c>
      <c r="B8" s="2">
        <v>488</v>
      </c>
      <c r="C8" s="7" t="str">
        <f t="shared" si="0"/>
        <v>PremiumSSS5R3less</v>
      </c>
      <c r="D8" s="93" t="str">
        <f t="shared" si="1"/>
        <v>PremiumSSS</v>
      </c>
      <c r="E8" s="7" t="str">
        <f>IF(COUNTIF('R6追加前'!A:A,B8)=0,IF(OR(I8="PremiumSS",I8="PremiumSSw"),"R5only","R3less"),"")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直観の異論 ヘンペル</v>
      </c>
      <c r="I8" s="7" t="str">
        <f>VLOOKUP(B8,[1]characters!$A:$J,10,FALSE)</f>
        <v>PremiumSSS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technical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v>20</v>
      </c>
      <c r="P8" s="46">
        <f t="shared" si="2"/>
        <v>0.125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456107</v>
      </c>
      <c r="B9" s="2">
        <v>790</v>
      </c>
      <c r="C9" s="7" t="str">
        <f t="shared" si="0"/>
        <v>PremiumSSS5R3less</v>
      </c>
      <c r="D9" s="93" t="str">
        <f t="shared" si="1"/>
        <v>PremiumSSS</v>
      </c>
      <c r="E9" s="7" t="str">
        <f>IF(COUNTIF('R6追加前'!A:A,B9)=0,IF(OR(I9="PremiumSS",I9="PremiumSSw"),"R5only","R3less"),"")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戦略級の才脳 ノイマン</v>
      </c>
      <c r="I9" s="7" t="str">
        <f>VLOOKUP(B9,[1]characters!$A:$J,10,FALSE)</f>
        <v>PremiumSSS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machine</v>
      </c>
      <c r="N9" s="7" t="str">
        <f>VLOOKUP(B9,[1]characters!$A:$G,7,FALSE)</f>
        <v>女性</v>
      </c>
      <c r="O9" s="45">
        <v>20</v>
      </c>
      <c r="P9" s="46">
        <f t="shared" si="2"/>
        <v>0.125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456107</v>
      </c>
      <c r="B10" s="2">
        <v>410</v>
      </c>
      <c r="C10" s="7" t="str">
        <f t="shared" si="0"/>
        <v>PremiumSSS4R3less</v>
      </c>
      <c r="D10" s="93" t="str">
        <f t="shared" si="1"/>
        <v>PremiumSSS</v>
      </c>
      <c r="E10" s="7" t="str">
        <f>IF(COUNTIF('R6追加前'!A:A,B10)=0,IF(OR(I10="PremiumSS",I10="PremiumSSw"),"R5only","R3less"),"")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ファラデー</v>
      </c>
      <c r="I10" s="7" t="str">
        <f>VLOOKUP(B10,[1]characters!$A:$J,10,FALSE)</f>
        <v>PremiumSSS</v>
      </c>
      <c r="J10" s="7">
        <f>VLOOKUP(B10,[1]characters!$A:$I,9,FALSE)</f>
        <v>4</v>
      </c>
      <c r="K10" s="7" t="str">
        <f>VLOOKUP(B10,[1]characters!$A:$H,8,FALSE)</f>
        <v>yellow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19</v>
      </c>
      <c r="P10" s="46">
        <f t="shared" si="2"/>
        <v>0.11874999999999999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456107</v>
      </c>
      <c r="B11" s="2">
        <v>411</v>
      </c>
      <c r="C11" s="7" t="str">
        <f t="shared" si="0"/>
        <v>PremiumSSS5R3less</v>
      </c>
      <c r="D11" s="93" t="str">
        <f t="shared" si="1"/>
        <v>PremiumSSS</v>
      </c>
      <c r="E11" s="7" t="str">
        <f>IF(COUNTIF('R6追加前'!A:A,B11)=0,IF(OR(I11="PremiumSS",I11="PremiumSSw"),"R5only","R3less"),"")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電隷の始祖 ファラデー</v>
      </c>
      <c r="I11" s="7" t="str">
        <f>VLOOKUP(B11,[1]characters!$A:$J,10,FALSE)</f>
        <v>PremiumSSS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1</v>
      </c>
      <c r="P11" s="46">
        <f t="shared" si="2"/>
        <v>6.2500000000000003E-3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456107</v>
      </c>
      <c r="B12" s="2">
        <v>792</v>
      </c>
      <c r="C12" s="7" t="str">
        <f t="shared" si="0"/>
        <v>PremiumSSS5R3less</v>
      </c>
      <c r="D12" s="93" t="str">
        <f t="shared" si="1"/>
        <v>PremiumSSS</v>
      </c>
      <c r="E12" s="7" t="str">
        <f>IF(COUNTIF('R6追加前'!A:A,B12)=0,IF(OR(I12="PremiumSS",I12="PremiumSSw"),"R5only","R3less"),"")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片還の収波 フーリエ</v>
      </c>
      <c r="I12" s="7" t="str">
        <f>VLOOKUP(B12,[1]characters!$A:$J,10,FALSE)</f>
        <v>PremiumSSS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technical</v>
      </c>
      <c r="M12" s="7" t="str">
        <f>VLOOKUP(B12,[1]characters!$A:$M,13,FALSE)</f>
        <v>human</v>
      </c>
      <c r="N12" s="7" t="str">
        <f>VLOOKUP(B12,[1]characters!$A:$G,7,FALSE)</f>
        <v>男性</v>
      </c>
      <c r="O12" s="45">
        <v>20</v>
      </c>
      <c r="P12" s="46">
        <f t="shared" si="2"/>
        <v>0.125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6" sqref="Q6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5">
        <v>456102</v>
      </c>
      <c r="B2" s="95">
        <v>4561021</v>
      </c>
      <c r="C2" s="78" t="s">
        <v>251</v>
      </c>
      <c r="D2" s="78">
        <v>1</v>
      </c>
      <c r="E2" s="78">
        <v>3</v>
      </c>
      <c r="F2" s="78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8" t="s">
        <v>252</v>
      </c>
      <c r="O2" s="78" t="s">
        <v>254</v>
      </c>
      <c r="P2" s="78" t="s">
        <v>258</v>
      </c>
      <c r="Q2" s="79" t="s">
        <v>259</v>
      </c>
    </row>
    <row r="3" spans="1:17" ht="21" customHeight="1" x14ac:dyDescent="0.15">
      <c r="A3" s="95">
        <v>456103</v>
      </c>
      <c r="B3" s="95">
        <v>4561031</v>
      </c>
      <c r="C3" s="1" t="s">
        <v>253</v>
      </c>
      <c r="D3" s="1">
        <v>837</v>
      </c>
      <c r="E3" s="1">
        <v>1</v>
      </c>
      <c r="F3" s="1">
        <v>1</v>
      </c>
      <c r="G3" s="1">
        <v>0</v>
      </c>
      <c r="H3" s="1">
        <v>0</v>
      </c>
      <c r="I3" s="1">
        <v>0</v>
      </c>
      <c r="J3" s="1">
        <v>0</v>
      </c>
      <c r="K3" s="1">
        <v>1</v>
      </c>
      <c r="L3" s="1">
        <v>1</v>
      </c>
      <c r="M3" s="1">
        <v>1</v>
      </c>
      <c r="N3" s="78" t="s">
        <v>252</v>
      </c>
      <c r="O3" s="78" t="s">
        <v>255</v>
      </c>
      <c r="P3" s="78" t="s">
        <v>258</v>
      </c>
      <c r="Q3" s="79" t="s">
        <v>260</v>
      </c>
    </row>
    <row r="4" spans="1:17" ht="21" customHeight="1" x14ac:dyDescent="0.15">
      <c r="A4" s="95">
        <v>456105</v>
      </c>
      <c r="B4" s="95">
        <v>4561051</v>
      </c>
      <c r="C4" s="1" t="s">
        <v>253</v>
      </c>
      <c r="D4" s="1">
        <v>614</v>
      </c>
      <c r="E4" s="1">
        <v>1</v>
      </c>
      <c r="F4" s="1">
        <v>1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1</v>
      </c>
      <c r="N4" s="78" t="s">
        <v>252</v>
      </c>
      <c r="O4" s="78" t="s">
        <v>257</v>
      </c>
      <c r="P4" s="78" t="s">
        <v>258</v>
      </c>
      <c r="Q4" s="79" t="s">
        <v>261</v>
      </c>
    </row>
    <row r="5" spans="1:17" ht="21" customHeight="1" x14ac:dyDescent="0.15">
      <c r="A5" s="95">
        <v>456106</v>
      </c>
      <c r="B5" s="95">
        <v>4561061</v>
      </c>
      <c r="C5" s="1" t="s">
        <v>253</v>
      </c>
      <c r="D5" s="1">
        <v>837</v>
      </c>
      <c r="E5" s="1">
        <v>2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1</v>
      </c>
      <c r="L5" s="1">
        <v>1</v>
      </c>
      <c r="M5" s="1">
        <v>1</v>
      </c>
      <c r="N5" s="78" t="s">
        <v>252</v>
      </c>
      <c r="O5" s="78" t="s">
        <v>256</v>
      </c>
      <c r="P5" s="78" t="s">
        <v>258</v>
      </c>
      <c r="Q5" s="79" t="s">
        <v>262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input_456100</vt:lpstr>
      <vt:lpstr>tables_456100</vt:lpstr>
      <vt:lpstr>tables_settle_456104</vt:lpstr>
      <vt:lpstr>tables_settle_456107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2016-11-17T08:21:07Z</dcterms:modified>
</cp:coreProperties>
</file>