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 codeName="{00000000-0000-0000-0000-000000000000}"/>
  <workbookPr codeName="ThisWorkbook" autoCompressPictures="0"/>
  <bookViews>
    <workbookView xWindow="1640" yWindow="380" windowWidth="24160" windowHeight="14620" tabRatio="936" firstSheet="6" activeTab="7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ACH" sheetId="22" r:id="rId8"/>
    <sheet name="enemy_habitats" sheetId="1" r:id="rId9"/>
    <sheet name="enemy_habitat_S" sheetId="7" r:id="rId10"/>
    <sheet name="enemy_skill_sets" sheetId="9" r:id="rId11"/>
    <sheet name="enemy_skills" sheetId="10" r:id="rId12"/>
    <sheet name="enemy_skill_triggers" sheetId="11" r:id="rId13"/>
    <sheet name="bugbonuses" sheetId="18" r:id="rId14"/>
    <sheet name="stage_hints_complete" sheetId="19" r:id="rId15"/>
    <sheet name="stage_hints_failure" sheetId="21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xlnm._FilterDatabase" localSheetId="9" hidden="1">enemy_habitat_S!$B$1:$Y$2</definedName>
    <definedName name="_xlnm._FilterDatabase" localSheetId="8" hidden="1">enemy_habitats!$B$1:$AH$2</definedName>
    <definedName name="_xlnm._FilterDatabase" localSheetId="10" hidden="1">enemy_skill_sets!$A$1:$R$1</definedName>
    <definedName name="_xlnm._FilterDatabase" localSheetId="12" hidden="1">enemy_skill_triggers!$A$1:$G$1</definedName>
    <definedName name="_xlnm._FilterDatabase" localSheetId="11" hidden="1">enemy_skills!$A$1:$AB$1</definedName>
    <definedName name="_xlnm._FilterDatabase" localSheetId="14" hidden="1">stage_hints_complete!$B$1:$L$2</definedName>
    <definedName name="_xlnm._FilterDatabase" localSheetId="15" hidden="1">stage_hints_failure!$B$1:$M$2</definedName>
    <definedName name="Excel_BuiltIn__FilterDatabase_6_1" localSheetId="10">[1]unit_skills!#REF!</definedName>
    <definedName name="Excel_BuiltIn__FilterDatabase_6_1" localSheetId="12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2" l="1"/>
  <c r="A2" i="22"/>
  <c r="A3" i="22"/>
  <c r="F3" i="22"/>
  <c r="A4" i="22"/>
  <c r="F4" i="22"/>
  <c r="A5" i="22"/>
  <c r="F5" i="22"/>
  <c r="A6" i="22"/>
  <c r="F6" i="22"/>
  <c r="A7" i="22"/>
  <c r="F7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N3" i="2"/>
  <c r="N4" i="2"/>
  <c r="N5" i="2"/>
  <c r="N2" i="2"/>
  <c r="M3" i="2"/>
  <c r="M4" i="2"/>
  <c r="M5" i="2"/>
  <c r="M2" i="2"/>
  <c r="L3" i="2"/>
  <c r="L4" i="2"/>
  <c r="L5" i="2"/>
  <c r="L2" i="2"/>
  <c r="E2" i="24"/>
  <c r="F2" i="24"/>
  <c r="C2" i="24"/>
  <c r="B2" i="24"/>
  <c r="C3" i="16"/>
  <c r="C4" i="16"/>
  <c r="C5" i="16"/>
  <c r="C6" i="16"/>
  <c r="C7" i="16"/>
  <c r="C8" i="16"/>
  <c r="C9" i="16"/>
  <c r="C10" i="16"/>
  <c r="AB9" i="1"/>
  <c r="AD9" i="1"/>
  <c r="AG9" i="1"/>
  <c r="AE9" i="1"/>
  <c r="AC9" i="1"/>
  <c r="AA9" i="1"/>
  <c r="E2" i="9"/>
  <c r="V9" i="1"/>
  <c r="Q9" i="1"/>
  <c r="P9" i="1"/>
  <c r="O9" i="1"/>
  <c r="N9" i="1"/>
  <c r="M9" i="1"/>
  <c r="H9" i="1"/>
  <c r="G2" i="2"/>
  <c r="A2" i="2"/>
  <c r="G3" i="2"/>
  <c r="A3" i="2"/>
  <c r="G4" i="2"/>
  <c r="A4" i="2"/>
  <c r="G5" i="2"/>
  <c r="A5" i="2"/>
  <c r="J9" i="1"/>
  <c r="I9" i="1"/>
  <c r="D9" i="1"/>
  <c r="F9" i="1"/>
  <c r="E9" i="1"/>
  <c r="A9" i="1"/>
  <c r="AB2" i="1"/>
  <c r="AD2" i="1"/>
  <c r="AG2" i="1"/>
  <c r="AB8" i="1"/>
  <c r="AD8" i="1"/>
  <c r="AG8" i="1"/>
  <c r="AE8" i="1"/>
  <c r="AC8" i="1"/>
  <c r="AA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AA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AA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AA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V4" i="1"/>
  <c r="Q4" i="1"/>
  <c r="P4" i="1"/>
  <c r="O4" i="1"/>
  <c r="N4" i="1"/>
  <c r="M4" i="1"/>
  <c r="H4" i="1"/>
  <c r="J4" i="1"/>
  <c r="I4" i="1"/>
  <c r="D4" i="1"/>
  <c r="F4" i="1"/>
  <c r="E4" i="1"/>
  <c r="A4" i="1"/>
  <c r="H5" i="2"/>
  <c r="E5" i="2"/>
  <c r="D5" i="2"/>
  <c r="H2" i="1"/>
  <c r="H3" i="1"/>
  <c r="B5" i="2"/>
  <c r="H4" i="2"/>
  <c r="E4" i="2"/>
  <c r="D4" i="2"/>
  <c r="B4" i="2"/>
  <c r="H3" i="2"/>
  <c r="E3" i="2"/>
  <c r="D3" i="2"/>
  <c r="B3" i="2"/>
  <c r="E8" i="16"/>
  <c r="E9" i="16"/>
  <c r="E5" i="16"/>
  <c r="E6" i="16"/>
  <c r="E7" i="16"/>
  <c r="E4" i="16"/>
  <c r="D2" i="2"/>
  <c r="E2" i="2"/>
  <c r="C22" i="16"/>
  <c r="C23" i="16"/>
  <c r="E23" i="16"/>
  <c r="E22" i="16"/>
  <c r="C20" i="16"/>
  <c r="E20" i="16"/>
  <c r="C21" i="16"/>
  <c r="E21" i="16"/>
  <c r="G2" i="22"/>
  <c r="C2" i="22"/>
  <c r="B2" i="22"/>
  <c r="E3" i="16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9" i="16"/>
  <c r="L2" i="19"/>
  <c r="B2" i="21"/>
  <c r="I2" i="21"/>
  <c r="J2" i="21"/>
  <c r="G2" i="21"/>
  <c r="F2" i="21"/>
  <c r="D2" i="21"/>
  <c r="C2" i="21"/>
  <c r="E19" i="16"/>
  <c r="C17" i="16"/>
  <c r="C18" i="16"/>
  <c r="E18" i="16"/>
  <c r="B2" i="19"/>
  <c r="G2" i="19"/>
  <c r="F2" i="19"/>
  <c r="D2" i="19"/>
  <c r="C2" i="19"/>
  <c r="E17" i="16"/>
  <c r="A2" i="18"/>
  <c r="C2" i="18"/>
  <c r="D2" i="18"/>
  <c r="O2" i="9"/>
  <c r="N2" i="9"/>
  <c r="M2" i="9"/>
  <c r="L2" i="9"/>
  <c r="K2" i="9"/>
  <c r="J2" i="9"/>
  <c r="I2" i="9"/>
  <c r="H2" i="9"/>
  <c r="G2" i="9"/>
  <c r="D2" i="9"/>
  <c r="Y2" i="7"/>
  <c r="C11" i="16"/>
  <c r="C12" i="16"/>
  <c r="C13" i="16"/>
  <c r="C14" i="16"/>
  <c r="C15" i="16"/>
  <c r="C16" i="16"/>
  <c r="E16" i="16"/>
  <c r="W2" i="7"/>
  <c r="V2" i="1"/>
  <c r="R2" i="7"/>
  <c r="Q2" i="7"/>
  <c r="P2" i="7"/>
  <c r="O2" i="7"/>
  <c r="N2" i="7"/>
  <c r="AB3" i="1"/>
  <c r="AE3" i="1"/>
  <c r="AD3" i="1"/>
  <c r="AC3" i="1"/>
  <c r="AE2" i="1"/>
  <c r="AC2" i="1"/>
  <c r="AA3" i="1"/>
  <c r="AA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15" i="16"/>
  <c r="E14" i="16"/>
  <c r="E13" i="16"/>
  <c r="E12" i="16"/>
  <c r="E11" i="16"/>
  <c r="E10" i="16"/>
  <c r="E2" i="16"/>
  <c r="A3" i="1"/>
  <c r="A2" i="1"/>
  <c r="AG3" i="1"/>
  <c r="J2" i="11"/>
  <c r="A2" i="9"/>
  <c r="J3" i="1"/>
  <c r="I3" i="1"/>
  <c r="D3" i="1"/>
  <c r="F3" i="1"/>
  <c r="E3" i="1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<sst xmlns="http://schemas.openxmlformats.org/spreadsheetml/2006/main" count="619" uniqueCount="303">
  <si>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</si>
  <si>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</si>
  <si>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</si>
  <si>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</si>
  <si>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</si>
  <si>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</si>
  <si>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</si>
  <si>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</si>
  <si>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</si>
  <si>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</si>
  <si>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</si>
  <si>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</si>
  <si>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</si>
  <si>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</si>
  <si>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</si>
  <si>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</si>
  <si>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</si>
  <si>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</si>
  <si>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</si>
  <si>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</si>
  <si>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</si>
  <si>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</si>
  <si>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</si>
  <si>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</si>
  <si>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</si>
  <si>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</si>
  <si>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</si>
  <si>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</si>
  <si>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</si>
  <si>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</si>
  <si>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</si>
  <si>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</si>
  <si>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</si>
  <si>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</si>
  <si>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</si>
  <si>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</si>
  <si>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</si>
  <si>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</si>
  <si>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</si>
  <si>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</si>
  <si>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</si>
  <si>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</si>
  <si>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</si>
  <si>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</si>
  <si>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</si>
  <si>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</si>
  <si>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</si>
  <si>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</si>
  <si>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</si>
  <si>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</si>
  <si>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</si>
  <si>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</si>
  <si>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</si>
  <si>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null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</si>
  <si>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</si>
  <si>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</si>
  <si>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</si>
  <si>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</si>
  <si>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</si>
  <si>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</si>
  <si>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</si>
  <si>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</si>
  <si>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</si>
  <si>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</si>
  <si>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</si>
  <si>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</si>
  <si>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</si>
  <si>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</si>
  <si>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</si>
  <si>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</si>
  <si>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</si>
  <si>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</si>
  <si>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</si>
  <si>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</si>
  <si>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</si>
  <si>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</si>
  <si>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</si>
  <si>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</si>
  <si>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</si>
  <si>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</si>
  <si>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</si>
  <si>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</si>
  <si>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</si>
  <si>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</si>
  <si>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</si>
  <si>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</si>
  <si>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</si>
  <si>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</si>
  <si>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</si>
  <si>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null</t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</si>
  <si>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</si>
  <si>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</si>
  <si>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</si>
  <si>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</si>
  <si>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</si>
  <si>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</si>
  <si>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</si>
  <si>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</si>
  <si>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</si>
  <si>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</si>
  <si>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</si>
  <si>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</si>
  <si>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</si>
  <si>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</si>
  <si>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</si>
  <si>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</si>
  <si>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</si>
  <si>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</si>
  <si>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</si>
  <si>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</si>
  <si>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</si>
  <si>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</si>
  <si>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</si>
  <si>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</si>
  <si>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</si>
  <si>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</si>
  <si>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</si>
  <si>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</si>
  <si>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</si>
  <si>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</si>
  <si>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</si>
  <si>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</si>
  <si>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</si>
  <si>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</si>
  <si>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</si>
  <si>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</si>
  <si>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</si>
  <si>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</si>
  <si>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</si>
  <si>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</si>
  <si>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</si>
  <si>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</si>
  <si>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</si>
  <si>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</si>
  <si>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</si>
  <si>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</si>
  <si>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</si>
  <si>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</si>
  <si>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</si>
  <si>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</si>
  <si>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</si>
  <si>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</si>
  <si>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</si>
  <si>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</si>
  <si>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</si>
  <si>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</si>
  <si>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</si>
  <si>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</si>
  <si>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</si>
  <si>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</si>
  <si>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</si>
  <si>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</si>
  <si>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</si>
  <si>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</si>
  <si>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</si>
  <si>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</si>
  <si>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</si>
  <si>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</si>
  <si>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</si>
  <si>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</si>
  <si>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</si>
  <si>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</si>
  <si>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</si>
  <si>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</si>
  <si>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</si>
  <si>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</si>
  <si>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</si>
  <si>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</si>
  <si>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</si>
  <si>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bit</t>
  </si>
  <si>
    <t>null</t>
    <phoneticPr fontId="6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</si>
  <si>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</si>
  <si>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</si>
  <si>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</si>
  <si>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</si>
  <si>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</si>
  <si>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</si>
  <si>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</si>
  <si>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</si>
  <si>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</si>
  <si>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</si>
  <si>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t>skill_level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</si>
  <si>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</si>
  <si>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quest_id</t>
    <phoneticPr fontId="6"/>
  </si>
  <si>
    <t>hint_id</t>
    <phoneticPr fontId="6"/>
  </si>
  <si>
    <t>floor_id</t>
    <phoneticPr fontId="6"/>
  </si>
  <si>
    <t>hint_type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</si>
  <si>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</si>
  <si>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</si>
  <si>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</si>
  <si>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</si>
  <si>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</si>
  <si>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</si>
  <si>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</si>
  <si>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</si>
  <si>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</si>
  <si>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</si>
  <si>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</si>
  <si>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</si>
  <si>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</si>
  <si>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攻略のヒント</t>
    <rPh sb="0" eb="2">
      <t>コウリャク</t>
    </rPh>
    <phoneticPr fontId="6"/>
  </si>
  <si>
    <t>NULL</t>
    <phoneticPr fontId="6"/>
  </si>
  <si>
    <t>complete</t>
  </si>
  <si>
    <t>敵が強すぎます</t>
    <rPh sb="0" eb="2">
      <t>テk</t>
    </rPh>
    <rPh sb="2" eb="7">
      <t>ツヨs</t>
    </rPh>
    <phoneticPr fontId="6"/>
  </si>
  <si>
    <t>stage_hints_data_c_</t>
    <phoneticPr fontId="6"/>
  </si>
  <si>
    <t>stage_hints_data_f_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</si>
  <si>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</si>
  <si>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hint_id</t>
    <phoneticPr fontId="6"/>
  </si>
  <si>
    <t>language</t>
    <phoneticPr fontId="6"/>
  </si>
  <si>
    <t>hint</t>
    <phoneticPr fontId="6"/>
  </si>
  <si>
    <t>filename</t>
  </si>
  <si>
    <t>title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</si>
  <si>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</si>
  <si>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NULL</t>
    <phoneticPr fontId="6"/>
  </si>
  <si>
    <t>stage_hints_failure</t>
    <phoneticPr fontId="6"/>
  </si>
  <si>
    <t>stage_hints_failure</t>
    <phoneticPr fontId="6"/>
  </si>
  <si>
    <t>param_code_damage_givn</t>
    <phoneticPr fontId="6"/>
  </si>
  <si>
    <t>param_code_damage_received</t>
    <phoneticPr fontId="6"/>
  </si>
  <si>
    <t>param_code_clear_turn</t>
    <phoneticPr fontId="6"/>
  </si>
  <si>
    <t>upper_ranking</t>
    <phoneticPr fontId="6"/>
  </si>
  <si>
    <t>lower_ranking</t>
    <phoneticPr fontId="6"/>
  </si>
  <si>
    <t>gift_id</t>
    <phoneticPr fontId="6"/>
  </si>
  <si>
    <t>gift_type</t>
    <phoneticPr fontId="8"/>
  </si>
  <si>
    <t>gift_value</t>
    <phoneticPr fontId="8"/>
  </si>
  <si>
    <t>gift_count</t>
    <phoneticPr fontId="8"/>
  </si>
  <si>
    <t>language</t>
    <phoneticPr fontId="8"/>
  </si>
  <si>
    <t>title</t>
    <phoneticPr fontId="8"/>
  </si>
  <si>
    <t>detail</t>
    <phoneticPr fontId="8"/>
  </si>
  <si>
    <t>message</t>
    <phoneticPr fontId="8"/>
  </si>
  <si>
    <t>temp_gift_id</t>
    <phoneticPr fontId="6"/>
  </si>
  <si>
    <t>ja</t>
    <phoneticPr fontId="8"/>
  </si>
  <si>
    <t>ranking_ACH_</t>
    <phoneticPr fontId="6"/>
  </si>
  <si>
    <t>ranking_ACH</t>
    <phoneticPr fontId="6"/>
  </si>
  <si>
    <t>quest_id</t>
    <phoneticPr fontId="6"/>
  </si>
  <si>
    <t>upper_ranking</t>
    <phoneticPr fontId="6"/>
  </si>
  <si>
    <t>lower_ranking</t>
    <phoneticPr fontId="6"/>
  </si>
  <si>
    <t>gift_id</t>
    <phoneticPr fontId="6"/>
  </si>
  <si>
    <t>gifts_tmp_</t>
    <phoneticPr fontId="8"/>
  </si>
  <si>
    <t>gift_id</t>
    <phoneticPr fontId="8"/>
  </si>
  <si>
    <t>gifts_i18n_</t>
    <phoneticPr fontId="8"/>
  </si>
  <si>
    <t>title</t>
    <phoneticPr fontId="8"/>
  </si>
  <si>
    <t>detail</t>
    <phoneticPr fontId="8"/>
  </si>
  <si>
    <t>ranking_floors_</t>
    <phoneticPr fontId="6"/>
  </si>
  <si>
    <t>ranking_stages_</t>
    <phoneticPr fontId="6"/>
  </si>
  <si>
    <t>clear_bonus</t>
    <phoneticPr fontId="6"/>
  </si>
  <si>
    <t>ranking_stages</t>
    <phoneticPr fontId="6"/>
  </si>
  <si>
    <t>param_code</t>
    <phoneticPr fontId="6"/>
  </si>
  <si>
    <t>x</t>
    <phoneticPr fontId="6"/>
  </si>
  <si>
    <t>a</t>
    <phoneticPr fontId="6"/>
  </si>
  <si>
    <t>b</t>
    <phoneticPr fontId="6"/>
  </si>
  <si>
    <t>clear_turn_</t>
    <phoneticPr fontId="6"/>
  </si>
  <si>
    <t>damage_give_</t>
    <phoneticPr fontId="6"/>
  </si>
  <si>
    <t>damage_receive</t>
    <phoneticPr fontId="6"/>
  </si>
  <si>
    <t>damage_receive_</t>
    <phoneticPr fontId="6"/>
  </si>
  <si>
    <t>clear_turn</t>
    <phoneticPr fontId="6"/>
  </si>
  <si>
    <t>damege_give</t>
    <phoneticPr fontId="6"/>
  </si>
  <si>
    <t>evaluation_id</t>
    <phoneticPr fontId="6"/>
  </si>
  <si>
    <t>quest_id</t>
    <phoneticPr fontId="6"/>
  </si>
  <si>
    <t>stage_id</t>
    <phoneticPr fontId="6"/>
  </si>
  <si>
    <t>score</t>
    <phoneticPr fontId="6"/>
  </si>
  <si>
    <t>language</t>
    <phoneticPr fontId="6"/>
  </si>
  <si>
    <t>evaluation</t>
    <phoneticPr fontId="6"/>
  </si>
  <si>
    <t>animation_file_name</t>
    <phoneticPr fontId="6"/>
  </si>
  <si>
    <t>ranking_eval_data_</t>
    <phoneticPr fontId="6"/>
  </si>
  <si>
    <t>ranking_eval_i18n_</t>
    <phoneticPr fontId="6"/>
  </si>
  <si>
    <t>ranking_eval</t>
  </si>
  <si>
    <t>hp_plus</t>
    <phoneticPr fontId="6"/>
  </si>
  <si>
    <t>attack_plus</t>
    <phoneticPr fontId="6"/>
  </si>
  <si>
    <t>heal_plus</t>
    <phoneticPr fontId="6"/>
  </si>
  <si>
    <t>defense_plus</t>
    <phoneticPr fontId="6"/>
  </si>
  <si>
    <t>level</t>
    <phoneticPr fontId="6"/>
  </si>
  <si>
    <t>skill_level</t>
  </si>
  <si>
    <t>skill_level</t>
    <phoneticPr fontId="6"/>
  </si>
  <si>
    <t>bug</t>
    <phoneticPr fontId="6"/>
  </si>
  <si>
    <t xml:space="preserve">[effect:nothing]    </t>
    <phoneticPr fontId="6"/>
  </si>
  <si>
    <t>さぁ、派手にかますわよ！</t>
    <rPh sb="3" eb="5">
      <t>ハデ</t>
    </rPh>
    <phoneticPr fontId="6"/>
  </si>
  <si>
    <t>オイラーは張り切っている</t>
    <rPh sb="5" eb="6">
      <t>ハ</t>
    </rPh>
    <rPh sb="7" eb="8">
      <t>キ</t>
    </rPh>
    <phoneticPr fontId="6"/>
  </si>
  <si>
    <t>null</t>
    <phoneticPr fontId="6"/>
  </si>
  <si>
    <t>old</t>
  </si>
  <si>
    <t>SSS</t>
    <phoneticPr fontId="6"/>
  </si>
  <si>
    <t>View/RankingBattle_Evelution_SSS.ccbi</t>
    <phoneticPr fontId="6"/>
  </si>
  <si>
    <t>SS</t>
    <phoneticPr fontId="6"/>
  </si>
  <si>
    <t>View/RankingBattle_Evelution_SS.ccbi</t>
    <phoneticPr fontId="6"/>
  </si>
  <si>
    <t>S</t>
    <phoneticPr fontId="6"/>
  </si>
  <si>
    <t>View/RankingBattle_Evelution_S.ccbi</t>
    <phoneticPr fontId="6"/>
  </si>
  <si>
    <t>AAA</t>
    <phoneticPr fontId="6"/>
  </si>
  <si>
    <t>View/RankingBattle_Evelution_AAA.ccbi</t>
    <phoneticPr fontId="6"/>
  </si>
  <si>
    <t>AA</t>
    <phoneticPr fontId="6"/>
  </si>
  <si>
    <t>View/RankingBattle_Evelution_AA.ccbi</t>
    <phoneticPr fontId="6"/>
  </si>
  <si>
    <t>A</t>
    <phoneticPr fontId="6"/>
  </si>
  <si>
    <t>View/RankingBattle_Evelution_A.ccbi</t>
    <phoneticPr fontId="6"/>
  </si>
  <si>
    <t>B</t>
    <phoneticPr fontId="6"/>
  </si>
  <si>
    <t>View/RankingBattle_Evelution_B.ccbi</t>
    <phoneticPr fontId="6"/>
  </si>
  <si>
    <t>C</t>
    <phoneticPr fontId="6"/>
  </si>
  <si>
    <t>View/RankingBattle_Evelution_C.ccbi</t>
    <phoneticPr fontId="6"/>
  </si>
  <si>
    <t>bit</t>
    <phoneticPr fontId="8"/>
  </si>
  <si>
    <t>link</t>
    <phoneticPr fontId="8"/>
  </si>
  <si>
    <t>100ビット</t>
    <phoneticPr fontId="6"/>
  </si>
  <si>
    <t>100リンク</t>
    <phoneticPr fontId="6"/>
  </si>
  <si>
    <t>50ビット</t>
    <phoneticPr fontId="6"/>
  </si>
  <si>
    <t>50リンク</t>
    <phoneticPr fontId="6"/>
  </si>
  <si>
    <t>10ビット</t>
    <phoneticPr fontId="6"/>
  </si>
  <si>
    <t>10リンク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</si>
</sst>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752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19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0" fillId="13" borderId="7" xfId="0" applyFill="1" applyBorder="1"/>
    <xf numFmtId="0" fontId="17" fillId="3" borderId="7" xfId="0" applyFont="1" applyFill="1" applyBorder="1" applyAlignment="1">
      <alignment horizontal="left" vertical="center" wrapText="1"/>
    </xf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7" fillId="5" borderId="11" xfId="0" applyFont="1" applyFill="1" applyBorder="1" applyAlignment="1">
      <alignment vertical="center"/>
    </xf>
    <xf numFmtId="0" fontId="0" fillId="3" borderId="7" xfId="0" applyFill="1" applyBorder="1"/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38" fontId="17" fillId="0" borderId="7" xfId="628" applyFont="1" applyFill="1" applyBorder="1" applyAlignment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32" fillId="14" borderId="7" xfId="0" applyFont="1" applyFill="1" applyBorder="1"/>
    <xf numFmtId="38" fontId="17" fillId="14" borderId="7" xfId="628" applyFont="1" applyFill="1" applyBorder="1" applyAlignment="1"/>
    <xf numFmtId="0" fontId="17" fillId="6" borderId="7" xfId="11" applyFont="1" applyFill="1" applyBorder="1" applyAlignment="1">
      <alignment horizontal="left"/>
    </xf>
    <xf numFmtId="0" fontId="3" fillId="6" borderId="0" xfId="615" applyFill="1"/>
    <xf numFmtId="0" fontId="5" fillId="31" borderId="7" xfId="0" applyFont="1" applyFill="1" applyBorder="1" applyAlignment="1">
      <alignment vertical="center"/>
    </xf>
    <xf numFmtId="0" fontId="17" fillId="6" borderId="23" xfId="0" applyFont="1" applyFill="1" applyBorder="1" applyAlignment="1">
      <alignment horizontal="center"/>
    </xf>
    <xf numFmtId="0" fontId="9" fillId="33" borderId="7" xfId="0" applyFont="1" applyFill="1" applyBorder="1" applyAlignment="1">
      <alignment horizontal="left" vertical="center"/>
    </xf>
    <xf numFmtId="0" fontId="17" fillId="32" borderId="7" xfId="432" applyFont="1" applyFill="1" applyBorder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0" fontId="17" fillId="14" borderId="23" xfId="0" applyFont="1" applyFill="1" applyBorder="1" applyAlignment="1">
      <alignment horizontal="center"/>
    </xf>
    <xf numFmtId="0" fontId="17" fillId="0" borderId="0" xfId="432" applyFont="1" applyAlignment="1">
      <alignment vertical="center"/>
    </xf>
    <xf numFmtId="0" fontId="17" fillId="0" borderId="0" xfId="432" applyFont="1" applyAlignment="1">
      <alignment vertical="center" wrapText="1"/>
    </xf>
    <xf numFmtId="0" fontId="2" fillId="0" borderId="7" xfId="676" applyBorder="1"/>
    <xf numFmtId="0" fontId="2" fillId="11" borderId="7" xfId="676" applyFill="1" applyBorder="1"/>
    <xf numFmtId="0" fontId="1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2" fillId="34" borderId="7" xfId="676" applyFill="1" applyBorder="1"/>
    <xf numFmtId="0" fontId="0" fillId="6" borderId="0" xfId="0" applyFill="1"/>
    <xf numFmtId="0" fontId="5" fillId="0" borderId="7" xfId="0" applyFont="1" applyFill="1" applyBorder="1" applyAlignment="1">
      <alignment vertical="center"/>
    </xf>
    <xf numFmtId="0" fontId="5" fillId="0" borderId="7" xfId="0" applyFont="1" applyFill="1" applyBorder="1" applyAlignment="1">
      <alignment horizontal="center" vertical="center"/>
    </xf>
    <xf numFmtId="0" fontId="0" fillId="35" borderId="7" xfId="0" applyFill="1" applyBorder="1"/>
  </cellXfs>
  <cellStyles count="752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無題1" xfId="43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4.xml"/><Relationship Id="rId21" Type="http://schemas.openxmlformats.org/officeDocument/2006/relationships/externalLink" Target="externalLinks/externalLink5.xml"/><Relationship Id="rId22" Type="http://schemas.openxmlformats.org/officeDocument/2006/relationships/externalLink" Target="externalLinks/externalLink6.xml"/><Relationship Id="rId23" Type="http://schemas.openxmlformats.org/officeDocument/2006/relationships/externalLink" Target="externalLinks/externalLink7.xml"/><Relationship Id="rId24" Type="http://schemas.openxmlformats.org/officeDocument/2006/relationships/theme" Target="theme/theme1.xml"/><Relationship Id="rId25" Type="http://schemas.openxmlformats.org/officeDocument/2006/relationships/styles" Target="styles.xml"/><Relationship Id="rId26" Type="http://schemas.openxmlformats.org/officeDocument/2006/relationships/sharedStrings" Target="sharedStrings.xml"/><Relationship Id="rId27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12001</v>
          </cell>
        </row>
        <row r="79">
          <cell r="A79">
            <v>12002</v>
          </cell>
        </row>
        <row r="80">
          <cell r="A80">
            <v>12003</v>
          </cell>
        </row>
        <row r="81">
          <cell r="A81">
            <v>12004</v>
          </cell>
        </row>
        <row r="82">
          <cell r="A82">
            <v>13001</v>
          </cell>
        </row>
        <row r="83">
          <cell r="A83">
            <v>14001</v>
          </cell>
        </row>
        <row r="84">
          <cell r="A84">
            <v>14002</v>
          </cell>
        </row>
        <row r="85">
          <cell r="A85">
            <v>14003</v>
          </cell>
        </row>
        <row r="86">
          <cell r="A86">
            <v>14004</v>
          </cell>
        </row>
        <row r="87">
          <cell r="A87">
            <v>14005</v>
          </cell>
        </row>
        <row r="88">
          <cell r="A88">
            <v>14006</v>
          </cell>
        </row>
        <row r="89">
          <cell r="A89">
            <v>15027</v>
          </cell>
        </row>
        <row r="90">
          <cell r="A90">
            <v>15028</v>
          </cell>
        </row>
        <row r="91">
          <cell r="A91">
            <v>15029</v>
          </cell>
        </row>
        <row r="92">
          <cell r="A92">
            <v>15030</v>
          </cell>
        </row>
        <row r="93">
          <cell r="A93">
            <v>15031</v>
          </cell>
        </row>
        <row r="94">
          <cell r="A94">
            <v>20001</v>
          </cell>
        </row>
        <row r="95">
          <cell r="A95">
            <v>20002</v>
          </cell>
        </row>
        <row r="96">
          <cell r="A96">
            <v>20003</v>
          </cell>
        </row>
        <row r="97">
          <cell r="A97">
            <v>20004</v>
          </cell>
        </row>
        <row r="98">
          <cell r="A98">
            <v>20005</v>
          </cell>
        </row>
        <row r="99">
          <cell r="A99">
            <v>20006</v>
          </cell>
        </row>
        <row r="100">
          <cell r="A100">
            <v>20007</v>
          </cell>
        </row>
        <row r="101">
          <cell r="A101">
            <v>20008</v>
          </cell>
        </row>
        <row r="102">
          <cell r="A102">
            <v>20009</v>
          </cell>
        </row>
        <row r="103">
          <cell r="A103">
            <v>20010</v>
          </cell>
        </row>
        <row r="104">
          <cell r="A104">
            <v>20011</v>
          </cell>
        </row>
        <row r="105">
          <cell r="A105">
            <v>20012</v>
          </cell>
        </row>
        <row r="106">
          <cell r="A106">
            <v>30001</v>
          </cell>
        </row>
        <row r="107">
          <cell r="A107">
            <v>30002</v>
          </cell>
        </row>
        <row r="108">
          <cell r="A108">
            <v>30003</v>
          </cell>
        </row>
        <row r="109">
          <cell r="A109">
            <v>30004</v>
          </cell>
        </row>
        <row r="110">
          <cell r="A110">
            <v>30005</v>
          </cell>
        </row>
        <row r="111">
          <cell r="A111">
            <v>30006</v>
          </cell>
        </row>
        <row r="112">
          <cell r="A112">
            <v>30007</v>
          </cell>
        </row>
        <row r="113">
          <cell r="A113">
            <v>30008</v>
          </cell>
        </row>
        <row r="114">
          <cell r="A114">
            <v>30009</v>
          </cell>
        </row>
        <row r="115">
          <cell r="A115">
            <v>30010</v>
          </cell>
        </row>
        <row r="116">
          <cell r="A116">
            <v>30011</v>
          </cell>
        </row>
        <row r="117">
          <cell r="A117">
            <v>30012</v>
          </cell>
        </row>
        <row r="118">
          <cell r="A118">
            <v>30013</v>
          </cell>
        </row>
        <row r="119">
          <cell r="A119">
            <v>30014</v>
          </cell>
        </row>
        <row r="120">
          <cell r="A120">
            <v>30015</v>
          </cell>
        </row>
        <row r="121">
          <cell r="A121">
            <v>30016</v>
          </cell>
        </row>
        <row r="122">
          <cell r="A122">
            <v>30017</v>
          </cell>
        </row>
        <row r="123">
          <cell r="A123">
            <v>30018</v>
          </cell>
        </row>
        <row r="124">
          <cell r="A124">
            <v>30019</v>
          </cell>
        </row>
        <row r="125">
          <cell r="A125">
            <v>30020</v>
          </cell>
        </row>
        <row r="126">
          <cell r="A126">
            <v>30021</v>
          </cell>
        </row>
        <row r="127">
          <cell r="A127">
            <v>30022</v>
          </cell>
        </row>
        <row r="128">
          <cell r="A128">
            <v>30023</v>
          </cell>
        </row>
        <row r="129">
          <cell r="A129">
            <v>30024</v>
          </cell>
        </row>
        <row r="130">
          <cell r="A130">
            <v>30025</v>
          </cell>
        </row>
        <row r="131">
          <cell r="A131">
            <v>30026</v>
          </cell>
        </row>
        <row r="132">
          <cell r="A132">
            <v>30027</v>
          </cell>
        </row>
        <row r="133">
          <cell r="A133">
            <v>30028</v>
          </cell>
        </row>
        <row r="134">
          <cell r="A134">
            <v>30029</v>
          </cell>
        </row>
        <row r="135">
          <cell r="A135">
            <v>30030</v>
          </cell>
        </row>
        <row r="136">
          <cell r="A136">
            <v>30031</v>
          </cell>
        </row>
        <row r="137">
          <cell r="A137">
            <v>30032</v>
          </cell>
        </row>
        <row r="138">
          <cell r="A138">
            <v>39001</v>
          </cell>
        </row>
        <row r="139">
          <cell r="A139">
            <v>39002</v>
          </cell>
        </row>
        <row r="140">
          <cell r="A140">
            <v>39003</v>
          </cell>
        </row>
        <row r="141">
          <cell r="A141">
            <v>40001</v>
          </cell>
        </row>
        <row r="142">
          <cell r="A142">
            <v>40002</v>
          </cell>
        </row>
        <row r="143">
          <cell r="A143">
            <v>40003</v>
          </cell>
        </row>
        <row r="144">
          <cell r="A144">
            <v>40004</v>
          </cell>
        </row>
        <row r="145">
          <cell r="A145">
            <v>40005</v>
          </cell>
        </row>
        <row r="146">
          <cell r="A146">
            <v>40006</v>
          </cell>
        </row>
        <row r="147">
          <cell r="A147">
            <v>40007</v>
          </cell>
        </row>
        <row r="148">
          <cell r="A148">
            <v>40008</v>
          </cell>
        </row>
        <row r="149">
          <cell r="A149">
            <v>40009</v>
          </cell>
        </row>
        <row r="150">
          <cell r="A150">
            <v>40010</v>
          </cell>
        </row>
        <row r="151">
          <cell r="A151">
            <v>40011</v>
          </cell>
        </row>
        <row r="152">
          <cell r="A152">
            <v>40012</v>
          </cell>
        </row>
        <row r="153">
          <cell r="A153">
            <v>40013</v>
          </cell>
        </row>
        <row r="154">
          <cell r="A154">
            <v>40014</v>
          </cell>
        </row>
        <row r="155">
          <cell r="A155">
            <v>40015</v>
          </cell>
        </row>
        <row r="156">
          <cell r="A156">
            <v>49001</v>
          </cell>
        </row>
        <row r="157">
          <cell r="A157">
            <v>49002</v>
          </cell>
        </row>
        <row r="158">
          <cell r="A158">
            <v>49003</v>
          </cell>
        </row>
        <row r="159">
          <cell r="A159">
            <v>50001</v>
          </cell>
        </row>
        <row r="160">
          <cell r="A160">
            <v>50002</v>
          </cell>
        </row>
        <row r="161">
          <cell r="A161">
            <v>60001</v>
          </cell>
        </row>
        <row r="162">
          <cell r="A162">
            <v>60002</v>
          </cell>
        </row>
        <row r="163">
          <cell r="A163">
            <v>60003</v>
          </cell>
        </row>
        <row r="164">
          <cell r="A164">
            <v>60004</v>
          </cell>
        </row>
        <row r="165">
          <cell r="A165">
            <v>60005</v>
          </cell>
        </row>
        <row r="166">
          <cell r="A166">
            <v>65535</v>
          </cell>
        </row>
        <row r="167">
          <cell r="A167">
            <v>60021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11218_1</v>
          </cell>
        </row>
        <row r="261">
          <cell r="A261" t="str">
            <v>11219_1</v>
          </cell>
        </row>
        <row r="262">
          <cell r="A262" t="str">
            <v>11220_1</v>
          </cell>
        </row>
        <row r="263">
          <cell r="A263" t="str">
            <v>11221_1</v>
          </cell>
        </row>
        <row r="264">
          <cell r="A264" t="str">
            <v>12001_1</v>
          </cell>
        </row>
        <row r="265">
          <cell r="A265" t="str">
            <v>12001_2</v>
          </cell>
        </row>
        <row r="266">
          <cell r="A266" t="str">
            <v>12001_3</v>
          </cell>
        </row>
        <row r="267">
          <cell r="A267" t="str">
            <v>12002_3</v>
          </cell>
        </row>
        <row r="268">
          <cell r="A268" t="str">
            <v>12002_2</v>
          </cell>
        </row>
        <row r="269">
          <cell r="A269" t="str">
            <v>12002_1</v>
          </cell>
        </row>
        <row r="270">
          <cell r="A270" t="str">
            <v>12003_1</v>
          </cell>
        </row>
        <row r="271">
          <cell r="A271" t="str">
            <v>12003_2</v>
          </cell>
        </row>
        <row r="272">
          <cell r="A272" t="str">
            <v>12003_3</v>
          </cell>
        </row>
        <row r="273">
          <cell r="A273" t="str">
            <v>12003_4</v>
          </cell>
        </row>
        <row r="274">
          <cell r="A274" t="str">
            <v>12004_1</v>
          </cell>
        </row>
        <row r="275">
          <cell r="A275" t="str">
            <v>13001_1</v>
          </cell>
        </row>
        <row r="276">
          <cell r="A276" t="str">
            <v>13001_2</v>
          </cell>
        </row>
        <row r="277">
          <cell r="A277" t="str">
            <v>13001_3</v>
          </cell>
        </row>
        <row r="278">
          <cell r="A278" t="str">
            <v>13001_4</v>
          </cell>
        </row>
        <row r="279">
          <cell r="A279" t="str">
            <v>13001_5</v>
          </cell>
        </row>
        <row r="280">
          <cell r="A280" t="str">
            <v>13001_6</v>
          </cell>
        </row>
        <row r="281">
          <cell r="A281" t="str">
            <v>13001_7</v>
          </cell>
        </row>
        <row r="282">
          <cell r="A282" t="str">
            <v>13001_8</v>
          </cell>
        </row>
        <row r="283">
          <cell r="A283" t="str">
            <v>13001_9</v>
          </cell>
        </row>
        <row r="284">
          <cell r="A284" t="str">
            <v>13001_10</v>
          </cell>
        </row>
        <row r="285">
          <cell r="A285" t="str">
            <v>13001_11</v>
          </cell>
        </row>
        <row r="286">
          <cell r="A286" t="str">
            <v>13001_12</v>
          </cell>
        </row>
        <row r="287">
          <cell r="A287" t="str">
            <v>13001_13</v>
          </cell>
        </row>
        <row r="288">
          <cell r="A288" t="str">
            <v>13001_14</v>
          </cell>
        </row>
        <row r="289">
          <cell r="A289" t="str">
            <v>13001_15</v>
          </cell>
        </row>
        <row r="290">
          <cell r="A290" t="str">
            <v>13001_16</v>
          </cell>
        </row>
        <row r="291">
          <cell r="A291" t="str">
            <v>13001_17</v>
          </cell>
        </row>
        <row r="292">
          <cell r="A292" t="str">
            <v>13001_18</v>
          </cell>
        </row>
        <row r="293">
          <cell r="A293" t="str">
            <v>13001_19</v>
          </cell>
        </row>
        <row r="294">
          <cell r="A294" t="str">
            <v>13001_20</v>
          </cell>
        </row>
        <row r="295">
          <cell r="A295" t="str">
            <v>13001_21</v>
          </cell>
        </row>
        <row r="296">
          <cell r="A296" t="str">
            <v>13001_22</v>
          </cell>
        </row>
        <row r="297">
          <cell r="A297" t="str">
            <v>13001_23</v>
          </cell>
        </row>
        <row r="298">
          <cell r="A298" t="str">
            <v>13001_24</v>
          </cell>
        </row>
        <row r="299">
          <cell r="A299" t="str">
            <v>13001_25</v>
          </cell>
        </row>
        <row r="300">
          <cell r="A300" t="str">
            <v>14001_1</v>
          </cell>
        </row>
        <row r="301">
          <cell r="A301" t="str">
            <v>14001_2</v>
          </cell>
        </row>
        <row r="302">
          <cell r="A302" t="str">
            <v>14001_3</v>
          </cell>
        </row>
        <row r="303">
          <cell r="A303" t="str">
            <v>14001_4</v>
          </cell>
        </row>
        <row r="304">
          <cell r="A304" t="str">
            <v>14002_1</v>
          </cell>
        </row>
        <row r="305">
          <cell r="A305" t="str">
            <v>14003_1</v>
          </cell>
        </row>
        <row r="306">
          <cell r="A306" t="str">
            <v>14004_1</v>
          </cell>
        </row>
        <row r="307">
          <cell r="A307" t="str">
            <v>14004_2</v>
          </cell>
        </row>
        <row r="308">
          <cell r="A308" t="str">
            <v>14004_3</v>
          </cell>
        </row>
        <row r="309">
          <cell r="A309" t="str">
            <v>14004_4</v>
          </cell>
        </row>
        <row r="310">
          <cell r="A310" t="str">
            <v>14005_1</v>
          </cell>
        </row>
        <row r="311">
          <cell r="A311" t="str">
            <v>14006_1</v>
          </cell>
        </row>
        <row r="312">
          <cell r="A312" t="str">
            <v>15027_1</v>
          </cell>
        </row>
        <row r="313">
          <cell r="A313" t="str">
            <v>15027_2</v>
          </cell>
        </row>
        <row r="314">
          <cell r="A314" t="str">
            <v>15027_3</v>
          </cell>
        </row>
        <row r="315">
          <cell r="A315" t="str">
            <v>15027_4</v>
          </cell>
        </row>
        <row r="316">
          <cell r="A316" t="str">
            <v>15028_1</v>
          </cell>
        </row>
        <row r="317">
          <cell r="A317" t="str">
            <v>15028_2</v>
          </cell>
        </row>
        <row r="318">
          <cell r="A318" t="str">
            <v>15028_3</v>
          </cell>
        </row>
        <row r="319">
          <cell r="A319" t="str">
            <v>15028_4</v>
          </cell>
        </row>
        <row r="320">
          <cell r="A320" t="str">
            <v>15029_1</v>
          </cell>
        </row>
        <row r="321">
          <cell r="A321" t="str">
            <v>15029_2</v>
          </cell>
        </row>
        <row r="322">
          <cell r="A322" t="str">
            <v>15029_3</v>
          </cell>
        </row>
        <row r="323">
          <cell r="A323" t="str">
            <v>15029_4</v>
          </cell>
        </row>
        <row r="324">
          <cell r="A324" t="str">
            <v>15030_1</v>
          </cell>
        </row>
        <row r="325">
          <cell r="A325" t="str">
            <v>15030_2</v>
          </cell>
        </row>
        <row r="326">
          <cell r="A326" t="str">
            <v>15030_3</v>
          </cell>
        </row>
        <row r="327">
          <cell r="A327" t="str">
            <v>15030_4</v>
          </cell>
        </row>
        <row r="328">
          <cell r="A328" t="str">
            <v>15031_1</v>
          </cell>
        </row>
        <row r="329">
          <cell r="A329" t="str">
            <v>15031_2</v>
          </cell>
        </row>
        <row r="330">
          <cell r="A330" t="str">
            <v>15031_3</v>
          </cell>
        </row>
        <row r="331">
          <cell r="A331" t="str">
            <v>15031_4</v>
          </cell>
        </row>
        <row r="332">
          <cell r="A332" t="str">
            <v>20001_1</v>
          </cell>
        </row>
        <row r="333">
          <cell r="A333" t="str">
            <v>20001_2</v>
          </cell>
        </row>
        <row r="334">
          <cell r="A334" t="str">
            <v>20001_3</v>
          </cell>
        </row>
        <row r="335">
          <cell r="A335" t="str">
            <v>20002_1</v>
          </cell>
        </row>
        <row r="336">
          <cell r="A336" t="str">
            <v>20002_2</v>
          </cell>
        </row>
        <row r="337">
          <cell r="A337" t="str">
            <v>20002_3</v>
          </cell>
        </row>
        <row r="338">
          <cell r="A338" t="str">
            <v>20003_1</v>
          </cell>
        </row>
        <row r="339">
          <cell r="A339" t="str">
            <v>20003_2</v>
          </cell>
        </row>
        <row r="340">
          <cell r="A340" t="str">
            <v>20003_3</v>
          </cell>
        </row>
        <row r="341">
          <cell r="A341" t="str">
            <v>20004_1</v>
          </cell>
        </row>
        <row r="342">
          <cell r="A342" t="str">
            <v>20004_2</v>
          </cell>
        </row>
        <row r="343">
          <cell r="A343" t="str">
            <v>20004_3</v>
          </cell>
        </row>
        <row r="344">
          <cell r="A344" t="str">
            <v>20005_1</v>
          </cell>
        </row>
        <row r="345">
          <cell r="A345" t="str">
            <v>20005_2</v>
          </cell>
        </row>
        <row r="346">
          <cell r="A346" t="str">
            <v>20005_3</v>
          </cell>
        </row>
        <row r="347">
          <cell r="A347" t="str">
            <v>20006_1</v>
          </cell>
        </row>
        <row r="348">
          <cell r="A348" t="str">
            <v>20006_2</v>
          </cell>
        </row>
        <row r="349">
          <cell r="A349" t="str">
            <v>20006_3</v>
          </cell>
        </row>
        <row r="350">
          <cell r="A350" t="str">
            <v>20007_1</v>
          </cell>
        </row>
        <row r="351">
          <cell r="A351" t="str">
            <v>20007_2</v>
          </cell>
        </row>
        <row r="352">
          <cell r="A352" t="str">
            <v>20007_3</v>
          </cell>
        </row>
        <row r="353">
          <cell r="A353" t="str">
            <v>20008_1</v>
          </cell>
        </row>
        <row r="354">
          <cell r="A354" t="str">
            <v>20008_2</v>
          </cell>
        </row>
        <row r="355">
          <cell r="A355" t="str">
            <v>20008_3</v>
          </cell>
        </row>
        <row r="356">
          <cell r="A356" t="str">
            <v>20009_1</v>
          </cell>
        </row>
        <row r="357">
          <cell r="A357" t="str">
            <v>20009_2</v>
          </cell>
        </row>
        <row r="358">
          <cell r="A358" t="str">
            <v>20009_3</v>
          </cell>
        </row>
        <row r="359">
          <cell r="A359" t="str">
            <v>20010_1</v>
          </cell>
        </row>
        <row r="360">
          <cell r="A360" t="str">
            <v>20010_2</v>
          </cell>
        </row>
        <row r="361">
          <cell r="A361" t="str">
            <v>20010_3</v>
          </cell>
        </row>
        <row r="362">
          <cell r="A362" t="str">
            <v>20011_1</v>
          </cell>
        </row>
        <row r="363">
          <cell r="A363" t="str">
            <v>20011_2</v>
          </cell>
        </row>
        <row r="364">
          <cell r="A364" t="str">
            <v>20011_3</v>
          </cell>
        </row>
        <row r="365">
          <cell r="A365" t="str">
            <v>20012_1</v>
          </cell>
        </row>
        <row r="366">
          <cell r="A366" t="str">
            <v>20012_2</v>
          </cell>
        </row>
        <row r="367">
          <cell r="A367" t="str">
            <v>20012_3</v>
          </cell>
        </row>
        <row r="368">
          <cell r="A368" t="str">
            <v>30001_1</v>
          </cell>
        </row>
        <row r="369">
          <cell r="A369" t="str">
            <v>30001_2</v>
          </cell>
        </row>
        <row r="370">
          <cell r="A370" t="str">
            <v>30001_3</v>
          </cell>
        </row>
        <row r="371">
          <cell r="A371" t="str">
            <v>30002_1</v>
          </cell>
        </row>
        <row r="372">
          <cell r="A372" t="str">
            <v>30002_2</v>
          </cell>
        </row>
        <row r="373">
          <cell r="A373" t="str">
            <v>30002_3</v>
          </cell>
        </row>
        <row r="374">
          <cell r="A374" t="str">
            <v>30003_1</v>
          </cell>
        </row>
        <row r="375">
          <cell r="A375" t="str">
            <v>30003_2</v>
          </cell>
        </row>
        <row r="376">
          <cell r="A376" t="str">
            <v>30003_3</v>
          </cell>
        </row>
        <row r="377">
          <cell r="A377" t="str">
            <v>30004_1</v>
          </cell>
        </row>
        <row r="378">
          <cell r="A378" t="str">
            <v>30004_2</v>
          </cell>
        </row>
        <row r="379">
          <cell r="A379" t="str">
            <v>30004_3</v>
          </cell>
        </row>
        <row r="380">
          <cell r="A380" t="str">
            <v>30005_1</v>
          </cell>
        </row>
        <row r="381">
          <cell r="A381" t="str">
            <v>30005_2</v>
          </cell>
        </row>
        <row r="382">
          <cell r="A382" t="str">
            <v>30005_3</v>
          </cell>
        </row>
        <row r="383">
          <cell r="A383" t="str">
            <v>30006_1</v>
          </cell>
        </row>
        <row r="384">
          <cell r="A384" t="str">
            <v>30006_2</v>
          </cell>
        </row>
        <row r="385">
          <cell r="A385" t="str">
            <v>30006_3</v>
          </cell>
        </row>
        <row r="386">
          <cell r="A386" t="str">
            <v>30007_1</v>
          </cell>
        </row>
        <row r="387">
          <cell r="A387" t="str">
            <v>30007_2</v>
          </cell>
        </row>
        <row r="388">
          <cell r="A388" t="str">
            <v>30007_3</v>
          </cell>
        </row>
        <row r="389">
          <cell r="A389" t="str">
            <v>30008_1</v>
          </cell>
        </row>
        <row r="390">
          <cell r="A390" t="str">
            <v>30008_2</v>
          </cell>
        </row>
        <row r="391">
          <cell r="A391" t="str">
            <v>30008_3</v>
          </cell>
        </row>
        <row r="392">
          <cell r="A392" t="str">
            <v>30009_3</v>
          </cell>
        </row>
        <row r="393">
          <cell r="A393" t="str">
            <v>30009_1</v>
          </cell>
        </row>
        <row r="394">
          <cell r="A394" t="str">
            <v>30009_2</v>
          </cell>
        </row>
        <row r="395">
          <cell r="A395" t="str">
            <v>30010_1</v>
          </cell>
        </row>
        <row r="396">
          <cell r="A396" t="str">
            <v>30010_2</v>
          </cell>
        </row>
        <row r="397">
          <cell r="A397" t="str">
            <v>30010_3</v>
          </cell>
        </row>
        <row r="398">
          <cell r="A398" t="str">
            <v>30011_1</v>
          </cell>
        </row>
        <row r="399">
          <cell r="A399" t="str">
            <v>30011_2</v>
          </cell>
        </row>
        <row r="400">
          <cell r="A400" t="str">
            <v>30011_3</v>
          </cell>
        </row>
        <row r="401">
          <cell r="A401" t="str">
            <v>30012_1</v>
          </cell>
        </row>
        <row r="402">
          <cell r="A402" t="str">
            <v>30012_2</v>
          </cell>
        </row>
        <row r="403">
          <cell r="A403" t="str">
            <v>30012_3</v>
          </cell>
        </row>
        <row r="404">
          <cell r="A404" t="str">
            <v>30013_1</v>
          </cell>
        </row>
        <row r="405">
          <cell r="A405" t="str">
            <v>30013_2</v>
          </cell>
        </row>
        <row r="406">
          <cell r="A406" t="str">
            <v>30014_1</v>
          </cell>
        </row>
        <row r="407">
          <cell r="A407" t="str">
            <v>30014_2</v>
          </cell>
        </row>
        <row r="408">
          <cell r="A408" t="str">
            <v>30015_1</v>
          </cell>
        </row>
        <row r="409">
          <cell r="A409" t="str">
            <v>30015_2</v>
          </cell>
        </row>
        <row r="410">
          <cell r="A410" t="str">
            <v>30016_1</v>
          </cell>
        </row>
        <row r="411">
          <cell r="A411" t="str">
            <v>30016_2</v>
          </cell>
        </row>
        <row r="412">
          <cell r="A412" t="str">
            <v>30017_1</v>
          </cell>
        </row>
        <row r="413">
          <cell r="A413" t="str">
            <v>30017_2</v>
          </cell>
        </row>
        <row r="414">
          <cell r="A414" t="str">
            <v>30018_1</v>
          </cell>
        </row>
        <row r="415">
          <cell r="A415" t="str">
            <v>30018_2</v>
          </cell>
        </row>
        <row r="416">
          <cell r="A416" t="str">
            <v>30019_1</v>
          </cell>
        </row>
        <row r="417">
          <cell r="A417" t="str">
            <v>30019_2</v>
          </cell>
        </row>
        <row r="418">
          <cell r="A418" t="str">
            <v>30020_1</v>
          </cell>
        </row>
        <row r="419">
          <cell r="A419" t="str">
            <v>30020_2</v>
          </cell>
        </row>
        <row r="420">
          <cell r="A420" t="str">
            <v>30021_1</v>
          </cell>
        </row>
        <row r="421">
          <cell r="A421" t="str">
            <v>30021_2</v>
          </cell>
        </row>
        <row r="422">
          <cell r="A422" t="str">
            <v>30021_3</v>
          </cell>
        </row>
        <row r="423">
          <cell r="A423" t="str">
            <v>30022_1</v>
          </cell>
        </row>
        <row r="424">
          <cell r="A424" t="str">
            <v>30022_2</v>
          </cell>
        </row>
        <row r="425">
          <cell r="A425" t="str">
            <v>30023_1</v>
          </cell>
        </row>
        <row r="426">
          <cell r="A426" t="str">
            <v>30023_2</v>
          </cell>
        </row>
        <row r="427">
          <cell r="A427" t="str">
            <v>30023_3</v>
          </cell>
        </row>
        <row r="428">
          <cell r="A428" t="str">
            <v>30024_1</v>
          </cell>
        </row>
        <row r="429">
          <cell r="A429" t="str">
            <v>30024_2</v>
          </cell>
        </row>
        <row r="430">
          <cell r="A430" t="str">
            <v>30024_3</v>
          </cell>
        </row>
        <row r="431">
          <cell r="A431" t="str">
            <v>30025_1</v>
          </cell>
        </row>
        <row r="432">
          <cell r="A432" t="str">
            <v>30025_2</v>
          </cell>
        </row>
        <row r="433">
          <cell r="A433" t="str">
            <v>30025_3</v>
          </cell>
        </row>
        <row r="434">
          <cell r="A434" t="str">
            <v>30026_1</v>
          </cell>
        </row>
        <row r="435">
          <cell r="A435" t="str">
            <v>30026_2</v>
          </cell>
        </row>
        <row r="436">
          <cell r="A436" t="str">
            <v>30026_3</v>
          </cell>
        </row>
        <row r="437">
          <cell r="A437" t="str">
            <v>30027_1</v>
          </cell>
        </row>
        <row r="438">
          <cell r="A438" t="str">
            <v>30027_2</v>
          </cell>
        </row>
        <row r="439">
          <cell r="A439" t="str">
            <v>30027_3</v>
          </cell>
        </row>
        <row r="440">
          <cell r="A440" t="str">
            <v>30028_1</v>
          </cell>
        </row>
        <row r="441">
          <cell r="A441" t="str">
            <v>30028_2</v>
          </cell>
        </row>
        <row r="442">
          <cell r="A442" t="str">
            <v>30028_3</v>
          </cell>
        </row>
        <row r="443">
          <cell r="A443" t="str">
            <v>30029_1</v>
          </cell>
        </row>
        <row r="444">
          <cell r="A444" t="str">
            <v>30029_2</v>
          </cell>
        </row>
        <row r="445">
          <cell r="A445" t="str">
            <v>30029_3</v>
          </cell>
        </row>
        <row r="446">
          <cell r="A446" t="str">
            <v>30030_1</v>
          </cell>
        </row>
        <row r="447">
          <cell r="A447" t="str">
            <v>30030_2</v>
          </cell>
        </row>
        <row r="448">
          <cell r="A448" t="str">
            <v>30030_3</v>
          </cell>
        </row>
        <row r="449">
          <cell r="A449" t="str">
            <v>30031_1</v>
          </cell>
        </row>
        <row r="450">
          <cell r="A450" t="str">
            <v>30031_2</v>
          </cell>
        </row>
        <row r="451">
          <cell r="A451" t="str">
            <v>30031_3</v>
          </cell>
        </row>
        <row r="452">
          <cell r="A452" t="str">
            <v>30032_1</v>
          </cell>
        </row>
        <row r="453">
          <cell r="A453" t="str">
            <v>30032_2</v>
          </cell>
        </row>
        <row r="454">
          <cell r="A454" t="str">
            <v>30032_3</v>
          </cell>
        </row>
        <row r="455">
          <cell r="A455" t="str">
            <v>39001_1</v>
          </cell>
        </row>
        <row r="456">
          <cell r="A456" t="str">
            <v>39001_2</v>
          </cell>
        </row>
        <row r="457">
          <cell r="A457" t="str">
            <v>39001_3</v>
          </cell>
        </row>
        <row r="458">
          <cell r="A458" t="str">
            <v>39001_4</v>
          </cell>
        </row>
        <row r="459">
          <cell r="A459" t="str">
            <v>39001_5</v>
          </cell>
        </row>
        <row r="460">
          <cell r="A460" t="str">
            <v>39002_1</v>
          </cell>
        </row>
        <row r="461">
          <cell r="A461" t="str">
            <v>39002_2</v>
          </cell>
        </row>
        <row r="462">
          <cell r="A462" t="str">
            <v>39002_3</v>
          </cell>
        </row>
        <row r="463">
          <cell r="A463" t="str">
            <v>39002_4</v>
          </cell>
        </row>
        <row r="464">
          <cell r="A464" t="str">
            <v>39003_1</v>
          </cell>
        </row>
        <row r="465">
          <cell r="A465" t="str">
            <v>39003_2</v>
          </cell>
        </row>
        <row r="466">
          <cell r="A466" t="str">
            <v>39003_3</v>
          </cell>
        </row>
        <row r="467">
          <cell r="A467" t="str">
            <v>39003_4</v>
          </cell>
        </row>
        <row r="468">
          <cell r="A468" t="str">
            <v>40001_1</v>
          </cell>
        </row>
        <row r="469">
          <cell r="A469" t="str">
            <v>40002_1</v>
          </cell>
        </row>
        <row r="470">
          <cell r="A470" t="str">
            <v>40002_2</v>
          </cell>
        </row>
        <row r="471">
          <cell r="A471" t="str">
            <v>40002_3</v>
          </cell>
        </row>
        <row r="472">
          <cell r="A472" t="str">
            <v>40003_1</v>
          </cell>
        </row>
        <row r="473">
          <cell r="A473" t="str">
            <v>40004_1</v>
          </cell>
        </row>
        <row r="474">
          <cell r="A474" t="str">
            <v>40005_1</v>
          </cell>
        </row>
        <row r="475">
          <cell r="A475" t="str">
            <v>40006_1</v>
          </cell>
        </row>
        <row r="476">
          <cell r="A476" t="str">
            <v>40007_1</v>
          </cell>
        </row>
        <row r="477">
          <cell r="A477" t="str">
            <v>40008_1</v>
          </cell>
        </row>
        <row r="478">
          <cell r="A478" t="str">
            <v>40009_1</v>
          </cell>
        </row>
        <row r="479">
          <cell r="A479" t="str">
            <v>40010_1</v>
          </cell>
        </row>
        <row r="480">
          <cell r="A480" t="str">
            <v>40011_1</v>
          </cell>
        </row>
        <row r="481">
          <cell r="A481" t="str">
            <v>40012_1</v>
          </cell>
        </row>
        <row r="482">
          <cell r="A482" t="str">
            <v>40013_1</v>
          </cell>
        </row>
        <row r="483">
          <cell r="A483" t="str">
            <v>40014_1</v>
          </cell>
        </row>
        <row r="484">
          <cell r="A484" t="str">
            <v>40015_1</v>
          </cell>
        </row>
        <row r="485">
          <cell r="A485" t="str">
            <v>49001_1</v>
          </cell>
        </row>
        <row r="486">
          <cell r="A486" t="str">
            <v>49002_1</v>
          </cell>
        </row>
        <row r="487">
          <cell r="A487" t="str">
            <v>49003_1</v>
          </cell>
        </row>
        <row r="488">
          <cell r="A488" t="str">
            <v>50001_1</v>
          </cell>
        </row>
        <row r="489">
          <cell r="A489" t="str">
            <v>50002_1</v>
          </cell>
        </row>
        <row r="490">
          <cell r="A490" t="str">
            <v>60001_1</v>
          </cell>
        </row>
        <row r="491">
          <cell r="A491" t="str">
            <v>60002_1</v>
          </cell>
        </row>
        <row r="492">
          <cell r="A492" t="str">
            <v>60002_2</v>
          </cell>
        </row>
        <row r="493">
          <cell r="A493" t="str">
            <v>60003_1</v>
          </cell>
        </row>
        <row r="494">
          <cell r="A494" t="str">
            <v>60003_2</v>
          </cell>
        </row>
        <row r="495">
          <cell r="A495" t="str">
            <v>60003_3</v>
          </cell>
        </row>
        <row r="496">
          <cell r="A496" t="str">
            <v>60004_1</v>
          </cell>
        </row>
        <row r="497">
          <cell r="A497" t="str">
            <v>60005_1</v>
          </cell>
        </row>
        <row r="498">
          <cell r="A498" t="str">
            <v>65535_1</v>
          </cell>
        </row>
        <row r="499">
          <cell r="A499" t="str">
            <v>65535_2</v>
          </cell>
        </row>
        <row r="500">
          <cell r="A500" t="str">
            <v>65535_3</v>
          </cell>
        </row>
        <row r="501">
          <cell r="A501" t="str">
            <v>60021_3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3"/>
  <sheetViews>
    <sheetView workbookViewId="0">
      <selection activeCell="F9" sqref="F9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278</v>
      </c>
      <c r="B2" s="57" t="s">
        <v>107</v>
      </c>
      <c r="C2" s="62">
        <v>60005</v>
      </c>
      <c r="D2" s="57" t="s">
        <v>108</v>
      </c>
      <c r="E2" s="56" t="str">
        <f>B2&amp;C2&amp;D2</f>
        <v>floors_60005.tmp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278</v>
      </c>
      <c r="B3" s="112" t="s">
        <v>242</v>
      </c>
      <c r="C3" s="62">
        <f t="shared" ref="C3:C10" si="0">C$2</f>
        <v>60005</v>
      </c>
      <c r="D3" s="57" t="s">
        <v>108</v>
      </c>
      <c r="E3" s="56" t="str">
        <f>B3&amp;C3&amp;D3</f>
        <v>ranking_floors_60005.tmp</v>
      </c>
      <c r="F3" s="57" t="s">
        <v>109</v>
      </c>
      <c r="G3" s="58" t="s">
        <v>0</v>
      </c>
      <c r="H3" s="58" t="s">
        <v>1</v>
      </c>
      <c r="I3" s="58" t="s">
        <v>13</v>
      </c>
      <c r="J3" s="99" t="s">
        <v>216</v>
      </c>
      <c r="K3" s="99" t="s">
        <v>217</v>
      </c>
      <c r="L3" s="99" t="s">
        <v>218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>
      <c r="A4" s="61" t="s">
        <v>278</v>
      </c>
      <c r="B4" s="112" t="s">
        <v>243</v>
      </c>
      <c r="C4" s="62">
        <f t="shared" si="0"/>
        <v>60005</v>
      </c>
      <c r="D4" s="57" t="s">
        <v>108</v>
      </c>
      <c r="E4" s="56" t="str">
        <f>B4&amp;C4&amp;D4</f>
        <v>ranking_stages_60005.tmp</v>
      </c>
      <c r="F4" s="57" t="s">
        <v>245</v>
      </c>
      <c r="G4" s="58" t="s">
        <v>0</v>
      </c>
      <c r="H4" s="58" t="s">
        <v>1</v>
      </c>
      <c r="I4" s="37" t="s">
        <v>244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278</v>
      </c>
      <c r="B5" s="112" t="s">
        <v>250</v>
      </c>
      <c r="C5" s="62">
        <f t="shared" si="0"/>
        <v>60005</v>
      </c>
      <c r="D5" s="57" t="s">
        <v>108</v>
      </c>
      <c r="E5" s="56" t="str">
        <f t="shared" ref="E5:E7" si="1">B5&amp;C5&amp;D5</f>
        <v>clear_turn_60005.tmp</v>
      </c>
      <c r="F5" s="57" t="s">
        <v>254</v>
      </c>
      <c r="G5" s="58" t="s">
        <v>246</v>
      </c>
      <c r="H5" s="58" t="s">
        <v>247</v>
      </c>
      <c r="I5" s="58" t="s">
        <v>248</v>
      </c>
      <c r="J5" s="58" t="s">
        <v>249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278</v>
      </c>
      <c r="B6" s="112" t="s">
        <v>251</v>
      </c>
      <c r="C6" s="62">
        <f t="shared" si="0"/>
        <v>60005</v>
      </c>
      <c r="D6" s="57" t="s">
        <v>108</v>
      </c>
      <c r="E6" s="56" t="str">
        <f t="shared" si="1"/>
        <v>damage_give_60005.tmp</v>
      </c>
      <c r="F6" s="57" t="s">
        <v>255</v>
      </c>
      <c r="G6" s="58" t="s">
        <v>246</v>
      </c>
      <c r="H6" s="58" t="s">
        <v>247</v>
      </c>
      <c r="I6" s="58" t="s">
        <v>248</v>
      </c>
      <c r="J6" s="58" t="s">
        <v>249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278</v>
      </c>
      <c r="B7" s="112" t="s">
        <v>253</v>
      </c>
      <c r="C7" s="62">
        <f t="shared" si="0"/>
        <v>60005</v>
      </c>
      <c r="D7" s="57" t="s">
        <v>108</v>
      </c>
      <c r="E7" s="56" t="str">
        <f t="shared" si="1"/>
        <v>damage_receive_60005.tmp</v>
      </c>
      <c r="F7" s="57" t="s">
        <v>252</v>
      </c>
      <c r="G7" s="58" t="s">
        <v>246</v>
      </c>
      <c r="H7" s="58" t="s">
        <v>247</v>
      </c>
      <c r="I7" s="58" t="s">
        <v>248</v>
      </c>
      <c r="J7" s="58" t="s">
        <v>249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278</v>
      </c>
      <c r="B8" s="112" t="s">
        <v>263</v>
      </c>
      <c r="C8" s="62">
        <f t="shared" si="0"/>
        <v>60005</v>
      </c>
      <c r="D8" s="57" t="s">
        <v>108</v>
      </c>
      <c r="E8" s="56" t="str">
        <f t="shared" ref="E8:E9" si="2">B8&amp;C8&amp;D8</f>
        <v>ranking_eval_data_60005.tmp</v>
      </c>
      <c r="F8" s="57" t="s">
        <v>265</v>
      </c>
      <c r="G8" s="58" t="s">
        <v>256</v>
      </c>
      <c r="H8" s="58" t="s">
        <v>257</v>
      </c>
      <c r="I8" s="58" t="s">
        <v>258</v>
      </c>
      <c r="J8" s="58" t="s">
        <v>259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1" t="s">
        <v>278</v>
      </c>
      <c r="B9" s="112" t="s">
        <v>264</v>
      </c>
      <c r="C9" s="62">
        <f t="shared" si="0"/>
        <v>60005</v>
      </c>
      <c r="D9" s="57" t="s">
        <v>108</v>
      </c>
      <c r="E9" s="56" t="str">
        <f t="shared" si="2"/>
        <v>ranking_eval_i18n_60005.tmp</v>
      </c>
      <c r="F9" s="57" t="s">
        <v>265</v>
      </c>
      <c r="G9" s="58" t="s">
        <v>256</v>
      </c>
      <c r="H9" s="111" t="s">
        <v>260</v>
      </c>
      <c r="I9" s="111" t="s">
        <v>261</v>
      </c>
      <c r="J9" s="111" t="s">
        <v>262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>
      <c r="A10" s="61" t="s">
        <v>278</v>
      </c>
      <c r="B10" s="57" t="s">
        <v>110</v>
      </c>
      <c r="C10" s="62">
        <f t="shared" si="0"/>
        <v>60005</v>
      </c>
      <c r="D10" s="57" t="s">
        <v>108</v>
      </c>
      <c r="E10" s="56" t="str">
        <f>B10&amp;C10&amp;D10</f>
        <v>enemy_habitats_60005.tmp</v>
      </c>
      <c r="F10" s="57" t="s">
        <v>111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54</v>
      </c>
      <c r="AD10" s="58" t="s">
        <v>180</v>
      </c>
    </row>
    <row r="11" spans="1:30">
      <c r="A11" s="61" t="s">
        <v>278</v>
      </c>
      <c r="B11" s="57" t="s">
        <v>112</v>
      </c>
      <c r="C11" s="62">
        <f t="shared" ref="C11:C23" si="3">C$2</f>
        <v>60005</v>
      </c>
      <c r="D11" s="57" t="s">
        <v>108</v>
      </c>
      <c r="E11" s="56" t="str">
        <f>B11&amp;C11&amp;D11</f>
        <v>enemy_habitat_S_60005.tmp</v>
      </c>
      <c r="F11" s="57" t="s">
        <v>113</v>
      </c>
      <c r="G11" s="58" t="s">
        <v>0</v>
      </c>
      <c r="H11" s="58" t="s">
        <v>1</v>
      </c>
      <c r="I11" s="58" t="s">
        <v>13</v>
      </c>
      <c r="J11" s="58" t="s">
        <v>54</v>
      </c>
      <c r="K11" s="58" t="s">
        <v>55</v>
      </c>
      <c r="L11" s="58" t="s">
        <v>56</v>
      </c>
      <c r="M11" s="58" t="s">
        <v>57</v>
      </c>
      <c r="N11" s="58" t="s">
        <v>58</v>
      </c>
      <c r="O11" s="58" t="s">
        <v>59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>
      <c r="A12" s="61" t="s">
        <v>278</v>
      </c>
      <c r="B12" s="57" t="s">
        <v>114</v>
      </c>
      <c r="C12" s="62">
        <f t="shared" si="3"/>
        <v>60005</v>
      </c>
      <c r="D12" s="57" t="s">
        <v>108</v>
      </c>
      <c r="E12" s="56" t="str">
        <f>B12&amp;C12&amp;D12</f>
        <v>enemy_skill_sets_60005.tmp</v>
      </c>
      <c r="F12" s="57" t="s">
        <v>115</v>
      </c>
      <c r="G12" s="59" t="s">
        <v>22</v>
      </c>
      <c r="H12" s="59" t="s">
        <v>100</v>
      </c>
      <c r="I12" s="59" t="s">
        <v>95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>
      <c r="A13" s="61" t="s">
        <v>278</v>
      </c>
      <c r="B13" s="57" t="s">
        <v>116</v>
      </c>
      <c r="C13" s="62">
        <f t="shared" si="3"/>
        <v>60005</v>
      </c>
      <c r="D13" s="57" t="s">
        <v>117</v>
      </c>
      <c r="E13" s="56" t="str">
        <f t="shared" ref="E13:E17" si="4">B13&amp;C13&amp;D13</f>
        <v>enemy_skills_tmp_60005.tmp</v>
      </c>
      <c r="F13" s="57" t="s">
        <v>91</v>
      </c>
      <c r="G13" s="58" t="s">
        <v>79</v>
      </c>
      <c r="H13" s="58" t="s">
        <v>80</v>
      </c>
      <c r="I13" s="58" t="s">
        <v>81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>
      <c r="A14" s="61" t="s">
        <v>278</v>
      </c>
      <c r="B14" s="57" t="s">
        <v>118</v>
      </c>
      <c r="C14" s="62">
        <f t="shared" si="3"/>
        <v>60005</v>
      </c>
      <c r="D14" s="57" t="s">
        <v>108</v>
      </c>
      <c r="E14" s="56" t="str">
        <f>B14&amp;C14&amp;D14</f>
        <v>enemy_skills_i18n_60005.tmp</v>
      </c>
      <c r="F14" s="57" t="s">
        <v>119</v>
      </c>
      <c r="G14" s="58" t="s">
        <v>79</v>
      </c>
      <c r="H14" s="58" t="s">
        <v>92</v>
      </c>
      <c r="I14" s="58" t="s">
        <v>93</v>
      </c>
      <c r="J14" s="58" t="s">
        <v>94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>
      <c r="A15" s="61" t="s">
        <v>278</v>
      </c>
      <c r="B15" s="57" t="s">
        <v>120</v>
      </c>
      <c r="C15" s="62">
        <f t="shared" si="3"/>
        <v>60005</v>
      </c>
      <c r="D15" s="57" t="s">
        <v>121</v>
      </c>
      <c r="E15" s="56" t="str">
        <f t="shared" si="4"/>
        <v>enemy_skill_triggers_60005.tmp</v>
      </c>
      <c r="F15" s="57" t="s">
        <v>122</v>
      </c>
      <c r="G15" s="58" t="s">
        <v>95</v>
      </c>
      <c r="H15" s="58" t="s">
        <v>96</v>
      </c>
      <c r="I15" s="58" t="s">
        <v>97</v>
      </c>
      <c r="J15" s="58" t="s">
        <v>98</v>
      </c>
      <c r="K15" s="58" t="s">
        <v>123</v>
      </c>
      <c r="L15" s="58" t="s">
        <v>99</v>
      </c>
      <c r="M15" s="58" t="s">
        <v>124</v>
      </c>
      <c r="N15" s="58" t="s">
        <v>125</v>
      </c>
      <c r="O15" s="58" t="s">
        <v>126</v>
      </c>
      <c r="P15" s="58" t="s">
        <v>67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>
      <c r="A16" s="61" t="s">
        <v>278</v>
      </c>
      <c r="B16" s="67" t="s">
        <v>179</v>
      </c>
      <c r="C16" s="62">
        <f t="shared" si="3"/>
        <v>60005</v>
      </c>
      <c r="D16" s="67" t="s">
        <v>173</v>
      </c>
      <c r="E16" s="68" t="str">
        <f t="shared" si="4"/>
        <v>stage_bug_bonuses_60005.tmp</v>
      </c>
      <c r="F16" s="67" t="s">
        <v>174</v>
      </c>
      <c r="G16" s="64" t="s">
        <v>151</v>
      </c>
      <c r="H16" s="64" t="s">
        <v>175</v>
      </c>
      <c r="I16" s="64" t="s">
        <v>176</v>
      </c>
      <c r="J16" s="66" t="s">
        <v>177</v>
      </c>
      <c r="K16" s="64" t="s">
        <v>178</v>
      </c>
      <c r="L16" s="64" t="s">
        <v>157</v>
      </c>
      <c r="M16" s="64" t="s">
        <v>158</v>
      </c>
      <c r="N16" s="64" t="s">
        <v>159</v>
      </c>
      <c r="O16" s="64" t="s">
        <v>160</v>
      </c>
      <c r="P16" s="64" t="s">
        <v>161</v>
      </c>
      <c r="Q16" s="64" t="s">
        <v>162</v>
      </c>
      <c r="R16" s="64" t="s">
        <v>163</v>
      </c>
      <c r="S16" s="64" t="s">
        <v>164</v>
      </c>
      <c r="T16" s="64" t="s">
        <v>165</v>
      </c>
      <c r="U16" s="64" t="s">
        <v>166</v>
      </c>
      <c r="V16" s="64" t="s">
        <v>167</v>
      </c>
      <c r="W16" s="64" t="s">
        <v>168</v>
      </c>
    </row>
    <row r="17" spans="1:21" s="76" customFormat="1">
      <c r="A17" s="61" t="s">
        <v>278</v>
      </c>
      <c r="B17" s="67" t="s">
        <v>204</v>
      </c>
      <c r="C17" s="62">
        <f>C$2</f>
        <v>60005</v>
      </c>
      <c r="D17" s="67" t="s">
        <v>182</v>
      </c>
      <c r="E17" s="68" t="str">
        <f t="shared" si="4"/>
        <v>stage_hints_data_c_60005.tmp</v>
      </c>
      <c r="F17" s="67" t="s">
        <v>212</v>
      </c>
      <c r="G17" s="73" t="s">
        <v>183</v>
      </c>
      <c r="H17" s="73" t="s">
        <v>175</v>
      </c>
      <c r="I17" s="74" t="s">
        <v>184</v>
      </c>
      <c r="J17" s="66" t="s">
        <v>185</v>
      </c>
      <c r="K17" s="75" t="s">
        <v>186</v>
      </c>
    </row>
    <row r="18" spans="1:21" s="76" customFormat="1">
      <c r="A18" s="61" t="s">
        <v>278</v>
      </c>
      <c r="B18" s="67" t="s">
        <v>205</v>
      </c>
      <c r="C18" s="62">
        <f t="shared" si="3"/>
        <v>60005</v>
      </c>
      <c r="D18" s="67" t="s">
        <v>173</v>
      </c>
      <c r="E18" s="68" t="str">
        <f t="shared" ref="E18:E19" si="5">B18&amp;C18&amp;D18</f>
        <v>stage_hints_data_f_60005.tmp</v>
      </c>
      <c r="F18" s="67" t="s">
        <v>214</v>
      </c>
      <c r="G18" s="73" t="s">
        <v>183</v>
      </c>
      <c r="H18" s="73" t="s">
        <v>175</v>
      </c>
      <c r="I18" s="74" t="s">
        <v>184</v>
      </c>
      <c r="J18" s="66" t="s">
        <v>185</v>
      </c>
      <c r="K18" s="75" t="s">
        <v>186</v>
      </c>
    </row>
    <row r="19" spans="1:21" s="76" customFormat="1">
      <c r="A19" s="61" t="s">
        <v>278</v>
      </c>
      <c r="B19" s="67" t="s">
        <v>206</v>
      </c>
      <c r="C19" s="62">
        <f t="shared" si="3"/>
        <v>60005</v>
      </c>
      <c r="D19" s="67" t="s">
        <v>173</v>
      </c>
      <c r="E19" s="68" t="str">
        <f t="shared" si="5"/>
        <v>stage_hints_i18n_60005.tmp</v>
      </c>
      <c r="F19" s="67" t="s">
        <v>215</v>
      </c>
      <c r="G19" s="74" t="s">
        <v>207</v>
      </c>
      <c r="H19" s="97" t="s">
        <v>208</v>
      </c>
      <c r="I19" s="73" t="s">
        <v>209</v>
      </c>
      <c r="J19" s="98" t="s">
        <v>210</v>
      </c>
      <c r="K19" s="75" t="s">
        <v>211</v>
      </c>
    </row>
    <row r="20" spans="1:21">
      <c r="A20" s="61" t="s">
        <v>278</v>
      </c>
      <c r="B20" s="67" t="s">
        <v>206</v>
      </c>
      <c r="C20" s="62">
        <f t="shared" si="3"/>
        <v>60005</v>
      </c>
      <c r="D20" s="67" t="s">
        <v>173</v>
      </c>
      <c r="E20" s="68" t="str">
        <f t="shared" ref="E20:E21" si="6">B20&amp;C20&amp;D20</f>
        <v>stage_hints_i18n_60005.tmp</v>
      </c>
      <c r="F20" s="67" t="s">
        <v>215</v>
      </c>
      <c r="G20" s="74" t="s">
        <v>207</v>
      </c>
      <c r="H20" s="97" t="s">
        <v>208</v>
      </c>
      <c r="I20" s="73" t="s">
        <v>209</v>
      </c>
      <c r="J20" s="98" t="s">
        <v>210</v>
      </c>
      <c r="K20" s="75" t="s">
        <v>211</v>
      </c>
    </row>
    <row r="21" spans="1:21">
      <c r="A21" s="61" t="s">
        <v>278</v>
      </c>
      <c r="B21" s="113" t="s">
        <v>231</v>
      </c>
      <c r="C21" s="62">
        <f t="shared" si="3"/>
        <v>60005</v>
      </c>
      <c r="D21" s="67" t="s">
        <v>173</v>
      </c>
      <c r="E21" s="68" t="str">
        <f t="shared" si="6"/>
        <v>ranking_ACH_60005.tmp</v>
      </c>
      <c r="F21" s="67" t="s">
        <v>232</v>
      </c>
      <c r="G21" s="74" t="s">
        <v>233</v>
      </c>
      <c r="H21" s="97" t="s">
        <v>234</v>
      </c>
      <c r="I21" s="73" t="s">
        <v>235</v>
      </c>
      <c r="J21" s="75" t="s">
        <v>236</v>
      </c>
      <c r="K21" s="75"/>
    </row>
    <row r="22" spans="1:21">
      <c r="A22" s="61" t="s">
        <v>278</v>
      </c>
      <c r="B22" s="114" t="s">
        <v>237</v>
      </c>
      <c r="C22" s="62">
        <f t="shared" si="3"/>
        <v>60005</v>
      </c>
      <c r="D22" s="107" t="s">
        <v>117</v>
      </c>
      <c r="E22" s="108" t="str">
        <f>B22&amp;C22&amp;D22</f>
        <v>gifts_tmp_60005.tmp</v>
      </c>
      <c r="F22" s="67" t="s">
        <v>232</v>
      </c>
      <c r="G22" s="109" t="s">
        <v>238</v>
      </c>
      <c r="H22" s="109" t="s">
        <v>222</v>
      </c>
      <c r="I22" s="109" t="s">
        <v>223</v>
      </c>
      <c r="J22" s="109" t="s">
        <v>223</v>
      </c>
      <c r="K22" s="109" t="s">
        <v>223</v>
      </c>
      <c r="L22" s="109" t="s">
        <v>224</v>
      </c>
      <c r="M22" s="109" t="s">
        <v>224</v>
      </c>
      <c r="N22" s="109" t="s">
        <v>224</v>
      </c>
      <c r="O22" s="115" t="s">
        <v>41</v>
      </c>
      <c r="P22" s="115" t="s">
        <v>45</v>
      </c>
      <c r="Q22" s="115" t="s">
        <v>39</v>
      </c>
      <c r="R22" s="115" t="s">
        <v>271</v>
      </c>
      <c r="S22" s="115" t="s">
        <v>43</v>
      </c>
      <c r="T22" s="115" t="s">
        <v>3</v>
      </c>
      <c r="U22" s="115" t="s">
        <v>37</v>
      </c>
    </row>
    <row r="23" spans="1:21">
      <c r="A23" s="61" t="s">
        <v>278</v>
      </c>
      <c r="B23" s="114" t="s">
        <v>239</v>
      </c>
      <c r="C23" s="62">
        <f t="shared" si="3"/>
        <v>60005</v>
      </c>
      <c r="D23" s="107" t="s">
        <v>117</v>
      </c>
      <c r="E23" s="108" t="str">
        <f>B23&amp;C23&amp;D23</f>
        <v>gifts_i18n_60005.tmp</v>
      </c>
      <c r="F23" s="67" t="s">
        <v>232</v>
      </c>
      <c r="G23" s="109" t="s">
        <v>238</v>
      </c>
      <c r="H23" s="109" t="s">
        <v>225</v>
      </c>
      <c r="I23" s="109" t="s">
        <v>240</v>
      </c>
      <c r="J23" s="109" t="s">
        <v>241</v>
      </c>
      <c r="K23" s="109" t="s">
        <v>228</v>
      </c>
      <c r="L23" s="109"/>
      <c r="M23" s="109"/>
      <c r="N23" s="109"/>
      <c r="O23" s="107"/>
    </row>
  </sheetData>
  <phoneticPr fontId="6"/>
  <dataValidations count="1">
    <dataValidation type="list" allowBlank="1" showInputMessage="1" showErrorMessage="1" sqref="A2:A2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5"/>
  <sheetViews>
    <sheetView showGridLines="0" workbookViewId="0">
      <pane ySplit="1" topLeftCell="A2" activePane="bottomLeft" state="frozen"/>
      <selection activeCell="V2" sqref="V2:X34"/>
      <selection pane="bottomLeft" activeCell="K2" sqref="K2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99" t="s">
        <v>216</v>
      </c>
      <c r="M1" s="99" t="s">
        <v>217</v>
      </c>
      <c r="N1" s="99" t="s">
        <v>218</v>
      </c>
    </row>
    <row r="2" spans="1:14" ht="21" customHeight="1">
      <c r="A2" s="16" t="str">
        <f>G2&amp;"-"&amp;I2</f>
        <v>60005_1-1</v>
      </c>
      <c r="B2" s="16" t="str">
        <f>IF(COUNTIF(enemy_habitats!$H:$H,A2),"OK","NG")</f>
        <v>OK</v>
      </c>
      <c r="C2" s="7">
        <v>60005</v>
      </c>
      <c r="D2" s="11" t="str">
        <f ca="1">VLOOKUP($C2,OFFSET([2]quests!$A$1,0,0,COUNTA([2]quests!$A:$A),MATCH(D$1,[2]quests!$1:$1,0)-MATCH($C$1,[2]quests!$1:$1,0)+1),MATCH(D$1,[2]quests!$1:$1,0)-MATCH($C$1,[2]quests!$1:$1,0)+1,FALSE)</f>
        <v>オイラーチャレンジ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ランキング1</v>
      </c>
      <c r="F2" s="21">
        <v>1</v>
      </c>
      <c r="G2" s="23" t="str">
        <f>C2&amp;"_"&amp;F2</f>
        <v>60005_1</v>
      </c>
      <c r="H2" s="15" t="str">
        <f ca="1">VLOOKUP($G2,OFFSET([2]stages!$A$1,0,0,COUNTA([2]stages!$A:$A),MATCH(H$1,[2]stages!$2:$2,0)-MATCH($G$1,[2]stages!$2:$2,0)+1),MATCH(H$1,[2]stages!$2:$2,0)-MATCH($G$1,[2]stages!$2:$2,0)+1,FALSE)</f>
        <v>[ウィザード] 第5回　</v>
      </c>
      <c r="I2" s="21">
        <v>1</v>
      </c>
      <c r="J2" s="12">
        <v>30</v>
      </c>
      <c r="K2" s="12">
        <v>60</v>
      </c>
      <c r="L2" s="69">
        <f>C2</f>
        <v>60005</v>
      </c>
      <c r="M2" s="69">
        <f>C2</f>
        <v>60005</v>
      </c>
      <c r="N2" s="69">
        <f>C2</f>
        <v>60005</v>
      </c>
    </row>
    <row r="3" spans="1:14" ht="21" customHeight="1">
      <c r="A3" s="16" t="str">
        <f>G3&amp;"-"&amp;I3</f>
        <v>60005_1-2</v>
      </c>
      <c r="B3" s="16" t="str">
        <f>IF(COUNTIF(enemy_habitats!$H:$H,A3),"OK","NG")</f>
        <v>OK</v>
      </c>
      <c r="C3" s="7">
        <v>60005</v>
      </c>
      <c r="D3" s="11" t="str">
        <f ca="1">VLOOKUP($C3,OFFSET([2]quests!$A$1,0,0,COUNTA([2]quests!$A:$A),MATCH(D$1,[2]quests!$1:$1,0)-MATCH($C$1,[2]quests!$1:$1,0)+1),MATCH(D$1,[2]quests!$1:$1,0)-MATCH($C$1,[2]quests!$1:$1,0)+1,FALSE)</f>
        <v>オイラーチャレンジ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ランキング1</v>
      </c>
      <c r="F3" s="21">
        <v>1</v>
      </c>
      <c r="G3" s="23" t="str">
        <f>C3&amp;"_"&amp;F3</f>
        <v>60005_1</v>
      </c>
      <c r="H3" s="15" t="str">
        <f ca="1">VLOOKUP($G3,OFFSET([2]stages!$A$1,0,0,COUNTA([2]stages!$A:$A),MATCH(H$1,[2]stages!$2:$2,0)-MATCH($G$1,[2]stages!$2:$2,0)+1),MATCH(H$1,[2]stages!$2:$2,0)-MATCH($G$1,[2]stages!$2:$2,0)+1,FALSE)</f>
        <v>[ウィザード] 第5回　</v>
      </c>
      <c r="I3" s="21">
        <v>2</v>
      </c>
      <c r="J3" s="12">
        <v>30</v>
      </c>
      <c r="K3" s="12">
        <v>60</v>
      </c>
      <c r="L3" s="69">
        <f t="shared" ref="L3:L5" si="0">C3</f>
        <v>60005</v>
      </c>
      <c r="M3" s="69">
        <f t="shared" ref="M3:M5" si="1">C3</f>
        <v>60005</v>
      </c>
      <c r="N3" s="69">
        <f t="shared" ref="N3:N5" si="2">C3</f>
        <v>60005</v>
      </c>
    </row>
    <row r="4" spans="1:14" ht="21" customHeight="1">
      <c r="A4" s="16" t="str">
        <f>G4&amp;"-"&amp;I4</f>
        <v>60005_1-3</v>
      </c>
      <c r="B4" s="16" t="str">
        <f>IF(COUNTIF(enemy_habitats!$H:$H,A4),"OK","NG")</f>
        <v>OK</v>
      </c>
      <c r="C4" s="7">
        <v>60005</v>
      </c>
      <c r="D4" s="11" t="str">
        <f ca="1">VLOOKUP($C4,OFFSET([2]quests!$A$1,0,0,COUNTA([2]quests!$A:$A),MATCH(D$1,[2]quests!$1:$1,0)-MATCH($C$1,[2]quests!$1:$1,0)+1),MATCH(D$1,[2]quests!$1:$1,0)-MATCH($C$1,[2]quests!$1:$1,0)+1,FALSE)</f>
        <v>オイラーチャレンジ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ランキング1</v>
      </c>
      <c r="F4" s="21">
        <v>1</v>
      </c>
      <c r="G4" s="23" t="str">
        <f>C4&amp;"_"&amp;F4</f>
        <v>60005_1</v>
      </c>
      <c r="H4" s="15" t="str">
        <f ca="1">VLOOKUP($G4,OFFSET([2]stages!$A$1,0,0,COUNTA([2]stages!$A:$A),MATCH(H$1,[2]stages!$2:$2,0)-MATCH($G$1,[2]stages!$2:$2,0)+1),MATCH(H$1,[2]stages!$2:$2,0)-MATCH($G$1,[2]stages!$2:$2,0)+1,FALSE)</f>
        <v>[ウィザード] 第5回　</v>
      </c>
      <c r="I4" s="21">
        <v>3</v>
      </c>
      <c r="J4" s="12">
        <v>30</v>
      </c>
      <c r="K4" s="12">
        <v>60</v>
      </c>
      <c r="L4" s="69">
        <f t="shared" si="0"/>
        <v>60005</v>
      </c>
      <c r="M4" s="69">
        <f t="shared" si="1"/>
        <v>60005</v>
      </c>
      <c r="N4" s="69">
        <f t="shared" si="2"/>
        <v>60005</v>
      </c>
    </row>
    <row r="5" spans="1:14" ht="21" customHeight="1">
      <c r="A5" s="16" t="str">
        <f>G5&amp;"-"&amp;I5</f>
        <v>60005_1-4</v>
      </c>
      <c r="B5" s="16" t="str">
        <f>IF(COUNTIF(enemy_habitats!$H:$H,A5),"OK","NG")</f>
        <v>OK</v>
      </c>
      <c r="C5" s="7">
        <v>60005</v>
      </c>
      <c r="D5" s="11" t="str">
        <f ca="1">VLOOKUP($C5,OFFSET([2]quests!$A$1,0,0,COUNTA([2]quests!$A:$A),MATCH(D$1,[2]quests!$1:$1,0)-MATCH($C$1,[2]quests!$1:$1,0)+1),MATCH(D$1,[2]quests!$1:$1,0)-MATCH($C$1,[2]quests!$1:$1,0)+1,FALSE)</f>
        <v>オイラーチャレンジ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ランキング1</v>
      </c>
      <c r="F5" s="21">
        <v>1</v>
      </c>
      <c r="G5" s="23" t="str">
        <f>C5&amp;"_"&amp;F5</f>
        <v>60005_1</v>
      </c>
      <c r="H5" s="15" t="str">
        <f ca="1">VLOOKUP($G5,OFFSET([2]stages!$A$1,0,0,COUNTA([2]stages!$A:$A),MATCH(H$1,[2]stages!$2:$2,0)-MATCH($G$1,[2]stages!$2:$2,0)+1),MATCH(H$1,[2]stages!$2:$2,0)-MATCH($G$1,[2]stages!$2:$2,0)+1,FALSE)</f>
        <v>[ウィザード] 第5回　</v>
      </c>
      <c r="I5" s="21">
        <v>4</v>
      </c>
      <c r="J5" s="12">
        <v>30</v>
      </c>
      <c r="K5" s="12">
        <v>60</v>
      </c>
      <c r="L5" s="69">
        <f t="shared" si="0"/>
        <v>60005</v>
      </c>
      <c r="M5" s="69">
        <f t="shared" si="1"/>
        <v>60005</v>
      </c>
      <c r="N5" s="69">
        <f t="shared" si="2"/>
        <v>60005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B2" sqref="B2"/>
    </sheetView>
  </sheetViews>
  <sheetFormatPr baseColWidth="12" defaultRowHeight="18" outlineLevelCol="1" x14ac:dyDescent="0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244</v>
      </c>
    </row>
    <row r="2" spans="1:7">
      <c r="A2" s="116">
        <v>60005</v>
      </c>
      <c r="B2" s="18" t="str">
        <f ca="1">VLOOKUP($A2,OFFSET([2]quests!$A$1,0,0,COUNTA([2]quests!$A:$A),MATCH(B$1,[2]quests!$1:$1,0)-MATCH($A$1,[2]quests!$1:$1,0)+1),MATCH(B$1,[2]quests!$1:$1,0)-MATCH($A$1,[2]quests!$1:$1,0)+1,FALSE)</f>
        <v>オイラーチャレンジ</v>
      </c>
      <c r="C2" s="18">
        <f ca="1">VLOOKUP($A2,OFFSET([2]quests!$A$1,0,0,COUNTA([2]quests!$A:$A),MATCH(C$1,[2]quests!$1:$1,0)-MATCH($C$1,[2]quests!$1:$1,0)+1),MATCH(C$1,[2]quests!$1:$1,0)-MATCH($C$1,[2]quests!$1:$1,0)+1,FALSE)</f>
        <v>60005</v>
      </c>
      <c r="D2" s="117">
        <v>1</v>
      </c>
      <c r="E2" s="23" t="str">
        <f t="shared" ref="E2" si="0">A2&amp;"_"&amp;D2</f>
        <v>60005_1</v>
      </c>
      <c r="F2" s="15" t="str">
        <f ca="1">VLOOKUP($E2,OFFSET([2]stages!$A$1,0,0,COUNTA([2]stages!$A:$A),MATCH(F$1,[2]stages!$2:$2,0)-MATCH($E$1,[2]stages!$2:$2,0)+1),MATCH(F$1,[2]stages!$2:$2,0)-MATCH($E$1,[2]stages!$2:$2,0)+1,FALSE)</f>
        <v>[ウィザード] 第5回　</v>
      </c>
      <c r="G2" s="117">
        <v>200000</v>
      </c>
    </row>
  </sheetData>
  <phoneticPr fontId="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11"/>
  <sheetViews>
    <sheetView workbookViewId="0">
      <selection activeCell="A2" sqref="A2:A7"/>
    </sheetView>
  </sheetViews>
  <sheetFormatPr baseColWidth="12" defaultRowHeight="18" x14ac:dyDescent="0"/>
  <sheetData>
    <row r="1" spans="1:7">
      <c r="A1" s="58" t="s">
        <v>246</v>
      </c>
      <c r="B1" s="58" t="s">
        <v>247</v>
      </c>
      <c r="C1" s="58" t="s">
        <v>248</v>
      </c>
      <c r="D1" s="58" t="s">
        <v>249</v>
      </c>
      <c r="F1" s="110"/>
      <c r="G1" s="110"/>
    </row>
    <row r="2" spans="1:7">
      <c r="A2" s="57">
        <v>60005</v>
      </c>
      <c r="B2" s="57">
        <v>0</v>
      </c>
      <c r="C2" s="57">
        <v>0</v>
      </c>
      <c r="D2" s="57">
        <v>25000</v>
      </c>
    </row>
    <row r="3" spans="1:7">
      <c r="A3" s="57">
        <v>60005</v>
      </c>
      <c r="B3" s="57">
        <v>1</v>
      </c>
      <c r="C3" s="57">
        <v>0</v>
      </c>
      <c r="D3" s="57">
        <v>20000</v>
      </c>
    </row>
    <row r="4" spans="1:7">
      <c r="A4" s="57">
        <v>60005</v>
      </c>
      <c r="B4" s="57">
        <v>2</v>
      </c>
      <c r="C4" s="57">
        <v>-2500</v>
      </c>
      <c r="D4" s="57">
        <v>20000</v>
      </c>
    </row>
    <row r="5" spans="1:7">
      <c r="A5" s="57">
        <v>60005</v>
      </c>
      <c r="B5" s="57">
        <v>3</v>
      </c>
      <c r="C5" s="57">
        <v>-2500</v>
      </c>
      <c r="D5" s="57">
        <v>20000</v>
      </c>
    </row>
    <row r="6" spans="1:7">
      <c r="A6" s="57">
        <v>60005</v>
      </c>
      <c r="B6" s="57">
        <v>5</v>
      </c>
      <c r="C6" s="57">
        <v>-2000</v>
      </c>
      <c r="D6" s="57">
        <v>20000</v>
      </c>
    </row>
    <row r="7" spans="1:7">
      <c r="A7" s="57">
        <v>60005</v>
      </c>
      <c r="B7" s="57">
        <v>10</v>
      </c>
      <c r="C7" s="57">
        <v>-5000</v>
      </c>
      <c r="D7" s="57">
        <v>20000</v>
      </c>
    </row>
    <row r="8" spans="1:7">
      <c r="A8" s="57"/>
      <c r="B8" s="57"/>
      <c r="C8" s="57"/>
      <c r="D8" s="57"/>
    </row>
    <row r="9" spans="1:7">
      <c r="A9" s="57"/>
      <c r="B9" s="57"/>
      <c r="C9" s="57"/>
      <c r="D9" s="57"/>
    </row>
    <row r="10" spans="1:7">
      <c r="A10" s="57"/>
      <c r="B10" s="57"/>
      <c r="C10" s="57"/>
      <c r="D10" s="57"/>
    </row>
    <row r="11" spans="1:7">
      <c r="A11" s="57"/>
      <c r="B11" s="57"/>
      <c r="C11" s="57"/>
      <c r="D11" s="57"/>
    </row>
  </sheetData>
  <phoneticPr fontId="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D9"/>
  <sheetViews>
    <sheetView workbookViewId="0">
      <selection activeCell="I29" sqref="I29"/>
    </sheetView>
  </sheetViews>
  <sheetFormatPr baseColWidth="12" defaultRowHeight="18" x14ac:dyDescent="0"/>
  <sheetData>
    <row r="1" spans="1:4">
      <c r="A1" s="58" t="s">
        <v>246</v>
      </c>
      <c r="B1" s="58" t="s">
        <v>247</v>
      </c>
      <c r="C1" s="58" t="s">
        <v>248</v>
      </c>
      <c r="D1" s="58" t="s">
        <v>249</v>
      </c>
    </row>
    <row r="2" spans="1:4">
      <c r="A2" s="57">
        <v>60005</v>
      </c>
      <c r="B2" s="57">
        <v>0</v>
      </c>
      <c r="C2" s="57">
        <v>1</v>
      </c>
      <c r="D2" s="57">
        <v>0</v>
      </c>
    </row>
    <row r="3" spans="1:4">
      <c r="A3" s="57">
        <v>60005</v>
      </c>
      <c r="B3" s="57">
        <v>5000</v>
      </c>
      <c r="C3" s="57">
        <v>1</v>
      </c>
      <c r="D3" s="57">
        <v>5000</v>
      </c>
    </row>
    <row r="4" spans="1:4">
      <c r="A4" s="57">
        <v>60005</v>
      </c>
      <c r="B4" s="57">
        <v>10000</v>
      </c>
      <c r="C4" s="57">
        <v>1</v>
      </c>
      <c r="D4" s="57">
        <v>10000</v>
      </c>
    </row>
    <row r="5" spans="1:4">
      <c r="A5" s="57">
        <v>60005</v>
      </c>
      <c r="B5" s="57">
        <v>20000</v>
      </c>
      <c r="C5" s="57">
        <v>1</v>
      </c>
      <c r="D5" s="57">
        <v>20000</v>
      </c>
    </row>
    <row r="6" spans="1:4">
      <c r="A6" s="57">
        <v>60005</v>
      </c>
      <c r="B6" s="57">
        <v>50000</v>
      </c>
      <c r="C6" s="57">
        <v>1</v>
      </c>
      <c r="D6" s="57">
        <v>25000</v>
      </c>
    </row>
    <row r="7" spans="1:4">
      <c r="A7" s="57">
        <v>60005</v>
      </c>
      <c r="B7" s="57">
        <v>100000</v>
      </c>
      <c r="C7" s="57">
        <v>1.1000000000000001</v>
      </c>
      <c r="D7" s="57">
        <v>30000</v>
      </c>
    </row>
    <row r="8" spans="1:4">
      <c r="A8" s="57">
        <v>60005</v>
      </c>
      <c r="B8" s="57">
        <v>300000</v>
      </c>
      <c r="C8" s="57">
        <v>1.2</v>
      </c>
      <c r="D8" s="57">
        <v>30000</v>
      </c>
    </row>
    <row r="9" spans="1:4">
      <c r="A9" s="57">
        <v>60005</v>
      </c>
      <c r="B9" s="57">
        <v>600000</v>
      </c>
      <c r="C9" s="57">
        <v>1.3</v>
      </c>
      <c r="D9" s="57">
        <v>30000</v>
      </c>
    </row>
  </sheetData>
  <phoneticPr fontId="6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D14"/>
  <sheetViews>
    <sheetView workbookViewId="0">
      <selection activeCell="A2" sqref="A2:A14"/>
    </sheetView>
  </sheetViews>
  <sheetFormatPr baseColWidth="12" defaultRowHeight="18" x14ac:dyDescent="0"/>
  <sheetData>
    <row r="1" spans="1:4">
      <c r="A1" s="58" t="s">
        <v>246</v>
      </c>
      <c r="B1" s="58" t="s">
        <v>247</v>
      </c>
      <c r="C1" s="58" t="s">
        <v>248</v>
      </c>
      <c r="D1" s="58" t="s">
        <v>249</v>
      </c>
    </row>
    <row r="2" spans="1:4">
      <c r="A2" s="57">
        <v>60005</v>
      </c>
      <c r="B2" s="57">
        <v>0</v>
      </c>
      <c r="C2" s="57">
        <v>0</v>
      </c>
      <c r="D2" s="57">
        <v>0</v>
      </c>
    </row>
    <row r="3" spans="1:4">
      <c r="A3" s="57">
        <v>60005</v>
      </c>
      <c r="B3" s="57">
        <v>0.2</v>
      </c>
      <c r="C3" s="57">
        <v>0</v>
      </c>
      <c r="D3" s="57">
        <v>-2500</v>
      </c>
    </row>
    <row r="4" spans="1:4">
      <c r="A4" s="57">
        <v>60005</v>
      </c>
      <c r="B4" s="57">
        <v>0.4</v>
      </c>
      <c r="C4" s="57">
        <v>0</v>
      </c>
      <c r="D4" s="57">
        <v>-4000</v>
      </c>
    </row>
    <row r="5" spans="1:4">
      <c r="A5" s="57">
        <v>60005</v>
      </c>
      <c r="B5" s="57">
        <v>0.6</v>
      </c>
      <c r="C5" s="57">
        <v>0</v>
      </c>
      <c r="D5" s="57">
        <v>-6000</v>
      </c>
    </row>
    <row r="6" spans="1:4">
      <c r="A6" s="57">
        <v>60005</v>
      </c>
      <c r="B6" s="57">
        <v>0.8</v>
      </c>
      <c r="C6" s="57">
        <v>0</v>
      </c>
      <c r="D6" s="57">
        <v>-8000</v>
      </c>
    </row>
    <row r="7" spans="1:4">
      <c r="A7" s="57">
        <v>60005</v>
      </c>
      <c r="B7" s="57">
        <v>1</v>
      </c>
      <c r="C7" s="57">
        <v>0</v>
      </c>
      <c r="D7" s="57">
        <v>-10000</v>
      </c>
    </row>
    <row r="8" spans="1:4">
      <c r="A8" s="57">
        <v>60005</v>
      </c>
      <c r="B8" s="57">
        <v>2</v>
      </c>
      <c r="C8" s="57">
        <v>0</v>
      </c>
      <c r="D8" s="57">
        <v>-20000</v>
      </c>
    </row>
    <row r="9" spans="1:4">
      <c r="A9" s="57">
        <v>60005</v>
      </c>
      <c r="B9" s="57">
        <v>3</v>
      </c>
      <c r="C9" s="57">
        <v>0</v>
      </c>
      <c r="D9" s="57">
        <v>-30000</v>
      </c>
    </row>
    <row r="10" spans="1:4">
      <c r="A10" s="57">
        <v>60005</v>
      </c>
      <c r="B10" s="57">
        <v>4</v>
      </c>
      <c r="C10" s="57">
        <v>0</v>
      </c>
      <c r="D10" s="57">
        <v>-45000</v>
      </c>
    </row>
    <row r="11" spans="1:4">
      <c r="A11" s="57">
        <v>60005</v>
      </c>
      <c r="B11" s="57">
        <v>5</v>
      </c>
      <c r="C11" s="57">
        <v>0</v>
      </c>
      <c r="D11" s="57">
        <v>-60000</v>
      </c>
    </row>
    <row r="12" spans="1:4">
      <c r="A12" s="57">
        <v>60005</v>
      </c>
      <c r="B12" s="57">
        <v>6</v>
      </c>
      <c r="C12" s="57">
        <v>0</v>
      </c>
      <c r="D12" s="57">
        <v>-75000</v>
      </c>
    </row>
    <row r="13" spans="1:4">
      <c r="A13" s="57">
        <v>60005</v>
      </c>
      <c r="B13" s="57">
        <v>7</v>
      </c>
      <c r="C13" s="57">
        <v>0</v>
      </c>
      <c r="D13" s="57">
        <v>-90000</v>
      </c>
    </row>
    <row r="14" spans="1:4">
      <c r="A14" s="57">
        <v>60005</v>
      </c>
      <c r="B14" s="57">
        <v>8</v>
      </c>
      <c r="C14" s="57">
        <v>0</v>
      </c>
      <c r="D14" s="57">
        <v>-100000</v>
      </c>
    </row>
  </sheetData>
  <phoneticPr fontId="6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A10" sqref="A10"/>
    </sheetView>
  </sheetViews>
  <sheetFormatPr baseColWidth="12" defaultRowHeight="18" x14ac:dyDescent="0"/>
  <cols>
    <col min="7" max="7" width="34.5" bestFit="1" customWidth="1"/>
  </cols>
  <sheetData>
    <row r="1" spans="1:7">
      <c r="A1" s="58" t="s">
        <v>256</v>
      </c>
      <c r="B1" s="58" t="s">
        <v>257</v>
      </c>
      <c r="C1" s="58" t="s">
        <v>258</v>
      </c>
      <c r="D1" s="58" t="s">
        <v>259</v>
      </c>
      <c r="E1" s="111" t="s">
        <v>260</v>
      </c>
      <c r="F1" s="111" t="s">
        <v>261</v>
      </c>
      <c r="G1" s="111" t="s">
        <v>262</v>
      </c>
    </row>
    <row r="2" spans="1:7">
      <c r="A2" s="118">
        <v>57</v>
      </c>
      <c r="B2" s="57">
        <v>60005</v>
      </c>
      <c r="C2" s="57">
        <v>1</v>
      </c>
      <c r="D2" s="57">
        <v>5000000</v>
      </c>
      <c r="E2" s="57" t="s">
        <v>128</v>
      </c>
      <c r="F2" s="57" t="s">
        <v>279</v>
      </c>
      <c r="G2" s="57" t="s">
        <v>280</v>
      </c>
    </row>
    <row r="3" spans="1:7">
      <c r="A3" s="118">
        <v>58</v>
      </c>
      <c r="B3" s="57">
        <v>60005</v>
      </c>
      <c r="C3" s="57">
        <v>1</v>
      </c>
      <c r="D3" s="57">
        <v>3500000</v>
      </c>
      <c r="E3" s="57" t="s">
        <v>128</v>
      </c>
      <c r="F3" s="57" t="s">
        <v>281</v>
      </c>
      <c r="G3" s="57" t="s">
        <v>282</v>
      </c>
    </row>
    <row r="4" spans="1:7">
      <c r="A4" s="118">
        <v>59</v>
      </c>
      <c r="B4" s="57">
        <v>60005</v>
      </c>
      <c r="C4" s="57">
        <v>1</v>
      </c>
      <c r="D4" s="57">
        <v>2000000</v>
      </c>
      <c r="E4" s="57" t="s">
        <v>128</v>
      </c>
      <c r="F4" s="57" t="s">
        <v>283</v>
      </c>
      <c r="G4" s="57" t="s">
        <v>284</v>
      </c>
    </row>
    <row r="5" spans="1:7">
      <c r="A5" s="118">
        <v>60</v>
      </c>
      <c r="B5" s="57">
        <v>60005</v>
      </c>
      <c r="C5" s="57">
        <v>1</v>
      </c>
      <c r="D5" s="57">
        <v>1500000</v>
      </c>
      <c r="E5" s="57" t="s">
        <v>128</v>
      </c>
      <c r="F5" s="57" t="s">
        <v>285</v>
      </c>
      <c r="G5" s="57" t="s">
        <v>286</v>
      </c>
    </row>
    <row r="6" spans="1:7">
      <c r="A6" s="118">
        <v>61</v>
      </c>
      <c r="B6" s="57">
        <v>60005</v>
      </c>
      <c r="C6" s="57">
        <v>1</v>
      </c>
      <c r="D6" s="57">
        <v>1000000</v>
      </c>
      <c r="E6" s="57" t="s">
        <v>128</v>
      </c>
      <c r="F6" s="57" t="s">
        <v>287</v>
      </c>
      <c r="G6" s="57" t="s">
        <v>288</v>
      </c>
    </row>
    <row r="7" spans="1:7">
      <c r="A7" s="118">
        <v>62</v>
      </c>
      <c r="B7" s="57">
        <v>60005</v>
      </c>
      <c r="C7" s="57">
        <v>1</v>
      </c>
      <c r="D7" s="57">
        <v>500000</v>
      </c>
      <c r="E7" s="57" t="s">
        <v>128</v>
      </c>
      <c r="F7" s="57" t="s">
        <v>289</v>
      </c>
      <c r="G7" s="57" t="s">
        <v>290</v>
      </c>
    </row>
    <row r="8" spans="1:7">
      <c r="A8" s="118">
        <v>63</v>
      </c>
      <c r="B8" s="57">
        <v>60005</v>
      </c>
      <c r="C8" s="57">
        <v>1</v>
      </c>
      <c r="D8" s="57">
        <v>250000</v>
      </c>
      <c r="E8" s="57" t="s">
        <v>128</v>
      </c>
      <c r="F8" s="57" t="s">
        <v>291</v>
      </c>
      <c r="G8" s="57" t="s">
        <v>292</v>
      </c>
    </row>
    <row r="9" spans="1:7">
      <c r="A9" s="118">
        <v>64</v>
      </c>
      <c r="B9" s="57">
        <v>60005</v>
      </c>
      <c r="C9" s="57">
        <v>1</v>
      </c>
      <c r="D9" s="57">
        <v>0</v>
      </c>
      <c r="E9" s="57" t="s">
        <v>128</v>
      </c>
      <c r="F9" s="57" t="s">
        <v>293</v>
      </c>
      <c r="G9" s="57" t="s">
        <v>294</v>
      </c>
    </row>
  </sheetData>
  <phoneticPr fontId="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7"/>
  <sheetViews>
    <sheetView tabSelected="1" workbookViewId="0">
      <selection activeCell="S7" sqref="S7"/>
    </sheetView>
  </sheetViews>
  <sheetFormatPr baseColWidth="12" defaultRowHeight="18" x14ac:dyDescent="0"/>
  <cols>
    <col min="21" max="21" width="41.5" customWidth="1"/>
  </cols>
  <sheetData>
    <row r="1" spans="1:21">
      <c r="A1" s="73" t="s">
        <v>151</v>
      </c>
      <c r="B1" s="78" t="s">
        <v>16</v>
      </c>
      <c r="C1" s="78" t="s">
        <v>33</v>
      </c>
      <c r="D1" s="73" t="s">
        <v>219</v>
      </c>
      <c r="E1" s="73" t="s">
        <v>220</v>
      </c>
      <c r="F1" s="104" t="s">
        <v>229</v>
      </c>
      <c r="G1" s="100" t="s">
        <v>221</v>
      </c>
      <c r="H1" s="101" t="s">
        <v>222</v>
      </c>
      <c r="I1" s="101" t="s">
        <v>223</v>
      </c>
      <c r="J1" s="101" t="s">
        <v>224</v>
      </c>
      <c r="K1" s="101" t="s">
        <v>266</v>
      </c>
      <c r="L1" s="101" t="s">
        <v>267</v>
      </c>
      <c r="M1" s="102" t="s">
        <v>268</v>
      </c>
      <c r="N1" s="102" t="s">
        <v>269</v>
      </c>
      <c r="O1" s="102" t="s">
        <v>270</v>
      </c>
      <c r="P1" s="102" t="s">
        <v>272</v>
      </c>
      <c r="Q1" s="102" t="s">
        <v>273</v>
      </c>
      <c r="R1" s="102" t="s">
        <v>225</v>
      </c>
      <c r="S1" s="102" t="s">
        <v>226</v>
      </c>
      <c r="T1" s="102" t="s">
        <v>227</v>
      </c>
      <c r="U1" s="102" t="s">
        <v>228</v>
      </c>
    </row>
    <row r="2" spans="1:21">
      <c r="A2" s="83">
        <f>floors!$C$2</f>
        <v>60005</v>
      </c>
      <c r="B2" s="84" t="str">
        <f ca="1">VLOOKUP($A2,OFFSET([2]quests!$A$1,0,0,COUNTA([2]quests!$A:$A),MATCH(B$1,[2]quests!$1:$1,0)-MATCH($A$1,[2]quests!$1:$1,0)+1),MATCH(B$1,[2]quests!$1:$1,0)-MATCH($A$1,[2]quests!$1:$1,0)+1,FALSE)</f>
        <v>オイラーチャレンジ</v>
      </c>
      <c r="C2" s="84" t="str">
        <f ca="1">VLOOKUP($A2,OFFSET([2]quests!$A$1,0,0,COUNTA([2]quests!$A:$A),MATCH(C$1,[2]quests!$1:$1,0)-MATCH($A$1,[2]quests!$1:$1,0)+1),MATCH(C$1,[2]quests!$1:$1,0)-MATCH($A$1,[2]quests!$1:$1,0)+1,FALSE)</f>
        <v>ランキング1</v>
      </c>
      <c r="D2" s="85">
        <v>1</v>
      </c>
      <c r="E2" s="86">
        <v>1</v>
      </c>
      <c r="F2" s="103" t="str">
        <f>A2&amp;TEXT(E2,"0000")</f>
        <v>600050001</v>
      </c>
      <c r="G2" t="str">
        <f>F2&amp;TEXT(COUNTIF(F$2:F2,F2),"00")</f>
        <v>60005000101</v>
      </c>
      <c r="H2" s="105" t="s">
        <v>295</v>
      </c>
      <c r="I2" s="105">
        <v>100</v>
      </c>
      <c r="J2" s="105">
        <v>1</v>
      </c>
      <c r="K2" s="105">
        <v>0</v>
      </c>
      <c r="L2" s="105">
        <v>0</v>
      </c>
      <c r="M2" s="105">
        <v>0</v>
      </c>
      <c r="N2" s="105">
        <v>0</v>
      </c>
      <c r="O2" s="105">
        <v>1</v>
      </c>
      <c r="P2" s="105">
        <v>1</v>
      </c>
      <c r="Q2" s="105">
        <v>1</v>
      </c>
      <c r="R2" s="105" t="s">
        <v>230</v>
      </c>
      <c r="S2" s="105" t="s">
        <v>297</v>
      </c>
      <c r="T2" s="105"/>
      <c r="U2" s="106"/>
    </row>
    <row r="3" spans="1:21">
      <c r="A3" s="83">
        <f>floors!$C$2</f>
        <v>60005</v>
      </c>
      <c r="B3" s="84" t="str">
        <f ca="1">VLOOKUP($A3,OFFSET([2]quests!$A$1,0,0,COUNTA([2]quests!$A:$A),MATCH(B$1,[2]quests!$1:$1,0)-MATCH($A$1,[2]quests!$1:$1,0)+1),MATCH(B$1,[2]quests!$1:$1,0)-MATCH($A$1,[2]quests!$1:$1,0)+1,FALSE)</f>
        <v>オイラーチャレンジ</v>
      </c>
      <c r="C3" s="84" t="str">
        <f ca="1">VLOOKUP($A3,OFFSET([2]quests!$A$1,0,0,COUNTA([2]quests!$A:$A),MATCH(C$1,[2]quests!$1:$1,0)-MATCH($A$1,[2]quests!$1:$1,0)+1),MATCH(C$1,[2]quests!$1:$1,0)-MATCH($A$1,[2]quests!$1:$1,0)+1,FALSE)</f>
        <v>ランキング1</v>
      </c>
      <c r="D3" s="85">
        <v>2</v>
      </c>
      <c r="E3" s="86">
        <v>3</v>
      </c>
      <c r="F3" s="103" t="str">
        <f>A3&amp;TEXT(E3,"0000")</f>
        <v>600050003</v>
      </c>
      <c r="G3" t="str">
        <f>F3&amp;TEXT(COUNTIF(F$2:F3,F3),"00")</f>
        <v>60005000301</v>
      </c>
      <c r="H3" s="105" t="s">
        <v>296</v>
      </c>
      <c r="I3" s="105">
        <v>100</v>
      </c>
      <c r="J3" s="105">
        <v>1</v>
      </c>
      <c r="K3" s="105">
        <v>0</v>
      </c>
      <c r="L3" s="105">
        <v>0</v>
      </c>
      <c r="M3" s="105">
        <v>0</v>
      </c>
      <c r="N3" s="105">
        <v>0</v>
      </c>
      <c r="O3" s="105">
        <v>1</v>
      </c>
      <c r="P3" s="105">
        <v>1</v>
      </c>
      <c r="Q3" s="105">
        <v>1</v>
      </c>
      <c r="R3" s="105" t="s">
        <v>230</v>
      </c>
      <c r="S3" s="105" t="s">
        <v>298</v>
      </c>
      <c r="T3" s="105"/>
      <c r="U3" s="106"/>
    </row>
    <row r="4" spans="1:21">
      <c r="A4" s="83">
        <f>floors!$C$2</f>
        <v>60005</v>
      </c>
      <c r="B4" s="84" t="str">
        <f ca="1">VLOOKUP($A4,OFFSET([2]quests!$A$1,0,0,COUNTA([2]quests!$A:$A),MATCH(B$1,[2]quests!$1:$1,0)-MATCH($A$1,[2]quests!$1:$1,0)+1),MATCH(B$1,[2]quests!$1:$1,0)-MATCH($A$1,[2]quests!$1:$1,0)+1,FALSE)</f>
        <v>オイラーチャレンジ</v>
      </c>
      <c r="C4" s="84" t="str">
        <f ca="1">VLOOKUP($A4,OFFSET([2]quests!$A$1,0,0,COUNTA([2]quests!$A:$A),MATCH(C$1,[2]quests!$1:$1,0)-MATCH($A$1,[2]quests!$1:$1,0)+1),MATCH(C$1,[2]quests!$1:$1,0)-MATCH($A$1,[2]quests!$1:$1,0)+1,FALSE)</f>
        <v>ランキング1</v>
      </c>
      <c r="D4" s="85">
        <v>1</v>
      </c>
      <c r="E4" s="86">
        <v>1</v>
      </c>
      <c r="F4" s="103" t="str">
        <f>A4&amp;TEXT(E4,"0000")</f>
        <v>600050001</v>
      </c>
      <c r="G4" t="str">
        <f>F4&amp;TEXT(COUNTIF(F$2:F4,F4),"00")</f>
        <v>60005000102</v>
      </c>
      <c r="H4" s="105" t="s">
        <v>295</v>
      </c>
      <c r="I4" s="105">
        <v>50</v>
      </c>
      <c r="J4" s="105">
        <v>1</v>
      </c>
      <c r="K4" s="105">
        <v>0</v>
      </c>
      <c r="L4" s="105">
        <v>0</v>
      </c>
      <c r="M4" s="105">
        <v>0</v>
      </c>
      <c r="N4" s="105">
        <v>0</v>
      </c>
      <c r="O4" s="105">
        <v>1</v>
      </c>
      <c r="P4" s="105">
        <v>1</v>
      </c>
      <c r="Q4" s="105">
        <v>1</v>
      </c>
      <c r="R4" s="105" t="s">
        <v>230</v>
      </c>
      <c r="S4" s="105" t="s">
        <v>299</v>
      </c>
      <c r="T4" s="105"/>
      <c r="U4" s="106"/>
    </row>
    <row r="5" spans="1:21">
      <c r="A5" s="83">
        <f>floors!$C$2</f>
        <v>60005</v>
      </c>
      <c r="B5" s="84" t="str">
        <f ca="1">VLOOKUP($A5,OFFSET([2]quests!$A$1,0,0,COUNTA([2]quests!$A:$A),MATCH(B$1,[2]quests!$1:$1,0)-MATCH($A$1,[2]quests!$1:$1,0)+1),MATCH(B$1,[2]quests!$1:$1,0)-MATCH($A$1,[2]quests!$1:$1,0)+1,FALSE)</f>
        <v>オイラーチャレンジ</v>
      </c>
      <c r="C5" s="84" t="str">
        <f ca="1">VLOOKUP($A5,OFFSET([2]quests!$A$1,0,0,COUNTA([2]quests!$A:$A),MATCH(C$1,[2]quests!$1:$1,0)-MATCH($A$1,[2]quests!$1:$1,0)+1),MATCH(C$1,[2]quests!$1:$1,0)-MATCH($A$1,[2]quests!$1:$1,0)+1,FALSE)</f>
        <v>ランキング1</v>
      </c>
      <c r="D5" s="85">
        <v>4</v>
      </c>
      <c r="E5" s="86">
        <v>4</v>
      </c>
      <c r="F5" s="103" t="str">
        <f>A5&amp;TEXT(E5,"0000")</f>
        <v>600050004</v>
      </c>
      <c r="G5" t="str">
        <f>F5&amp;TEXT(COUNTIF(F$2:F5,F5),"00")</f>
        <v>60005000401</v>
      </c>
      <c r="H5" s="105" t="s">
        <v>296</v>
      </c>
      <c r="I5" s="105">
        <v>50</v>
      </c>
      <c r="J5" s="105">
        <v>1</v>
      </c>
      <c r="K5" s="105">
        <v>0</v>
      </c>
      <c r="L5" s="105">
        <v>0</v>
      </c>
      <c r="M5" s="105">
        <v>0</v>
      </c>
      <c r="N5" s="105">
        <v>0</v>
      </c>
      <c r="O5" s="105">
        <v>1</v>
      </c>
      <c r="P5" s="105">
        <v>1</v>
      </c>
      <c r="Q5" s="105">
        <v>1</v>
      </c>
      <c r="R5" s="105" t="s">
        <v>230</v>
      </c>
      <c r="S5" s="105" t="s">
        <v>300</v>
      </c>
      <c r="T5" s="105"/>
      <c r="U5" s="106"/>
    </row>
    <row r="6" spans="1:21">
      <c r="A6" s="83">
        <f>floors!$C$2</f>
        <v>60005</v>
      </c>
      <c r="B6" s="84" t="str">
        <f ca="1">VLOOKUP($A6,OFFSET([2]quests!$A$1,0,0,COUNTA([2]quests!$A:$A),MATCH(B$1,[2]quests!$1:$1,0)-MATCH($A$1,[2]quests!$1:$1,0)+1),MATCH(B$1,[2]quests!$1:$1,0)-MATCH($A$1,[2]quests!$1:$1,0)+1,FALSE)</f>
        <v>オイラーチャレンジ</v>
      </c>
      <c r="C6" s="84" t="str">
        <f ca="1">VLOOKUP($A6,OFFSET([2]quests!$A$1,0,0,COUNTA([2]quests!$A:$A),MATCH(C$1,[2]quests!$1:$1,0)-MATCH($A$1,[2]quests!$1:$1,0)+1),MATCH(C$1,[2]quests!$1:$1,0)-MATCH($A$1,[2]quests!$1:$1,0)+1,FALSE)</f>
        <v>ランキング1</v>
      </c>
      <c r="D6" s="85">
        <v>5</v>
      </c>
      <c r="E6" s="86">
        <v>5</v>
      </c>
      <c r="F6" s="103" t="str">
        <f>A6&amp;TEXT(E6,"0000")</f>
        <v>600050005</v>
      </c>
      <c r="G6" t="str">
        <f>F6&amp;TEXT(COUNTIF(F$2:F6,F6),"00")</f>
        <v>60005000501</v>
      </c>
      <c r="H6" s="105" t="s">
        <v>295</v>
      </c>
      <c r="I6" s="105">
        <v>10</v>
      </c>
      <c r="J6" s="105">
        <v>1</v>
      </c>
      <c r="K6" s="105">
        <v>0</v>
      </c>
      <c r="L6" s="105">
        <v>0</v>
      </c>
      <c r="M6" s="105">
        <v>0</v>
      </c>
      <c r="N6" s="105">
        <v>0</v>
      </c>
      <c r="O6" s="105">
        <v>1</v>
      </c>
      <c r="P6" s="105">
        <v>1</v>
      </c>
      <c r="Q6" s="105">
        <v>1</v>
      </c>
      <c r="R6" s="105" t="s">
        <v>230</v>
      </c>
      <c r="S6" s="105" t="s">
        <v>301</v>
      </c>
      <c r="T6" s="105"/>
      <c r="U6" s="106"/>
    </row>
    <row r="7" spans="1:21">
      <c r="A7" s="83">
        <f>floors!$C$2</f>
        <v>60005</v>
      </c>
      <c r="B7" s="84" t="str">
        <f ca="1">VLOOKUP($A7,OFFSET([2]quests!$A$1,0,0,COUNTA([2]quests!$A:$A),MATCH(B$1,[2]quests!$1:$1,0)-MATCH($A$1,[2]quests!$1:$1,0)+1),MATCH(B$1,[2]quests!$1:$1,0)-MATCH($A$1,[2]quests!$1:$1,0)+1,FALSE)</f>
        <v>オイラーチャレンジ</v>
      </c>
      <c r="C7" s="84" t="str">
        <f ca="1">VLOOKUP($A7,OFFSET([2]quests!$A$1,0,0,COUNTA([2]quests!$A:$A),MATCH(C$1,[2]quests!$1:$1,0)-MATCH($A$1,[2]quests!$1:$1,0)+1),MATCH(C$1,[2]quests!$1:$1,0)-MATCH($A$1,[2]quests!$1:$1,0)+1,FALSE)</f>
        <v>ランキング1</v>
      </c>
      <c r="D7" s="85">
        <v>6</v>
      </c>
      <c r="E7" s="86">
        <v>7</v>
      </c>
      <c r="F7" s="103" t="str">
        <f>A7&amp;TEXT(E7,"0000")</f>
        <v>600050007</v>
      </c>
      <c r="G7" t="str">
        <f>F7&amp;TEXT(COUNTIF(F$2:F7,F7),"00")</f>
        <v>60005000701</v>
      </c>
      <c r="H7" s="105" t="s">
        <v>296</v>
      </c>
      <c r="I7" s="105">
        <v>10</v>
      </c>
      <c r="J7" s="105">
        <v>1</v>
      </c>
      <c r="K7" s="105">
        <v>0</v>
      </c>
      <c r="L7" s="105">
        <v>0</v>
      </c>
      <c r="M7" s="105">
        <v>0</v>
      </c>
      <c r="N7" s="105">
        <v>0</v>
      </c>
      <c r="O7" s="105">
        <v>1</v>
      </c>
      <c r="P7" s="105">
        <v>1</v>
      </c>
      <c r="Q7" s="105">
        <v>1</v>
      </c>
      <c r="R7" s="105" t="s">
        <v>230</v>
      </c>
      <c r="S7" s="105" t="s">
        <v>302</v>
      </c>
      <c r="T7" s="105"/>
      <c r="U7" s="106"/>
    </row>
  </sheetData>
  <phoneticPr fontId="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9"/>
  <sheetViews>
    <sheetView showGridLines="0" workbookViewId="0">
      <pane xSplit="17" ySplit="1" topLeftCell="W2" activePane="bottomRight" state="frozen"/>
      <selection pane="topRight" activeCell="N1" sqref="N1"/>
      <selection pane="bottomLeft" activeCell="A2" sqref="A2"/>
      <selection pane="bottomRight" activeCell="AG9" sqref="AG9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>
      <c r="A2" s="16" t="str">
        <f t="shared" ref="A2:A9" ca="1" si="0">B2&amp;"_"&amp;C2&amp;"-"&amp;G2&amp;"/"&amp;L2&amp;"&lt;lv"&amp;R2&amp;"&gt;s"&amp;AA2</f>
        <v>60005_1-1/241&lt;lv40&gt;s3</v>
      </c>
      <c r="B2" s="22">
        <v>60005</v>
      </c>
      <c r="C2" s="21">
        <v>1</v>
      </c>
      <c r="D2" s="2" t="str">
        <f t="shared" ref="D2:D9" si="1">B2&amp;"_"&amp;C2</f>
        <v>60005_1</v>
      </c>
      <c r="E2" s="4" t="str">
        <f ca="1">VLOOKUP($B2,OFFSET([2]quests!$A$1,0,0,COUNTA([2]quests!$A:$A),MATCH(E$1,[2]quests!$1:$1,0)-MATCH($B$1,[2]quests!$1:$1,0)+1),MATCH(E$1,[2]quests!$1:$1,0)-MATCH($B$1,[2]quests!$1:$1,0)+1,FALSE)</f>
        <v>オイラーチャレンジ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[ウィザード] 第5回　</v>
      </c>
      <c r="G2" s="21">
        <v>1</v>
      </c>
      <c r="H2" s="15" t="str">
        <f t="shared" ref="H2:H9" si="2">B2&amp;"_"&amp;C2&amp;"-"&amp;G2</f>
        <v>60005_1-1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241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ガブリエル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40</v>
      </c>
      <c r="S2" s="25">
        <v>1</v>
      </c>
      <c r="T2" s="25">
        <v>1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v>0</v>
      </c>
      <c r="X2" s="6">
        <v>1</v>
      </c>
      <c r="Y2" s="6">
        <v>100</v>
      </c>
      <c r="Z2" s="6">
        <v>1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 t="shared" ref="AB2:AB9" si="3">L2</f>
        <v>241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ガブリエル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" s="7">
        <v>1</v>
      </c>
      <c r="AG2" s="24">
        <f t="shared" ref="AG2:AG9" ca="1" si="4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>
      <c r="A3" s="16" t="str">
        <f t="shared" ca="1" si="0"/>
        <v>60005_1-1/35&lt;lv40&gt;s4</v>
      </c>
      <c r="B3" s="22">
        <v>60005</v>
      </c>
      <c r="C3" s="21">
        <v>1</v>
      </c>
      <c r="D3" s="2" t="str">
        <f t="shared" si="1"/>
        <v>60005_1</v>
      </c>
      <c r="E3" s="4" t="str">
        <f ca="1">VLOOKUP($B3,OFFSET([2]quests!$A$1,0,0,COUNTA([2]quests!$A:$A),MATCH(E$1,[2]quests!$1:$1,0)-MATCH($B$1,[2]quests!$1:$1,0)+1),MATCH(E$1,[2]quests!$1:$1,0)-MATCH($B$1,[2]quests!$1:$1,0)+1,FALSE)</f>
        <v>オイラーチャレンジ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[ウィザード] 第5回　</v>
      </c>
      <c r="G3" s="21">
        <v>1</v>
      </c>
      <c r="H3" s="15" t="str">
        <f t="shared" si="2"/>
        <v>60005_1-1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35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F2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40</v>
      </c>
      <c r="S3" s="25">
        <v>1</v>
      </c>
      <c r="T3" s="25">
        <v>1</v>
      </c>
      <c r="U3" s="5">
        <v>0</v>
      </c>
      <c r="V3" s="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4">
        <v>0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4</v>
      </c>
      <c r="AB3" s="24">
        <f t="shared" si="3"/>
        <v>35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F2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7">
        <v>1</v>
      </c>
      <c r="AG3" s="24">
        <f t="shared" ca="1" si="4"/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>
      <c r="A4" s="16" t="str">
        <f t="shared" ca="1" si="0"/>
        <v>60005_1-2/241&lt;lv40&gt;s3</v>
      </c>
      <c r="B4" s="22">
        <v>60005</v>
      </c>
      <c r="C4" s="21">
        <v>1</v>
      </c>
      <c r="D4" s="2" t="str">
        <f t="shared" si="1"/>
        <v>60005_1</v>
      </c>
      <c r="E4" s="4" t="str">
        <f ca="1">VLOOKUP($B4,OFFSET([2]quests!$A$1,0,0,COUNTA([2]quests!$A:$A),MATCH(E$1,[2]quests!$1:$1,0)-MATCH($B$1,[2]quests!$1:$1,0)+1),MATCH(E$1,[2]quests!$1:$1,0)-MATCH($B$1,[2]quests!$1:$1,0)+1,FALSE)</f>
        <v>オイラーチャレンジ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[ウィザード] 第5回　</v>
      </c>
      <c r="G4" s="21">
        <v>2</v>
      </c>
      <c r="H4" s="15" t="str">
        <f t="shared" si="2"/>
        <v>60005_1-2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241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ガブリエル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40</v>
      </c>
      <c r="S4" s="25">
        <v>1</v>
      </c>
      <c r="T4" s="25">
        <v>1</v>
      </c>
      <c r="U4" s="5">
        <v>0</v>
      </c>
      <c r="V4" s="4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4">
        <v>0</v>
      </c>
      <c r="X4" s="6">
        <v>0</v>
      </c>
      <c r="Y4" s="6">
        <v>10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 t="shared" si="3"/>
        <v>241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ガブリエル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7">
        <v>1</v>
      </c>
      <c r="AG4" s="24">
        <f t="shared" ca="1" si="4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>
      <c r="A5" s="16" t="str">
        <f t="shared" ca="1" si="0"/>
        <v>60005_1-2/35&lt;lv40&gt;s4</v>
      </c>
      <c r="B5" s="22">
        <v>60005</v>
      </c>
      <c r="C5" s="21">
        <v>1</v>
      </c>
      <c r="D5" s="2" t="str">
        <f t="shared" si="1"/>
        <v>60005_1</v>
      </c>
      <c r="E5" s="4" t="str">
        <f ca="1">VLOOKUP($B5,OFFSET([2]quests!$A$1,0,0,COUNTA([2]quests!$A:$A),MATCH(E$1,[2]quests!$1:$1,0)-MATCH($B$1,[2]quests!$1:$1,0)+1),MATCH(E$1,[2]quests!$1:$1,0)-MATCH($B$1,[2]quests!$1:$1,0)+1,FALSE)</f>
        <v>オイラーチャレンジ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[ウィザード] 第5回　</v>
      </c>
      <c r="G5" s="21">
        <v>2</v>
      </c>
      <c r="H5" s="15" t="str">
        <f t="shared" si="2"/>
        <v>60005_1-2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35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F2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40</v>
      </c>
      <c r="S5" s="25">
        <v>1</v>
      </c>
      <c r="T5" s="25">
        <v>1</v>
      </c>
      <c r="U5" s="5">
        <v>0</v>
      </c>
      <c r="V5" s="4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4">
        <v>0</v>
      </c>
      <c r="X5" s="6">
        <v>0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4</v>
      </c>
      <c r="AB5" s="24">
        <f t="shared" si="3"/>
        <v>35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F2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7">
        <v>1</v>
      </c>
      <c r="AG5" s="24">
        <f t="shared" ca="1" si="4"/>
        <v>2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>
      <c r="A6" s="16" t="str">
        <f t="shared" ca="1" si="0"/>
        <v>60005_1-3/241&lt;lv40&gt;s3</v>
      </c>
      <c r="B6" s="22">
        <v>60005</v>
      </c>
      <c r="C6" s="21">
        <v>1</v>
      </c>
      <c r="D6" s="2" t="str">
        <f t="shared" si="1"/>
        <v>60005_1</v>
      </c>
      <c r="E6" s="4" t="str">
        <f ca="1">VLOOKUP($B6,OFFSET([2]quests!$A$1,0,0,COUNTA([2]quests!$A:$A),MATCH(E$1,[2]quests!$1:$1,0)-MATCH($B$1,[2]quests!$1:$1,0)+1),MATCH(E$1,[2]quests!$1:$1,0)-MATCH($B$1,[2]quests!$1:$1,0)+1,FALSE)</f>
        <v>オイラーチャレンジ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[ウィザード] 第5回　</v>
      </c>
      <c r="G6" s="21">
        <v>3</v>
      </c>
      <c r="H6" s="15" t="str">
        <f t="shared" si="2"/>
        <v>60005_1-3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241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ガブリエル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40</v>
      </c>
      <c r="S6" s="25">
        <v>1</v>
      </c>
      <c r="T6" s="25">
        <v>1</v>
      </c>
      <c r="U6" s="5">
        <v>0</v>
      </c>
      <c r="V6" s="4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4">
        <v>0</v>
      </c>
      <c r="X6" s="6">
        <v>0</v>
      </c>
      <c r="Y6" s="6">
        <v>10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24">
        <f t="shared" si="3"/>
        <v>241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ガブリエル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4">
        <f t="shared" ca="1" si="4"/>
        <v>3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>
      <c r="A7" s="16" t="str">
        <f t="shared" ca="1" si="0"/>
        <v>60005_1-3/35&lt;lv40&gt;s4</v>
      </c>
      <c r="B7" s="22">
        <v>60005</v>
      </c>
      <c r="C7" s="21">
        <v>1</v>
      </c>
      <c r="D7" s="2" t="str">
        <f t="shared" si="1"/>
        <v>60005_1</v>
      </c>
      <c r="E7" s="4" t="str">
        <f ca="1">VLOOKUP($B7,OFFSET([2]quests!$A$1,0,0,COUNTA([2]quests!$A:$A),MATCH(E$1,[2]quests!$1:$1,0)-MATCH($B$1,[2]quests!$1:$1,0)+1),MATCH(E$1,[2]quests!$1:$1,0)-MATCH($B$1,[2]quests!$1:$1,0)+1,FALSE)</f>
        <v>オイラーチャレンジ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[ウィザード] 第5回　</v>
      </c>
      <c r="G7" s="21">
        <v>3</v>
      </c>
      <c r="H7" s="15" t="str">
        <f t="shared" si="2"/>
        <v>60005_1-3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35</v>
      </c>
      <c r="M7" s="17" t="str">
        <f ca="1">VLOOKUP($L7,OFFSET([3]enemies!$A$1,0,0,COUNTA([3]enemies!$A:$A),MATCH(M$1,[3]enemies!$1:$1,0)-MATCH($L$1,[3]enemies!$1:$1,0)+1),MATCH(M$1,[3]enemies!$1:$1,0)-MATCH($L$1,[3]enemies!$1:$1,0)+1,FALSE)</f>
        <v>F2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40</v>
      </c>
      <c r="S7" s="25">
        <v>1</v>
      </c>
      <c r="T7" s="25">
        <v>1</v>
      </c>
      <c r="U7" s="5">
        <v>0</v>
      </c>
      <c r="V7" s="4" t="e">
        <f ca="1">VLOOKUP($W7,OFFSET(enemy_skill_sets!$B$1,0,0,COUNTA(enemy_skill_sets!$B:$B),MATCH(M$1,enemy_skill_sets!$1:$1,0)-MATCH($W$1,enemy_skill_sets!$1:$1,0)+2),MATCH(M$1,enemy_skill_sets!$1:$1,0)-MATCH($W$1,enemy_skill_sets!$1:$1,0)+2,FALSE)</f>
        <v>#N/A</v>
      </c>
      <c r="W7" s="4">
        <v>0</v>
      </c>
      <c r="X7" s="6">
        <v>0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4</v>
      </c>
      <c r="AB7" s="24">
        <f t="shared" si="3"/>
        <v>35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F2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7">
        <v>1</v>
      </c>
      <c r="AG7" s="24">
        <f t="shared" ca="1" si="4"/>
        <v>2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>
      <c r="A8" s="16" t="str">
        <f t="shared" ca="1" si="0"/>
        <v>60005_1-3/28&lt;lv40&gt;s1</v>
      </c>
      <c r="B8" s="22">
        <v>60005</v>
      </c>
      <c r="C8" s="21">
        <v>1</v>
      </c>
      <c r="D8" s="2" t="str">
        <f t="shared" si="1"/>
        <v>60005_1</v>
      </c>
      <c r="E8" s="4" t="str">
        <f ca="1">VLOOKUP($B8,OFFSET([2]quests!$A$1,0,0,COUNTA([2]quests!$A:$A),MATCH(E$1,[2]quests!$1:$1,0)-MATCH($B$1,[2]quests!$1:$1,0)+1),MATCH(E$1,[2]quests!$1:$1,0)-MATCH($B$1,[2]quests!$1:$1,0)+1,FALSE)</f>
        <v>オイラーチャレンジ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[ウィザード] 第5回　</v>
      </c>
      <c r="G8" s="21">
        <v>3</v>
      </c>
      <c r="H8" s="15" t="str">
        <f t="shared" si="2"/>
        <v>60005_1-3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28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現場急行 パトラインカスタム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40</v>
      </c>
      <c r="S8" s="25">
        <v>1</v>
      </c>
      <c r="T8" s="25">
        <v>1</v>
      </c>
      <c r="U8" s="5">
        <v>0</v>
      </c>
      <c r="V8" s="4" t="e">
        <f ca="1">VLOOKUP($W8,OFFSET(enemy_skill_sets!$B$1,0,0,COUNTA(enemy_skill_sets!$B:$B),MATCH(M$1,enemy_skill_sets!$1:$1,0)-MATCH($W$1,enemy_skill_sets!$1:$1,0)+2),MATCH(M$1,enemy_skill_sets!$1:$1,0)-MATCH($W$1,enemy_skill_sets!$1:$1,0)+2,FALSE)</f>
        <v>#N/A</v>
      </c>
      <c r="W8" s="4">
        <v>0</v>
      </c>
      <c r="X8" s="6">
        <v>0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1</v>
      </c>
      <c r="AB8" s="24">
        <f t="shared" si="3"/>
        <v>28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7">
        <v>1</v>
      </c>
      <c r="AG8" s="24">
        <f t="shared" ca="1" si="4"/>
        <v>2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>
      <c r="A9" s="16" t="str">
        <f t="shared" ca="1" si="0"/>
        <v>60005_1-4/378&lt;lv40&gt;s3</v>
      </c>
      <c r="B9" s="22">
        <v>60005</v>
      </c>
      <c r="C9" s="21">
        <v>1</v>
      </c>
      <c r="D9" s="2" t="str">
        <f t="shared" si="1"/>
        <v>60005_1</v>
      </c>
      <c r="E9" s="4" t="str">
        <f ca="1">VLOOKUP($B9,OFFSET([2]quests!$A$1,0,0,COUNTA([2]quests!$A:$A),MATCH(E$1,[2]quests!$1:$1,0)-MATCH($B$1,[2]quests!$1:$1,0)+1),MATCH(E$1,[2]quests!$1:$1,0)-MATCH($B$1,[2]quests!$1:$1,0)+1,FALSE)</f>
        <v>オイラーチャレンジ</v>
      </c>
      <c r="F9" s="4" t="str">
        <f ca="1">VLOOKUP($D9,OFFSET([2]stages!$A$1,0,0,COUNTA([2]stages!$A:$A),MATCH(F$1,[2]stages!$2:$2,0)-MATCH($D$1,[2]stages!$2:$2,0)+1),MATCH(F$1,[2]stages!$2:$2,0)-MATCH($D$1,[2]stages!$2:$2,0)+1,FALSE)</f>
        <v>[ウィザード] 第5回　</v>
      </c>
      <c r="G9" s="21">
        <v>4</v>
      </c>
      <c r="H9" s="15" t="str">
        <f t="shared" si="2"/>
        <v>60005_1-4</v>
      </c>
      <c r="I9" s="4">
        <f ca="1">VLOOKUP($H9,OFFSET(floors!$A$1,0,0,COUNTA(floors!$A:$A),MATCH(I$1,floors!$1:$1,0)-MATCH($H$1,floors!$1:$1,0)+1),MATCH(I$1,floors!$1:$1,0)-MATCH($H$1,floors!$1:$1,0)+1,FALSE)</f>
        <v>30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20">
        <v>378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オイラー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40</v>
      </c>
      <c r="S9" s="25">
        <v>1</v>
      </c>
      <c r="T9" s="25">
        <v>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オイラーは張り切っている</v>
      </c>
      <c r="W9" s="47">
        <v>60005100</v>
      </c>
      <c r="X9" s="6">
        <v>1</v>
      </c>
      <c r="Y9" s="6">
        <v>100</v>
      </c>
      <c r="Z9" s="6">
        <v>1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24">
        <f t="shared" si="3"/>
        <v>378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オイラー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9" s="7">
        <v>1</v>
      </c>
      <c r="AG9" s="24">
        <f t="shared" ca="1" si="4"/>
        <v>4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</sheetData>
  <sheetProtection selectLockedCells="1" selectUnlockedCells="1"/>
  <autoFilter ref="B1:AH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W2" sqref="W2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60005_1-4/379&lt;lv40&gt;sq1st2</v>
      </c>
      <c r="B2" s="22">
        <v>60005</v>
      </c>
      <c r="C2" s="21">
        <v>1</v>
      </c>
      <c r="D2" s="2" t="str">
        <f>B2&amp;"_"&amp;C2</f>
        <v>60005_1</v>
      </c>
      <c r="E2" s="4" t="str">
        <f ca="1">VLOOKUP($B2,OFFSET([2]quests!$A$1,0,0,COUNTA([2]quests!$A:$A),MATCH(E$1,[2]quests!$1:$1,0)-MATCH($B$1,[2]quests!$1:$1,0)+1),MATCH(E$1,[2]quests!$1:$1,0)-MATCH($B$1,[2]quests!$1:$1,0)+1,FALSE)</f>
        <v>オイラーチャレンジ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[ウィザード] 第5回　</v>
      </c>
      <c r="G2" s="21">
        <v>4</v>
      </c>
      <c r="H2" s="15" t="str">
        <f>B2&amp;"_"&amp;C2&amp;"-"&amp;G2</f>
        <v>60005_1-4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379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幾何の機刃 オイラー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40</v>
      </c>
      <c r="T2" s="25">
        <v>1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7">
        <v>60005100</v>
      </c>
      <c r="Y2" s="70">
        <f ca="1">VLOOKUP($M2,OFFSET([3]enemies!$A$1,0,0,COUNTA([3]enemies!$A:$A),MATCH(Y$1,[3]enemies!$1:$1,0)-MATCH($M$1,[3]enemies!$1:$1,0)+1),MATCH(Y$1,[3]enemies!$1:$1,0)-MATCH($M$1,[3]enemies!$1:$1,0)+1,FALSE)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"/>
  <sheetViews>
    <sheetView showGridLines="0" workbookViewId="0">
      <pane xSplit="5" ySplit="1" topLeftCell="G2" activePane="bottomRight" state="frozen"/>
      <selection pane="topRight"/>
      <selection pane="bottomLeft"/>
      <selection pane="bottomRight" activeCell="G2" sqref="G2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60005100_60005100</v>
      </c>
      <c r="B2" s="47">
        <v>60005100</v>
      </c>
      <c r="C2" s="47">
        <v>60005100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さぁ、派手にかますわよ！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オイラーは張り切っている</v>
      </c>
      <c r="F2" s="47">
        <v>60005100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"/>
  <sheetViews>
    <sheetView showGridLines="0" workbookViewId="0">
      <pane ySplit="1" topLeftCell="A2" activePane="bottomLeft" state="frozenSplit"/>
      <selection pane="bottomLeft" activeCell="C3" sqref="C3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>
      <c r="A2" s="47">
        <v>60005100</v>
      </c>
      <c r="B2" s="47" t="s">
        <v>274</v>
      </c>
      <c r="C2" s="50">
        <v>3</v>
      </c>
      <c r="D2" s="50" t="s">
        <v>128</v>
      </c>
      <c r="E2" s="51" t="s">
        <v>275</v>
      </c>
      <c r="F2" s="51" t="s">
        <v>276</v>
      </c>
      <c r="G2" s="63" t="str">
        <f>IFERROR(LEFT(B2,FIND("],",B2)),B2)</f>
        <v xml:space="preserve">[effect:nothing]    </v>
      </c>
      <c r="H2" s="63">
        <f>FIND("effect:",G2)+7</f>
        <v>9</v>
      </c>
      <c r="I2" s="63">
        <f>IFERROR(FIND(",",G2),LEN(G2))</f>
        <v>20</v>
      </c>
      <c r="J2" s="63" t="e">
        <f>FIND("target:",G2)+7</f>
        <v>#VALUE!</v>
      </c>
      <c r="K2" s="63" t="e">
        <f>FIND(",",G2,I2+1)</f>
        <v>#VALUE!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</sheetData>
  <autoFilter ref="A1:AB1"/>
  <phoneticPr fontId="6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workbookViewId="0">
      <pane ySplit="1" topLeftCell="A2" activePane="bottomLeft" state="frozenSplit"/>
      <selection pane="bottomLeft" activeCell="I2" sqref="I2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47">
        <v>60005100</v>
      </c>
      <c r="B2" s="47">
        <v>1</v>
      </c>
      <c r="C2" s="47" t="s">
        <v>89</v>
      </c>
      <c r="D2" s="47">
        <v>100</v>
      </c>
      <c r="E2" s="47" t="s">
        <v>277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</sheetData>
  <autoFilter ref="A1:G1"/>
  <phoneticPr fontId="6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8" x14ac:dyDescent="0"/>
  <cols>
    <col min="17" max="18" width="19" bestFit="1" customWidth="1"/>
  </cols>
  <sheetData>
    <row r="1" spans="1:18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>
      <c r="A2" s="57">
        <f>floors!C2</f>
        <v>60005</v>
      </c>
      <c r="B2" s="57">
        <v>1</v>
      </c>
      <c r="C2" s="71" t="str">
        <f>A2&amp; "_"&amp;B2</f>
        <v>60005_1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6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workbookViewId="0">
      <pane ySplit="1" topLeftCell="A2" activePane="bottomLeft" state="frozen"/>
      <selection pane="bottomLeft" activeCell="J32" sqref="J32"/>
    </sheetView>
  </sheetViews>
  <sheetFormatPr baseColWidth="12" defaultColWidth="13" defaultRowHeight="18" outlineLevelCol="1" x14ac:dyDescent="0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>
      <c r="A1" s="77" t="s">
        <v>189</v>
      </c>
      <c r="B1" s="73" t="s">
        <v>190</v>
      </c>
      <c r="C1" s="78" t="s">
        <v>191</v>
      </c>
      <c r="D1" s="78" t="s">
        <v>33</v>
      </c>
      <c r="E1" s="73" t="s">
        <v>192</v>
      </c>
      <c r="F1" s="78" t="s">
        <v>193</v>
      </c>
      <c r="G1" s="78" t="s">
        <v>33</v>
      </c>
      <c r="H1" s="73" t="s">
        <v>194</v>
      </c>
      <c r="I1" s="93" t="s">
        <v>196</v>
      </c>
      <c r="J1" s="80" t="s">
        <v>127</v>
      </c>
      <c r="K1" s="79" t="s">
        <v>188</v>
      </c>
      <c r="L1" s="94" t="s">
        <v>187</v>
      </c>
      <c r="M1" s="81" t="s">
        <v>197</v>
      </c>
    </row>
    <row r="2" spans="1:13">
      <c r="A2" s="82" t="s">
        <v>202</v>
      </c>
      <c r="B2" s="83">
        <f>floors!$C$2</f>
        <v>60005</v>
      </c>
      <c r="C2" s="84" t="str">
        <f ca="1">VLOOKUP($B2,OFFSET([2]quests!$A$1,0,0,COUNTA([2]quests!$A:$A),MATCH(C$1,[2]quests!$1:$1,0)-MATCH($B$1,[2]quests!$1:$1,0)+1),MATCH(C$1,[2]quests!$1:$1,0)-MATCH($B$1,[2]quests!$1:$1,0)+1,FALSE)</f>
        <v>オイラーチャレンジ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ランキング1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[ウィザード] 第5回　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ランキング1</v>
      </c>
      <c r="H2" s="86">
        <v>0</v>
      </c>
      <c r="I2">
        <v>1</v>
      </c>
      <c r="J2" s="85" t="s">
        <v>199</v>
      </c>
      <c r="K2" s="95" t="str">
        <f>VLOOKUP(I2,[7]stage_hints!$A:$C,3,FALSE)</f>
        <v>長くつなげて大ダメージ</v>
      </c>
      <c r="L2" s="96" t="str">
        <f>VLOOKUP(I2,[7]stage_hints!$A:$D,4,FALSE)</f>
        <v>パネルを長くつなげるほど_x000D_大ダメージを与えることができます</v>
      </c>
      <c r="M2" s="57" t="s">
        <v>213</v>
      </c>
    </row>
    <row r="3" spans="1:13">
      <c r="A3" s="82" t="s">
        <v>202</v>
      </c>
      <c r="B3" s="83">
        <f>floors!$C$2</f>
        <v>60005</v>
      </c>
      <c r="C3" s="84" t="str">
        <f ca="1">VLOOKUP($B3,OFFSET([2]quests!$A$1,0,0,COUNTA([2]quests!$A:$A),MATCH(C$1,[2]quests!$1:$1,0)-MATCH($B$1,[2]quests!$1:$1,0)+1),MATCH(C$1,[2]quests!$1:$1,0)-MATCH($B$1,[2]quests!$1:$1,0)+1,FALSE)</f>
        <v>オイラーチャレンジ</v>
      </c>
      <c r="D3" s="84" t="str">
        <f ca="1">VLOOKUP($B3,OFFSET([2]quests!$A$1,0,0,COUNTA([2]quests!$A:$A),MATCH(D$1,[2]quests!$1:$1,0)-MATCH($B$1,[2]quests!$1:$1,0)+1),MATCH(D$1,[2]quests!$1:$1,0)-MATCH($B$1,[2]quests!$1:$1,0)+1,FALSE)</f>
        <v>ランキング1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[ウィザード] 第5回　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ランキング1</v>
      </c>
      <c r="H3" s="86">
        <v>0</v>
      </c>
      <c r="I3">
        <v>2</v>
      </c>
      <c r="J3" s="85" t="s">
        <v>199</v>
      </c>
      <c r="K3" s="95" t="str">
        <f>VLOOKUP(I3,[7]stage_hints!$A:$C,3,FALSE)</f>
        <v>属性の相性</v>
      </c>
      <c r="L3" s="96" t="str">
        <f>VLOOKUP(I3,[7]stage_hints!$A:$D,4,FALSE)</f>
        <v>赤＞青　青＞黄　黄＞緑　緑＞赤_x000D_敵属性に最適なパーティがオススメです</v>
      </c>
      <c r="M3" s="57" t="s">
        <v>213</v>
      </c>
    </row>
    <row r="4" spans="1:13">
      <c r="A4" s="82" t="s">
        <v>202</v>
      </c>
      <c r="B4" s="83">
        <f>floors!$C$2</f>
        <v>60005</v>
      </c>
      <c r="C4" s="84" t="str">
        <f ca="1">VLOOKUP($B4,OFFSET([2]quests!$A$1,0,0,COUNTA([2]quests!$A:$A),MATCH(C$1,[2]quests!$1:$1,0)-MATCH($B$1,[2]quests!$1:$1,0)+1),MATCH(C$1,[2]quests!$1:$1,0)-MATCH($B$1,[2]quests!$1:$1,0)+1,FALSE)</f>
        <v>オイラーチャレンジ</v>
      </c>
      <c r="D4" s="84" t="str">
        <f ca="1">VLOOKUP($B4,OFFSET([2]quests!$A$1,0,0,COUNTA([2]quests!$A:$A),MATCH(D$1,[2]quests!$1:$1,0)-MATCH($B$1,[2]quests!$1:$1,0)+1),MATCH(D$1,[2]quests!$1:$1,0)-MATCH($B$1,[2]quests!$1:$1,0)+1,FALSE)</f>
        <v>ランキング1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[ウィザード] 第5回　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ランキング1</v>
      </c>
      <c r="H4" s="86">
        <v>0</v>
      </c>
      <c r="I4">
        <v>3</v>
      </c>
      <c r="J4" s="85" t="s">
        <v>199</v>
      </c>
      <c r="K4" s="95" t="str">
        <f>VLOOKUP(I4,[7]stage_hints!$A:$C,3,FALSE)</f>
        <v>ターゲット</v>
      </c>
      <c r="L4" s="96" t="str">
        <f>VLOOKUP(I4,[7]stage_hints!$A:$D,4,FALSE)</f>
        <v>敵ユニットをタップすると_x000D_その敵を狙い撃ちできます</v>
      </c>
      <c r="M4" s="57" t="s">
        <v>213</v>
      </c>
    </row>
    <row r="5" spans="1:13">
      <c r="A5" s="82" t="s">
        <v>202</v>
      </c>
      <c r="B5" s="83">
        <f>floors!$C$2</f>
        <v>60005</v>
      </c>
      <c r="C5" s="84" t="str">
        <f ca="1">VLOOKUP($B5,OFFSET([2]quests!$A$1,0,0,COUNTA([2]quests!$A:$A),MATCH(C$1,[2]quests!$1:$1,0)-MATCH($B$1,[2]quests!$1:$1,0)+1),MATCH(C$1,[2]quests!$1:$1,0)-MATCH($B$1,[2]quests!$1:$1,0)+1,FALSE)</f>
        <v>オイラーチャレンジ</v>
      </c>
      <c r="D5" s="84" t="str">
        <f ca="1">VLOOKUP($B5,OFFSET([2]quests!$A$1,0,0,COUNTA([2]quests!$A:$A),MATCH(D$1,[2]quests!$1:$1,0)-MATCH($B$1,[2]quests!$1:$1,0)+1),MATCH(D$1,[2]quests!$1:$1,0)-MATCH($B$1,[2]quests!$1:$1,0)+1,FALSE)</f>
        <v>ランキング1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[ウィザード] 第5回　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ランキング1</v>
      </c>
      <c r="H5" s="86">
        <v>0</v>
      </c>
      <c r="I5">
        <v>5</v>
      </c>
      <c r="J5" s="85" t="s">
        <v>199</v>
      </c>
      <c r="K5" s="95" t="str">
        <f>VLOOKUP(I5,[7]stage_hints!$A:$C,3,FALSE)</f>
        <v>ユニット強化でレベルアップ</v>
      </c>
      <c r="L5" s="96" t="str">
        <f>VLOOKUP(I5,[7]stage_hints!$A:$D,4,FALSE)</f>
        <v>「ユニット強化」でレベルアップすると_x000D_勝てない敵にも勝てるようになります</v>
      </c>
      <c r="M5" s="57" t="s">
        <v>213</v>
      </c>
    </row>
    <row r="6" spans="1:13">
      <c r="A6" s="82" t="s">
        <v>202</v>
      </c>
      <c r="B6" s="83">
        <f>floors!$C$2</f>
        <v>60005</v>
      </c>
      <c r="C6" s="84" t="str">
        <f ca="1">VLOOKUP($B6,OFFSET([2]quests!$A$1,0,0,COUNTA([2]quests!$A:$A),MATCH(C$1,[2]quests!$1:$1,0)-MATCH($B$1,[2]quests!$1:$1,0)+1),MATCH(C$1,[2]quests!$1:$1,0)-MATCH($B$1,[2]quests!$1:$1,0)+1,FALSE)</f>
        <v>オイラーチャレンジ</v>
      </c>
      <c r="D6" s="84" t="str">
        <f ca="1">VLOOKUP($B6,OFFSET([2]quests!$A$1,0,0,COUNTA([2]quests!$A:$A),MATCH(D$1,[2]quests!$1:$1,0)-MATCH($B$1,[2]quests!$1:$1,0)+1),MATCH(D$1,[2]quests!$1:$1,0)-MATCH($B$1,[2]quests!$1:$1,0)+1,FALSE)</f>
        <v>ランキング1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[ウィザード] 第5回　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ランキング1</v>
      </c>
      <c r="H6" s="86">
        <v>0</v>
      </c>
      <c r="I6">
        <v>6</v>
      </c>
      <c r="J6" s="85" t="s">
        <v>199</v>
      </c>
      <c r="K6" s="95" t="str">
        <f>VLOOKUP(I6,[7]stage_hints!$A:$C,3,FALSE)</f>
        <v>ユニット強化の属性ボーナス</v>
      </c>
      <c r="L6" s="96" t="str">
        <f>VLOOKUP(I6,[7]stage_hints!$A:$D,4,FALSE)</f>
        <v>同属性ユニットを強化素材にすると_x000D_経験値が多くもらえます</v>
      </c>
      <c r="M6" s="57" t="s">
        <v>213</v>
      </c>
    </row>
    <row r="7" spans="1:13">
      <c r="A7" s="82" t="s">
        <v>202</v>
      </c>
      <c r="B7" s="83">
        <f>floors!$C$2</f>
        <v>60005</v>
      </c>
      <c r="C7" s="84" t="str">
        <f ca="1">VLOOKUP($B7,OFFSET([2]quests!$A$1,0,0,COUNTA([2]quests!$A:$A),MATCH(C$1,[2]quests!$1:$1,0)-MATCH($B$1,[2]quests!$1:$1,0)+1),MATCH(C$1,[2]quests!$1:$1,0)-MATCH($B$1,[2]quests!$1:$1,0)+1,FALSE)</f>
        <v>オイラーチャレンジ</v>
      </c>
      <c r="D7" s="84" t="str">
        <f ca="1">VLOOKUP($B7,OFFSET([2]quests!$A$1,0,0,COUNTA([2]quests!$A:$A),MATCH(D$1,[2]quests!$1:$1,0)-MATCH($B$1,[2]quests!$1:$1,0)+1),MATCH(D$1,[2]quests!$1:$1,0)-MATCH($B$1,[2]quests!$1:$1,0)+1,FALSE)</f>
        <v>ランキング1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[ウィザード] 第5回　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ランキング1</v>
      </c>
      <c r="H7" s="86">
        <v>0</v>
      </c>
      <c r="I7">
        <v>7</v>
      </c>
      <c r="J7" s="85" t="s">
        <v>199</v>
      </c>
      <c r="K7" s="95" t="str">
        <f>VLOOKUP(I7,[7]stage_hints!$A:$C,3,FALSE)</f>
        <v>メタルダックで経験値を獲得</v>
      </c>
      <c r="L7" s="96" t="str">
        <f>VLOOKUP(I7,[7]stage_hints!$A:$D,4,FALSE)</f>
        <v>「メタルなアヒル」を強化素材にすると_x000D_大量の経験値がもらえます</v>
      </c>
      <c r="M7" s="57" t="s">
        <v>213</v>
      </c>
    </row>
    <row r="8" spans="1:13">
      <c r="A8" s="82" t="s">
        <v>202</v>
      </c>
      <c r="B8" s="83">
        <f>floors!$C$2</f>
        <v>60005</v>
      </c>
      <c r="C8" s="84" t="str">
        <f ca="1">VLOOKUP($B8,OFFSET([2]quests!$A$1,0,0,COUNTA([2]quests!$A:$A),MATCH(C$1,[2]quests!$1:$1,0)-MATCH($B$1,[2]quests!$1:$1,0)+1),MATCH(C$1,[2]quests!$1:$1,0)-MATCH($B$1,[2]quests!$1:$1,0)+1,FALSE)</f>
        <v>オイラーチャレンジ</v>
      </c>
      <c r="D8" s="84" t="str">
        <f ca="1">VLOOKUP($B8,OFFSET([2]quests!$A$1,0,0,COUNTA([2]quests!$A:$A),MATCH(D$1,[2]quests!$1:$1,0)-MATCH($B$1,[2]quests!$1:$1,0)+1),MATCH(D$1,[2]quests!$1:$1,0)-MATCH($B$1,[2]quests!$1:$1,0)+1,FALSE)</f>
        <v>ランキング1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[ウィザード] 第5回　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ランキング1</v>
      </c>
      <c r="H8" s="86">
        <v>0</v>
      </c>
      <c r="I8">
        <v>8</v>
      </c>
      <c r="J8" s="85" t="s">
        <v>199</v>
      </c>
      <c r="K8" s="95" t="str">
        <f>VLOOKUP(I8,[7]stage_hints!$A:$C,3,FALSE)</f>
        <v>ゲリラクエストは要チェック</v>
      </c>
      <c r="L8" s="96" t="str">
        <f>VLOOKUP(I8,[7]stage_hints!$A:$D,4,FALSE)</f>
        <v>時間限定の「アヒル捕獲作戦」では_x000D_経験値素材ユニットが多く手に入ります</v>
      </c>
      <c r="M8" s="57" t="s">
        <v>213</v>
      </c>
    </row>
    <row r="9" spans="1:13">
      <c r="A9" s="82" t="s">
        <v>202</v>
      </c>
      <c r="B9" s="83">
        <f>floors!$C$2</f>
        <v>60005</v>
      </c>
      <c r="C9" s="84" t="str">
        <f ca="1">VLOOKUP($B9,OFFSET([2]quests!$A$1,0,0,COUNTA([2]quests!$A:$A),MATCH(C$1,[2]quests!$1:$1,0)-MATCH($B$1,[2]quests!$1:$1,0)+1),MATCH(C$1,[2]quests!$1:$1,0)-MATCH($B$1,[2]quests!$1:$1,0)+1,FALSE)</f>
        <v>オイラーチャレンジ</v>
      </c>
      <c r="D9" s="84" t="str">
        <f ca="1">VLOOKUP($B9,OFFSET([2]quests!$A$1,0,0,COUNTA([2]quests!$A:$A),MATCH(D$1,[2]quests!$1:$1,0)-MATCH($B$1,[2]quests!$1:$1,0)+1),MATCH(D$1,[2]quests!$1:$1,0)-MATCH($B$1,[2]quests!$1:$1,0)+1,FALSE)</f>
        <v>ランキング1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[ウィザード] 第5回　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ランキング1</v>
      </c>
      <c r="H9" s="86">
        <v>0</v>
      </c>
      <c r="I9">
        <v>9</v>
      </c>
      <c r="J9" s="85" t="s">
        <v>199</v>
      </c>
      <c r="K9" s="95" t="str">
        <f>VLOOKUP(I9,[7]stage_hints!$A:$C,3,FALSE)</f>
        <v>ゴールドダックでビットを獲得</v>
      </c>
      <c r="L9" s="96" t="str">
        <f>VLOOKUP(I9,[7]stage_hints!$A:$D,4,FALSE)</f>
        <v>「ゴールドなアヒル」を売却すると_x000D_大量のビットがもらえます</v>
      </c>
      <c r="M9" s="57" t="s">
        <v>213</v>
      </c>
    </row>
    <row r="10" spans="1:13">
      <c r="A10" s="82" t="s">
        <v>202</v>
      </c>
      <c r="B10" s="83">
        <f>floors!$C$2</f>
        <v>60005</v>
      </c>
      <c r="C10" s="84" t="str">
        <f ca="1">VLOOKUP($B10,OFFSET([2]quests!$A$1,0,0,COUNTA([2]quests!$A:$A),MATCH(C$1,[2]quests!$1:$1,0)-MATCH($B$1,[2]quests!$1:$1,0)+1),MATCH(C$1,[2]quests!$1:$1,0)-MATCH($B$1,[2]quests!$1:$1,0)+1,FALSE)</f>
        <v>オイラーチャレンジ</v>
      </c>
      <c r="D10" s="84" t="str">
        <f ca="1">VLOOKUP($B10,OFFSET([2]quests!$A$1,0,0,COUNTA([2]quests!$A:$A),MATCH(D$1,[2]quests!$1:$1,0)-MATCH($B$1,[2]quests!$1:$1,0)+1),MATCH(D$1,[2]quests!$1:$1,0)-MATCH($B$1,[2]quests!$1:$1,0)+1,FALSE)</f>
        <v>ランキング1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[ウィザード] 第5回　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ランキング1</v>
      </c>
      <c r="H10" s="86">
        <v>0</v>
      </c>
      <c r="I10">
        <v>10</v>
      </c>
      <c r="J10" s="85" t="s">
        <v>199</v>
      </c>
      <c r="K10" s="95" t="str">
        <f>VLOOKUP(I10,[7]stage_hints!$A:$C,3,FALSE)</f>
        <v>土日に大量のビットを獲得</v>
      </c>
      <c r="L10" s="96" t="str">
        <f>VLOOKUP(I10,[7]stage_hints!$A:$D,4,FALSE)</f>
        <v>土日限定の「ゴールドカジノ」では_x000D_売却素材ユニットが多く手に入ります</v>
      </c>
      <c r="M10" s="57" t="s">
        <v>213</v>
      </c>
    </row>
    <row r="11" spans="1:13">
      <c r="A11" s="82" t="s">
        <v>202</v>
      </c>
      <c r="B11" s="83">
        <f>floors!$C$2</f>
        <v>60005</v>
      </c>
      <c r="C11" s="84" t="str">
        <f ca="1">VLOOKUP($B11,OFFSET([2]quests!$A$1,0,0,COUNTA([2]quests!$A:$A),MATCH(C$1,[2]quests!$1:$1,0)-MATCH($B$1,[2]quests!$1:$1,0)+1),MATCH(C$1,[2]quests!$1:$1,0)-MATCH($B$1,[2]quests!$1:$1,0)+1,FALSE)</f>
        <v>オイラーチャレンジ</v>
      </c>
      <c r="D11" s="84" t="str">
        <f ca="1">VLOOKUP($B11,OFFSET([2]quests!$A$1,0,0,COUNTA([2]quests!$A:$A),MATCH(D$1,[2]quests!$1:$1,0)-MATCH($B$1,[2]quests!$1:$1,0)+1),MATCH(D$1,[2]quests!$1:$1,0)-MATCH($B$1,[2]quests!$1:$1,0)+1,FALSE)</f>
        <v>ランキング1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[ウィザード] 第5回　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ランキング1</v>
      </c>
      <c r="H11" s="86">
        <v>0</v>
      </c>
      <c r="I11">
        <v>11</v>
      </c>
      <c r="J11" s="85" t="s">
        <v>199</v>
      </c>
      <c r="K11" s="95" t="str">
        <f>VLOOKUP(I11,[7]stage_hints!$A:$C,3,FALSE)</f>
        <v>ランク解放クエスト</v>
      </c>
      <c r="L11" s="96" t="str">
        <f>VLOOKUP(I11,[7]stage_hints!$A:$D,4,FALSE)</f>
        <v>一定ランクに到達すると_x000D_報酬付きのランク開放クエストが現れます</v>
      </c>
      <c r="M11" s="57" t="s">
        <v>213</v>
      </c>
    </row>
    <row r="12" spans="1:13">
      <c r="A12" s="82" t="s">
        <v>202</v>
      </c>
      <c r="B12" s="83">
        <f>floors!$C$2</f>
        <v>60005</v>
      </c>
      <c r="C12" s="84" t="str">
        <f ca="1">VLOOKUP($B12,OFFSET([2]quests!$A$1,0,0,COUNTA([2]quests!$A:$A),MATCH(C$1,[2]quests!$1:$1,0)-MATCH($B$1,[2]quests!$1:$1,0)+1),MATCH(C$1,[2]quests!$1:$1,0)-MATCH($B$1,[2]quests!$1:$1,0)+1,FALSE)</f>
        <v>オイラーチャレンジ</v>
      </c>
      <c r="D12" s="84" t="str">
        <f ca="1">VLOOKUP($B12,OFFSET([2]quests!$A$1,0,0,COUNTA([2]quests!$A:$A),MATCH(D$1,[2]quests!$1:$1,0)-MATCH($B$1,[2]quests!$1:$1,0)+1),MATCH(D$1,[2]quests!$1:$1,0)-MATCH($B$1,[2]quests!$1:$1,0)+1,FALSE)</f>
        <v>ランキング1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[ウィザード] 第5回　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ランキング1</v>
      </c>
      <c r="H12" s="86">
        <v>0</v>
      </c>
      <c r="I12">
        <v>12</v>
      </c>
      <c r="J12" s="85" t="s">
        <v>199</v>
      </c>
      <c r="K12" s="95" t="str">
        <f>VLOOKUP(I12,[7]stage_hints!$A:$C,3,FALSE)</f>
        <v>ユニットのお気に入り登録</v>
      </c>
      <c r="L12" s="96" t="str">
        <f>VLOOKUP(I12,[7]stage_hints!$A:$D,4,FALSE)</f>
        <v>大事なユニットを誤って消さないように_x000D_フォルダから「お気に入り登録」しましょう</v>
      </c>
      <c r="M12" s="57" t="s">
        <v>213</v>
      </c>
    </row>
    <row r="13" spans="1:13">
      <c r="A13" s="82" t="s">
        <v>202</v>
      </c>
      <c r="B13" s="83">
        <f>floors!$C$2</f>
        <v>60005</v>
      </c>
      <c r="C13" s="84" t="str">
        <f ca="1">VLOOKUP($B13,OFFSET([2]quests!$A$1,0,0,COUNTA([2]quests!$A:$A),MATCH(C$1,[2]quests!$1:$1,0)-MATCH($B$1,[2]quests!$1:$1,0)+1),MATCH(C$1,[2]quests!$1:$1,0)-MATCH($B$1,[2]quests!$1:$1,0)+1,FALSE)</f>
        <v>オイラーチャレンジ</v>
      </c>
      <c r="D13" s="84" t="str">
        <f ca="1">VLOOKUP($B13,OFFSET([2]quests!$A$1,0,0,COUNTA([2]quests!$A:$A),MATCH(D$1,[2]quests!$1:$1,0)-MATCH($B$1,[2]quests!$1:$1,0)+1),MATCH(D$1,[2]quests!$1:$1,0)-MATCH($B$1,[2]quests!$1:$1,0)+1,FALSE)</f>
        <v>ランキング1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[ウィザード] 第5回　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ランキング1</v>
      </c>
      <c r="H13" s="86">
        <v>0</v>
      </c>
      <c r="I13">
        <v>13</v>
      </c>
      <c r="J13" s="85" t="s">
        <v>199</v>
      </c>
      <c r="K13" s="95" t="str">
        <f>VLOOKUP(I13,[7]stage_hints!$A:$C,3,FALSE)</f>
        <v>ユニットの覚醒</v>
      </c>
      <c r="L13" s="96" t="str">
        <f>VLOOKUP(I13,[7]stage_hints!$A:$D,4,FALSE)</f>
        <v>ユニットを覚醒させると_x000D_比べものにならない強さが手に入ります</v>
      </c>
      <c r="M13" s="57" t="s">
        <v>213</v>
      </c>
    </row>
    <row r="14" spans="1:13">
      <c r="A14" s="82" t="s">
        <v>202</v>
      </c>
      <c r="B14" s="83">
        <f>floors!$C$2</f>
        <v>60005</v>
      </c>
      <c r="C14" s="84" t="str">
        <f ca="1">VLOOKUP($B14,OFFSET([2]quests!$A$1,0,0,COUNTA([2]quests!$A:$A),MATCH(C$1,[2]quests!$1:$1,0)-MATCH($B$1,[2]quests!$1:$1,0)+1),MATCH(C$1,[2]quests!$1:$1,0)-MATCH($B$1,[2]quests!$1:$1,0)+1,FALSE)</f>
        <v>オイラーチャレンジ</v>
      </c>
      <c r="D14" s="84" t="str">
        <f ca="1">VLOOKUP($B14,OFFSET([2]quests!$A$1,0,0,COUNTA([2]quests!$A:$A),MATCH(D$1,[2]quests!$1:$1,0)-MATCH($B$1,[2]quests!$1:$1,0)+1),MATCH(D$1,[2]quests!$1:$1,0)-MATCH($B$1,[2]quests!$1:$1,0)+1,FALSE)</f>
        <v>ランキング1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[ウィザード] 第5回　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ランキング1</v>
      </c>
      <c r="H14" s="86">
        <v>0</v>
      </c>
      <c r="I14">
        <v>14</v>
      </c>
      <c r="J14" s="85" t="s">
        <v>199</v>
      </c>
      <c r="K14" s="95" t="str">
        <f>VLOOKUP(I14,[7]stage_hints!$A:$C,3,FALSE)</f>
        <v>覚醒するにはレベルを最大に</v>
      </c>
      <c r="L14" s="96" t="str">
        <f>VLOOKUP(I14,[7]stage_hints!$A:$D,4,FALSE)</f>
        <v>覚醒するにはユニットのレベルを_x000D_最大まで上げる必要があります</v>
      </c>
      <c r="M14" s="57" t="s">
        <v>213</v>
      </c>
    </row>
    <row r="15" spans="1:13">
      <c r="A15" s="82" t="s">
        <v>202</v>
      </c>
      <c r="B15" s="83">
        <f>floors!$C$2</f>
        <v>60005</v>
      </c>
      <c r="C15" s="84" t="str">
        <f ca="1">VLOOKUP($B15,OFFSET([2]quests!$A$1,0,0,COUNTA([2]quests!$A:$A),MATCH(C$1,[2]quests!$1:$1,0)-MATCH($B$1,[2]quests!$1:$1,0)+1),MATCH(C$1,[2]quests!$1:$1,0)-MATCH($B$1,[2]quests!$1:$1,0)+1,FALSE)</f>
        <v>オイラーチャレンジ</v>
      </c>
      <c r="D15" s="84" t="str">
        <f ca="1">VLOOKUP($B15,OFFSET([2]quests!$A$1,0,0,COUNTA([2]quests!$A:$A),MATCH(D$1,[2]quests!$1:$1,0)-MATCH($B$1,[2]quests!$1:$1,0)+1),MATCH(D$1,[2]quests!$1:$1,0)-MATCH($B$1,[2]quests!$1:$1,0)+1,FALSE)</f>
        <v>ランキング1</v>
      </c>
      <c r="E15" s="88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[ウィザード] 第5回　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ランキング1</v>
      </c>
      <c r="H15" s="86">
        <v>0</v>
      </c>
      <c r="I15">
        <v>15</v>
      </c>
      <c r="J15" s="85" t="s">
        <v>199</v>
      </c>
      <c r="K15" s="95" t="str">
        <f>VLOOKUP(I15,[7]stage_hints!$A:$C,3,FALSE)</f>
        <v>覚醒素材を獲得</v>
      </c>
      <c r="L15" s="96" t="str">
        <f>VLOOKUP(I15,[7]stage_hints!$A:$D,4,FALSE)</f>
        <v>「曜日クエスト」では_x000D_ユニットの覚醒に必要な素材が手に入ります</v>
      </c>
      <c r="M15" s="57" t="s">
        <v>213</v>
      </c>
    </row>
    <row r="16" spans="1:13">
      <c r="A16" s="82" t="s">
        <v>202</v>
      </c>
      <c r="B16" s="83">
        <f>floors!$C$2</f>
        <v>60005</v>
      </c>
      <c r="C16" s="84" t="str">
        <f ca="1">VLOOKUP($B16,OFFSET([2]quests!$A$1,0,0,COUNTA([2]quests!$A:$A),MATCH(C$1,[2]quests!$1:$1,0)-MATCH($B$1,[2]quests!$1:$1,0)+1),MATCH(C$1,[2]quests!$1:$1,0)-MATCH($B$1,[2]quests!$1:$1,0)+1,FALSE)</f>
        <v>オイラーチャレンジ</v>
      </c>
      <c r="D16" s="84" t="str">
        <f ca="1">VLOOKUP($B16,OFFSET([2]quests!$A$1,0,0,COUNTA([2]quests!$A:$A),MATCH(D$1,[2]quests!$1:$1,0)-MATCH($B$1,[2]quests!$1:$1,0)+1),MATCH(D$1,[2]quests!$1:$1,0)-MATCH($B$1,[2]quests!$1:$1,0)+1,FALSE)</f>
        <v>ランキング1</v>
      </c>
      <c r="E16" s="88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[ウィザード] 第5回　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ランキング1</v>
      </c>
      <c r="H16" s="86">
        <v>0</v>
      </c>
      <c r="I16">
        <v>16</v>
      </c>
      <c r="J16" s="85" t="s">
        <v>199</v>
      </c>
      <c r="K16" s="95" t="str">
        <f>VLOOKUP(I16,[7]stage_hints!$A:$C,3,FALSE)</f>
        <v>マルチプレイのメリット（その1）</v>
      </c>
      <c r="L16" s="96" t="str">
        <f>VLOOKUP(I16,[7]stage_hints!$A:$D,4,FALSE)</f>
        <v>他のプレイヤーとマルチプレイで遊ぶと_x000D_ポリゴンがもらえます（100人まで）</v>
      </c>
      <c r="M16" s="57" t="s">
        <v>213</v>
      </c>
    </row>
    <row r="17" spans="1:13">
      <c r="A17" s="82" t="s">
        <v>202</v>
      </c>
      <c r="B17" s="83">
        <f>floors!$C$2</f>
        <v>60005</v>
      </c>
      <c r="C17" s="84" t="str">
        <f ca="1">VLOOKUP($B17,OFFSET([2]quests!$A$1,0,0,COUNTA([2]quests!$A:$A),MATCH(C$1,[2]quests!$1:$1,0)-MATCH($B$1,[2]quests!$1:$1,0)+1),MATCH(C$1,[2]quests!$1:$1,0)-MATCH($B$1,[2]quests!$1:$1,0)+1,FALSE)</f>
        <v>オイラーチャレンジ</v>
      </c>
      <c r="D17" s="84" t="str">
        <f ca="1">VLOOKUP($B17,OFFSET([2]quests!$A$1,0,0,COUNTA([2]quests!$A:$A),MATCH(D$1,[2]quests!$1:$1,0)-MATCH($B$1,[2]quests!$1:$1,0)+1),MATCH(D$1,[2]quests!$1:$1,0)-MATCH($B$1,[2]quests!$1:$1,0)+1,FALSE)</f>
        <v>ランキング1</v>
      </c>
      <c r="E17" s="88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[ウィザード] 第5回　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ランキング1</v>
      </c>
      <c r="H17" s="86">
        <v>0</v>
      </c>
      <c r="I17">
        <v>17</v>
      </c>
      <c r="J17" s="85" t="s">
        <v>199</v>
      </c>
      <c r="K17" s="95" t="str">
        <f>VLOOKUP(I17,[7]stage_hints!$A:$C,3,FALSE)</f>
        <v>リンクガチャ</v>
      </c>
      <c r="L17" s="96" t="str">
        <f>VLOOKUP(I17,[7]stage_hints!$A:$D,4,FALSE)</f>
        <v>無料のリンクガチャを回して_x000D_経験値素材や売却素材を獲得しましょう</v>
      </c>
      <c r="M17" s="57" t="s">
        <v>213</v>
      </c>
    </row>
    <row r="18" spans="1:13">
      <c r="A18" s="82" t="s">
        <v>202</v>
      </c>
      <c r="B18" s="83">
        <f>floors!$C$2</f>
        <v>60005</v>
      </c>
      <c r="C18" s="84" t="str">
        <f ca="1">VLOOKUP($B18,OFFSET([2]quests!$A$1,0,0,COUNTA([2]quests!$A:$A),MATCH(C$1,[2]quests!$1:$1,0)-MATCH($B$1,[2]quests!$1:$1,0)+1),MATCH(C$1,[2]quests!$1:$1,0)-MATCH($B$1,[2]quests!$1:$1,0)+1,FALSE)</f>
        <v>オイラーチャレンジ</v>
      </c>
      <c r="D18" s="84" t="str">
        <f ca="1">VLOOKUP($B18,OFFSET([2]quests!$A$1,0,0,COUNTA([2]quests!$A:$A),MATCH(D$1,[2]quests!$1:$1,0)-MATCH($B$1,[2]quests!$1:$1,0)+1),MATCH(D$1,[2]quests!$1:$1,0)-MATCH($B$1,[2]quests!$1:$1,0)+1,FALSE)</f>
        <v>ランキング1</v>
      </c>
      <c r="E18" s="88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[ウィザード] 第5回　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ランキング1</v>
      </c>
      <c r="H18" s="86">
        <v>0</v>
      </c>
      <c r="I18">
        <v>18</v>
      </c>
      <c r="J18" s="85" t="s">
        <v>199</v>
      </c>
      <c r="K18" s="95" t="str">
        <f>VLOOKUP(I18,[7]stage_hints!$A:$C,3,FALSE)</f>
        <v>マルチプレイのメリット（その2）</v>
      </c>
      <c r="L18" s="96" t="str">
        <f>VLOOKUP(I18,[7]stage_hints!$A:$D,4,FALSE)</f>
        <v>マルチプレイならリンクが2倍もらえます_x000D_リンクガチャをたくさん回しましょう</v>
      </c>
      <c r="M18" s="57" t="s">
        <v>213</v>
      </c>
    </row>
    <row r="19" spans="1:13">
      <c r="A19" s="82" t="s">
        <v>202</v>
      </c>
      <c r="B19" s="83">
        <f>floors!$C$2</f>
        <v>60005</v>
      </c>
      <c r="C19" s="84" t="str">
        <f ca="1">VLOOKUP($B19,OFFSET([2]quests!$A$1,0,0,COUNTA([2]quests!$A:$A),MATCH(C$1,[2]quests!$1:$1,0)-MATCH($B$1,[2]quests!$1:$1,0)+1),MATCH(C$1,[2]quests!$1:$1,0)-MATCH($B$1,[2]quests!$1:$1,0)+1,FALSE)</f>
        <v>オイラーチャレンジ</v>
      </c>
      <c r="D19" s="84" t="str">
        <f ca="1">VLOOKUP($B19,OFFSET([2]quests!$A$1,0,0,COUNTA([2]quests!$A:$A),MATCH(D$1,[2]quests!$1:$1,0)-MATCH($B$1,[2]quests!$1:$1,0)+1),MATCH(D$1,[2]quests!$1:$1,0)-MATCH($B$1,[2]quests!$1:$1,0)+1,FALSE)</f>
        <v>ランキング1</v>
      </c>
      <c r="E19" s="88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[ウィザード] 第5回　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ランキング1</v>
      </c>
      <c r="H19" s="86">
        <v>0</v>
      </c>
      <c r="I19">
        <v>19</v>
      </c>
      <c r="J19" s="85" t="s">
        <v>199</v>
      </c>
      <c r="K19" s="95" t="str">
        <f>VLOOKUP(I19,[7]stage_hints!$A:$C,3,FALSE)</f>
        <v>ソロ専用チャレンジタワー</v>
      </c>
      <c r="L19" s="96" t="str">
        <f>VLOOKUP(I19,[7]stage_hints!$A:$D,4,FALSE)</f>
        <v>ソロ専用の「チャレンジタワー」では_x000D_各フロアごとにクリア報酬がもらえます</v>
      </c>
      <c r="M19" s="57" t="s">
        <v>213</v>
      </c>
    </row>
    <row r="20" spans="1:13">
      <c r="A20" s="82" t="s">
        <v>202</v>
      </c>
      <c r="B20" s="83">
        <f>floors!$C$2</f>
        <v>60005</v>
      </c>
      <c r="C20" s="84" t="str">
        <f ca="1">VLOOKUP($B20,OFFSET([2]quests!$A$1,0,0,COUNTA([2]quests!$A:$A),MATCH(C$1,[2]quests!$1:$1,0)-MATCH($B$1,[2]quests!$1:$1,0)+1),MATCH(C$1,[2]quests!$1:$1,0)-MATCH($B$1,[2]quests!$1:$1,0)+1,FALSE)</f>
        <v>オイラーチャレンジ</v>
      </c>
      <c r="D20" s="84" t="str">
        <f ca="1">VLOOKUP($B20,OFFSET([2]quests!$A$1,0,0,COUNTA([2]quests!$A:$A),MATCH(D$1,[2]quests!$1:$1,0)-MATCH($B$1,[2]quests!$1:$1,0)+1),MATCH(D$1,[2]quests!$1:$1,0)-MATCH($B$1,[2]quests!$1:$1,0)+1,FALSE)</f>
        <v>ランキング1</v>
      </c>
      <c r="E20" s="88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[ウィザード] 第5回　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ランキング1</v>
      </c>
      <c r="H20" s="86">
        <v>0</v>
      </c>
      <c r="I20">
        <v>20</v>
      </c>
      <c r="J20" s="85" t="s">
        <v>199</v>
      </c>
      <c r="K20" s="95" t="str">
        <f>VLOOKUP(I20,[7]stage_hints!$A:$C,3,FALSE)</f>
        <v>マルチプレイのメリット（その3）</v>
      </c>
      <c r="L20" s="96" t="str">
        <f>VLOOKUP(I20,[7]stage_hints!$A:$D,4,FALSE)</f>
        <v>マルチプレイへの参加はエナジー消費ゼロ_x000D_いつでも好きなだけ遊ぶことができます</v>
      </c>
      <c r="M20" s="57" t="s">
        <v>213</v>
      </c>
    </row>
    <row r="21" spans="1:13">
      <c r="A21" s="82" t="s">
        <v>202</v>
      </c>
      <c r="B21" s="83">
        <f>floors!$C$2</f>
        <v>60005</v>
      </c>
      <c r="C21" s="84" t="str">
        <f ca="1">VLOOKUP($B21,OFFSET([2]quests!$A$1,0,0,COUNTA([2]quests!$A:$A),MATCH(C$1,[2]quests!$1:$1,0)-MATCH($B$1,[2]quests!$1:$1,0)+1),MATCH(C$1,[2]quests!$1:$1,0)-MATCH($B$1,[2]quests!$1:$1,0)+1,FALSE)</f>
        <v>オイラーチャレンジ</v>
      </c>
      <c r="D21" s="84" t="str">
        <f ca="1">VLOOKUP($B21,OFFSET([2]quests!$A$1,0,0,COUNTA([2]quests!$A:$A),MATCH(D$1,[2]quests!$1:$1,0)-MATCH($B$1,[2]quests!$1:$1,0)+1),MATCH(D$1,[2]quests!$1:$1,0)-MATCH($B$1,[2]quests!$1:$1,0)+1,FALSE)</f>
        <v>ランキング1</v>
      </c>
      <c r="E21" s="88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[ウィザード] 第5回　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ランキング1</v>
      </c>
      <c r="H21" s="86">
        <v>0</v>
      </c>
      <c r="I21">
        <v>21</v>
      </c>
      <c r="J21" s="85" t="s">
        <v>199</v>
      </c>
      <c r="K21" s="95" t="str">
        <f>VLOOKUP(I21,[7]stage_hints!$A:$C,3,FALSE)</f>
        <v>スキルを有効に</v>
      </c>
      <c r="L21" s="96" t="str">
        <f>VLOOKUP(I21,[7]stage_hints!$A:$D,4,FALSE)</f>
        <v>ターン経過でユニットのスキルが使えます_x000D_強力スキルでバトルを有利に進めましょう</v>
      </c>
      <c r="M21" s="57" t="s">
        <v>213</v>
      </c>
    </row>
    <row r="22" spans="1:13">
      <c r="A22" s="82" t="s">
        <v>202</v>
      </c>
      <c r="B22" s="83">
        <f>floors!$C$2</f>
        <v>60005</v>
      </c>
      <c r="C22" s="84" t="str">
        <f ca="1">VLOOKUP($B22,OFFSET([2]quests!$A$1,0,0,COUNTA([2]quests!$A:$A),MATCH(C$1,[2]quests!$1:$1,0)-MATCH($B$1,[2]quests!$1:$1,0)+1),MATCH(C$1,[2]quests!$1:$1,0)-MATCH($B$1,[2]quests!$1:$1,0)+1,FALSE)</f>
        <v>オイラーチャレンジ</v>
      </c>
      <c r="D22" s="84" t="str">
        <f ca="1">VLOOKUP($B22,OFFSET([2]quests!$A$1,0,0,COUNTA([2]quests!$A:$A),MATCH(D$1,[2]quests!$1:$1,0)-MATCH($B$1,[2]quests!$1:$1,0)+1),MATCH(D$1,[2]quests!$1:$1,0)-MATCH($B$1,[2]quests!$1:$1,0)+1,FALSE)</f>
        <v>ランキング1</v>
      </c>
      <c r="E22" s="88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[ウィザード] 第5回　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ランキング1</v>
      </c>
      <c r="H22" s="86">
        <v>0</v>
      </c>
      <c r="I22">
        <v>22</v>
      </c>
      <c r="J22" s="85" t="s">
        <v>199</v>
      </c>
      <c r="K22" s="95" t="str">
        <f>VLOOKUP(I22,[7]stage_hints!$A:$C,3,FALSE)</f>
        <v>フィーバーで一発逆転（その1）</v>
      </c>
      <c r="L22" s="96" t="str">
        <f>VLOOKUP(I22,[7]stage_hints!$A:$D,4,FALSE)</f>
        <v>フィーバーは攻撃と回復を兼ね備えます_x000D_ピンチからの一発逆転を狙いましょう</v>
      </c>
      <c r="M22" s="57" t="s">
        <v>213</v>
      </c>
    </row>
    <row r="23" spans="1:13">
      <c r="A23" s="82" t="s">
        <v>202</v>
      </c>
      <c r="B23" s="83">
        <f>floors!$C$2</f>
        <v>60005</v>
      </c>
      <c r="C23" s="84" t="str">
        <f ca="1">VLOOKUP($B23,OFFSET([2]quests!$A$1,0,0,COUNTA([2]quests!$A:$A),MATCH(C$1,[2]quests!$1:$1,0)-MATCH($B$1,[2]quests!$1:$1,0)+1),MATCH(C$1,[2]quests!$1:$1,0)-MATCH($B$1,[2]quests!$1:$1,0)+1,FALSE)</f>
        <v>オイラーチャレンジ</v>
      </c>
      <c r="D23" s="84" t="str">
        <f ca="1">VLOOKUP($B23,OFFSET([2]quests!$A$1,0,0,COUNTA([2]quests!$A:$A),MATCH(D$1,[2]quests!$1:$1,0)-MATCH($B$1,[2]quests!$1:$1,0)+1),MATCH(D$1,[2]quests!$1:$1,0)-MATCH($B$1,[2]quests!$1:$1,0)+1,FALSE)</f>
        <v>ランキング1</v>
      </c>
      <c r="E23" s="88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[ウィザード] 第5回　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ランキング1</v>
      </c>
      <c r="H23" s="86">
        <v>0</v>
      </c>
      <c r="I23">
        <v>23</v>
      </c>
      <c r="J23" s="85" t="s">
        <v>199</v>
      </c>
      <c r="K23" s="95" t="str">
        <f>VLOOKUP(I23,[7]stage_hints!$A:$C,3,FALSE)</f>
        <v>フィーバーで一発逆転（その2）</v>
      </c>
      <c r="L23" s="96" t="str">
        <f>VLOOKUP(I23,[7]stage_hints!$A:$D,4,FALSE)</f>
        <v>フィーバー中は虹色のボムパネルを狙って_x000D_画面上のパネルを一気に破壊しましょう</v>
      </c>
      <c r="M23" s="57" t="s">
        <v>213</v>
      </c>
    </row>
    <row r="24" spans="1:13">
      <c r="A24" s="82" t="s">
        <v>202</v>
      </c>
      <c r="B24" s="83">
        <f>floors!$C$2</f>
        <v>60005</v>
      </c>
      <c r="C24" s="84" t="str">
        <f ca="1">VLOOKUP($B24,OFFSET([2]quests!$A$1,0,0,COUNTA([2]quests!$A:$A),MATCH(C$1,[2]quests!$1:$1,0)-MATCH($B$1,[2]quests!$1:$1,0)+1),MATCH(C$1,[2]quests!$1:$1,0)-MATCH($B$1,[2]quests!$1:$1,0)+1,FALSE)</f>
        <v>オイラーチャレンジ</v>
      </c>
      <c r="D24" s="84" t="str">
        <f ca="1">VLOOKUP($B24,OFFSET([2]quests!$A$1,0,0,COUNTA([2]quests!$A:$A),MATCH(D$1,[2]quests!$1:$1,0)-MATCH($B$1,[2]quests!$1:$1,0)+1),MATCH(D$1,[2]quests!$1:$1,0)-MATCH($B$1,[2]quests!$1:$1,0)+1,FALSE)</f>
        <v>ランキング1</v>
      </c>
      <c r="E24" s="88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[ウィザード] 第5回　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ランキング1</v>
      </c>
      <c r="H24" s="86">
        <v>0</v>
      </c>
      <c r="I24">
        <v>24</v>
      </c>
      <c r="J24" s="85" t="s">
        <v>199</v>
      </c>
      <c r="K24" s="95" t="str">
        <f>VLOOKUP(I24,[7]stage_hints!$A:$C,3,FALSE)</f>
        <v>りんごを使って限界突破</v>
      </c>
      <c r="L24" s="96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213</v>
      </c>
    </row>
    <row r="25" spans="1:13">
      <c r="A25" s="82" t="s">
        <v>202</v>
      </c>
      <c r="B25" s="83">
        <f>floors!$C$2</f>
        <v>60005</v>
      </c>
      <c r="C25" s="84" t="str">
        <f ca="1">VLOOKUP($B25,OFFSET([2]quests!$A$1,0,0,COUNTA([2]quests!$A:$A),MATCH(C$1,[2]quests!$1:$1,0)-MATCH($B$1,[2]quests!$1:$1,0)+1),MATCH(C$1,[2]quests!$1:$1,0)-MATCH($B$1,[2]quests!$1:$1,0)+1,FALSE)</f>
        <v>オイラーチャレンジ</v>
      </c>
      <c r="D25" s="84" t="str">
        <f ca="1">VLOOKUP($B25,OFFSET([2]quests!$A$1,0,0,COUNTA([2]quests!$A:$A),MATCH(D$1,[2]quests!$1:$1,0)-MATCH($B$1,[2]quests!$1:$1,0)+1),MATCH(D$1,[2]quests!$1:$1,0)-MATCH($B$1,[2]quests!$1:$1,0)+1,FALSE)</f>
        <v>ランキング1</v>
      </c>
      <c r="E25" s="88">
        <v>1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[ウィザード] 第5回　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ランキング1</v>
      </c>
      <c r="H25" s="86">
        <v>0</v>
      </c>
      <c r="I25">
        <v>25</v>
      </c>
      <c r="J25" s="85" t="s">
        <v>199</v>
      </c>
      <c r="K25" s="95" t="str">
        <f>VLOOKUP(I25,[7]stage_hints!$A:$C,3,FALSE)</f>
        <v>スキルレベルアップ</v>
      </c>
      <c r="L25" s="96" t="str">
        <f>VLOOKUP(I25,[7]stage_hints!$A:$D,4,FALSE)</f>
        <v>「クリスタルのりんご」を強化に使うと_x000D_スキルレベルを上げることができます</v>
      </c>
      <c r="M25" s="57" t="s">
        <v>213</v>
      </c>
    </row>
    <row r="26" spans="1:13">
      <c r="A26" s="82" t="s">
        <v>202</v>
      </c>
      <c r="B26" s="83">
        <f>floors!$C$2</f>
        <v>60005</v>
      </c>
      <c r="C26" s="84" t="str">
        <f ca="1">VLOOKUP($B26,OFFSET([2]quests!$A$1,0,0,COUNTA([2]quests!$A:$A),MATCH(C$1,[2]quests!$1:$1,0)-MATCH($B$1,[2]quests!$1:$1,0)+1),MATCH(C$1,[2]quests!$1:$1,0)-MATCH($B$1,[2]quests!$1:$1,0)+1,FALSE)</f>
        <v>オイラーチャレンジ</v>
      </c>
      <c r="D26" s="84" t="str">
        <f ca="1">VLOOKUP($B26,OFFSET([2]quests!$A$1,0,0,COUNTA([2]quests!$A:$A),MATCH(D$1,[2]quests!$1:$1,0)-MATCH($B$1,[2]quests!$1:$1,0)+1),MATCH(D$1,[2]quests!$1:$1,0)-MATCH($B$1,[2]quests!$1:$1,0)+1,FALSE)</f>
        <v>ランキング1</v>
      </c>
      <c r="E26" s="88">
        <v>1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[ウィザード] 第5回　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ランキング1</v>
      </c>
      <c r="H26" s="86">
        <v>0</v>
      </c>
      <c r="I26">
        <v>26</v>
      </c>
      <c r="J26" s="85" t="s">
        <v>199</v>
      </c>
      <c r="K26" s="95" t="str">
        <f>VLOOKUP(I26,[7]stage_hints!$A:$C,3,FALSE)</f>
        <v>スキルレベルの効果</v>
      </c>
      <c r="L26" s="96" t="str">
        <f>VLOOKUP(I26,[7]stage_hints!$A:$D,4,FALSE)</f>
        <v>スキルレベルが上がると_x000D_短いターンでスキルを使うことができます</v>
      </c>
      <c r="M26" s="57" t="s">
        <v>213</v>
      </c>
    </row>
    <row r="27" spans="1:13">
      <c r="A27" s="82" t="s">
        <v>202</v>
      </c>
      <c r="B27" s="83">
        <f>floors!$C$2</f>
        <v>60005</v>
      </c>
      <c r="C27" s="84" t="str">
        <f ca="1">VLOOKUP($B27,OFFSET([2]quests!$A$1,0,0,COUNTA([2]quests!$A:$A),MATCH(C$1,[2]quests!$1:$1,0)-MATCH($B$1,[2]quests!$1:$1,0)+1),MATCH(C$1,[2]quests!$1:$1,0)-MATCH($B$1,[2]quests!$1:$1,0)+1,FALSE)</f>
        <v>オイラーチャレンジ</v>
      </c>
      <c r="D27" s="84" t="str">
        <f ca="1">VLOOKUP($B27,OFFSET([2]quests!$A$1,0,0,COUNTA([2]quests!$A:$A),MATCH(D$1,[2]quests!$1:$1,0)-MATCH($B$1,[2]quests!$1:$1,0)+1),MATCH(D$1,[2]quests!$1:$1,0)-MATCH($B$1,[2]quests!$1:$1,0)+1,FALSE)</f>
        <v>ランキング1</v>
      </c>
      <c r="E27" s="88">
        <v>1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[ウィザード] 第5回　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ランキング1</v>
      </c>
      <c r="H27" s="86">
        <v>0</v>
      </c>
      <c r="I27">
        <v>39</v>
      </c>
      <c r="J27" s="85" t="s">
        <v>199</v>
      </c>
      <c r="K27" s="95" t="str">
        <f>VLOOKUP(I27,[7]stage_hints!$A:$C,3,FALSE)</f>
        <v>システム適合者を確認</v>
      </c>
      <c r="L27" s="96" t="str">
        <f>VLOOKUP(I27,[7]stage_hints!$A:$D,4,FALSE)</f>
        <v>ALICEが「アナタ」を呼んでいます</v>
      </c>
      <c r="M27" s="57" t="s">
        <v>213</v>
      </c>
    </row>
  </sheetData>
  <phoneticPr fontId="6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C8" sqref="C8"/>
    </sheetView>
  </sheetViews>
  <sheetFormatPr baseColWidth="12" defaultColWidth="13" defaultRowHeight="18" outlineLevelCol="1" x14ac:dyDescent="0"/>
  <cols>
    <col min="1" max="1" width="13" style="90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>
      <c r="A1" s="77" t="s">
        <v>189</v>
      </c>
      <c r="B1" s="73" t="s">
        <v>151</v>
      </c>
      <c r="C1" s="78" t="s">
        <v>191</v>
      </c>
      <c r="D1" s="78" t="s">
        <v>33</v>
      </c>
      <c r="E1" s="73" t="s">
        <v>192</v>
      </c>
      <c r="F1" s="78" t="s">
        <v>18</v>
      </c>
      <c r="G1" s="78" t="s">
        <v>33</v>
      </c>
      <c r="H1" s="73" t="s">
        <v>194</v>
      </c>
      <c r="I1" s="91" t="s">
        <v>195</v>
      </c>
      <c r="J1" s="93" t="s">
        <v>196</v>
      </c>
      <c r="K1" s="80" t="s">
        <v>127</v>
      </c>
      <c r="L1" s="79" t="s">
        <v>188</v>
      </c>
      <c r="M1" s="94" t="s">
        <v>187</v>
      </c>
      <c r="N1" s="81" t="s">
        <v>197</v>
      </c>
    </row>
    <row r="2" spans="1:14">
      <c r="A2" s="82" t="s">
        <v>198</v>
      </c>
      <c r="B2" s="83">
        <f>floors!$C$2</f>
        <v>60005</v>
      </c>
      <c r="C2" s="84" t="str">
        <f ca="1">VLOOKUP($B2,OFFSET([2]quests!$A$1,0,0,COUNTA([2]quests!$A:$A),MATCH(C$1,[2]quests!$1:$1,0)-MATCH($B$1,[2]quests!$1:$1,0)+1),MATCH(C$1,[2]quests!$1:$1,0)-MATCH($B$1,[2]quests!$1:$1,0)+1,FALSE)</f>
        <v>オイラーチャレンジ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ランキング1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[ウィザード] 第5回　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ランキング1</v>
      </c>
      <c r="H2" s="86">
        <v>0</v>
      </c>
      <c r="I2" s="92">
        <f>ROW()-1</f>
        <v>1</v>
      </c>
      <c r="J2" s="87" t="str">
        <f>B2&amp;TEXT(I2,"00")</f>
        <v>6000501</v>
      </c>
      <c r="K2" s="85" t="s">
        <v>199</v>
      </c>
      <c r="L2" s="88" t="s">
        <v>200</v>
      </c>
      <c r="M2" s="89" t="s">
        <v>203</v>
      </c>
      <c r="N2" s="57" t="s">
        <v>201</v>
      </c>
    </row>
  </sheetData>
  <phoneticPr fontId="6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takigawa Mio</cp:lastModifiedBy>
  <dcterms:created xsi:type="dcterms:W3CDTF">2015-01-30T13:36:44Z</dcterms:created>
  <dcterms:modified xsi:type="dcterms:W3CDTF">2016-03-30T12:47:27Z</dcterms:modified>
</cp:coreProperties>
</file>