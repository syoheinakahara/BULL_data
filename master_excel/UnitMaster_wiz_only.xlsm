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1100" yWindow="460" windowWidth="27460" windowHeight="16140" tabRatio="963" activeTab="11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ghosts_label" sheetId="59" r:id="rId11"/>
    <sheet name="コスト" sheetId="13" r:id="rId12"/>
    <sheet name="レベル" sheetId="12" r:id="rId13"/>
    <sheet name="経験値" sheetId="10" r:id="rId14"/>
    <sheet name="RC6SV" sheetId="11" r:id="rId15"/>
    <sheet name="ビット" sheetId="15" r:id="rId16"/>
    <sheet name="チェックシート" sheetId="55" r:id="rId17"/>
  </sheets>
  <externalReferences>
    <externalReference r:id="rId18"/>
    <externalReference r:id="rId19"/>
    <externalReference r:id="rId20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57" l="1"/>
  <c r="E3" i="57"/>
  <c r="B3" i="57"/>
  <c r="H3" i="23"/>
  <c r="BR3" i="23"/>
  <c r="H2" i="23"/>
  <c r="BR2" i="23"/>
  <c r="E10" i="54"/>
  <c r="D10" i="54"/>
  <c r="B10" i="54"/>
  <c r="E9" i="54"/>
  <c r="D9" i="54"/>
  <c r="B9" i="54"/>
  <c r="E5" i="54"/>
  <c r="D5" i="54"/>
  <c r="B5" i="54"/>
  <c r="E6" i="54"/>
  <c r="D6" i="54"/>
  <c r="B6" i="54"/>
  <c r="E3" i="54"/>
  <c r="D3" i="54"/>
  <c r="B3" i="54"/>
  <c r="E4" i="54"/>
  <c r="D4" i="54"/>
  <c r="B4" i="54"/>
  <c r="E7" i="54"/>
  <c r="D7" i="54"/>
  <c r="B7" i="54"/>
  <c r="J4" i="3"/>
  <c r="J3" i="3"/>
  <c r="J5" i="3"/>
  <c r="J2" i="3"/>
  <c r="H5" i="3"/>
  <c r="C5" i="3"/>
  <c r="F5" i="3"/>
  <c r="E5" i="3"/>
  <c r="D5" i="3"/>
  <c r="A5" i="3"/>
  <c r="H4" i="3"/>
  <c r="C4" i="3"/>
  <c r="F4" i="3"/>
  <c r="E4" i="3"/>
  <c r="D4" i="3"/>
  <c r="A4" i="3"/>
  <c r="H3" i="3"/>
  <c r="C3" i="3"/>
  <c r="F3" i="3"/>
  <c r="E3" i="3"/>
  <c r="D3" i="3"/>
  <c r="A3" i="3"/>
  <c r="F2" i="57"/>
  <c r="E2" i="57"/>
  <c r="B2" i="57"/>
  <c r="C2" i="3"/>
  <c r="D2" i="3"/>
  <c r="G3" i="23"/>
  <c r="BC3" i="23"/>
  <c r="BD3" i="23"/>
  <c r="Q3" i="23"/>
  <c r="T3" i="23"/>
  <c r="W3" i="23"/>
  <c r="AB3" i="23"/>
  <c r="I3" i="23"/>
  <c r="K3" i="23"/>
  <c r="BL3" i="23"/>
  <c r="G2" i="23"/>
  <c r="BC2" i="23"/>
  <c r="BD2" i="23"/>
  <c r="Q2" i="23"/>
  <c r="T2" i="23"/>
  <c r="W2" i="23"/>
  <c r="AB2" i="23"/>
  <c r="I2" i="23"/>
  <c r="K2" i="23"/>
  <c r="BL2" i="23"/>
  <c r="V3" i="23"/>
  <c r="AD3" i="23"/>
  <c r="M3" i="23"/>
  <c r="BN3" i="23"/>
  <c r="V2" i="23"/>
  <c r="AD2" i="23"/>
  <c r="M2" i="23"/>
  <c r="BN2" i="23"/>
  <c r="S2" i="23"/>
  <c r="AA2" i="23"/>
  <c r="J2" i="23"/>
  <c r="BK2" i="23"/>
  <c r="S3" i="23"/>
  <c r="AA3" i="23"/>
  <c r="J3" i="23"/>
  <c r="BK3" i="23"/>
  <c r="AL3" i="23"/>
  <c r="H2" i="3"/>
  <c r="G2" i="58"/>
  <c r="U2" i="58"/>
  <c r="T2" i="58"/>
  <c r="R2" i="58"/>
  <c r="B2" i="58"/>
  <c r="D8" i="54"/>
  <c r="D2" i="54"/>
  <c r="E8" i="54"/>
  <c r="E2" i="54"/>
  <c r="B2" i="54"/>
  <c r="G2" i="53"/>
  <c r="AH3" i="23"/>
  <c r="AH2" i="23"/>
  <c r="G10" i="13"/>
  <c r="G11" i="13"/>
  <c r="G9" i="13"/>
  <c r="B2" i="23"/>
  <c r="B3" i="23"/>
  <c r="G3" i="13"/>
  <c r="G4" i="13"/>
  <c r="R3" i="23"/>
  <c r="R2" i="23"/>
  <c r="J2" i="52"/>
  <c r="AQ2" i="23"/>
  <c r="H2" i="53"/>
  <c r="H3" i="53"/>
  <c r="G3" i="53"/>
  <c r="E3" i="53"/>
  <c r="AU3" i="23"/>
  <c r="K3" i="52"/>
  <c r="J3" i="52"/>
  <c r="H3" i="52"/>
  <c r="E3" i="52"/>
  <c r="AQ3" i="23"/>
  <c r="U3" i="23"/>
  <c r="AC3" i="23"/>
  <c r="L3" i="23"/>
  <c r="BM3" i="23"/>
  <c r="BE3" i="23"/>
  <c r="BJ3" i="23"/>
  <c r="BI3" i="23"/>
  <c r="BH3" i="23"/>
  <c r="BG3" i="23"/>
  <c r="BF3" i="23"/>
  <c r="AX3" i="23"/>
  <c r="AW3" i="23"/>
  <c r="AV3" i="23"/>
  <c r="AS3" i="23"/>
  <c r="AR3" i="23"/>
  <c r="AN3" i="23"/>
  <c r="AM3" i="23"/>
  <c r="AK3" i="23"/>
  <c r="AI3" i="23"/>
  <c r="AF3" i="23"/>
  <c r="Y3" i="23"/>
  <c r="Z3" i="23"/>
  <c r="X3" i="23"/>
  <c r="P3" i="23"/>
  <c r="O3" i="23"/>
  <c r="N3" i="23"/>
  <c r="F3" i="23"/>
  <c r="E3" i="23"/>
  <c r="D3" i="23"/>
  <c r="C3" i="23"/>
  <c r="P2" i="58"/>
  <c r="K2" i="52"/>
  <c r="E3" i="49"/>
  <c r="E5" i="49"/>
  <c r="F2" i="3"/>
  <c r="E2" i="3"/>
  <c r="O2" i="58"/>
  <c r="N2" i="58"/>
  <c r="M2" i="58"/>
  <c r="L2" i="58"/>
  <c r="J2" i="58"/>
  <c r="K2" i="58"/>
  <c r="I2" i="58"/>
  <c r="H2" i="58"/>
  <c r="F2" i="58"/>
  <c r="E2" i="58"/>
  <c r="D2" i="58"/>
  <c r="C2" i="58"/>
  <c r="E15" i="49"/>
  <c r="E14" i="49"/>
  <c r="E13" i="49"/>
  <c r="P2" i="23"/>
  <c r="G8" i="13"/>
  <c r="G2" i="13"/>
  <c r="C2" i="23"/>
  <c r="D2" i="23"/>
  <c r="E2" i="23"/>
  <c r="F2" i="23"/>
  <c r="L2" i="23"/>
  <c r="N2" i="23"/>
  <c r="O2" i="23"/>
  <c r="U2" i="23"/>
  <c r="X2" i="23"/>
  <c r="Y2" i="23"/>
  <c r="Z2" i="23"/>
  <c r="AC2" i="23"/>
  <c r="AF2" i="23"/>
  <c r="AI2" i="23"/>
  <c r="AK2" i="23"/>
  <c r="AL2" i="23"/>
  <c r="AM2" i="23"/>
  <c r="AN2" i="23"/>
  <c r="AR2" i="23"/>
  <c r="AS2" i="23"/>
  <c r="AU2" i="23"/>
  <c r="AV2" i="23"/>
  <c r="AW2" i="23"/>
  <c r="AX2" i="23"/>
  <c r="BE2" i="23"/>
  <c r="BF2" i="23"/>
  <c r="BG2" i="23"/>
  <c r="BH2" i="23"/>
  <c r="BM2" i="23"/>
  <c r="BI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B8" i="54"/>
  <c r="E2" i="53"/>
  <c r="H2" i="52"/>
  <c r="E2" i="52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<sst xmlns="http://schemas.openxmlformats.org/spreadsheetml/2006/main" count="885" uniqueCount="365">
  <si>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</si>
  <si>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</si>
  <si>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</si>
  <si>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</si>
  <si>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</si>
  <si>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</si>
  <si>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</si>
  <si>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</si>
  <si>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</si>
  <si>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</si>
  <si>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</si>
  <si>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</si>
  <si>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</si>
  <si>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</si>
  <si>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</si>
  <si>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</si>
  <si>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</si>
  <si>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</si>
  <si>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</si>
  <si>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</si>
  <si>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</si>
  <si>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</si>
  <si>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</si>
  <si>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</si>
  <si>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</si>
  <si>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</si>
  <si>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</si>
  <si>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</si>
  <si>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</si>
  <si>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</si>
  <si>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</si>
  <si>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</si>
  <si>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</si>
  <si>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</si>
  <si>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</si>
  <si>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</si>
  <si>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</si>
  <si>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</si>
  <si>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</si>
  <si>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</si>
  <si>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</si>
  <si>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</si>
  <si>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</si>
  <si>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</si>
  <si>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</si>
  <si>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</si>
  <si>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</si>
  <si>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</si>
  <si>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</si>
  <si>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</si>
  <si>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</si>
  <si>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</si>
  <si>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</si>
  <si>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</si>
  <si>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</si>
  <si>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</si>
  <si>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</si>
  <si>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</si>
  <si>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</si>
  <si>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</si>
  <si>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</si>
  <si>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</si>
  <si>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</si>
  <si>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</si>
  <si>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</si>
  <si>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</si>
  <si>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</si>
  <si>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</si>
  <si>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</si>
  <si>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</si>
  <si>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</si>
  <si>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</si>
  <si>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</si>
  <si>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</si>
  <si>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</si>
  <si>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</si>
  <si>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</si>
  <si>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</si>
  <si>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</si>
  <si>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</si>
  <si>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</si>
  <si>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</si>
  <si>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</si>
  <si>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</si>
  <si>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</si>
  <si>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</si>
  <si>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</si>
  <si>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</si>
  <si>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</si>
  <si>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</si>
  <si>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</si>
  <si>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</si>
  <si>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</si>
  <si>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</si>
  <si>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</si>
  <si>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</si>
  <si>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</si>
  <si>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</si>
  <si>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</si>
  <si>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</si>
  <si>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</si>
  <si>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</si>
  <si>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</si>
  <si>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</si>
  <si>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</si>
  <si>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</si>
  <si>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</si>
  <si>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</si>
  <si>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</si>
  <si>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</si>
  <si>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</si>
  <si>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</si>
  <si>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</si>
  <si>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</si>
  <si>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</si>
  <si>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</si>
  <si>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</si>
  <si>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</si>
  <si>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</si>
  <si>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</si>
  <si>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</si>
  <si>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</si>
  <si>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</si>
  <si>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</si>
  <si>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</si>
  <si>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</si>
  <si>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</si>
  <si>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</si>
  <si>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</si>
  <si>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</si>
  <si>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</si>
  <si>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</si>
  <si>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</si>
  <si>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</si>
  <si>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</si>
  <si>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</si>
  <si>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</si>
  <si>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</si>
  <si>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</si>
  <si>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</si>
  <si>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</si>
  <si>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</si>
  <si>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</si>
  <si>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</si>
  <si>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</si>
  <si>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</si>
  <si>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</si>
  <si>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</si>
  <si>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</si>
  <si>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</si>
  <si>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</si>
  <si>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</si>
  <si>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</si>
  <si>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</si>
  <si>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</si>
  <si>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</si>
  <si>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</si>
  <si>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</si>
  <si>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</si>
  <si>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</si>
  <si>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</si>
  <si>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</si>
  <si>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</si>
  <si>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</si>
  <si>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</si>
  <si>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</si>
  <si>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</si>
  <si>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</si>
  <si>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</si>
  <si>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</si>
  <si>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</si>
  <si>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</si>
  <si>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</si>
  <si>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</si>
  <si>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</si>
  <si>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</si>
  <si>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</si>
  <si>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</si>
  <si>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</si>
  <si>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</si>
  <si>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</si>
  <si>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</si>
  <si>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</si>
  <si>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</si>
  <si>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</si>
  <si>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</si>
  <si>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</si>
  <si>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</si>
  <si>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</si>
  <si>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</si>
  <si>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</si>
  <si>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</si>
  <si>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</si>
  <si>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</si>
  <si>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</si>
  <si>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</si>
  <si>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</si>
  <si>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</si>
  <si>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</si>
  <si>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</si>
  <si>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</si>
  <si>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</si>
  <si>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</si>
  <si>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</si>
  <si>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</si>
  <si>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</si>
  <si>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</si>
  <si>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</si>
  <si>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</si>
  <si>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</si>
  <si>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</si>
  <si>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</si>
  <si>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</si>
  <si>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</si>
  <si>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</si>
  <si>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</si>
  <si>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</si>
  <si>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</si>
  <si>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</si>
  <si>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</si>
  <si>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</si>
  <si>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</si>
  <si>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</si>
  <si>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</si>
  <si>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</si>
  <si>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</si>
  <si>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</si>
  <si>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</si>
  <si>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</si>
  <si>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</si>
  <si>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</si>
  <si>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</si>
  <si>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</si>
  <si>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</si>
  <si>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</si>
  <si>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</si>
  <si>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</si>
  <si>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</si>
  <si>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</si>
  <si>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</si>
  <si>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</si>
  <si>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</si>
  <si>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</si>
  <si>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</si>
  <si>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</si>
  <si>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</si>
  <si>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</si>
  <si>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</si>
  <si>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</si>
  <si>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</si>
  <si>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</si>
  <si>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abilities_</t>
    <phoneticPr fontId="22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</si>
  <si>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</si>
  <si>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</si>
  <si>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</si>
  <si>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</si>
  <si>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</si>
  <si>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</si>
  <si>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</si>
  <si>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</si>
  <si>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</si>
  <si>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</si>
  <si>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</si>
  <si>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</si>
  <si>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</si>
  <si>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</si>
  <si>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</si>
  <si>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</si>
  <si>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</si>
  <si>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</si>
  <si>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</si>
  <si>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</si>
  <si>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</si>
  <si>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</si>
  <si>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</si>
  <si>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</si>
  <si>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</si>
  <si>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</si>
  <si>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</si>
  <si>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</si>
  <si>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</si>
  <si>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</si>
  <si>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</si>
  <si>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</si>
  <si>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</si>
  <si>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</si>
  <si>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</si>
  <si>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</si>
  <si>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</si>
  <si>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</si>
  <si>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</si>
  <si>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</si>
  <si>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</si>
  <si>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</si>
  <si>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</si>
  <si>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</si>
  <si>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</si>
  <si>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</si>
  <si>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</si>
  <si>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</si>
  <si>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</si>
  <si>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</si>
  <si>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</si>
  <si>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</si>
  <si>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</si>
  <si>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</si>
  <si>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</si>
  <si>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</si>
  <si>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</si>
  <si>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</si>
  <si>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</si>
  <si>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</si>
  <si>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</si>
  <si>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</si>
  <si>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old</t>
  </si>
  <si>
    <t>30</t>
    <phoneticPr fontId="22"/>
  </si>
  <si>
    <t>units_</t>
    <phoneticPr fontId="22"/>
  </si>
  <si>
    <t>wizonly</t>
    <phoneticPr fontId="22"/>
  </si>
  <si>
    <t>イリニ•アナタラクシ</t>
    <phoneticPr fontId="22"/>
  </si>
  <si>
    <t>パラス•エクリクシス</t>
    <phoneticPr fontId="22"/>
  </si>
  <si>
    <t>アイギスの閃礼</t>
    <phoneticPr fontId="22"/>
  </si>
  <si>
    <t>グラウクスの迅雷</t>
    <phoneticPr fontId="22"/>
  </si>
  <si>
    <t>悔い改めなさいッ！</t>
    <phoneticPr fontId="22"/>
  </si>
  <si>
    <t>禁則事項よッ！</t>
    <phoneticPr fontId="22"/>
  </si>
  <si>
    <t>いい加減諦めなさい！</t>
    <phoneticPr fontId="22"/>
  </si>
  <si>
    <t>giza</t>
    <phoneticPr fontId="22"/>
  </si>
  <si>
    <t>kumo</t>
    <phoneticPr fontId="22"/>
  </si>
  <si>
    <t>giza</t>
    <phoneticPr fontId="22"/>
  </si>
  <si>
    <t>giza</t>
    <phoneticPr fontId="22"/>
  </si>
  <si>
    <t>悪者は許さないんだから！</t>
    <phoneticPr fontId="22"/>
  </si>
  <si>
    <t>お父様直伝の技ッ！！</t>
  </si>
  <si>
    <t>さぁ神に誓いなさい！</t>
    <phoneticPr fontId="22"/>
  </si>
  <si>
    <t>[effect:damage, target:enemy_one, color:yellow, val:2.25, animation:damage_one_yellow04]</t>
    <phoneticPr fontId="22"/>
  </si>
  <si>
    <t>[effect:enhance_unit, target:unit_all, turn:1, status:defense, val:1600, calc:add, animation:enhance_unit_all_defense02_unit02]</t>
    <phoneticPr fontId="22"/>
  </si>
  <si>
    <t xml:space="preserve">1ターンの間全ユニットの防御力大UP   </t>
    <phoneticPr fontId="22"/>
  </si>
  <si>
    <t>NULL</t>
    <phoneticPr fontId="10"/>
  </si>
  <si>
    <t>敵1体に特大ダメージ</t>
    <phoneticPr fontId="22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</si>
  <si>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</si>
  <si>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</si>
  <si>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</si>
  <si>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</si>
  <si>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</si>
  <si>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</si>
  <si>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</si>
  <si>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</si>
  <si>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</si>
  <si>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</si>
  <si>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</si>
  <si>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</si>
  <si>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</si>
  <si>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</si>
  <si>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</si>
  <si>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</si>
  <si>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</si>
  <si>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</si>
  <si>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</si>
  <si>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</si>
  <si>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sell_ghosts</t>
    <phoneticPr fontId="10"/>
  </si>
  <si>
    <t>sell_ghosts</t>
    <phoneticPr fontId="22"/>
  </si>
  <si>
    <t>1体に超大ダメージ+
HP回復+1ターン全ユニットの防御力小UP</t>
    <phoneticPr fontId="22"/>
  </si>
  <si>
    <t>[effect:damage, target:enemy_one, color:yellow, val:2, animation:damage_one_yellow04],[effect:heal_ratio, val:0.18, animation:heal02_unit01],[effect:enhance_unit, target:unit_all, turn:1, status:defense, val:18, calc:add, animation:enhance_unit_all_defense01_unit01]</t>
    <phoneticPr fontId="22"/>
  </si>
  <si>
    <t>60</t>
    <phoneticPr fontId="22"/>
  </si>
  <si>
    <t>skip</t>
  </si>
  <si>
    <t>[effect:force_change_block, new_block:block_yellow, target:block_red, count:0, val:0, animation:change_block],[effect:break_enchance_unit, target:unit_all, val:24, lowest_val:1440, count :-1, status:defense, turn:3, block01:block_blue, block02:block_green, block03:jammer, calc:add, animation:enhance_unit_all_defense02],[effect:enhance_unit, target:unit_machine/unit_dragon/or, turn:3, status:attack, val:0.21, calc:mul, animation:enhance_unit_all_attack04]</t>
    <phoneticPr fontId="22"/>
  </si>
  <si>
    <t>赤を黄に変換+3ターン全ユニットの防御力UP(青･緑･お邪魔パネルを吸収し効果特大UP)、種族マシン･ドラゴンの攻撃力特大UP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</si>
</sst>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  <font>
      <sz val="12"/>
      <color theme="1"/>
      <name val="MS PGothic"/>
      <family val="3"/>
      <charset val="128"/>
    </font>
  </fonts>
  <fills count="29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6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94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 wrapText="1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0" borderId="4" xfId="0" applyFont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16" fillId="0" borderId="4" xfId="0" applyFont="1" applyFill="1" applyBorder="1"/>
    <xf numFmtId="0" fontId="13" fillId="0" borderId="0" xfId="0" applyFont="1" applyAlignment="1">
      <alignment vertical="center"/>
    </xf>
    <xf numFmtId="0" fontId="29" fillId="0" borderId="0" xfId="0" applyFont="1"/>
  </cellXfs>
  <cellStyles count="4586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ハイパーリンク" xfId="4584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表示済みのハイパーリンク" xfId="4585" builtinId="9" hidden="1"/>
    <cellStyle name="赤字強調" xfId="4"/>
    <cellStyle name="青字強調" xfId="3"/>
  </cellStyles>
  <dxfs count="32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theme" Target="theme/theme1.xml"/><Relationship Id="rId22" Type="http://schemas.openxmlformats.org/officeDocument/2006/relationships/styles" Target="styles.xml"/><Relationship Id="rId23" Type="http://schemas.openxmlformats.org/officeDocument/2006/relationships/sharedStrings" Target="sharedStrings.xml"/><Relationship Id="rId24" Type="http://schemas.openxmlformats.org/officeDocument/2006/relationships/calcChain" Target="calcChain.xml"/><Relationship Id="rId25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Material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  <cell r="U1807" t="str">
            <v>NULL</v>
          </cell>
          <cell r="V1807" t="str">
            <v>NULL</v>
          </cell>
          <cell r="W1807" t="str">
            <v>NULL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  <cell r="U1808" t="str">
            <v>NULL</v>
          </cell>
          <cell r="V1808" t="str">
            <v>NULL</v>
          </cell>
          <cell r="W1808" t="str">
            <v>NULL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  <cell r="U1809" t="str">
            <v>NULL</v>
          </cell>
          <cell r="V1809" t="str">
            <v>NULL</v>
          </cell>
          <cell r="W1809" t="str">
            <v>NULL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  <cell r="U1810" t="str">
            <v>NULL</v>
          </cell>
          <cell r="V1810" t="str">
            <v>NULL</v>
          </cell>
          <cell r="W1810" t="str">
            <v>NULL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  <cell r="U1811" t="str">
            <v>NULL</v>
          </cell>
          <cell r="V1811" t="str">
            <v>NULL</v>
          </cell>
          <cell r="W1811" t="str">
            <v>NULL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  <cell r="U1812" t="str">
            <v>NULL</v>
          </cell>
          <cell r="V1812" t="str">
            <v>NULL</v>
          </cell>
          <cell r="W1812" t="str">
            <v>NULL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  <cell r="U1813" t="str">
            <v>NULL</v>
          </cell>
          <cell r="V1813" t="str">
            <v>NULL</v>
          </cell>
          <cell r="W1813" t="str">
            <v>NULL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  <cell r="U1814" t="str">
            <v>NULL</v>
          </cell>
          <cell r="V1814" t="str">
            <v>NULL</v>
          </cell>
          <cell r="W1814" t="str">
            <v>NULL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  <cell r="U1815" t="str">
            <v>NULL</v>
          </cell>
          <cell r="V1815" t="str">
            <v>NULL</v>
          </cell>
          <cell r="W1815" t="str">
            <v>NULL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  <cell r="U1816" t="str">
            <v>NULL</v>
          </cell>
          <cell r="V1816" t="str">
            <v>NULL</v>
          </cell>
          <cell r="W1816" t="str">
            <v>NULL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  <cell r="U1817" t="str">
            <v>NULL</v>
          </cell>
          <cell r="V1817" t="str">
            <v>NULL</v>
          </cell>
          <cell r="W1817" t="str">
            <v>NULL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  <cell r="U1818" t="str">
            <v>NULL</v>
          </cell>
          <cell r="V1818" t="str">
            <v>NULL</v>
          </cell>
          <cell r="W1818" t="str">
            <v>NULL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  <cell r="U1819" t="str">
            <v>NULL</v>
          </cell>
          <cell r="V1819" t="str">
            <v>NULL</v>
          </cell>
          <cell r="W1819" t="str">
            <v>NULL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  <cell r="U1820" t="str">
            <v>NULL</v>
          </cell>
          <cell r="V1820" t="str">
            <v>NULL</v>
          </cell>
          <cell r="W1820" t="str">
            <v>NULL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  <cell r="U1821" t="str">
            <v>NULL</v>
          </cell>
          <cell r="V1821" t="str">
            <v>NULL</v>
          </cell>
          <cell r="W1821" t="str">
            <v>NULL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  <cell r="U1822" t="str">
            <v>NULL</v>
          </cell>
          <cell r="V1822" t="str">
            <v>NULL</v>
          </cell>
          <cell r="W1822" t="str">
            <v>NULL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  <cell r="U1823" t="str">
            <v>NULL</v>
          </cell>
          <cell r="V1823" t="str">
            <v>NULL</v>
          </cell>
          <cell r="W1823" t="str">
            <v>NULL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  <cell r="U1824" t="str">
            <v>NULL</v>
          </cell>
          <cell r="V1824" t="str">
            <v>NULL</v>
          </cell>
          <cell r="W1824" t="str">
            <v>NULL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  <cell r="U1825" t="str">
            <v>NULL</v>
          </cell>
          <cell r="V1825" t="str">
            <v>NULL</v>
          </cell>
          <cell r="W1825" t="str">
            <v>NULL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  <cell r="U1826" t="str">
            <v>NULL</v>
          </cell>
          <cell r="V1826" t="str">
            <v>NULL</v>
          </cell>
          <cell r="W1826" t="str">
            <v>NULL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  <cell r="U1827" t="str">
            <v>NULL</v>
          </cell>
          <cell r="V1827" t="str">
            <v>NULL</v>
          </cell>
          <cell r="W1827" t="str">
            <v>NULL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  <cell r="U1828" t="str">
            <v>NULL</v>
          </cell>
          <cell r="V1828" t="str">
            <v>NULL</v>
          </cell>
          <cell r="W1828" t="str">
            <v>NULL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  <cell r="U1829" t="str">
            <v>NULL</v>
          </cell>
          <cell r="V1829" t="str">
            <v>NULL</v>
          </cell>
          <cell r="W1829" t="str">
            <v>NULL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  <cell r="U1830" t="str">
            <v>NULL</v>
          </cell>
          <cell r="V1830" t="str">
            <v>NULL</v>
          </cell>
          <cell r="W1830" t="str">
            <v>NULL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  <cell r="U1831" t="str">
            <v>NULL</v>
          </cell>
          <cell r="V1831" t="str">
            <v>NULL</v>
          </cell>
          <cell r="W1831" t="str">
            <v>NULL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  <cell r="U1832" t="str">
            <v>NULL</v>
          </cell>
          <cell r="V1832" t="str">
            <v>NULL</v>
          </cell>
          <cell r="W1832" t="str">
            <v>NULL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  <cell r="U1833" t="str">
            <v>NULL</v>
          </cell>
          <cell r="V1833" t="str">
            <v>NULL</v>
          </cell>
          <cell r="W1833" t="str">
            <v>NULL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  <cell r="U1834" t="str">
            <v>NULL</v>
          </cell>
          <cell r="V1834" t="str">
            <v>NULL</v>
          </cell>
          <cell r="W1834" t="str">
            <v>NULL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  <cell r="U1835" t="str">
            <v>NULL</v>
          </cell>
          <cell r="V1835" t="str">
            <v>NULL</v>
          </cell>
          <cell r="W1835" t="str">
            <v>NULL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  <cell r="U1836" t="str">
            <v>NULL</v>
          </cell>
          <cell r="V1836" t="str">
            <v>NULL</v>
          </cell>
          <cell r="W1836" t="str">
            <v>NULL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  <cell r="U1837" t="str">
            <v>NULL</v>
          </cell>
          <cell r="V1837" t="str">
            <v>NULL</v>
          </cell>
          <cell r="W1837" t="str">
            <v>NULL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  <cell r="U1838" t="str">
            <v>NULL</v>
          </cell>
          <cell r="V1838" t="str">
            <v>NULL</v>
          </cell>
          <cell r="W1838" t="str">
            <v>NULL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  <cell r="U1839" t="str">
            <v>NULL</v>
          </cell>
          <cell r="V1839" t="str">
            <v>NULL</v>
          </cell>
          <cell r="W1839" t="str">
            <v>NULL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  <cell r="U1840" t="str">
            <v>NULL</v>
          </cell>
          <cell r="V1840" t="str">
            <v>NULL</v>
          </cell>
          <cell r="W1840" t="str">
            <v>NULL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  <cell r="U1841" t="str">
            <v>NULL</v>
          </cell>
          <cell r="V1841" t="str">
            <v>NULL</v>
          </cell>
          <cell r="W1841" t="str">
            <v>NULL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  <cell r="U1842" t="str">
            <v>NULL</v>
          </cell>
          <cell r="V1842" t="str">
            <v>NULL</v>
          </cell>
          <cell r="W1842" t="str">
            <v>NULL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  <cell r="U1843" t="str">
            <v>NULL</v>
          </cell>
          <cell r="V1843" t="str">
            <v>NULL</v>
          </cell>
          <cell r="W1843" t="str">
            <v>NULL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  <cell r="U1844" t="str">
            <v>NULL</v>
          </cell>
          <cell r="V1844" t="str">
            <v>NULL</v>
          </cell>
          <cell r="W1844" t="str">
            <v>NULL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  <cell r="U1845" t="str">
            <v>NULL</v>
          </cell>
          <cell r="V1845" t="str">
            <v>NULL</v>
          </cell>
          <cell r="W1845" t="str">
            <v>NULL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  <cell r="U1846" t="str">
            <v>NULL</v>
          </cell>
          <cell r="V1846" t="str">
            <v>NULL</v>
          </cell>
          <cell r="W1846" t="str">
            <v>NULL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  <cell r="U1847" t="str">
            <v>NULL</v>
          </cell>
          <cell r="V1847" t="str">
            <v>NULL</v>
          </cell>
          <cell r="W1847" t="str">
            <v>NULL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  <cell r="U1848" t="str">
            <v>NULL</v>
          </cell>
          <cell r="V1848" t="str">
            <v>NULL</v>
          </cell>
          <cell r="W1848" t="str">
            <v>NULL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  <cell r="U1849" t="str">
            <v>NULL</v>
          </cell>
          <cell r="V1849" t="str">
            <v>NULL</v>
          </cell>
          <cell r="W1849" t="str">
            <v>NULL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  <cell r="U1850" t="str">
            <v>NULL</v>
          </cell>
          <cell r="V1850" t="str">
            <v>NULL</v>
          </cell>
          <cell r="W1850" t="str">
            <v>NULL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  <cell r="U1851" t="str">
            <v>NULL</v>
          </cell>
          <cell r="V1851" t="str">
            <v>NULL</v>
          </cell>
          <cell r="W1851" t="str">
            <v>NULL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  <cell r="U1852" t="str">
            <v>NULL</v>
          </cell>
          <cell r="V1852" t="str">
            <v>NULL</v>
          </cell>
          <cell r="W1852" t="str">
            <v>NULL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  <cell r="U1853" t="str">
            <v>NULL</v>
          </cell>
          <cell r="V1853" t="str">
            <v>NULL</v>
          </cell>
          <cell r="W1853" t="str">
            <v>NULL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  <cell r="U1854" t="str">
            <v>NULL</v>
          </cell>
          <cell r="V1854" t="str">
            <v>NULL</v>
          </cell>
          <cell r="W1854" t="str">
            <v>NULL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  <cell r="U1855" t="str">
            <v>NULL</v>
          </cell>
          <cell r="V1855" t="str">
            <v>NULL</v>
          </cell>
          <cell r="W1855" t="str">
            <v>NULL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  <cell r="U1856" t="str">
            <v>NULL</v>
          </cell>
          <cell r="V1856" t="str">
            <v>NULL</v>
          </cell>
          <cell r="W1856" t="str">
            <v>NULL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  <cell r="U1857" t="str">
            <v>NULL</v>
          </cell>
          <cell r="V1857" t="str">
            <v>NULL</v>
          </cell>
          <cell r="W1857" t="str">
            <v>NULL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  <cell r="U1858" t="str">
            <v>NULL</v>
          </cell>
          <cell r="V1858" t="str">
            <v>NULL</v>
          </cell>
          <cell r="W1858" t="str">
            <v>NULL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  <cell r="U1859" t="str">
            <v>NULL</v>
          </cell>
          <cell r="V1859" t="str">
            <v>NULL</v>
          </cell>
          <cell r="W1859" t="str">
            <v>NULL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  <cell r="U1860" t="str">
            <v>NULL</v>
          </cell>
          <cell r="V1860" t="str">
            <v>NULL</v>
          </cell>
          <cell r="W1860" t="str">
            <v>NULL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  <cell r="U1861" t="str">
            <v>NULL</v>
          </cell>
          <cell r="V1861" t="str">
            <v>NULL</v>
          </cell>
          <cell r="W1861" t="str">
            <v>NULL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  <cell r="U1862" t="str">
            <v>NULL</v>
          </cell>
          <cell r="V1862" t="str">
            <v>NULL</v>
          </cell>
          <cell r="W1862" t="str">
            <v>NULL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  <cell r="U1863" t="str">
            <v>NULL</v>
          </cell>
          <cell r="V1863" t="str">
            <v>NULL</v>
          </cell>
          <cell r="W1863" t="str">
            <v>NULL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  <cell r="U1864" t="str">
            <v>NULL</v>
          </cell>
          <cell r="V1864" t="str">
            <v>NULL</v>
          </cell>
          <cell r="W1864" t="str">
            <v>NULL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  <cell r="U1865" t="str">
            <v>NULL</v>
          </cell>
          <cell r="V1865" t="str">
            <v>NULL</v>
          </cell>
          <cell r="W1865" t="str">
            <v>NULL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  <cell r="U1866" t="str">
            <v>NULL</v>
          </cell>
          <cell r="V1866" t="str">
            <v>NULL</v>
          </cell>
          <cell r="W1866" t="str">
            <v>NULL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  <cell r="U1867" t="str">
            <v>NULL</v>
          </cell>
          <cell r="V1867" t="str">
            <v>NULL</v>
          </cell>
          <cell r="W1867" t="str">
            <v>NULL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  <cell r="U1868" t="str">
            <v>NULL</v>
          </cell>
          <cell r="V1868" t="str">
            <v>NULL</v>
          </cell>
          <cell r="W1868" t="str">
            <v>NULL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  <cell r="U1869" t="str">
            <v>NULL</v>
          </cell>
          <cell r="V1869" t="str">
            <v>NULL</v>
          </cell>
          <cell r="W1869" t="str">
            <v>NULL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  <cell r="U1870" t="str">
            <v>NULL</v>
          </cell>
          <cell r="V1870" t="str">
            <v>NULL</v>
          </cell>
          <cell r="W1870" t="str">
            <v>NULL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  <cell r="U1871" t="str">
            <v>NULL</v>
          </cell>
          <cell r="V1871" t="str">
            <v>NULL</v>
          </cell>
          <cell r="W1871" t="str">
            <v>NULL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  <cell r="U1872" t="str">
            <v>NULL</v>
          </cell>
          <cell r="V1872" t="str">
            <v>NULL</v>
          </cell>
          <cell r="W1872" t="str">
            <v>NULL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  <cell r="U1873" t="str">
            <v>NULL</v>
          </cell>
          <cell r="V1873" t="str">
            <v>NULL</v>
          </cell>
          <cell r="W1873" t="str">
            <v>NULL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  <cell r="U1874" t="str">
            <v>NULL</v>
          </cell>
          <cell r="V1874" t="str">
            <v>NULL</v>
          </cell>
          <cell r="W1874" t="str">
            <v>NULL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  <cell r="U1875" t="str">
            <v>NULL</v>
          </cell>
          <cell r="V1875" t="str">
            <v>NULL</v>
          </cell>
          <cell r="W187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 refreshError="1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自身が先頭の時、時限式ダメージパネルを直接破壊できる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自身が先頭の時、時限式ダメージパネルを直接破壊できる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自身が先頭の時、時限式ダメージパネルを直接破壊できる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150</v>
          </cell>
          <cell r="B12" t="str">
            <v>ja</v>
          </cell>
          <cell r="C12" t="str">
            <v>フィーバー90 プロテクトブレイク</v>
          </cell>
          <cell r="D12" t="str">
            <v>自身が先頭でフィーバーゲージが90％以上の時、プロテクトを無視してパネル破壊できる</v>
          </cell>
        </row>
        <row r="13">
          <cell r="A13">
            <v>151</v>
          </cell>
          <cell r="B13" t="str">
            <v>ja</v>
          </cell>
          <cell r="C13" t="str">
            <v>フィーバー20以下 お邪魔ブレイク</v>
          </cell>
          <cell r="D13" t="str">
            <v>自身が先頭でフィーバーゲージが20％以下の時、お邪魔パネルを破壊できる</v>
          </cell>
        </row>
        <row r="14">
          <cell r="A14">
            <v>152</v>
          </cell>
          <cell r="B14" t="str">
            <v>ja</v>
          </cell>
          <cell r="C14" t="str">
            <v>HP50%以上 お邪魔ブレイク</v>
          </cell>
          <cell r="D14" t="str">
            <v>自身が先頭の時、残りHPが50%以上でお邪魔パネルを破壊できる</v>
          </cell>
        </row>
        <row r="15">
          <cell r="A15">
            <v>200</v>
          </cell>
          <cell r="B15" t="str">
            <v>ja</v>
          </cell>
          <cell r="C15" t="str">
            <v>ウィルス無効</v>
          </cell>
          <cell r="D15" t="str">
            <v>自身にかかるウィルスを無効化する</v>
          </cell>
        </row>
        <row r="16">
          <cell r="A16">
            <v>201</v>
          </cell>
          <cell r="B16" t="str">
            <v>ja</v>
          </cell>
          <cell r="C16" t="str">
            <v>スキルバインド無効</v>
          </cell>
          <cell r="D16" t="str">
            <v>自身にかかるスキルバインドを無効化する</v>
          </cell>
        </row>
        <row r="17">
          <cell r="A17">
            <v>202</v>
          </cell>
          <cell r="B17" t="str">
            <v>ja</v>
          </cell>
          <cell r="C17" t="str">
            <v>スリープ無効</v>
          </cell>
          <cell r="D17" t="str">
            <v>自身にかかるスリープを無効化する</v>
          </cell>
        </row>
        <row r="18">
          <cell r="A18">
            <v>203</v>
          </cell>
          <cell r="B18" t="str">
            <v>ja</v>
          </cell>
          <cell r="C18" t="str">
            <v>爆風軽減無効</v>
          </cell>
          <cell r="D18" t="str">
            <v>自身が先頭の時、爆風軽減を無効化する</v>
          </cell>
        </row>
        <row r="19">
          <cell r="A19">
            <v>204</v>
          </cell>
          <cell r="B19" t="str">
            <v>ja</v>
          </cell>
          <cell r="C19" t="str">
            <v>爆風強化</v>
          </cell>
          <cell r="D19" t="str">
            <v>自身が先頭の時、ボムの爆風を強化する</v>
          </cell>
        </row>
        <row r="20">
          <cell r="A20">
            <v>205</v>
          </cell>
          <cell r="B20" t="str">
            <v>ja</v>
          </cell>
          <cell r="C20" t="str">
            <v>ハート無効化耐性</v>
          </cell>
          <cell r="D20" t="str">
            <v>自身が先頭の時、ハート無効化の影響を受けない</v>
          </cell>
        </row>
        <row r="21">
          <cell r="A21">
            <v>206</v>
          </cell>
          <cell r="B21" t="str">
            <v>ja</v>
          </cell>
          <cell r="C21" t="str">
            <v>赤・緑パネル無効化耐性</v>
          </cell>
          <cell r="D21" t="str">
            <v>自身が先頭の時、赤・緑パネル無効化の影響を受けない</v>
          </cell>
        </row>
        <row r="22">
          <cell r="A22">
            <v>207</v>
          </cell>
          <cell r="B22" t="str">
            <v>ja</v>
          </cell>
          <cell r="C22" t="str">
            <v>赤・青パネル無効化耐性</v>
          </cell>
          <cell r="D22" t="str">
            <v>自身が先頭の時、赤・青パネル無効化の影響を受けない</v>
          </cell>
        </row>
        <row r="23">
          <cell r="A23">
            <v>208</v>
          </cell>
          <cell r="B23" t="str">
            <v>ja</v>
          </cell>
          <cell r="C23" t="str">
            <v>黄・緑パネル無効化耐性</v>
          </cell>
          <cell r="D23" t="str">
            <v>自身が先頭の時、黄・緑パネル無効化の影響を受けない</v>
          </cell>
        </row>
        <row r="24">
          <cell r="A24">
            <v>209</v>
          </cell>
          <cell r="B24" t="str">
            <v>ja</v>
          </cell>
          <cell r="C24" t="str">
            <v>黄・ハートパネル無効化耐性</v>
          </cell>
          <cell r="D24" t="str">
            <v>自身が先頭の時、黄・ハートパネル無効化の影響を受けない</v>
          </cell>
        </row>
        <row r="25">
          <cell r="A25">
            <v>210</v>
          </cell>
          <cell r="B25" t="str">
            <v>ja</v>
          </cell>
          <cell r="C25" t="str">
            <v>緑・赤・青・黄パネル無効化耐性</v>
          </cell>
          <cell r="D25" t="str">
            <v>自身が先頭の時、緑・赤・青・黄パネル無効化の影響を受けない</v>
          </cell>
        </row>
        <row r="26">
          <cell r="A26">
            <v>211</v>
          </cell>
          <cell r="B26" t="str">
            <v>ja</v>
          </cell>
          <cell r="C26" t="str">
            <v>全パネル無効化耐性</v>
          </cell>
          <cell r="D26" t="str">
            <v>自身が先頭の時、全てのパネル無効化の影響を受けない</v>
          </cell>
        </row>
        <row r="27">
          <cell r="A27">
            <v>300</v>
          </cell>
          <cell r="B27" t="str">
            <v>ja</v>
          </cell>
          <cell r="C27" t="str">
            <v>対ゴッド ダメージUP</v>
          </cell>
          <cell r="D27" t="str">
            <v>自身の攻撃対象が種族ゴッドの場合全ての攻撃の威力をUP</v>
          </cell>
        </row>
        <row r="28">
          <cell r="A28">
            <v>301</v>
          </cell>
          <cell r="B28" t="str">
            <v>ja</v>
          </cell>
          <cell r="C28" t="str">
            <v>対ゴッド ダメージ大UP</v>
          </cell>
          <cell r="D28" t="str">
            <v>自身の攻撃対象が種族ゴッドの場合全ての攻撃の威力をUP</v>
          </cell>
        </row>
        <row r="29">
          <cell r="A29">
            <v>302</v>
          </cell>
          <cell r="B29" t="str">
            <v>ja</v>
          </cell>
          <cell r="C29" t="str">
            <v>対ゴッド ダメージ特大UP</v>
          </cell>
          <cell r="D29" t="str">
            <v>自身の攻撃対象が種族ゴッドの場合全ての攻撃の威力をUP</v>
          </cell>
        </row>
        <row r="30">
          <cell r="A30">
            <v>303</v>
          </cell>
          <cell r="B30" t="str">
            <v>ja</v>
          </cell>
          <cell r="C30" t="str">
            <v>対ゴッド ダメージ超大UP</v>
          </cell>
          <cell r="D30" t="str">
            <v>自身の攻撃対象が種族ゴッドの場合全ての攻撃の威力をUP</v>
          </cell>
        </row>
        <row r="31">
          <cell r="A31">
            <v>304</v>
          </cell>
          <cell r="B31" t="str">
            <v>ja</v>
          </cell>
          <cell r="C31" t="str">
            <v>対ヒューマン ダメージUP</v>
          </cell>
          <cell r="D31" t="str">
            <v>自身の攻撃対象が種族ヒューマンの場合全ての攻撃の威力をUP</v>
          </cell>
        </row>
        <row r="32">
          <cell r="A32">
            <v>305</v>
          </cell>
          <cell r="B32" t="str">
            <v>ja</v>
          </cell>
          <cell r="C32" t="str">
            <v>対ヒューマン ダメージUP</v>
          </cell>
          <cell r="D32" t="str">
            <v>自身の攻撃対象が種族ヒューマンの場合全ての攻撃の威力をUP</v>
          </cell>
        </row>
        <row r="33">
          <cell r="A33">
            <v>306</v>
          </cell>
          <cell r="B33" t="str">
            <v>ja</v>
          </cell>
          <cell r="C33" t="str">
            <v>対ヒューマン ダメージUP</v>
          </cell>
          <cell r="D33" t="str">
            <v>自身の攻撃対象が種族ヒューマンの場合全ての攻撃の威力をUP</v>
          </cell>
        </row>
        <row r="34">
          <cell r="A34">
            <v>307</v>
          </cell>
          <cell r="B34" t="str">
            <v>ja</v>
          </cell>
          <cell r="C34" t="str">
            <v>対ヒューマン ダメージUP</v>
          </cell>
          <cell r="D34" t="str">
            <v>自身の攻撃対象が種族ヒューマンの場合全ての攻撃の威力をUP</v>
          </cell>
        </row>
        <row r="35">
          <cell r="A35">
            <v>308</v>
          </cell>
          <cell r="B35" t="str">
            <v>ja</v>
          </cell>
          <cell r="C35" t="str">
            <v>対アニマル ダメージUP</v>
          </cell>
          <cell r="D35" t="str">
            <v>自身の攻撃対象が種族アニマルの場合全ての攻撃の威力をUP</v>
          </cell>
        </row>
        <row r="36">
          <cell r="A36">
            <v>309</v>
          </cell>
          <cell r="B36" t="str">
            <v>ja</v>
          </cell>
          <cell r="C36" t="str">
            <v>対アニマル ダメージUP</v>
          </cell>
          <cell r="D36" t="str">
            <v>自身の攻撃対象が種族アニマルの場合全ての攻撃の威力をUP</v>
          </cell>
        </row>
        <row r="37">
          <cell r="A37">
            <v>310</v>
          </cell>
          <cell r="B37" t="str">
            <v>ja</v>
          </cell>
          <cell r="C37" t="str">
            <v>対アニマル ダメージUP</v>
          </cell>
          <cell r="D37" t="str">
            <v>自身の攻撃対象が種族アニマルの場合全ての攻撃の威力をUP</v>
          </cell>
        </row>
        <row r="38">
          <cell r="A38">
            <v>311</v>
          </cell>
          <cell r="B38" t="str">
            <v>ja</v>
          </cell>
          <cell r="C38" t="str">
            <v>対アニマル ダメージUP</v>
          </cell>
          <cell r="D38" t="str">
            <v>自身の攻撃対象が種族アニマルの場合全ての攻撃の威力をUP</v>
          </cell>
        </row>
        <row r="39">
          <cell r="A39">
            <v>312</v>
          </cell>
          <cell r="B39" t="str">
            <v>ja</v>
          </cell>
          <cell r="C39" t="str">
            <v>対ドラゴン ダメージUP</v>
          </cell>
          <cell r="D39" t="str">
            <v>自身の攻撃対象が種族ドラゴンの場合全ての攻撃の威力をUP</v>
          </cell>
        </row>
        <row r="40">
          <cell r="A40">
            <v>313</v>
          </cell>
          <cell r="B40" t="str">
            <v>ja</v>
          </cell>
          <cell r="C40" t="str">
            <v>対ドラゴン ダメージUP</v>
          </cell>
          <cell r="D40" t="str">
            <v>自身の攻撃対象が種族ドラゴンの場合全ての攻撃の威力をUP</v>
          </cell>
        </row>
        <row r="41">
          <cell r="A41">
            <v>314</v>
          </cell>
          <cell r="B41" t="str">
            <v>ja</v>
          </cell>
          <cell r="C41" t="str">
            <v>対ドラゴン ダメージUP</v>
          </cell>
          <cell r="D41" t="str">
            <v>自身の攻撃対象が種族ドラゴンの場合全ての攻撃の威力をUP</v>
          </cell>
        </row>
        <row r="42">
          <cell r="A42">
            <v>315</v>
          </cell>
          <cell r="B42" t="str">
            <v>ja</v>
          </cell>
          <cell r="C42" t="str">
            <v>対ドラゴン ダメージUP</v>
          </cell>
          <cell r="D42" t="str">
            <v>自身の攻撃対象が種族ドラゴンの場合全ての攻撃の威力をUP</v>
          </cell>
        </row>
        <row r="43">
          <cell r="A43">
            <v>316</v>
          </cell>
          <cell r="B43" t="str">
            <v>ja</v>
          </cell>
          <cell r="C43" t="str">
            <v>対Unknown ダメージUP</v>
          </cell>
          <cell r="D43" t="str">
            <v>自身の攻撃対象が種族Unknownの場合全ての攻撃の威力をUP</v>
          </cell>
        </row>
        <row r="44">
          <cell r="A44">
            <v>317</v>
          </cell>
          <cell r="B44" t="str">
            <v>ja</v>
          </cell>
          <cell r="C44" t="str">
            <v>対Unknown ダメージUP</v>
          </cell>
          <cell r="D44" t="str">
            <v>自身の攻撃対象が種族Unknownの場合全ての攻撃の威力をUP</v>
          </cell>
        </row>
        <row r="45">
          <cell r="A45">
            <v>318</v>
          </cell>
          <cell r="B45" t="str">
            <v>ja</v>
          </cell>
          <cell r="C45" t="str">
            <v>対Unknown ダメージUP</v>
          </cell>
          <cell r="D45" t="str">
            <v>自身の攻撃対象が種族Unknownの場合全ての攻撃の威力をUP</v>
          </cell>
        </row>
        <row r="46">
          <cell r="A46">
            <v>319</v>
          </cell>
          <cell r="B46" t="str">
            <v>ja</v>
          </cell>
          <cell r="C46" t="str">
            <v>対Unknown ダメージUP</v>
          </cell>
          <cell r="D46" t="str">
            <v>自身の攻撃対象が種族Unknownの場合全ての攻撃の威力をUP</v>
          </cell>
        </row>
        <row r="47">
          <cell r="A47">
            <v>320</v>
          </cell>
          <cell r="B47" t="str">
            <v>ja</v>
          </cell>
          <cell r="C47" t="str">
            <v>対サムライ ダメージUP</v>
          </cell>
          <cell r="D47" t="str">
            <v>自身の攻撃対象が種族サムライの場合全ての攻撃の威力をUP</v>
          </cell>
        </row>
        <row r="48">
          <cell r="A48">
            <v>321</v>
          </cell>
          <cell r="B48" t="str">
            <v>ja</v>
          </cell>
          <cell r="C48" t="str">
            <v>対サムライ ダメージUP</v>
          </cell>
          <cell r="D48" t="str">
            <v>自身の攻撃対象が種族サムライの場合全ての攻撃の威力をUP</v>
          </cell>
        </row>
        <row r="49">
          <cell r="A49">
            <v>322</v>
          </cell>
          <cell r="B49" t="str">
            <v>ja</v>
          </cell>
          <cell r="C49" t="str">
            <v>対サムライ ダメージUP</v>
          </cell>
          <cell r="D49" t="str">
            <v>自身の攻撃対象が種族サムライの場合全ての攻撃の威力をUP</v>
          </cell>
        </row>
        <row r="50">
          <cell r="A50">
            <v>323</v>
          </cell>
          <cell r="B50" t="str">
            <v>ja</v>
          </cell>
          <cell r="C50" t="str">
            <v>対サムライ ダメージUP</v>
          </cell>
          <cell r="D50" t="str">
            <v>自身の攻撃対象が種族サムライの場合全ての攻撃の威力をUP</v>
          </cell>
        </row>
        <row r="51">
          <cell r="A51">
            <v>324</v>
          </cell>
          <cell r="B51" t="str">
            <v>ja</v>
          </cell>
          <cell r="C51" t="str">
            <v>対ウェポン ダメージUP</v>
          </cell>
          <cell r="D51" t="str">
            <v>自身の攻撃対象が種族ウェポンの場合全ての攻撃の威力をUP</v>
          </cell>
        </row>
        <row r="52">
          <cell r="A52">
            <v>325</v>
          </cell>
          <cell r="B52" t="str">
            <v>ja</v>
          </cell>
          <cell r="C52" t="str">
            <v>対ウェポン ダメージUP</v>
          </cell>
          <cell r="D52" t="str">
            <v>自身の攻撃対象が種族ウェポンの場合全ての攻撃の威力をUP</v>
          </cell>
        </row>
        <row r="53">
          <cell r="A53">
            <v>326</v>
          </cell>
          <cell r="B53" t="str">
            <v>ja</v>
          </cell>
          <cell r="C53" t="str">
            <v>対ウェポン ダメージUP</v>
          </cell>
          <cell r="D53" t="str">
            <v>自身の攻撃対象が種族ウェポンの場合全ての攻撃の威力をUP</v>
          </cell>
        </row>
        <row r="54">
          <cell r="A54">
            <v>327</v>
          </cell>
          <cell r="B54" t="str">
            <v>ja</v>
          </cell>
          <cell r="C54" t="str">
            <v>対ウェポン ダメージUP</v>
          </cell>
          <cell r="D54" t="str">
            <v>自身の攻撃対象が種族ウェポンの場合全ての攻撃の威力をUP</v>
          </cell>
        </row>
        <row r="55">
          <cell r="A55">
            <v>328</v>
          </cell>
          <cell r="B55" t="str">
            <v>ja</v>
          </cell>
          <cell r="C55" t="str">
            <v>対アカデミア ダメージUP</v>
          </cell>
          <cell r="D55" t="str">
            <v>自身の攻撃対象が種族アカデミアの場合全ての攻撃の威力をUP</v>
          </cell>
        </row>
        <row r="56">
          <cell r="A56">
            <v>329</v>
          </cell>
          <cell r="B56" t="str">
            <v>ja</v>
          </cell>
          <cell r="C56" t="str">
            <v>対アカデミア ダメージUP</v>
          </cell>
          <cell r="D56" t="str">
            <v>自身の攻撃対象が種族アカデミアの場合全ての攻撃の威力をUP</v>
          </cell>
        </row>
        <row r="57">
          <cell r="A57">
            <v>330</v>
          </cell>
          <cell r="B57" t="str">
            <v>ja</v>
          </cell>
          <cell r="C57" t="str">
            <v>対アカデミア ダメージUP</v>
          </cell>
          <cell r="D57" t="str">
            <v>自身の攻撃対象が種族アカデミアの場合全ての攻撃の威力をUP</v>
          </cell>
        </row>
        <row r="58">
          <cell r="A58">
            <v>331</v>
          </cell>
          <cell r="B58" t="str">
            <v>ja</v>
          </cell>
          <cell r="C58" t="str">
            <v>対アカデミア ダメージUP</v>
          </cell>
          <cell r="D58" t="str">
            <v>自身の攻撃対象が種族アカデミアの場合全ての攻撃の威力をUP</v>
          </cell>
        </row>
        <row r="59">
          <cell r="A59">
            <v>332</v>
          </cell>
          <cell r="B59" t="str">
            <v>ja</v>
          </cell>
          <cell r="C59" t="str">
            <v>対タイタン ダメージUP</v>
          </cell>
          <cell r="D59" t="str">
            <v>自身の攻撃対象が種族タイタンの場合全ての攻撃の威力をUP</v>
          </cell>
        </row>
        <row r="60">
          <cell r="A60">
            <v>333</v>
          </cell>
          <cell r="B60" t="str">
            <v>ja</v>
          </cell>
          <cell r="C60" t="str">
            <v>対タイタン ダメージUP</v>
          </cell>
          <cell r="D60" t="str">
            <v>自身の攻撃対象が種族タイタンの場合全ての攻撃の威力をUP</v>
          </cell>
        </row>
        <row r="61">
          <cell r="A61">
            <v>334</v>
          </cell>
          <cell r="B61" t="str">
            <v>ja</v>
          </cell>
          <cell r="C61" t="str">
            <v>対タイタン ダメージUP</v>
          </cell>
          <cell r="D61" t="str">
            <v>自身の攻撃対象が種族タイタンの場合全ての攻撃の威力をUP</v>
          </cell>
        </row>
        <row r="62">
          <cell r="A62">
            <v>335</v>
          </cell>
          <cell r="B62" t="str">
            <v>ja</v>
          </cell>
          <cell r="C62" t="str">
            <v>対タイタン ダメージUP</v>
          </cell>
          <cell r="D62" t="str">
            <v>自身の攻撃対象が種族タイタンの場合全ての攻撃の威力をUP</v>
          </cell>
        </row>
        <row r="63">
          <cell r="A63">
            <v>336</v>
          </cell>
          <cell r="B63" t="str">
            <v>ja</v>
          </cell>
          <cell r="C63" t="str">
            <v>対マシン ダメージUP</v>
          </cell>
          <cell r="D63" t="str">
            <v>自身の攻撃対象が種族マシンの場合全ての攻撃の威力をUP</v>
          </cell>
        </row>
        <row r="64">
          <cell r="A64">
            <v>337</v>
          </cell>
          <cell r="B64" t="str">
            <v>ja</v>
          </cell>
          <cell r="C64" t="str">
            <v>対マシン ダメージUP</v>
          </cell>
          <cell r="D64" t="str">
            <v>自身の攻撃対象が種族マシンの場合全ての攻撃の威力をUP</v>
          </cell>
        </row>
        <row r="65">
          <cell r="A65">
            <v>338</v>
          </cell>
          <cell r="B65" t="str">
            <v>ja</v>
          </cell>
          <cell r="C65" t="str">
            <v>対マシン ダメージUP</v>
          </cell>
          <cell r="D65" t="str">
            <v>自身の攻撃対象が種族マシンの場合全ての攻撃の威力をUP</v>
          </cell>
        </row>
        <row r="66">
          <cell r="A66">
            <v>339</v>
          </cell>
          <cell r="B66" t="str">
            <v>ja</v>
          </cell>
          <cell r="C66" t="str">
            <v>対マシン ダメージUP</v>
          </cell>
          <cell r="D66" t="str">
            <v>自身の攻撃対象が種族マシンの場合全ての攻撃の威力をUP</v>
          </cell>
        </row>
        <row r="67">
          <cell r="A67">
            <v>340</v>
          </cell>
          <cell r="B67" t="str">
            <v>ja</v>
          </cell>
          <cell r="C67" t="str">
            <v>対ドラゴン&amp;アニマルダメージUP</v>
          </cell>
          <cell r="D67" t="str">
            <v>自身の攻撃対象が種族ドラゴン、アニマルの場合全ての攻撃の威力をUP</v>
          </cell>
        </row>
        <row r="68">
          <cell r="A68">
            <v>341</v>
          </cell>
          <cell r="B68" t="str">
            <v>ja</v>
          </cell>
          <cell r="C68" t="str">
            <v>対アニマル&amp;ヒューマンダメージUP</v>
          </cell>
          <cell r="D68" t="str">
            <v>自身の攻撃対象が種族アニマル、ヒューマンの場合全ての攻撃の威力をUP</v>
          </cell>
        </row>
        <row r="69">
          <cell r="A69">
            <v>342</v>
          </cell>
          <cell r="B69" t="str">
            <v>ja</v>
          </cell>
          <cell r="C69" t="str">
            <v>対オロチ一族 ダメージUP</v>
          </cell>
          <cell r="D69" t="str">
            <v>自身の攻撃対象が種族オロチ一族の場合全ての攻撃の威力をUP</v>
          </cell>
        </row>
        <row r="70">
          <cell r="A70">
            <v>400</v>
          </cell>
          <cell r="B70" t="str">
            <v>ja</v>
          </cell>
          <cell r="C70" t="str">
            <v>攻撃タイプキラー</v>
          </cell>
          <cell r="D70" t="str">
            <v>攻撃対象が攻撃タイプの場合威力UP</v>
          </cell>
        </row>
        <row r="71">
          <cell r="A71">
            <v>401</v>
          </cell>
          <cell r="B71" t="str">
            <v>ja</v>
          </cell>
          <cell r="C71" t="str">
            <v>攻撃タイプキラー</v>
          </cell>
          <cell r="D71" t="str">
            <v>攻撃対象が攻撃タイプの場合威力UP</v>
          </cell>
        </row>
        <row r="72">
          <cell r="A72">
            <v>402</v>
          </cell>
          <cell r="B72" t="str">
            <v>ja</v>
          </cell>
          <cell r="C72" t="str">
            <v>攻撃タイプキラー</v>
          </cell>
          <cell r="D72" t="str">
            <v>攻撃対象が攻撃タイプの場合威力UP</v>
          </cell>
        </row>
        <row r="73">
          <cell r="A73">
            <v>403</v>
          </cell>
          <cell r="B73" t="str">
            <v>ja</v>
          </cell>
          <cell r="C73" t="str">
            <v>攻撃タイプキラー</v>
          </cell>
          <cell r="D73" t="str">
            <v>攻撃対象が攻撃タイプの場合威力UP</v>
          </cell>
        </row>
        <row r="74">
          <cell r="A74">
            <v>404</v>
          </cell>
          <cell r="B74" t="str">
            <v>ja</v>
          </cell>
          <cell r="C74" t="str">
            <v>バランスタイプキラー</v>
          </cell>
          <cell r="D74" t="str">
            <v>攻撃対象が攻撃タイプの場合威力UP</v>
          </cell>
        </row>
        <row r="75">
          <cell r="A75">
            <v>405</v>
          </cell>
          <cell r="B75" t="str">
            <v>ja</v>
          </cell>
          <cell r="C75" t="str">
            <v>バランスタイプキラー</v>
          </cell>
          <cell r="D75" t="str">
            <v>攻撃対象が攻撃タイプの場合威力UP</v>
          </cell>
        </row>
        <row r="76">
          <cell r="A76">
            <v>406</v>
          </cell>
          <cell r="B76" t="str">
            <v>ja</v>
          </cell>
          <cell r="C76" t="str">
            <v>バランスタイプキラー</v>
          </cell>
          <cell r="D76" t="str">
            <v>攻撃対象が攻撃タイプの場合威力UP</v>
          </cell>
        </row>
        <row r="77">
          <cell r="A77">
            <v>407</v>
          </cell>
          <cell r="B77" t="str">
            <v>ja</v>
          </cell>
          <cell r="C77" t="str">
            <v>バランスタイプキラー</v>
          </cell>
          <cell r="D77" t="str">
            <v>攻撃対象が攻撃タイプの場合威力UP</v>
          </cell>
        </row>
        <row r="78">
          <cell r="A78">
            <v>408</v>
          </cell>
          <cell r="B78" t="str">
            <v>ja</v>
          </cell>
          <cell r="C78" t="str">
            <v>体力タイプキラー</v>
          </cell>
          <cell r="D78" t="str">
            <v>攻撃対象が攻撃タイプの場合威力UP</v>
          </cell>
        </row>
        <row r="79">
          <cell r="A79">
            <v>409</v>
          </cell>
          <cell r="B79" t="str">
            <v>ja</v>
          </cell>
          <cell r="C79" t="str">
            <v>体力タイプキラー</v>
          </cell>
          <cell r="D79" t="str">
            <v>攻撃対象が攻撃タイプの場合威力UP</v>
          </cell>
        </row>
        <row r="80">
          <cell r="A80">
            <v>410</v>
          </cell>
          <cell r="B80" t="str">
            <v>ja</v>
          </cell>
          <cell r="C80" t="str">
            <v>体力タイプキラー</v>
          </cell>
          <cell r="D80" t="str">
            <v>攻撃対象が攻撃タイプの場合威力UP</v>
          </cell>
        </row>
        <row r="81">
          <cell r="A81">
            <v>411</v>
          </cell>
          <cell r="B81" t="str">
            <v>ja</v>
          </cell>
          <cell r="C81" t="str">
            <v>体力タイプキラー</v>
          </cell>
          <cell r="D81" t="str">
            <v>攻撃対象が攻撃タイプの場合威力UP</v>
          </cell>
        </row>
        <row r="82">
          <cell r="A82">
            <v>412</v>
          </cell>
          <cell r="B82" t="str">
            <v>ja</v>
          </cell>
          <cell r="C82" t="str">
            <v>テクニカルタイプキラー</v>
          </cell>
          <cell r="D82" t="str">
            <v>攻撃対象が攻撃タイプの場合威力UP</v>
          </cell>
        </row>
        <row r="83">
          <cell r="A83">
            <v>413</v>
          </cell>
          <cell r="B83" t="str">
            <v>ja</v>
          </cell>
          <cell r="C83" t="str">
            <v>テクニカルタイプキラー</v>
          </cell>
          <cell r="D83" t="str">
            <v>攻撃対象が攻撃タイプの場合威力UP</v>
          </cell>
        </row>
        <row r="84">
          <cell r="A84">
            <v>414</v>
          </cell>
          <cell r="B84" t="str">
            <v>ja</v>
          </cell>
          <cell r="C84" t="str">
            <v>テクニカルタイプキラー</v>
          </cell>
          <cell r="D84" t="str">
            <v>攻撃対象が攻撃タイプの場合威力UP</v>
          </cell>
        </row>
        <row r="85">
          <cell r="A85">
            <v>415</v>
          </cell>
          <cell r="B85" t="str">
            <v>ja</v>
          </cell>
          <cell r="C85" t="str">
            <v>テクニカルタイプキラー</v>
          </cell>
          <cell r="D85" t="str">
            <v>攻撃対象が攻撃タイプの場合威力UP</v>
          </cell>
        </row>
        <row r="86">
          <cell r="A86">
            <v>416</v>
          </cell>
          <cell r="B86" t="str">
            <v>ja</v>
          </cell>
          <cell r="C86" t="str">
            <v>回復タイプキラー</v>
          </cell>
          <cell r="D86" t="str">
            <v>攻撃対象が攻撃タイプの場合威力UP</v>
          </cell>
        </row>
        <row r="87">
          <cell r="A87">
            <v>417</v>
          </cell>
          <cell r="B87" t="str">
            <v>ja</v>
          </cell>
          <cell r="C87" t="str">
            <v>回復タイプキラー</v>
          </cell>
          <cell r="D87" t="str">
            <v>攻撃対象が攻撃タイプの場合威力UP</v>
          </cell>
        </row>
        <row r="88">
          <cell r="A88">
            <v>418</v>
          </cell>
          <cell r="B88" t="str">
            <v>ja</v>
          </cell>
          <cell r="C88" t="str">
            <v>回復タイプキラー</v>
          </cell>
          <cell r="D88" t="str">
            <v>攻撃対象が攻撃タイプの場合威力UP</v>
          </cell>
        </row>
        <row r="89">
          <cell r="A89">
            <v>419</v>
          </cell>
          <cell r="B89" t="str">
            <v>ja</v>
          </cell>
          <cell r="C89" t="str">
            <v>回復タイプキラー</v>
          </cell>
          <cell r="D89" t="str">
            <v>攻撃対象が攻撃タイプの場合威力UP</v>
          </cell>
        </row>
        <row r="90">
          <cell r="A90">
            <v>420</v>
          </cell>
          <cell r="B90" t="str">
            <v>ja</v>
          </cell>
          <cell r="C90" t="str">
            <v>強化素材タイプキラー</v>
          </cell>
          <cell r="D90" t="str">
            <v>攻撃対象が攻撃タイプの場合威力UP</v>
          </cell>
        </row>
        <row r="91">
          <cell r="A91">
            <v>421</v>
          </cell>
          <cell r="B91" t="str">
            <v>ja</v>
          </cell>
          <cell r="C91" t="str">
            <v>強化素材タイプキラー</v>
          </cell>
          <cell r="D91" t="str">
            <v>攻撃対象が攻撃タイプの場合威力UP</v>
          </cell>
        </row>
        <row r="92">
          <cell r="A92">
            <v>422</v>
          </cell>
          <cell r="B92" t="str">
            <v>ja</v>
          </cell>
          <cell r="C92" t="str">
            <v>強化素材タイプキラー</v>
          </cell>
          <cell r="D92" t="str">
            <v>攻撃対象が攻撃タイプの場合威力UP</v>
          </cell>
        </row>
        <row r="93">
          <cell r="A93">
            <v>423</v>
          </cell>
          <cell r="B93" t="str">
            <v>ja</v>
          </cell>
          <cell r="C93" t="str">
            <v>強化素材タイプキラー</v>
          </cell>
          <cell r="D93" t="str">
            <v>攻撃対象が攻撃タイプの場合威力UP</v>
          </cell>
        </row>
        <row r="94">
          <cell r="A94">
            <v>424</v>
          </cell>
          <cell r="B94" t="str">
            <v>ja</v>
          </cell>
          <cell r="C94" t="str">
            <v>コインタイプキラー</v>
          </cell>
          <cell r="D94" t="str">
            <v>攻撃対象が攻撃タイプの場合威力UP</v>
          </cell>
        </row>
        <row r="95">
          <cell r="A95">
            <v>425</v>
          </cell>
          <cell r="B95" t="str">
            <v>ja</v>
          </cell>
          <cell r="C95" t="str">
            <v>コインタイプキラー</v>
          </cell>
          <cell r="D95" t="str">
            <v>攻撃対象が攻撃タイプの場合威力UP</v>
          </cell>
        </row>
        <row r="96">
          <cell r="A96">
            <v>426</v>
          </cell>
          <cell r="B96" t="str">
            <v>ja</v>
          </cell>
          <cell r="C96" t="str">
            <v>コインタイプキラー</v>
          </cell>
          <cell r="D96" t="str">
            <v>攻撃対象が攻撃タイプの場合威力UP</v>
          </cell>
        </row>
        <row r="97">
          <cell r="A97">
            <v>427</v>
          </cell>
          <cell r="B97" t="str">
            <v>ja</v>
          </cell>
          <cell r="C97" t="str">
            <v>コインタイプキラー</v>
          </cell>
          <cell r="D97" t="str">
            <v>攻撃対象が攻撃タイプの場合威力UP</v>
          </cell>
        </row>
        <row r="98">
          <cell r="A98">
            <v>428</v>
          </cell>
          <cell r="B98" t="str">
            <v>ja</v>
          </cell>
          <cell r="C98" t="str">
            <v>限界突破素材タイプキラー</v>
          </cell>
          <cell r="D98" t="str">
            <v>攻撃対象が攻撃タイプの場合威力UP</v>
          </cell>
        </row>
        <row r="99">
          <cell r="A99">
            <v>429</v>
          </cell>
          <cell r="B99" t="str">
            <v>ja</v>
          </cell>
          <cell r="C99" t="str">
            <v>限界突破素材タイプキラー</v>
          </cell>
          <cell r="D99" t="str">
            <v>攻撃対象が攻撃タイプの場合威力UP</v>
          </cell>
        </row>
        <row r="100">
          <cell r="A100">
            <v>430</v>
          </cell>
          <cell r="B100" t="str">
            <v>ja</v>
          </cell>
          <cell r="C100" t="str">
            <v>限界突破素材タイプキラー</v>
          </cell>
          <cell r="D100" t="str">
            <v>攻撃対象が攻撃タイプの場合威力UP</v>
          </cell>
        </row>
        <row r="101">
          <cell r="A101">
            <v>431</v>
          </cell>
          <cell r="B101" t="str">
            <v>ja</v>
          </cell>
          <cell r="C101" t="str">
            <v>限界突破素材タイプキラー</v>
          </cell>
          <cell r="D101" t="str">
            <v>攻撃対象が攻撃タイプの場合威力UP</v>
          </cell>
        </row>
        <row r="102">
          <cell r="A102">
            <v>432</v>
          </cell>
          <cell r="B102" t="str">
            <v>ja</v>
          </cell>
          <cell r="C102" t="str">
            <v>スキルレベル素材タイプキラー</v>
          </cell>
          <cell r="D102" t="str">
            <v>攻撃対象が攻撃タイプの場合威力UP</v>
          </cell>
        </row>
        <row r="103">
          <cell r="A103">
            <v>433</v>
          </cell>
          <cell r="B103" t="str">
            <v>ja</v>
          </cell>
          <cell r="C103" t="str">
            <v>スキルレベル素材タイプキラー</v>
          </cell>
          <cell r="D103" t="str">
            <v>攻撃対象が攻撃タイプの場合威力UP</v>
          </cell>
        </row>
        <row r="104">
          <cell r="A104">
            <v>434</v>
          </cell>
          <cell r="B104" t="str">
            <v>ja</v>
          </cell>
          <cell r="C104" t="str">
            <v>スキルレベル素材タイプキラー</v>
          </cell>
          <cell r="D104" t="str">
            <v>攻撃対象が攻撃タイプの場合威力UP</v>
          </cell>
        </row>
        <row r="105">
          <cell r="A105">
            <v>435</v>
          </cell>
          <cell r="B105" t="str">
            <v>ja</v>
          </cell>
          <cell r="C105" t="str">
            <v>スキルレベル素材タイプキラー</v>
          </cell>
          <cell r="D105" t="str">
            <v>攻撃対象が攻撃タイプの場合威力UP</v>
          </cell>
        </row>
        <row r="106">
          <cell r="A106">
            <v>436</v>
          </cell>
          <cell r="B106" t="str">
            <v>ja</v>
          </cell>
          <cell r="C106" t="str">
            <v>対ゴッド&amp;ヒーロー ダメージUP</v>
          </cell>
          <cell r="D106" t="str">
            <v>自身の攻撃対象が種族ゴッド、ヒーローの場合全ての攻撃の威力をUP</v>
          </cell>
        </row>
        <row r="107">
          <cell r="A107">
            <v>437</v>
          </cell>
          <cell r="B107" t="str">
            <v>ja</v>
          </cell>
          <cell r="C107" t="str">
            <v>対サムライ&amp;ドラゴン ダメージUP</v>
          </cell>
          <cell r="D107" t="str">
            <v>自身の攻撃対象が種族サムライ、ドラゴンの場合全ての攻撃の威力をUP</v>
          </cell>
        </row>
        <row r="108">
          <cell r="A108">
            <v>500</v>
          </cell>
          <cell r="B108" t="str">
            <v>ja</v>
          </cell>
          <cell r="C108" t="str">
            <v>青属性キラー</v>
          </cell>
          <cell r="D108" t="str">
            <v>攻撃対象が青属性の場合威力UP</v>
          </cell>
        </row>
        <row r="109">
          <cell r="A109">
            <v>600</v>
          </cell>
          <cell r="B109" t="str">
            <v>ja</v>
          </cell>
          <cell r="C109" t="str">
            <v>赤属性耐性25</v>
          </cell>
          <cell r="D109" t="str">
            <v>自身に対する赤属性の敵からの攻撃を25％軽減</v>
          </cell>
        </row>
        <row r="110">
          <cell r="A110">
            <v>601</v>
          </cell>
          <cell r="B110" t="str">
            <v>ja</v>
          </cell>
          <cell r="C110" t="str">
            <v>赤属性耐性25</v>
          </cell>
          <cell r="D110" t="str">
            <v>自身に対する赤属性の敵からの攻撃を25％軽減</v>
          </cell>
        </row>
        <row r="111">
          <cell r="A111">
            <v>602</v>
          </cell>
          <cell r="B111" t="str">
            <v>ja</v>
          </cell>
          <cell r="C111" t="str">
            <v>赤属性耐性25</v>
          </cell>
          <cell r="D111" t="str">
            <v>自身に対する赤属性の敵からの攻撃を25％軽減</v>
          </cell>
        </row>
        <row r="112">
          <cell r="A112">
            <v>603</v>
          </cell>
          <cell r="B112" t="str">
            <v>ja</v>
          </cell>
          <cell r="C112" t="str">
            <v>青属性耐性25</v>
          </cell>
          <cell r="D112" t="str">
            <v>自身に対する青属性の敵からの攻撃を25％軽減</v>
          </cell>
        </row>
        <row r="113">
          <cell r="A113">
            <v>604</v>
          </cell>
          <cell r="B113" t="str">
            <v>ja</v>
          </cell>
          <cell r="C113" t="str">
            <v>青属性耐性25</v>
          </cell>
          <cell r="D113" t="str">
            <v>自身に対する青属性の敵からの攻撃を25％軽減</v>
          </cell>
        </row>
        <row r="114">
          <cell r="A114">
            <v>605</v>
          </cell>
          <cell r="B114" t="str">
            <v>ja</v>
          </cell>
          <cell r="C114" t="str">
            <v>青属性耐性25</v>
          </cell>
          <cell r="D114" t="str">
            <v>自身に対する青属性の敵からの攻撃を25％軽減</v>
          </cell>
        </row>
        <row r="115">
          <cell r="A115">
            <v>606</v>
          </cell>
          <cell r="B115" t="str">
            <v>ja</v>
          </cell>
          <cell r="C115" t="str">
            <v>緑属性耐性25</v>
          </cell>
          <cell r="D115" t="str">
            <v>自身に対する緑属性の敵からの攻撃を25％軽減</v>
          </cell>
        </row>
        <row r="116">
          <cell r="A116">
            <v>607</v>
          </cell>
          <cell r="B116" t="str">
            <v>ja</v>
          </cell>
          <cell r="C116" t="str">
            <v>緑属性耐性25</v>
          </cell>
          <cell r="D116" t="str">
            <v>自身に対する緑属性の敵からの攻撃を25％軽減</v>
          </cell>
        </row>
        <row r="117">
          <cell r="A117">
            <v>608</v>
          </cell>
          <cell r="B117" t="str">
            <v>ja</v>
          </cell>
          <cell r="C117" t="str">
            <v>緑属性耐性25</v>
          </cell>
          <cell r="D117" t="str">
            <v>自身に対する緑属性の敵からの攻撃を25％軽減</v>
          </cell>
        </row>
        <row r="118">
          <cell r="A118">
            <v>609</v>
          </cell>
          <cell r="B118" t="str">
            <v>ja</v>
          </cell>
          <cell r="C118" t="str">
            <v>黄属性耐性25</v>
          </cell>
          <cell r="D118" t="str">
            <v>自身に対する黄属性の敵からの攻撃を25％軽減</v>
          </cell>
        </row>
        <row r="119">
          <cell r="A119">
            <v>610</v>
          </cell>
          <cell r="B119" t="str">
            <v>ja</v>
          </cell>
          <cell r="C119" t="str">
            <v>黄属性耐性25</v>
          </cell>
          <cell r="D119" t="str">
            <v>自身に対する黄属性の敵からの攻撃を25％軽減</v>
          </cell>
        </row>
        <row r="120">
          <cell r="A120">
            <v>611</v>
          </cell>
          <cell r="B120" t="str">
            <v>ja</v>
          </cell>
          <cell r="C120" t="str">
            <v>黄属性耐性25</v>
          </cell>
          <cell r="D120" t="str">
            <v>自身に対する黄属性の敵からの攻撃を25％軽減</v>
          </cell>
        </row>
        <row r="121">
          <cell r="A121">
            <v>612</v>
          </cell>
          <cell r="B121" t="str">
            <v>ja</v>
          </cell>
          <cell r="C121" t="str">
            <v>全属性耐性10</v>
          </cell>
          <cell r="D121" t="str">
            <v>自身に対する全属性の敵からの攻撃を10％軽減</v>
          </cell>
        </row>
        <row r="122">
          <cell r="A122">
            <v>613</v>
          </cell>
          <cell r="B122" t="str">
            <v>ja</v>
          </cell>
          <cell r="C122" t="str">
            <v>赤属性耐性10</v>
          </cell>
          <cell r="D122" t="str">
            <v>自身に対する赤属性の敵からの攻撃を10％軽減</v>
          </cell>
        </row>
        <row r="123">
          <cell r="A123">
            <v>614</v>
          </cell>
          <cell r="B123" t="str">
            <v>ja</v>
          </cell>
          <cell r="C123" t="str">
            <v>青属性耐性10</v>
          </cell>
          <cell r="D123" t="str">
            <v>自身に対する青属性の敵からの攻撃を10％軽減</v>
          </cell>
        </row>
        <row r="124">
          <cell r="A124">
            <v>615</v>
          </cell>
          <cell r="B124" t="str">
            <v>ja</v>
          </cell>
          <cell r="C124" t="str">
            <v>緑属性耐性10</v>
          </cell>
          <cell r="D124" t="str">
            <v>自身に対する緑属性の敵からの攻撃を10％軽減</v>
          </cell>
        </row>
        <row r="125">
          <cell r="A125">
            <v>616</v>
          </cell>
          <cell r="B125" t="str">
            <v>ja</v>
          </cell>
          <cell r="C125" t="str">
            <v>黄属性耐性10</v>
          </cell>
          <cell r="D125" t="str">
            <v>自身に対する黄属性の敵からの攻撃を10％軽減</v>
          </cell>
        </row>
        <row r="126">
          <cell r="A126">
            <v>617</v>
          </cell>
          <cell r="B126" t="str">
            <v>ja</v>
          </cell>
          <cell r="C126" t="str">
            <v>ゴッド種族耐性10</v>
          </cell>
          <cell r="D126" t="str">
            <v>自身に対するゴッド種族の敵からの攻撃を25％軽減</v>
          </cell>
        </row>
        <row r="127">
          <cell r="A127">
            <v>618</v>
          </cell>
          <cell r="B127" t="str">
            <v>ja</v>
          </cell>
          <cell r="C127" t="str">
            <v>赤属性耐性8</v>
          </cell>
          <cell r="D127" t="str">
            <v>自身に対する赤属性の敵からの攻撃を8%軽減</v>
          </cell>
        </row>
        <row r="128">
          <cell r="A128">
            <v>619</v>
          </cell>
          <cell r="B128" t="str">
            <v>ja</v>
          </cell>
          <cell r="C128" t="str">
            <v>青属性耐性8</v>
          </cell>
          <cell r="D128" t="str">
            <v>自身に対する青属性の敵からの攻撃を8%軽減</v>
          </cell>
        </row>
        <row r="129">
          <cell r="A129">
            <v>620</v>
          </cell>
          <cell r="B129" t="str">
            <v>ja</v>
          </cell>
          <cell r="C129" t="str">
            <v>緑属性耐性8</v>
          </cell>
          <cell r="D129" t="str">
            <v>自身に対する緑属性の敵からの攻撃を8%軽減</v>
          </cell>
        </row>
        <row r="130">
          <cell r="A130">
            <v>621</v>
          </cell>
          <cell r="B130" t="str">
            <v>ja</v>
          </cell>
          <cell r="C130" t="str">
            <v>黄属性耐性8</v>
          </cell>
          <cell r="D130" t="str">
            <v>自身に対する黄属性の敵からの攻撃を8%軽減</v>
          </cell>
        </row>
        <row r="131">
          <cell r="A131">
            <v>622</v>
          </cell>
          <cell r="B131" t="str">
            <v>ja</v>
          </cell>
          <cell r="C131" t="str">
            <v>赤・青属性耐性15</v>
          </cell>
          <cell r="D131" t="str">
            <v>自身に対する赤・青属性の敵からの攻撃を15%軽減</v>
          </cell>
        </row>
        <row r="132">
          <cell r="A132">
            <v>623</v>
          </cell>
          <cell r="B132" t="str">
            <v>ja</v>
          </cell>
          <cell r="C132" t="str">
            <v>ターン赤・緑属性耐性20</v>
          </cell>
          <cell r="D132" t="str">
            <v>最初の1ターン目と、その後4ターン毎に自身に対する赤・緑属性の敵からの攻撃を20%軽減</v>
          </cell>
        </row>
        <row r="133">
          <cell r="A133">
            <v>624</v>
          </cell>
          <cell r="B133" t="str">
            <v>ja</v>
          </cell>
          <cell r="C133" t="str">
            <v>ゴッド種族耐性10</v>
          </cell>
          <cell r="D133" t="str">
            <v>自身に対するゴッド種族の敵からの攻撃を10％軽減</v>
          </cell>
        </row>
        <row r="134">
          <cell r="A134">
            <v>700</v>
          </cell>
          <cell r="B134" t="str">
            <v>ja</v>
          </cell>
          <cell r="C134" t="str">
            <v>フロア 回復</v>
          </cell>
          <cell r="D134" t="str">
            <v>全フロアの1ターン目終了時にパーティの合計HPの20％を回復する</v>
          </cell>
        </row>
        <row r="135">
          <cell r="A135">
            <v>701</v>
          </cell>
          <cell r="B135" t="str">
            <v>ja</v>
          </cell>
          <cell r="C135" t="str">
            <v>フロア 防御力アップ</v>
          </cell>
          <cell r="D135" t="str">
            <v>全フロアの1ターン目終了時に全ユニットの防御力を1ターン400UP</v>
          </cell>
        </row>
        <row r="136">
          <cell r="A136">
            <v>702</v>
          </cell>
          <cell r="B136" t="str">
            <v>ja</v>
          </cell>
          <cell r="C136" t="str">
            <v>最終フロア時 HP回復</v>
          </cell>
          <cell r="D136" t="str">
            <v>最終フロア到達時にHPを100%回復する</v>
          </cell>
        </row>
        <row r="137">
          <cell r="A137">
            <v>800</v>
          </cell>
          <cell r="B137" t="str">
            <v>ja</v>
          </cell>
          <cell r="C137" t="str">
            <v>パネルブレイク30 攻撃力UP</v>
          </cell>
          <cell r="D137" t="str">
            <v>自身が先頭の時、1ターンの間に合計30個以上パネルを破壊した場合に攻撃力UP</v>
          </cell>
        </row>
        <row r="138">
          <cell r="A138">
            <v>801</v>
          </cell>
          <cell r="B138" t="str">
            <v>ja</v>
          </cell>
          <cell r="C138" t="str">
            <v>パネルブレイク30 回復力UP</v>
          </cell>
          <cell r="D138" t="str">
            <v>自身が先頭の時、1ターンの間に合計30個以上パネルを破壊した場合に回復力UP</v>
          </cell>
        </row>
        <row r="139">
          <cell r="A139">
            <v>802</v>
          </cell>
          <cell r="B139" t="str">
            <v>ja</v>
          </cell>
          <cell r="C139" t="str">
            <v>パネルブレイク30 防御力小UP</v>
          </cell>
          <cell r="D139" t="str">
            <v>自身が先頭の時、1ターンの間に合計30個以上パネルを破壊した場合に防御力小UP</v>
          </cell>
        </row>
        <row r="140">
          <cell r="A140">
            <v>803</v>
          </cell>
          <cell r="B140" t="str">
            <v>ja</v>
          </cell>
          <cell r="C140" t="str">
            <v>パネルブレイク30 防御力UP</v>
          </cell>
          <cell r="D140" t="str">
            <v>自身が先頭の時、1ターンの間に合計30個以上パネルを破壊した場合に防御力UP</v>
          </cell>
        </row>
        <row r="141">
          <cell r="A141">
            <v>804</v>
          </cell>
          <cell r="B141" t="str">
            <v>ja</v>
          </cell>
          <cell r="C141" t="str">
            <v>パネルブレイク30 防御力大UP</v>
          </cell>
          <cell r="D141" t="str">
            <v>自身が先頭の時、1ターンの間に合計30個以上パネルを破壊した場合に防御力大UP</v>
          </cell>
        </row>
        <row r="142">
          <cell r="A142">
            <v>805</v>
          </cell>
          <cell r="B142" t="str">
            <v>ja</v>
          </cell>
          <cell r="C142" t="str">
            <v>パネルブレイク30 防御力特大UP</v>
          </cell>
          <cell r="D142" t="str">
            <v>自身が先頭の時、1ターンの間に合計30個以上パネルを破壊した場合に防御力特大UP</v>
          </cell>
        </row>
        <row r="143">
          <cell r="A143">
            <v>806</v>
          </cell>
          <cell r="B143" t="str">
            <v>ja</v>
          </cell>
          <cell r="C143" t="str">
            <v>ボムブレイク10 防御力UP</v>
          </cell>
          <cell r="D143" t="str">
            <v>自身または味方が1ターンの間に合計10個以上ボムパネルを破壊した場合に防御力UP</v>
          </cell>
        </row>
        <row r="144">
          <cell r="A144">
            <v>807</v>
          </cell>
          <cell r="B144" t="str">
            <v>ja</v>
          </cell>
          <cell r="C144" t="str">
            <v>パネル18 破壊フィーバーゲージ上昇</v>
          </cell>
          <cell r="D144" t="str">
            <v>自身が先頭の時、1ターンの間に合計18個以上パネルを破壊した場合にフィーバーゲージ上昇</v>
          </cell>
        </row>
        <row r="145">
          <cell r="A145">
            <v>808</v>
          </cell>
          <cell r="B145" t="str">
            <v>ja</v>
          </cell>
          <cell r="C145" t="str">
            <v>パネルブレイク40 防御力UP</v>
          </cell>
          <cell r="D145" t="str">
            <v>自身が先頭の時、1ターンの間に合計40個以上パネルを破壊した場合に青属性ユニットの防御力を400UP</v>
          </cell>
        </row>
        <row r="146">
          <cell r="A146">
            <v>809</v>
          </cell>
          <cell r="B146" t="str">
            <v>ja</v>
          </cell>
          <cell r="C146" t="str">
            <v>パネルブレイク40 攻撃力UP</v>
          </cell>
          <cell r="D146" t="str">
            <v>自身が先頭の時、1ターンの間に合計40個以上パネルを破壊した場合に攻撃力UP</v>
          </cell>
        </row>
        <row r="147">
          <cell r="A147">
            <v>810</v>
          </cell>
          <cell r="B147" t="str">
            <v>ja</v>
          </cell>
          <cell r="C147" t="str">
            <v>パネルブレイク40 攻撃力小UP</v>
          </cell>
          <cell r="D147" t="str">
            <v>自身が先頭の時、1ターンの間に合計40個以上パネルを破壊した場合に攻撃力小UP</v>
          </cell>
        </row>
        <row r="148">
          <cell r="A148">
            <v>811</v>
          </cell>
          <cell r="B148" t="str">
            <v>ja</v>
          </cell>
          <cell r="C148" t="str">
            <v>パネルブレイク30 攻撃力小UP</v>
          </cell>
          <cell r="D148" t="str">
            <v>自身が先頭の時、1ターンの間に合計30個以上パネルを破壊した場合に攻撃力小UP</v>
          </cell>
        </row>
        <row r="149">
          <cell r="A149">
            <v>812</v>
          </cell>
          <cell r="B149" t="str">
            <v>ja</v>
          </cell>
          <cell r="C149" t="str">
            <v>パネルブレイク40 HP小回復</v>
          </cell>
          <cell r="D149" t="str">
            <v>自身が先頭の時、1ターンの間に合計40個以上パネルを破壊した場合にターン終了時HP小回復</v>
          </cell>
        </row>
        <row r="150">
          <cell r="A150">
            <v>813</v>
          </cell>
          <cell r="B150" t="str">
            <v>ja</v>
          </cell>
          <cell r="C150" t="str">
            <v>パネルブレイク100 攻撃力UP</v>
          </cell>
          <cell r="D150" t="str">
            <v>自身が先頭の時、1ターンの間に合計100個以上パネルを破壊した場合に攻撃力2140UP</v>
          </cell>
        </row>
        <row r="151">
          <cell r="A151">
            <v>814</v>
          </cell>
          <cell r="B151" t="str">
            <v>ja</v>
          </cell>
          <cell r="C151" t="str">
            <v>パネルブレイク50 タップ回数UP</v>
          </cell>
          <cell r="D151" t="str">
            <v>自身が先頭の時、1ターンの間に合計50個以上パネルを破壊した場合にタップ回数を1回増やす</v>
          </cell>
        </row>
        <row r="152">
          <cell r="A152">
            <v>815</v>
          </cell>
          <cell r="B152" t="str">
            <v>ja</v>
          </cell>
          <cell r="C152" t="str">
            <v>パネルブレイク50 HP回復</v>
          </cell>
          <cell r="D152" t="str">
            <v>自身が先頭の時、1ターンの間に合計50個以上パネルを破壊した場合にターン終了時HP回復</v>
          </cell>
        </row>
        <row r="153">
          <cell r="A153">
            <v>816</v>
          </cell>
          <cell r="B153" t="str">
            <v>ja</v>
          </cell>
          <cell r="C153" t="str">
            <v>ボムブレイク10 黄属性攻撃力UP</v>
          </cell>
          <cell r="D153" t="str">
            <v>自身または味方が1ターンの間に合計10個以上ボムパネルを破壊した場合に黄属性ユニットの攻撃力UP</v>
          </cell>
        </row>
        <row r="154">
          <cell r="A154">
            <v>817</v>
          </cell>
          <cell r="B154" t="str">
            <v>ja</v>
          </cell>
          <cell r="C154" t="str">
            <v>パネルブレイク50 生成短縮激烈</v>
          </cell>
          <cell r="D154" t="str">
            <v>自身が先頭の時、1ターンの間に合計50個以上パネルを破壊した場合にCパネル生成に必要なチェイン数を12短縮する</v>
          </cell>
        </row>
        <row r="155">
          <cell r="A155">
            <v>818</v>
          </cell>
          <cell r="B155" t="str">
            <v>ja</v>
          </cell>
          <cell r="C155" t="str">
            <v>パネルブレイク33 赤･緑属性防御UP</v>
          </cell>
          <cell r="D155" t="str">
            <v>自身が先頭の時、1ターンの間に合計33個以上パネルを破壊した場合に赤・緑属性の防御力を330UP</v>
          </cell>
        </row>
        <row r="156">
          <cell r="A156">
            <v>819</v>
          </cell>
          <cell r="B156" t="str">
            <v>ja</v>
          </cell>
          <cell r="C156" t="str">
            <v>パネルブレイク25 回復力UP</v>
          </cell>
          <cell r="D156" t="str">
            <v>自身が先頭の時、1ターンの間に合計25個以上パネルを破壊した場合に回復力UP</v>
          </cell>
        </row>
        <row r="157">
          <cell r="A157">
            <v>820</v>
          </cell>
          <cell r="B157" t="str">
            <v>ja</v>
          </cell>
          <cell r="C157" t="str">
            <v>パネルブレイク90 タップ回数UP</v>
          </cell>
          <cell r="D157" t="str">
            <v>自身が先頭の時、1ターンの間に合計90個以上パネルを破壊した場合にタップ回数を1回増やす</v>
          </cell>
        </row>
        <row r="158">
          <cell r="A158">
            <v>821</v>
          </cell>
          <cell r="B158" t="str">
            <v>ja</v>
          </cell>
          <cell r="C158" t="str">
            <v>パネルブレイク80 攻撃力特大UP</v>
          </cell>
          <cell r="D158" t="str">
            <v>自身が先頭の時、1ターンの間に合計80個以上パネルを破壊した場合に攻撃力特大UP</v>
          </cell>
        </row>
        <row r="159">
          <cell r="A159">
            <v>822</v>
          </cell>
          <cell r="B159" t="str">
            <v>ja</v>
          </cell>
          <cell r="C159" t="str">
            <v>パネルブレイク35 CP生成短縮(特大)</v>
          </cell>
          <cell r="D159" t="str">
            <v>自身または、味方が1ターンの間に合計35個以上パネルを破壊した場合に先頭ユニットのCパネル生成短縮(効果特大)(1ターンに1度だけ発動)</v>
          </cell>
        </row>
        <row r="160">
          <cell r="A160">
            <v>823</v>
          </cell>
          <cell r="B160" t="str">
            <v>ja</v>
          </cell>
          <cell r="C160" t="str">
            <v>パネルブレイク100 タップ回数UP</v>
          </cell>
          <cell r="D160" t="str">
            <v>自身が先頭の時、1ターンの間に合計100個以上パネルを破壊した場合にタップ回数を1回増やす</v>
          </cell>
        </row>
        <row r="161">
          <cell r="A161">
            <v>824</v>
          </cell>
          <cell r="B161" t="str">
            <v>ja</v>
          </cell>
          <cell r="C161" t="str">
            <v>パネルブレイク40 CP生成短縮(特大)</v>
          </cell>
          <cell r="D161" t="str">
            <v>自身または、味方が1ターンの間に合計40個以上パネル破壊した場合に先頭ユニットのCP生成短縮(特大)(1ターンに1度だけ発動)</v>
          </cell>
        </row>
        <row r="162">
          <cell r="A162">
            <v>825</v>
          </cell>
          <cell r="B162" t="str">
            <v>ja</v>
          </cell>
          <cell r="C162" t="str">
            <v>パネルブレイク60 HP回復</v>
          </cell>
          <cell r="D162" t="str">
            <v>自身が先頭の時、1ターンの間に合計60個以上パネルを破壊した場合にターン終了時、HP5000回復</v>
          </cell>
        </row>
        <row r="163">
          <cell r="A163">
            <v>826</v>
          </cell>
          <cell r="B163" t="str">
            <v>ja</v>
          </cell>
          <cell r="C163" t="str">
            <v>パネルブレイク60 HP回復</v>
          </cell>
          <cell r="D163" t="str">
            <v>自身が先頭の時、1ターンの間に合計60個以上パネルを破壊した場合にターン終了時HP4000回復</v>
          </cell>
        </row>
        <row r="164">
          <cell r="A164">
            <v>830</v>
          </cell>
          <cell r="B164" t="str">
            <v>ja</v>
          </cell>
          <cell r="C164" t="str">
            <v>パネルブレイク40 ウィルス解除</v>
          </cell>
          <cell r="D164" t="str">
            <v>自身または、味方が1ターンの間に合計40個以上パネル破壊した場合に全ユニットウィルス解除(1ターンに1度だけ発動)</v>
          </cell>
        </row>
        <row r="165">
          <cell r="A165">
            <v>831</v>
          </cell>
          <cell r="B165" t="str">
            <v>ja</v>
          </cell>
          <cell r="C165" t="str">
            <v>ボムブレイク10 赤属性防御力UP</v>
          </cell>
          <cell r="D165" t="str">
            <v>自身または味方が1ターンの間に合計10個以上ボムパネルを破壊した場合に赤属性ユニットの防御力UP</v>
          </cell>
        </row>
        <row r="166">
          <cell r="A166">
            <v>832</v>
          </cell>
          <cell r="B166" t="str">
            <v>ja</v>
          </cell>
          <cell r="C166" t="str">
            <v>パネルブレイク30 種族ヒューマン攻撃力UP</v>
          </cell>
          <cell r="D166" t="str">
            <v>自身が先頭の時、1ターンの間に合計30個以上パネルを破壊した場合に種族ヒューマンの攻撃力UP</v>
          </cell>
        </row>
        <row r="167">
          <cell r="A167">
            <v>833</v>
          </cell>
          <cell r="B167" t="str">
            <v>ja</v>
          </cell>
          <cell r="C167" t="str">
            <v>ボムブレイク12 HP回復</v>
          </cell>
          <cell r="D167" t="str">
            <v>自身または味方が1ターンの間に合計12個以上ボムパネルを破壊した場合にHP1200回復</v>
          </cell>
        </row>
        <row r="168">
          <cell r="A168">
            <v>834</v>
          </cell>
          <cell r="B168" t="str">
            <v>ja</v>
          </cell>
          <cell r="C168" t="str">
            <v>Cパネルブレイク12 タップ回数UP</v>
          </cell>
          <cell r="D168" t="str">
            <v>自身が先頭の時、1ターンの間に合計12個以上Cパネルを破壊した場合にタップ回数を1回増やす</v>
          </cell>
        </row>
        <row r="169">
          <cell r="A169">
            <v>900</v>
          </cell>
          <cell r="B169" t="str">
            <v>ja</v>
          </cell>
          <cell r="C169" t="str">
            <v>チェイン12 攻撃力UP</v>
          </cell>
          <cell r="D169" t="str">
            <v>自身が先頭の時、1タップで12個以上パネルを繋げた場合に攻撃力UP(1ターンに1度だけ発動)</v>
          </cell>
        </row>
        <row r="170">
          <cell r="A170">
            <v>901</v>
          </cell>
          <cell r="B170" t="str">
            <v>ja</v>
          </cell>
          <cell r="C170" t="str">
            <v>チェイン12 回復力UP</v>
          </cell>
          <cell r="D170" t="str">
            <v>自身が先頭の時、1タップで12個以上パネルを繋げた場合に回復力UP(1ターンに1度だけ発動)</v>
          </cell>
        </row>
        <row r="171">
          <cell r="A171">
            <v>902</v>
          </cell>
          <cell r="B171" t="str">
            <v>ja</v>
          </cell>
          <cell r="C171" t="str">
            <v>チェイン12 タップ回数UP</v>
          </cell>
          <cell r="D171" t="str">
            <v>自身が先頭の時、1タップで12個以上パネルを繋げた場合にタップ回数を1回増やす(1ターンに1度だけ発動)</v>
          </cell>
        </row>
        <row r="172">
          <cell r="A172">
            <v>903</v>
          </cell>
          <cell r="B172" t="str">
            <v>ja</v>
          </cell>
          <cell r="C172" t="str">
            <v>チェイン18 スキルターン短縮</v>
          </cell>
          <cell r="D172" t="str">
            <v>自身が先頭の時、1タップで18個以上パネルを繋げた場合に自身のスキルターンを1短縮(1ターンに1度だけ発動)</v>
          </cell>
        </row>
        <row r="173">
          <cell r="A173">
            <v>904</v>
          </cell>
          <cell r="B173" t="str">
            <v>ja</v>
          </cell>
          <cell r="C173" t="str">
            <v>チェイン17 回復力UP</v>
          </cell>
          <cell r="D173" t="str">
            <v>自身が先頭の時、1タップで17個以上パネルを繋げた場合に自身の回復力を2017UP(1ターンに1度だけ発動)</v>
          </cell>
        </row>
        <row r="174">
          <cell r="A174">
            <v>905</v>
          </cell>
          <cell r="B174" t="str">
            <v>ja</v>
          </cell>
          <cell r="C174" t="str">
            <v>チェイン12 攻撃力小UP</v>
          </cell>
          <cell r="D174" t="str">
            <v>自身が先頭の時、1タップで12個以上パネルを繋げた場合に攻撃力小UP(1ターンに1度だけ発動)</v>
          </cell>
        </row>
        <row r="175">
          <cell r="A175">
            <v>906</v>
          </cell>
          <cell r="B175" t="str">
            <v>ja</v>
          </cell>
          <cell r="C175" t="str">
            <v>チェイン14 回復力小UP</v>
          </cell>
          <cell r="D175" t="str">
            <v>自身が先頭の時、1タップで14個以上パネルを繋げた場合に回復力小UP(1ターンに1度だけ発動)</v>
          </cell>
        </row>
        <row r="176">
          <cell r="A176">
            <v>907</v>
          </cell>
          <cell r="B176" t="str">
            <v>ja</v>
          </cell>
          <cell r="C176" t="str">
            <v>チェイン14 攻撃力UP</v>
          </cell>
          <cell r="D176" t="str">
            <v>自身が先頭の時、1タップで14個以上パネルを繋げた場合に攻撃力UP(1ターンに1度だけ発動)</v>
          </cell>
        </row>
        <row r="177">
          <cell r="A177">
            <v>908</v>
          </cell>
          <cell r="B177" t="str">
            <v>ja</v>
          </cell>
          <cell r="C177" t="str">
            <v>チェイン16 黄属性防御力UP</v>
          </cell>
          <cell r="D177" t="str">
            <v>自身が先頭の時、1タップで16個以上パネルを繋げた場合に黄属性ユニットの防御力UP(1ターンに1度だけ発動)</v>
          </cell>
        </row>
        <row r="178">
          <cell r="A178">
            <v>909</v>
          </cell>
          <cell r="B178" t="str">
            <v>ja</v>
          </cell>
          <cell r="C178" t="str">
            <v>チェイン30 Cパネル生成短縮(激烈)</v>
          </cell>
          <cell r="D178" t="str">
            <v>自身が先頭の時、1タップで30個以上パネルを繋げた場合にCパネル生成短縮(効果激烈)(1ターンに1度だけ発動)</v>
          </cell>
        </row>
        <row r="179">
          <cell r="A179">
            <v>910</v>
          </cell>
          <cell r="B179" t="str">
            <v>ja</v>
          </cell>
          <cell r="C179" t="str">
            <v>チェイン18 HP回復</v>
          </cell>
          <cell r="D179" t="str">
            <v>自身が先頭の時、1タップで18個以上パネルを繋げた場合にHPを2500回復(1ターンに1度だけ発動)</v>
          </cell>
        </row>
        <row r="180">
          <cell r="A180">
            <v>911</v>
          </cell>
          <cell r="B180" t="str">
            <v>ja</v>
          </cell>
          <cell r="C180" t="str">
            <v>チェイン24 ダメージ軽減</v>
          </cell>
          <cell r="D180" t="str">
            <v>自身が先頭の時、1タップで24個以上パネルを繋げた場合に敵からのダメージを15％軽減(1ターンに1度だけ発動)</v>
          </cell>
        </row>
        <row r="181">
          <cell r="A181">
            <v>912</v>
          </cell>
          <cell r="B181" t="str">
            <v>ja</v>
          </cell>
          <cell r="C181" t="str">
            <v>チェイン22 スキルターン短縮</v>
          </cell>
          <cell r="D181" t="str">
            <v>自身が先頭の時、1タップで22個以上パネルを繋げた場合に自身のスキルターンを1短縮(1ターンに1度だけ発動)</v>
          </cell>
        </row>
        <row r="182">
          <cell r="A182">
            <v>913</v>
          </cell>
          <cell r="B182" t="str">
            <v>ja</v>
          </cell>
          <cell r="C182" t="str">
            <v>チェイン26 Cパネル生成短縮(特大)</v>
          </cell>
          <cell r="D182" t="str">
            <v>自身または、味方が1タップで26個以上パネルを繋げた場合に先頭ユニットのCパネル生成短縮(効果特大)(1ターンに1度だけ発動)</v>
          </cell>
        </row>
        <row r="183">
          <cell r="A183">
            <v>914</v>
          </cell>
          <cell r="B183" t="str">
            <v>ja</v>
          </cell>
          <cell r="C183" t="str">
            <v>チェイン14 スキルバインド解除</v>
          </cell>
          <cell r="D183" t="str">
            <v>自身が先頭の時、1タップで14個以上パネルを繋げた場合にスキルバインドを解除する</v>
          </cell>
        </row>
        <row r="184">
          <cell r="A184">
            <v>915</v>
          </cell>
          <cell r="B184" t="str">
            <v>ja</v>
          </cell>
          <cell r="C184" t="str">
            <v>チェイン16 スキルターン短縮</v>
          </cell>
          <cell r="D184" t="str">
            <v>自身が先頭の時、1タップで16個以上パネルを繋げた場合に自身のスキルターンを1短縮する(1ターンに1度だけ発動)</v>
          </cell>
        </row>
        <row r="185">
          <cell r="A185">
            <v>916</v>
          </cell>
          <cell r="B185" t="str">
            <v>ja</v>
          </cell>
          <cell r="C185" t="str">
            <v>チェイン14 黄属性防御力UP</v>
          </cell>
          <cell r="D185" t="str">
            <v>自身が先頭の時、1タップで14個以上パネルを繋げた場合に黄属性ユニットの防御力UP(1ターンに1度だけ発動)</v>
          </cell>
        </row>
        <row r="186">
          <cell r="A186">
            <v>917</v>
          </cell>
          <cell r="B186" t="str">
            <v>ja</v>
          </cell>
          <cell r="C186" t="str">
            <v>チェイン18 HP回復</v>
          </cell>
          <cell r="D186" t="str">
            <v>自身が先頭の時、1タップで18個以上パネルを繋げた場合にHPを1500回復(1ターンに1度だけ発動)</v>
          </cell>
        </row>
        <row r="187">
          <cell r="A187">
            <v>918</v>
          </cell>
          <cell r="B187" t="str">
            <v>ja</v>
          </cell>
          <cell r="C187" t="str">
            <v>チェイン18 HP回復</v>
          </cell>
          <cell r="D187" t="str">
            <v>自身が先頭の時、1タップで18個以上パネルを繋げた場合にHPを1500回復(1ターンに1度だけ発動)</v>
          </cell>
        </row>
        <row r="188">
          <cell r="A188">
            <v>919</v>
          </cell>
          <cell r="B188" t="str">
            <v>ja</v>
          </cell>
          <cell r="C188" t="str">
            <v>チェイン16 攻撃力特大UP</v>
          </cell>
          <cell r="D188" t="str">
            <v>自身が先頭の時、1タップで16個以上パネルを繋げた場合に攻撃力特大UP(1ターンに1度だけ発動)</v>
          </cell>
        </row>
        <row r="189">
          <cell r="A189">
            <v>1000</v>
          </cell>
          <cell r="B189" t="str">
            <v>ja</v>
          </cell>
          <cell r="C189" t="str">
            <v>対種族ヒューマン 超大カウンター</v>
          </cell>
          <cell r="D189" t="str">
            <v>敵に種族ヒューマンがいる場合、自身に超大カウンター</v>
          </cell>
        </row>
        <row r="190">
          <cell r="A190">
            <v>1100</v>
          </cell>
          <cell r="B190" t="str">
            <v>ja</v>
          </cell>
          <cell r="C190" t="str">
            <v>Cパネル生成短縮</v>
          </cell>
          <cell r="D190" t="str">
            <v>自身が先頭の時、Cパネル生成に必要なチェイン数を1短縮する</v>
          </cell>
        </row>
        <row r="191">
          <cell r="A191">
            <v>1101</v>
          </cell>
          <cell r="B191" t="str">
            <v>ja</v>
          </cell>
          <cell r="C191" t="str">
            <v>Cパネル生成短縮(大)</v>
          </cell>
          <cell r="D191" t="str">
            <v>自身が先頭の時、Cパネル生成に必要なチェイン数を2短縮する</v>
          </cell>
        </row>
        <row r="192">
          <cell r="A192">
            <v>1200</v>
          </cell>
          <cell r="B192" t="str">
            <v>ja</v>
          </cell>
          <cell r="C192" t="str">
            <v>フィーバー攻撃UP</v>
          </cell>
          <cell r="D192" t="str">
            <v>自身が先頭の時、フィーバー発動時に緑属性の攻撃力と回復力UP</v>
          </cell>
        </row>
        <row r="193">
          <cell r="A193">
            <v>1300</v>
          </cell>
          <cell r="B193" t="str">
            <v>ja</v>
          </cell>
          <cell r="C193" t="str">
            <v>チェイン12 HP回復</v>
          </cell>
          <cell r="D193" t="str">
            <v>自身が先頭の時、1タップで12個以上パネルを繋げた場合にHPを2000回復(1ターンに1度だけ発動)</v>
          </cell>
        </row>
        <row r="194">
          <cell r="A194">
            <v>1400</v>
          </cell>
          <cell r="B194" t="str">
            <v>ja</v>
          </cell>
          <cell r="C194" t="str">
            <v>カウンター威力UP</v>
          </cell>
          <cell r="D194" t="str">
            <v>4ターン毎に自身のカウンタースキルの威力が1ターンの間UP</v>
          </cell>
        </row>
        <row r="195">
          <cell r="A195">
            <v>1500</v>
          </cell>
          <cell r="B195" t="str">
            <v>ja</v>
          </cell>
          <cell r="C195" t="str">
            <v>バリア15000</v>
          </cell>
          <cell r="D195" t="str">
            <v>戦闘開始時に、自身への直接ダメージを15000まで防ぐバリアを一度だけ展開(バリアは破壊されると復活しない)</v>
          </cell>
        </row>
        <row r="196">
          <cell r="A196">
            <v>1501</v>
          </cell>
          <cell r="B196" t="str">
            <v>ja</v>
          </cell>
          <cell r="C196" t="str">
            <v>バリア</v>
          </cell>
          <cell r="D196" t="str">
            <v>戦闘開始時に、ダメージを25000まで防ぐバリアを一度だけ展開</v>
          </cell>
        </row>
        <row r="197">
          <cell r="A197">
            <v>1502</v>
          </cell>
          <cell r="B197" t="str">
            <v>ja</v>
          </cell>
          <cell r="C197" t="str">
            <v>バリア</v>
          </cell>
          <cell r="D197" t="str">
            <v>戦闘開始時に、ダメージを50000まで防ぐバリアを一度だけ展開</v>
          </cell>
        </row>
        <row r="198">
          <cell r="A198">
            <v>1503</v>
          </cell>
          <cell r="B198" t="str">
            <v>ja</v>
          </cell>
          <cell r="C198" t="str">
            <v>バリア8000</v>
          </cell>
          <cell r="D198" t="str">
            <v>戦闘開始時に、自身への直接ダメージを8000まで防ぐバリアを一度だけ展開(バリアは破壊されると復活しない)</v>
          </cell>
        </row>
        <row r="199">
          <cell r="A199">
            <v>1504</v>
          </cell>
          <cell r="B199" t="str">
            <v>ja</v>
          </cell>
          <cell r="C199" t="str">
            <v>バリア10000</v>
          </cell>
          <cell r="D199" t="str">
            <v>戦闘開始時に、自身への直接ダメージを10000まで防ぐバリアを一度だけ展開(バリアは破壊されると復活しない)</v>
          </cell>
        </row>
        <row r="200">
          <cell r="A200">
            <v>1505</v>
          </cell>
          <cell r="B200" t="str">
            <v>ja</v>
          </cell>
          <cell r="C200" t="str">
            <v>バリア3939</v>
          </cell>
          <cell r="D200" t="str">
            <v>戦闘開始時に、自身への直接ダメージを3939まで防ぐバリアを一度だけ展開(バリアは破壊されると復活しない)</v>
          </cell>
        </row>
        <row r="201">
          <cell r="A201">
            <v>1506</v>
          </cell>
          <cell r="B201" t="str">
            <v>ja</v>
          </cell>
          <cell r="C201" t="str">
            <v>バリア5000</v>
          </cell>
          <cell r="D201" t="str">
            <v>戦闘開始時に、自身への直接ダメージを5000まで防ぐバリアを一度だけ展開(バリアは破壊されると復活しない)</v>
          </cell>
        </row>
        <row r="202">
          <cell r="A202">
            <v>1600</v>
          </cell>
          <cell r="B202" t="str">
            <v>ja</v>
          </cell>
          <cell r="C202" t="str">
            <v>攻撃力・回復力UP</v>
          </cell>
          <cell r="D202" t="str">
            <v>自身の攻撃力と回復力をUP</v>
          </cell>
        </row>
        <row r="203">
          <cell r="A203">
            <v>1601</v>
          </cell>
          <cell r="B203" t="str">
            <v>ja</v>
          </cell>
          <cell r="C203" t="str">
            <v>隣接ユニット 回復力UP</v>
          </cell>
          <cell r="D203" t="str">
            <v>右隣のユニットの回復力を1000UPする</v>
          </cell>
        </row>
        <row r="204">
          <cell r="A204">
            <v>1602</v>
          </cell>
          <cell r="B204" t="str">
            <v>ja</v>
          </cell>
          <cell r="C204" t="str">
            <v>テクニカルタイプ攻撃力UP</v>
          </cell>
          <cell r="D204" t="str">
            <v>テクニカルタイプの攻撃力を700UP</v>
          </cell>
        </row>
        <row r="205">
          <cell r="A205">
            <v>1603</v>
          </cell>
          <cell r="B205" t="str">
            <v>ja</v>
          </cell>
          <cell r="C205" t="str">
            <v>3種族 攻撃力UP</v>
          </cell>
          <cell r="D205" t="str">
            <v>種族アニマル・ファンタジー・ヒーローの攻撃力を800UP</v>
          </cell>
        </row>
        <row r="206">
          <cell r="A206">
            <v>1604</v>
          </cell>
          <cell r="B206" t="str">
            <v>ja</v>
          </cell>
          <cell r="C206" t="str">
            <v>2種族 6ターン毎にタップ数増加</v>
          </cell>
          <cell r="D206" t="str">
            <v>最初の1ターン目と、その後6ターン毎にヒューマン・ファンタジーのタップ数1増加</v>
          </cell>
        </row>
        <row r="207">
          <cell r="A207">
            <v>1605</v>
          </cell>
          <cell r="B207" t="str">
            <v>ja</v>
          </cell>
          <cell r="C207" t="str">
            <v>攻撃力UP</v>
          </cell>
          <cell r="D207" t="str">
            <v>パーティーに体力かテクニカルタイプいる場合、全ユニット攻撃力400UP</v>
          </cell>
        </row>
        <row r="208">
          <cell r="A208">
            <v>1700</v>
          </cell>
          <cell r="B208" t="str">
            <v>ja</v>
          </cell>
          <cell r="C208" t="str">
            <v>パネルブレイク30 ターンHP小回復</v>
          </cell>
          <cell r="D208" t="str">
            <v>自身が先頭の時、1ターンの間に合計30個以上パネルを破壊した場合に1ターン HP小回復</v>
          </cell>
        </row>
        <row r="209">
          <cell r="A209">
            <v>1701</v>
          </cell>
          <cell r="B209" t="str">
            <v>ja</v>
          </cell>
          <cell r="C209" t="str">
            <v>5ターン毎、HP回復</v>
          </cell>
          <cell r="D209" t="str">
            <v>最初の1ターン目と、その後5ターン毎のターン終了時、HPを2500回復する</v>
          </cell>
        </row>
        <row r="210">
          <cell r="A210">
            <v>1702</v>
          </cell>
          <cell r="B210" t="str">
            <v>ja</v>
          </cell>
          <cell r="C210" t="str">
            <v>ターン経過攻撃力UP</v>
          </cell>
          <cell r="D210" t="str">
            <v>最初の1ターン目と、その後6ターン毎に1ターン種族ドラゴン・ファンタジー・アニマルの攻撃力を1000UP</v>
          </cell>
        </row>
        <row r="211">
          <cell r="A211">
            <v>1703</v>
          </cell>
          <cell r="B211" t="str">
            <v>ja</v>
          </cell>
          <cell r="C211" t="str">
            <v>隣接ユニット スキルターン短縮(8ターン)</v>
          </cell>
          <cell r="D211" t="str">
            <v>最初の1ターン目と、その後8ターン毎に右隣のユニットのスキルターンを1短縮</v>
          </cell>
        </row>
        <row r="212">
          <cell r="A212">
            <v>1704</v>
          </cell>
          <cell r="B212" t="str">
            <v>ja</v>
          </cell>
          <cell r="C212" t="str">
            <v>ターン経過回復力UP</v>
          </cell>
          <cell r="D212" t="str">
            <v>最初の1ターン目と、その後6ターン毎に1ターン自身と右隣のユニットの回復力を1500UP</v>
          </cell>
        </row>
        <row r="213">
          <cell r="A213">
            <v>1800</v>
          </cell>
          <cell r="B213" t="str">
            <v>ja</v>
          </cell>
          <cell r="C213" t="str">
            <v>フィーバー強化</v>
          </cell>
          <cell r="D213" t="str">
            <v>フィーバー時自身の攻撃力、回復力を特大UP</v>
          </cell>
        </row>
        <row r="214">
          <cell r="A214">
            <v>1900</v>
          </cell>
          <cell r="B214" t="str">
            <v>ja</v>
          </cell>
          <cell r="C214" t="str">
            <v>ハート出現率UP</v>
          </cell>
          <cell r="D214" t="str">
            <v>自身が先頭の時、ハートパネルの出現率UP</v>
          </cell>
        </row>
        <row r="215">
          <cell r="A215">
            <v>2000</v>
          </cell>
          <cell r="B215" t="str">
            <v>ja</v>
          </cell>
          <cell r="C215" t="str">
            <v>赤パネル出現率UP</v>
          </cell>
          <cell r="D215" t="str">
            <v>自身が先頭の時、赤パネルの出現率UP</v>
          </cell>
        </row>
        <row r="216">
          <cell r="A216">
            <v>2100</v>
          </cell>
          <cell r="B216" t="str">
            <v>ja</v>
          </cell>
          <cell r="C216" t="str">
            <v>緑パネル出現率UP</v>
          </cell>
          <cell r="D216" t="str">
            <v>自身が先頭の時、緑パネルの出現率UP</v>
          </cell>
        </row>
        <row r="217">
          <cell r="A217">
            <v>2101</v>
          </cell>
          <cell r="B217" t="str">
            <v>ja</v>
          </cell>
          <cell r="C217" t="str">
            <v>緑パネル出現率UP</v>
          </cell>
          <cell r="D217" t="str">
            <v>自身が先頭の時、緑パネルの出現率UP</v>
          </cell>
        </row>
        <row r="218">
          <cell r="A218">
            <v>2200</v>
          </cell>
          <cell r="B218" t="str">
            <v>ja</v>
          </cell>
          <cell r="C218" t="str">
            <v>青パネル出現率UP</v>
          </cell>
          <cell r="D218" t="str">
            <v>自身が先頭の時、青パネルの出現率UP</v>
          </cell>
        </row>
        <row r="219">
          <cell r="A219">
            <v>2201</v>
          </cell>
          <cell r="B219" t="str">
            <v>ja</v>
          </cell>
          <cell r="C219" t="str">
            <v>青パネル出現率UP</v>
          </cell>
          <cell r="D219" t="str">
            <v>自身が先頭の時、青パネルの出現率UP</v>
          </cell>
        </row>
        <row r="220">
          <cell r="A220">
            <v>2300</v>
          </cell>
          <cell r="B220" t="str">
            <v>ja</v>
          </cell>
          <cell r="C220" t="str">
            <v>黄パネル出現率UP</v>
          </cell>
          <cell r="D220" t="str">
            <v>自身が先頭の時、黄パネルの出現率UP</v>
          </cell>
        </row>
        <row r="221">
          <cell r="A221">
            <v>2400</v>
          </cell>
          <cell r="B221" t="str">
            <v>ja</v>
          </cell>
          <cell r="C221" t="str">
            <v>ハートボムパネルドロップ</v>
          </cell>
          <cell r="D221" t="str">
            <v>自身が先頭の時、ハートパネルを確率でハートボムパネルに変換しドロップ</v>
          </cell>
        </row>
        <row r="222">
          <cell r="A222">
            <v>2401</v>
          </cell>
          <cell r="B222" t="str">
            <v>ja</v>
          </cell>
          <cell r="C222" t="str">
            <v>赤ボムパネルドロップ</v>
          </cell>
          <cell r="D222" t="str">
            <v>自身が先頭の時、赤パネルを低確率で赤ボムパネルに変換しドロップ</v>
          </cell>
        </row>
        <row r="223">
          <cell r="A223">
            <v>2402</v>
          </cell>
          <cell r="B223" t="str">
            <v>ja</v>
          </cell>
          <cell r="C223" t="str">
            <v>緑ボムパネルドロップ</v>
          </cell>
          <cell r="D223" t="str">
            <v>自身が先頭の時、緑パネルを低確率で緑ボムパネルに変換しドロップ</v>
          </cell>
        </row>
        <row r="224">
          <cell r="A224">
            <v>2403</v>
          </cell>
          <cell r="B224" t="str">
            <v>ja</v>
          </cell>
          <cell r="C224" t="str">
            <v>青ボムパネルドロップ</v>
          </cell>
          <cell r="D224" t="str">
            <v>自身が先頭の時、青パネルを確率で青ボムパネルに変換しドロップ</v>
          </cell>
        </row>
        <row r="225">
          <cell r="A225">
            <v>2500</v>
          </cell>
          <cell r="B225" t="str">
            <v>ja</v>
          </cell>
          <cell r="C225" t="str">
            <v>青パネルドロップ</v>
          </cell>
          <cell r="D225" t="str">
            <v>自身が先頭の時、緑パネルを確率で青パネルに変換しドロップ</v>
          </cell>
        </row>
        <row r="226">
          <cell r="A226">
            <v>2501</v>
          </cell>
          <cell r="B226" t="str">
            <v>ja</v>
          </cell>
          <cell r="C226" t="str">
            <v>黄パネルドロップ</v>
          </cell>
          <cell r="D226" t="str">
            <v>自身が先頭の時、青パネルを確率で黄パネルに変換しドロップ</v>
          </cell>
        </row>
        <row r="227">
          <cell r="A227">
            <v>2502</v>
          </cell>
          <cell r="B227" t="str">
            <v>ja</v>
          </cell>
          <cell r="C227" t="str">
            <v>赤パネルドロップ</v>
          </cell>
          <cell r="D227" t="str">
            <v>自身が先頭の時、黄パネルを確率で赤パネルに変換しドロップ</v>
          </cell>
        </row>
        <row r="228">
          <cell r="A228">
            <v>2503</v>
          </cell>
          <cell r="B228" t="str">
            <v>ja</v>
          </cell>
          <cell r="C228" t="str">
            <v>黄パネルドロップ</v>
          </cell>
          <cell r="D228" t="str">
            <v>自身が先頭の時、赤パネルを確率で黄パネルに変換しドロップ</v>
          </cell>
        </row>
        <row r="229">
          <cell r="A229">
            <v>2504</v>
          </cell>
          <cell r="B229" t="str">
            <v>ja</v>
          </cell>
          <cell r="C229" t="str">
            <v>SCパネルドロップ</v>
          </cell>
          <cell r="D229" t="str">
            <v>自身が先頭の時、緑パネルを確率でSCパネルに変換しドロップ</v>
          </cell>
        </row>
        <row r="230">
          <cell r="A230">
            <v>2505</v>
          </cell>
          <cell r="B230" t="str">
            <v>ja</v>
          </cell>
          <cell r="C230" t="str">
            <v>緑ボムパネル(大)ドロップ</v>
          </cell>
          <cell r="D230" t="str">
            <v>自身が先頭の時、低確率で緑ボムパネル(大)をドロップ</v>
          </cell>
        </row>
        <row r="231">
          <cell r="A231">
            <v>2506</v>
          </cell>
          <cell r="B231" t="str">
            <v>ja</v>
          </cell>
          <cell r="C231" t="str">
            <v>ハートボムパネル(大)ドロップ</v>
          </cell>
          <cell r="D231" t="str">
            <v>自身が先頭の時、低確率でハートボムパネル(大)をドロップ</v>
          </cell>
        </row>
        <row r="232">
          <cell r="A232">
            <v>2507</v>
          </cell>
          <cell r="B232" t="str">
            <v>ja</v>
          </cell>
          <cell r="C232" t="str">
            <v>Cパネルドロップ</v>
          </cell>
          <cell r="D232" t="str">
            <v>自身が先頭の時、低確率でCパネルをドロップ</v>
          </cell>
        </row>
        <row r="233">
          <cell r="A233">
            <v>2508</v>
          </cell>
          <cell r="B233" t="str">
            <v>ja</v>
          </cell>
          <cell r="C233" t="str">
            <v>黄パネルドロップ</v>
          </cell>
          <cell r="D233" t="str">
            <v>自身が先頭の時、緑パネルを確率で黄パネルに変換しドロップ</v>
          </cell>
        </row>
        <row r="234">
          <cell r="A234">
            <v>2509</v>
          </cell>
          <cell r="B234" t="str">
            <v>ja</v>
          </cell>
          <cell r="C234" t="str">
            <v>赤ボムパネル(大)ドロップ</v>
          </cell>
          <cell r="D234" t="str">
            <v>自身が先頭の時、低確率で赤ボムパネル(大)をドロップ</v>
          </cell>
        </row>
        <row r="235">
          <cell r="A235">
            <v>2510</v>
          </cell>
          <cell r="B235" t="str">
            <v>ja</v>
          </cell>
          <cell r="C235" t="str">
            <v>青ボムパネル(大)ドロップ</v>
          </cell>
          <cell r="D235" t="str">
            <v>自身が先頭の時、低確率で青ボムパネル(大)をドロップ</v>
          </cell>
        </row>
        <row r="236">
          <cell r="A236">
            <v>2511</v>
          </cell>
          <cell r="B236" t="str">
            <v>ja</v>
          </cell>
          <cell r="C236" t="str">
            <v>緑ボムパネルドロップ</v>
          </cell>
          <cell r="D236" t="str">
            <v>自身が先頭の時、ハートパネルを確率で緑ボムパネルに変換しドロップ</v>
          </cell>
        </row>
        <row r="237">
          <cell r="A237">
            <v>2512</v>
          </cell>
          <cell r="B237" t="str">
            <v>ja</v>
          </cell>
          <cell r="C237" t="str">
            <v>ハートボムパネル(大)ドロップ</v>
          </cell>
          <cell r="D237" t="str">
            <v>自身が先頭の時、低確率でハートボムパネル(大)をドロップ</v>
          </cell>
        </row>
        <row r="238">
          <cell r="A238">
            <v>2513</v>
          </cell>
          <cell r="B238" t="str">
            <v>ja</v>
          </cell>
          <cell r="C238" t="str">
            <v>緑ボムパネル(大)ドロップ</v>
          </cell>
          <cell r="D238" t="str">
            <v>自身が先頭の時、低確率で緑ボムパネル(大)をドロップ</v>
          </cell>
        </row>
        <row r="239">
          <cell r="A239">
            <v>2514</v>
          </cell>
          <cell r="B239" t="str">
            <v>ja</v>
          </cell>
          <cell r="C239" t="str">
            <v>赤ボムパネルドロップ</v>
          </cell>
          <cell r="D239" t="str">
            <v>自身が先頭の時、青パネルを低確率で赤ボムパネルに変換しドロップ</v>
          </cell>
        </row>
        <row r="240">
          <cell r="A240">
            <v>2600</v>
          </cell>
          <cell r="B240" t="str">
            <v>ja</v>
          </cell>
          <cell r="C240" t="str">
            <v>回復力400UP</v>
          </cell>
          <cell r="D240" t="str">
            <v>自身の回復力を400UP</v>
          </cell>
        </row>
        <row r="241">
          <cell r="A241">
            <v>2601</v>
          </cell>
          <cell r="B241" t="str">
            <v>ja</v>
          </cell>
          <cell r="C241" t="str">
            <v>回復力300UP</v>
          </cell>
          <cell r="D241" t="str">
            <v>自身の回復力を300UP</v>
          </cell>
        </row>
        <row r="242">
          <cell r="A242">
            <v>2700</v>
          </cell>
          <cell r="B242" t="str">
            <v>ja</v>
          </cell>
          <cell r="C242" t="str">
            <v>攻撃力UP</v>
          </cell>
          <cell r="D242" t="str">
            <v>自身の攻撃力を300UP</v>
          </cell>
        </row>
        <row r="243">
          <cell r="A243">
            <v>2701</v>
          </cell>
          <cell r="B243" t="str">
            <v>ja</v>
          </cell>
          <cell r="C243" t="str">
            <v>攻撃力UP</v>
          </cell>
          <cell r="D243" t="str">
            <v>自身の攻撃力を500UP</v>
          </cell>
        </row>
        <row r="244">
          <cell r="A244">
            <v>2800</v>
          </cell>
          <cell r="B244" t="str">
            <v>ja</v>
          </cell>
          <cell r="C244" t="str">
            <v>防御力UP</v>
          </cell>
          <cell r="D244" t="str">
            <v>自身の防御力を250UP</v>
          </cell>
        </row>
        <row r="245">
          <cell r="A245">
            <v>2801</v>
          </cell>
          <cell r="B245" t="str">
            <v>ja</v>
          </cell>
          <cell r="C245" t="str">
            <v>防御力UP</v>
          </cell>
          <cell r="D245" t="str">
            <v>自身の防御力を350UP</v>
          </cell>
        </row>
        <row r="246">
          <cell r="A246">
            <v>2802</v>
          </cell>
          <cell r="B246" t="str">
            <v>ja</v>
          </cell>
          <cell r="C246" t="str">
            <v>防御力UP</v>
          </cell>
          <cell r="D246" t="str">
            <v>自身の防御力を300UP</v>
          </cell>
        </row>
        <row r="247">
          <cell r="A247">
            <v>2803</v>
          </cell>
          <cell r="B247" t="str">
            <v>ja</v>
          </cell>
          <cell r="C247" t="str">
            <v>防御力UP</v>
          </cell>
          <cell r="D247" t="str">
            <v>自身の防御力を400UP</v>
          </cell>
        </row>
        <row r="248">
          <cell r="A248">
            <v>2804</v>
          </cell>
          <cell r="B248" t="str">
            <v>ja</v>
          </cell>
          <cell r="C248" t="str">
            <v>防御力UP</v>
          </cell>
          <cell r="D248" t="str">
            <v>自身の防御力を280UP</v>
          </cell>
        </row>
        <row r="249">
          <cell r="A249">
            <v>2805</v>
          </cell>
          <cell r="B249" t="str">
            <v>ja</v>
          </cell>
          <cell r="C249" t="str">
            <v>3ターン毎、防御力UP</v>
          </cell>
          <cell r="D249" t="str">
            <v>最初の1ターン目と、その後3ターン毎に1ターン緑属性ユニットの防御力を500UP</v>
          </cell>
        </row>
        <row r="250">
          <cell r="A250">
            <v>2900</v>
          </cell>
          <cell r="B250" t="str">
            <v>ja</v>
          </cell>
          <cell r="C250" t="str">
            <v>フィーバー50 攻撃力小UP</v>
          </cell>
          <cell r="D250" t="str">
            <v>フィーバーゲージが50％以上の時、自身の攻撃力小UP</v>
          </cell>
        </row>
        <row r="251">
          <cell r="A251">
            <v>2901</v>
          </cell>
          <cell r="B251" t="str">
            <v>ja</v>
          </cell>
          <cell r="C251" t="str">
            <v>フィーバー40 攻撃力UP</v>
          </cell>
          <cell r="D251" t="str">
            <v>フィーバーゲージが40％以上の時、自身の攻撃力UP</v>
          </cell>
        </row>
        <row r="252">
          <cell r="A252">
            <v>2902</v>
          </cell>
          <cell r="B252" t="str">
            <v>ja</v>
          </cell>
          <cell r="C252" t="str">
            <v>フィーバー80 攻撃力大UP</v>
          </cell>
          <cell r="D252" t="str">
            <v>フィーバーゲージが80％以上の時、自身の攻撃力大UP</v>
          </cell>
        </row>
        <row r="253">
          <cell r="A253">
            <v>2903</v>
          </cell>
          <cell r="B253" t="str">
            <v>ja</v>
          </cell>
          <cell r="C253" t="str">
            <v>フィーバー100 攻撃参加</v>
          </cell>
          <cell r="D253" t="str">
            <v>フィーバーゲージが100％の時、自身が先頭以外でも通常攻撃に参加する</v>
          </cell>
        </row>
        <row r="254">
          <cell r="A254">
            <v>2904</v>
          </cell>
          <cell r="B254" t="str">
            <v>ja</v>
          </cell>
          <cell r="C254" t="str">
            <v>フィーバー70 HP回復</v>
          </cell>
          <cell r="D254" t="str">
            <v>フィーバーゲージが70%以上の時、毎ターン終了時、HPを1500回復する</v>
          </cell>
        </row>
        <row r="255">
          <cell r="A255">
            <v>2905</v>
          </cell>
          <cell r="B255" t="str">
            <v>ja</v>
          </cell>
          <cell r="C255" t="str">
            <v>フィーバー100 Cパネル生成短縮</v>
          </cell>
          <cell r="D255" t="str">
            <v>フィーバーゲージが100％の時、全ユニットのCパネル生成に必要なチェイン数を1短縮する</v>
          </cell>
        </row>
        <row r="256">
          <cell r="A256">
            <v>3000</v>
          </cell>
          <cell r="B256" t="str">
            <v>ja</v>
          </cell>
          <cell r="C256" t="str">
            <v>7ターン毎、攻撃参加</v>
          </cell>
          <cell r="D256" t="str">
            <v>最初の1ターン目と、その後7ターン毎に自身が先頭以外でも通常攻撃に参加する</v>
          </cell>
        </row>
        <row r="257">
          <cell r="A257">
            <v>3001</v>
          </cell>
          <cell r="B257" t="str">
            <v>ja</v>
          </cell>
          <cell r="C257" t="str">
            <v>6ターン毎、攻撃参加</v>
          </cell>
          <cell r="D257" t="str">
            <v>最初の1ターン目と、その後6ターン毎に自身が先頭以外でも通常攻撃に参加する</v>
          </cell>
        </row>
        <row r="258">
          <cell r="A258">
            <v>3002</v>
          </cell>
          <cell r="B258" t="str">
            <v>ja</v>
          </cell>
          <cell r="C258" t="str">
            <v>9ターン毎、攻撃参加</v>
          </cell>
          <cell r="D258" t="str">
            <v>最初の1ターン目と、その後9ターン毎に自身が先頭以外でも通常攻撃に参加する</v>
          </cell>
        </row>
        <row r="259">
          <cell r="A259">
            <v>3100</v>
          </cell>
          <cell r="B259" t="str">
            <v>ja</v>
          </cell>
          <cell r="C259" t="str">
            <v>最終フロア Cパネル生成短縮(特大)</v>
          </cell>
          <cell r="D259" t="str">
            <v>最終フロア内で自身が先頭の時、Cパネル生成に必要なチェイン数を4短縮する</v>
          </cell>
        </row>
        <row r="260">
          <cell r="A260">
            <v>3101</v>
          </cell>
          <cell r="B260" t="str">
            <v>ja</v>
          </cell>
          <cell r="C260" t="str">
            <v>最終フロア バリア3000</v>
          </cell>
          <cell r="D260" t="str">
            <v>最終フロア到達時に自身への直接ダメージを3000まで防ぐバリアを一度だけ展開(バリアは破壊されると復活しない)</v>
          </cell>
        </row>
        <row r="261">
          <cell r="A261">
            <v>3102</v>
          </cell>
          <cell r="B261" t="str">
            <v>ja</v>
          </cell>
          <cell r="C261" t="str">
            <v>最終フロア時 Cスキル威力UP</v>
          </cell>
          <cell r="D261" t="str">
            <v>最終フロアの1ターン目終了時に自身のCスキルの威力をUP</v>
          </cell>
        </row>
        <row r="262">
          <cell r="A262">
            <v>3103</v>
          </cell>
          <cell r="B262" t="str">
            <v>ja</v>
          </cell>
          <cell r="C262" t="str">
            <v>最終フロア 攻撃力UP</v>
          </cell>
          <cell r="D262" t="str">
            <v>最終フロア内で自身の攻撃力を700UP</v>
          </cell>
        </row>
        <row r="263">
          <cell r="A263">
            <v>3104</v>
          </cell>
          <cell r="B263" t="str">
            <v>ja</v>
          </cell>
          <cell r="C263" t="str">
            <v>最終フロア時 バリア5000</v>
          </cell>
          <cell r="D263" t="str">
            <v>最終フロア到達時に自身への直接ダメージを5000まで防ぐバリアを一度だけ展開(バリアは破壊されると復活しない)</v>
          </cell>
        </row>
        <row r="264">
          <cell r="A264">
            <v>3105</v>
          </cell>
          <cell r="B264" t="str">
            <v>ja</v>
          </cell>
          <cell r="C264" t="str">
            <v>最終フロア時 バリア7000</v>
          </cell>
          <cell r="D264" t="str">
            <v>最終フロア到達時に自身への直接ダメージを7000まで防ぐバリアを一度だけ展開(バリアは破壊されると復活しない)</v>
          </cell>
        </row>
        <row r="265">
          <cell r="A265">
            <v>3106</v>
          </cell>
          <cell r="B265" t="str">
            <v>ja</v>
          </cell>
          <cell r="C265" t="str">
            <v>最終フロア時 HP回復</v>
          </cell>
          <cell r="D265" t="str">
            <v>最終フロアの毎ターン終了時にパーティの合計HPの5%を回復する</v>
          </cell>
        </row>
        <row r="266">
          <cell r="A266">
            <v>3107</v>
          </cell>
          <cell r="B266" t="str">
            <v>ja</v>
          </cell>
          <cell r="C266" t="str">
            <v>フロア タップ回数UP</v>
          </cell>
          <cell r="D266" t="str">
            <v>フロア到達時に1ターン全ユニットのタップ回数を1回増やす</v>
          </cell>
        </row>
        <row r="267">
          <cell r="A267">
            <v>3108</v>
          </cell>
          <cell r="B267" t="str">
            <v>ja</v>
          </cell>
          <cell r="C267" t="str">
            <v>最終フロア時 バリア8000</v>
          </cell>
          <cell r="D267" t="str">
            <v>最終フロア到達時に自身への直接ダメージを8000まで防ぐバリアを一度だけ展開(バリアは破壊されると復活しない)</v>
          </cell>
        </row>
        <row r="268">
          <cell r="A268">
            <v>3200</v>
          </cell>
          <cell r="B268" t="str">
            <v>ja</v>
          </cell>
          <cell r="C268" t="str">
            <v>HP33%以下 攻撃力UP</v>
          </cell>
          <cell r="D268" t="str">
            <v>自身が先頭の時、残りHPが33%以下で攻撃力特大UP</v>
          </cell>
        </row>
        <row r="269">
          <cell r="A269">
            <v>3201</v>
          </cell>
          <cell r="B269" t="str">
            <v>ja</v>
          </cell>
          <cell r="C269" t="str">
            <v>HP35%以下 回復力UP</v>
          </cell>
          <cell r="D269" t="str">
            <v>自身が先頭の時、残りHPが35%以下で回復力40%UP</v>
          </cell>
        </row>
        <row r="270">
          <cell r="A270">
            <v>3202</v>
          </cell>
          <cell r="B270" t="str">
            <v>ja</v>
          </cell>
          <cell r="C270" t="str">
            <v>HP90%以上 全属性耐性15</v>
          </cell>
          <cell r="D270" t="str">
            <v>自身が先頭の時、残りHPが90%以上で全ユニットに対する全属性の敵からの攻撃を15％軽減</v>
          </cell>
        </row>
        <row r="271">
          <cell r="A271">
            <v>3203</v>
          </cell>
          <cell r="B271" t="str">
            <v>ja</v>
          </cell>
          <cell r="C271" t="str">
            <v>HP50%以下 防御力UP</v>
          </cell>
          <cell r="D271" t="str">
            <v>自身が先頭の時、残りHPが50%以下で防御力398UP</v>
          </cell>
        </row>
        <row r="272">
          <cell r="A272">
            <v>3204</v>
          </cell>
          <cell r="B272" t="str">
            <v>ja</v>
          </cell>
          <cell r="C272" t="str">
            <v>HP30%以下 攻撃力大UP</v>
          </cell>
          <cell r="D272" t="str">
            <v>自身が先頭の時、残りHPが30%以下で攻撃力大UP</v>
          </cell>
        </row>
        <row r="273">
          <cell r="A273">
            <v>3205</v>
          </cell>
          <cell r="B273" t="str">
            <v>ja</v>
          </cell>
          <cell r="C273" t="str">
            <v>HP90%以上 ダメージ軽減</v>
          </cell>
          <cell r="D273" t="str">
            <v>残りHPが90%以上の時、全ユニットが敵からの攻撃を15％軽減</v>
          </cell>
        </row>
        <row r="274">
          <cell r="A274">
            <v>3206</v>
          </cell>
          <cell r="B274" t="str">
            <v>ja</v>
          </cell>
          <cell r="C274" t="str">
            <v>HP30%以下 回復力UP</v>
          </cell>
          <cell r="D274" t="str">
            <v>残りHPが30%以下の時、全ユニットの回復力20%UP</v>
          </cell>
        </row>
        <row r="275">
          <cell r="A275">
            <v>3207</v>
          </cell>
          <cell r="B275" t="str">
            <v>ja</v>
          </cell>
          <cell r="C275" t="str">
            <v>HP50%以下 回復力UP</v>
          </cell>
          <cell r="D275" t="str">
            <v>残りHPが50%以下の時、全ユニットの回復力365UP</v>
          </cell>
        </row>
        <row r="276">
          <cell r="A276">
            <v>3208</v>
          </cell>
          <cell r="B276" t="str">
            <v>ja</v>
          </cell>
          <cell r="C276" t="str">
            <v>HP35%以下 防御力UP</v>
          </cell>
          <cell r="D276" t="str">
            <v>残りHPが35%以下の時、自身の防御力800UP</v>
          </cell>
        </row>
        <row r="277">
          <cell r="A277">
            <v>4000</v>
          </cell>
          <cell r="B277" t="str">
            <v>ja</v>
          </cell>
          <cell r="C277" t="str">
            <v>被ダメージ時 HP回復</v>
          </cell>
          <cell r="D277" t="str">
            <v>自身が攻撃を受けた場合、次のターンの開始時にHP500回復する</v>
          </cell>
        </row>
        <row r="278">
          <cell r="A278">
            <v>5000</v>
          </cell>
          <cell r="B278" t="str">
            <v>ja</v>
          </cell>
          <cell r="C278" t="str">
            <v>パーティー内ゴッド 攻撃力UP</v>
          </cell>
          <cell r="D278" t="str">
            <v>パーティー内に種族ゴッドがいる時、全ユニットの攻撃力を500UP</v>
          </cell>
        </row>
        <row r="279">
          <cell r="A279">
            <v>5001</v>
          </cell>
          <cell r="B279" t="str">
            <v>ja</v>
          </cell>
          <cell r="C279" t="str">
            <v>パーティー内バランス 回復力UP</v>
          </cell>
          <cell r="D279" t="str">
            <v>パーティー内にバランスタイプがいる時、全ユニットの回復力を500UP</v>
          </cell>
        </row>
        <row r="280">
          <cell r="A280">
            <v>5002</v>
          </cell>
          <cell r="B280" t="str">
            <v>ja</v>
          </cell>
          <cell r="C280" t="str">
            <v>パーティー内青属性 攻撃力UP</v>
          </cell>
          <cell r="D280" t="str">
            <v>パーティー内に青属性ユニットがいる時、全ユニットの攻撃力を700UP</v>
          </cell>
        </row>
        <row r="281">
          <cell r="A281">
            <v>5003</v>
          </cell>
          <cell r="B281" t="str">
            <v>ja</v>
          </cell>
          <cell r="C281" t="str">
            <v>パーティー内赤属性 自身攻撃力UP</v>
          </cell>
          <cell r="D281" t="str">
            <v>パーティー内に赤属性ユニットがいる時、自身の攻撃力を1500UP</v>
          </cell>
        </row>
        <row r="282">
          <cell r="A282">
            <v>8000</v>
          </cell>
          <cell r="B282" t="str">
            <v>ja</v>
          </cell>
          <cell r="C282" t="str">
            <v>ユニットが一番右にいるとき 攻撃力UP</v>
          </cell>
          <cell r="D282" t="str">
            <v>自身が一番右にいる場合、全ユニットの攻撃力UP</v>
          </cell>
        </row>
        <row r="283">
          <cell r="A283">
            <v>8001</v>
          </cell>
          <cell r="B283" t="str">
            <v>ja</v>
          </cell>
          <cell r="C283" t="str">
            <v>敵に青属性がいる場合 小カウンター</v>
          </cell>
          <cell r="D283" t="str">
            <v>敵に青属性がいる場合、小カウンター</v>
          </cell>
        </row>
        <row r="284">
          <cell r="A284">
            <v>8002</v>
          </cell>
          <cell r="B284" t="str">
            <v>ja</v>
          </cell>
          <cell r="C284" t="str">
            <v>テスト</v>
          </cell>
          <cell r="D284" t="str">
            <v>フロアスタート時、1ターン全ユニットの攻撃力UP</v>
          </cell>
        </row>
        <row r="285">
          <cell r="A285">
            <v>8003</v>
          </cell>
          <cell r="B285" t="str">
            <v>ja</v>
          </cell>
          <cell r="C285" t="str">
            <v>HP70%以上 ウィルス無効</v>
          </cell>
          <cell r="D285" t="str">
            <v>残りHPが70%以上で自身にかかるウィルスを無効化する</v>
          </cell>
        </row>
        <row r="286">
          <cell r="A286">
            <v>8004</v>
          </cell>
          <cell r="B286" t="str">
            <v>ja</v>
          </cell>
          <cell r="C286" t="str">
            <v>フロアスタート時 スキルブースト</v>
          </cell>
          <cell r="D286" t="str">
            <v>フロアスタート時、1ターンスキルブースト</v>
          </cell>
        </row>
        <row r="287">
          <cell r="A287">
            <v>8005</v>
          </cell>
          <cell r="B287" t="str">
            <v>ja</v>
          </cell>
          <cell r="C287" t="str">
            <v>ハートがハートボム大</v>
          </cell>
          <cell r="D287" t="str">
            <v>ハートがハートボム大</v>
          </cell>
        </row>
        <row r="288">
          <cell r="A288">
            <v>8006</v>
          </cell>
          <cell r="B288" t="str">
            <v>ja</v>
          </cell>
          <cell r="C288" t="str">
            <v>攻撃、回復、体力のCP短縮1</v>
          </cell>
          <cell r="D288" t="str">
            <v>攻撃、回復、体力のCP短縮1</v>
          </cell>
        </row>
        <row r="289">
          <cell r="A289">
            <v>8007</v>
          </cell>
          <cell r="B289" t="str">
            <v>ja</v>
          </cell>
          <cell r="C289" t="str">
            <v>自身の左ユニットが攻撃参加</v>
          </cell>
          <cell r="D289" t="str">
            <v>自身の左ユニットが攻撃参加</v>
          </cell>
        </row>
        <row r="290">
          <cell r="A290">
            <v>8008</v>
          </cell>
          <cell r="B290" t="str">
            <v>ja</v>
          </cell>
          <cell r="C290" t="str">
            <v>ターン経過回復力UP</v>
          </cell>
          <cell r="D290" t="str">
            <v>最初の1ターン目と、その後4ターン毎に2ターン全ユニットの回復力を1500UP</v>
          </cell>
        </row>
        <row r="291">
          <cell r="A291">
            <v>8009</v>
          </cell>
          <cell r="B291" t="str">
            <v>ja</v>
          </cell>
          <cell r="C291" t="str">
            <v>最終フロア Cパネル生成短縮(特大)</v>
          </cell>
          <cell r="D291" t="str">
            <v>最終フロア内で自身が先頭の時、Cパネル生成に必要なチェイン数を4短縮する</v>
          </cell>
        </row>
        <row r="292">
          <cell r="A292">
            <v>9000</v>
          </cell>
          <cell r="B292" t="str">
            <v>ja</v>
          </cell>
          <cell r="C292" t="str">
            <v>ハップルチャレンジ ダメージUP</v>
          </cell>
          <cell r="D292" t="str">
            <v>ハップルチャレンジ内で自身の全ての攻撃の威力をUP</v>
          </cell>
        </row>
        <row r="293">
          <cell r="A293">
            <v>9001</v>
          </cell>
          <cell r="B293" t="str">
            <v>ja</v>
          </cell>
          <cell r="C293" t="str">
            <v>クロネッカーチャレンジ ダメージUP</v>
          </cell>
          <cell r="D293" t="str">
            <v>クロネッカーチャレンジ内で自身の全ての攻撃の威力をUP</v>
          </cell>
        </row>
        <row r="294">
          <cell r="A294">
            <v>9002</v>
          </cell>
          <cell r="B294" t="str">
            <v>ja</v>
          </cell>
          <cell r="C294" t="str">
            <v>クロネッカーチャレンジ ダメージUP</v>
          </cell>
          <cell r="D294" t="str">
            <v>クロネッカーチャレンジ内で自身の全ての攻撃+カウンターの威力をUP</v>
          </cell>
        </row>
        <row r="295">
          <cell r="A295">
            <v>9003</v>
          </cell>
          <cell r="B295" t="str">
            <v>ja</v>
          </cell>
          <cell r="C295" t="str">
            <v>オイラーチャレンジ ダメージUP</v>
          </cell>
          <cell r="D295" t="str">
            <v>オイラーチャレンジ内で自身の全ての攻撃の威力をUP</v>
          </cell>
        </row>
        <row r="296">
          <cell r="A296">
            <v>9004</v>
          </cell>
          <cell r="B296" t="str">
            <v>ja</v>
          </cell>
          <cell r="C296" t="str">
            <v>オイラーチャレンジ ダメージ究極UP</v>
          </cell>
          <cell r="D296" t="str">
            <v>オイラーチャレンジ内で自身の全ての攻撃の威力を究極UP</v>
          </cell>
        </row>
        <row r="297">
          <cell r="A297">
            <v>9005</v>
          </cell>
          <cell r="B297" t="str">
            <v>ja</v>
          </cell>
          <cell r="C297" t="str">
            <v>ヘンペルチャレンジ ダメージUP</v>
          </cell>
          <cell r="D297" t="str">
            <v>ヘンペルチャレンジ内で自身の全ての攻撃の威力をUP</v>
          </cell>
        </row>
        <row r="298">
          <cell r="A298">
            <v>9006</v>
          </cell>
          <cell r="B298" t="str">
            <v>ja</v>
          </cell>
          <cell r="C298" t="str">
            <v>ヘンペルチャレンジ ダメージUP</v>
          </cell>
          <cell r="D298" t="str">
            <v>ヘンペルチャレンジ内で自身の全ての攻撃+カウンターの威力をUP</v>
          </cell>
        </row>
        <row r="299">
          <cell r="A299">
            <v>9007</v>
          </cell>
          <cell r="B299" t="str">
            <v>ja</v>
          </cell>
          <cell r="C299" t="str">
            <v>フロイトチャレンジ ダメージ究極UP</v>
          </cell>
          <cell r="D299" t="str">
            <v>フロイトチャレンジ内で自身の全ての攻撃の威力を究極UP</v>
          </cell>
        </row>
        <row r="300">
          <cell r="A300">
            <v>9008</v>
          </cell>
          <cell r="B300" t="str">
            <v>ja</v>
          </cell>
          <cell r="C300" t="str">
            <v>フロイトチャレンジ ダメージUP</v>
          </cell>
          <cell r="D300" t="str">
            <v>フロイトチャレンジ内で自身の全ての攻撃の威力をUP</v>
          </cell>
        </row>
        <row r="301">
          <cell r="A301">
            <v>9009</v>
          </cell>
          <cell r="B301" t="str">
            <v>ja</v>
          </cell>
          <cell r="C301" t="str">
            <v>フロイトチャレンジ ダメージUP</v>
          </cell>
          <cell r="D301" t="str">
            <v>フロイトチャレンジ内で自身の全ての攻撃+カウンターの威力をUP</v>
          </cell>
        </row>
        <row r="302">
          <cell r="A302">
            <v>9010</v>
          </cell>
          <cell r="B302" t="str">
            <v>ja</v>
          </cell>
          <cell r="C302" t="str">
            <v>ウエディングクエスト ダメージUP</v>
          </cell>
          <cell r="D302" t="str">
            <v>ウエディングクエスト内で自身の全ての攻撃の威力をUP</v>
          </cell>
        </row>
        <row r="303">
          <cell r="A303">
            <v>9011</v>
          </cell>
          <cell r="B303" t="str">
            <v>ja</v>
          </cell>
          <cell r="C303" t="str">
            <v>クリスマスクエストダメージUP</v>
          </cell>
          <cell r="D303" t="str">
            <v>クリスマスクエスト内で自身の全ての攻撃の威力をUP</v>
          </cell>
        </row>
        <row r="304">
          <cell r="A304">
            <v>119402</v>
          </cell>
          <cell r="B304" t="str">
            <v>ja</v>
          </cell>
          <cell r="C304" t="str">
            <v>ハロウィンナイトパニック！ 威力UP</v>
          </cell>
          <cell r="D304" t="str">
            <v>ハロウィンナイトパニック！内で自身の全ての攻撃の威力を究極UP</v>
          </cell>
        </row>
        <row r="305">
          <cell r="A305">
            <v>500801</v>
          </cell>
          <cell r="B305" t="str">
            <v>ja</v>
          </cell>
          <cell r="C305" t="str">
            <v>パネルブレイク35 攻撃力小UP</v>
          </cell>
          <cell r="D305" t="str">
            <v>自身が先頭の時、1ターンの間に合計35個以上パネルを破壊した場合に攻撃力小UP</v>
          </cell>
        </row>
        <row r="306">
          <cell r="A306">
            <v>808082</v>
          </cell>
          <cell r="B306" t="str">
            <v>ja</v>
          </cell>
          <cell r="C306" t="str">
            <v>Cパネルドロップ</v>
          </cell>
          <cell r="D306" t="str">
            <v>自身が先頭の時、低確率でCパネルをドロップ</v>
          </cell>
        </row>
        <row r="307">
          <cell r="A307">
            <v>900000</v>
          </cell>
          <cell r="B307" t="str">
            <v>ja</v>
          </cell>
          <cell r="C307" t="str">
            <v>フィーバー100 プロテクトブレイク</v>
          </cell>
          <cell r="D307" t="str">
            <v>フィーバーゲージが100％以上の時、1ターンプロテクトブレイク</v>
          </cell>
        </row>
        <row r="308">
          <cell r="A308">
            <v>900001</v>
          </cell>
          <cell r="B308" t="str">
            <v>ja</v>
          </cell>
          <cell r="C308" t="str">
            <v>フィーバー100 お邪魔ブレイク</v>
          </cell>
          <cell r="D308" t="str">
            <v>フィーバーゲージが100％以上の時、1ターンお邪魔ブレイク</v>
          </cell>
        </row>
        <row r="309">
          <cell r="A309">
            <v>900402</v>
          </cell>
          <cell r="B309" t="str">
            <v>ja</v>
          </cell>
          <cell r="C309" t="str">
            <v>バリア3500</v>
          </cell>
          <cell r="D309" t="str">
            <v>戦闘開始時に、自身への直接ダメージを3500まで防ぐバリアを一度だけ展開(バリアは破壊されると復活しない)</v>
          </cell>
        </row>
        <row r="310">
          <cell r="A310">
            <v>810202</v>
          </cell>
          <cell r="B310" t="str">
            <v>ja</v>
          </cell>
          <cell r="C310" t="str">
            <v>パネルブレイク50 ダメージ軽減</v>
          </cell>
          <cell r="D310" t="str">
            <v>自身が先頭の時、1ターンの間に合計50個以上パネルを破壊した場合敵からのダメージを15%軽減（1ターンに1度だけ発動）</v>
          </cell>
        </row>
        <row r="311">
          <cell r="A311">
            <v>811802</v>
          </cell>
          <cell r="B311" t="str">
            <v>ja</v>
          </cell>
          <cell r="C311" t="str">
            <v>ターン攻撃力UP</v>
          </cell>
          <cell r="D311" t="str">
            <v>最初の1ターン目と、その後6ターン毎に1ターン種族ドラゴン・ファンタジー・アニマルの攻撃力1000UP</v>
          </cell>
        </row>
        <row r="312">
          <cell r="A312">
            <v>812002</v>
          </cell>
          <cell r="B312" t="str">
            <v>ja</v>
          </cell>
          <cell r="C312" t="str">
            <v>ターンタップ増加</v>
          </cell>
          <cell r="D312" t="str">
            <v>最初の1ターン目と、その後6ターン毎に1ターン種族ドラゴン・ファンタジー・アニマルのタップ数1増加</v>
          </cell>
        </row>
        <row r="313">
          <cell r="A313">
            <v>811803</v>
          </cell>
          <cell r="B313" t="str">
            <v>ja</v>
          </cell>
          <cell r="C313" t="str">
            <v>端午クエスト ダメージUP</v>
          </cell>
          <cell r="D313" t="str">
            <v>端午クエスト内で自身の全ての攻撃の威力をUP</v>
          </cell>
        </row>
        <row r="314">
          <cell r="A314">
            <v>900802</v>
          </cell>
          <cell r="B314" t="str">
            <v>ja</v>
          </cell>
          <cell r="C314" t="str">
            <v>ターン攻撃力UP</v>
          </cell>
          <cell r="D314" t="str">
            <v>最初の1ターン目と、その後7ターン毎に1ターン赤属性の攻撃力777UP</v>
          </cell>
        </row>
        <row r="315">
          <cell r="A315">
            <v>9012</v>
          </cell>
          <cell r="B315" t="str">
            <v>ja</v>
          </cell>
          <cell r="C315" t="str">
            <v>ウエディングクエスト ダメージ大UP</v>
          </cell>
          <cell r="D315" t="str">
            <v>ウエディングクエスト内で自身の全ての攻撃の威力を大UP</v>
          </cell>
        </row>
        <row r="316">
          <cell r="A316">
            <v>9013</v>
          </cell>
          <cell r="B316" t="str">
            <v>ja</v>
          </cell>
          <cell r="C316" t="str">
            <v>ラグランジュチャレンジ ダメージUP</v>
          </cell>
          <cell r="D316" t="str">
            <v>ラグランジュチャレンジ内で自身の全ての攻撃の威力をUP</v>
          </cell>
        </row>
        <row r="317">
          <cell r="A317">
            <v>9014</v>
          </cell>
          <cell r="B317" t="str">
            <v>ja</v>
          </cell>
          <cell r="C317" t="str">
            <v>ラグランジュチャレンジ ダメージ究極UP</v>
          </cell>
          <cell r="D317" t="str">
            <v>ラグランジュチャレンジ内で自身の全ての攻撃の威力を究極UP</v>
          </cell>
        </row>
        <row r="318">
          <cell r="A318">
            <v>9015</v>
          </cell>
          <cell r="B318" t="str">
            <v>ja</v>
          </cell>
          <cell r="C318" t="str">
            <v>ラグランジュチャレンジ ダメージUP</v>
          </cell>
          <cell r="D318" t="str">
            <v>ラグランジュチャレンジ内で自身の全ての攻撃+カウンターの威力をUP</v>
          </cell>
        </row>
        <row r="319">
          <cell r="A319">
            <v>119402</v>
          </cell>
          <cell r="B319" t="str">
            <v>ja</v>
          </cell>
          <cell r="C319" t="str">
            <v>ハロウィンナイトパニック！ 威力UP</v>
          </cell>
          <cell r="D319" t="str">
            <v>ハロウィンナイトパニック！内で自身の全ての攻撃の威力を究極UP</v>
          </cell>
        </row>
        <row r="320">
          <cell r="A320">
            <v>500801</v>
          </cell>
          <cell r="B320" t="str">
            <v>ja</v>
          </cell>
          <cell r="C320" t="str">
            <v>パネルブレイク35 攻撃力小UP</v>
          </cell>
          <cell r="D320" t="str">
            <v>自身が先頭の時、1ターンの間に合計35個以上パネルを破壊した場合に攻撃力小UP</v>
          </cell>
        </row>
        <row r="321">
          <cell r="A321">
            <v>808082</v>
          </cell>
          <cell r="B321" t="str">
            <v>ja</v>
          </cell>
          <cell r="C321" t="str">
            <v>Cパネルドロップ</v>
          </cell>
          <cell r="D321" t="str">
            <v>自身が先頭の時、低確率でCパネルをドロップ</v>
          </cell>
        </row>
        <row r="322">
          <cell r="A322">
            <v>900000</v>
          </cell>
          <cell r="B322" t="str">
            <v>ja</v>
          </cell>
          <cell r="C322" t="str">
            <v>フィーバー100 プロテクトブレイク</v>
          </cell>
          <cell r="D322" t="str">
            <v>フィーバーゲージが100％以上の時、1ターンプロテクトブレイク</v>
          </cell>
        </row>
        <row r="323">
          <cell r="A323">
            <v>900001</v>
          </cell>
          <cell r="B323" t="str">
            <v>ja</v>
          </cell>
          <cell r="C323" t="str">
            <v>フィーバー100 お邪魔ブレイク</v>
          </cell>
          <cell r="D323" t="str">
            <v>フィーバーゲージが100％以上の時、1ターンお邪魔ブレイク</v>
          </cell>
        </row>
        <row r="324">
          <cell r="A324">
            <v>900402</v>
          </cell>
          <cell r="B324" t="str">
            <v>ja</v>
          </cell>
          <cell r="C324" t="str">
            <v>バリア3500</v>
          </cell>
          <cell r="D324" t="str">
            <v>戦闘開始時に、自身への直接ダメージを3500まで防ぐバリアを一度だけ展開(バリアは破壊されると復活しない)</v>
          </cell>
        </row>
        <row r="325">
          <cell r="A325">
            <v>810202</v>
          </cell>
          <cell r="B325" t="str">
            <v>ja</v>
          </cell>
          <cell r="C325" t="str">
            <v>パネルブレイク50 ダメージ軽減</v>
          </cell>
          <cell r="D325" t="str">
            <v>自身が先頭の時、1ターンの間に合計50個以上パネルを破壊した場合敵からのダメージを15%軽減（1ターンに1度だけ発動）</v>
          </cell>
        </row>
        <row r="326">
          <cell r="A326">
            <v>811802</v>
          </cell>
          <cell r="B326" t="str">
            <v>ja</v>
          </cell>
          <cell r="C326" t="str">
            <v>ターン攻撃力UP</v>
          </cell>
          <cell r="D326" t="str">
            <v>最初の1ターン目と、その後6ターン毎に1ターン種族ドラゴン・ファンタジー・アニマルの攻撃力1000UP</v>
          </cell>
        </row>
        <row r="327">
          <cell r="A327">
            <v>812002</v>
          </cell>
          <cell r="B327" t="str">
            <v>ja</v>
          </cell>
          <cell r="C327" t="str">
            <v>ターンタップ増加</v>
          </cell>
          <cell r="D327" t="str">
            <v>最初の1ターン目と、その後6ターン毎に1ターン種族ドラゴン・ファンタジー・アニマルのタップ数1増加</v>
          </cell>
        </row>
        <row r="328">
          <cell r="A328">
            <v>811803</v>
          </cell>
          <cell r="B328" t="str">
            <v>ja</v>
          </cell>
          <cell r="C328" t="str">
            <v>端午クエスト ダメージUP</v>
          </cell>
          <cell r="D328" t="str">
            <v>端午クエスト内で自身の全ての攻撃の威力をUP</v>
          </cell>
        </row>
        <row r="329">
          <cell r="A329">
            <v>900802</v>
          </cell>
          <cell r="B329" t="str">
            <v>ja</v>
          </cell>
          <cell r="C329" t="str">
            <v>ターン攻撃力UP</v>
          </cell>
          <cell r="D329" t="str">
            <v>最初の1ターン目と、その後7ターン毎に1ターン赤属性の攻撃力777UP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B24" sqref="B24"/>
    </sheetView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106" t="s">
        <v>125</v>
      </c>
      <c r="B1" s="106" t="s">
        <v>116</v>
      </c>
      <c r="C1" s="106" t="s">
        <v>117</v>
      </c>
      <c r="D1" s="106" t="s">
        <v>118</v>
      </c>
      <c r="E1" s="106" t="s">
        <v>119</v>
      </c>
      <c r="F1" s="106" t="s">
        <v>120</v>
      </c>
      <c r="G1" s="106" t="s">
        <v>121</v>
      </c>
      <c r="H1" s="106"/>
      <c r="I1" s="106"/>
      <c r="J1" s="106"/>
      <c r="K1" s="106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</row>
    <row r="2" spans="1:29" x14ac:dyDescent="0.15">
      <c r="A2" s="108" t="s">
        <v>314</v>
      </c>
      <c r="B2" s="108" t="s">
        <v>316</v>
      </c>
      <c r="C2" s="166" t="s">
        <v>317</v>
      </c>
      <c r="D2" s="108" t="s">
        <v>128</v>
      </c>
      <c r="E2" s="107" t="str">
        <f>B2&amp;C2&amp;D2</f>
        <v>units_wizonly.tmp</v>
      </c>
      <c r="F2" s="108" t="s">
        <v>124</v>
      </c>
      <c r="G2" s="62" t="s">
        <v>17</v>
      </c>
      <c r="H2" s="63" t="s">
        <v>96</v>
      </c>
      <c r="I2" s="63" t="s">
        <v>1</v>
      </c>
      <c r="J2" s="63" t="s">
        <v>3</v>
      </c>
      <c r="K2" s="63" t="s">
        <v>2</v>
      </c>
      <c r="L2" s="63" t="s">
        <v>98</v>
      </c>
      <c r="M2" s="63" t="s">
        <v>20</v>
      </c>
      <c r="N2" s="63" t="s">
        <v>103</v>
      </c>
      <c r="O2" s="63" t="s">
        <v>101</v>
      </c>
      <c r="P2" s="63" t="s">
        <v>39</v>
      </c>
      <c r="Q2" s="63" t="s">
        <v>57</v>
      </c>
      <c r="R2" s="108" t="s">
        <v>358</v>
      </c>
      <c r="S2" s="108"/>
      <c r="T2" s="108"/>
      <c r="U2" s="108"/>
      <c r="V2" s="108"/>
      <c r="W2" s="108"/>
    </row>
    <row r="3" spans="1:29" x14ac:dyDescent="0.15">
      <c r="A3" s="108" t="s">
        <v>314</v>
      </c>
      <c r="B3" s="108" t="s">
        <v>292</v>
      </c>
      <c r="C3" s="166" t="s">
        <v>317</v>
      </c>
      <c r="D3" s="108" t="s">
        <v>128</v>
      </c>
      <c r="E3" s="107" t="str">
        <f>B3&amp;C3&amp;D3</f>
        <v>fork_awake_units_wizonly.tmp</v>
      </c>
      <c r="F3" s="108" t="s">
        <v>293</v>
      </c>
      <c r="G3" s="62" t="s">
        <v>17</v>
      </c>
      <c r="H3" s="63" t="s">
        <v>294</v>
      </c>
      <c r="I3" s="63" t="s">
        <v>295</v>
      </c>
      <c r="J3" s="63" t="s">
        <v>296</v>
      </c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</row>
    <row r="4" spans="1:29" x14ac:dyDescent="0.15">
      <c r="A4" s="108" t="s">
        <v>314</v>
      </c>
      <c r="B4" s="108" t="s">
        <v>129</v>
      </c>
      <c r="C4" s="166" t="s">
        <v>317</v>
      </c>
      <c r="D4" s="108" t="s">
        <v>128</v>
      </c>
      <c r="E4" s="107" t="str">
        <f>B4&amp;C4&amp;D4</f>
        <v>awake_materials_wizonly.tmp</v>
      </c>
      <c r="F4" s="108" t="s">
        <v>123</v>
      </c>
      <c r="G4" s="109" t="s">
        <v>38</v>
      </c>
      <c r="H4" s="110" t="s">
        <v>36</v>
      </c>
      <c r="I4" s="110" t="s">
        <v>37</v>
      </c>
      <c r="J4" s="112" t="s">
        <v>126</v>
      </c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1"/>
    </row>
    <row r="5" spans="1:29" x14ac:dyDescent="0.15">
      <c r="A5" s="108" t="s">
        <v>314</v>
      </c>
      <c r="B5" s="108" t="s">
        <v>291</v>
      </c>
      <c r="C5" s="166" t="s">
        <v>317</v>
      </c>
      <c r="D5" s="108" t="s">
        <v>128</v>
      </c>
      <c r="E5" s="107" t="str">
        <f>B5&amp;C5&amp;D5</f>
        <v>fork_awake_materials_wizonly.tmp</v>
      </c>
      <c r="F5" s="108" t="s">
        <v>123</v>
      </c>
      <c r="G5" s="186" t="s">
        <v>297</v>
      </c>
      <c r="H5" s="186" t="s">
        <v>298</v>
      </c>
      <c r="I5" s="186" t="s">
        <v>36</v>
      </c>
      <c r="J5" s="186" t="s">
        <v>37</v>
      </c>
      <c r="K5" s="186" t="s">
        <v>299</v>
      </c>
      <c r="L5" s="186" t="s">
        <v>300</v>
      </c>
      <c r="M5" s="111"/>
      <c r="N5" s="111"/>
      <c r="O5" s="111"/>
      <c r="P5" s="111"/>
      <c r="Q5" s="111"/>
      <c r="R5" s="111"/>
      <c r="S5" s="111"/>
      <c r="T5" s="111"/>
      <c r="U5" s="111"/>
      <c r="V5" s="111"/>
      <c r="W5" s="111"/>
    </row>
    <row r="6" spans="1:29" x14ac:dyDescent="0.15">
      <c r="A6" s="108" t="s">
        <v>314</v>
      </c>
      <c r="B6" s="108" t="s">
        <v>130</v>
      </c>
      <c r="C6" s="166" t="s">
        <v>317</v>
      </c>
      <c r="D6" s="108" t="s">
        <v>131</v>
      </c>
      <c r="E6" s="107" t="str">
        <f t="shared" ref="E6" si="0">B6&amp;C6&amp;D6</f>
        <v>unit_levels_calc_wizonly.tmp</v>
      </c>
      <c r="F6" s="108" t="s">
        <v>122</v>
      </c>
      <c r="G6" s="58" t="s">
        <v>17</v>
      </c>
      <c r="H6" s="59" t="s">
        <v>2</v>
      </c>
      <c r="I6" s="60" t="s">
        <v>79</v>
      </c>
      <c r="J6" s="60" t="s">
        <v>80</v>
      </c>
      <c r="K6" s="60" t="s">
        <v>81</v>
      </c>
      <c r="L6" s="60" t="s">
        <v>82</v>
      </c>
      <c r="M6" s="60" t="s">
        <v>87</v>
      </c>
      <c r="N6" s="60" t="s">
        <v>88</v>
      </c>
      <c r="O6" s="60" t="s">
        <v>89</v>
      </c>
      <c r="P6" s="60" t="s">
        <v>90</v>
      </c>
      <c r="Q6" s="60" t="s">
        <v>91</v>
      </c>
      <c r="R6" s="60" t="s">
        <v>94</v>
      </c>
      <c r="S6" s="60" t="s">
        <v>92</v>
      </c>
      <c r="T6" s="60" t="s">
        <v>93</v>
      </c>
      <c r="U6" s="60" t="s">
        <v>83</v>
      </c>
      <c r="V6" s="60" t="s">
        <v>84</v>
      </c>
      <c r="W6" s="60" t="s">
        <v>85</v>
      </c>
    </row>
    <row r="7" spans="1:29" x14ac:dyDescent="0.15">
      <c r="A7" s="108" t="s">
        <v>314</v>
      </c>
      <c r="B7" s="108" t="s">
        <v>142</v>
      </c>
      <c r="C7" s="166" t="s">
        <v>317</v>
      </c>
      <c r="D7" s="108" t="s">
        <v>143</v>
      </c>
      <c r="E7" s="107" t="str">
        <f>B7&amp;C7&amp;D7</f>
        <v>unit_skills_data_wizonly.tmp</v>
      </c>
      <c r="F7" s="108" t="s">
        <v>144</v>
      </c>
      <c r="G7" s="116" t="s">
        <v>20</v>
      </c>
      <c r="H7" s="116" t="s">
        <v>145</v>
      </c>
      <c r="I7" s="116" t="s">
        <v>2</v>
      </c>
      <c r="J7" s="116" t="s">
        <v>146</v>
      </c>
      <c r="K7" s="116" t="s">
        <v>147</v>
      </c>
      <c r="L7" s="116" t="s">
        <v>4</v>
      </c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</row>
    <row r="8" spans="1:29" x14ac:dyDescent="0.15">
      <c r="A8" s="108" t="s">
        <v>314</v>
      </c>
      <c r="B8" s="108" t="s">
        <v>148</v>
      </c>
      <c r="C8" s="166" t="s">
        <v>317</v>
      </c>
      <c r="D8" s="108" t="s">
        <v>128</v>
      </c>
      <c r="E8" s="107" t="str">
        <f>B8&amp;C8&amp;D8</f>
        <v>unit_skills_i18n_wizonly.tmp</v>
      </c>
      <c r="F8" s="108" t="s">
        <v>144</v>
      </c>
      <c r="G8" s="116" t="s">
        <v>149</v>
      </c>
      <c r="H8" s="116" t="s">
        <v>133</v>
      </c>
      <c r="I8" s="116" t="s">
        <v>150</v>
      </c>
      <c r="J8" s="116" t="s">
        <v>151</v>
      </c>
      <c r="K8" s="111"/>
      <c r="L8" s="111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</row>
    <row r="9" spans="1:29" x14ac:dyDescent="0.15">
      <c r="A9" s="108" t="s">
        <v>314</v>
      </c>
      <c r="B9" s="108" t="s">
        <v>152</v>
      </c>
      <c r="C9" s="166" t="s">
        <v>317</v>
      </c>
      <c r="D9" s="108" t="s">
        <v>153</v>
      </c>
      <c r="E9" s="107" t="str">
        <f>B9&amp;C9&amp;D9</f>
        <v>crash_skills_data_wizonly.tmp</v>
      </c>
      <c r="F9" s="108" t="s">
        <v>154</v>
      </c>
      <c r="G9" s="116" t="s">
        <v>155</v>
      </c>
      <c r="H9" s="116" t="s">
        <v>147</v>
      </c>
      <c r="I9" s="116" t="s">
        <v>4</v>
      </c>
      <c r="J9" s="111"/>
      <c r="K9" s="111"/>
      <c r="L9" s="111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</row>
    <row r="10" spans="1:29" x14ac:dyDescent="0.15">
      <c r="A10" s="108" t="s">
        <v>314</v>
      </c>
      <c r="B10" s="108" t="s">
        <v>156</v>
      </c>
      <c r="C10" s="166" t="s">
        <v>317</v>
      </c>
      <c r="D10" s="108" t="s">
        <v>157</v>
      </c>
      <c r="E10" s="107" t="str">
        <f t="shared" ref="E10" si="1">B10&amp;C10&amp;D10</f>
        <v>crash_skills_i18n_wizonly.tmp</v>
      </c>
      <c r="F10" s="108" t="s">
        <v>154</v>
      </c>
      <c r="G10" s="116" t="s">
        <v>158</v>
      </c>
      <c r="H10" s="116" t="s">
        <v>159</v>
      </c>
      <c r="I10" s="116" t="s">
        <v>160</v>
      </c>
      <c r="J10" s="116" t="s">
        <v>161</v>
      </c>
      <c r="K10" s="117"/>
      <c r="L10" s="117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</row>
    <row r="11" spans="1:29" x14ac:dyDescent="0.15">
      <c r="A11" s="108" t="s">
        <v>314</v>
      </c>
      <c r="B11" s="111" t="s">
        <v>134</v>
      </c>
      <c r="C11" s="166" t="s">
        <v>317</v>
      </c>
      <c r="D11" s="108" t="s">
        <v>157</v>
      </c>
      <c r="E11" s="107" t="str">
        <f t="shared" ref="E11:E12" si="2">B11&amp;C11&amp;D11</f>
        <v>unit_serifs_data_wizonly.tmp</v>
      </c>
      <c r="F11" s="111" t="s">
        <v>136</v>
      </c>
      <c r="G11" s="115" t="s">
        <v>137</v>
      </c>
      <c r="H11" s="116" t="s">
        <v>138</v>
      </c>
      <c r="I11" s="116" t="s">
        <v>132</v>
      </c>
      <c r="J11" s="114" t="s">
        <v>188</v>
      </c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</row>
    <row r="12" spans="1:29" x14ac:dyDescent="0.15">
      <c r="A12" s="108" t="s">
        <v>314</v>
      </c>
      <c r="B12" s="111" t="s">
        <v>135</v>
      </c>
      <c r="C12" s="166" t="s">
        <v>317</v>
      </c>
      <c r="D12" s="108" t="s">
        <v>157</v>
      </c>
      <c r="E12" s="107" t="str">
        <f t="shared" si="2"/>
        <v>unit_serifs_i18n_wizonly.tmp</v>
      </c>
      <c r="F12" s="111" t="s">
        <v>136</v>
      </c>
      <c r="G12" s="115" t="s">
        <v>139</v>
      </c>
      <c r="H12" s="116" t="s">
        <v>140</v>
      </c>
      <c r="I12" s="116" t="s">
        <v>141</v>
      </c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</row>
    <row r="13" spans="1:29" x14ac:dyDescent="0.15">
      <c r="A13" s="108" t="s">
        <v>362</v>
      </c>
      <c r="B13" s="108" t="s">
        <v>251</v>
      </c>
      <c r="C13" s="166" t="s">
        <v>317</v>
      </c>
      <c r="D13" s="108" t="s">
        <v>252</v>
      </c>
      <c r="E13" s="107" t="str">
        <f>B13&amp;C13&amp;D13</f>
        <v>abilities_wizonly.tmp</v>
      </c>
      <c r="F13" s="108" t="s">
        <v>253</v>
      </c>
      <c r="G13" s="167" t="s">
        <v>254</v>
      </c>
      <c r="H13" s="167" t="s">
        <v>255</v>
      </c>
      <c r="I13" s="167" t="s">
        <v>256</v>
      </c>
      <c r="J13" s="167"/>
      <c r="K13" s="16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08"/>
      <c r="AC13" s="108"/>
    </row>
    <row r="14" spans="1:29" x14ac:dyDescent="0.15">
      <c r="A14" s="108" t="s">
        <v>362</v>
      </c>
      <c r="B14" s="108" t="s">
        <v>257</v>
      </c>
      <c r="C14" s="166" t="s">
        <v>317</v>
      </c>
      <c r="D14" s="108" t="s">
        <v>128</v>
      </c>
      <c r="E14" s="107" t="str">
        <f>B14&amp;C14&amp;D14</f>
        <v>abilities_i18n_wizonly.tmp</v>
      </c>
      <c r="F14" s="108" t="s">
        <v>258</v>
      </c>
      <c r="G14" s="167" t="s">
        <v>254</v>
      </c>
      <c r="H14" s="167" t="s">
        <v>140</v>
      </c>
      <c r="I14" s="167" t="s">
        <v>259</v>
      </c>
      <c r="J14" s="167" t="s">
        <v>151</v>
      </c>
      <c r="K14" s="16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</row>
    <row r="15" spans="1:29" x14ac:dyDescent="0.15">
      <c r="A15" s="108" t="s">
        <v>314</v>
      </c>
      <c r="B15" s="108" t="s">
        <v>260</v>
      </c>
      <c r="C15" s="166" t="s">
        <v>317</v>
      </c>
      <c r="D15" s="108" t="s">
        <v>128</v>
      </c>
      <c r="E15" s="107" t="str">
        <f>B15&amp;C15&amp;D15</f>
        <v>unit_abilities_wizonly.tmp</v>
      </c>
      <c r="F15" s="108" t="s">
        <v>261</v>
      </c>
      <c r="G15" s="167" t="s">
        <v>137</v>
      </c>
      <c r="H15" s="169" t="s">
        <v>262</v>
      </c>
      <c r="I15" s="169" t="s">
        <v>263</v>
      </c>
      <c r="J15" s="170" t="s">
        <v>264</v>
      </c>
      <c r="K15" s="167" t="s">
        <v>265</v>
      </c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108"/>
      <c r="Y15" s="108"/>
      <c r="Z15" s="108"/>
      <c r="AA15" s="108"/>
      <c r="AB15" s="108"/>
      <c r="AC15" s="108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3"/>
  <sheetViews>
    <sheetView showGridLines="0" workbookViewId="0">
      <pane xSplit="9" ySplit="1" topLeftCell="AX2" activePane="bottomRight" state="frozen"/>
      <selection pane="topRight" activeCell="J1" sqref="J1"/>
      <selection pane="bottomLeft" activeCell="A3" sqref="A3"/>
      <selection pane="bottomRight" activeCell="AY3" sqref="AY3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59.5" style="13" hidden="1" customWidth="1" outlineLevel="1"/>
    <col min="11" max="13" width="13.6640625" style="13" hidden="1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/>
    <col min="19" max="19" width="12.33203125" style="13" customWidth="1" outlineLevel="1"/>
    <col min="20" max="22" width="13.6640625" style="13" customWidth="1" outlineLevel="1"/>
    <col min="23" max="23" width="22.83203125" style="12" bestFit="1" customWidth="1"/>
    <col min="24" max="24" width="14.1640625" style="13" customWidth="1"/>
    <col min="25" max="25" width="22" style="13" customWidth="1" outlineLevel="1"/>
    <col min="26" max="26" width="14.1640625" style="13" customWidth="1" outlineLevel="1"/>
    <col min="27" max="27" width="12.33203125" style="13" customWidth="1" outlineLevel="1"/>
    <col min="28" max="30" width="13.6640625" style="13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5" bestFit="1" customWidth="1"/>
    <col min="42" max="42" width="14.33203125" style="15" bestFit="1" customWidth="1"/>
    <col min="43" max="43" width="20.83203125" style="13" customWidth="1"/>
    <col min="44" max="44" width="80.6640625" style="13" customWidth="1" outlineLevel="1"/>
    <col min="45" max="45" width="6.83203125" style="13" customWidth="1"/>
    <col min="46" max="46" width="15.6640625" style="12" bestFit="1" customWidth="1"/>
    <col min="47" max="47" width="43.6640625" style="13" customWidth="1"/>
    <col min="48" max="48" width="43.6640625" style="13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6" width="12" style="13" bestFit="1" customWidth="1"/>
    <col min="57" max="57" width="14.33203125" style="13" customWidth="1" outlineLevel="1"/>
    <col min="58" max="58" width="16.1640625" style="13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70" ht="21" customHeight="1" x14ac:dyDescent="0.15">
      <c r="A1" s="80" t="s">
        <v>108</v>
      </c>
      <c r="B1" s="82" t="s">
        <v>44</v>
      </c>
      <c r="C1" s="85" t="s">
        <v>27</v>
      </c>
      <c r="D1" s="85" t="s">
        <v>30</v>
      </c>
      <c r="E1" s="85" t="s">
        <v>28</v>
      </c>
      <c r="F1" s="85" t="s">
        <v>29</v>
      </c>
      <c r="G1" s="80" t="s">
        <v>1</v>
      </c>
      <c r="H1" s="83" t="s">
        <v>19</v>
      </c>
      <c r="I1" s="84" t="s">
        <v>0</v>
      </c>
      <c r="J1" s="86" t="s">
        <v>49</v>
      </c>
      <c r="K1" s="86" t="s">
        <v>48</v>
      </c>
      <c r="L1" s="86" t="s">
        <v>50</v>
      </c>
      <c r="M1" s="86" t="s">
        <v>51</v>
      </c>
      <c r="N1" s="80" t="s">
        <v>3</v>
      </c>
      <c r="O1" s="87" t="s">
        <v>2</v>
      </c>
      <c r="P1" s="80" t="s">
        <v>97</v>
      </c>
      <c r="Q1" s="88" t="s">
        <v>18</v>
      </c>
      <c r="R1" s="79" t="s">
        <v>52</v>
      </c>
      <c r="S1" s="89" t="s">
        <v>23</v>
      </c>
      <c r="T1" s="89" t="s">
        <v>24</v>
      </c>
      <c r="U1" s="89" t="s">
        <v>26</v>
      </c>
      <c r="V1" s="89" t="s">
        <v>25</v>
      </c>
      <c r="W1" s="84" t="s">
        <v>32</v>
      </c>
      <c r="X1" s="85" t="s">
        <v>53</v>
      </c>
      <c r="Y1" s="84" t="s">
        <v>33</v>
      </c>
      <c r="Z1" s="85" t="s">
        <v>53</v>
      </c>
      <c r="AA1" s="86" t="s">
        <v>23</v>
      </c>
      <c r="AB1" s="86" t="s">
        <v>24</v>
      </c>
      <c r="AC1" s="86" t="s">
        <v>26</v>
      </c>
      <c r="AD1" s="86" t="s">
        <v>25</v>
      </c>
      <c r="AE1" s="90" t="s">
        <v>100</v>
      </c>
      <c r="AF1" s="79" t="s">
        <v>45</v>
      </c>
      <c r="AG1" s="91" t="s">
        <v>58</v>
      </c>
      <c r="AH1" s="79" t="s">
        <v>45</v>
      </c>
      <c r="AI1" s="91" t="s">
        <v>46</v>
      </c>
      <c r="AJ1" s="81" t="s">
        <v>67</v>
      </c>
      <c r="AK1" s="79" t="s">
        <v>21</v>
      </c>
      <c r="AL1" s="92" t="s">
        <v>68</v>
      </c>
      <c r="AM1" s="93" t="s">
        <v>66</v>
      </c>
      <c r="AN1" s="93" t="s">
        <v>69</v>
      </c>
      <c r="AO1" s="94" t="s">
        <v>31</v>
      </c>
      <c r="AP1" s="90" t="s">
        <v>20</v>
      </c>
      <c r="AQ1" s="95" t="s">
        <v>113</v>
      </c>
      <c r="AR1" s="95" t="s">
        <v>107</v>
      </c>
      <c r="AS1" s="79" t="s">
        <v>104</v>
      </c>
      <c r="AT1" s="90" t="s">
        <v>102</v>
      </c>
      <c r="AU1" s="79" t="s">
        <v>110</v>
      </c>
      <c r="AV1" s="95" t="s">
        <v>107</v>
      </c>
      <c r="AW1" s="79" t="s">
        <v>104</v>
      </c>
      <c r="AX1" s="85" t="s">
        <v>4</v>
      </c>
      <c r="AY1" s="96" t="s">
        <v>54</v>
      </c>
      <c r="AZ1" s="96" t="s">
        <v>55</v>
      </c>
      <c r="BA1" s="96" t="s">
        <v>114</v>
      </c>
      <c r="BB1" s="96" t="s">
        <v>56</v>
      </c>
      <c r="BC1" s="5" t="s">
        <v>22</v>
      </c>
      <c r="BD1" s="99" t="s">
        <v>34</v>
      </c>
      <c r="BE1" s="97" t="s">
        <v>5</v>
      </c>
      <c r="BF1" s="98" t="s">
        <v>6</v>
      </c>
      <c r="BG1" s="100" t="s">
        <v>70</v>
      </c>
      <c r="BH1" s="100" t="s">
        <v>71</v>
      </c>
      <c r="BI1" s="100" t="s">
        <v>72</v>
      </c>
      <c r="BJ1" s="100" t="s">
        <v>73</v>
      </c>
      <c r="BK1" s="101" t="s">
        <v>74</v>
      </c>
      <c r="BL1" s="101" t="s">
        <v>95</v>
      </c>
      <c r="BM1" s="101" t="s">
        <v>75</v>
      </c>
      <c r="BN1" s="101" t="s">
        <v>76</v>
      </c>
      <c r="BO1" s="102" t="s">
        <v>77</v>
      </c>
      <c r="BP1" s="103" t="s">
        <v>78</v>
      </c>
      <c r="BQ1" s="103" t="s">
        <v>86</v>
      </c>
      <c r="BR1" s="10" t="s">
        <v>357</v>
      </c>
    </row>
    <row r="2" spans="1:70" ht="26" customHeight="1" x14ac:dyDescent="0.15">
      <c r="A2" s="12">
        <v>893</v>
      </c>
      <c r="B2" s="56" t="str">
        <f ca="1">VLOOKUP($A2,OFFSET([1]characters!$A$1,0,0,COUNTA([1]characters!$A:$A),MATCH(B$1,[1]characters!$1:$1,0)-MATCH($A$1,[1]characters!$1:$1,0)+1),MATCH(B$1,[1]characters!$1:$1,0)-MATCH($A$1,[1]characters!$1:$1,0)+1,FALSE)</f>
        <v>アテナ</v>
      </c>
      <c r="C2" s="56" t="str">
        <f ca="1">VLOOKUP($A2,OFFSET([1]characters!$A$1,0,0,COUNTA([1]characters!$A:$A),MATCH(C$1,[1]characters!$1:$1,0)-MATCH($A$1,[1]characters!$1:$1,0)+1),MATCH(C$1,[1]characters!$1:$1,0)-MATCH($A$1,[1]characters!$1:$1,0)+1,FALSE)</f>
        <v>各属性相性良3・黄・R497</v>
      </c>
      <c r="D2" s="56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6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6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6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6" t="str">
        <f ca="1">VLOOKUP($A2,OFFSET([1]characters!$A$1,0,0,COUNTA([1]characters!$A:$A),MATCH(H$1,[1]characters!$1:$1,0)-MATCH($A$1,[1]characters!$1:$1,0)+1),MATCH(H$1,[1]characters!$1:$1,0)-MATCH($A$1,[1]characters!$1:$1,0)+1,FALSE)</f>
        <v>DropWizS</v>
      </c>
      <c r="I2" s="56" t="str">
        <f ca="1">VLOOKUP($A2,OFFSET([1]characters!$A$1,0,0,COUNTA([1]characters!$A:$A),MATCH(I$1,[1]characters!$1:$1,0)-MATCH($A$1,[1]characters!$1:$1,0)+1),MATCH(I$1,[1]characters!$1:$1,0)-MATCH($A$1,[1]characters!$1:$1,0)+1,FALSE)</f>
        <v>yellow</v>
      </c>
      <c r="J2" s="11">
        <f ca="1">VLOOKUP(I2,[1]属性!$A:$E,2,FALSE)</f>
        <v>0.98</v>
      </c>
      <c r="K2" s="11">
        <f ca="1">VLOOKUP(I2,[1]属性!$A:$E,3,FALSE)</f>
        <v>1.01</v>
      </c>
      <c r="L2" s="11">
        <f ca="1">VLOOKUP(I2,[1]属性!$A:$E,4,FALSE)</f>
        <v>1</v>
      </c>
      <c r="M2" s="11">
        <f ca="1">VLOOKUP(I2,[1]属性!$A:$E,5,FALSE)</f>
        <v>1.01</v>
      </c>
      <c r="N2" s="11">
        <f ca="1">INDEX(コスト!$A$1:$I$21,MATCH(H2,コスト!$A$1:$A$21,FALSE),MATCH(G2,コスト!$A$1:$I$1,FALSE))</f>
        <v>30</v>
      </c>
      <c r="O2" s="11">
        <f ca="1">INDEX(レベル!$A$1:$I$22,MATCH(H2,レベル!$A$1:$A$22,FALSE),MATCH(G2,レベル!$A$1:$I$1,FALSE))</f>
        <v>80</v>
      </c>
      <c r="P2" s="47">
        <f t="shared" ref="P2:P3" ca="1" si="0">IF(G2 &gt;= 6, 99,G2*15)</f>
        <v>75</v>
      </c>
      <c r="Q2" s="56" t="str">
        <f ca="1">VLOOKUP($A2,OFFSET([1]characters!$A$1,0,0,COUNTA([1]characters!$A:$A),MATCH(Q$1,[1]characters!$1:$1,0)-MATCH($A$1,[1]characters!$1:$1,0)+1),MATCH(Q$1,[1]characters!$1:$1,0)-MATCH($A$1,[1]characters!$1:$1,0)+1,FALSE)</f>
        <v>balance</v>
      </c>
      <c r="R2" s="5" t="str">
        <f ca="1">VLOOKUP(Q2,[1]character_type_i18n!$A:$H,3,FALSE)</f>
        <v>バランスタイプ</v>
      </c>
      <c r="S2" s="11">
        <f ca="1">VLOOKUP(Q2,[1]character_type_i18n!$A:$H,4,FALSE)</f>
        <v>1</v>
      </c>
      <c r="T2" s="11">
        <f ca="1">VLOOKUP(Q2,[1]character_type_i18n!$A:$H,5,FALSE)</f>
        <v>1</v>
      </c>
      <c r="U2" s="11">
        <f ca="1">VLOOKUP(Q2,[1]character_type_i18n!$A:$H,6,FALSE)</f>
        <v>1</v>
      </c>
      <c r="V2" s="11">
        <f ca="1">VLOOKUP(Q2,[1]character_type_i18n!$A:$H,7,FALSE)</f>
        <v>1</v>
      </c>
      <c r="W2" s="56" t="str">
        <f ca="1">VLOOKUP($A2,OFFSET([1]characters!$A$1,0,0,COUNTA([1]characters!$A:$A),MATCH(W$1,[1]characters!$1:$1,0)-MATCH($A$1,[1]characters!$1:$1,0)+1),MATCH(W$1,[1]characters!$1:$1,0)-MATCH($A$1,[1]characters!$1:$1,0)+1,FALSE)</f>
        <v>god</v>
      </c>
      <c r="X2" s="5" t="str">
        <f ca="1">VLOOKUP(W2,[1]character_tribe_i18n!$A:$H,3,FALSE)</f>
        <v>ゴッド</v>
      </c>
      <c r="Y2" s="56" t="str">
        <f ca="1">VLOOKUP($A2,OFFSET([1]characters!$A$1,0,0,COUNTA([1]characters!$A:$A),MATCH(Y$1,[1]characters!$1:$1,0)-MATCH($A$1,[1]characters!$1:$1,0)+1),MATCH(Y$1,[1]characters!$1:$1,0)-MATCH($A$1,[1]characters!$1:$1,0)+1,FALSE)</f>
        <v>machine</v>
      </c>
      <c r="Z2" s="5" t="str">
        <f ca="1">VLOOKUP(Y2,[1]character_tribe_i18n!$A:$H,3,FALSE)</f>
        <v>マシン</v>
      </c>
      <c r="AA2" s="11">
        <f ca="1">VLOOKUP(W2,[1]character_tribe_i18n!$A:$H,4,FALSE)</f>
        <v>0.96</v>
      </c>
      <c r="AB2" s="11">
        <f ca="1">VLOOKUP(W2,[1]character_tribe_i18n!$A:$H,5,FALSE)</f>
        <v>1.02</v>
      </c>
      <c r="AC2" s="11">
        <f ca="1">VLOOKUP(W2,[1]character_tribe_i18n!$A:$H,6,FALSE)</f>
        <v>1</v>
      </c>
      <c r="AD2" s="11">
        <f ca="1">VLOOKUP(W2,[1]character_tribe_i18n!$A:$H,7,FALSE)</f>
        <v>1.02</v>
      </c>
      <c r="AE2" s="9">
        <v>894</v>
      </c>
      <c r="AF2" s="61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聖澄の戦慧神 アテナ</v>
      </c>
      <c r="AG2" s="5">
        <v>893</v>
      </c>
      <c r="AH2" s="61" t="str">
        <f ca="1">VLOOKUP($AG2,OFFSET([1]characters!$A$1,0,0,COUNTA([1]characters!$A:$A),MATCH(AH$1,[1]characters!$1:$1,0)-MATCH($A$1,[1]characters!$1:$1,0)+1),MATCH(AH$1,[1]characters!$1:$1,0)-MATCH($A$1,[1]characters!$1:$1,0)+1,FALSE)</f>
        <v>アテナ</v>
      </c>
      <c r="AI2" s="11">
        <f ca="1">IF(AE2="NULL","NULL",VLOOKUP(G2,ビット!$A$2:$B$7,2))</f>
        <v>200000</v>
      </c>
      <c r="AJ2" s="6">
        <v>2</v>
      </c>
      <c r="AK2" s="7" t="str">
        <f t="shared" ref="AK2" si="1">IF(AJ2=1,"早熟",IF(AJ2=2,"普通",IF(AJ2=3,"晩成","")))</f>
        <v>普通</v>
      </c>
      <c r="AL2" s="11" t="str">
        <f ca="1">INDEX(経験値!$A$1:$I$21,MATCH(H2,経験値!$A$1:$A$21,FALSE),MATCH(G2,経験値!$A$1:$I$1,FALSE))</f>
        <v>required_exp_200</v>
      </c>
      <c r="AM2" s="8">
        <f ca="1">VLOOKUP(G2,経験値!$A$28:$B$32,2)</f>
        <v>6400</v>
      </c>
      <c r="AN2" s="17">
        <f ca="1">VLOOKUP(G2,ビット!$G$2:$H$7,2)</f>
        <v>900</v>
      </c>
      <c r="AO2" s="44"/>
      <c r="AP2" s="66">
        <v>893</v>
      </c>
      <c r="AQ2" s="56" t="str">
        <f ca="1">VLOOKUP($AP2,OFFSET(unit_skills!$A$1,0,0,COUNTA(unit_skills!$A:$A),MATCH(AQ$1,unit_skills!$1:$1,0)-MATCH($AP$1,unit_skills!$1:$1,0)+1),MATCH(AQ$1,unit_skills!$1:$1,0)-MATCH($AP$1,unit_skills!$1:$1,0)+1,FALSE)</f>
        <v>アイギスの閃礼</v>
      </c>
      <c r="AR2" s="56" t="str">
        <f ca="1">VLOOKUP($AP2,OFFSET(unit_skills!$A$1,0,0,COUNTA(unit_skills!$A:$A),MATCH(AR$1,unit_skills!$1:$1,0)-MATCH($AP$1,unit_skills!$1:$1,0)+1),MATCH(AR$1,unit_skills!$1:$1,0)-MATCH($AP$1,unit_skills!$1:$1,0)+1,FALSE)</f>
        <v xml:space="preserve">1ターンの間全ユニットの防御力大UP   </v>
      </c>
      <c r="AS2" s="56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41">
        <v>893</v>
      </c>
      <c r="AU2" s="56" t="str">
        <f ca="1">VLOOKUP($AT2,OFFSET(crash_skills!$A$1,0,0,COUNTA(crash_skills!$A:$A),MATCH(AU$1,crash_skills!$1:$1,0)-MATCH($AT$1,crash_skills!$1:$1,0)+1),MATCH(AU$1,crash_skills!$1:$1,0)-MATCH($AT$1,crash_skills!$1:$1,0)+1,FALSE)</f>
        <v>イリニ•アナタラクシ</v>
      </c>
      <c r="AV2" s="56" t="str">
        <f ca="1">VLOOKUP($AT2,OFFSET(crash_skills!$A$1,0,0,COUNTA(crash_skills!$A:$A),MATCH(AV$1,crash_skills!$1:$1,0)-MATCH($AT$1,crash_skills!$1:$1,0)+1),MATCH(AV$1,crash_skills!$1:$1,0)-MATCH($AT$1,crash_skills!$1:$1,0)+1,FALSE)</f>
        <v>敵1体に特大ダメージ</v>
      </c>
      <c r="AW2" s="56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7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7">
        <v>1</v>
      </c>
      <c r="AZ2" s="67">
        <v>1</v>
      </c>
      <c r="BA2" s="67">
        <v>0</v>
      </c>
      <c r="BB2" s="67">
        <v>1</v>
      </c>
      <c r="BC2" s="11">
        <f ca="1">INDEX('RC6SV'!$A$1:$G$21,MATCH(H2,'RC6SV'!$A$1:$A$21,FALSE),MATCH(G2,'RC6SV'!$A$1:$G$1,FALSE))</f>
        <v>9000</v>
      </c>
      <c r="BD2" s="47">
        <f t="shared" ref="BD2" ca="1" si="2">ROUND(BC2*IF(AJ2=1,0.95,IF(AJ2=2,1,IF(AJ2,1.05,0))),0)</f>
        <v>9000</v>
      </c>
      <c r="BE2" s="11">
        <f ca="1">ROUND(IFERROR(INDIRECT(ADDRESS(MATCH($A2,$AE:$AE,0),MATCH($BC$1,$1:$1,0))),0),0)</f>
        <v>0</v>
      </c>
      <c r="BF2" s="11">
        <f ca="1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2117</v>
      </c>
      <c r="BH2" s="16">
        <f ca="1">IF($BE2&lt;=0,ROUND(BL2*0.5,0), ROUND($BE2*T2*AB2*K2*AZ2*0.8*[1]ステータス!$C$2,0))</f>
        <v>1391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1159</v>
      </c>
      <c r="BK2" s="11">
        <f ca="1">ROUND(BD2*S2*AA2*J2*AY2*[1]ステータス!$B$2,0)</f>
        <v>4234</v>
      </c>
      <c r="BL2" s="11">
        <f ca="1">ROUND(BD2*T2*AB2*K2*AZ2*[1]ステータス!$C$2,0)</f>
        <v>2782</v>
      </c>
      <c r="BM2" s="11">
        <f ca="1">ROUND(BD2*U2*AC2*L2*BA2*[1]ステータス!$D$2,0)</f>
        <v>0</v>
      </c>
      <c r="BN2" s="11">
        <f ca="1">ROUND(BD2*V2*AD2*M2*BB2*[1]ステータス!$E$2,0)</f>
        <v>2318</v>
      </c>
      <c r="BO2" s="10">
        <v>0</v>
      </c>
      <c r="BP2" s="10">
        <v>1</v>
      </c>
      <c r="BQ2" s="38" t="s">
        <v>47</v>
      </c>
      <c r="BR2" s="10">
        <f ca="1">VLOOKUP(H2,ghosts_label!$A$2:$B$19,2,FALSE)</f>
        <v>1</v>
      </c>
    </row>
    <row r="3" spans="1:70" ht="26" customHeight="1" x14ac:dyDescent="0.15">
      <c r="A3" s="12">
        <v>894</v>
      </c>
      <c r="B3" s="56" t="str">
        <f ca="1">VLOOKUP($A3,OFFSET([1]characters!$A$1,0,0,COUNTA([1]characters!$A:$A),MATCH(B$1,[1]characters!$1:$1,0)-MATCH($A$1,[1]characters!$1:$1,0)+1),MATCH(B$1,[1]characters!$1:$1,0)-MATCH($A$1,[1]characters!$1:$1,0)+1,FALSE)</f>
        <v>聖澄の戦慧神 アテナ</v>
      </c>
      <c r="C3" s="56" t="str">
        <f ca="1">VLOOKUP($A3,OFFSET([1]characters!$A$1,0,0,COUNTA([1]characters!$A:$A),MATCH(C$1,[1]characters!$1:$1,0)-MATCH($A$1,[1]characters!$1:$1,0)+1),MATCH(C$1,[1]characters!$1:$1,0)-MATCH($A$1,[1]characters!$1:$1,0)+1,FALSE)</f>
        <v>各属性相性良3・黄・R498</v>
      </c>
      <c r="D3" s="56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6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6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6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6" t="str">
        <f ca="1">VLOOKUP($A3,OFFSET([1]characters!$A$1,0,0,COUNTA([1]characters!$A:$A),MATCH(H$1,[1]characters!$1:$1,0)-MATCH($A$1,[1]characters!$1:$1,0)+1),MATCH(H$1,[1]characters!$1:$1,0)-MATCH($A$1,[1]characters!$1:$1,0)+1,FALSE)</f>
        <v>DropWizS</v>
      </c>
      <c r="I3" s="56" t="str">
        <f ca="1">VLOOKUP($A3,OFFSET([1]characters!$A$1,0,0,COUNTA([1]characters!$A:$A),MATCH(I$1,[1]characters!$1:$1,0)-MATCH($A$1,[1]characters!$1:$1,0)+1),MATCH(I$1,[1]characters!$1:$1,0)-MATCH($A$1,[1]characters!$1:$1,0)+1,FALSE)</f>
        <v>yellow</v>
      </c>
      <c r="J3" s="11">
        <f ca="1">VLOOKUP(I3,[1]属性!$A:$E,2,FALSE)</f>
        <v>0.98</v>
      </c>
      <c r="K3" s="11">
        <f ca="1">VLOOKUP(I3,[1]属性!$A:$E,3,FALSE)</f>
        <v>1.01</v>
      </c>
      <c r="L3" s="11">
        <f ca="1">VLOOKUP(I3,[1]属性!$A:$E,4,FALSE)</f>
        <v>1</v>
      </c>
      <c r="M3" s="11">
        <f ca="1">VLOOKUP(I3,[1]属性!$A:$E,5,FALSE)</f>
        <v>1.01</v>
      </c>
      <c r="N3" s="11">
        <f ca="1">INDEX(コスト!$A$1:$I$21,MATCH(H3,コスト!$A$1:$A$21,FALSE),MATCH(G3,コスト!$A$1:$I$1,FALSE))</f>
        <v>45</v>
      </c>
      <c r="O3" s="11">
        <f ca="1">INDEX(レベル!$A$1:$I$22,MATCH(H3,レベル!$A$1:$A$22,FALSE),MATCH(G3,レベル!$A$1:$I$1,FALSE))</f>
        <v>99</v>
      </c>
      <c r="P3" s="47">
        <f t="shared" ca="1" si="0"/>
        <v>99</v>
      </c>
      <c r="Q3" s="56" t="str">
        <f ca="1">VLOOKUP($A3,OFFSET([1]characters!$A$1,0,0,COUNTA([1]characters!$A:$A),MATCH(Q$1,[1]characters!$1:$1,0)-MATCH($A$1,[1]characters!$1:$1,0)+1),MATCH(Q$1,[1]characters!$1:$1,0)-MATCH($A$1,[1]characters!$1:$1,0)+1,FALSE)</f>
        <v>balance</v>
      </c>
      <c r="R3" s="5" t="str">
        <f ca="1">VLOOKUP(Q3,[1]character_type_i18n!$A:$H,3,FALSE)</f>
        <v>バランスタイプ</v>
      </c>
      <c r="S3" s="11">
        <f ca="1">VLOOKUP(Q3,[1]character_type_i18n!$A:$H,4,FALSE)</f>
        <v>1</v>
      </c>
      <c r="T3" s="11">
        <f ca="1">VLOOKUP(Q3,[1]character_type_i18n!$A:$H,5,FALSE)</f>
        <v>1</v>
      </c>
      <c r="U3" s="11">
        <f ca="1">VLOOKUP(Q3,[1]character_type_i18n!$A:$H,6,FALSE)</f>
        <v>1</v>
      </c>
      <c r="V3" s="11">
        <f ca="1">VLOOKUP(Q3,[1]character_type_i18n!$A:$H,7,FALSE)</f>
        <v>1</v>
      </c>
      <c r="W3" s="56" t="str">
        <f ca="1">VLOOKUP($A3,OFFSET([1]characters!$A$1,0,0,COUNTA([1]characters!$A:$A),MATCH(W$1,[1]characters!$1:$1,0)-MATCH($A$1,[1]characters!$1:$1,0)+1),MATCH(W$1,[1]characters!$1:$1,0)-MATCH($A$1,[1]characters!$1:$1,0)+1,FALSE)</f>
        <v>god</v>
      </c>
      <c r="X3" s="5" t="str">
        <f ca="1">VLOOKUP(W3,[1]character_tribe_i18n!$A:$H,3,FALSE)</f>
        <v>ゴッド</v>
      </c>
      <c r="Y3" s="56" t="str">
        <f ca="1">VLOOKUP($A3,OFFSET([1]characters!$A$1,0,0,COUNTA([1]characters!$A:$A),MATCH(Y$1,[1]characters!$1:$1,0)-MATCH($A$1,[1]characters!$1:$1,0)+1),MATCH(Y$1,[1]characters!$1:$1,0)-MATCH($A$1,[1]characters!$1:$1,0)+1,FALSE)</f>
        <v>machine</v>
      </c>
      <c r="Z3" s="5" t="str">
        <f ca="1">VLOOKUP(Y3,[1]character_tribe_i18n!$A:$H,3,FALSE)</f>
        <v>マシン</v>
      </c>
      <c r="AA3" s="11">
        <f ca="1">VLOOKUP(W3,[1]character_tribe_i18n!$A:$H,4,FALSE)</f>
        <v>0.96</v>
      </c>
      <c r="AB3" s="11">
        <f ca="1">VLOOKUP(W3,[1]character_tribe_i18n!$A:$H,5,FALSE)</f>
        <v>1.02</v>
      </c>
      <c r="AC3" s="11">
        <f ca="1">VLOOKUP(W3,[1]character_tribe_i18n!$A:$H,6,FALSE)</f>
        <v>1</v>
      </c>
      <c r="AD3" s="11">
        <f ca="1">VLOOKUP(W3,[1]character_tribe_i18n!$A:$H,7,FALSE)</f>
        <v>1.02</v>
      </c>
      <c r="AE3" s="9" t="s">
        <v>335</v>
      </c>
      <c r="AF3" s="61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5">
        <v>893</v>
      </c>
      <c r="AH3" s="61" t="str">
        <f ca="1">VLOOKUP($AG3,OFFSET([1]characters!$A$1,0,0,COUNTA([1]characters!$A:$A),MATCH(AH$1,[1]characters!$1:$1,0)-MATCH($A$1,[1]characters!$1:$1,0)+1),MATCH(AH$1,[1]characters!$1:$1,0)-MATCH($A$1,[1]characters!$1:$1,0)+1,FALSE)</f>
        <v>アテナ</v>
      </c>
      <c r="AI3" s="11" t="str">
        <f>IF(AE3="NULL","NULL",VLOOKUP(G3,ビット!$A$2:$B$7,2))</f>
        <v>NULL</v>
      </c>
      <c r="AJ3" s="6">
        <v>2</v>
      </c>
      <c r="AK3" s="7" t="str">
        <f t="shared" ref="AK3" si="3">IF(AJ3=1,"早熟",IF(AJ3=2,"普通",IF(AJ3=3,"晩成","")))</f>
        <v>普通</v>
      </c>
      <c r="AL3" s="11" t="str">
        <f ca="1">INDEX(経験値!$A$1:$I$21,MATCH(H3,経験値!$A$1:$A$21,FALSE),MATCH(G3,経験値!$A$1:$I$1,FALSE))</f>
        <v>required_exp_250</v>
      </c>
      <c r="AM3" s="8">
        <f ca="1">VLOOKUP(G3,経験値!$A$28:$B$32,2)</f>
        <v>6400</v>
      </c>
      <c r="AN3" s="17">
        <f ca="1">VLOOKUP(G3,ビット!$G$2:$H$7,2)</f>
        <v>900</v>
      </c>
      <c r="AO3" s="44"/>
      <c r="AP3" s="66">
        <v>894</v>
      </c>
      <c r="AQ3" s="56" t="str">
        <f ca="1">VLOOKUP($AP3,OFFSET(unit_skills!$A$1,0,0,COUNTA(unit_skills!$A:$A),MATCH(AQ$1,unit_skills!$1:$1,0)-MATCH($AP$1,unit_skills!$1:$1,0)+1),MATCH(AQ$1,unit_skills!$1:$1,0)-MATCH($AP$1,unit_skills!$1:$1,0)+1,FALSE)</f>
        <v>グラウクスの迅雷</v>
      </c>
      <c r="AR3" s="56" t="str">
        <f ca="1">VLOOKUP($AP3,OFFSET(unit_skills!$A$1,0,0,COUNTA(unit_skills!$A:$A),MATCH(AR$1,unit_skills!$1:$1,0)-MATCH($AP$1,unit_skills!$1:$1,0)+1),MATCH(AR$1,unit_skills!$1:$1,0)-MATCH($AP$1,unit_skills!$1:$1,0)+1,FALSE)</f>
        <v>赤を黄に変換+3ターン全ユニットの防御力UP(青･緑･お邪魔パネルを吸収し効果特大UP)、種族マシン･ドラゴンの攻撃力特大UP</v>
      </c>
      <c r="AS3" s="56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41">
        <v>894</v>
      </c>
      <c r="AU3" s="56" t="str">
        <f ca="1">VLOOKUP($AT3,OFFSET(crash_skills!$A$1,0,0,COUNTA(crash_skills!$A:$A),MATCH(AU$1,crash_skills!$1:$1,0)-MATCH($AT$1,crash_skills!$1:$1,0)+1),MATCH(AU$1,crash_skills!$1:$1,0)-MATCH($AT$1,crash_skills!$1:$1,0)+1,FALSE)</f>
        <v>パラス•エクリクシス</v>
      </c>
      <c r="AV3" s="56" t="str">
        <f ca="1">VLOOKUP($AT3,OFFSET(crash_skills!$A$1,0,0,COUNTA(crash_skills!$A:$A),MATCH(AV$1,crash_skills!$1:$1,0)-MATCH($AT$1,crash_skills!$1:$1,0)+1),MATCH(AV$1,crash_skills!$1:$1,0)-MATCH($AT$1,crash_skills!$1:$1,0)+1,FALSE)</f>
        <v>1体に超大ダメージ+_x000D_HP回復+1ターン全ユニットの防御力小UP</v>
      </c>
      <c r="AW3" s="56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7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7">
        <v>1.0861000000000001</v>
      </c>
      <c r="AZ3" s="67">
        <v>1</v>
      </c>
      <c r="BA3" s="67">
        <v>0</v>
      </c>
      <c r="BB3" s="67">
        <v>1</v>
      </c>
      <c r="BC3" s="11">
        <f ca="1">INDEX('RC6SV'!$A$1:$G$21,MATCH(H3,'RC6SV'!$A$1:$A$21,FALSE),MATCH(G3,'RC6SV'!$A$1:$G$1,FALSE))</f>
        <v>12000</v>
      </c>
      <c r="BD3" s="47">
        <f t="shared" ref="BD3" ca="1" si="4">ROUND(BC3*IF(AJ3=1,0.95,IF(AJ3=2,1,IF(AJ3,1.05,0))),0)</f>
        <v>12000</v>
      </c>
      <c r="BE3" s="11">
        <f ca="1">ROUND(IFERROR(INDIRECT(ADDRESS(MATCH($A3,$AE:$AE,0),MATCH($BC$1,$1:$1,0))),0),0)</f>
        <v>9000</v>
      </c>
      <c r="BF3" s="11">
        <f ca="1">ROUND(IFERROR(INDIRECT(ADDRESS(MATCH($A3,$AE:$AE,0),10)),INDIRECT(ADDRESS(MATCH($A3,$A:$A,0),10))),0)</f>
        <v>1</v>
      </c>
      <c r="BG3" s="16">
        <f ca="1">IF($BE3&lt;=0,ROUND(BK3*0.5,0), ROUND($BE3*S3*AA3*J3*AY3*0.8*[1]ステータス!$B$2,0))</f>
        <v>3678</v>
      </c>
      <c r="BH3" s="16">
        <f ca="1">IF($BE3&lt;=0,ROUND(BL3*0.5,0), ROUND($BE3*T3*AB3*K3*AZ3*0.8*[1]ステータス!$C$2,0))</f>
        <v>2225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1854</v>
      </c>
      <c r="BK3" s="11">
        <f ca="1">ROUND(BD3*S3*AA3*J3*AY3*[1]ステータス!$B$2,0)</f>
        <v>6131</v>
      </c>
      <c r="BL3" s="11">
        <f ca="1">ROUND(BD3*T3*AB3*K3*AZ3*[1]ステータス!$C$2,0)</f>
        <v>3709</v>
      </c>
      <c r="BM3" s="11">
        <f ca="1">ROUND(BD3*U3*AC3*L3*BA3*[1]ステータス!$D$2,0)</f>
        <v>0</v>
      </c>
      <c r="BN3" s="11">
        <f ca="1">ROUND(BD3*V3*AD3*M3*BB3*[1]ステータス!$E$2,0)</f>
        <v>3091</v>
      </c>
      <c r="BO3" s="10">
        <v>0</v>
      </c>
      <c r="BP3" s="10">
        <v>1</v>
      </c>
      <c r="BQ3" s="10" t="s">
        <v>47</v>
      </c>
      <c r="BR3" s="10">
        <f ca="1">VLOOKUP(H3,ghosts_label!$A$2:$B$19,2,FALSE)</f>
        <v>1</v>
      </c>
    </row>
  </sheetData>
  <autoFilter ref="A1:BQ1"/>
  <phoneticPr fontId="10"/>
  <conditionalFormatting sqref="BO1">
    <cfRule type="cellIs" dxfId="31" priority="120" stopIfTrue="1" operator="equal">
      <formula>1</formula>
    </cfRule>
  </conditionalFormatting>
  <conditionalFormatting sqref="BQ1">
    <cfRule type="cellIs" dxfId="30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3"/>
  <sheetViews>
    <sheetView showGridLines="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D6" sqref="D6"/>
    </sheetView>
  </sheetViews>
  <sheetFormatPr baseColWidth="12" defaultColWidth="13" defaultRowHeight="21" customHeight="1" outlineLevelCol="1" x14ac:dyDescent="0.15"/>
  <cols>
    <col min="1" max="1" width="16.1640625" style="130" bestFit="1" customWidth="1"/>
    <col min="2" max="2" width="13" style="130" bestFit="1" customWidth="1"/>
    <col min="3" max="3" width="21.83203125" style="130" customWidth="1"/>
    <col min="4" max="4" width="41.83203125" style="130" customWidth="1"/>
    <col min="5" max="5" width="9" style="130" customWidth="1"/>
    <col min="6" max="6" width="7.83203125" style="130" bestFit="1" customWidth="1"/>
    <col min="7" max="7" width="8.1640625" style="130" bestFit="1" customWidth="1"/>
    <col min="8" max="8" width="13.6640625" style="130" bestFit="1" customWidth="1"/>
    <col min="9" max="10" width="51.6640625" style="130" customWidth="1"/>
    <col min="11" max="11" width="10.83203125" style="130" customWidth="1" outlineLevel="1"/>
    <col min="12" max="17" width="9.5" style="129" customWidth="1" outlineLevel="1"/>
    <col min="18" max="18" width="20.33203125" style="130" customWidth="1" outlineLevel="1"/>
    <col min="19" max="19" width="10.33203125" style="130" bestFit="1" customWidth="1"/>
    <col min="20" max="16384" width="13" style="130"/>
  </cols>
  <sheetData>
    <row r="1" spans="1:19" s="129" customFormat="1" ht="21" customHeight="1" x14ac:dyDescent="0.15">
      <c r="A1" s="118" t="s">
        <v>20</v>
      </c>
      <c r="B1" s="119" t="s">
        <v>133</v>
      </c>
      <c r="C1" s="120" t="s">
        <v>40</v>
      </c>
      <c r="D1" s="121" t="s">
        <v>162</v>
      </c>
      <c r="E1" s="121" t="s">
        <v>163</v>
      </c>
      <c r="F1" s="118" t="s">
        <v>145</v>
      </c>
      <c r="G1" s="122" t="s">
        <v>2</v>
      </c>
      <c r="H1" s="122" t="s">
        <v>164</v>
      </c>
      <c r="I1" s="122" t="s">
        <v>165</v>
      </c>
      <c r="J1" s="123" t="s">
        <v>182</v>
      </c>
      <c r="K1" s="122" t="s">
        <v>4</v>
      </c>
      <c r="L1" s="124" t="s">
        <v>166</v>
      </c>
      <c r="M1" s="125" t="s">
        <v>167</v>
      </c>
      <c r="N1" s="125" t="s">
        <v>168</v>
      </c>
      <c r="O1" s="125" t="s">
        <v>169</v>
      </c>
      <c r="P1" s="125" t="s">
        <v>170</v>
      </c>
      <c r="Q1" s="126" t="s">
        <v>171</v>
      </c>
      <c r="R1" s="127" t="s">
        <v>172</v>
      </c>
      <c r="S1" s="128" t="s">
        <v>173</v>
      </c>
    </row>
    <row r="2" spans="1:19" ht="21" customHeight="1" x14ac:dyDescent="0.15">
      <c r="A2" s="12">
        <v>893</v>
      </c>
      <c r="B2" s="133" t="s">
        <v>183</v>
      </c>
      <c r="C2" s="134" t="s">
        <v>320</v>
      </c>
      <c r="D2" s="134" t="s">
        <v>334</v>
      </c>
      <c r="E2" s="135">
        <f t="shared" ref="E2" si="0">LEN(D2)</f>
        <v>21</v>
      </c>
      <c r="F2" s="117">
        <v>14</v>
      </c>
      <c r="G2" s="117">
        <v>5</v>
      </c>
      <c r="H2" s="136">
        <f>2001</f>
        <v>2001</v>
      </c>
      <c r="I2" s="136" t="s">
        <v>333</v>
      </c>
      <c r="J2" s="56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アテナ</v>
      </c>
      <c r="K2" s="137">
        <f>IFERROR(VLOOKUP(A2,[1]characters!$A:$R,18),0)</f>
        <v>3</v>
      </c>
      <c r="L2" s="138"/>
      <c r="M2" s="139"/>
      <c r="N2" s="139"/>
      <c r="O2" s="139"/>
      <c r="P2" s="139"/>
      <c r="Q2" s="139"/>
      <c r="R2" s="134"/>
      <c r="S2" s="140"/>
    </row>
    <row r="3" spans="1:19" ht="21" customHeight="1" x14ac:dyDescent="0.15">
      <c r="A3" s="12">
        <v>894</v>
      </c>
      <c r="B3" s="133" t="s">
        <v>183</v>
      </c>
      <c r="C3" s="134" t="s">
        <v>321</v>
      </c>
      <c r="D3" s="134" t="s">
        <v>364</v>
      </c>
      <c r="E3" s="135">
        <f t="shared" ref="E3" si="1">LEN(D3)</f>
        <v>63</v>
      </c>
      <c r="F3" s="117">
        <v>13</v>
      </c>
      <c r="G3" s="117">
        <v>5</v>
      </c>
      <c r="H3" s="136">
        <f>2001</f>
        <v>2001</v>
      </c>
      <c r="I3" s="136" t="s">
        <v>363</v>
      </c>
      <c r="J3" s="56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聖澄の戦慧神 アテナ</v>
      </c>
      <c r="K3" s="137">
        <f>IFERROR(VLOOKUP(A3,[1]characters!$A:$R,18),0)</f>
        <v>3</v>
      </c>
      <c r="L3" s="138"/>
      <c r="M3" s="139"/>
      <c r="N3" s="139"/>
      <c r="O3" s="139"/>
      <c r="P3" s="139"/>
      <c r="Q3" s="139"/>
      <c r="R3" s="134"/>
      <c r="S3" s="140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4:E1048576">
    <cfRule type="cellIs" dxfId="29" priority="24" operator="greaterThan">
      <formula>41</formula>
    </cfRule>
  </conditionalFormatting>
  <conditionalFormatting sqref="E2">
    <cfRule type="cellIs" dxfId="28" priority="18" operator="greaterThan">
      <formula>41</formula>
    </cfRule>
  </conditionalFormatting>
  <conditionalFormatting sqref="E3">
    <cfRule type="cellIs" dxfId="27" priority="17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3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F3" sqref="F3"/>
    </sheetView>
  </sheetViews>
  <sheetFormatPr baseColWidth="12" defaultColWidth="13" defaultRowHeight="21" customHeight="1" x14ac:dyDescent="0.15"/>
  <cols>
    <col min="1" max="2" width="12.1640625" style="130" customWidth="1"/>
    <col min="3" max="3" width="48.83203125" style="131" customWidth="1"/>
    <col min="4" max="4" width="23.83203125" style="131" customWidth="1"/>
    <col min="5" max="5" width="10.5" style="131" customWidth="1"/>
    <col min="6" max="7" width="59.1640625" style="131" customWidth="1"/>
    <col min="8" max="8" width="6.83203125" style="130" bestFit="1" customWidth="1"/>
    <col min="9" max="9" width="20.33203125" style="130" customWidth="1"/>
    <col min="10" max="10" width="5" style="130" bestFit="1" customWidth="1"/>
    <col min="11" max="16384" width="13" style="130"/>
  </cols>
  <sheetData>
    <row r="1" spans="1:19" ht="21" customHeight="1" x14ac:dyDescent="0.15">
      <c r="A1" s="118" t="s">
        <v>181</v>
      </c>
      <c r="B1" s="119" t="s">
        <v>180</v>
      </c>
      <c r="C1" s="120" t="s">
        <v>179</v>
      </c>
      <c r="D1" s="121" t="s">
        <v>178</v>
      </c>
      <c r="E1" s="121" t="s">
        <v>177</v>
      </c>
      <c r="F1" s="122" t="s">
        <v>176</v>
      </c>
      <c r="G1" s="123" t="s">
        <v>182</v>
      </c>
      <c r="H1" s="122" t="s">
        <v>175</v>
      </c>
      <c r="I1" s="123" t="s">
        <v>174</v>
      </c>
      <c r="J1" s="127" t="s">
        <v>173</v>
      </c>
    </row>
    <row r="2" spans="1:19" ht="21" customHeight="1" x14ac:dyDescent="0.15">
      <c r="A2" s="12">
        <v>893</v>
      </c>
      <c r="B2" s="133" t="s">
        <v>184</v>
      </c>
      <c r="C2" s="134" t="s">
        <v>318</v>
      </c>
      <c r="D2" s="134" t="s">
        <v>336</v>
      </c>
      <c r="E2" s="135">
        <f t="shared" ref="E2" si="0">LEN(D2)</f>
        <v>10</v>
      </c>
      <c r="F2" s="192" t="s">
        <v>332</v>
      </c>
      <c r="G2" s="56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アテナ</v>
      </c>
      <c r="H2" s="136">
        <f>IFERROR(VLOOKUP(A2,[1]characters!$A:$R,18),0)</f>
        <v>3</v>
      </c>
      <c r="I2" s="136"/>
      <c r="J2" s="141"/>
      <c r="K2" s="137">
        <v>1</v>
      </c>
      <c r="L2" s="138"/>
      <c r="M2" s="139"/>
      <c r="N2" s="139"/>
      <c r="O2" s="139"/>
      <c r="P2" s="139"/>
      <c r="Q2" s="139"/>
      <c r="R2" s="134"/>
      <c r="S2" s="140"/>
    </row>
    <row r="3" spans="1:19" ht="21" customHeight="1" x14ac:dyDescent="0.15">
      <c r="A3" s="12">
        <v>894</v>
      </c>
      <c r="B3" s="133" t="s">
        <v>184</v>
      </c>
      <c r="C3" s="134" t="s">
        <v>319</v>
      </c>
      <c r="D3" s="134" t="s">
        <v>359</v>
      </c>
      <c r="E3" s="135">
        <f t="shared" ref="E3" si="1">LEN(D3)</f>
        <v>32</v>
      </c>
      <c r="F3" s="117" t="s">
        <v>360</v>
      </c>
      <c r="G3" s="56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聖澄の戦慧神 アテナ</v>
      </c>
      <c r="H3" s="136">
        <f>IFERROR(VLOOKUP(A3,[1]characters!$A:$R,18),0)</f>
        <v>3</v>
      </c>
      <c r="I3" s="136"/>
      <c r="J3" s="141"/>
      <c r="K3" s="137">
        <v>1</v>
      </c>
      <c r="L3" s="138"/>
      <c r="M3" s="139"/>
      <c r="N3" s="139"/>
      <c r="O3" s="139"/>
      <c r="P3" s="139"/>
      <c r="Q3" s="139"/>
      <c r="R3" s="134"/>
      <c r="S3" s="140"/>
    </row>
  </sheetData>
  <sheetProtection selectLockedCells="1" selectUnlockedCells="1"/>
  <autoFilter ref="A1:J1"/>
  <phoneticPr fontId="22"/>
  <conditionalFormatting sqref="E2">
    <cfRule type="cellIs" dxfId="26" priority="18" operator="greaterThan">
      <formula>41</formula>
    </cfRule>
  </conditionalFormatting>
  <conditionalFormatting sqref="E3">
    <cfRule type="cellIs" dxfId="25" priority="17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22"/>
  <sheetViews>
    <sheetView workbookViewId="0">
      <selection activeCell="A11" sqref="A11"/>
    </sheetView>
  </sheetViews>
  <sheetFormatPr baseColWidth="12" defaultRowHeight="15" outlineLevelCol="1" x14ac:dyDescent="0.15"/>
  <cols>
    <col min="2" max="2" width="12.83203125" style="143"/>
    <col min="4" max="4" width="12.83203125" style="143" customWidth="1" outlineLevel="1"/>
    <col min="5" max="5" width="12.83203125" style="143"/>
    <col min="8" max="8" width="24" bestFit="1" customWidth="1"/>
  </cols>
  <sheetData>
    <row r="1" spans="1:8" x14ac:dyDescent="0.15">
      <c r="A1" s="114" t="s">
        <v>185</v>
      </c>
      <c r="B1" s="142" t="s">
        <v>186</v>
      </c>
      <c r="C1" s="114" t="s">
        <v>187</v>
      </c>
      <c r="D1" s="142" t="s">
        <v>189</v>
      </c>
      <c r="E1" s="142" t="s">
        <v>190</v>
      </c>
      <c r="F1" s="112" t="s">
        <v>191</v>
      </c>
      <c r="G1" s="114" t="s">
        <v>188</v>
      </c>
      <c r="H1" s="112" t="s">
        <v>192</v>
      </c>
    </row>
    <row r="2" spans="1:8" x14ac:dyDescent="0.15">
      <c r="A2" s="108">
        <v>893</v>
      </c>
      <c r="B2" s="142" t="str">
        <f>VLOOKUP(A2,[1]characters!$A:$C,3,FALSE)</f>
        <v>アテナ</v>
      </c>
      <c r="C2" s="108" t="s">
        <v>193</v>
      </c>
      <c r="D2" s="142" t="str">
        <f t="shared" ref="D2:D9" si="0">A2&amp;C2</f>
        <v>893skill</v>
      </c>
      <c r="E2" s="142" t="str">
        <f>A2&amp;+(COUNTIF(A2:A$31,A2)-1)</f>
        <v>8933</v>
      </c>
      <c r="F2" s="108" t="s">
        <v>195</v>
      </c>
      <c r="G2" s="108" t="s">
        <v>328</v>
      </c>
      <c r="H2" s="108" t="s">
        <v>329</v>
      </c>
    </row>
    <row r="3" spans="1:8" x14ac:dyDescent="0.15">
      <c r="A3" s="108">
        <v>893</v>
      </c>
      <c r="B3" s="142" t="str">
        <f>VLOOKUP(A3,[1]characters!$A:$C,3,FALSE)</f>
        <v>アテナ</v>
      </c>
      <c r="C3" s="108" t="s">
        <v>196</v>
      </c>
      <c r="D3" s="142" t="str">
        <f t="shared" ref="D3" si="1">A3&amp;C3</f>
        <v>893cskill</v>
      </c>
      <c r="E3" s="142" t="str">
        <f>A3&amp;+(COUNTIF(A3:A$31,A3)-1)</f>
        <v>8932</v>
      </c>
      <c r="F3" s="108" t="s">
        <v>183</v>
      </c>
      <c r="G3" s="108" t="s">
        <v>325</v>
      </c>
      <c r="H3" s="108" t="s">
        <v>322</v>
      </c>
    </row>
    <row r="4" spans="1:8" x14ac:dyDescent="0.15">
      <c r="A4" s="108">
        <v>893</v>
      </c>
      <c r="B4" s="142" t="str">
        <f>VLOOKUP(A4,[1]characters!$A:$C,3,FALSE)</f>
        <v>アテナ</v>
      </c>
      <c r="C4" s="108" t="s">
        <v>196</v>
      </c>
      <c r="D4" s="142" t="str">
        <f t="shared" si="0"/>
        <v>893cskill</v>
      </c>
      <c r="E4" s="142" t="str">
        <f>A4&amp;+(COUNTIF(A4:A$31,A4)-1)</f>
        <v>8931</v>
      </c>
      <c r="F4" s="108" t="s">
        <v>183</v>
      </c>
      <c r="G4" s="108" t="s">
        <v>326</v>
      </c>
      <c r="H4" s="108" t="s">
        <v>323</v>
      </c>
    </row>
    <row r="5" spans="1:8" x14ac:dyDescent="0.15">
      <c r="A5" s="108">
        <v>893</v>
      </c>
      <c r="B5" s="142" t="str">
        <f>VLOOKUP(A5,[1]characters!$A:$C,3,FALSE)</f>
        <v>アテナ</v>
      </c>
      <c r="C5" s="108" t="s">
        <v>196</v>
      </c>
      <c r="D5" s="142" t="str">
        <f t="shared" ref="D5" si="2">A5&amp;C5</f>
        <v>893cskill</v>
      </c>
      <c r="E5" s="142" t="str">
        <f>A5&amp;+(COUNTIF(A5:A$31,A5)-1)</f>
        <v>8930</v>
      </c>
      <c r="F5" s="108" t="s">
        <v>183</v>
      </c>
      <c r="G5" s="108" t="s">
        <v>327</v>
      </c>
      <c r="H5" s="108" t="s">
        <v>324</v>
      </c>
    </row>
    <row r="6" spans="1:8" x14ac:dyDescent="0.15">
      <c r="A6" s="108">
        <v>894</v>
      </c>
      <c r="B6" s="142" t="str">
        <f>VLOOKUP(A6,[1]characters!$A:$C,3,FALSE)</f>
        <v>聖澄の戦慧神 アテナ</v>
      </c>
      <c r="C6" s="108" t="s">
        <v>193</v>
      </c>
      <c r="D6" s="142" t="str">
        <f t="shared" ref="D6" si="3">A6&amp;C6</f>
        <v>894skill</v>
      </c>
      <c r="E6" s="142" t="str">
        <f>A6&amp;+(COUNTIF(A6:A$31,A6)-1)</f>
        <v>8944</v>
      </c>
      <c r="F6" s="108" t="s">
        <v>183</v>
      </c>
      <c r="G6" s="108" t="s">
        <v>194</v>
      </c>
      <c r="H6" s="108" t="s">
        <v>331</v>
      </c>
    </row>
    <row r="7" spans="1:8" x14ac:dyDescent="0.15">
      <c r="A7" s="108">
        <v>894</v>
      </c>
      <c r="B7" s="142" t="str">
        <f>VLOOKUP(A7,[1]characters!$A:$C,3,FALSE)</f>
        <v>聖澄の戦慧神 アテナ</v>
      </c>
      <c r="C7" s="108" t="s">
        <v>196</v>
      </c>
      <c r="D7" s="142" t="str">
        <f t="shared" ref="D7" si="4">A7&amp;C7</f>
        <v>894cskill</v>
      </c>
      <c r="E7" s="142" t="str">
        <f>A7&amp;+(COUNTIF(A7:A$31,A7)-1)</f>
        <v>8943</v>
      </c>
      <c r="F7" s="108" t="s">
        <v>183</v>
      </c>
      <c r="G7" s="108" t="s">
        <v>325</v>
      </c>
      <c r="H7" s="108" t="s">
        <v>322</v>
      </c>
    </row>
    <row r="8" spans="1:8" x14ac:dyDescent="0.15">
      <c r="A8" s="108">
        <v>894</v>
      </c>
      <c r="B8" s="142" t="str">
        <f>VLOOKUP(A8,[1]characters!$A:$C,3,FALSE)</f>
        <v>聖澄の戦慧神 アテナ</v>
      </c>
      <c r="C8" s="108" t="s">
        <v>196</v>
      </c>
      <c r="D8" s="142" t="str">
        <f t="shared" si="0"/>
        <v>894cskill</v>
      </c>
      <c r="E8" s="142" t="str">
        <f>A8&amp;+(COUNTIF(A8:A$31,A8)-1)</f>
        <v>8942</v>
      </c>
      <c r="F8" s="108" t="s">
        <v>195</v>
      </c>
      <c r="G8" s="108" t="s">
        <v>326</v>
      </c>
      <c r="H8" s="108" t="s">
        <v>323</v>
      </c>
    </row>
    <row r="9" spans="1:8" x14ac:dyDescent="0.15">
      <c r="A9" s="108">
        <v>894</v>
      </c>
      <c r="B9" s="142" t="str">
        <f>VLOOKUP(A9,[1]characters!$A:$C,3,FALSE)</f>
        <v>聖澄の戦慧神 アテナ</v>
      </c>
      <c r="C9" s="108" t="s">
        <v>196</v>
      </c>
      <c r="D9" s="142" t="str">
        <f t="shared" si="0"/>
        <v>894cskill</v>
      </c>
      <c r="E9" s="142" t="str">
        <f>A9&amp;+(COUNTIF(A9:A$31,A9)-1)</f>
        <v>8941</v>
      </c>
      <c r="F9" s="108" t="s">
        <v>183</v>
      </c>
      <c r="G9" s="108" t="s">
        <v>327</v>
      </c>
      <c r="H9" s="108" t="s">
        <v>324</v>
      </c>
    </row>
    <row r="10" spans="1:8" x14ac:dyDescent="0.15">
      <c r="A10" s="108">
        <v>894</v>
      </c>
      <c r="B10" s="142" t="str">
        <f>VLOOKUP(A10,[1]characters!$A:$C,3,FALSE)</f>
        <v>聖澄の戦慧神 アテナ</v>
      </c>
      <c r="C10" s="108" t="s">
        <v>196</v>
      </c>
      <c r="D10" s="142" t="str">
        <f t="shared" ref="D10" si="5">A10&amp;C10</f>
        <v>894cskill</v>
      </c>
      <c r="E10" s="142" t="str">
        <f>A10&amp;+(COUNTIF(A10:A$31,A10)-1)</f>
        <v>8940</v>
      </c>
      <c r="F10" s="108" t="s">
        <v>183</v>
      </c>
      <c r="G10" s="108" t="s">
        <v>328</v>
      </c>
      <c r="H10" s="193" t="s">
        <v>330</v>
      </c>
    </row>
    <row r="11" spans="1:8" x14ac:dyDescent="0.15">
      <c r="A11" s="108"/>
      <c r="B11" s="142"/>
      <c r="C11" s="108"/>
      <c r="D11" s="142"/>
      <c r="E11" s="142"/>
      <c r="F11" s="108"/>
      <c r="G11" s="108"/>
      <c r="H11" s="108"/>
    </row>
    <row r="12" spans="1:8" x14ac:dyDescent="0.15">
      <c r="A12" s="108"/>
      <c r="B12" s="142"/>
      <c r="C12" s="108"/>
      <c r="D12" s="142"/>
      <c r="E12" s="142"/>
      <c r="F12" s="108"/>
      <c r="G12" s="108"/>
      <c r="H12" s="108"/>
    </row>
    <row r="13" spans="1:8" x14ac:dyDescent="0.15">
      <c r="A13" s="108"/>
      <c r="B13" s="142"/>
      <c r="C13" s="108"/>
      <c r="D13" s="142"/>
      <c r="E13" s="142"/>
      <c r="F13" s="108"/>
      <c r="G13" s="108"/>
      <c r="H13" s="108"/>
    </row>
    <row r="14" spans="1:8" x14ac:dyDescent="0.15">
      <c r="A14" s="108"/>
      <c r="B14" s="142"/>
      <c r="C14" s="108"/>
      <c r="D14" s="142"/>
      <c r="E14" s="142"/>
      <c r="F14" s="108"/>
      <c r="G14" s="108"/>
      <c r="H14" s="108"/>
    </row>
    <row r="15" spans="1:8" x14ac:dyDescent="0.15">
      <c r="A15" s="108"/>
      <c r="B15" s="142"/>
      <c r="C15" s="108"/>
      <c r="D15" s="142"/>
      <c r="E15" s="142"/>
      <c r="F15" s="108"/>
      <c r="G15" s="108"/>
      <c r="H15" s="108"/>
    </row>
    <row r="16" spans="1:8" x14ac:dyDescent="0.15">
      <c r="A16" s="108"/>
      <c r="B16" s="142"/>
      <c r="C16" s="108"/>
      <c r="D16" s="142"/>
      <c r="E16" s="142"/>
      <c r="F16" s="108"/>
      <c r="G16" s="108"/>
      <c r="H16" s="108"/>
    </row>
    <row r="17" spans="1:8" x14ac:dyDescent="0.15">
      <c r="A17" s="108"/>
      <c r="B17" s="142"/>
      <c r="C17" s="108"/>
      <c r="D17" s="142"/>
      <c r="E17" s="142"/>
      <c r="F17" s="108"/>
      <c r="G17" s="108"/>
      <c r="H17" s="108"/>
    </row>
    <row r="18" spans="1:8" x14ac:dyDescent="0.15">
      <c r="A18" s="108"/>
      <c r="B18" s="142"/>
      <c r="C18" s="108"/>
      <c r="D18" s="142"/>
      <c r="E18" s="142"/>
      <c r="F18" s="108"/>
      <c r="G18" s="108"/>
      <c r="H18" s="108"/>
    </row>
    <row r="19" spans="1:8" x14ac:dyDescent="0.15">
      <c r="A19" s="108"/>
      <c r="B19" s="142"/>
      <c r="C19" s="108"/>
      <c r="D19" s="142"/>
      <c r="E19" s="142"/>
      <c r="F19" s="108"/>
      <c r="G19" s="108"/>
      <c r="H19" s="108"/>
    </row>
    <row r="20" spans="1:8" x14ac:dyDescent="0.15">
      <c r="A20" s="108"/>
      <c r="B20" s="142"/>
      <c r="C20" s="108"/>
      <c r="D20" s="142"/>
      <c r="E20" s="142"/>
      <c r="F20" s="108"/>
      <c r="G20" s="108"/>
      <c r="H20" s="108"/>
    </row>
    <row r="21" spans="1:8" x14ac:dyDescent="0.15">
      <c r="A21" s="108"/>
      <c r="B21" s="142"/>
      <c r="C21" s="108"/>
      <c r="D21" s="142"/>
      <c r="E21" s="142"/>
      <c r="F21" s="108"/>
      <c r="G21" s="108"/>
      <c r="H21" s="108"/>
    </row>
    <row r="22" spans="1:8" x14ac:dyDescent="0.15">
      <c r="A22" s="108"/>
      <c r="B22" s="142"/>
      <c r="C22" s="108"/>
      <c r="D22" s="142"/>
      <c r="E22" s="142"/>
      <c r="F22" s="108"/>
      <c r="G22" s="108"/>
      <c r="H22" s="108"/>
    </row>
  </sheetData>
  <phoneticPr fontId="22"/>
  <dataValidations count="2">
    <dataValidation type="list" allowBlank="1" showInputMessage="1" showErrorMessage="1" sqref="G2:G14">
      <formula1>"maru,giza,kumo"</formula1>
    </dataValidation>
    <dataValidation type="list" allowBlank="1" showInputMessage="1" showErrorMessage="1" sqref="C2:C14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2"/>
  <sheetViews>
    <sheetView showGridLines="0" workbookViewId="0">
      <pane xSplit="9" ySplit="1" topLeftCell="P2" activePane="bottomRight" state="frozen"/>
      <selection pane="topRight" activeCell="J1" sqref="J1"/>
      <selection pane="bottomLeft" activeCell="A3" sqref="A3"/>
      <selection pane="bottomRight" activeCell="S13" sqref="S13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22" style="13" hidden="1" customWidth="1" outlineLevel="1"/>
    <col min="11" max="11" width="14.1640625" style="13" hidden="1" customWidth="1" outlineLevel="1"/>
    <col min="12" max="12" width="12.33203125" style="13" hidden="1" customWidth="1" outlineLevel="1"/>
    <col min="13" max="15" width="13.6640625" style="13" hidden="1" customWidth="1" outlineLevel="1"/>
    <col min="16" max="16" width="15.1640625" style="13" customWidth="1"/>
    <col min="17" max="17" width="20.1640625" style="12" bestFit="1" customWidth="1"/>
    <col min="18" max="18" width="18.83203125" style="13" bestFit="1" customWidth="1"/>
    <col min="19" max="20" width="18.83203125" style="13" customWidth="1"/>
    <col min="21" max="21" width="15.1640625" style="13" customWidth="1"/>
    <col min="22" max="16384" width="8.83203125" style="12"/>
  </cols>
  <sheetData>
    <row r="1" spans="1:21" ht="21" customHeight="1" x14ac:dyDescent="0.15">
      <c r="A1" s="80" t="s">
        <v>274</v>
      </c>
      <c r="B1" s="94" t="s">
        <v>275</v>
      </c>
      <c r="C1" s="85" t="s">
        <v>276</v>
      </c>
      <c r="D1" s="85" t="s">
        <v>277</v>
      </c>
      <c r="E1" s="85" t="s">
        <v>278</v>
      </c>
      <c r="F1" s="85" t="s">
        <v>279</v>
      </c>
      <c r="G1" s="85" t="s">
        <v>1</v>
      </c>
      <c r="H1" s="179" t="s">
        <v>19</v>
      </c>
      <c r="I1" s="85" t="s">
        <v>0</v>
      </c>
      <c r="J1" s="84" t="s">
        <v>280</v>
      </c>
      <c r="K1" s="85" t="s">
        <v>275</v>
      </c>
      <c r="L1" s="86" t="s">
        <v>49</v>
      </c>
      <c r="M1" s="86" t="s">
        <v>48</v>
      </c>
      <c r="N1" s="86" t="s">
        <v>281</v>
      </c>
      <c r="O1" s="86" t="s">
        <v>282</v>
      </c>
      <c r="P1" s="91" t="s">
        <v>283</v>
      </c>
      <c r="Q1" s="90" t="s">
        <v>284</v>
      </c>
      <c r="R1" s="79" t="s">
        <v>275</v>
      </c>
      <c r="S1" s="91" t="s">
        <v>285</v>
      </c>
      <c r="T1" s="79" t="s">
        <v>275</v>
      </c>
      <c r="U1" s="91" t="s">
        <v>286</v>
      </c>
    </row>
    <row r="2" spans="1:21" ht="21" customHeight="1" x14ac:dyDescent="0.15">
      <c r="A2" s="180">
        <v>893</v>
      </c>
      <c r="B2" s="56" t="str">
        <f ca="1">VLOOKUP($A2,OFFSET([1]characters!$A$1,0,0,COUNTA([1]characters!$A:$A),MATCH(B$1,[1]characters!$1:$1,0)-MATCH($A$1,[1]characters!$1:$1,0)+1),MATCH(B$1,[1]characters!$1:$1,0)-MATCH($A$1,[1]characters!$1:$1,0)+1,FALSE)</f>
        <v>アテナ</v>
      </c>
      <c r="C2" s="56" t="str">
        <f ca="1">VLOOKUP($A2,OFFSET([1]characters!$A$1,0,0,COUNTA([1]characters!$A:$A),MATCH(C$1,[1]characters!$1:$1,0)-MATCH($A$1,[1]characters!$1:$1,0)+1),MATCH(C$1,[1]characters!$1:$1,0)-MATCH($A$1,[1]characters!$1:$1,0)+1,FALSE)</f>
        <v>各属性相性良3・黄・R497</v>
      </c>
      <c r="D2" s="56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6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6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6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6" t="str">
        <f ca="1">VLOOKUP($A2,OFFSET([1]characters!$A$1,0,0,COUNTA([1]characters!$A:$A),MATCH(H$1,[1]characters!$1:$1,0)-MATCH($A$1,[1]characters!$1:$1,0)+1),MATCH(H$1,[1]characters!$1:$1,0)-MATCH($A$1,[1]characters!$1:$1,0)+1,FALSE)</f>
        <v>DropWizS</v>
      </c>
      <c r="I2" s="56" t="str">
        <f ca="1">VLOOKUP($A2,OFFSET([1]characters!$A$1,0,0,COUNTA([1]characters!$A:$A),MATCH(I$1,[1]characters!$1:$1,0)-MATCH($A$1,[1]characters!$1:$1,0)+1),MATCH(I$1,[1]characters!$1:$1,0)-MATCH($A$1,[1]characters!$1:$1,0)+1,FALSE)</f>
        <v>yellow</v>
      </c>
      <c r="J2" s="56" t="str">
        <f ca="1">VLOOKUP($A2,OFFSET([1]characters!$A$1,0,0,COUNTA([1]characters!$A:$A),MATCH(J$1,[1]characters!$1:$1,0)-MATCH($A$1,[1]characters!$1:$1,0)+1),MATCH(J$1,[1]characters!$1:$1,0)-MATCH($A$1,[1]characters!$1:$1,0)+1,FALSE)</f>
        <v>machine</v>
      </c>
      <c r="K2" s="5" t="str">
        <f ca="1">VLOOKUP(J2,[1]character_tribe_i18n!$A:$H,3,FALSE)</f>
        <v>マシン</v>
      </c>
      <c r="L2" s="11" t="e">
        <f>VLOOKUP(#REF!,[1]character_tribe_i18n!$A:$H,4,FALSE)</f>
        <v>#REF!</v>
      </c>
      <c r="M2" s="11" t="e">
        <f>VLOOKUP(#REF!,[1]character_tribe_i18n!$A:$H,5,FALSE)</f>
        <v>#REF!</v>
      </c>
      <c r="N2" s="11" t="e">
        <f>VLOOKUP(#REF!,[1]character_tribe_i18n!$A:$H,6,FALSE)</f>
        <v>#REF!</v>
      </c>
      <c r="O2" s="11" t="e">
        <f>VLOOKUP(#REF!,[1]character_tribe_i18n!$A:$H,7,FALSE)</f>
        <v>#REF!</v>
      </c>
      <c r="P2" s="180" t="str">
        <f>VLOOKUP(Q2,[1]characters!$A:$AC,20)</f>
        <v>normal</v>
      </c>
      <c r="Q2" s="9">
        <v>894</v>
      </c>
      <c r="R2" s="61" t="str">
        <f ca="1">IF(Q2="NULL","",VLOOKUP($Q2,OFFSET([1]characters!$A$1,0,0,COUNTA([1]characters!$A:$A),MATCH(R$1,[1]characters!$1:$1,0)-MATCH($A$1,[1]characters!$1:$1,0)+1),MATCH(R$1,[1]characters!$1:$1,0)-MATCH($A$1,[1]characters!$1:$1,0)+1,FALSE))</f>
        <v>聖澄の戦慧神 アテナ</v>
      </c>
      <c r="S2" s="5">
        <v>894</v>
      </c>
      <c r="T2" s="61" t="str">
        <f ca="1">VLOOKUP($S2,OFFSET([1]characters!$A$1,0,0,COUNTA([1]characters!$A:$A),MATCH(T$1,[1]characters!$1:$1,0)-MATCH($A$1,[1]characters!$1:$1,0)+1),MATCH(T$1,[1]characters!$1:$1,0)-MATCH($A$1,[1]characters!$1:$1,0)+1,FALSE)</f>
        <v>聖澄の戦慧神 アテナ</v>
      </c>
      <c r="U2" s="11">
        <f ca="1">IF(Q2="NULL","NULL",VLOOKUP(G2,[2]ビット!$A$2:$B$7,2))</f>
        <v>200000</v>
      </c>
    </row>
  </sheetData>
  <autoFilter ref="A1:U2"/>
  <phoneticPr fontId="22"/>
  <conditionalFormatting sqref="W1:W1048576">
    <cfRule type="cellIs" dxfId="24" priority="6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5"/>
  <sheetViews>
    <sheetView showGridLines="0" topLeftCell="F1" workbookViewId="0">
      <pane ySplit="1" topLeftCell="A2" activePane="bottomLeft" state="frozen"/>
      <selection pane="bottomLeft" activeCell="G18" sqref="G18"/>
    </sheetView>
  </sheetViews>
  <sheetFormatPr baseColWidth="12" defaultColWidth="13" defaultRowHeight="15" x14ac:dyDescent="0.15"/>
  <cols>
    <col min="1" max="1" width="11.5" style="64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4" t="s">
        <v>99</v>
      </c>
      <c r="B1" s="42" t="s">
        <v>38</v>
      </c>
      <c r="C1" s="181" t="s">
        <v>287</v>
      </c>
      <c r="D1" s="20" t="s">
        <v>40</v>
      </c>
      <c r="E1" s="20" t="s">
        <v>42</v>
      </c>
      <c r="F1" s="20" t="s">
        <v>43</v>
      </c>
      <c r="G1" s="181" t="s">
        <v>288</v>
      </c>
      <c r="H1" s="20" t="s">
        <v>40</v>
      </c>
      <c r="I1" s="43" t="s">
        <v>36</v>
      </c>
      <c r="J1" s="20" t="s">
        <v>41</v>
      </c>
      <c r="K1" s="19" t="s">
        <v>37</v>
      </c>
      <c r="L1" s="184" t="s">
        <v>127</v>
      </c>
      <c r="M1" s="185" t="s">
        <v>290</v>
      </c>
    </row>
    <row r="2" spans="1:14" ht="21" customHeight="1" x14ac:dyDescent="0.15">
      <c r="A2" s="64" t="str">
        <f>B2&amp;"_"&amp;I2</f>
        <v>893_115</v>
      </c>
      <c r="B2" s="183">
        <v>893</v>
      </c>
      <c r="C2" s="182">
        <f>B2</f>
        <v>893</v>
      </c>
      <c r="D2" s="56" t="str">
        <f ca="1">VLOOKUP($C2,OFFSET([1]characters!$A$1,0,0,COUNTA([1]characters!$A:$A),MATCH(D$1,[1]characters!$1:$1,0)-MATCH($C$1,[1]characters!$1:$1,0)+1),MATCH(D$1,[1]characters!$1:$1,0)-MATCH($C$1,[1]characters!$1:$1,0)+1,FALSE)</f>
        <v>アテナ</v>
      </c>
      <c r="E2" s="56">
        <f ca="1">VLOOKUP($C2,OFFSET([1]characters!$A$1,0,0,COUNTA([1]characters!$A:$A),MATCH(E$1,[1]characters!$1:$1,0)-MATCH($C$1,[1]characters!$1:$1,0)+1),MATCH(E$1,[1]characters!$1:$1,0)-MATCH($C$1,[1]characters!$1:$1,0)+1,FALSE)</f>
        <v>5</v>
      </c>
      <c r="F2" s="56" t="str">
        <f ca="1">VLOOKUP($C2,OFFSET([1]characters!$A$1,0,0,COUNTA([1]characters!$A:$A),MATCH(F$1,[1]characters!$1:$1,0)-MATCH($C$1,[1]characters!$1:$1,0)+1),MATCH(F$1,[1]characters!$1:$1,0)-MATCH($C$1,[1]characters!$1:$1,0)+1,FALSE)</f>
        <v>DropWizS</v>
      </c>
      <c r="G2" s="183">
        <v>894</v>
      </c>
      <c r="H2" s="56" t="str">
        <f ca="1">VLOOKUP($G2,OFFSET([1]characters!$A$1,0,0,COUNTA([1]characters!$A:$A),MATCH(H$1,[1]characters!$1:$1,0)-MATCH($C$1,[1]characters!$1:$1,0)+1),MATCH(H$1,[1]characters!$1:$1,0)-MATCH($C$1,[1]characters!$1:$1,0)+1,FALSE)</f>
        <v>聖澄の戦慧神 アテナ</v>
      </c>
      <c r="I2" s="191">
        <v>115</v>
      </c>
      <c r="J2" s="56" t="str">
        <f ca="1">VLOOKUP($I2,OFFSET([1]characters!$A$1,0,0,COUNTA([1]characters!$A:$A),MATCH(J$1,[1]characters!$1:$1,0)-MATCH($C$1,[1]characters!$1:$1,0)+1),MATCH(J$1,[1]characters!$1:$1,0)-MATCH($C$1,[1]characters!$1:$1,0)+1,FALSE)</f>
        <v>イエローキャタップ</v>
      </c>
      <c r="K2" s="18">
        <v>1</v>
      </c>
      <c r="L2" s="113">
        <v>1</v>
      </c>
      <c r="M2" s="113">
        <v>10</v>
      </c>
      <c r="N2" s="2" t="s">
        <v>289</v>
      </c>
    </row>
    <row r="3" spans="1:14" ht="21" customHeight="1" x14ac:dyDescent="0.15">
      <c r="A3" s="64" t="str">
        <f>B3&amp;"_"&amp;I3</f>
        <v>893_116</v>
      </c>
      <c r="B3" s="183">
        <v>893</v>
      </c>
      <c r="C3" s="182">
        <f>B3</f>
        <v>893</v>
      </c>
      <c r="D3" s="56" t="str">
        <f ca="1">VLOOKUP($C3,OFFSET([1]characters!$A$1,0,0,COUNTA([1]characters!$A:$A),MATCH(D$1,[1]characters!$1:$1,0)-MATCH($C$1,[1]characters!$1:$1,0)+1),MATCH(D$1,[1]characters!$1:$1,0)-MATCH($C$1,[1]characters!$1:$1,0)+1,FALSE)</f>
        <v>アテナ</v>
      </c>
      <c r="E3" s="56">
        <f ca="1">VLOOKUP($C3,OFFSET([1]characters!$A$1,0,0,COUNTA([1]characters!$A:$A),MATCH(E$1,[1]characters!$1:$1,0)-MATCH($C$1,[1]characters!$1:$1,0)+1),MATCH(E$1,[1]characters!$1:$1,0)-MATCH($C$1,[1]characters!$1:$1,0)+1,FALSE)</f>
        <v>5</v>
      </c>
      <c r="F3" s="56" t="str">
        <f ca="1">VLOOKUP($C3,OFFSET([1]characters!$A$1,0,0,COUNTA([1]characters!$A:$A),MATCH(F$1,[1]characters!$1:$1,0)-MATCH($C$1,[1]characters!$1:$1,0)+1),MATCH(F$1,[1]characters!$1:$1,0)-MATCH($C$1,[1]characters!$1:$1,0)+1,FALSE)</f>
        <v>DropWizS</v>
      </c>
      <c r="G3" s="183">
        <v>894</v>
      </c>
      <c r="H3" s="56" t="str">
        <f ca="1">VLOOKUP($G3,OFFSET([1]characters!$A$1,0,0,COUNTA([1]characters!$A:$A),MATCH(H$1,[1]characters!$1:$1,0)-MATCH($C$1,[1]characters!$1:$1,0)+1),MATCH(H$1,[1]characters!$1:$1,0)-MATCH($C$1,[1]characters!$1:$1,0)+1,FALSE)</f>
        <v>聖澄の戦慧神 アテナ</v>
      </c>
      <c r="I3" s="191">
        <v>116</v>
      </c>
      <c r="J3" s="56" t="str">
        <f ca="1">VLOOKUP($I3,OFFSET([1]characters!$A$1,0,0,COUNTA([1]characters!$A:$A),MATCH(J$1,[1]characters!$1:$1,0)-MATCH($C$1,[1]characters!$1:$1,0)+1),MATCH(J$1,[1]characters!$1:$1,0)-MATCH($C$1,[1]characters!$1:$1,0)+1,FALSE)</f>
        <v>雷のマッドハッター</v>
      </c>
      <c r="K3" s="18">
        <v>1</v>
      </c>
      <c r="L3" s="113">
        <v>1</v>
      </c>
      <c r="M3" s="113">
        <v>10</v>
      </c>
      <c r="N3" s="2" t="s">
        <v>289</v>
      </c>
    </row>
    <row r="4" spans="1:14" ht="21" customHeight="1" x14ac:dyDescent="0.15">
      <c r="A4" s="64" t="str">
        <f>B4&amp;"_"&amp;I4</f>
        <v>893_272</v>
      </c>
      <c r="B4" s="183">
        <v>893</v>
      </c>
      <c r="C4" s="182">
        <f>B4</f>
        <v>893</v>
      </c>
      <c r="D4" s="56" t="str">
        <f ca="1">VLOOKUP($C4,OFFSET([1]characters!$A$1,0,0,COUNTA([1]characters!$A:$A),MATCH(D$1,[1]characters!$1:$1,0)-MATCH($C$1,[1]characters!$1:$1,0)+1),MATCH(D$1,[1]characters!$1:$1,0)-MATCH($C$1,[1]characters!$1:$1,0)+1,FALSE)</f>
        <v>アテナ</v>
      </c>
      <c r="E4" s="56">
        <f ca="1">VLOOKUP($C4,OFFSET([1]characters!$A$1,0,0,COUNTA([1]characters!$A:$A),MATCH(E$1,[1]characters!$1:$1,0)-MATCH($C$1,[1]characters!$1:$1,0)+1),MATCH(E$1,[1]characters!$1:$1,0)-MATCH($C$1,[1]characters!$1:$1,0)+1,FALSE)</f>
        <v>5</v>
      </c>
      <c r="F4" s="56" t="str">
        <f ca="1">VLOOKUP($C4,OFFSET([1]characters!$A$1,0,0,COUNTA([1]characters!$A:$A),MATCH(F$1,[1]characters!$1:$1,0)-MATCH($C$1,[1]characters!$1:$1,0)+1),MATCH(F$1,[1]characters!$1:$1,0)-MATCH($C$1,[1]characters!$1:$1,0)+1,FALSE)</f>
        <v>DropWizS</v>
      </c>
      <c r="G4" s="183">
        <v>894</v>
      </c>
      <c r="H4" s="56" t="str">
        <f ca="1">VLOOKUP($G4,OFFSET([1]characters!$A$1,0,0,COUNTA([1]characters!$A:$A),MATCH(H$1,[1]characters!$1:$1,0)-MATCH($C$1,[1]characters!$1:$1,0)+1),MATCH(H$1,[1]characters!$1:$1,0)-MATCH($C$1,[1]characters!$1:$1,0)+1,FALSE)</f>
        <v>聖澄の戦慧神 アテナ</v>
      </c>
      <c r="I4" s="191">
        <v>272</v>
      </c>
      <c r="J4" s="56" t="str">
        <f ca="1">VLOOKUP($I4,OFFSET([1]characters!$A$1,0,0,COUNTA([1]characters!$A:$A),MATCH(J$1,[1]characters!$1:$1,0)-MATCH($C$1,[1]characters!$1:$1,0)+1),MATCH(J$1,[1]characters!$1:$1,0)-MATCH($C$1,[1]characters!$1:$1,0)+1,FALSE)</f>
        <v>魔札のシルベール</v>
      </c>
      <c r="K4" s="18">
        <v>1</v>
      </c>
      <c r="L4" s="113">
        <v>1</v>
      </c>
      <c r="M4" s="113">
        <v>100</v>
      </c>
      <c r="N4" s="2" t="s">
        <v>289</v>
      </c>
    </row>
    <row r="5" spans="1:14" ht="21" customHeight="1" x14ac:dyDescent="0.15">
      <c r="A5" s="64" t="str">
        <f>B5&amp;"_"&amp;I5</f>
        <v>893_837</v>
      </c>
      <c r="B5" s="183">
        <v>893</v>
      </c>
      <c r="C5" s="182">
        <f>B5</f>
        <v>893</v>
      </c>
      <c r="D5" s="56" t="str">
        <f ca="1">VLOOKUP($C5,OFFSET([1]characters!$A$1,0,0,COUNTA([1]characters!$A:$A),MATCH(D$1,[1]characters!$1:$1,0)-MATCH($C$1,[1]characters!$1:$1,0)+1),MATCH(D$1,[1]characters!$1:$1,0)-MATCH($C$1,[1]characters!$1:$1,0)+1,FALSE)</f>
        <v>アテナ</v>
      </c>
      <c r="E5" s="56">
        <f ca="1">VLOOKUP($C5,OFFSET([1]characters!$A$1,0,0,COUNTA([1]characters!$A:$A),MATCH(E$1,[1]characters!$1:$1,0)-MATCH($C$1,[1]characters!$1:$1,0)+1),MATCH(E$1,[1]characters!$1:$1,0)-MATCH($C$1,[1]characters!$1:$1,0)+1,FALSE)</f>
        <v>5</v>
      </c>
      <c r="F5" s="56" t="str">
        <f ca="1">VLOOKUP($C5,OFFSET([1]characters!$A$1,0,0,COUNTA([1]characters!$A:$A),MATCH(F$1,[1]characters!$1:$1,0)-MATCH($C$1,[1]characters!$1:$1,0)+1),MATCH(F$1,[1]characters!$1:$1,0)-MATCH($C$1,[1]characters!$1:$1,0)+1,FALSE)</f>
        <v>DropWizS</v>
      </c>
      <c r="G5" s="183">
        <v>894</v>
      </c>
      <c r="H5" s="56" t="str">
        <f ca="1">VLOOKUP($G5,OFFSET([1]characters!$A$1,0,0,COUNTA([1]characters!$A:$A),MATCH(H$1,[1]characters!$1:$1,0)-MATCH($C$1,[1]characters!$1:$1,0)+1),MATCH(H$1,[1]characters!$1:$1,0)-MATCH($C$1,[1]characters!$1:$1,0)+1,FALSE)</f>
        <v>聖澄の戦慧神 アテナ</v>
      </c>
      <c r="I5" s="191">
        <v>837</v>
      </c>
      <c r="J5" s="56" t="str">
        <f ca="1">VLOOKUP($I5,OFFSET([1]characters!$A$1,0,0,COUNTA([1]characters!$A:$A),MATCH(J$1,[1]characters!$1:$1,0)-MATCH($C$1,[1]characters!$1:$1,0)+1),MATCH(J$1,[1]characters!$1:$1,0)-MATCH($C$1,[1]characters!$1:$1,0)+1,FALSE)</f>
        <v>リトルハンプティ</v>
      </c>
      <c r="K5" s="18">
        <v>1</v>
      </c>
      <c r="L5" s="113">
        <v>1</v>
      </c>
      <c r="M5" s="113">
        <v>1000</v>
      </c>
      <c r="N5" s="2" t="s">
        <v>289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J1"/>
  <sheetViews>
    <sheetView workbookViewId="0">
      <selection activeCell="A2" sqref="A2:XFD2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hidden="1" customWidth="1"/>
  </cols>
  <sheetData>
    <row r="1" spans="1:10" s="23" customFormat="1" ht="21" customHeight="1" x14ac:dyDescent="0.15">
      <c r="A1" s="171" t="s">
        <v>301</v>
      </c>
      <c r="B1" s="119" t="s">
        <v>302</v>
      </c>
      <c r="C1" s="120" t="s">
        <v>303</v>
      </c>
      <c r="D1" s="121" t="s">
        <v>304</v>
      </c>
      <c r="E1" s="121" t="s">
        <v>305</v>
      </c>
      <c r="F1" s="121" t="s">
        <v>306</v>
      </c>
      <c r="G1" s="121" t="s">
        <v>307</v>
      </c>
      <c r="H1" s="121" t="s">
        <v>308</v>
      </c>
      <c r="I1" s="177" t="s">
        <v>309</v>
      </c>
      <c r="J1" s="172" t="s">
        <v>310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3"/>
  <sheetViews>
    <sheetView workbookViewId="0">
      <selection activeCell="C4" sqref="C4"/>
    </sheetView>
  </sheetViews>
  <sheetFormatPr baseColWidth="12" defaultRowHeight="15" x14ac:dyDescent="0.15"/>
  <cols>
    <col min="5" max="5" width="22.6640625" customWidth="1"/>
    <col min="6" max="6" width="35.33203125" customWidth="1"/>
  </cols>
  <sheetData>
    <row r="1" spans="1:8" s="23" customFormat="1" ht="21" customHeight="1" x14ac:dyDescent="0.15">
      <c r="A1" s="171" t="s">
        <v>137</v>
      </c>
      <c r="B1" s="174" t="s">
        <v>266</v>
      </c>
      <c r="C1" s="119" t="s">
        <v>267</v>
      </c>
      <c r="D1" s="119" t="s">
        <v>268</v>
      </c>
      <c r="E1" s="175" t="s">
        <v>269</v>
      </c>
      <c r="F1" s="175" t="s">
        <v>270</v>
      </c>
      <c r="G1" s="122" t="s">
        <v>271</v>
      </c>
      <c r="H1" s="171" t="s">
        <v>272</v>
      </c>
    </row>
    <row r="2" spans="1:8" s="4" customFormat="1" ht="21" customHeight="1" x14ac:dyDescent="0.15">
      <c r="A2" s="173">
        <v>894</v>
      </c>
      <c r="B2" s="176" t="str">
        <f>VLOOKUP(A2,[1]characters!$A:$C,3)</f>
        <v>聖澄の戦慧神 アテナ</v>
      </c>
      <c r="C2" s="173">
        <v>1</v>
      </c>
      <c r="D2" s="173">
        <v>105</v>
      </c>
      <c r="E2" s="177" t="str">
        <f>IF(ISERROR(VLOOKUP(D2,[3]abilities!A:D,3,FALSE))=FALSE,VLOOKUP(D2,[3]abilities!A:D,3),IF(ISERROR(VLOOKUP(D2,abilities!A:D,3,FALSE))=FALSE,VLOOKUP(D2,abilities!A:D,3),"なし"))</f>
        <v>お邪魔ブレイク</v>
      </c>
      <c r="F2" s="177" t="str">
        <f>IF(ISERROR(VLOOKUP(D2,[3]abilities!A:D,4,FALSE))=FALSE,VLOOKUP(D2,[3]abilities!A:D,4),IF(ISERROR(VLOOKUP(D2,abilities!A:D,4,FALSE))=FALSE,VLOOKUP(D2,abilities!A:D,4),"なし"))</f>
        <v>自身が先頭の時、お邪魔パネルを破壊できる</v>
      </c>
      <c r="G2" s="178" t="s">
        <v>273</v>
      </c>
      <c r="H2" s="178" t="s">
        <v>315</v>
      </c>
    </row>
    <row r="3" spans="1:8" s="4" customFormat="1" ht="21" customHeight="1" x14ac:dyDescent="0.15">
      <c r="A3" s="173">
        <v>894</v>
      </c>
      <c r="B3" s="176" t="str">
        <f>VLOOKUP(A3,[1]characters!$A:$C,3)</f>
        <v>聖澄の戦慧神 アテナ</v>
      </c>
      <c r="C3" s="173">
        <v>2</v>
      </c>
      <c r="D3" s="173">
        <v>906</v>
      </c>
      <c r="E3" s="177" t="str">
        <f>IF(ISERROR(VLOOKUP(D3,[3]abilities!A:D,3,FALSE))=FALSE,VLOOKUP(D3,[3]abilities!A:D,3),IF(ISERROR(VLOOKUP(D3,abilities!A:D,3,FALSE))=FALSE,VLOOKUP(D3,abilities!A:D,3),"なし"))</f>
        <v>チェイン14 回復力小UP</v>
      </c>
      <c r="F3" s="177" t="str">
        <f>IF(ISERROR(VLOOKUP(D3,[3]abilities!A:D,4,FALSE))=FALSE,VLOOKUP(D3,[3]abilities!A:D,4),IF(ISERROR(VLOOKUP(D3,abilities!A:D,4,FALSE))=FALSE,VLOOKUP(D3,abilities!A:D,4),"なし"))</f>
        <v>自身が先頭の時、1タップで14個以上パネルを繋げた場合に回復力小UP(1ターンに1度だけ発動)</v>
      </c>
      <c r="G3" s="178" t="s">
        <v>273</v>
      </c>
      <c r="H3" s="178" t="s">
        <v>361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B19"/>
  <sheetViews>
    <sheetView workbookViewId="0">
      <selection activeCell="F10" sqref="F10"/>
    </sheetView>
  </sheetViews>
  <sheetFormatPr baseColWidth="12" defaultRowHeight="15" x14ac:dyDescent="0.15"/>
  <sheetData>
    <row r="1" spans="1:2" x14ac:dyDescent="0.15">
      <c r="A1" t="s">
        <v>337</v>
      </c>
      <c r="B1" t="s">
        <v>338</v>
      </c>
    </row>
    <row r="2" spans="1:2" x14ac:dyDescent="0.15">
      <c r="A2" t="s">
        <v>339</v>
      </c>
      <c r="B2">
        <v>1</v>
      </c>
    </row>
    <row r="3" spans="1:2" x14ac:dyDescent="0.15">
      <c r="A3" t="s">
        <v>340</v>
      </c>
      <c r="B3">
        <v>1</v>
      </c>
    </row>
    <row r="4" spans="1:2" x14ac:dyDescent="0.15">
      <c r="A4" t="s">
        <v>341</v>
      </c>
      <c r="B4">
        <v>1</v>
      </c>
    </row>
    <row r="5" spans="1:2" x14ac:dyDescent="0.15">
      <c r="A5" t="s">
        <v>342</v>
      </c>
      <c r="B5">
        <v>1</v>
      </c>
    </row>
    <row r="6" spans="1:2" x14ac:dyDescent="0.15">
      <c r="A6" t="s">
        <v>343</v>
      </c>
      <c r="B6">
        <v>1</v>
      </c>
    </row>
    <row r="7" spans="1:2" x14ac:dyDescent="0.15">
      <c r="A7" t="s">
        <v>344</v>
      </c>
      <c r="B7">
        <v>1</v>
      </c>
    </row>
    <row r="8" spans="1:2" x14ac:dyDescent="0.15">
      <c r="A8" t="s">
        <v>345</v>
      </c>
      <c r="B8">
        <v>1</v>
      </c>
    </row>
    <row r="9" spans="1:2" x14ac:dyDescent="0.15">
      <c r="A9" t="s">
        <v>346</v>
      </c>
      <c r="B9">
        <v>1</v>
      </c>
    </row>
    <row r="10" spans="1:2" x14ac:dyDescent="0.15">
      <c r="A10" t="s">
        <v>347</v>
      </c>
      <c r="B10">
        <v>1</v>
      </c>
    </row>
    <row r="11" spans="1:2" x14ac:dyDescent="0.15">
      <c r="A11" t="s">
        <v>348</v>
      </c>
      <c r="B11">
        <v>1</v>
      </c>
    </row>
    <row r="12" spans="1:2" x14ac:dyDescent="0.15">
      <c r="A12" t="s">
        <v>349</v>
      </c>
      <c r="B12">
        <v>1</v>
      </c>
    </row>
    <row r="13" spans="1:2" x14ac:dyDescent="0.15">
      <c r="A13" t="s">
        <v>350</v>
      </c>
      <c r="B13">
        <v>0</v>
      </c>
    </row>
    <row r="14" spans="1:2" x14ac:dyDescent="0.15">
      <c r="A14" t="s">
        <v>351</v>
      </c>
      <c r="B14">
        <v>500</v>
      </c>
    </row>
    <row r="15" spans="1:2" x14ac:dyDescent="0.15">
      <c r="A15" t="s">
        <v>352</v>
      </c>
      <c r="B15">
        <v>600</v>
      </c>
    </row>
    <row r="16" spans="1:2" x14ac:dyDescent="0.15">
      <c r="A16" t="s">
        <v>353</v>
      </c>
      <c r="B16">
        <v>700</v>
      </c>
    </row>
    <row r="17" spans="1:2" x14ac:dyDescent="0.15">
      <c r="A17" t="s">
        <v>354</v>
      </c>
      <c r="B17">
        <v>5500</v>
      </c>
    </row>
    <row r="18" spans="1:2" x14ac:dyDescent="0.15">
      <c r="A18" t="s">
        <v>355</v>
      </c>
      <c r="B18">
        <v>6000</v>
      </c>
    </row>
    <row r="19" spans="1:2" x14ac:dyDescent="0.15">
      <c r="A19" t="s">
        <v>356</v>
      </c>
      <c r="B19">
        <v>30000</v>
      </c>
    </row>
  </sheetData>
  <phoneticPr fontId="2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workbookViewId="0">
      <selection activeCell="I21" sqref="I21"/>
    </sheetView>
  </sheetViews>
  <sheetFormatPr baseColWidth="12" defaultColWidth="13" defaultRowHeight="21" customHeight="1" x14ac:dyDescent="0.15"/>
  <cols>
    <col min="1" max="1" width="13" style="4"/>
    <col min="2" max="16384" width="13" style="23"/>
  </cols>
  <sheetData>
    <row r="1" spans="1:9" s="4" customFormat="1" ht="21" customHeight="1" x14ac:dyDescent="0.15">
      <c r="A1" s="30" t="s">
        <v>232</v>
      </c>
      <c r="B1" s="32">
        <v>1</v>
      </c>
      <c r="C1" s="32">
        <v>2</v>
      </c>
      <c r="D1" s="32">
        <v>3</v>
      </c>
      <c r="E1" s="32">
        <v>4</v>
      </c>
      <c r="F1" s="32">
        <v>5</v>
      </c>
      <c r="G1" s="32">
        <v>6</v>
      </c>
      <c r="H1" s="32">
        <v>7</v>
      </c>
      <c r="I1" s="32">
        <v>8</v>
      </c>
    </row>
    <row r="2" spans="1:9" s="4" customFormat="1" ht="21" customHeight="1" x14ac:dyDescent="0.15">
      <c r="A2" s="145" t="s">
        <v>233</v>
      </c>
      <c r="B2" s="146"/>
      <c r="C2" s="147"/>
      <c r="D2" s="148" t="s">
        <v>234</v>
      </c>
      <c r="E2" s="148">
        <v>30</v>
      </c>
      <c r="F2" s="148">
        <v>40</v>
      </c>
      <c r="G2" s="148">
        <f>15+F2</f>
        <v>55</v>
      </c>
      <c r="H2" s="147"/>
      <c r="I2" s="147"/>
    </row>
    <row r="3" spans="1:9" s="4" customFormat="1" ht="21" customHeight="1" x14ac:dyDescent="0.15">
      <c r="A3" s="145" t="s">
        <v>235</v>
      </c>
      <c r="B3" s="149"/>
      <c r="C3" s="150"/>
      <c r="D3" s="151" t="s">
        <v>234</v>
      </c>
      <c r="E3" s="151">
        <v>25</v>
      </c>
      <c r="F3" s="151">
        <v>35</v>
      </c>
      <c r="G3" s="148">
        <f t="shared" ref="G3:G4" si="0">15+F3</f>
        <v>50</v>
      </c>
      <c r="H3" s="150"/>
      <c r="I3" s="150"/>
    </row>
    <row r="4" spans="1:9" s="4" customFormat="1" ht="21" customHeight="1" x14ac:dyDescent="0.15">
      <c r="A4" s="145" t="s">
        <v>236</v>
      </c>
      <c r="B4" s="152"/>
      <c r="C4" s="153"/>
      <c r="D4" s="154">
        <v>10</v>
      </c>
      <c r="E4" s="154">
        <v>20</v>
      </c>
      <c r="F4" s="154">
        <v>30</v>
      </c>
      <c r="G4" s="154">
        <f t="shared" si="0"/>
        <v>45</v>
      </c>
      <c r="H4" s="153"/>
      <c r="I4" s="153"/>
    </row>
    <row r="5" spans="1:9" s="4" customFormat="1" ht="21" customHeight="1" x14ac:dyDescent="0.15">
      <c r="A5" s="164" t="s">
        <v>237</v>
      </c>
      <c r="B5" s="159"/>
      <c r="C5" s="160"/>
      <c r="D5" s="28">
        <v>9</v>
      </c>
      <c r="E5" s="28">
        <v>18</v>
      </c>
      <c r="F5" s="28">
        <v>28</v>
      </c>
      <c r="G5" s="39">
        <v>38</v>
      </c>
      <c r="H5" s="160"/>
      <c r="I5" s="160"/>
    </row>
    <row r="6" spans="1:9" s="4" customFormat="1" ht="21" customHeight="1" x14ac:dyDescent="0.15">
      <c r="A6" s="164" t="s">
        <v>238</v>
      </c>
      <c r="B6" s="159"/>
      <c r="C6" s="160"/>
      <c r="D6" s="28">
        <v>7</v>
      </c>
      <c r="E6" s="28">
        <v>16</v>
      </c>
      <c r="F6" s="68" t="s">
        <v>11</v>
      </c>
      <c r="G6" s="68" t="s">
        <v>11</v>
      </c>
      <c r="H6" s="160"/>
      <c r="I6" s="160"/>
    </row>
    <row r="7" spans="1:9" ht="21" customHeight="1" x14ac:dyDescent="0.15">
      <c r="A7" s="73" t="s">
        <v>239</v>
      </c>
      <c r="B7" s="46" t="s">
        <v>11</v>
      </c>
      <c r="C7" s="46" t="s">
        <v>11</v>
      </c>
      <c r="D7" s="39" t="s">
        <v>234</v>
      </c>
      <c r="E7" s="39" t="s">
        <v>234</v>
      </c>
      <c r="F7" s="39" t="s">
        <v>234</v>
      </c>
      <c r="G7" s="39" t="s">
        <v>234</v>
      </c>
      <c r="H7" s="39" t="s">
        <v>234</v>
      </c>
      <c r="I7" s="39" t="s">
        <v>234</v>
      </c>
    </row>
    <row r="8" spans="1:9" ht="21" customHeight="1" x14ac:dyDescent="0.15">
      <c r="A8" s="74" t="s">
        <v>240</v>
      </c>
      <c r="B8" s="46" t="s">
        <v>11</v>
      </c>
      <c r="C8" s="46" t="s">
        <v>11</v>
      </c>
      <c r="D8" s="39" t="s">
        <v>234</v>
      </c>
      <c r="E8" s="39">
        <v>30</v>
      </c>
      <c r="F8" s="39">
        <v>40</v>
      </c>
      <c r="G8" s="39">
        <f>15+F8</f>
        <v>55</v>
      </c>
      <c r="H8" s="39" t="s">
        <v>234</v>
      </c>
      <c r="I8" s="39" t="s">
        <v>234</v>
      </c>
    </row>
    <row r="9" spans="1:9" s="45" customFormat="1" ht="21" customHeight="1" x14ac:dyDescent="0.15">
      <c r="A9" s="75" t="s">
        <v>311</v>
      </c>
      <c r="B9" s="28" t="s">
        <v>11</v>
      </c>
      <c r="C9" s="28" t="s">
        <v>11</v>
      </c>
      <c r="D9" s="105" t="s">
        <v>109</v>
      </c>
      <c r="E9" s="105" t="s">
        <v>109</v>
      </c>
      <c r="F9" s="105">
        <v>38</v>
      </c>
      <c r="G9" s="39">
        <f>15+F9</f>
        <v>53</v>
      </c>
      <c r="H9" s="105" t="s">
        <v>109</v>
      </c>
      <c r="I9" s="105" t="s">
        <v>109</v>
      </c>
    </row>
    <row r="10" spans="1:9" s="45" customFormat="1" ht="21" customHeight="1" x14ac:dyDescent="0.15">
      <c r="A10" s="75" t="s">
        <v>241</v>
      </c>
      <c r="B10" s="28" t="s">
        <v>11</v>
      </c>
      <c r="C10" s="28" t="s">
        <v>11</v>
      </c>
      <c r="D10" s="105" t="s">
        <v>234</v>
      </c>
      <c r="E10" s="105">
        <v>25</v>
      </c>
      <c r="F10" s="105">
        <v>35</v>
      </c>
      <c r="G10" s="39">
        <f t="shared" ref="G10:G11" si="1">15+F10</f>
        <v>50</v>
      </c>
      <c r="H10" s="105" t="s">
        <v>234</v>
      </c>
      <c r="I10" s="105" t="s">
        <v>234</v>
      </c>
    </row>
    <row r="11" spans="1:9" ht="21" customHeight="1" x14ac:dyDescent="0.15">
      <c r="A11" s="75" t="s">
        <v>9</v>
      </c>
      <c r="B11" s="68" t="s">
        <v>11</v>
      </c>
      <c r="C11" s="68" t="s">
        <v>11</v>
      </c>
      <c r="D11" s="28">
        <v>10</v>
      </c>
      <c r="E11" s="28">
        <v>20</v>
      </c>
      <c r="F11" s="28">
        <v>30</v>
      </c>
      <c r="G11" s="39">
        <f t="shared" si="1"/>
        <v>45</v>
      </c>
      <c r="H11" s="68" t="s">
        <v>11</v>
      </c>
      <c r="I11" s="68" t="s">
        <v>11</v>
      </c>
    </row>
    <row r="12" spans="1:9" ht="21" customHeight="1" x14ac:dyDescent="0.15">
      <c r="A12" s="75" t="s">
        <v>242</v>
      </c>
      <c r="B12" s="68" t="s">
        <v>11</v>
      </c>
      <c r="C12" s="68" t="s">
        <v>11</v>
      </c>
      <c r="D12" s="28">
        <v>9</v>
      </c>
      <c r="E12" s="28">
        <v>18</v>
      </c>
      <c r="F12" s="28">
        <v>28</v>
      </c>
      <c r="G12" s="39">
        <v>38</v>
      </c>
      <c r="H12" s="68" t="s">
        <v>11</v>
      </c>
      <c r="I12" s="68" t="s">
        <v>11</v>
      </c>
    </row>
    <row r="13" spans="1:9" ht="21" customHeight="1" x14ac:dyDescent="0.15">
      <c r="A13" s="75" t="s">
        <v>243</v>
      </c>
      <c r="B13" s="68" t="s">
        <v>11</v>
      </c>
      <c r="C13" s="68" t="s">
        <v>11</v>
      </c>
      <c r="D13" s="28">
        <v>7</v>
      </c>
      <c r="E13" s="28">
        <v>16</v>
      </c>
      <c r="F13" s="188">
        <v>26</v>
      </c>
      <c r="G13" s="68" t="s">
        <v>11</v>
      </c>
      <c r="H13" s="68" t="s">
        <v>11</v>
      </c>
      <c r="I13" s="68" t="s">
        <v>11</v>
      </c>
    </row>
    <row r="14" spans="1:9" ht="21" customHeight="1" x14ac:dyDescent="0.15">
      <c r="A14" s="104" t="s">
        <v>244</v>
      </c>
      <c r="B14" s="68" t="s">
        <v>11</v>
      </c>
      <c r="C14" s="68" t="s">
        <v>11</v>
      </c>
      <c r="D14" s="28">
        <v>8</v>
      </c>
      <c r="E14" s="28">
        <v>17</v>
      </c>
      <c r="F14" s="28">
        <v>26</v>
      </c>
      <c r="G14" s="68" t="s">
        <v>11</v>
      </c>
      <c r="H14" s="68" t="s">
        <v>11</v>
      </c>
      <c r="I14" s="68" t="s">
        <v>11</v>
      </c>
    </row>
    <row r="15" spans="1:9" ht="21" customHeight="1" x14ac:dyDescent="0.15">
      <c r="A15" s="75" t="s">
        <v>245</v>
      </c>
      <c r="B15" s="68" t="s">
        <v>11</v>
      </c>
      <c r="C15" s="68" t="s">
        <v>11</v>
      </c>
      <c r="D15" s="28">
        <v>8</v>
      </c>
      <c r="E15" s="28">
        <v>17</v>
      </c>
      <c r="F15" s="28">
        <v>26</v>
      </c>
      <c r="G15" s="68" t="s">
        <v>11</v>
      </c>
      <c r="H15" s="68" t="s">
        <v>11</v>
      </c>
      <c r="I15" s="68" t="s">
        <v>11</v>
      </c>
    </row>
    <row r="16" spans="1:9" ht="21" customHeight="1" x14ac:dyDescent="0.15">
      <c r="A16" s="75" t="s">
        <v>246</v>
      </c>
      <c r="B16" s="68" t="s">
        <v>11</v>
      </c>
      <c r="C16" s="68" t="s">
        <v>11</v>
      </c>
      <c r="D16" s="28">
        <v>6</v>
      </c>
      <c r="E16" s="28">
        <v>14</v>
      </c>
      <c r="F16" s="68" t="s">
        <v>11</v>
      </c>
      <c r="G16" s="68" t="s">
        <v>11</v>
      </c>
      <c r="H16" s="68" t="s">
        <v>11</v>
      </c>
      <c r="I16" s="68" t="s">
        <v>11</v>
      </c>
    </row>
    <row r="17" spans="1:9" ht="21" customHeight="1" x14ac:dyDescent="0.15">
      <c r="A17" s="75" t="s">
        <v>247</v>
      </c>
      <c r="B17" s="68" t="s">
        <v>11</v>
      </c>
      <c r="C17" s="28">
        <v>4</v>
      </c>
      <c r="D17" s="28">
        <v>6</v>
      </c>
      <c r="E17" s="28">
        <v>14</v>
      </c>
      <c r="F17" s="68" t="s">
        <v>11</v>
      </c>
      <c r="G17" s="68" t="s">
        <v>11</v>
      </c>
      <c r="H17" s="68" t="s">
        <v>11</v>
      </c>
      <c r="I17" s="68" t="s">
        <v>11</v>
      </c>
    </row>
    <row r="18" spans="1:9" ht="21" customHeight="1" x14ac:dyDescent="0.15">
      <c r="A18" s="75" t="s">
        <v>8</v>
      </c>
      <c r="B18" s="28">
        <v>2</v>
      </c>
      <c r="C18" s="28">
        <v>4</v>
      </c>
      <c r="D18" s="28">
        <v>6</v>
      </c>
      <c r="E18" s="68" t="s">
        <v>11</v>
      </c>
      <c r="F18" s="68" t="s">
        <v>11</v>
      </c>
      <c r="G18" s="68" t="s">
        <v>11</v>
      </c>
      <c r="H18" s="68" t="s">
        <v>11</v>
      </c>
      <c r="I18" s="68" t="s">
        <v>11</v>
      </c>
    </row>
    <row r="19" spans="1:9" ht="21" customHeight="1" x14ac:dyDescent="0.15">
      <c r="A19" s="76" t="s">
        <v>7</v>
      </c>
      <c r="B19" s="31">
        <v>1</v>
      </c>
      <c r="C19" s="31">
        <v>2</v>
      </c>
      <c r="D19" s="69" t="s">
        <v>11</v>
      </c>
      <c r="E19" s="69" t="s">
        <v>11</v>
      </c>
      <c r="F19" s="69" t="s">
        <v>11</v>
      </c>
      <c r="G19" s="69" t="s">
        <v>11</v>
      </c>
      <c r="H19" s="69" t="s">
        <v>11</v>
      </c>
      <c r="I19" s="69" t="s">
        <v>11</v>
      </c>
    </row>
    <row r="20" spans="1:9" ht="21" customHeight="1" x14ac:dyDescent="0.15">
      <c r="A20" s="77" t="s">
        <v>248</v>
      </c>
      <c r="B20" s="26">
        <v>1</v>
      </c>
      <c r="C20" s="26">
        <v>1</v>
      </c>
      <c r="D20" s="69" t="s">
        <v>11</v>
      </c>
      <c r="E20" s="69" t="s">
        <v>11</v>
      </c>
      <c r="F20" s="69" t="s">
        <v>11</v>
      </c>
      <c r="G20" s="69" t="s">
        <v>11</v>
      </c>
      <c r="H20" s="69" t="s">
        <v>11</v>
      </c>
      <c r="I20" s="69" t="s">
        <v>11</v>
      </c>
    </row>
    <row r="21" spans="1:9" ht="21" customHeight="1" x14ac:dyDescent="0.15">
      <c r="A21" s="37" t="s">
        <v>249</v>
      </c>
      <c r="B21" s="36">
        <v>99</v>
      </c>
      <c r="C21" s="36">
        <v>99</v>
      </c>
      <c r="D21" s="36">
        <v>99</v>
      </c>
      <c r="E21" s="36">
        <v>99</v>
      </c>
      <c r="F21" s="36">
        <v>99</v>
      </c>
      <c r="G21" s="36">
        <v>99</v>
      </c>
      <c r="H21" s="36">
        <v>99</v>
      </c>
      <c r="I21" s="36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J17" sqref="J17"/>
    </sheetView>
  </sheetViews>
  <sheetFormatPr baseColWidth="12" defaultColWidth="13" defaultRowHeight="21" customHeight="1" x14ac:dyDescent="0.15"/>
  <cols>
    <col min="1" max="1" width="13" style="4"/>
    <col min="2" max="16384" width="13" style="23"/>
  </cols>
  <sheetData>
    <row r="1" spans="1:9" ht="21" customHeight="1" x14ac:dyDescent="0.15">
      <c r="A1" s="32" t="s">
        <v>10</v>
      </c>
      <c r="B1" s="22">
        <v>1</v>
      </c>
      <c r="C1" s="22">
        <v>2</v>
      </c>
      <c r="D1" s="22">
        <v>3</v>
      </c>
      <c r="E1" s="22">
        <v>4</v>
      </c>
      <c r="F1" s="22">
        <v>5</v>
      </c>
      <c r="G1" s="22">
        <v>6</v>
      </c>
      <c r="H1" s="22">
        <v>7</v>
      </c>
      <c r="I1" s="22">
        <v>8</v>
      </c>
    </row>
    <row r="2" spans="1:9" s="4" customFormat="1" ht="21" customHeight="1" x14ac:dyDescent="0.15">
      <c r="A2" s="145" t="s">
        <v>233</v>
      </c>
      <c r="B2" s="161"/>
      <c r="C2" s="147"/>
      <c r="D2" s="155" t="s">
        <v>109</v>
      </c>
      <c r="E2" s="155">
        <v>60</v>
      </c>
      <c r="F2" s="155">
        <v>80</v>
      </c>
      <c r="G2" s="155">
        <v>99</v>
      </c>
      <c r="H2" s="147"/>
      <c r="I2" s="147"/>
    </row>
    <row r="3" spans="1:9" s="4" customFormat="1" ht="21" customHeight="1" x14ac:dyDescent="0.15">
      <c r="A3" s="145" t="s">
        <v>235</v>
      </c>
      <c r="B3" s="162"/>
      <c r="C3" s="150"/>
      <c r="D3" s="155" t="s">
        <v>109</v>
      </c>
      <c r="E3" s="155">
        <v>60</v>
      </c>
      <c r="F3" s="155">
        <v>80</v>
      </c>
      <c r="G3" s="155">
        <v>99</v>
      </c>
      <c r="H3" s="150"/>
      <c r="I3" s="150"/>
    </row>
    <row r="4" spans="1:9" s="4" customFormat="1" ht="21" customHeight="1" x14ac:dyDescent="0.15">
      <c r="A4" s="145" t="s">
        <v>229</v>
      </c>
      <c r="B4" s="163"/>
      <c r="C4" s="153"/>
      <c r="D4" s="155">
        <v>40</v>
      </c>
      <c r="E4" s="155">
        <v>60</v>
      </c>
      <c r="F4" s="155">
        <v>80</v>
      </c>
      <c r="G4" s="155">
        <v>99</v>
      </c>
      <c r="H4" s="153"/>
      <c r="I4" s="153"/>
    </row>
    <row r="5" spans="1:9" s="4" customFormat="1" ht="21" customHeight="1" x14ac:dyDescent="0.15">
      <c r="A5" s="164" t="s">
        <v>237</v>
      </c>
      <c r="B5" s="159"/>
      <c r="C5" s="160"/>
      <c r="D5" s="155">
        <v>40</v>
      </c>
      <c r="E5" s="155">
        <v>60</v>
      </c>
      <c r="F5" s="155">
        <v>80</v>
      </c>
      <c r="G5" s="155">
        <v>99</v>
      </c>
      <c r="H5" s="160"/>
      <c r="I5" s="160"/>
    </row>
    <row r="6" spans="1:9" s="4" customFormat="1" ht="21" customHeight="1" x14ac:dyDescent="0.15">
      <c r="A6" s="164" t="s">
        <v>238</v>
      </c>
      <c r="B6" s="159"/>
      <c r="C6" s="160"/>
      <c r="D6" s="155">
        <v>40</v>
      </c>
      <c r="E6" s="155">
        <v>60</v>
      </c>
      <c r="F6" s="155" t="s">
        <v>109</v>
      </c>
      <c r="G6" s="155" t="s">
        <v>109</v>
      </c>
      <c r="H6" s="160"/>
      <c r="I6" s="160"/>
    </row>
    <row r="7" spans="1:9" ht="21" customHeight="1" x14ac:dyDescent="0.15">
      <c r="A7" s="73" t="s">
        <v>205</v>
      </c>
      <c r="B7" s="40" t="s">
        <v>109</v>
      </c>
      <c r="C7" s="40" t="s">
        <v>109</v>
      </c>
      <c r="D7" s="40" t="s">
        <v>109</v>
      </c>
      <c r="E7" s="40" t="s">
        <v>109</v>
      </c>
      <c r="F7" s="40" t="s">
        <v>109</v>
      </c>
      <c r="G7" s="40" t="s">
        <v>109</v>
      </c>
      <c r="H7" s="40" t="s">
        <v>109</v>
      </c>
      <c r="I7" s="40" t="s">
        <v>109</v>
      </c>
    </row>
    <row r="8" spans="1:9" ht="21" customHeight="1" x14ac:dyDescent="0.15">
      <c r="A8" s="74" t="s">
        <v>240</v>
      </c>
      <c r="B8" s="40" t="s">
        <v>109</v>
      </c>
      <c r="C8" s="40" t="s">
        <v>109</v>
      </c>
      <c r="D8" s="40" t="s">
        <v>109</v>
      </c>
      <c r="E8" s="40">
        <v>60</v>
      </c>
      <c r="F8" s="40">
        <v>80</v>
      </c>
      <c r="G8" s="40">
        <v>99</v>
      </c>
      <c r="H8" s="40" t="s">
        <v>109</v>
      </c>
      <c r="I8" s="40" t="s">
        <v>109</v>
      </c>
    </row>
    <row r="9" spans="1:9" s="45" customFormat="1" ht="21" customHeight="1" x14ac:dyDescent="0.15">
      <c r="A9" s="75" t="s">
        <v>312</v>
      </c>
      <c r="B9" s="65" t="s">
        <v>109</v>
      </c>
      <c r="C9" s="65" t="s">
        <v>109</v>
      </c>
      <c r="D9" s="65" t="s">
        <v>109</v>
      </c>
      <c r="E9" s="65" t="s">
        <v>109</v>
      </c>
      <c r="F9" s="65">
        <v>80</v>
      </c>
      <c r="G9" s="65">
        <v>99</v>
      </c>
      <c r="H9" s="65" t="s">
        <v>109</v>
      </c>
      <c r="I9" s="65" t="s">
        <v>109</v>
      </c>
    </row>
    <row r="10" spans="1:9" s="45" customFormat="1" ht="21" customHeight="1" x14ac:dyDescent="0.15">
      <c r="A10" s="75" t="s">
        <v>241</v>
      </c>
      <c r="B10" s="65" t="s">
        <v>109</v>
      </c>
      <c r="C10" s="65" t="s">
        <v>109</v>
      </c>
      <c r="D10" s="65" t="s">
        <v>109</v>
      </c>
      <c r="E10" s="65">
        <v>60</v>
      </c>
      <c r="F10" s="65">
        <v>80</v>
      </c>
      <c r="G10" s="65">
        <v>99</v>
      </c>
      <c r="H10" s="65" t="s">
        <v>109</v>
      </c>
      <c r="I10" s="65" t="s">
        <v>109</v>
      </c>
    </row>
    <row r="11" spans="1:9" ht="21" customHeight="1" x14ac:dyDescent="0.15">
      <c r="A11" s="75" t="s">
        <v>9</v>
      </c>
      <c r="B11" s="70" t="s">
        <v>109</v>
      </c>
      <c r="C11" s="70" t="s">
        <v>109</v>
      </c>
      <c r="D11" s="36">
        <v>40</v>
      </c>
      <c r="E11" s="36">
        <v>60</v>
      </c>
      <c r="F11" s="36">
        <v>80</v>
      </c>
      <c r="G11" s="40">
        <v>99</v>
      </c>
      <c r="H11" s="70" t="s">
        <v>109</v>
      </c>
      <c r="I11" s="70" t="s">
        <v>109</v>
      </c>
    </row>
    <row r="12" spans="1:9" ht="21" customHeight="1" x14ac:dyDescent="0.15">
      <c r="A12" s="75" t="s">
        <v>208</v>
      </c>
      <c r="B12" s="70" t="s">
        <v>109</v>
      </c>
      <c r="C12" s="70" t="s">
        <v>109</v>
      </c>
      <c r="D12" s="36">
        <v>40</v>
      </c>
      <c r="E12" s="36">
        <v>60</v>
      </c>
      <c r="F12" s="36">
        <v>80</v>
      </c>
      <c r="G12" s="65">
        <v>99</v>
      </c>
      <c r="H12" s="70" t="s">
        <v>109</v>
      </c>
      <c r="I12" s="70" t="s">
        <v>109</v>
      </c>
    </row>
    <row r="13" spans="1:9" ht="21" customHeight="1" x14ac:dyDescent="0.15">
      <c r="A13" s="75" t="s">
        <v>204</v>
      </c>
      <c r="B13" s="70" t="s">
        <v>109</v>
      </c>
      <c r="C13" s="70" t="s">
        <v>109</v>
      </c>
      <c r="D13" s="36">
        <v>40</v>
      </c>
      <c r="E13" s="36">
        <v>60</v>
      </c>
      <c r="F13" s="189">
        <v>80</v>
      </c>
      <c r="G13" s="70" t="s">
        <v>109</v>
      </c>
      <c r="H13" s="70" t="s">
        <v>109</v>
      </c>
      <c r="I13" s="70" t="s">
        <v>109</v>
      </c>
    </row>
    <row r="14" spans="1:9" ht="21" customHeight="1" x14ac:dyDescent="0.15">
      <c r="A14" s="104" t="s">
        <v>244</v>
      </c>
      <c r="B14" s="70" t="s">
        <v>109</v>
      </c>
      <c r="C14" s="70" t="s">
        <v>109</v>
      </c>
      <c r="D14" s="36">
        <v>40</v>
      </c>
      <c r="E14" s="36">
        <v>60</v>
      </c>
      <c r="F14" s="36">
        <v>80</v>
      </c>
      <c r="G14" s="70" t="s">
        <v>109</v>
      </c>
      <c r="H14" s="70" t="s">
        <v>109</v>
      </c>
      <c r="I14" s="70" t="s">
        <v>109</v>
      </c>
    </row>
    <row r="15" spans="1:9" ht="21" customHeight="1" x14ac:dyDescent="0.15">
      <c r="A15" s="75" t="s">
        <v>245</v>
      </c>
      <c r="B15" s="70" t="s">
        <v>109</v>
      </c>
      <c r="C15" s="70" t="s">
        <v>109</v>
      </c>
      <c r="D15" s="36">
        <v>40</v>
      </c>
      <c r="E15" s="36">
        <v>60</v>
      </c>
      <c r="F15" s="36">
        <v>80</v>
      </c>
      <c r="G15" s="70" t="s">
        <v>109</v>
      </c>
      <c r="H15" s="70" t="s">
        <v>109</v>
      </c>
      <c r="I15" s="70" t="s">
        <v>109</v>
      </c>
    </row>
    <row r="16" spans="1:9" ht="21" customHeight="1" x14ac:dyDescent="0.15">
      <c r="A16" s="75" t="s">
        <v>105</v>
      </c>
      <c r="B16" s="70" t="s">
        <v>109</v>
      </c>
      <c r="C16" s="36">
        <v>30</v>
      </c>
      <c r="D16" s="36">
        <v>40</v>
      </c>
      <c r="E16" s="36">
        <v>60</v>
      </c>
      <c r="F16" s="70" t="s">
        <v>109</v>
      </c>
      <c r="G16" s="70" t="s">
        <v>109</v>
      </c>
      <c r="H16" s="70" t="s">
        <v>109</v>
      </c>
      <c r="I16" s="70" t="s">
        <v>109</v>
      </c>
    </row>
    <row r="17" spans="1:9" ht="21" customHeight="1" x14ac:dyDescent="0.15">
      <c r="A17" s="75" t="s">
        <v>247</v>
      </c>
      <c r="B17" s="70" t="s">
        <v>109</v>
      </c>
      <c r="C17" s="36">
        <v>30</v>
      </c>
      <c r="D17" s="36">
        <v>40</v>
      </c>
      <c r="E17" s="36">
        <v>60</v>
      </c>
      <c r="F17" s="70" t="s">
        <v>109</v>
      </c>
      <c r="G17" s="70" t="s">
        <v>109</v>
      </c>
      <c r="H17" s="70" t="s">
        <v>109</v>
      </c>
      <c r="I17" s="70" t="s">
        <v>109</v>
      </c>
    </row>
    <row r="18" spans="1:9" ht="21" customHeight="1" x14ac:dyDescent="0.15">
      <c r="A18" s="75" t="s">
        <v>8</v>
      </c>
      <c r="B18" s="36">
        <v>15</v>
      </c>
      <c r="C18" s="36">
        <v>30</v>
      </c>
      <c r="D18" s="36">
        <v>40</v>
      </c>
      <c r="E18" s="70" t="s">
        <v>109</v>
      </c>
      <c r="F18" s="70" t="s">
        <v>109</v>
      </c>
      <c r="G18" s="70" t="s">
        <v>109</v>
      </c>
      <c r="H18" s="70" t="s">
        <v>109</v>
      </c>
      <c r="I18" s="70" t="s">
        <v>109</v>
      </c>
    </row>
    <row r="19" spans="1:9" ht="21" customHeight="1" x14ac:dyDescent="0.15">
      <c r="A19" s="76" t="s">
        <v>7</v>
      </c>
      <c r="B19" s="36">
        <v>15</v>
      </c>
      <c r="C19" s="36">
        <v>30</v>
      </c>
      <c r="D19" s="36">
        <v>40</v>
      </c>
      <c r="E19" s="70" t="s">
        <v>214</v>
      </c>
      <c r="F19" s="70" t="s">
        <v>214</v>
      </c>
      <c r="G19" s="70" t="s">
        <v>214</v>
      </c>
      <c r="H19" s="70" t="s">
        <v>214</v>
      </c>
      <c r="I19" s="70" t="s">
        <v>214</v>
      </c>
    </row>
    <row r="20" spans="1:9" ht="21" customHeight="1" x14ac:dyDescent="0.15">
      <c r="A20" s="77" t="s">
        <v>248</v>
      </c>
      <c r="B20" s="36">
        <v>10</v>
      </c>
      <c r="C20" s="36">
        <v>20</v>
      </c>
      <c r="D20" s="70" t="s">
        <v>214</v>
      </c>
      <c r="E20" s="70" t="s">
        <v>214</v>
      </c>
      <c r="F20" s="70" t="s">
        <v>214</v>
      </c>
      <c r="G20" s="70" t="s">
        <v>214</v>
      </c>
      <c r="H20" s="70" t="s">
        <v>214</v>
      </c>
      <c r="I20" s="70" t="s">
        <v>214</v>
      </c>
    </row>
    <row r="21" spans="1:9" ht="21" customHeight="1" x14ac:dyDescent="0.15">
      <c r="A21" s="37" t="s">
        <v>249</v>
      </c>
      <c r="B21" s="36">
        <v>1</v>
      </c>
      <c r="C21" s="36">
        <v>1</v>
      </c>
      <c r="D21" s="36">
        <v>1</v>
      </c>
      <c r="E21" s="36">
        <v>1</v>
      </c>
      <c r="F21" s="36">
        <v>1</v>
      </c>
      <c r="G21" s="36">
        <v>1</v>
      </c>
      <c r="H21" s="36">
        <v>1</v>
      </c>
      <c r="I21" s="36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6384" width="13" style="23"/>
  </cols>
  <sheetData>
    <row r="1" spans="1:11" ht="21" customHeight="1" x14ac:dyDescent="0.15">
      <c r="A1" s="48" t="s">
        <v>10</v>
      </c>
      <c r="B1" s="49">
        <v>1</v>
      </c>
      <c r="C1" s="49">
        <v>2</v>
      </c>
      <c r="D1" s="49">
        <v>3</v>
      </c>
      <c r="E1" s="49">
        <v>4</v>
      </c>
      <c r="F1" s="49">
        <v>5</v>
      </c>
      <c r="G1" s="49">
        <v>6</v>
      </c>
      <c r="H1" s="49">
        <v>7</v>
      </c>
      <c r="I1" s="49">
        <v>8</v>
      </c>
    </row>
    <row r="2" spans="1:11" s="4" customFormat="1" ht="21" customHeight="1" x14ac:dyDescent="0.15">
      <c r="A2" s="145" t="s">
        <v>233</v>
      </c>
      <c r="B2" s="146"/>
      <c r="C2" s="147"/>
      <c r="D2" s="155" t="s">
        <v>109</v>
      </c>
      <c r="E2" s="156" t="s">
        <v>59</v>
      </c>
      <c r="F2" s="156" t="s">
        <v>59</v>
      </c>
      <c r="G2" s="156" t="s">
        <v>250</v>
      </c>
      <c r="H2" s="147"/>
      <c r="I2" s="147"/>
    </row>
    <row r="3" spans="1:11" s="4" customFormat="1" ht="21" customHeight="1" x14ac:dyDescent="0.15">
      <c r="A3" s="145" t="s">
        <v>235</v>
      </c>
      <c r="B3" s="149"/>
      <c r="C3" s="150"/>
      <c r="D3" s="156" t="s">
        <v>59</v>
      </c>
      <c r="E3" s="156" t="s">
        <v>59</v>
      </c>
      <c r="F3" s="156" t="s">
        <v>59</v>
      </c>
      <c r="G3" s="156" t="s">
        <v>228</v>
      </c>
      <c r="H3" s="150"/>
      <c r="I3" s="150"/>
    </row>
    <row r="4" spans="1:11" s="4" customFormat="1" ht="21" customHeight="1" x14ac:dyDescent="0.15">
      <c r="A4" s="145" t="s">
        <v>229</v>
      </c>
      <c r="B4" s="152"/>
      <c r="C4" s="153"/>
      <c r="D4" s="157" t="s">
        <v>59</v>
      </c>
      <c r="E4" s="157" t="s">
        <v>59</v>
      </c>
      <c r="F4" s="157" t="s">
        <v>59</v>
      </c>
      <c r="G4" s="156" t="s">
        <v>228</v>
      </c>
      <c r="H4" s="153"/>
      <c r="I4" s="153"/>
    </row>
    <row r="5" spans="1:11" s="4" customFormat="1" ht="21" customHeight="1" x14ac:dyDescent="0.15">
      <c r="A5" s="164" t="s">
        <v>237</v>
      </c>
      <c r="B5" s="159"/>
      <c r="C5" s="160"/>
      <c r="D5" s="157" t="s">
        <v>59</v>
      </c>
      <c r="E5" s="157" t="s">
        <v>59</v>
      </c>
      <c r="F5" s="157" t="s">
        <v>59</v>
      </c>
      <c r="G5" s="156" t="s">
        <v>218</v>
      </c>
      <c r="H5" s="160"/>
      <c r="I5" s="160"/>
    </row>
    <row r="6" spans="1:11" s="4" customFormat="1" ht="21" customHeight="1" x14ac:dyDescent="0.15">
      <c r="A6" s="164" t="s">
        <v>238</v>
      </c>
      <c r="B6" s="159"/>
      <c r="C6" s="160"/>
      <c r="D6" s="165" t="s">
        <v>60</v>
      </c>
      <c r="E6" s="165" t="s">
        <v>60</v>
      </c>
      <c r="F6" s="155" t="s">
        <v>109</v>
      </c>
      <c r="G6" s="155" t="s">
        <v>109</v>
      </c>
      <c r="H6" s="160"/>
      <c r="I6" s="160"/>
    </row>
    <row r="7" spans="1:11" ht="21" customHeight="1" x14ac:dyDescent="0.15">
      <c r="A7" s="73" t="s">
        <v>205</v>
      </c>
      <c r="B7" s="40" t="s">
        <v>109</v>
      </c>
      <c r="C7" s="40" t="s">
        <v>109</v>
      </c>
      <c r="D7" s="40" t="s">
        <v>109</v>
      </c>
      <c r="E7" s="40" t="s">
        <v>109</v>
      </c>
      <c r="F7" s="40" t="s">
        <v>109</v>
      </c>
      <c r="G7" s="40" t="s">
        <v>109</v>
      </c>
      <c r="H7" s="40" t="s">
        <v>109</v>
      </c>
      <c r="I7" s="40" t="s">
        <v>109</v>
      </c>
    </row>
    <row r="8" spans="1:11" ht="21" customHeight="1" x14ac:dyDescent="0.15">
      <c r="A8" s="74" t="s">
        <v>240</v>
      </c>
      <c r="B8" s="40" t="s">
        <v>109</v>
      </c>
      <c r="C8" s="40" t="s">
        <v>109</v>
      </c>
      <c r="D8" s="40" t="s">
        <v>215</v>
      </c>
      <c r="E8" s="51" t="s">
        <v>115</v>
      </c>
      <c r="F8" s="51" t="s">
        <v>115</v>
      </c>
      <c r="G8" s="51" t="s">
        <v>216</v>
      </c>
      <c r="H8" s="40" t="s">
        <v>215</v>
      </c>
      <c r="I8" s="40" t="s">
        <v>109</v>
      </c>
    </row>
    <row r="9" spans="1:11" s="45" customFormat="1" ht="21" customHeight="1" x14ac:dyDescent="0.15">
      <c r="A9" s="75" t="s">
        <v>311</v>
      </c>
      <c r="B9" s="65" t="s">
        <v>109</v>
      </c>
      <c r="C9" s="65" t="s">
        <v>109</v>
      </c>
      <c r="D9" s="65" t="s">
        <v>109</v>
      </c>
      <c r="E9" s="65" t="s">
        <v>109</v>
      </c>
      <c r="F9" s="51" t="s">
        <v>59</v>
      </c>
      <c r="G9" s="51" t="s">
        <v>115</v>
      </c>
      <c r="H9" s="65" t="s">
        <v>109</v>
      </c>
      <c r="I9" s="65" t="s">
        <v>109</v>
      </c>
    </row>
    <row r="10" spans="1:11" s="45" customFormat="1" ht="21" customHeight="1" x14ac:dyDescent="0.15">
      <c r="A10" s="75" t="s">
        <v>241</v>
      </c>
      <c r="B10" s="65" t="s">
        <v>109</v>
      </c>
      <c r="C10" s="65" t="s">
        <v>109</v>
      </c>
      <c r="D10" s="65" t="s">
        <v>109</v>
      </c>
      <c r="E10" s="51" t="s">
        <v>59</v>
      </c>
      <c r="F10" s="51" t="s">
        <v>59</v>
      </c>
      <c r="G10" s="51" t="s">
        <v>115</v>
      </c>
      <c r="H10" s="65" t="s">
        <v>217</v>
      </c>
      <c r="I10" s="65" t="s">
        <v>217</v>
      </c>
    </row>
    <row r="11" spans="1:11" ht="21" customHeight="1" x14ac:dyDescent="0.15">
      <c r="A11" s="75" t="s">
        <v>9</v>
      </c>
      <c r="B11" s="70" t="s">
        <v>109</v>
      </c>
      <c r="C11" s="70" t="s">
        <v>109</v>
      </c>
      <c r="D11" s="51" t="s">
        <v>59</v>
      </c>
      <c r="E11" s="51" t="s">
        <v>59</v>
      </c>
      <c r="F11" s="51" t="s">
        <v>59</v>
      </c>
      <c r="G11" s="51" t="s">
        <v>218</v>
      </c>
      <c r="H11" s="70" t="s">
        <v>217</v>
      </c>
      <c r="I11" s="70" t="s">
        <v>217</v>
      </c>
      <c r="K11" s="27" t="s">
        <v>12</v>
      </c>
    </row>
    <row r="12" spans="1:11" ht="21" customHeight="1" x14ac:dyDescent="0.15">
      <c r="A12" s="75" t="s">
        <v>208</v>
      </c>
      <c r="B12" s="70" t="s">
        <v>109</v>
      </c>
      <c r="C12" s="70" t="s">
        <v>109</v>
      </c>
      <c r="D12" s="52" t="s">
        <v>59</v>
      </c>
      <c r="E12" s="52" t="s">
        <v>59</v>
      </c>
      <c r="F12" s="52" t="s">
        <v>59</v>
      </c>
      <c r="G12" s="51" t="s">
        <v>218</v>
      </c>
      <c r="H12" s="70" t="s">
        <v>217</v>
      </c>
      <c r="I12" s="70" t="s">
        <v>217</v>
      </c>
      <c r="K12" s="29" t="s">
        <v>13</v>
      </c>
    </row>
    <row r="13" spans="1:11" ht="21" customHeight="1" x14ac:dyDescent="0.15">
      <c r="A13" s="75" t="s">
        <v>204</v>
      </c>
      <c r="B13" s="70" t="s">
        <v>109</v>
      </c>
      <c r="C13" s="70" t="s">
        <v>109</v>
      </c>
      <c r="D13" s="53" t="s">
        <v>60</v>
      </c>
      <c r="E13" s="53" t="s">
        <v>60</v>
      </c>
      <c r="F13" s="190" t="s">
        <v>59</v>
      </c>
      <c r="G13" s="70" t="s">
        <v>109</v>
      </c>
      <c r="H13" s="70" t="s">
        <v>109</v>
      </c>
      <c r="I13" s="70" t="s">
        <v>109</v>
      </c>
      <c r="K13" s="71" t="s">
        <v>35</v>
      </c>
    </row>
    <row r="14" spans="1:11" ht="21" customHeight="1" x14ac:dyDescent="0.15">
      <c r="A14" s="104" t="s">
        <v>244</v>
      </c>
      <c r="B14" s="70" t="s">
        <v>109</v>
      </c>
      <c r="C14" s="70" t="s">
        <v>109</v>
      </c>
      <c r="D14" s="54" t="s">
        <v>59</v>
      </c>
      <c r="E14" s="54" t="s">
        <v>59</v>
      </c>
      <c r="F14" s="54" t="s">
        <v>59</v>
      </c>
      <c r="G14" s="70" t="s">
        <v>109</v>
      </c>
      <c r="H14" s="70" t="s">
        <v>109</v>
      </c>
      <c r="I14" s="70" t="s">
        <v>109</v>
      </c>
      <c r="K14" s="72"/>
    </row>
    <row r="15" spans="1:11" ht="21" customHeight="1" x14ac:dyDescent="0.15">
      <c r="A15" s="75" t="s">
        <v>245</v>
      </c>
      <c r="B15" s="70" t="s">
        <v>109</v>
      </c>
      <c r="C15" s="70" t="s">
        <v>109</v>
      </c>
      <c r="D15" s="54" t="s">
        <v>59</v>
      </c>
      <c r="E15" s="54" t="s">
        <v>59</v>
      </c>
      <c r="F15" s="54" t="s">
        <v>59</v>
      </c>
      <c r="G15" s="70" t="s">
        <v>109</v>
      </c>
      <c r="H15" s="70" t="s">
        <v>109</v>
      </c>
      <c r="I15" s="70" t="s">
        <v>109</v>
      </c>
    </row>
    <row r="16" spans="1:11" ht="21" customHeight="1" x14ac:dyDescent="0.15">
      <c r="A16" s="75" t="s">
        <v>105</v>
      </c>
      <c r="B16" s="70" t="s">
        <v>109</v>
      </c>
      <c r="C16" s="70" t="s">
        <v>109</v>
      </c>
      <c r="D16" s="54" t="s">
        <v>60</v>
      </c>
      <c r="E16" s="54" t="s">
        <v>60</v>
      </c>
      <c r="F16" s="70" t="s">
        <v>109</v>
      </c>
      <c r="G16" s="70" t="s">
        <v>109</v>
      </c>
      <c r="H16" s="70" t="s">
        <v>109</v>
      </c>
      <c r="I16" s="70" t="s">
        <v>109</v>
      </c>
    </row>
    <row r="17" spans="1:9" ht="21" customHeight="1" x14ac:dyDescent="0.15">
      <c r="A17" s="75" t="s">
        <v>247</v>
      </c>
      <c r="B17" s="70" t="s">
        <v>109</v>
      </c>
      <c r="C17" s="54" t="s">
        <v>60</v>
      </c>
      <c r="D17" s="54" t="s">
        <v>60</v>
      </c>
      <c r="E17" s="54" t="s">
        <v>60</v>
      </c>
      <c r="F17" s="70" t="s">
        <v>109</v>
      </c>
      <c r="G17" s="70" t="s">
        <v>109</v>
      </c>
      <c r="H17" s="70" t="s">
        <v>109</v>
      </c>
      <c r="I17" s="70" t="s">
        <v>109</v>
      </c>
    </row>
    <row r="18" spans="1:9" ht="21" customHeight="1" x14ac:dyDescent="0.15">
      <c r="A18" s="75" t="s">
        <v>8</v>
      </c>
      <c r="B18" s="55" t="s">
        <v>61</v>
      </c>
      <c r="C18" s="55" t="s">
        <v>61</v>
      </c>
      <c r="D18" s="55" t="s">
        <v>61</v>
      </c>
      <c r="E18" s="70" t="s">
        <v>109</v>
      </c>
      <c r="F18" s="70" t="s">
        <v>109</v>
      </c>
      <c r="G18" s="70" t="s">
        <v>109</v>
      </c>
      <c r="H18" s="70" t="s">
        <v>109</v>
      </c>
      <c r="I18" s="70" t="s">
        <v>109</v>
      </c>
    </row>
    <row r="19" spans="1:9" ht="21" customHeight="1" x14ac:dyDescent="0.15">
      <c r="A19" s="76" t="s">
        <v>7</v>
      </c>
      <c r="B19" s="50" t="s">
        <v>62</v>
      </c>
      <c r="C19" s="50" t="s">
        <v>62</v>
      </c>
      <c r="D19" s="70" t="s">
        <v>109</v>
      </c>
      <c r="E19" s="70" t="s">
        <v>109</v>
      </c>
      <c r="F19" s="70" t="s">
        <v>109</v>
      </c>
      <c r="G19" s="70" t="s">
        <v>109</v>
      </c>
      <c r="H19" s="70" t="s">
        <v>109</v>
      </c>
      <c r="I19" s="70" t="s">
        <v>109</v>
      </c>
    </row>
    <row r="20" spans="1:9" ht="21" customHeight="1" x14ac:dyDescent="0.15">
      <c r="A20" s="77" t="s">
        <v>248</v>
      </c>
      <c r="B20" s="52" t="s">
        <v>63</v>
      </c>
      <c r="C20" s="52" t="s">
        <v>63</v>
      </c>
      <c r="D20" s="70" t="s">
        <v>109</v>
      </c>
      <c r="E20" s="70" t="s">
        <v>109</v>
      </c>
      <c r="F20" s="70" t="s">
        <v>109</v>
      </c>
      <c r="G20" s="70" t="s">
        <v>109</v>
      </c>
      <c r="H20" s="70" t="s">
        <v>109</v>
      </c>
      <c r="I20" s="70" t="s">
        <v>109</v>
      </c>
    </row>
    <row r="21" spans="1:9" ht="21" customHeight="1" x14ac:dyDescent="0.15">
      <c r="A21" s="37" t="s">
        <v>249</v>
      </c>
      <c r="B21" s="78" t="s">
        <v>47</v>
      </c>
      <c r="C21" s="78" t="s">
        <v>47</v>
      </c>
      <c r="D21" s="78" t="s">
        <v>47</v>
      </c>
      <c r="E21" s="78" t="s">
        <v>47</v>
      </c>
      <c r="F21" s="78" t="s">
        <v>47</v>
      </c>
      <c r="G21" s="78" t="s">
        <v>47</v>
      </c>
      <c r="H21" s="78" t="s">
        <v>47</v>
      </c>
      <c r="I21" s="78" t="s">
        <v>47</v>
      </c>
    </row>
    <row r="26" spans="1:9" ht="21" customHeight="1" x14ac:dyDescent="0.15">
      <c r="A26" s="23" t="s">
        <v>14</v>
      </c>
    </row>
    <row r="27" spans="1:9" ht="21" customHeight="1" x14ac:dyDescent="0.15">
      <c r="A27" s="21" t="s">
        <v>64</v>
      </c>
      <c r="B27" s="21" t="s">
        <v>65</v>
      </c>
    </row>
    <row r="28" spans="1:9" ht="21" customHeight="1" x14ac:dyDescent="0.15">
      <c r="A28" s="24">
        <v>1</v>
      </c>
      <c r="B28" s="24">
        <v>200</v>
      </c>
    </row>
    <row r="29" spans="1:9" ht="21" customHeight="1" x14ac:dyDescent="0.15">
      <c r="A29" s="24">
        <v>2</v>
      </c>
      <c r="B29" s="24">
        <v>600</v>
      </c>
    </row>
    <row r="30" spans="1:9" ht="21" customHeight="1" x14ac:dyDescent="0.15">
      <c r="A30" s="24">
        <v>3</v>
      </c>
      <c r="B30" s="24">
        <v>1500</v>
      </c>
    </row>
    <row r="31" spans="1:9" ht="21" customHeight="1" x14ac:dyDescent="0.15">
      <c r="A31" s="24">
        <v>4</v>
      </c>
      <c r="B31" s="24">
        <v>3400</v>
      </c>
    </row>
    <row r="32" spans="1:9" ht="21" customHeight="1" x14ac:dyDescent="0.15">
      <c r="A32" s="24">
        <v>5</v>
      </c>
      <c r="B32" s="24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" width="13" style="4"/>
    <col min="2" max="16384" width="13" style="23"/>
  </cols>
  <sheetData>
    <row r="1" spans="1:9" s="4" customFormat="1" ht="21" customHeight="1" x14ac:dyDescent="0.15">
      <c r="A1" s="32" t="s">
        <v>10</v>
      </c>
      <c r="B1" s="32">
        <v>1</v>
      </c>
      <c r="C1" s="32">
        <v>2</v>
      </c>
      <c r="D1" s="32">
        <v>3</v>
      </c>
      <c r="E1" s="32">
        <v>4</v>
      </c>
      <c r="F1" s="32">
        <v>5</v>
      </c>
      <c r="G1" s="32">
        <v>6</v>
      </c>
      <c r="H1" s="32">
        <v>7</v>
      </c>
      <c r="I1" s="32">
        <v>8</v>
      </c>
    </row>
    <row r="2" spans="1:9" s="4" customFormat="1" ht="21" customHeight="1" x14ac:dyDescent="0.15">
      <c r="A2" s="145" t="s">
        <v>226</v>
      </c>
      <c r="B2" s="146"/>
      <c r="C2" s="147"/>
      <c r="D2" s="158" t="s">
        <v>11</v>
      </c>
      <c r="E2" s="158">
        <v>8000</v>
      </c>
      <c r="F2" s="158">
        <v>10000</v>
      </c>
      <c r="G2" s="158">
        <v>14000</v>
      </c>
      <c r="H2" s="147"/>
      <c r="I2" s="147"/>
    </row>
    <row r="3" spans="1:9" s="4" customFormat="1" ht="21" customHeight="1" x14ac:dyDescent="0.15">
      <c r="A3" s="145" t="s">
        <v>227</v>
      </c>
      <c r="B3" s="149"/>
      <c r="C3" s="150"/>
      <c r="D3" s="158" t="s">
        <v>11</v>
      </c>
      <c r="E3" s="158">
        <v>7500</v>
      </c>
      <c r="F3" s="158">
        <v>9500</v>
      </c>
      <c r="G3" s="158">
        <v>13000</v>
      </c>
      <c r="H3" s="150"/>
      <c r="I3" s="150"/>
    </row>
    <row r="4" spans="1:9" s="4" customFormat="1" ht="21" customHeight="1" x14ac:dyDescent="0.15">
      <c r="A4" s="145" t="s">
        <v>229</v>
      </c>
      <c r="B4" s="152"/>
      <c r="C4" s="153"/>
      <c r="D4" s="158">
        <v>5000</v>
      </c>
      <c r="E4" s="158">
        <v>7000</v>
      </c>
      <c r="F4" s="158">
        <v>9000</v>
      </c>
      <c r="G4" s="158">
        <v>12000</v>
      </c>
      <c r="H4" s="153"/>
      <c r="I4" s="153"/>
    </row>
    <row r="5" spans="1:9" s="4" customFormat="1" ht="21" customHeight="1" x14ac:dyDescent="0.15">
      <c r="A5" s="164" t="s">
        <v>230</v>
      </c>
      <c r="B5" s="159"/>
      <c r="C5" s="160"/>
      <c r="D5" s="158">
        <v>4900</v>
      </c>
      <c r="E5" s="158">
        <v>6700</v>
      </c>
      <c r="F5" s="158">
        <v>8500</v>
      </c>
      <c r="G5" s="158">
        <v>11000</v>
      </c>
      <c r="H5" s="160"/>
      <c r="I5" s="160"/>
    </row>
    <row r="6" spans="1:9" s="4" customFormat="1" ht="21" customHeight="1" x14ac:dyDescent="0.15">
      <c r="A6" s="164" t="s">
        <v>231</v>
      </c>
      <c r="B6" s="159"/>
      <c r="C6" s="160"/>
      <c r="D6" s="158">
        <v>4800</v>
      </c>
      <c r="E6" s="158">
        <v>6600</v>
      </c>
      <c r="F6" s="158" t="s">
        <v>11</v>
      </c>
      <c r="G6" s="158" t="s">
        <v>11</v>
      </c>
      <c r="H6" s="160"/>
      <c r="I6" s="160"/>
    </row>
    <row r="7" spans="1:9" ht="21" customHeight="1" x14ac:dyDescent="0.15">
      <c r="A7" s="73" t="s">
        <v>205</v>
      </c>
      <c r="B7" s="46" t="s">
        <v>11</v>
      </c>
      <c r="C7" s="46" t="s">
        <v>11</v>
      </c>
      <c r="D7" s="46" t="s">
        <v>11</v>
      </c>
      <c r="E7" s="46" t="s">
        <v>11</v>
      </c>
      <c r="F7" s="46" t="s">
        <v>11</v>
      </c>
      <c r="G7" s="46" t="s">
        <v>11</v>
      </c>
      <c r="H7" s="46" t="s">
        <v>11</v>
      </c>
      <c r="I7" s="46" t="s">
        <v>11</v>
      </c>
    </row>
    <row r="8" spans="1:9" ht="21" customHeight="1" x14ac:dyDescent="0.15">
      <c r="A8" s="74" t="s">
        <v>206</v>
      </c>
      <c r="B8" s="46" t="s">
        <v>11</v>
      </c>
      <c r="C8" s="46" t="s">
        <v>11</v>
      </c>
      <c r="D8" s="46" t="s">
        <v>11</v>
      </c>
      <c r="E8" s="46">
        <v>8000</v>
      </c>
      <c r="F8" s="28">
        <v>10000</v>
      </c>
      <c r="G8" s="46">
        <v>14000</v>
      </c>
      <c r="H8" s="46" t="s">
        <v>11</v>
      </c>
      <c r="I8" s="46" t="s">
        <v>11</v>
      </c>
    </row>
    <row r="9" spans="1:9" s="45" customFormat="1" ht="21" customHeight="1" x14ac:dyDescent="0.15">
      <c r="A9" s="187" t="s">
        <v>313</v>
      </c>
      <c r="B9" s="28" t="s">
        <v>11</v>
      </c>
      <c r="C9" s="28" t="s">
        <v>11</v>
      </c>
      <c r="D9" s="28" t="s">
        <v>11</v>
      </c>
      <c r="E9" s="28" t="s">
        <v>11</v>
      </c>
      <c r="F9" s="28">
        <v>10000</v>
      </c>
      <c r="G9" s="46">
        <v>14000</v>
      </c>
      <c r="H9" s="28" t="s">
        <v>11</v>
      </c>
      <c r="I9" s="28" t="s">
        <v>11</v>
      </c>
    </row>
    <row r="10" spans="1:9" s="45" customFormat="1" ht="21" customHeight="1" x14ac:dyDescent="0.15">
      <c r="A10" s="75" t="s">
        <v>207</v>
      </c>
      <c r="B10" s="28" t="s">
        <v>11</v>
      </c>
      <c r="C10" s="28" t="s">
        <v>11</v>
      </c>
      <c r="D10" s="28" t="s">
        <v>11</v>
      </c>
      <c r="E10" s="28">
        <v>7500</v>
      </c>
      <c r="F10" s="28">
        <v>9500</v>
      </c>
      <c r="G10" s="46">
        <v>13000</v>
      </c>
      <c r="H10" s="28" t="s">
        <v>11</v>
      </c>
      <c r="I10" s="28" t="s">
        <v>11</v>
      </c>
    </row>
    <row r="11" spans="1:9" ht="21" customHeight="1" x14ac:dyDescent="0.15">
      <c r="A11" s="75" t="s">
        <v>9</v>
      </c>
      <c r="B11" s="68" t="s">
        <v>11</v>
      </c>
      <c r="C11" s="68" t="s">
        <v>11</v>
      </c>
      <c r="D11" s="28">
        <v>5000</v>
      </c>
      <c r="E11" s="28">
        <v>7000</v>
      </c>
      <c r="F11" s="28">
        <v>9000</v>
      </c>
      <c r="G11" s="46">
        <v>12000</v>
      </c>
      <c r="H11" s="68" t="s">
        <v>11</v>
      </c>
      <c r="I11" s="68" t="s">
        <v>11</v>
      </c>
    </row>
    <row r="12" spans="1:9" ht="21" customHeight="1" x14ac:dyDescent="0.15">
      <c r="A12" s="75" t="s">
        <v>208</v>
      </c>
      <c r="B12" s="68" t="s">
        <v>11</v>
      </c>
      <c r="C12" s="68" t="s">
        <v>11</v>
      </c>
      <c r="D12" s="28">
        <v>4900</v>
      </c>
      <c r="E12" s="28">
        <v>6700</v>
      </c>
      <c r="F12" s="28">
        <v>8500</v>
      </c>
      <c r="G12" s="46">
        <v>11000</v>
      </c>
      <c r="H12" s="68" t="s">
        <v>11</v>
      </c>
      <c r="I12" s="68" t="s">
        <v>11</v>
      </c>
    </row>
    <row r="13" spans="1:9" ht="21" customHeight="1" x14ac:dyDescent="0.15">
      <c r="A13" s="75" t="s">
        <v>106</v>
      </c>
      <c r="B13" s="68" t="s">
        <v>11</v>
      </c>
      <c r="C13" s="68" t="s">
        <v>11</v>
      </c>
      <c r="D13" s="28">
        <v>4800</v>
      </c>
      <c r="E13" s="28">
        <v>6600</v>
      </c>
      <c r="F13" s="188">
        <v>9000</v>
      </c>
      <c r="G13" s="68" t="s">
        <v>11</v>
      </c>
      <c r="H13" s="68" t="s">
        <v>11</v>
      </c>
      <c r="I13" s="68" t="s">
        <v>11</v>
      </c>
    </row>
    <row r="14" spans="1:9" ht="21" customHeight="1" x14ac:dyDescent="0.15">
      <c r="A14" s="75" t="s">
        <v>209</v>
      </c>
      <c r="B14" s="68" t="s">
        <v>11</v>
      </c>
      <c r="C14" s="68" t="s">
        <v>11</v>
      </c>
      <c r="D14" s="68" t="s">
        <v>11</v>
      </c>
      <c r="E14" s="28">
        <v>6300</v>
      </c>
      <c r="F14" s="68" t="s">
        <v>11</v>
      </c>
      <c r="G14" s="68" t="s">
        <v>11</v>
      </c>
      <c r="H14" s="68" t="s">
        <v>11</v>
      </c>
      <c r="I14" s="68" t="s">
        <v>11</v>
      </c>
    </row>
    <row r="15" spans="1:9" ht="21" customHeight="1" x14ac:dyDescent="0.15">
      <c r="A15" s="75" t="s">
        <v>210</v>
      </c>
      <c r="B15" s="68" t="s">
        <v>11</v>
      </c>
      <c r="C15" s="68" t="s">
        <v>11</v>
      </c>
      <c r="D15" s="28">
        <v>4600</v>
      </c>
      <c r="E15" s="28">
        <v>5800</v>
      </c>
      <c r="F15" s="28">
        <v>7600</v>
      </c>
      <c r="G15" s="68" t="s">
        <v>11</v>
      </c>
      <c r="H15" s="68" t="s">
        <v>11</v>
      </c>
      <c r="I15" s="68" t="s">
        <v>11</v>
      </c>
    </row>
    <row r="16" spans="1:9" ht="21" customHeight="1" x14ac:dyDescent="0.15">
      <c r="A16" s="75" t="s">
        <v>105</v>
      </c>
      <c r="B16" s="68" t="s">
        <v>11</v>
      </c>
      <c r="C16" s="68" t="s">
        <v>11</v>
      </c>
      <c r="D16" s="28">
        <v>4400</v>
      </c>
      <c r="E16" s="28">
        <v>5600</v>
      </c>
      <c r="F16" s="68" t="s">
        <v>11</v>
      </c>
      <c r="G16" s="68" t="s">
        <v>11</v>
      </c>
      <c r="H16" s="68" t="s">
        <v>11</v>
      </c>
      <c r="I16" s="68" t="s">
        <v>11</v>
      </c>
    </row>
    <row r="17" spans="1:9" ht="21" customHeight="1" x14ac:dyDescent="0.15">
      <c r="A17" s="75" t="s">
        <v>211</v>
      </c>
      <c r="B17" s="68" t="s">
        <v>11</v>
      </c>
      <c r="C17" s="28">
        <v>3000</v>
      </c>
      <c r="D17" s="28">
        <v>4200</v>
      </c>
      <c r="E17" s="28">
        <v>5400</v>
      </c>
      <c r="F17" s="68" t="s">
        <v>11</v>
      </c>
      <c r="G17" s="68" t="s">
        <v>11</v>
      </c>
      <c r="H17" s="68" t="s">
        <v>11</v>
      </c>
      <c r="I17" s="68" t="s">
        <v>11</v>
      </c>
    </row>
    <row r="18" spans="1:9" ht="21" customHeight="1" x14ac:dyDescent="0.15">
      <c r="A18" s="75" t="s">
        <v>8</v>
      </c>
      <c r="B18" s="28">
        <v>2000</v>
      </c>
      <c r="C18" s="28">
        <v>2800</v>
      </c>
      <c r="D18" s="28">
        <v>4000</v>
      </c>
      <c r="E18" s="68" t="s">
        <v>11</v>
      </c>
      <c r="F18" s="68" t="s">
        <v>11</v>
      </c>
      <c r="G18" s="68" t="s">
        <v>11</v>
      </c>
      <c r="H18" s="68" t="s">
        <v>11</v>
      </c>
      <c r="I18" s="68" t="s">
        <v>11</v>
      </c>
    </row>
    <row r="19" spans="1:9" ht="21" customHeight="1" x14ac:dyDescent="0.15">
      <c r="A19" s="76" t="s">
        <v>7</v>
      </c>
      <c r="B19" s="28">
        <v>1750</v>
      </c>
      <c r="C19" s="28">
        <v>2550</v>
      </c>
      <c r="D19" s="68" t="s">
        <v>11</v>
      </c>
      <c r="E19" s="68" t="s">
        <v>11</v>
      </c>
      <c r="F19" s="68" t="s">
        <v>11</v>
      </c>
      <c r="G19" s="68" t="s">
        <v>11</v>
      </c>
      <c r="H19" s="68" t="s">
        <v>11</v>
      </c>
      <c r="I19" s="68" t="s">
        <v>11</v>
      </c>
    </row>
    <row r="20" spans="1:9" ht="21" customHeight="1" x14ac:dyDescent="0.15">
      <c r="A20" s="76" t="s">
        <v>212</v>
      </c>
      <c r="B20" s="28">
        <v>1500</v>
      </c>
      <c r="C20" s="28">
        <v>2300</v>
      </c>
      <c r="D20" s="68" t="s">
        <v>11</v>
      </c>
      <c r="E20" s="68" t="s">
        <v>11</v>
      </c>
      <c r="F20" s="68" t="s">
        <v>11</v>
      </c>
      <c r="G20" s="68" t="s">
        <v>11</v>
      </c>
      <c r="H20" s="68" t="s">
        <v>11</v>
      </c>
      <c r="I20" s="68" t="s">
        <v>11</v>
      </c>
    </row>
    <row r="21" spans="1:9" ht="21" customHeight="1" x14ac:dyDescent="0.15">
      <c r="A21" s="37" t="s">
        <v>213</v>
      </c>
      <c r="B21" s="36">
        <v>1000</v>
      </c>
      <c r="C21" s="36">
        <v>1000</v>
      </c>
      <c r="D21" s="36">
        <v>1000</v>
      </c>
      <c r="E21" s="36">
        <v>1000</v>
      </c>
      <c r="F21" s="36">
        <v>1000</v>
      </c>
      <c r="G21" s="36">
        <v>1000</v>
      </c>
      <c r="H21" s="36">
        <v>1000</v>
      </c>
      <c r="I21" s="36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3"/>
  </cols>
  <sheetData>
    <row r="1" spans="1:8" ht="21" customHeight="1" x14ac:dyDescent="0.15">
      <c r="A1" s="23" t="s">
        <v>111</v>
      </c>
      <c r="G1" s="23" t="s">
        <v>112</v>
      </c>
    </row>
    <row r="2" spans="1:8" ht="21" customHeight="1" x14ac:dyDescent="0.15">
      <c r="A2" s="21" t="s">
        <v>15</v>
      </c>
      <c r="B2" s="21" t="s">
        <v>16</v>
      </c>
      <c r="G2" s="21" t="s">
        <v>15</v>
      </c>
      <c r="H2" s="21" t="s">
        <v>16</v>
      </c>
    </row>
    <row r="3" spans="1:8" ht="21" customHeight="1" x14ac:dyDescent="0.15">
      <c r="A3" s="24">
        <v>1</v>
      </c>
      <c r="B3" s="33">
        <v>5000</v>
      </c>
      <c r="G3" s="24">
        <v>1</v>
      </c>
      <c r="H3" s="24">
        <v>75</v>
      </c>
    </row>
    <row r="4" spans="1:8" ht="21" customHeight="1" x14ac:dyDescent="0.15">
      <c r="A4" s="24">
        <v>2</v>
      </c>
      <c r="B4" s="25">
        <v>10000</v>
      </c>
      <c r="G4" s="24">
        <v>2</v>
      </c>
      <c r="H4" s="24">
        <v>150</v>
      </c>
    </row>
    <row r="5" spans="1:8" ht="21" customHeight="1" x14ac:dyDescent="0.15">
      <c r="A5" s="24">
        <v>3</v>
      </c>
      <c r="B5" s="25">
        <v>20000</v>
      </c>
      <c r="G5" s="24">
        <v>3</v>
      </c>
      <c r="H5" s="24">
        <v>300</v>
      </c>
    </row>
    <row r="6" spans="1:8" ht="21" customHeight="1" x14ac:dyDescent="0.15">
      <c r="A6" s="24">
        <v>4</v>
      </c>
      <c r="B6" s="25">
        <v>50000</v>
      </c>
      <c r="G6" s="24">
        <v>4</v>
      </c>
      <c r="H6" s="24">
        <v>600</v>
      </c>
    </row>
    <row r="7" spans="1:8" ht="21" customHeight="1" x14ac:dyDescent="0.15">
      <c r="A7" s="24">
        <v>5</v>
      </c>
      <c r="B7" s="25">
        <v>200000</v>
      </c>
      <c r="G7" s="24">
        <v>5</v>
      </c>
      <c r="H7" s="24">
        <v>900</v>
      </c>
    </row>
    <row r="8" spans="1:8" ht="21" customHeight="1" x14ac:dyDescent="0.15">
      <c r="A8" s="24">
        <v>6</v>
      </c>
      <c r="B8" s="34">
        <v>0</v>
      </c>
      <c r="G8" s="24">
        <v>6</v>
      </c>
      <c r="H8" s="35">
        <v>1200</v>
      </c>
    </row>
    <row r="9" spans="1:8" ht="21" customHeight="1" x14ac:dyDescent="0.15">
      <c r="A9" s="24">
        <v>7</v>
      </c>
      <c r="B9" s="34"/>
      <c r="G9" s="24">
        <v>7</v>
      </c>
      <c r="H9" s="34"/>
    </row>
    <row r="10" spans="1:8" ht="21" customHeight="1" x14ac:dyDescent="0.15">
      <c r="A10" s="24">
        <v>8</v>
      </c>
      <c r="B10" s="34"/>
      <c r="G10" s="24">
        <v>8</v>
      </c>
      <c r="H10" s="34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197</v>
      </c>
      <c r="B2" s="12">
        <v>591</v>
      </c>
    </row>
    <row r="3" spans="1:4" x14ac:dyDescent="0.15">
      <c r="A3" t="s">
        <v>198</v>
      </c>
      <c r="B3" s="132">
        <v>592</v>
      </c>
    </row>
    <row r="4" spans="1:4" x14ac:dyDescent="0.15">
      <c r="A4" t="s">
        <v>199</v>
      </c>
      <c r="B4" s="132">
        <v>593</v>
      </c>
    </row>
    <row r="7" spans="1:4" x14ac:dyDescent="0.15">
      <c r="A7" t="s">
        <v>200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219</v>
      </c>
    </row>
    <row r="13" spans="1:4" x14ac:dyDescent="0.15">
      <c r="B13" t="s">
        <v>223</v>
      </c>
      <c r="C13" t="s">
        <v>224</v>
      </c>
      <c r="D13" t="s">
        <v>225</v>
      </c>
    </row>
    <row r="14" spans="1:4" x14ac:dyDescent="0.15">
      <c r="A14" t="s">
        <v>221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222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220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201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202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203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4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2017-06-06T10:49:16Z</dcterms:modified>
</cp:coreProperties>
</file>