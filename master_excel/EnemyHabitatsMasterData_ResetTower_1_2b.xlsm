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420" yWindow="1060" windowWidth="10540" windowHeight="15380" tabRatio="740" firstSheet="2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6" i="16"/>
  <c r="C5" i="16"/>
  <c r="C4" i="16"/>
  <c r="C3" i="16"/>
  <c r="G3" i="2"/>
  <c r="G4" i="2"/>
  <c r="G2" i="2"/>
  <c r="H2" i="2"/>
  <c r="D3" i="2"/>
  <c r="E18" i="9"/>
  <c r="X7" i="1"/>
  <c r="E15" i="9"/>
  <c r="X6" i="1"/>
  <c r="E9" i="9"/>
  <c r="E10" i="9"/>
  <c r="X5" i="1"/>
  <c r="X4" i="1"/>
  <c r="E2" i="9"/>
  <c r="X2" i="1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2" i="10"/>
  <c r="J2" i="10"/>
  <c r="I2" i="10"/>
  <c r="K2" i="10"/>
  <c r="H2" i="10"/>
  <c r="L2" i="10"/>
  <c r="N4" i="1"/>
  <c r="M4" i="1"/>
  <c r="M2" i="1"/>
  <c r="P5" i="1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J15" i="9"/>
  <c r="K15" i="9"/>
  <c r="L15" i="9"/>
  <c r="M15" i="9"/>
  <c r="N15" i="9"/>
  <c r="J15" i="11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D8" i="9"/>
  <c r="E8" i="9"/>
  <c r="D9" i="9"/>
  <c r="D10" i="9"/>
  <c r="D11" i="9"/>
  <c r="E11" i="9"/>
  <c r="D12" i="9"/>
  <c r="E12" i="9"/>
  <c r="D13" i="9"/>
  <c r="E13" i="9"/>
  <c r="D14" i="9"/>
  <c r="E14" i="9"/>
  <c r="D15" i="9"/>
  <c r="D16" i="9"/>
  <c r="E16" i="9"/>
  <c r="D17" i="9"/>
  <c r="E17" i="9"/>
  <c r="D18" i="9"/>
  <c r="D19" i="9"/>
  <c r="E19" i="9"/>
  <c r="H4" i="2"/>
  <c r="E4" i="2"/>
  <c r="D4" i="2"/>
  <c r="A4" i="2"/>
  <c r="H2" i="1"/>
  <c r="H3" i="1"/>
  <c r="H5" i="1"/>
  <c r="H4" i="1"/>
  <c r="H6" i="1"/>
  <c r="H7" i="1"/>
  <c r="B4" i="2"/>
  <c r="AD7" i="1"/>
  <c r="AF7" i="1"/>
  <c r="AI7" i="1"/>
  <c r="AG7" i="1"/>
  <c r="AE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4" i="1"/>
  <c r="AF4" i="1"/>
  <c r="AI4" i="1"/>
  <c r="AG4" i="1"/>
  <c r="AE4" i="1"/>
  <c r="AC4" i="1"/>
  <c r="V4" i="1"/>
  <c r="T4" i="1"/>
  <c r="Q4" i="1"/>
  <c r="P4" i="1"/>
  <c r="O4" i="1"/>
  <c r="J4" i="1"/>
  <c r="I4" i="1"/>
  <c r="D4" i="1"/>
  <c r="F4" i="1"/>
  <c r="E4" i="1"/>
  <c r="A4" i="1"/>
  <c r="AD5" i="1"/>
  <c r="AF5" i="1"/>
  <c r="AI5" i="1"/>
  <c r="AG5" i="1"/>
  <c r="AE5" i="1"/>
  <c r="V5" i="1"/>
  <c r="T5" i="1"/>
  <c r="Q5" i="1"/>
  <c r="O5" i="1"/>
  <c r="N5" i="1"/>
  <c r="M5" i="1"/>
  <c r="J5" i="1"/>
  <c r="I5" i="1"/>
  <c r="D5" i="1"/>
  <c r="F5" i="1"/>
  <c r="E5" i="1"/>
  <c r="A5" i="1"/>
  <c r="A19" i="9"/>
  <c r="A18" i="9"/>
  <c r="A17" i="9"/>
  <c r="A16" i="9"/>
  <c r="A15" i="9"/>
  <c r="A14" i="9"/>
  <c r="A13" i="9"/>
  <c r="A12" i="9"/>
  <c r="A11" i="9"/>
  <c r="A10" i="9"/>
  <c r="A9" i="9"/>
  <c r="G5" i="21"/>
  <c r="F5" i="21"/>
  <c r="D5" i="21"/>
  <c r="C5" i="21"/>
  <c r="I4" i="21"/>
  <c r="G4" i="21"/>
  <c r="F4" i="21"/>
  <c r="D4" i="21"/>
  <c r="C4" i="21"/>
  <c r="A2" i="2"/>
  <c r="A3" i="2"/>
  <c r="I3" i="21"/>
  <c r="G3" i="21"/>
  <c r="F3" i="21"/>
  <c r="D3" i="21"/>
  <c r="C3" i="21"/>
  <c r="I2" i="21"/>
  <c r="G2" i="21"/>
  <c r="F2" i="21"/>
  <c r="D2" i="21"/>
  <c r="C2" i="21"/>
  <c r="AC3" i="1"/>
  <c r="C6" i="18"/>
  <c r="D6" i="18"/>
  <c r="C5" i="18"/>
  <c r="D5" i="18"/>
  <c r="C4" i="18"/>
  <c r="D4" i="18"/>
  <c r="C3" i="18"/>
  <c r="D3" i="18"/>
  <c r="C2" i="18"/>
  <c r="D2" i="18"/>
  <c r="N3" i="22"/>
  <c r="N2" i="22"/>
  <c r="E7" i="9"/>
  <c r="D7" i="9"/>
  <c r="E6" i="9"/>
  <c r="D6" i="9"/>
  <c r="E5" i="9"/>
  <c r="D5" i="9"/>
  <c r="J4" i="11"/>
  <c r="O4" i="9"/>
  <c r="N4" i="9"/>
  <c r="M4" i="9"/>
  <c r="L4" i="9"/>
  <c r="K4" i="9"/>
  <c r="J4" i="9"/>
  <c r="I4" i="9"/>
  <c r="H4" i="9"/>
  <c r="G4" i="9"/>
  <c r="E4" i="9"/>
  <c r="D4" i="9"/>
  <c r="J3" i="11"/>
  <c r="O3" i="9"/>
  <c r="N3" i="9"/>
  <c r="M3" i="9"/>
  <c r="L3" i="9"/>
  <c r="K3" i="9"/>
  <c r="J3" i="9"/>
  <c r="I3" i="9"/>
  <c r="H3" i="9"/>
  <c r="G3" i="9"/>
  <c r="E3" i="9"/>
  <c r="D3" i="9"/>
  <c r="J2" i="11"/>
  <c r="O2" i="9"/>
  <c r="N2" i="9"/>
  <c r="M2" i="9"/>
  <c r="L2" i="9"/>
  <c r="K2" i="9"/>
  <c r="J2" i="9"/>
  <c r="I2" i="9"/>
  <c r="H2" i="9"/>
  <c r="G2" i="9"/>
  <c r="D2" i="9"/>
  <c r="A7" i="9"/>
  <c r="A8" i="9"/>
  <c r="A6" i="9"/>
  <c r="A5" i="9"/>
  <c r="A4" i="9"/>
  <c r="A3" i="9"/>
  <c r="A2" i="9"/>
  <c r="X3" i="1"/>
  <c r="H3" i="2"/>
  <c r="E3" i="2"/>
  <c r="B3" i="2"/>
  <c r="V3" i="1"/>
  <c r="V2" i="1"/>
  <c r="T3" i="1"/>
  <c r="T2" i="1"/>
  <c r="G3" i="22"/>
  <c r="F3" i="22"/>
  <c r="D3" i="22"/>
  <c r="C3" i="22"/>
  <c r="A3" i="22"/>
  <c r="E13" i="16"/>
  <c r="G2" i="22"/>
  <c r="F2" i="22"/>
  <c r="D2" i="22"/>
  <c r="C2" i="22"/>
  <c r="A2" i="22"/>
  <c r="E12" i="16"/>
  <c r="E11" i="16"/>
  <c r="E10" i="16"/>
  <c r="E9" i="16"/>
  <c r="AD3" i="1"/>
  <c r="AG3" i="1"/>
  <c r="AF3" i="1"/>
  <c r="AE3" i="1"/>
  <c r="AD2" i="1"/>
  <c r="AG2" i="1"/>
  <c r="AF2" i="1"/>
  <c r="AE2" i="1"/>
  <c r="Q3" i="1"/>
  <c r="P3" i="1"/>
  <c r="O3" i="1"/>
  <c r="N3" i="1"/>
  <c r="M3" i="1"/>
  <c r="Q2" i="1"/>
  <c r="P2" i="1"/>
  <c r="O2" i="1"/>
  <c r="N2" i="1"/>
  <c r="M2" i="10"/>
  <c r="T2" i="10"/>
  <c r="V2" i="10"/>
  <c r="N2" i="10"/>
  <c r="P2" i="10"/>
  <c r="X2" i="10"/>
  <c r="W2" i="10"/>
  <c r="U2" i="10"/>
  <c r="Y2" i="10"/>
  <c r="R2" i="10"/>
  <c r="Q2" i="10"/>
  <c r="O2" i="10"/>
  <c r="S2" i="10"/>
  <c r="AI2" i="1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J2" i="1"/>
  <c r="I2" i="1"/>
  <c r="D2" i="2"/>
  <c r="E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<sst xmlns="http://schemas.openxmlformats.org/spreadsheetml/2006/main" count="609" uniqueCount="338">
  <si>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</si>
  <si>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</si>
  <si>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</si>
  <si>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</si>
  <si>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</si>
  <si>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</si>
  <si>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</si>
  <si>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</si>
  <si>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</si>
  <si>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</si>
  <si>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</si>
  <si>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</si>
  <si>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</si>
  <si>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</si>
  <si>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</si>
  <si>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</si>
  <si>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</si>
  <si>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</si>
  <si>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</si>
  <si>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</si>
  <si>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</si>
  <si>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</si>
  <si>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</si>
  <si>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</si>
  <si>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</si>
  <si>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</si>
  <si>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</si>
  <si>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</si>
  <si>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</si>
  <si>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</si>
  <si>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</si>
  <si>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</si>
  <si>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</si>
  <si>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</si>
  <si>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</si>
  <si>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</si>
  <si>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</si>
  <si>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</si>
  <si>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</si>
  <si>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</si>
  <si>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</si>
  <si>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</si>
  <si>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</si>
  <si>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</si>
  <si>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</si>
  <si>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</si>
  <si>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</si>
  <si>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</si>
  <si>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</si>
  <si>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</si>
  <si>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</si>
  <si>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</si>
  <si>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</si>
  <si>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</si>
  <si>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</si>
  <si>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</si>
  <si>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</si>
  <si>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</si>
  <si>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</si>
  <si>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</si>
  <si>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</si>
  <si>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</si>
  <si>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</si>
  <si>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</si>
  <si>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</si>
  <si>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</si>
  <si>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</si>
  <si>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</si>
  <si>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</si>
  <si>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</si>
  <si>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</si>
  <si>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</si>
  <si>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</si>
  <si>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</si>
  <si>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</si>
  <si>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</si>
  <si>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</si>
  <si>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</si>
  <si>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</si>
  <si>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</si>
  <si>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</si>
  <si>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</si>
  <si>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</si>
  <si>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</si>
  <si>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</si>
  <si>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</si>
  <si>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</si>
  <si>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</si>
  <si>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</si>
  <si>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</si>
  <si>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</si>
  <si>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</si>
  <si>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</si>
  <si>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</si>
  <si>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</si>
  <si>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</si>
  <si>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</si>
  <si>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</si>
  <si>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</si>
  <si>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</si>
  <si>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</si>
  <si>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</si>
  <si>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</si>
  <si>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</si>
  <si>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</si>
  <si>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</si>
  <si>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</si>
  <si>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</si>
  <si>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</si>
  <si>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</si>
  <si>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</si>
  <si>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</si>
  <si>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</si>
  <si>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</si>
  <si>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</si>
  <si>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</si>
  <si>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</si>
  <si>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</si>
  <si>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</si>
  <si>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</si>
  <si>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</si>
  <si>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</si>
  <si>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</si>
  <si>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</si>
  <si>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</si>
  <si>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</si>
  <si>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</si>
  <si>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</si>
  <si>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</si>
  <si>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</si>
  <si>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</si>
  <si>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</si>
  <si>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</si>
  <si>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</si>
  <si>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</si>
  <si>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</si>
  <si>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</si>
  <si>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</si>
  <si>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</si>
  <si>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</si>
  <si>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</si>
  <si>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</si>
  <si>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</si>
  <si>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</si>
  <si>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</si>
  <si>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</si>
  <si>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</si>
  <si>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</si>
  <si>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</si>
  <si>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</si>
  <si>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</si>
  <si>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</si>
  <si>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</si>
  <si>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</si>
  <si>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</si>
  <si>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</si>
  <si>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</si>
  <si>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</si>
  <si>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</si>
  <si>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</si>
  <si>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</si>
  <si>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</si>
  <si>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</si>
  <si>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</si>
  <si>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</si>
  <si>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</si>
  <si>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</si>
  <si>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</si>
  <si>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</si>
  <si>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</si>
  <si>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</si>
  <si>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</si>
  <si>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</si>
  <si>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</si>
  <si>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</si>
  <si>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</si>
  <si>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</si>
  <si>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</si>
  <si>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</si>
  <si>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</si>
  <si>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</si>
  <si>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</si>
  <si>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</si>
  <si>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</si>
  <si>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</si>
  <si>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</si>
  <si>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</si>
  <si>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</si>
  <si>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</si>
  <si>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</si>
  <si>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</si>
  <si>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</si>
  <si>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</si>
  <si>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</si>
  <si>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</si>
  <si>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</si>
  <si>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</si>
  <si>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</si>
  <si>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</si>
  <si>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</si>
  <si>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</si>
  <si>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</si>
  <si>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</si>
  <si>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</si>
  <si>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</si>
  <si>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</si>
  <si>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</si>
  <si>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</si>
  <si>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</si>
  <si>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</si>
  <si>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</si>
  <si>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</si>
  <si>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</si>
  <si>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</si>
  <si>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</si>
  <si>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</si>
  <si>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</si>
  <si>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</si>
  <si>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</si>
  <si>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</si>
  <si>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</si>
  <si>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</si>
  <si>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</si>
  <si>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</si>
  <si>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</si>
  <si>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</si>
  <si>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</si>
  <si>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</si>
  <si>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</si>
  <si>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</si>
  <si>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</si>
  <si>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</si>
  <si>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</si>
  <si>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</si>
  <si>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</si>
  <si>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</si>
  <si>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</si>
  <si>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</si>
  <si>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</si>
  <si>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</si>
  <si>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</si>
  <si>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</si>
  <si>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</si>
  <si>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</si>
  <si>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</si>
  <si>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</si>
  <si>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</si>
  <si>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</si>
  <si>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</si>
  <si>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null</t>
    <phoneticPr fontId="5"/>
  </si>
  <si>
    <t>全体攻撃</t>
    <phoneticPr fontId="5"/>
  </si>
  <si>
    <t>old</t>
  </si>
  <si>
    <t>singleonly</t>
    <phoneticPr fontId="5"/>
  </si>
  <si>
    <t>clear</t>
    <phoneticPr fontId="5"/>
  </si>
  <si>
    <t>bit</t>
    <phoneticPr fontId="5"/>
  </si>
  <si>
    <t>null</t>
    <phoneticPr fontId="5"/>
  </si>
  <si>
    <t>null</t>
    <phoneticPr fontId="5"/>
  </si>
  <si>
    <t>ウラシマ</t>
    <phoneticPr fontId="5"/>
  </si>
  <si>
    <t>テラベル</t>
    <phoneticPr fontId="5"/>
  </si>
  <si>
    <t>玉手箱</t>
    <phoneticPr fontId="5"/>
  </si>
  <si>
    <t>ネット弾</t>
    <phoneticPr fontId="5"/>
  </si>
  <si>
    <t>バズーカ</t>
    <phoneticPr fontId="5"/>
  </si>
  <si>
    <t>単体攻撃</t>
    <phoneticPr fontId="5"/>
  </si>
  <si>
    <t>3ターンスキルバインド+単体攻撃</t>
    <phoneticPr fontId="5"/>
  </si>
  <si>
    <t>解除するまで攻撃力と防御力アップ</t>
    <phoneticPr fontId="5"/>
  </si>
  <si>
    <t>解除するまで攻撃力と防御力アップ</t>
    <phoneticPr fontId="5"/>
  </si>
  <si>
    <t>3ターンスキルバインド+全体攻撃</t>
    <phoneticPr fontId="5"/>
  </si>
  <si>
    <t>フリーズしてろ！</t>
    <phoneticPr fontId="5"/>
  </si>
  <si>
    <t>ウラシマとテラベルは確率で
スキルバインドを行います
落ち着いて対処しましょう</t>
    <phoneticPr fontId="5"/>
  </si>
  <si>
    <t>ウラシマとテラベルは
どちらか片方が倒されると
ステータスアップします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</si>
  <si>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</si>
  <si>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</si>
  <si>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</si>
  <si>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</si>
  <si>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</si>
  <si>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わらわの心の炎は消させない</t>
    <phoneticPr fontId="5"/>
  </si>
  <si>
    <t>リフレクト</t>
    <phoneticPr fontId="5"/>
  </si>
  <si>
    <t>わらわは誰にも汚されず、
美しいのじゃ！</t>
    <phoneticPr fontId="5"/>
  </si>
  <si>
    <t>燃えろ燃えろー！</t>
    <phoneticPr fontId="5"/>
  </si>
  <si>
    <t>4ターンの間攻撃頻度アップ</t>
    <phoneticPr fontId="5"/>
  </si>
  <si>
    <t>ミサコ</t>
    <phoneticPr fontId="5"/>
  </si>
  <si>
    <t>紅蓮弾！！</t>
    <phoneticPr fontId="5"/>
  </si>
  <si>
    <t>2回連続攻撃</t>
    <phoneticPr fontId="5"/>
  </si>
  <si>
    <t>ボナンザの声が聞こえる…</t>
    <phoneticPr fontId="5"/>
  </si>
  <si>
    <t>頭を冷やすんだな</t>
    <phoneticPr fontId="5"/>
  </si>
  <si>
    <t>那須</t>
    <phoneticPr fontId="5"/>
  </si>
  <si>
    <t>ダークネスショット</t>
    <phoneticPr fontId="5"/>
  </si>
  <si>
    <t>クリティカル+2ターン暗闇</t>
    <phoneticPr fontId="5"/>
  </si>
  <si>
    <t>俺の接近に、耐え切れるかな？</t>
    <phoneticPr fontId="5"/>
  </si>
  <si>
    <t>直江</t>
    <phoneticPr fontId="5"/>
  </si>
  <si>
    <t>直江</t>
    <phoneticPr fontId="5"/>
  </si>
  <si>
    <t>ボナンザ様が
望みを叶えて下さるはずじゃ！</t>
    <phoneticPr fontId="5"/>
  </si>
  <si>
    <t>おまえらを蹴散らせば</t>
    <phoneticPr fontId="5"/>
  </si>
  <si>
    <t>二人は何かに怯えているみたいだ…</t>
    <phoneticPr fontId="5"/>
  </si>
  <si>
    <t>ワン・ツー！</t>
    <phoneticPr fontId="5"/>
  </si>
  <si>
    <t>[effect:enemy_message, val1:0, val2:2.4]</t>
    <phoneticPr fontId="5"/>
  </si>
  <si>
    <t>[effect:enemy_message, val1:2, val2:0]</t>
    <phoneticPr fontId="5"/>
  </si>
  <si>
    <t>[effect:enemy_message, val1:2, val2:0]</t>
    <phoneticPr fontId="5"/>
  </si>
  <si>
    <t>負けるわけにはいかない！</t>
    <phoneticPr fontId="5"/>
  </si>
  <si>
    <t>パワー全開！！</t>
    <phoneticPr fontId="5"/>
  </si>
  <si>
    <t>3ターン自身の防御力大アップ</t>
    <phoneticPr fontId="5"/>
  </si>
  <si>
    <t>3ターン青属性の攻撃力50%ダウン
+単体攻撃</t>
    <phoneticPr fontId="5"/>
  </si>
  <si>
    <t>3ターン赤属性の攻撃力50%ダウン
+単体攻撃</t>
    <phoneticPr fontId="5"/>
  </si>
  <si>
    <t>2回連続攻撃
+4ターン自身の防御力大アップ</t>
    <phoneticPr fontId="5"/>
  </si>
  <si>
    <t>3回連続攻撃
+5ターン自身の防御力大アップ</t>
    <phoneticPr fontId="5"/>
  </si>
  <si>
    <t>ボナンザ様が望みを
叶えて下さるはずじゃ！</t>
    <phoneticPr fontId="5"/>
  </si>
  <si>
    <t>[effect:enhance_enemy, target:myself, turn:-1, status:attack, val:0.5, calc:mul, animation:enemy_enhance_attack],[effect:enemy_message, val1:1.4, val2:1.8]</t>
    <phoneticPr fontId="5"/>
  </si>
  <si>
    <t>攻撃力UP</t>
    <phoneticPr fontId="5"/>
  </si>
  <si>
    <t>攻撃力UP</t>
    <phoneticPr fontId="5"/>
  </si>
  <si>
    <t>4ターンの間攻撃頻度UP</t>
    <phoneticPr fontId="5"/>
  </si>
  <si>
    <t>[effect:freq_turn, target:myself, turn:4, val:1, animation:enemy_freq_turn],[effect:enemy_message, val1:1.4, val2:1.8]</t>
    <phoneticPr fontId="5"/>
  </si>
  <si>
    <t>俺の接近に耐え切れるかな？</t>
    <phoneticPr fontId="5"/>
  </si>
  <si>
    <t>[effect:rush, count:1, val:1.5],[effect:dark, target:unit_all, turn:3, animation:enemy_dark],[effect:enemy_message, val1:1.4, val2:1.8]</t>
    <phoneticPr fontId="5"/>
  </si>
  <si>
    <t>クリティカル+3ターン暗闇</t>
    <phoneticPr fontId="5"/>
  </si>
  <si>
    <t>3回連続攻撃+3ターン暗闇</t>
    <phoneticPr fontId="5"/>
  </si>
  <si>
    <t>わらわは誰にも汚されず、
美しいのじゃ！</t>
    <phoneticPr fontId="5"/>
  </si>
  <si>
    <t>[effect:spread, val:0.3],[effect:hungup, target:unit_all, turn:3, rate:1, animation:hungup01],[effect:enemy_message, val1:1.4, val2:1.9]</t>
    <phoneticPr fontId="5"/>
  </si>
  <si>
    <t>[effect:spread, val:0.4],[effect:enemy_message, val1:1.4, val2:1.6]</t>
    <phoneticPr fontId="5"/>
  </si>
  <si>
    <t>[effect:freq_turn, target:myself, turn:4, val:1, animation:enemy_freq_turn],[effect:enemy_message, val1:1.4, val2:1.8]</t>
    <phoneticPr fontId="5"/>
  </si>
  <si>
    <t>[effect:rush, count:2, val:0.67],[effect:enemy_message, val1:1.4, val2:1.6]</t>
    <phoneticPr fontId="5"/>
  </si>
  <si>
    <t>[effect:rush, count:3, val:0.5],[effect:dark, target:unit_all, turn:3, animation:enemy_dark],[effect:enemy_message, val1:1.5 val2:1.9]</t>
    <phoneticPr fontId="5"/>
  </si>
  <si>
    <t>[effect:rush, count:2, val:0.52],[effect:enemy_message, val1:1.4, val2:1.6]</t>
    <phoneticPr fontId="5"/>
  </si>
  <si>
    <t>リフレクトは青属性の攻撃力を
DOWNしてきます
パーティ編成に注意しましょう</t>
    <phoneticPr fontId="5"/>
  </si>
  <si>
    <t>那須与一は赤属性の攻撃力を
DOWNしてきます
パーティ編成に注意しましょう</t>
    <phoneticPr fontId="5"/>
  </si>
  <si>
    <t>[effect:rush, count:1, val:0.7],[effect:degrade_unit, target:unit_red, turn:3, status:attack, val:0.7, calc:mul],[effect:enemy_message, val1:1.4, val2:2.3]</t>
    <phoneticPr fontId="5"/>
  </si>
  <si>
    <t>3ターン青属性の攻撃力60%DOWN+
単体攻撃</t>
    <phoneticPr fontId="5"/>
  </si>
  <si>
    <t>3ターン赤属性の攻撃力70%DOWN+
単体攻撃</t>
    <phoneticPr fontId="5"/>
  </si>
  <si>
    <t>表示しない</t>
    <phoneticPr fontId="5"/>
  </si>
  <si>
    <t>表示しない</t>
    <phoneticPr fontId="5"/>
  </si>
  <si>
    <t>壊れなガラクタども！</t>
    <phoneticPr fontId="5"/>
  </si>
  <si>
    <t>二人は何かに怯えているみたいだ…</t>
    <phoneticPr fontId="5"/>
  </si>
  <si>
    <t>[effect:rush, count:1, val:1],[effect:hungup, target:unit_all, turn:3, rate:1, animation:hungup01],[effect:enemy_message, val1:1.4, val2:1.9]</t>
    <phoneticPr fontId="5"/>
  </si>
  <si>
    <t>[effect:rush, count:1, val:1.1],[effect:enemy_message, val1:1.4, val2:1.8]</t>
    <phoneticPr fontId="5"/>
  </si>
  <si>
    <t>2回連続攻撃+
2ターン防御力大UP</t>
    <phoneticPr fontId="5"/>
  </si>
  <si>
    <t>[effect:rush, count:2, val:0.7],[effect:enhance_enemy, target:myself, turn:2, status:defense, val:7000, calc:add, animation:enhance_unit_all_defense04],[effect:enemy_message, val1:1.4, val2:2.3]</t>
    <phoneticPr fontId="5"/>
  </si>
  <si>
    <t>[effect:enhance_enemy, target:myself, turn:-1, status:attack, val:0.5, calc:mul, animation:enemy_enhance_attack],[effect:enemy_message, val1:1.4, val2:1.6</t>
    <phoneticPr fontId="5"/>
  </si>
  <si>
    <t>[effect:rush, count:1, val:0.7],[effect:degrade_unit, target:unit_blue, turn:3, status:attack, val:0.6, calc:mul],[effect:enemy_message, val1:1.4, val2:2.3]</t>
    <phoneticPr fontId="5"/>
  </si>
  <si>
    <t>13301_2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</si>
</sst>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0" borderId="22" xfId="0" applyFill="1" applyBorder="1"/>
    <xf numFmtId="0" fontId="30" fillId="32" borderId="7" xfId="0" applyFont="1" applyFill="1" applyBorder="1"/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4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13301_4-1</v>
          </cell>
        </row>
        <row r="3">
          <cell r="A3" t="str">
            <v>13301_4-2</v>
          </cell>
        </row>
        <row r="4">
          <cell r="A4" t="str">
            <v>13301_4-3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31" sqref="E3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128</v>
      </c>
      <c r="B1" s="55" t="s">
        <v>98</v>
      </c>
      <c r="C1" s="55" t="s">
        <v>99</v>
      </c>
      <c r="D1" s="55" t="s">
        <v>100</v>
      </c>
      <c r="E1" s="55" t="s">
        <v>101</v>
      </c>
      <c r="F1" s="55" t="s">
        <v>102</v>
      </c>
      <c r="G1" s="55" t="s">
        <v>103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251</v>
      </c>
      <c r="B2" s="57" t="s">
        <v>104</v>
      </c>
      <c r="C2" s="63" t="s">
        <v>337</v>
      </c>
      <c r="D2" s="57" t="s">
        <v>105</v>
      </c>
      <c r="E2" s="56" t="str">
        <f>B2&amp;C2&amp;D2</f>
        <v>floors_13301_2.tmp</v>
      </c>
      <c r="F2" s="57" t="s">
        <v>106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251</v>
      </c>
      <c r="B3" s="57" t="s">
        <v>107</v>
      </c>
      <c r="C3" s="63" t="str">
        <f t="shared" ref="C3:C13" si="0">C$2</f>
        <v>13301_2</v>
      </c>
      <c r="D3" s="57" t="s">
        <v>105</v>
      </c>
      <c r="E3" s="56" t="str">
        <f>B3&amp;C3&amp;D3</f>
        <v>enemy_habitats_13301_2.tmp</v>
      </c>
      <c r="F3" s="57" t="s">
        <v>108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175</v>
      </c>
    </row>
    <row r="4" spans="1:30" x14ac:dyDescent="0.15">
      <c r="A4" s="61" t="s">
        <v>251</v>
      </c>
      <c r="B4" s="57" t="s">
        <v>109</v>
      </c>
      <c r="C4" s="63" t="str">
        <f t="shared" si="0"/>
        <v>13301_2</v>
      </c>
      <c r="D4" s="57" t="s">
        <v>105</v>
      </c>
      <c r="E4" s="56" t="str">
        <f>B4&amp;C4&amp;D4</f>
        <v>enemy_habitat_S_13301_2.tmp</v>
      </c>
      <c r="F4" s="57" t="s">
        <v>110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251</v>
      </c>
      <c r="B5" s="57" t="s">
        <v>111</v>
      </c>
      <c r="C5" s="63" t="str">
        <f t="shared" si="0"/>
        <v>13301_2</v>
      </c>
      <c r="D5" s="57" t="s">
        <v>105</v>
      </c>
      <c r="E5" s="56" t="str">
        <f>B5&amp;C5&amp;D5</f>
        <v>enemy_skill_sets_13301_2.tmp</v>
      </c>
      <c r="F5" s="57" t="s">
        <v>112</v>
      </c>
      <c r="G5" s="59" t="s">
        <v>22</v>
      </c>
      <c r="H5" s="59" t="s">
        <v>97</v>
      </c>
      <c r="I5" s="59" t="s">
        <v>92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251</v>
      </c>
      <c r="B6" s="57" t="s">
        <v>113</v>
      </c>
      <c r="C6" s="63" t="str">
        <f t="shared" si="0"/>
        <v>13301_2</v>
      </c>
      <c r="D6" s="57" t="s">
        <v>114</v>
      </c>
      <c r="E6" s="56" t="str">
        <f t="shared" ref="E6:E10" si="1">B6&amp;C6&amp;D6</f>
        <v>enemy_skills_tmp_13301_2.tmp</v>
      </c>
      <c r="F6" s="57" t="s">
        <v>88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251</v>
      </c>
      <c r="B7" s="57" t="s">
        <v>115</v>
      </c>
      <c r="C7" s="63" t="str">
        <f t="shared" si="0"/>
        <v>13301_2</v>
      </c>
      <c r="D7" s="57" t="s">
        <v>105</v>
      </c>
      <c r="E7" s="56" t="str">
        <f>B7&amp;C7&amp;D7</f>
        <v>enemy_skills_i18n_13301_2.tmp</v>
      </c>
      <c r="F7" s="57" t="s">
        <v>116</v>
      </c>
      <c r="G7" s="58" t="s">
        <v>78</v>
      </c>
      <c r="H7" s="58" t="s">
        <v>89</v>
      </c>
      <c r="I7" s="58" t="s">
        <v>90</v>
      </c>
      <c r="J7" s="58" t="s">
        <v>91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251</v>
      </c>
      <c r="B8" s="57" t="s">
        <v>117</v>
      </c>
      <c r="C8" s="63" t="str">
        <f t="shared" si="0"/>
        <v>13301_2</v>
      </c>
      <c r="D8" s="57" t="s">
        <v>118</v>
      </c>
      <c r="E8" s="56" t="str">
        <f t="shared" si="1"/>
        <v>enemy_skill_triggers_13301_2.tmp</v>
      </c>
      <c r="F8" s="57" t="s">
        <v>119</v>
      </c>
      <c r="G8" s="58" t="s">
        <v>92</v>
      </c>
      <c r="H8" s="58" t="s">
        <v>93</v>
      </c>
      <c r="I8" s="58" t="s">
        <v>94</v>
      </c>
      <c r="J8" s="58" t="s">
        <v>95</v>
      </c>
      <c r="K8" s="58" t="s">
        <v>120</v>
      </c>
      <c r="L8" s="58" t="s">
        <v>96</v>
      </c>
      <c r="M8" s="58" t="s">
        <v>121</v>
      </c>
      <c r="N8" s="58" t="s">
        <v>122</v>
      </c>
      <c r="O8" s="58" t="s">
        <v>123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251</v>
      </c>
      <c r="B9" s="68" t="s">
        <v>174</v>
      </c>
      <c r="C9" s="63" t="str">
        <f t="shared" si="0"/>
        <v>13301_2</v>
      </c>
      <c r="D9" s="68" t="s">
        <v>168</v>
      </c>
      <c r="E9" s="69" t="str">
        <f t="shared" si="1"/>
        <v>stage_bug_bonuses_13301_2.tmp</v>
      </c>
      <c r="F9" s="68" t="s">
        <v>169</v>
      </c>
      <c r="G9" s="65" t="s">
        <v>148</v>
      </c>
      <c r="H9" s="65" t="s">
        <v>170</v>
      </c>
      <c r="I9" s="65" t="s">
        <v>171</v>
      </c>
      <c r="J9" s="67" t="s">
        <v>172</v>
      </c>
      <c r="K9" s="65" t="s">
        <v>173</v>
      </c>
      <c r="L9" s="65" t="s">
        <v>154</v>
      </c>
      <c r="M9" s="65" t="s">
        <v>155</v>
      </c>
      <c r="N9" s="65" t="s">
        <v>156</v>
      </c>
      <c r="O9" s="65" t="s">
        <v>157</v>
      </c>
      <c r="P9" s="65" t="s">
        <v>158</v>
      </c>
      <c r="Q9" s="65" t="s">
        <v>159</v>
      </c>
      <c r="R9" s="65" t="s">
        <v>160</v>
      </c>
      <c r="S9" s="65" t="s">
        <v>161</v>
      </c>
      <c r="T9" s="65" t="s">
        <v>162</v>
      </c>
      <c r="U9" s="65" t="s">
        <v>163</v>
      </c>
      <c r="V9" s="65" t="s">
        <v>164</v>
      </c>
      <c r="W9" s="65" t="s">
        <v>165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184</v>
      </c>
      <c r="B10" s="68" t="s">
        <v>197</v>
      </c>
      <c r="C10" s="63" t="str">
        <f t="shared" si="0"/>
        <v>13301_2</v>
      </c>
      <c r="D10" s="68" t="s">
        <v>177</v>
      </c>
      <c r="E10" s="69" t="str">
        <f t="shared" si="1"/>
        <v>stage_hints_data_c_13301_2.tmp</v>
      </c>
      <c r="F10" s="68" t="s">
        <v>205</v>
      </c>
      <c r="G10" s="73" t="s">
        <v>178</v>
      </c>
      <c r="H10" s="73" t="s">
        <v>170</v>
      </c>
      <c r="I10" s="74" t="s">
        <v>179</v>
      </c>
      <c r="J10" s="67" t="s">
        <v>180</v>
      </c>
      <c r="K10" s="67" t="s">
        <v>181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251</v>
      </c>
      <c r="B11" s="68" t="s">
        <v>198</v>
      </c>
      <c r="C11" s="63" t="str">
        <f t="shared" si="0"/>
        <v>13301_2</v>
      </c>
      <c r="D11" s="68" t="s">
        <v>168</v>
      </c>
      <c r="E11" s="69" t="str">
        <f t="shared" ref="E11:E13" si="2">B11&amp;C11&amp;D11</f>
        <v>stage_hints_data_f_13301_2.tmp</v>
      </c>
      <c r="F11" s="68" t="s">
        <v>206</v>
      </c>
      <c r="G11" s="73" t="s">
        <v>178</v>
      </c>
      <c r="H11" s="73" t="s">
        <v>170</v>
      </c>
      <c r="I11" s="74" t="s">
        <v>179</v>
      </c>
      <c r="J11" s="67" t="s">
        <v>180</v>
      </c>
      <c r="K11" s="67" t="s">
        <v>181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1" t="s">
        <v>251</v>
      </c>
      <c r="B12" s="68" t="s">
        <v>199</v>
      </c>
      <c r="C12" s="63" t="str">
        <f t="shared" si="0"/>
        <v>13301_2</v>
      </c>
      <c r="D12" s="68" t="s">
        <v>168</v>
      </c>
      <c r="E12" s="69" t="str">
        <f t="shared" si="2"/>
        <v>stage_hints_i18n_13301_2.tmp</v>
      </c>
      <c r="F12" s="68" t="s">
        <v>207</v>
      </c>
      <c r="G12" s="74" t="s">
        <v>200</v>
      </c>
      <c r="H12" s="92" t="s">
        <v>201</v>
      </c>
      <c r="I12" s="73" t="s">
        <v>202</v>
      </c>
      <c r="J12" s="100" t="s">
        <v>203</v>
      </c>
      <c r="K12" s="67" t="s">
        <v>204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1" t="s">
        <v>251</v>
      </c>
      <c r="B13" s="68" t="s">
        <v>245</v>
      </c>
      <c r="C13" s="63" t="str">
        <f t="shared" si="0"/>
        <v>13301_2</v>
      </c>
      <c r="D13" s="68" t="s">
        <v>226</v>
      </c>
      <c r="E13" s="69" t="str">
        <f t="shared" si="2"/>
        <v>stage_bonuses_13301_2.tmp</v>
      </c>
      <c r="F13" s="68" t="s">
        <v>225</v>
      </c>
      <c r="G13" s="73" t="s">
        <v>227</v>
      </c>
      <c r="H13" s="73" t="s">
        <v>228</v>
      </c>
      <c r="I13" s="73" t="s">
        <v>229</v>
      </c>
      <c r="J13" s="73" t="s">
        <v>230</v>
      </c>
      <c r="K13" s="73" t="s">
        <v>231</v>
      </c>
      <c r="L13" s="73" t="s">
        <v>232</v>
      </c>
      <c r="M13" s="73" t="s">
        <v>233</v>
      </c>
      <c r="N13" s="73" t="s">
        <v>234</v>
      </c>
      <c r="O13" s="73" t="s">
        <v>235</v>
      </c>
      <c r="P13" s="73" t="s">
        <v>236</v>
      </c>
      <c r="Q13" s="73" t="s">
        <v>237</v>
      </c>
      <c r="R13" s="73" t="s">
        <v>238</v>
      </c>
      <c r="S13" s="73" t="s">
        <v>239</v>
      </c>
      <c r="T13" s="73" t="s">
        <v>240</v>
      </c>
      <c r="U13" s="73" t="s">
        <v>241</v>
      </c>
      <c r="V13" s="73" t="s">
        <v>242</v>
      </c>
      <c r="W13" s="73" t="s">
        <v>243</v>
      </c>
      <c r="X13" s="73" t="s">
        <v>244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E10" sqref="E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20.33203125" style="3" customWidth="1" outlineLevel="1"/>
    <col min="5" max="5" width="18.66406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13301_2-1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2</v>
      </c>
      <c r="G2" s="23" t="str">
        <f>C2&amp;"_"&amp;F2</f>
        <v>13301_2</v>
      </c>
      <c r="H2" s="15" t="str">
        <f ca="1">VLOOKUP($G2,OFFSET([2]stages!$A$1,0,0,COUNTA([2]stages!$A:$A),MATCH(H$1,[2]stages!$2:$2,0)-MATCH($G$1,[2]stages!$2:$2,0)+1),MATCH(H$1,[2]stages!$2:$2,0)-MATCH($G$1,[2]stages!$2:$2,0)+1,FALSE)</f>
        <v>2階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13301_2-2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2</v>
      </c>
      <c r="G3" s="23" t="str">
        <f>C3&amp;"_"&amp;F3</f>
        <v>13301_2</v>
      </c>
      <c r="H3" s="15" t="str">
        <f ca="1">VLOOKUP($G3,OFFSET([2]stages!$A$1,0,0,COUNTA([2]stages!$A:$A),MATCH(H$1,[2]stages!$2:$2,0)-MATCH($G$1,[2]stages!$2:$2,0)+1),MATCH(H$1,[2]stages!$2:$2,0)-MATCH($G$1,[2]stages!$2:$2,0)+1,FALSE)</f>
        <v>2階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13301_2-3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2</v>
      </c>
      <c r="G4" s="23" t="str">
        <f>C4&amp;"_"&amp;F4</f>
        <v>13301_2</v>
      </c>
      <c r="H4" s="15" t="str">
        <f ca="1">VLOOKUP($G4,OFFSET([2]stages!$A$1,0,0,COUNTA([2]stages!$A:$A),MATCH(H$1,[2]stages!$2:$2,0)-MATCH($G$1,[2]stages!$2:$2,0)+1),MATCH(H$1,[2]stages!$2:$2,0)-MATCH($G$1,[2]stages!$2:$2,0)+1,FALSE)</f>
        <v>2階 コスト制限なし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20" zoomScaleNormal="120" zoomScalePageLayoutView="120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P11" sqref="P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2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246</v>
      </c>
      <c r="U1" s="26" t="s">
        <v>50</v>
      </c>
      <c r="V1" s="101" t="s">
        <v>247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176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13301_2-1/418&lt;lv1&gt;s2</v>
      </c>
      <c r="B2" s="22">
        <v>13301</v>
      </c>
      <c r="C2" s="21">
        <v>2</v>
      </c>
      <c r="D2" s="2" t="str">
        <f t="shared" ref="D2:D7" si="1">B2&amp;"_"&amp;C2</f>
        <v>13301_2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2階 コスト制限なし</v>
      </c>
      <c r="G2" s="21">
        <v>1</v>
      </c>
      <c r="H2" s="15" t="str">
        <f t="shared" ref="H2:H7" si="2">B2&amp;"_"&amp;C2&amp;"-"&amp;G2</f>
        <v>13301_2-1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418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ウラシマ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</v>
      </c>
      <c r="S2" s="25">
        <v>4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17720</v>
      </c>
      <c r="U2" s="25">
        <v>8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1744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二人は何かに怯えているみたいだ…</v>
      </c>
      <c r="Y2" s="62">
        <v>13301280</v>
      </c>
      <c r="Z2" s="6">
        <v>1</v>
      </c>
      <c r="AA2" s="6">
        <v>100</v>
      </c>
      <c r="AB2" s="6">
        <v>2</v>
      </c>
      <c r="AC2" s="17">
        <v>2</v>
      </c>
      <c r="AD2" s="24">
        <f t="shared" ref="AD2:AD7" si="3">L2</f>
        <v>418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ウラシマ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7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ca="1" si="0"/>
        <v>13301_2-1/502&lt;lv1&gt;s3</v>
      </c>
      <c r="B3" s="22">
        <v>13301</v>
      </c>
      <c r="C3" s="21">
        <v>2</v>
      </c>
      <c r="D3" s="2" t="str">
        <f t="shared" si="1"/>
        <v>13301_2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2階 コスト制限なし</v>
      </c>
      <c r="G3" s="21">
        <v>1</v>
      </c>
      <c r="H3" s="15" t="str">
        <f t="shared" si="2"/>
        <v>13301_2-1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502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テラベル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</v>
      </c>
      <c r="S3" s="25">
        <v>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15275</v>
      </c>
      <c r="U3" s="25">
        <v>5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1700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3ターンスキルバインド+全体攻撃</v>
      </c>
      <c r="Y3" s="62">
        <v>13301281</v>
      </c>
      <c r="Z3" s="6">
        <v>1</v>
      </c>
      <c r="AA3" s="6">
        <v>100</v>
      </c>
      <c r="AB3" s="6">
        <v>1</v>
      </c>
      <c r="AC3" s="17">
        <f ca="1">VLOOKUP($L3,OFFSET([3]enemies!$A$1,0,0,COUNTA([3]enemies!$A:$A),MATCH(AC$1,[3]enemies!$1:$1,0)-MATCH($L$1,[3]enemies!$1:$1,0)+1),MATCH(AC$1,[3]enemies!$1:$1,0)-MATCH($L$1,[3]enemies!$1:$1,0)+1,FALSE)</f>
        <v>3</v>
      </c>
      <c r="AD3" s="24">
        <f t="shared" si="3"/>
        <v>502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テラベル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ca="1" si="0"/>
        <v>13301_2-2/299&lt;lv1&gt;s2</v>
      </c>
      <c r="B4" s="22">
        <v>13301</v>
      </c>
      <c r="C4" s="107">
        <v>2</v>
      </c>
      <c r="D4" s="15" t="str">
        <f t="shared" si="1"/>
        <v>13301_2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2階 コスト制限なし</v>
      </c>
      <c r="G4" s="107">
        <v>2</v>
      </c>
      <c r="H4" s="15" t="str">
        <f t="shared" si="2"/>
        <v>13301_2-2</v>
      </c>
      <c r="I4" s="4" t="e">
        <f ca="1">VLOOKUP($H4,OFFSET([5]floors!$A$1,0,0,COUNTA([5]floors!$A:$A),MATCH(I$1,[5]floors!$1:$1,0)-MATCH($H$1,[5]floors!$1:$1,0)+1),MATCH(I$1,[5]floors!$1:$1,0)-MATCH($H$1,[5]floors!$1:$1,0)+1,FALSE)</f>
        <v>#VALUE!</v>
      </c>
      <c r="J4" s="4" t="e">
        <f ca="1">VLOOKUP($H4,OFFSET([5]floors!$A$1,0,0,COUNTA([5]floors!$A:$A),MATCH(J$1,[5]floors!$1:$1,0)-MATCH($H$1,[5]floors!$1:$1,0)+1),MATCH(J$1,[5]floors!$1:$1,0)-MATCH($H$1,[5]floors!$1:$1,0)+1,FALSE)</f>
        <v>#VALUE!</v>
      </c>
      <c r="K4" s="38">
        <v>1</v>
      </c>
      <c r="L4" s="108">
        <v>299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狂気の炎風 ミサコ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</v>
      </c>
      <c r="S4" s="25">
        <v>8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35440</v>
      </c>
      <c r="U4" s="25">
        <v>12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2616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4" s="62">
        <v>13301291</v>
      </c>
      <c r="Z4" s="6">
        <v>1</v>
      </c>
      <c r="AA4" s="6">
        <v>100</v>
      </c>
      <c r="AB4" s="6">
        <v>2</v>
      </c>
      <c r="AC4" s="17">
        <f ca="1">VLOOKUP($L4,OFFSET([3]enemies!$A$1,0,0,COUNTA([3]enemies!$A:$A),MATCH(AC$1,[3]enemies!$1:$1,0)-MATCH($L$1,[3]enemies!$1:$1,0)+1),MATCH(AC$1,[3]enemies!$1:$1,0)-MATCH($L$1,[3]enemies!$1:$1,0)+1,FALSE)</f>
        <v>2</v>
      </c>
      <c r="AD4" s="109">
        <f t="shared" si="3"/>
        <v>299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狂気の炎風 ミサコ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Drop2W</v>
      </c>
      <c r="AH4" s="110">
        <v>1</v>
      </c>
      <c r="AI4" s="109">
        <f t="shared" ca="1" si="4"/>
        <v>4</v>
      </c>
      <c r="AJ4" s="8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1</v>
      </c>
      <c r="AP4" s="70">
        <v>1</v>
      </c>
    </row>
    <row r="5" spans="1:42" ht="21" customHeight="1" x14ac:dyDescent="0.15">
      <c r="A5" s="16" t="str">
        <f t="shared" si="0"/>
        <v>13301_2-2/856&lt;lv1&gt;s2</v>
      </c>
      <c r="B5" s="22">
        <v>13301</v>
      </c>
      <c r="C5" s="107">
        <v>2</v>
      </c>
      <c r="D5" s="15" t="str">
        <f t="shared" si="1"/>
        <v>13301_2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2階 コスト制限なし</v>
      </c>
      <c r="G5" s="107">
        <v>2</v>
      </c>
      <c r="H5" s="15" t="str">
        <f t="shared" si="2"/>
        <v>13301_2-2</v>
      </c>
      <c r="I5" s="4" t="e">
        <f ca="1">VLOOKUP($H5,OFFSET([5]floors!$A$1,0,0,COUNTA([5]floors!$A:$A),MATCH(I$1,[5]floors!$1:$1,0)-MATCH($H$1,[5]floors!$1:$1,0)+1),MATCH(I$1,[5]floors!$1:$1,0)-MATCH($H$1,[5]floors!$1:$1,0)+1,FALSE)</f>
        <v>#VALUE!</v>
      </c>
      <c r="J5" s="4" t="e">
        <f ca="1">VLOOKUP($H5,OFFSET([5]floors!$A$1,0,0,COUNTA([5]floors!$A:$A),MATCH(J$1,[5]floors!$1:$1,0)-MATCH($H$1,[5]floors!$1:$1,0)+1),MATCH(J$1,[5]floors!$1:$1,0)-MATCH($H$1,[5]floors!$1:$1,0)+1,FALSE)</f>
        <v>#VALUE!</v>
      </c>
      <c r="K5" s="38">
        <v>2</v>
      </c>
      <c r="L5" s="108">
        <v>856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リフレクト＆M.I.R.R.O.R.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7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19250</v>
      </c>
      <c r="U5" s="25">
        <v>9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2070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5" s="62">
        <v>13301290</v>
      </c>
      <c r="Z5" s="6">
        <v>1</v>
      </c>
      <c r="AA5" s="6">
        <v>100</v>
      </c>
      <c r="AB5" s="6">
        <v>1</v>
      </c>
      <c r="AC5" s="17">
        <v>2</v>
      </c>
      <c r="AD5" s="109">
        <f t="shared" si="3"/>
        <v>856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リフレクト＆M.I.R.R.O.R.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110">
        <v>1</v>
      </c>
      <c r="AI5" s="109">
        <f t="shared" ca="1" si="4"/>
        <v>4</v>
      </c>
      <c r="AJ5" s="8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1</v>
      </c>
      <c r="AP5" s="70">
        <v>1</v>
      </c>
    </row>
    <row r="6" spans="1:42" ht="21" customHeight="1" x14ac:dyDescent="0.15">
      <c r="A6" s="16" t="str">
        <f t="shared" si="0"/>
        <v>13301_2-3/1022&lt;lv1&gt;s2</v>
      </c>
      <c r="B6" s="22">
        <v>13301</v>
      </c>
      <c r="C6" s="107">
        <v>2</v>
      </c>
      <c r="D6" s="15" t="str">
        <f t="shared" si="1"/>
        <v>13301_2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2階 コスト制限なし</v>
      </c>
      <c r="G6" s="107">
        <v>3</v>
      </c>
      <c r="H6" s="15" t="str">
        <f t="shared" si="2"/>
        <v>13301_2-3</v>
      </c>
      <c r="I6" s="4" t="e">
        <f ca="1">VLOOKUP($H6,OFFSET([5]floors!$A$1,0,0,COUNTA([5]floors!$A:$A),MATCH(I$1,[5]floors!$1:$1,0)-MATCH($H$1,[5]floors!$1:$1,0)+1),MATCH(I$1,[5]floors!$1:$1,0)-MATCH($H$1,[5]floors!$1:$1,0)+1,FALSE)</f>
        <v>#VALUE!</v>
      </c>
      <c r="J6" s="4" t="e">
        <f ca="1">VLOOKUP($H6,OFFSET([5]floors!$A$1,0,0,COUNTA([5]floors!$A:$A),MATCH(J$1,[5]floors!$1:$1,0)-MATCH($H$1,[5]floors!$1:$1,0)+1),MATCH(J$1,[5]floors!$1:$1,0)-MATCH($H$1,[5]floors!$1:$1,0)+1,FALSE)</f>
        <v>#VALUE!</v>
      </c>
      <c r="K6" s="38">
        <v>1</v>
      </c>
      <c r="L6" s="108">
        <v>1022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那須与一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1</v>
      </c>
      <c r="S6" s="25">
        <v>10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28040</v>
      </c>
      <c r="U6" s="25">
        <v>10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2210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4ターンの間攻撃頻度UP</v>
      </c>
      <c r="Y6" s="62">
        <v>13301292</v>
      </c>
      <c r="Z6" s="6">
        <v>1</v>
      </c>
      <c r="AA6" s="6">
        <v>100</v>
      </c>
      <c r="AB6" s="6">
        <v>2</v>
      </c>
      <c r="AC6" s="17">
        <v>2</v>
      </c>
      <c r="AD6" s="109">
        <f t="shared" si="3"/>
        <v>1022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那須与一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10">
        <v>1</v>
      </c>
      <c r="AI6" s="109">
        <f t="shared" ca="1" si="4"/>
        <v>4</v>
      </c>
      <c r="AJ6" s="8">
        <v>0</v>
      </c>
      <c r="AK6" s="110">
        <v>0</v>
      </c>
      <c r="AL6" s="110">
        <v>0</v>
      </c>
      <c r="AM6" s="110">
        <v>0</v>
      </c>
      <c r="AN6" s="110">
        <v>0</v>
      </c>
      <c r="AO6" s="110">
        <v>1</v>
      </c>
      <c r="AP6" s="70">
        <v>1</v>
      </c>
    </row>
    <row r="7" spans="1:42" ht="21" customHeight="1" x14ac:dyDescent="0.15">
      <c r="A7" s="16" t="str">
        <f t="shared" si="0"/>
        <v>13301_2-3/720&lt;lv1&gt;s2</v>
      </c>
      <c r="B7" s="22">
        <v>13301</v>
      </c>
      <c r="C7" s="107">
        <v>2</v>
      </c>
      <c r="D7" s="15" t="str">
        <f t="shared" si="1"/>
        <v>13301_2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2階 コスト制限なし</v>
      </c>
      <c r="G7" s="107">
        <v>3</v>
      </c>
      <c r="H7" s="15" t="str">
        <f t="shared" si="2"/>
        <v>13301_2-3</v>
      </c>
      <c r="I7" s="4" t="e">
        <f ca="1">VLOOKUP($H7,OFFSET([5]floors!$A$1,0,0,COUNTA([5]floors!$A:$A),MATCH(I$1,[5]floors!$1:$1,0)-MATCH($H$1,[5]floors!$1:$1,0)+1),MATCH(I$1,[5]floors!$1:$1,0)-MATCH($H$1,[5]floors!$1:$1,0)+1,FALSE)</f>
        <v>#VALUE!</v>
      </c>
      <c r="J7" s="4" t="e">
        <f ca="1">VLOOKUP($H7,OFFSET([5]floors!$A$1,0,0,COUNTA([5]floors!$A:$A),MATCH(J$1,[5]floors!$1:$1,0)-MATCH($H$1,[5]floors!$1:$1,0)+1),MATCH(J$1,[5]floors!$1:$1,0)-MATCH($H$1,[5]floors!$1:$1,0)+1,FALSE)</f>
        <v>#VALUE!</v>
      </c>
      <c r="K7" s="38">
        <v>2</v>
      </c>
      <c r="L7" s="108">
        <v>720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直江兼続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</v>
      </c>
      <c r="S7" s="25">
        <v>9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40662</v>
      </c>
      <c r="U7" s="25">
        <v>10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2090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3回連続攻撃+3ターン暗闇</v>
      </c>
      <c r="Y7" s="62">
        <v>13301293</v>
      </c>
      <c r="Z7" s="6">
        <v>1</v>
      </c>
      <c r="AA7" s="6">
        <v>100</v>
      </c>
      <c r="AB7" s="6">
        <v>1</v>
      </c>
      <c r="AC7" s="17">
        <v>2</v>
      </c>
      <c r="AD7" s="109">
        <f t="shared" si="3"/>
        <v>720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直江兼続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110">
        <v>1</v>
      </c>
      <c r="AI7" s="109">
        <f t="shared" ca="1" si="4"/>
        <v>4</v>
      </c>
      <c r="AJ7" s="8">
        <v>0</v>
      </c>
      <c r="AK7" s="110">
        <v>0</v>
      </c>
      <c r="AL7" s="110">
        <v>0</v>
      </c>
      <c r="AM7" s="110">
        <v>0</v>
      </c>
      <c r="AN7" s="110">
        <v>0</v>
      </c>
      <c r="AO7" s="110">
        <v>1</v>
      </c>
      <c r="AP7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O23" sqref="O2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246</v>
      </c>
      <c r="V1" s="26" t="s">
        <v>50</v>
      </c>
      <c r="W1" s="101" t="s">
        <v>247</v>
      </c>
      <c r="X1" s="26" t="s">
        <v>52</v>
      </c>
      <c r="Y1" s="28" t="s">
        <v>127</v>
      </c>
      <c r="Z1" s="29" t="s">
        <v>126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tabSelected="1" zoomScale="120" zoomScaleNormal="120" zoomScalePageLayoutView="120" workbookViewId="0">
      <pane xSplit="5" ySplit="1" topLeftCell="F2" activePane="bottomRight" state="frozen"/>
      <selection pane="topRight"/>
      <selection pane="bottomLeft"/>
      <selection pane="bottomRight" activeCell="D3" sqref="D3"/>
    </sheetView>
  </sheetViews>
  <sheetFormatPr baseColWidth="12" defaultColWidth="12.83203125" defaultRowHeight="21" customHeight="1" outlineLevelCol="1" x14ac:dyDescent="0.15"/>
  <cols>
    <col min="1" max="1" width="9" style="39" customWidth="1"/>
    <col min="2" max="2" width="9.5" style="49" bestFit="1" customWidth="1"/>
    <col min="3" max="3" width="9.1640625" style="49" customWidth="1"/>
    <col min="4" max="4" width="10" style="49" customWidth="1" outlineLevel="1"/>
    <col min="5" max="5" width="7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19" si="0">B2&amp;"_"&amp;C2</f>
        <v>13301280_13301220</v>
      </c>
      <c r="B2" s="47">
        <v>13301280</v>
      </c>
      <c r="C2" s="47">
        <v>13301220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二人は何かに怯えているみたいだ…</v>
      </c>
      <c r="F2" s="47">
        <v>13301220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13301280_13301221</v>
      </c>
      <c r="B3" s="47">
        <v>13301280</v>
      </c>
      <c r="C3" s="47">
        <v>13301221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フリーズしてろ！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3ターンスキルバインド+単体攻撃</v>
      </c>
      <c r="F3" s="47">
        <v>13301221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3" s="47"/>
      <c r="Q3" s="47"/>
      <c r="R3" s="47"/>
    </row>
    <row r="4" spans="1:18" ht="21" customHeight="1" x14ac:dyDescent="0.15">
      <c r="A4" s="39" t="str">
        <f t="shared" si="0"/>
        <v>13301280_13301222</v>
      </c>
      <c r="B4" s="47">
        <v>13301280</v>
      </c>
      <c r="C4" s="47">
        <v>13301222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壊れなガラクタども！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単体攻撃</v>
      </c>
      <c r="F4" s="47">
        <v>13301222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4" s="47"/>
      <c r="Q4" s="47"/>
      <c r="R4" s="47"/>
    </row>
    <row r="5" spans="1:18" ht="21" customHeight="1" x14ac:dyDescent="0.15">
      <c r="A5" s="39" t="str">
        <f t="shared" si="0"/>
        <v>13301280_13301223</v>
      </c>
      <c r="B5" s="47">
        <v>13301280</v>
      </c>
      <c r="C5" s="47">
        <v>13301223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負けるわけにはいかない！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攻撃力UP</v>
      </c>
      <c r="F5" s="47">
        <v>13301223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502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13301281_13301224</v>
      </c>
      <c r="B6" s="47">
        <v>13301281</v>
      </c>
      <c r="C6" s="47">
        <v>13301224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ネット弾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3ターンスキルバインド+全体攻撃</v>
      </c>
      <c r="F6" s="47">
        <v>13301224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6" s="47"/>
      <c r="Q6" s="47"/>
      <c r="R6" s="47"/>
    </row>
    <row r="7" spans="1:18" ht="21" customHeight="1" x14ac:dyDescent="0.15">
      <c r="A7" s="39" t="str">
        <f t="shared" si="0"/>
        <v>13301281_13301225</v>
      </c>
      <c r="B7" s="47">
        <v>13301281</v>
      </c>
      <c r="C7" s="47">
        <v>13301225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バズーカ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7">
        <v>13301225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7" s="47"/>
      <c r="Q7" s="47"/>
      <c r="R7" s="47"/>
    </row>
    <row r="8" spans="1:18" ht="21" customHeight="1" x14ac:dyDescent="0.15">
      <c r="A8" s="39" t="str">
        <f t="shared" si="0"/>
        <v>13301281_13301226</v>
      </c>
      <c r="B8" s="47">
        <v>13301281</v>
      </c>
      <c r="C8" s="47">
        <v>13301226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パワー全開！！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攻撃力UP</v>
      </c>
      <c r="F8" s="47">
        <v>13301226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418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13301291_13301260</v>
      </c>
      <c r="B9" s="47">
        <v>13301291</v>
      </c>
      <c r="C9" s="47">
        <v>13301260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おまえらを蹴散らせば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" s="47">
        <v>13301260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13301290_13301261</v>
      </c>
      <c r="B10" s="47">
        <v>13301290</v>
      </c>
      <c r="C10" s="47">
        <v>13301261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ボナンザ様が望みを_x000D_叶えて下さるはずじゃ！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" s="47">
        <v>13301261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13301290_13301262</v>
      </c>
      <c r="B11" s="47">
        <v>13301290</v>
      </c>
      <c r="C11" s="47">
        <v>13301262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わらわの心の炎は消させない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3ターン青属性の攻撃力60%DOWN+_x000D_単体攻撃</v>
      </c>
      <c r="F11" s="47">
        <v>13301262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1" s="47"/>
      <c r="Q11" s="47"/>
      <c r="R11" s="47"/>
    </row>
    <row r="12" spans="1:18" ht="21" customHeight="1" x14ac:dyDescent="0.15">
      <c r="A12" s="39" t="str">
        <f t="shared" si="0"/>
        <v>13301290_13301263</v>
      </c>
      <c r="B12" s="47">
        <v>13301290</v>
      </c>
      <c r="C12" s="47">
        <v>13301263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わらわは誰にも汚されず、_x000D_美しいのじゃ！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2回連続攻撃+_x000D_2ターン防御力大UP</v>
      </c>
      <c r="F12" s="47">
        <v>13301263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13301291_13301264</v>
      </c>
      <c r="B13" s="47">
        <v>13301291</v>
      </c>
      <c r="C13" s="47">
        <v>13301264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燃えろ燃えろー！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4ターンの間攻撃頻度UP</v>
      </c>
      <c r="F13" s="47">
        <v>13301264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13301291_13301265</v>
      </c>
      <c r="B14" s="47">
        <v>13301291</v>
      </c>
      <c r="C14" s="47">
        <v>13301265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紅蓮弾！！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4" s="47">
        <v>13301265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4" s="47"/>
      <c r="Q14" s="47"/>
      <c r="R14" s="47"/>
    </row>
    <row r="15" spans="1:18" ht="21" customHeight="1" x14ac:dyDescent="0.15">
      <c r="A15" s="39" t="str">
        <f t="shared" si="0"/>
        <v>13301292_13301266</v>
      </c>
      <c r="B15" s="47">
        <v>13301292</v>
      </c>
      <c r="C15" s="47">
        <v>13301266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ボナンザの声が聞こえる…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4ターンの間攻撃頻度UP</v>
      </c>
      <c r="F15" s="47">
        <v>13301266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13301292_13301268</v>
      </c>
      <c r="B16" s="47">
        <v>13301292</v>
      </c>
      <c r="C16" s="47">
        <v>13301268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頭を冷やすんだな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3ターン赤属性の攻撃力70%DOWN+_x000D_単体攻撃</v>
      </c>
      <c r="F16" s="47">
        <v>13301268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6" s="47"/>
      <c r="Q16" s="47"/>
      <c r="R16" s="47"/>
    </row>
    <row r="17" spans="1:18" ht="21" customHeight="1" x14ac:dyDescent="0.15">
      <c r="A17" s="39" t="str">
        <f t="shared" si="0"/>
        <v>13301292_13301269</v>
      </c>
      <c r="B17" s="47">
        <v>13301292</v>
      </c>
      <c r="C17" s="47">
        <v>13301269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ダークネスショット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クリティカル+3ターン暗闇</v>
      </c>
      <c r="F17" s="47">
        <v>13301269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7" s="47"/>
      <c r="Q17" s="47"/>
      <c r="R17" s="47"/>
    </row>
    <row r="18" spans="1:18" ht="21" customHeight="1" x14ac:dyDescent="0.15">
      <c r="A18" s="39" t="str">
        <f t="shared" si="0"/>
        <v>13301293_13301270</v>
      </c>
      <c r="B18" s="47">
        <v>13301293</v>
      </c>
      <c r="C18" s="47">
        <v>13301270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俺の接近に耐え切れるかな？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3回連続攻撃+3ターン暗闇</v>
      </c>
      <c r="F18" s="47">
        <v>13301270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8" s="47"/>
      <c r="Q18" s="47"/>
      <c r="R18" s="47"/>
    </row>
    <row r="19" spans="1:18" ht="21" customHeight="1" x14ac:dyDescent="0.15">
      <c r="A19" s="39" t="str">
        <f t="shared" si="0"/>
        <v>13301293_13301271</v>
      </c>
      <c r="B19" s="47">
        <v>13301293</v>
      </c>
      <c r="C19" s="47">
        <v>13301271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ワン・ツー！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9" s="47">
        <v>13301271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19" s="47"/>
      <c r="Q19" s="47"/>
      <c r="R1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9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:A1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46" style="49" customWidth="1"/>
    <col min="3" max="3" width="10.5" style="49" customWidth="1"/>
    <col min="4" max="4" width="5.1640625" style="49" customWidth="1"/>
    <col min="5" max="5" width="26.5" style="49" customWidth="1"/>
    <col min="6" max="6" width="57.332031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14.6640625" style="49" customWidth="1" collapsed="1"/>
    <col min="13" max="18" width="23.6640625" style="49" hidden="1" customWidth="1" outlineLevel="1"/>
    <col min="19" max="19" width="12.83203125" style="49" customWidth="1" collapsed="1"/>
    <col min="20" max="24" width="23.6640625" style="49" hidden="1" customWidth="1" outlineLevel="1"/>
    <col min="25" max="25" width="8.332031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124</v>
      </c>
      <c r="E1" s="40" t="s">
        <v>81</v>
      </c>
      <c r="F1" s="40" t="s">
        <v>82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75</v>
      </c>
      <c r="AA1" s="41" t="s">
        <v>76</v>
      </c>
      <c r="AB1" s="41" t="s">
        <v>77</v>
      </c>
    </row>
    <row r="2" spans="1:28" ht="35" customHeight="1" x14ac:dyDescent="0.15">
      <c r="A2" s="47">
        <v>13301220</v>
      </c>
      <c r="B2" s="47" t="s">
        <v>295</v>
      </c>
      <c r="C2" s="50">
        <v>3</v>
      </c>
      <c r="D2" s="50" t="s">
        <v>125</v>
      </c>
      <c r="E2" s="51" t="s">
        <v>327</v>
      </c>
      <c r="F2" s="51" t="s">
        <v>330</v>
      </c>
      <c r="G2" s="64" t="str">
        <f t="shared" ref="G2:G19" si="0">IFERROR(LEFT(B2,FIND("],",B2)),B2)</f>
        <v>[effect:enemy_message, val1:0, val2:2.4]</v>
      </c>
      <c r="H2" s="64">
        <f t="shared" ref="H2:H19" si="1">FIND("effect:",G2)+7</f>
        <v>9</v>
      </c>
      <c r="I2" s="64">
        <f t="shared" ref="I2:I19" si="2">IFERROR(FIND(",",G2),LEN(G2))</f>
        <v>22</v>
      </c>
      <c r="J2" s="64" t="e">
        <f t="shared" ref="J2:J19" si="3">FIND("target:",G2)+7</f>
        <v>#VALUE!</v>
      </c>
      <c r="K2" s="64">
        <f t="shared" ref="K2:K19" si="4">FIND(",",G2,I2+1)</f>
        <v>30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" si="5">IFERROR(RIGHT(B2,LEN(B2)-FIND("],",B2)-1),"none")</f>
        <v>none</v>
      </c>
      <c r="N2" s="48" t="str">
        <f>IFERROR(LEFT(M2,FIND("],",M2)+#REF!),M2)</f>
        <v>none</v>
      </c>
      <c r="O2" s="64" t="e">
        <f t="shared" ref="O2" si="6">FIND("effect:",N2)+7</f>
        <v>#VALUE!</v>
      </c>
      <c r="P2" s="64">
        <f t="shared" ref="P2" si="7">IFERROR(FIND(",",N2),LEN(N2))</f>
        <v>4</v>
      </c>
      <c r="Q2" s="64" t="e">
        <f t="shared" ref="Q2" si="8">FIND("target:",N2)+7</f>
        <v>#VALUE!</v>
      </c>
      <c r="R2" s="64" t="e">
        <f t="shared" ref="R2" si="9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" si="10">IFERROR(RIGHT(M2,LEN(M2)-FIND("],",M2)-1),"none")</f>
        <v>none</v>
      </c>
      <c r="U2" s="64" t="e">
        <f t="shared" ref="U2" si="11">FIND("effect:",T2)+7</f>
        <v>#VALUE!</v>
      </c>
      <c r="V2" s="64">
        <f t="shared" ref="V2" si="12">IFERROR(FIND(",",T2),LEN(T2))</f>
        <v>4</v>
      </c>
      <c r="W2" s="64" t="e">
        <f t="shared" ref="W2" si="13">FIND("target:",T2)+7</f>
        <v>#VALUE!</v>
      </c>
      <c r="X2" s="64" t="e">
        <f t="shared" ref="X2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13301221</v>
      </c>
      <c r="B3" s="47" t="s">
        <v>331</v>
      </c>
      <c r="C3" s="50">
        <v>3</v>
      </c>
      <c r="D3" s="50" t="s">
        <v>125</v>
      </c>
      <c r="E3" s="51" t="s">
        <v>267</v>
      </c>
      <c r="F3" s="51" t="s">
        <v>263</v>
      </c>
      <c r="G3" s="64" t="str">
        <f t="shared" si="0"/>
        <v>[effect:rush, count:1, val:1]</v>
      </c>
      <c r="H3" s="64">
        <f t="shared" si="1"/>
        <v>9</v>
      </c>
      <c r="I3" s="64">
        <f t="shared" si="2"/>
        <v>13</v>
      </c>
      <c r="J3" s="64" t="e">
        <f t="shared" si="3"/>
        <v>#VALUE!</v>
      </c>
      <c r="K3" s="64">
        <f t="shared" si="4"/>
        <v>22</v>
      </c>
      <c r="L3" s="64" t="str">
        <f>IFERROR(VLOOKUP(MID(G3,J3,K3-J3),[6]skilldef!$C:$D,2,FALSE),"-") &amp; " / " &amp; IFERROR(VLOOKUP(MID(G3,H3,I3-H3),[6]skilldef!$A:$B,2,FALSE),"-")</f>
        <v>- / 連続攻撃</v>
      </c>
      <c r="M3" s="64" t="str">
        <f t="shared" ref="M3:M4" si="15">IFERROR(RIGHT(B3,LEN(B3)-FIND("],",B3)-1),"none")</f>
        <v>[effect:hungup, target:unit_all, turn:3, rate:1, animation:hungup01],[effect:enemy_message, val1:1.4, val2:1.9]</v>
      </c>
      <c r="N3" s="48" t="str">
        <f>IFERROR(LEFT(M3,FIND("],",M3)+#REF!),M3)</f>
        <v>[effect:hungup, target:unit_all, turn:3, rate:1, animation:hungup01],[effect:enemy_message, val1:1.4, val2:1.9]</v>
      </c>
      <c r="O3" s="64">
        <f t="shared" ref="O3:O4" si="16">FIND("effect:",N3)+7</f>
        <v>9</v>
      </c>
      <c r="P3" s="64">
        <f t="shared" ref="P3:P4" si="17">IFERROR(FIND(",",N3),LEN(N3))</f>
        <v>15</v>
      </c>
      <c r="Q3" s="64">
        <f t="shared" ref="Q3:Q4" si="18">FIND("target:",N3)+7</f>
        <v>24</v>
      </c>
      <c r="R3" s="64">
        <f t="shared" ref="R3:R4" si="19">FIND(",",N3,P3+1)</f>
        <v>32</v>
      </c>
      <c r="S3" s="64" t="str">
        <f>IFERROR(VLOOKUP(MID(N3,Q3,R3-Q3),[6]skilldef!$C:$D,2,FALSE),"-") &amp; " / " &amp; IFERROR(VLOOKUP(MID(N3,O3,P3-O3),[6]skilldef!$A:$B,2,FALSE),"-")</f>
        <v>味方全体に / ハングアップ</v>
      </c>
      <c r="T3" s="48" t="str">
        <f t="shared" ref="T3:T4" si="20">IFERROR(RIGHT(M3,LEN(M3)-FIND("],",M3)-1),"none")</f>
        <v>[effect:enemy_message, val1:1.4, val2:1.9]</v>
      </c>
      <c r="U3" s="64">
        <f t="shared" ref="U3:U4" si="21">FIND("effect:",T3)+7</f>
        <v>9</v>
      </c>
      <c r="V3" s="64">
        <f t="shared" ref="V3:V4" si="22">IFERROR(FIND(",",T3),LEN(T3))</f>
        <v>22</v>
      </c>
      <c r="W3" s="64" t="e">
        <f t="shared" ref="W3:W4" si="23">FIND("target:",T3)+7</f>
        <v>#VALUE!</v>
      </c>
      <c r="X3" s="64">
        <f t="shared" ref="X3:X4" si="24">FIND(",",T3,V3+1)</f>
        <v>32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 t="s">
        <v>257</v>
      </c>
    </row>
    <row r="4" spans="1:28" ht="21" customHeight="1" x14ac:dyDescent="0.15">
      <c r="A4" s="47">
        <v>13301222</v>
      </c>
      <c r="B4" s="47" t="s">
        <v>332</v>
      </c>
      <c r="C4" s="50">
        <v>3</v>
      </c>
      <c r="D4" s="50" t="s">
        <v>125</v>
      </c>
      <c r="E4" s="51" t="s">
        <v>329</v>
      </c>
      <c r="F4" s="51" t="s">
        <v>262</v>
      </c>
      <c r="G4" s="64" t="str">
        <f t="shared" si="0"/>
        <v>[effect:rush, count:1, val:1.1]</v>
      </c>
      <c r="H4" s="64">
        <f t="shared" si="1"/>
        <v>9</v>
      </c>
      <c r="I4" s="64">
        <f t="shared" si="2"/>
        <v>13</v>
      </c>
      <c r="J4" s="64" t="e">
        <f t="shared" si="3"/>
        <v>#VALUE!</v>
      </c>
      <c r="K4" s="64">
        <f t="shared" si="4"/>
        <v>22</v>
      </c>
      <c r="L4" s="64" t="str">
        <f>IFERROR(VLOOKUP(MID(G4,J4,K4-J4),[6]skilldef!$C:$D,2,FALSE),"-") &amp; " / " &amp; IFERROR(VLOOKUP(MID(G4,H4,I4-H4),[6]skilldef!$A:$B,2,FALSE),"-")</f>
        <v>- / 連続攻撃</v>
      </c>
      <c r="M4" s="64" t="str">
        <f t="shared" si="15"/>
        <v>[effect:enemy_message, val1:1.4, val2:1.8]</v>
      </c>
      <c r="N4" s="48" t="str">
        <f>IFERROR(LEFT(M4,FIND("],",M4)+#REF!),M4)</f>
        <v>[effect:enemy_message, val1:1.4, val2:1.8]</v>
      </c>
      <c r="O4" s="64">
        <f t="shared" si="16"/>
        <v>9</v>
      </c>
      <c r="P4" s="64">
        <f t="shared" si="17"/>
        <v>22</v>
      </c>
      <c r="Q4" s="64" t="e">
        <f t="shared" si="18"/>
        <v>#VALUE!</v>
      </c>
      <c r="R4" s="64">
        <f t="shared" si="19"/>
        <v>32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20"/>
        <v>none</v>
      </c>
      <c r="U4" s="64" t="e">
        <f t="shared" si="21"/>
        <v>#VALUE!</v>
      </c>
      <c r="V4" s="64">
        <f t="shared" si="22"/>
        <v>4</v>
      </c>
      <c r="W4" s="64" t="e">
        <f t="shared" si="23"/>
        <v>#VALUE!</v>
      </c>
      <c r="X4" s="64" t="e">
        <f t="shared" si="2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13301223</v>
      </c>
      <c r="B5" s="47" t="s">
        <v>335</v>
      </c>
      <c r="C5" s="50">
        <v>3</v>
      </c>
      <c r="D5" s="50" t="s">
        <v>125</v>
      </c>
      <c r="E5" s="51" t="s">
        <v>298</v>
      </c>
      <c r="F5" s="51" t="s">
        <v>307</v>
      </c>
      <c r="G5" s="64" t="str">
        <f t="shared" si="0"/>
        <v>[effect:enhance_enemy, target:myself, turn:-1, status:attack, val:0.5, calc:mul, animation:enemy_enhance_attack]</v>
      </c>
      <c r="H5" s="64">
        <f t="shared" si="1"/>
        <v>9</v>
      </c>
      <c r="I5" s="64">
        <f t="shared" si="2"/>
        <v>22</v>
      </c>
      <c r="J5" s="64">
        <f t="shared" si="3"/>
        <v>31</v>
      </c>
      <c r="K5" s="64">
        <f t="shared" si="4"/>
        <v>37</v>
      </c>
      <c r="L5" s="64" t="str">
        <f>IFERROR(VLOOKUP(MID(G5,J5,K5-J5),[6]skilldef!$C:$D,2,FALSE),"-") &amp; " / " &amp; IFERROR(VLOOKUP(MID(G5,H5,I5-H5),[6]skilldef!$A:$B,2,FALSE),"-")</f>
        <v>自分自身に / ステータス強化</v>
      </c>
      <c r="M5" s="64" t="str">
        <f t="shared" ref="M5:M8" si="25">IFERROR(RIGHT(B5,LEN(B5)-FIND("],",B5)-1),"none")</f>
        <v>[effect:enemy_message, val1:1.4, val2:1.6</v>
      </c>
      <c r="N5" s="48" t="str">
        <f>IFERROR(LEFT(M5,FIND("],",M5)+#REF!),M5)</f>
        <v>[effect:enemy_message, val1:1.4, val2:1.6</v>
      </c>
      <c r="O5" s="64">
        <f t="shared" ref="O5:O8" si="26">FIND("effect:",N5)+7</f>
        <v>9</v>
      </c>
      <c r="P5" s="64">
        <f t="shared" ref="P5:P8" si="27">IFERROR(FIND(",",N5),LEN(N5))</f>
        <v>22</v>
      </c>
      <c r="Q5" s="64" t="e">
        <f t="shared" ref="Q5:Q8" si="28">FIND("target:",N5)+7</f>
        <v>#VALUE!</v>
      </c>
      <c r="R5" s="64">
        <f t="shared" ref="R5:R8" si="29">FIND(",",N5,P5+1)</f>
        <v>32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ref="T5:T8" si="30">IFERROR(RIGHT(M5,LEN(M5)-FIND("],",M5)-1),"none")</f>
        <v>none</v>
      </c>
      <c r="U5" s="64" t="e">
        <f t="shared" ref="U5:U8" si="31">FIND("effect:",T5)+7</f>
        <v>#VALUE!</v>
      </c>
      <c r="V5" s="64">
        <f t="shared" ref="V5:V8" si="32">IFERROR(FIND(",",T5),LEN(T5))</f>
        <v>4</v>
      </c>
      <c r="W5" s="64" t="e">
        <f t="shared" ref="W5:W8" si="33">FIND("target:",T5)+7</f>
        <v>#VALUE!</v>
      </c>
      <c r="X5" s="64" t="e">
        <f t="shared" ref="X5:X8" si="34">FIND(",",T5,V5+1)</f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13301224</v>
      </c>
      <c r="B6" s="47" t="s">
        <v>316</v>
      </c>
      <c r="C6" s="50">
        <v>3</v>
      </c>
      <c r="D6" s="50" t="s">
        <v>125</v>
      </c>
      <c r="E6" s="51" t="s">
        <v>260</v>
      </c>
      <c r="F6" s="51" t="s">
        <v>266</v>
      </c>
      <c r="G6" s="64" t="str">
        <f t="shared" si="0"/>
        <v>[effect:spread, val:0.3]</v>
      </c>
      <c r="H6" s="64">
        <f t="shared" si="1"/>
        <v>9</v>
      </c>
      <c r="I6" s="64">
        <f t="shared" si="2"/>
        <v>15</v>
      </c>
      <c r="J6" s="64" t="e">
        <f t="shared" si="3"/>
        <v>#VALUE!</v>
      </c>
      <c r="K6" s="64" t="e">
        <f t="shared" si="4"/>
        <v>#VALUE!</v>
      </c>
      <c r="L6" s="64" t="str">
        <f>IFERROR(VLOOKUP(MID(G6,J6,K6-J6),[6]skilldef!$C:$D,2,FALSE),"-") &amp; " / " &amp; IFERROR(VLOOKUP(MID(G6,H6,I6-H6),[6]skilldef!$A:$B,2,FALSE),"-")</f>
        <v>- / 全体攻撃</v>
      </c>
      <c r="M6" s="64" t="str">
        <f t="shared" si="25"/>
        <v>[effect:hungup, target:unit_all, turn:3, rate:1, animation:hungup01],[effect:enemy_message, val1:1.4, val2:1.9]</v>
      </c>
      <c r="N6" s="48" t="str">
        <f>IFERROR(LEFT(M6,FIND("],",M6)+#REF!),M6)</f>
        <v>[effect:hungup, target:unit_all, turn:3, rate:1, animation:hungup01],[effect:enemy_message, val1:1.4, val2:1.9]</v>
      </c>
      <c r="O6" s="64">
        <f t="shared" si="26"/>
        <v>9</v>
      </c>
      <c r="P6" s="64">
        <f t="shared" si="27"/>
        <v>15</v>
      </c>
      <c r="Q6" s="64">
        <f t="shared" si="28"/>
        <v>24</v>
      </c>
      <c r="R6" s="64">
        <f t="shared" si="29"/>
        <v>32</v>
      </c>
      <c r="S6" s="64" t="str">
        <f>IFERROR(VLOOKUP(MID(N6,Q6,R6-Q6),[6]skilldef!$C:$D,2,FALSE),"-") &amp; " / " &amp; IFERROR(VLOOKUP(MID(N6,O6,P6-O6),[6]skilldef!$A:$B,2,FALSE),"-")</f>
        <v>味方全体に / ハングアップ</v>
      </c>
      <c r="T6" s="48" t="str">
        <f t="shared" si="30"/>
        <v>[effect:enemy_message, val1:1.4, val2:1.9]</v>
      </c>
      <c r="U6" s="64">
        <f t="shared" si="31"/>
        <v>9</v>
      </c>
      <c r="V6" s="64">
        <f t="shared" si="32"/>
        <v>22</v>
      </c>
      <c r="W6" s="64" t="e">
        <f t="shared" si="33"/>
        <v>#VALUE!</v>
      </c>
      <c r="X6" s="64">
        <f t="shared" si="34"/>
        <v>32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 t="s">
        <v>258</v>
      </c>
    </row>
    <row r="7" spans="1:28" ht="21" customHeight="1" x14ac:dyDescent="0.15">
      <c r="A7" s="47">
        <v>13301225</v>
      </c>
      <c r="B7" s="47" t="s">
        <v>317</v>
      </c>
      <c r="C7" s="50">
        <v>3</v>
      </c>
      <c r="D7" s="50" t="s">
        <v>125</v>
      </c>
      <c r="E7" s="51" t="s">
        <v>261</v>
      </c>
      <c r="F7" s="51" t="s">
        <v>250</v>
      </c>
      <c r="G7" s="64" t="str">
        <f t="shared" si="0"/>
        <v>[effect:spread, val:0.4]</v>
      </c>
      <c r="H7" s="64">
        <f t="shared" si="1"/>
        <v>9</v>
      </c>
      <c r="I7" s="64">
        <f t="shared" si="2"/>
        <v>15</v>
      </c>
      <c r="J7" s="64" t="e">
        <f t="shared" si="3"/>
        <v>#VALUE!</v>
      </c>
      <c r="K7" s="64" t="e">
        <f t="shared" si="4"/>
        <v>#VALUE!</v>
      </c>
      <c r="L7" s="64" t="str">
        <f>IFERROR(VLOOKUP(MID(G7,J7,K7-J7),[6]skilldef!$C:$D,2,FALSE),"-") &amp; " / " &amp; IFERROR(VLOOKUP(MID(G7,H7,I7-H7),[6]skilldef!$A:$B,2,FALSE),"-")</f>
        <v>- / 全体攻撃</v>
      </c>
      <c r="M7" s="64" t="str">
        <f t="shared" si="25"/>
        <v>[effect:enemy_message, val1:1.4, val2:1.6]</v>
      </c>
      <c r="N7" s="48" t="str">
        <f>IFERROR(LEFT(M7,FIND("],",M7)+#REF!),M7)</f>
        <v>[effect:enemy_message, val1:1.4, val2:1.6]</v>
      </c>
      <c r="O7" s="64">
        <f t="shared" si="26"/>
        <v>9</v>
      </c>
      <c r="P7" s="64">
        <f t="shared" si="27"/>
        <v>22</v>
      </c>
      <c r="Q7" s="64" t="e">
        <f t="shared" si="28"/>
        <v>#VALUE!</v>
      </c>
      <c r="R7" s="64">
        <f t="shared" si="29"/>
        <v>32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30"/>
        <v>none</v>
      </c>
      <c r="U7" s="64" t="e">
        <f t="shared" si="31"/>
        <v>#VALUE!</v>
      </c>
      <c r="V7" s="64">
        <f t="shared" si="32"/>
        <v>4</v>
      </c>
      <c r="W7" s="64" t="e">
        <f t="shared" si="33"/>
        <v>#VALUE!</v>
      </c>
      <c r="X7" s="64" t="e">
        <f t="shared" si="3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13301226</v>
      </c>
      <c r="B8" s="47" t="s">
        <v>306</v>
      </c>
      <c r="C8" s="50">
        <v>3</v>
      </c>
      <c r="D8" s="50" t="s">
        <v>125</v>
      </c>
      <c r="E8" s="51" t="s">
        <v>299</v>
      </c>
      <c r="F8" s="51" t="s">
        <v>308</v>
      </c>
      <c r="G8" s="64" t="str">
        <f t="shared" si="0"/>
        <v>[effect:enhance_enemy, target:myself, turn:-1, status:attack, val:0.5, calc:mul, animation:enemy_enhance_attack]</v>
      </c>
      <c r="H8" s="64">
        <f t="shared" si="1"/>
        <v>9</v>
      </c>
      <c r="I8" s="64">
        <f t="shared" si="2"/>
        <v>22</v>
      </c>
      <c r="J8" s="64">
        <f t="shared" si="3"/>
        <v>31</v>
      </c>
      <c r="K8" s="64">
        <f t="shared" si="4"/>
        <v>37</v>
      </c>
      <c r="L8" s="64" t="str">
        <f>IFERROR(VLOOKUP(MID(G8,J8,K8-J8),[6]skilldef!$C:$D,2,FALSE),"-") &amp; " / " &amp; IFERROR(VLOOKUP(MID(G8,H8,I8-H8),[6]skilldef!$A:$B,2,FALSE),"-")</f>
        <v>自分自身に / ステータス強化</v>
      </c>
      <c r="M8" s="64" t="str">
        <f t="shared" si="25"/>
        <v>[effect:enemy_message, val1:1.4, val2:1.8]</v>
      </c>
      <c r="N8" s="48" t="str">
        <f>IFERROR(LEFT(M8,FIND("],",M8)+#REF!),M8)</f>
        <v>[effect:enemy_message, val1:1.4, val2:1.8]</v>
      </c>
      <c r="O8" s="64">
        <f t="shared" si="26"/>
        <v>9</v>
      </c>
      <c r="P8" s="64">
        <f t="shared" si="27"/>
        <v>22</v>
      </c>
      <c r="Q8" s="64" t="e">
        <f t="shared" si="28"/>
        <v>#VALUE!</v>
      </c>
      <c r="R8" s="64">
        <f t="shared" si="29"/>
        <v>32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30"/>
        <v>none</v>
      </c>
      <c r="U8" s="64" t="e">
        <f t="shared" si="31"/>
        <v>#VALUE!</v>
      </c>
      <c r="V8" s="64">
        <f t="shared" si="32"/>
        <v>4</v>
      </c>
      <c r="W8" s="64" t="e">
        <f t="shared" si="33"/>
        <v>#VALUE!</v>
      </c>
      <c r="X8" s="64" t="e">
        <f t="shared" si="3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40" customHeight="1" x14ac:dyDescent="0.15">
      <c r="A9" s="47">
        <v>13301260</v>
      </c>
      <c r="B9" s="47" t="s">
        <v>296</v>
      </c>
      <c r="C9" s="50">
        <v>3</v>
      </c>
      <c r="D9" s="50" t="s">
        <v>125</v>
      </c>
      <c r="E9" s="51" t="s">
        <v>292</v>
      </c>
      <c r="F9" s="51" t="s">
        <v>328</v>
      </c>
      <c r="G9" s="64" t="str">
        <f t="shared" si="0"/>
        <v>[effect:enemy_message, val1:2, val2:0]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30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ref="M9:M19" si="35">IFERROR(RIGHT(B9,LEN(B9)-FIND("],",B9)-1),"none")</f>
        <v>none</v>
      </c>
      <c r="N9" s="48" t="str">
        <f>IFERROR(LEFT(M9,FIND("],",M9)+#REF!),M9)</f>
        <v>none</v>
      </c>
      <c r="O9" s="64" t="e">
        <f t="shared" ref="O9:O19" si="36">FIND("effect:",N9)+7</f>
        <v>#VALUE!</v>
      </c>
      <c r="P9" s="64">
        <f t="shared" ref="P9:P19" si="37">IFERROR(FIND(",",N9),LEN(N9))</f>
        <v>4</v>
      </c>
      <c r="Q9" s="64" t="e">
        <f t="shared" ref="Q9:Q19" si="38">FIND("target:",N9)+7</f>
        <v>#VALUE!</v>
      </c>
      <c r="R9" s="64" t="e">
        <f t="shared" ref="R9:R19" si="39">FIND(",",N9,P9+1)</f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ref="T9:T19" si="40">IFERROR(RIGHT(M9,LEN(M9)-FIND("],",M9)-1),"none")</f>
        <v>none</v>
      </c>
      <c r="U9" s="64" t="e">
        <f t="shared" ref="U9:U19" si="41">FIND("effect:",T9)+7</f>
        <v>#VALUE!</v>
      </c>
      <c r="V9" s="64">
        <f t="shared" ref="V9:V19" si="42">IFERROR(FIND(",",T9),LEN(T9))</f>
        <v>4</v>
      </c>
      <c r="W9" s="64" t="e">
        <f t="shared" ref="W9:W19" si="43">FIND("target:",T9)+7</f>
        <v>#VALUE!</v>
      </c>
      <c r="X9" s="64" t="e">
        <f t="shared" ref="X9:X19" si="44">FIND(",",T9,V9+1)</f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38" customHeight="1" x14ac:dyDescent="0.15">
      <c r="A10" s="47">
        <v>13301261</v>
      </c>
      <c r="B10" s="47" t="s">
        <v>297</v>
      </c>
      <c r="C10" s="50">
        <v>3</v>
      </c>
      <c r="D10" s="50" t="s">
        <v>125</v>
      </c>
      <c r="E10" s="51" t="s">
        <v>305</v>
      </c>
      <c r="F10" s="49" t="s">
        <v>327</v>
      </c>
      <c r="G10" s="64" t="str">
        <f>IFERROR(LEFT(B10,FIND("],",B10)),B10)</f>
        <v>[effect:enemy_message, val1:2, val2:0]</v>
      </c>
      <c r="H10" s="64">
        <f>FIND("effect:",G10)+7</f>
        <v>9</v>
      </c>
      <c r="I10" s="64">
        <f>IFERROR(FIND(",",G10),LEN(G10))</f>
        <v>22</v>
      </c>
      <c r="J10" s="64" t="e">
        <f>FIND("target:",G10)+7</f>
        <v>#VALUE!</v>
      </c>
      <c r="K10" s="64">
        <f>FIND(",",G10,I10+1)</f>
        <v>30</v>
      </c>
      <c r="L10" s="64" t="str">
        <f>IFERROR(VLOOKUP(MID(G10,J10,K10-J10),[6]skilldef!$C:$D,2,FALSE),"-") &amp; " / " &amp; IFERROR(VLOOKUP(MID(G10,H10,I10-H10),[6]skilldef!$A:$B,2,FALSE),"-")</f>
        <v>- / -</v>
      </c>
      <c r="M10" s="64" t="str">
        <f t="shared" si="35"/>
        <v>none</v>
      </c>
      <c r="N10" s="48" t="str">
        <f>IFERROR(LEFT(M10,FIND("],",M10)+#REF!),M10)</f>
        <v>none</v>
      </c>
      <c r="O10" s="64" t="e">
        <f t="shared" si="36"/>
        <v>#VALUE!</v>
      </c>
      <c r="P10" s="64">
        <f t="shared" si="37"/>
        <v>4</v>
      </c>
      <c r="Q10" s="64" t="e">
        <f t="shared" si="38"/>
        <v>#VALUE!</v>
      </c>
      <c r="R10" s="64" t="e">
        <f t="shared" si="39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40"/>
        <v>none</v>
      </c>
      <c r="U10" s="64" t="e">
        <f t="shared" si="41"/>
        <v>#VALUE!</v>
      </c>
      <c r="V10" s="64">
        <f t="shared" si="42"/>
        <v>4</v>
      </c>
      <c r="W10" s="64" t="e">
        <f t="shared" si="43"/>
        <v>#VALUE!</v>
      </c>
      <c r="X10" s="64" t="e">
        <f t="shared" si="4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36" customHeight="1" x14ac:dyDescent="0.15">
      <c r="A11" s="47">
        <v>13301262</v>
      </c>
      <c r="B11" s="47" t="s">
        <v>336</v>
      </c>
      <c r="C11" s="50">
        <v>3</v>
      </c>
      <c r="D11" s="50" t="s">
        <v>125</v>
      </c>
      <c r="E11" s="51" t="s">
        <v>275</v>
      </c>
      <c r="F11" s="51" t="s">
        <v>325</v>
      </c>
      <c r="G11" s="64" t="str">
        <f t="shared" si="0"/>
        <v>[effect:rush, count:1, val:0.7]</v>
      </c>
      <c r="H11" s="64">
        <f t="shared" si="1"/>
        <v>9</v>
      </c>
      <c r="I11" s="64">
        <f t="shared" si="2"/>
        <v>13</v>
      </c>
      <c r="J11" s="64" t="e">
        <f t="shared" si="3"/>
        <v>#VALUE!</v>
      </c>
      <c r="K11" s="64">
        <f t="shared" si="4"/>
        <v>22</v>
      </c>
      <c r="L11" s="64" t="str">
        <f>IFERROR(VLOOKUP(MID(G11,J11,K11-J11),[6]skilldef!$C:$D,2,FALSE),"-") &amp; " / " &amp; IFERROR(VLOOKUP(MID(G11,H11,I11-H11),[6]skilldef!$A:$B,2,FALSE),"-")</f>
        <v>- / 連続攻撃</v>
      </c>
      <c r="M11" s="64" t="str">
        <f t="shared" si="35"/>
        <v>[effect:degrade_unit, target:unit_blue, turn:3, status:attack, val:0.6, calc:mul],[effect:enemy_message, val1:1.4, val2:2.3]</v>
      </c>
      <c r="N11" s="48" t="str">
        <f>IFERROR(LEFT(M11,FIND("],",M11)+#REF!),M11)</f>
        <v>[effect:degrade_unit, target:unit_blue, turn:3, status:attack, val:0.6, calc:mul],[effect:enemy_message, val1:1.4, val2:2.3]</v>
      </c>
      <c r="O11" s="64">
        <f t="shared" si="36"/>
        <v>9</v>
      </c>
      <c r="P11" s="64">
        <f t="shared" si="37"/>
        <v>21</v>
      </c>
      <c r="Q11" s="64">
        <f t="shared" si="38"/>
        <v>30</v>
      </c>
      <c r="R11" s="64">
        <f t="shared" si="39"/>
        <v>39</v>
      </c>
      <c r="S11" s="64" t="str">
        <f>IFERROR(VLOOKUP(MID(N11,Q11,R11-Q11),[6]skilldef!$C:$D,2,FALSE),"-") &amp; " / " &amp; IFERROR(VLOOKUP(MID(N11,O11,P11-O11),[6]skilldef!$A:$B,2,FALSE),"-")</f>
        <v>青の味方に / ステータスDOWN</v>
      </c>
      <c r="T11" s="48" t="str">
        <f t="shared" si="40"/>
        <v>[effect:enemy_message, val1:1.4, val2:2.3]</v>
      </c>
      <c r="U11" s="64">
        <f t="shared" si="41"/>
        <v>9</v>
      </c>
      <c r="V11" s="64">
        <f t="shared" si="42"/>
        <v>22</v>
      </c>
      <c r="W11" s="64" t="e">
        <f t="shared" si="43"/>
        <v>#VALUE!</v>
      </c>
      <c r="X11" s="64">
        <f t="shared" si="44"/>
        <v>32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 t="s">
        <v>276</v>
      </c>
    </row>
    <row r="12" spans="1:28" ht="40" customHeight="1" x14ac:dyDescent="0.15">
      <c r="A12" s="47">
        <v>13301263</v>
      </c>
      <c r="B12" s="47" t="s">
        <v>334</v>
      </c>
      <c r="C12" s="50">
        <v>3</v>
      </c>
      <c r="D12" s="50" t="s">
        <v>125</v>
      </c>
      <c r="E12" s="51" t="s">
        <v>315</v>
      </c>
      <c r="F12" s="51" t="s">
        <v>333</v>
      </c>
      <c r="G12" s="64" t="str">
        <f t="shared" si="0"/>
        <v>[effect:rush, count:2, val:0.7]</v>
      </c>
      <c r="H12" s="64">
        <f t="shared" si="1"/>
        <v>9</v>
      </c>
      <c r="I12" s="64">
        <f t="shared" si="2"/>
        <v>13</v>
      </c>
      <c r="J12" s="64" t="e">
        <f t="shared" si="3"/>
        <v>#VALUE!</v>
      </c>
      <c r="K12" s="64">
        <f t="shared" si="4"/>
        <v>22</v>
      </c>
      <c r="L12" s="64" t="str">
        <f>IFERROR(VLOOKUP(MID(G12,J12,K12-J12),[6]skilldef!$C:$D,2,FALSE),"-") &amp; " / " &amp; IFERROR(VLOOKUP(MID(G12,H12,I12-H12),[6]skilldef!$A:$B,2,FALSE),"-")</f>
        <v>- / 連続攻撃</v>
      </c>
      <c r="M12" s="64" t="str">
        <f t="shared" si="35"/>
        <v>[effect:enhance_enemy, target:myself, turn:2, status:defense, val:7000, calc:add, animation:enhance_unit_all_defense04],[effect:enemy_message, val1:1.4, val2:2.3]</v>
      </c>
      <c r="N12" s="48" t="str">
        <f>IFERROR(LEFT(M12,FIND("],",M12)+#REF!),M12)</f>
        <v>[effect:enhance_enemy, target:myself, turn:2, status:defense, val:7000, calc:add, animation:enhance_unit_all_defense04],[effect:enemy_message, val1:1.4, val2:2.3]</v>
      </c>
      <c r="O12" s="64">
        <f t="shared" si="36"/>
        <v>9</v>
      </c>
      <c r="P12" s="64">
        <f t="shared" si="37"/>
        <v>22</v>
      </c>
      <c r="Q12" s="64">
        <f t="shared" si="38"/>
        <v>31</v>
      </c>
      <c r="R12" s="64">
        <f t="shared" si="39"/>
        <v>37</v>
      </c>
      <c r="S12" s="64" t="str">
        <f>IFERROR(VLOOKUP(MID(N12,Q12,R12-Q12),[6]skilldef!$C:$D,2,FALSE),"-") &amp; " / " &amp; IFERROR(VLOOKUP(MID(N12,O12,P12-O12),[6]skilldef!$A:$B,2,FALSE),"-")</f>
        <v>自分自身に / ステータス強化</v>
      </c>
      <c r="T12" s="48" t="str">
        <f t="shared" si="40"/>
        <v>[effect:enemy_message, val1:1.4, val2:2.3]</v>
      </c>
      <c r="U12" s="64">
        <f t="shared" si="41"/>
        <v>9</v>
      </c>
      <c r="V12" s="64">
        <f t="shared" si="42"/>
        <v>22</v>
      </c>
      <c r="W12" s="64" t="e">
        <f t="shared" si="43"/>
        <v>#VALUE!</v>
      </c>
      <c r="X12" s="64">
        <f t="shared" si="44"/>
        <v>32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 t="s">
        <v>276</v>
      </c>
    </row>
    <row r="13" spans="1:28" ht="21" customHeight="1" x14ac:dyDescent="0.15">
      <c r="A13" s="47">
        <v>13301264</v>
      </c>
      <c r="B13" s="47" t="s">
        <v>318</v>
      </c>
      <c r="C13" s="50">
        <v>3</v>
      </c>
      <c r="D13" s="50" t="s">
        <v>125</v>
      </c>
      <c r="E13" s="51" t="s">
        <v>278</v>
      </c>
      <c r="F13" s="51" t="s">
        <v>309</v>
      </c>
      <c r="G13" s="64" t="str">
        <f t="shared" si="0"/>
        <v>[effect:freq_turn, target:myself, turn:4, val:1, animation:enemy_freq_turn]</v>
      </c>
      <c r="H13" s="64">
        <f t="shared" si="1"/>
        <v>9</v>
      </c>
      <c r="I13" s="64">
        <f t="shared" si="2"/>
        <v>18</v>
      </c>
      <c r="J13" s="64">
        <f t="shared" si="3"/>
        <v>27</v>
      </c>
      <c r="K13" s="64">
        <f t="shared" si="4"/>
        <v>33</v>
      </c>
      <c r="L13" s="64" t="str">
        <f>IFERROR(VLOOKUP(MID(G13,J13,K13-J13),[6]skilldef!$C:$D,2,FALSE),"-") &amp; " / " &amp; IFERROR(VLOOKUP(MID(G13,H13,I13-H13),[6]skilldef!$A:$B,2,FALSE),"-")</f>
        <v>自分自身に / 攻撃頻度がUP</v>
      </c>
      <c r="M13" s="64" t="str">
        <f t="shared" si="35"/>
        <v>[effect:enemy_message, val1:1.4, val2:1.8]</v>
      </c>
      <c r="N13" s="48" t="str">
        <f>IFERROR(LEFT(M13,FIND("],",M13)+#REF!),M13)</f>
        <v>[effect:enemy_message, val1:1.4, val2:1.8]</v>
      </c>
      <c r="O13" s="64">
        <f t="shared" si="36"/>
        <v>9</v>
      </c>
      <c r="P13" s="64">
        <f t="shared" si="37"/>
        <v>22</v>
      </c>
      <c r="Q13" s="64" t="e">
        <f t="shared" si="38"/>
        <v>#VALUE!</v>
      </c>
      <c r="R13" s="64">
        <f t="shared" si="39"/>
        <v>32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40"/>
        <v>none</v>
      </c>
      <c r="U13" s="64" t="e">
        <f t="shared" si="41"/>
        <v>#VALUE!</v>
      </c>
      <c r="V13" s="64">
        <f t="shared" si="42"/>
        <v>4</v>
      </c>
      <c r="W13" s="64" t="e">
        <f t="shared" si="43"/>
        <v>#VALUE!</v>
      </c>
      <c r="X13" s="64" t="e">
        <f t="shared" si="4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 t="s">
        <v>280</v>
      </c>
    </row>
    <row r="14" spans="1:28" ht="21" customHeight="1" x14ac:dyDescent="0.15">
      <c r="A14" s="47">
        <v>13301265</v>
      </c>
      <c r="B14" s="47" t="s">
        <v>319</v>
      </c>
      <c r="C14" s="50">
        <v>3</v>
      </c>
      <c r="D14" s="50" t="s">
        <v>125</v>
      </c>
      <c r="E14" s="51" t="s">
        <v>281</v>
      </c>
      <c r="F14" s="51" t="s">
        <v>282</v>
      </c>
      <c r="G14" s="64" t="str">
        <f t="shared" si="0"/>
        <v>[effect:rush, count:2, val:0.67]</v>
      </c>
      <c r="H14" s="64">
        <f t="shared" si="1"/>
        <v>9</v>
      </c>
      <c r="I14" s="64">
        <f t="shared" si="2"/>
        <v>13</v>
      </c>
      <c r="J14" s="64" t="e">
        <f t="shared" si="3"/>
        <v>#VALUE!</v>
      </c>
      <c r="K14" s="64">
        <f t="shared" si="4"/>
        <v>22</v>
      </c>
      <c r="L14" s="64" t="str">
        <f>IFERROR(VLOOKUP(MID(G14,J14,K14-J14),[6]skilldef!$C:$D,2,FALSE),"-") &amp; " / " &amp; IFERROR(VLOOKUP(MID(G14,H14,I14-H14),[6]skilldef!$A:$B,2,FALSE),"-")</f>
        <v>- / 連続攻撃</v>
      </c>
      <c r="M14" s="64" t="str">
        <f t="shared" si="35"/>
        <v>[effect:enemy_message, val1:1.4, val2:1.6]</v>
      </c>
      <c r="N14" s="48" t="str">
        <f>IFERROR(LEFT(M14,FIND("],",M14)+#REF!),M14)</f>
        <v>[effect:enemy_message, val1:1.4, val2:1.6]</v>
      </c>
      <c r="O14" s="64">
        <f t="shared" si="36"/>
        <v>9</v>
      </c>
      <c r="P14" s="64">
        <f t="shared" si="37"/>
        <v>22</v>
      </c>
      <c r="Q14" s="64" t="e">
        <f t="shared" si="38"/>
        <v>#VALUE!</v>
      </c>
      <c r="R14" s="64">
        <f t="shared" si="39"/>
        <v>32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40"/>
        <v>none</v>
      </c>
      <c r="U14" s="64" t="e">
        <f t="shared" si="41"/>
        <v>#VALUE!</v>
      </c>
      <c r="V14" s="64">
        <f t="shared" si="42"/>
        <v>4</v>
      </c>
      <c r="W14" s="64" t="e">
        <f t="shared" si="43"/>
        <v>#VALUE!</v>
      </c>
      <c r="X14" s="64" t="e">
        <f t="shared" si="4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 t="s">
        <v>280</v>
      </c>
    </row>
    <row r="15" spans="1:28" ht="21" customHeight="1" x14ac:dyDescent="0.15">
      <c r="A15" s="47">
        <v>13301266</v>
      </c>
      <c r="B15" s="47" t="s">
        <v>310</v>
      </c>
      <c r="C15" s="50">
        <v>3</v>
      </c>
      <c r="D15" s="50" t="s">
        <v>125</v>
      </c>
      <c r="E15" s="51" t="s">
        <v>283</v>
      </c>
      <c r="F15" s="51" t="s">
        <v>309</v>
      </c>
      <c r="G15" s="64" t="str">
        <f t="shared" si="0"/>
        <v>[effect:freq_turn, target:myself, turn:4, val:1, animation:enemy_freq_turn]</v>
      </c>
      <c r="H15" s="64">
        <f t="shared" si="1"/>
        <v>9</v>
      </c>
      <c r="I15" s="64">
        <f t="shared" si="2"/>
        <v>18</v>
      </c>
      <c r="J15" s="64">
        <f t="shared" si="3"/>
        <v>27</v>
      </c>
      <c r="K15" s="64">
        <f t="shared" si="4"/>
        <v>33</v>
      </c>
      <c r="L15" s="64" t="str">
        <f>IFERROR(VLOOKUP(MID(G15,J15,K15-J15),[6]skilldef!$C:$D,2,FALSE),"-") &amp; " / " &amp; IFERROR(VLOOKUP(MID(G15,H15,I15-H15),[6]skilldef!$A:$B,2,FALSE),"-")</f>
        <v>自分自身に / 攻撃頻度がUP</v>
      </c>
      <c r="M15" s="64" t="str">
        <f t="shared" si="35"/>
        <v>[effect:enemy_message, val1:1.4, val2:1.8]</v>
      </c>
      <c r="N15" s="48" t="str">
        <f>IFERROR(LEFT(M15,FIND("],",M15)+#REF!),M15)</f>
        <v>[effect:enemy_message, val1:1.4, val2:1.8]</v>
      </c>
      <c r="O15" s="64">
        <f t="shared" si="36"/>
        <v>9</v>
      </c>
      <c r="P15" s="64">
        <f t="shared" si="37"/>
        <v>22</v>
      </c>
      <c r="Q15" s="64" t="e">
        <f t="shared" si="38"/>
        <v>#VALUE!</v>
      </c>
      <c r="R15" s="64">
        <f t="shared" si="39"/>
        <v>32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40"/>
        <v>none</v>
      </c>
      <c r="U15" s="64" t="e">
        <f t="shared" si="41"/>
        <v>#VALUE!</v>
      </c>
      <c r="V15" s="64">
        <f t="shared" si="42"/>
        <v>4</v>
      </c>
      <c r="W15" s="64" t="e">
        <f t="shared" si="43"/>
        <v>#VALUE!</v>
      </c>
      <c r="X15" s="64" t="e">
        <f t="shared" si="44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39" customHeight="1" x14ac:dyDescent="0.15">
      <c r="A16" s="47">
        <v>13301268</v>
      </c>
      <c r="B16" s="47" t="s">
        <v>324</v>
      </c>
      <c r="C16" s="50">
        <v>3</v>
      </c>
      <c r="D16" s="50" t="s">
        <v>125</v>
      </c>
      <c r="E16" s="51" t="s">
        <v>284</v>
      </c>
      <c r="F16" s="51" t="s">
        <v>326</v>
      </c>
      <c r="G16" s="64" t="str">
        <f t="shared" si="0"/>
        <v>[effect:rush, count:1, val:0.7]</v>
      </c>
      <c r="H16" s="64">
        <f t="shared" si="1"/>
        <v>9</v>
      </c>
      <c r="I16" s="64">
        <f t="shared" si="2"/>
        <v>13</v>
      </c>
      <c r="J16" s="64" t="e">
        <f t="shared" si="3"/>
        <v>#VALUE!</v>
      </c>
      <c r="K16" s="64">
        <f t="shared" si="4"/>
        <v>22</v>
      </c>
      <c r="L16" s="64" t="str">
        <f>IFERROR(VLOOKUP(MID(G16,J16,K16-J16),[6]skilldef!$C:$D,2,FALSE),"-") &amp; " / " &amp; IFERROR(VLOOKUP(MID(G16,H16,I16-H16),[6]skilldef!$A:$B,2,FALSE),"-")</f>
        <v>- / 連続攻撃</v>
      </c>
      <c r="M16" s="64" t="str">
        <f t="shared" si="35"/>
        <v>[effect:degrade_unit, target:unit_red, turn:3, status:attack, val:0.7, calc:mul],[effect:enemy_message, val1:1.4, val2:2.3]</v>
      </c>
      <c r="N16" s="48" t="str">
        <f>IFERROR(LEFT(M16,FIND("],",M16)+#REF!),M16)</f>
        <v>[effect:degrade_unit, target:unit_red, turn:3, status:attack, val:0.7, calc:mul],[effect:enemy_message, val1:1.4, val2:2.3]</v>
      </c>
      <c r="O16" s="64">
        <f t="shared" si="36"/>
        <v>9</v>
      </c>
      <c r="P16" s="64">
        <f t="shared" si="37"/>
        <v>21</v>
      </c>
      <c r="Q16" s="64">
        <f t="shared" si="38"/>
        <v>30</v>
      </c>
      <c r="R16" s="64">
        <f t="shared" si="39"/>
        <v>38</v>
      </c>
      <c r="S16" s="64" t="str">
        <f>IFERROR(VLOOKUP(MID(N16,Q16,R16-Q16),[6]skilldef!$C:$D,2,FALSE),"-") &amp; " / " &amp; IFERROR(VLOOKUP(MID(N16,O16,P16-O16),[6]skilldef!$A:$B,2,FALSE),"-")</f>
        <v>赤の味方に / ステータスDOWN</v>
      </c>
      <c r="T16" s="48" t="str">
        <f t="shared" si="40"/>
        <v>[effect:enemy_message, val1:1.4, val2:2.3]</v>
      </c>
      <c r="U16" s="64">
        <f t="shared" si="41"/>
        <v>9</v>
      </c>
      <c r="V16" s="64">
        <f t="shared" si="42"/>
        <v>22</v>
      </c>
      <c r="W16" s="64" t="e">
        <f t="shared" si="43"/>
        <v>#VALUE!</v>
      </c>
      <c r="X16" s="64">
        <f t="shared" si="44"/>
        <v>32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 t="s">
        <v>285</v>
      </c>
    </row>
    <row r="17" spans="1:28" ht="21" customHeight="1" x14ac:dyDescent="0.15">
      <c r="A17" s="47">
        <v>13301269</v>
      </c>
      <c r="B17" s="47" t="s">
        <v>312</v>
      </c>
      <c r="C17" s="50">
        <v>3</v>
      </c>
      <c r="D17" s="50" t="s">
        <v>125</v>
      </c>
      <c r="E17" s="51" t="s">
        <v>286</v>
      </c>
      <c r="F17" s="51" t="s">
        <v>313</v>
      </c>
      <c r="G17" s="64" t="str">
        <f t="shared" si="0"/>
        <v>[effect:rush, count:1, val:1.5]</v>
      </c>
      <c r="H17" s="64">
        <f t="shared" si="1"/>
        <v>9</v>
      </c>
      <c r="I17" s="64">
        <f t="shared" si="2"/>
        <v>13</v>
      </c>
      <c r="J17" s="64" t="e">
        <f t="shared" si="3"/>
        <v>#VALUE!</v>
      </c>
      <c r="K17" s="64">
        <f t="shared" si="4"/>
        <v>22</v>
      </c>
      <c r="L17" s="64" t="str">
        <f>IFERROR(VLOOKUP(MID(G17,J17,K17-J17),[6]skilldef!$C:$D,2,FALSE),"-") &amp; " / " &amp; IFERROR(VLOOKUP(MID(G17,H17,I17-H17),[6]skilldef!$A:$B,2,FALSE),"-")</f>
        <v>- / 連続攻撃</v>
      </c>
      <c r="M17" s="64" t="str">
        <f t="shared" si="35"/>
        <v>[effect:dark, target:unit_all, turn:3, animation:enemy_dark],[effect:enemy_message, val1:1.4, val2:1.8]</v>
      </c>
      <c r="N17" s="48" t="str">
        <f>IFERROR(LEFT(M17,FIND("],",M17)+#REF!),M17)</f>
        <v>[effect:dark, target:unit_all, turn:3, animation:enemy_dark],[effect:enemy_message, val1:1.4, val2:1.8]</v>
      </c>
      <c r="O17" s="64">
        <f t="shared" si="36"/>
        <v>9</v>
      </c>
      <c r="P17" s="64">
        <f t="shared" si="37"/>
        <v>13</v>
      </c>
      <c r="Q17" s="64">
        <f t="shared" si="38"/>
        <v>22</v>
      </c>
      <c r="R17" s="64">
        <f t="shared" si="39"/>
        <v>30</v>
      </c>
      <c r="S17" s="64" t="str">
        <f>IFERROR(VLOOKUP(MID(N17,Q17,R17-Q17),[6]skilldef!$C:$D,2,FALSE),"-") &amp; " / " &amp; IFERROR(VLOOKUP(MID(N17,O17,P17-O17),[6]skilldef!$A:$B,2,FALSE),"-")</f>
        <v>味方全体に / 暗黒</v>
      </c>
      <c r="T17" s="48" t="str">
        <f t="shared" si="40"/>
        <v>[effect:enemy_message, val1:1.4, val2:1.8]</v>
      </c>
      <c r="U17" s="64">
        <f t="shared" si="41"/>
        <v>9</v>
      </c>
      <c r="V17" s="64">
        <f t="shared" si="42"/>
        <v>22</v>
      </c>
      <c r="W17" s="64" t="e">
        <f t="shared" si="43"/>
        <v>#VALUE!</v>
      </c>
      <c r="X17" s="64">
        <f t="shared" si="44"/>
        <v>32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 t="s">
        <v>285</v>
      </c>
    </row>
    <row r="18" spans="1:28" ht="46" customHeight="1" x14ac:dyDescent="0.15">
      <c r="A18" s="47">
        <v>13301270</v>
      </c>
      <c r="B18" s="47" t="s">
        <v>320</v>
      </c>
      <c r="C18" s="50">
        <v>3</v>
      </c>
      <c r="D18" s="50" t="s">
        <v>125</v>
      </c>
      <c r="E18" s="51" t="s">
        <v>311</v>
      </c>
      <c r="F18" s="51" t="s">
        <v>314</v>
      </c>
      <c r="G18" s="64" t="str">
        <f t="shared" si="0"/>
        <v>[effect:rush, count:3, val:0.5]</v>
      </c>
      <c r="H18" s="64">
        <f t="shared" si="1"/>
        <v>9</v>
      </c>
      <c r="I18" s="64">
        <f t="shared" si="2"/>
        <v>13</v>
      </c>
      <c r="J18" s="64" t="e">
        <f t="shared" si="3"/>
        <v>#VALUE!</v>
      </c>
      <c r="K18" s="64">
        <f t="shared" si="4"/>
        <v>22</v>
      </c>
      <c r="L18" s="64" t="str">
        <f>IFERROR(VLOOKUP(MID(G18,J18,K18-J18),[6]skilldef!$C:$D,2,FALSE),"-") &amp; " / " &amp; IFERROR(VLOOKUP(MID(G18,H18,I18-H18),[6]skilldef!$A:$B,2,FALSE),"-")</f>
        <v>- / 連続攻撃</v>
      </c>
      <c r="M18" s="64" t="str">
        <f t="shared" si="35"/>
        <v>[effect:dark, target:unit_all, turn:3, animation:enemy_dark],[effect:enemy_message, val1:1.5 val2:1.9]</v>
      </c>
      <c r="N18" s="48" t="str">
        <f>IFERROR(LEFT(M18,FIND("],",M18)+#REF!),M18)</f>
        <v>[effect:dark, target:unit_all, turn:3, animation:enemy_dark],[effect:enemy_message, val1:1.5 val2:1.9]</v>
      </c>
      <c r="O18" s="64">
        <f t="shared" si="36"/>
        <v>9</v>
      </c>
      <c r="P18" s="64">
        <f t="shared" si="37"/>
        <v>13</v>
      </c>
      <c r="Q18" s="64">
        <f t="shared" si="38"/>
        <v>22</v>
      </c>
      <c r="R18" s="64">
        <f t="shared" si="39"/>
        <v>30</v>
      </c>
      <c r="S18" s="64" t="str">
        <f>IFERROR(VLOOKUP(MID(N18,Q18,R18-Q18),[6]skilldef!$C:$D,2,FALSE),"-") &amp; " / " &amp; IFERROR(VLOOKUP(MID(N18,O18,P18-O18),[6]skilldef!$A:$B,2,FALSE),"-")</f>
        <v>味方全体に / 暗黒</v>
      </c>
      <c r="T18" s="48" t="str">
        <f t="shared" si="40"/>
        <v>[effect:enemy_message, val1:1.5 val2:1.9]</v>
      </c>
      <c r="U18" s="64">
        <f t="shared" si="41"/>
        <v>9</v>
      </c>
      <c r="V18" s="64">
        <f t="shared" si="42"/>
        <v>22</v>
      </c>
      <c r="W18" s="64" t="e">
        <f t="shared" si="43"/>
        <v>#VALUE!</v>
      </c>
      <c r="X18" s="64" t="e">
        <f t="shared" si="44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 t="s">
        <v>289</v>
      </c>
    </row>
    <row r="19" spans="1:28" ht="21" customHeight="1" x14ac:dyDescent="0.15">
      <c r="A19" s="47">
        <v>13301271</v>
      </c>
      <c r="B19" s="47" t="s">
        <v>321</v>
      </c>
      <c r="C19" s="50">
        <v>3</v>
      </c>
      <c r="D19" s="50" t="s">
        <v>125</v>
      </c>
      <c r="E19" s="51" t="s">
        <v>294</v>
      </c>
      <c r="F19" s="51" t="s">
        <v>282</v>
      </c>
      <c r="G19" s="64" t="str">
        <f t="shared" si="0"/>
        <v>[effect:rush, count:2, val:0.52]</v>
      </c>
      <c r="H19" s="64">
        <f t="shared" si="1"/>
        <v>9</v>
      </c>
      <c r="I19" s="64">
        <f t="shared" si="2"/>
        <v>13</v>
      </c>
      <c r="J19" s="64" t="e">
        <f t="shared" si="3"/>
        <v>#VALUE!</v>
      </c>
      <c r="K19" s="64">
        <f t="shared" si="4"/>
        <v>22</v>
      </c>
      <c r="L19" s="64" t="str">
        <f>IFERROR(VLOOKUP(MID(G19,J19,K19-J19),[6]skilldef!$C:$D,2,FALSE),"-") &amp; " / " &amp; IFERROR(VLOOKUP(MID(G19,H19,I19-H19),[6]skilldef!$A:$B,2,FALSE),"-")</f>
        <v>- / 連続攻撃</v>
      </c>
      <c r="M19" s="64" t="str">
        <f t="shared" si="35"/>
        <v>[effect:enemy_message, val1:1.4, val2:1.6]</v>
      </c>
      <c r="N19" s="48" t="str">
        <f>IFERROR(LEFT(M19,FIND("],",M19)+#REF!),M19)</f>
        <v>[effect:enemy_message, val1:1.4, val2:1.6]</v>
      </c>
      <c r="O19" s="64">
        <f t="shared" si="36"/>
        <v>9</v>
      </c>
      <c r="P19" s="64">
        <f t="shared" si="37"/>
        <v>22</v>
      </c>
      <c r="Q19" s="64" t="e">
        <f t="shared" si="38"/>
        <v>#VALUE!</v>
      </c>
      <c r="R19" s="64">
        <f t="shared" si="39"/>
        <v>32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40"/>
        <v>none</v>
      </c>
      <c r="U19" s="64" t="e">
        <f t="shared" si="41"/>
        <v>#VALUE!</v>
      </c>
      <c r="V19" s="64">
        <f t="shared" si="42"/>
        <v>4</v>
      </c>
      <c r="W19" s="64" t="e">
        <f t="shared" si="43"/>
        <v>#VALUE!</v>
      </c>
      <c r="X19" s="64" t="e">
        <f t="shared" si="44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 t="s">
        <v>290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9"/>
  <sheetViews>
    <sheetView showGridLines="0" zoomScale="110" zoomScaleNormal="110" zoomScalePageLayoutView="110" workbookViewId="0">
      <pane ySplit="1" topLeftCell="A2" activePane="bottomLeft" state="frozenSplit"/>
      <selection pane="bottomLeft" activeCell="C21" sqref="C2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7" width="10" style="49" customWidth="1"/>
    <col min="8" max="8" width="14.6640625" style="49" customWidth="1"/>
    <col min="9" max="9" width="14.83203125" style="49" customWidth="1"/>
    <col min="10" max="10" width="6.83203125" style="49" customWidth="1"/>
    <col min="11" max="11" width="22.83203125" style="39" bestFit="1" customWidth="1"/>
    <col min="12" max="12" width="23.5" style="45" bestFit="1" customWidth="1"/>
    <col min="13" max="13" width="27.83203125" style="45" bestFit="1" customWidth="1"/>
    <col min="14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3" ht="21" customHeight="1" x14ac:dyDescent="0.15">
      <c r="A2" s="47">
        <v>13301220</v>
      </c>
      <c r="B2" s="47">
        <v>1</v>
      </c>
      <c r="C2" s="47" t="s">
        <v>248</v>
      </c>
      <c r="D2" s="47">
        <v>100</v>
      </c>
      <c r="E2" s="47" t="s">
        <v>249</v>
      </c>
      <c r="F2" s="47" t="s">
        <v>249</v>
      </c>
      <c r="G2" s="47">
        <v>1</v>
      </c>
      <c r="H2" s="47" t="s">
        <v>249</v>
      </c>
      <c r="I2" s="47" t="s">
        <v>249</v>
      </c>
      <c r="J2" s="48">
        <f t="shared" ref="J2" si="0">D2</f>
        <v>100</v>
      </c>
      <c r="L2" s="51"/>
      <c r="M2" s="51" t="s">
        <v>293</v>
      </c>
    </row>
    <row r="3" spans="1:13" ht="21" customHeight="1" x14ac:dyDescent="0.15">
      <c r="A3" s="47">
        <v>13301221</v>
      </c>
      <c r="B3" s="47">
        <v>0</v>
      </c>
      <c r="C3" s="47">
        <v>4</v>
      </c>
      <c r="D3" s="47">
        <v>85</v>
      </c>
      <c r="E3" s="47">
        <v>50</v>
      </c>
      <c r="F3" s="47" t="s">
        <v>249</v>
      </c>
      <c r="G3" s="47" t="s">
        <v>248</v>
      </c>
      <c r="H3" s="47" t="s">
        <v>249</v>
      </c>
      <c r="I3" s="47" t="s">
        <v>249</v>
      </c>
      <c r="J3" s="48">
        <f t="shared" ref="J3:J7" si="1">D3</f>
        <v>85</v>
      </c>
      <c r="L3" s="51" t="s">
        <v>259</v>
      </c>
      <c r="M3" s="51" t="s">
        <v>263</v>
      </c>
    </row>
    <row r="4" spans="1:13" ht="21" customHeight="1" x14ac:dyDescent="0.15">
      <c r="A4" s="47">
        <v>13301222</v>
      </c>
      <c r="B4" s="47">
        <v>0</v>
      </c>
      <c r="C4" s="47">
        <v>3</v>
      </c>
      <c r="D4" s="47">
        <v>85</v>
      </c>
      <c r="E4" s="47" t="s">
        <v>249</v>
      </c>
      <c r="F4" s="47" t="s">
        <v>249</v>
      </c>
      <c r="G4" s="47" t="s">
        <v>248</v>
      </c>
      <c r="H4" s="47" t="s">
        <v>249</v>
      </c>
      <c r="I4" s="47" t="s">
        <v>249</v>
      </c>
      <c r="J4" s="48">
        <f t="shared" si="1"/>
        <v>85</v>
      </c>
      <c r="L4" s="51" t="s">
        <v>267</v>
      </c>
      <c r="M4" s="51" t="s">
        <v>262</v>
      </c>
    </row>
    <row r="5" spans="1:13" ht="21" customHeight="1" x14ac:dyDescent="0.15">
      <c r="A5" s="47">
        <v>13301223</v>
      </c>
      <c r="B5" s="47">
        <v>0</v>
      </c>
      <c r="C5" s="47">
        <v>5</v>
      </c>
      <c r="D5" s="47">
        <v>100</v>
      </c>
      <c r="E5" s="47" t="s">
        <v>248</v>
      </c>
      <c r="F5" s="47" t="s">
        <v>249</v>
      </c>
      <c r="G5" s="47">
        <v>1</v>
      </c>
      <c r="H5" s="47" t="s">
        <v>249</v>
      </c>
      <c r="I5" s="47">
        <v>502</v>
      </c>
      <c r="J5" s="48">
        <f t="shared" si="1"/>
        <v>100</v>
      </c>
      <c r="L5" s="51" t="s">
        <v>298</v>
      </c>
      <c r="M5" s="51" t="s">
        <v>264</v>
      </c>
    </row>
    <row r="6" spans="1:13" ht="21" customHeight="1" x14ac:dyDescent="0.15">
      <c r="A6" s="47">
        <v>13301224</v>
      </c>
      <c r="B6" s="47">
        <v>0</v>
      </c>
      <c r="C6" s="47">
        <v>4</v>
      </c>
      <c r="D6" s="47">
        <v>85</v>
      </c>
      <c r="E6" s="47">
        <v>50</v>
      </c>
      <c r="F6" s="47" t="s">
        <v>249</v>
      </c>
      <c r="G6" s="47" t="s">
        <v>248</v>
      </c>
      <c r="H6" s="47" t="s">
        <v>249</v>
      </c>
      <c r="I6" s="47" t="s">
        <v>249</v>
      </c>
      <c r="J6" s="48">
        <f t="shared" si="1"/>
        <v>85</v>
      </c>
      <c r="L6" s="51" t="s">
        <v>260</v>
      </c>
      <c r="M6" s="51" t="s">
        <v>266</v>
      </c>
    </row>
    <row r="7" spans="1:13" ht="21" customHeight="1" x14ac:dyDescent="0.15">
      <c r="A7" s="47">
        <v>13301225</v>
      </c>
      <c r="B7" s="47">
        <v>0</v>
      </c>
      <c r="C7" s="47">
        <v>3</v>
      </c>
      <c r="D7" s="47">
        <v>85</v>
      </c>
      <c r="E7" s="47" t="s">
        <v>249</v>
      </c>
      <c r="F7" s="47" t="s">
        <v>249</v>
      </c>
      <c r="G7" s="47" t="s">
        <v>248</v>
      </c>
      <c r="H7" s="47" t="s">
        <v>249</v>
      </c>
      <c r="I7" s="47" t="s">
        <v>249</v>
      </c>
      <c r="J7" s="48">
        <f t="shared" si="1"/>
        <v>85</v>
      </c>
      <c r="L7" s="51" t="s">
        <v>261</v>
      </c>
      <c r="M7" s="51" t="s">
        <v>250</v>
      </c>
    </row>
    <row r="8" spans="1:13" ht="21" customHeight="1" x14ac:dyDescent="0.15">
      <c r="A8" s="47">
        <v>13301226</v>
      </c>
      <c r="B8" s="47">
        <v>0</v>
      </c>
      <c r="C8" s="47">
        <v>5</v>
      </c>
      <c r="D8" s="47">
        <v>100</v>
      </c>
      <c r="E8" s="47" t="s">
        <v>249</v>
      </c>
      <c r="F8" s="47" t="s">
        <v>249</v>
      </c>
      <c r="G8" s="47">
        <v>1</v>
      </c>
      <c r="H8" s="47" t="s">
        <v>249</v>
      </c>
      <c r="I8" s="47">
        <v>418</v>
      </c>
      <c r="J8" s="48">
        <f t="shared" ref="J8:J19" si="2">D8</f>
        <v>100</v>
      </c>
      <c r="L8" s="51" t="s">
        <v>299</v>
      </c>
      <c r="M8" s="51" t="s">
        <v>265</v>
      </c>
    </row>
    <row r="9" spans="1:13" ht="21" customHeight="1" x14ac:dyDescent="0.15">
      <c r="A9" s="47">
        <v>13301260</v>
      </c>
      <c r="B9" s="47">
        <v>1</v>
      </c>
      <c r="C9" s="47" t="s">
        <v>274</v>
      </c>
      <c r="D9" s="47">
        <v>100</v>
      </c>
      <c r="E9" s="47" t="s">
        <v>274</v>
      </c>
      <c r="F9" s="47" t="s">
        <v>274</v>
      </c>
      <c r="G9" s="47">
        <v>1</v>
      </c>
      <c r="H9" s="47" t="s">
        <v>274</v>
      </c>
      <c r="I9" s="47" t="s">
        <v>274</v>
      </c>
      <c r="J9" s="48">
        <f t="shared" si="2"/>
        <v>100</v>
      </c>
      <c r="L9" s="51" t="s">
        <v>292</v>
      </c>
      <c r="M9" s="51"/>
    </row>
    <row r="10" spans="1:13" ht="28" x14ac:dyDescent="0.15">
      <c r="A10" s="47">
        <v>13301261</v>
      </c>
      <c r="B10" s="47">
        <v>1</v>
      </c>
      <c r="C10" s="47" t="s">
        <v>274</v>
      </c>
      <c r="D10" s="47">
        <v>100</v>
      </c>
      <c r="E10" s="47" t="s">
        <v>274</v>
      </c>
      <c r="F10" s="47" t="s">
        <v>274</v>
      </c>
      <c r="G10" s="47">
        <v>1</v>
      </c>
      <c r="H10" s="47" t="s">
        <v>274</v>
      </c>
      <c r="I10" s="47" t="s">
        <v>274</v>
      </c>
      <c r="J10" s="48">
        <f>D10</f>
        <v>100</v>
      </c>
      <c r="L10" s="51" t="s">
        <v>291</v>
      </c>
      <c r="M10" s="49"/>
    </row>
    <row r="11" spans="1:13" ht="21" customHeight="1" x14ac:dyDescent="0.15">
      <c r="A11" s="47">
        <v>13301262</v>
      </c>
      <c r="B11" s="47">
        <v>0</v>
      </c>
      <c r="C11" s="47">
        <v>3</v>
      </c>
      <c r="D11" s="47">
        <v>35</v>
      </c>
      <c r="E11" s="47" t="s">
        <v>274</v>
      </c>
      <c r="F11" s="47" t="s">
        <v>274</v>
      </c>
      <c r="G11" s="47">
        <v>1</v>
      </c>
      <c r="H11" s="47" t="s">
        <v>274</v>
      </c>
      <c r="I11" s="47" t="s">
        <v>274</v>
      </c>
      <c r="J11" s="48">
        <f t="shared" si="2"/>
        <v>35</v>
      </c>
      <c r="L11" s="51" t="s">
        <v>275</v>
      </c>
      <c r="M11" s="51" t="s">
        <v>301</v>
      </c>
    </row>
    <row r="12" spans="1:13" ht="21" customHeight="1" x14ac:dyDescent="0.15">
      <c r="A12" s="47">
        <v>13301263</v>
      </c>
      <c r="B12" s="47">
        <v>0</v>
      </c>
      <c r="C12" s="47">
        <v>4</v>
      </c>
      <c r="D12" s="47">
        <v>100</v>
      </c>
      <c r="E12" s="47">
        <v>50</v>
      </c>
      <c r="F12" s="47" t="s">
        <v>274</v>
      </c>
      <c r="G12" s="47">
        <v>1</v>
      </c>
      <c r="H12" s="47" t="s">
        <v>274</v>
      </c>
      <c r="I12" s="47" t="s">
        <v>274</v>
      </c>
      <c r="J12" s="48">
        <f t="shared" si="2"/>
        <v>100</v>
      </c>
      <c r="L12" s="51" t="s">
        <v>277</v>
      </c>
      <c r="M12" s="51" t="s">
        <v>303</v>
      </c>
    </row>
    <row r="13" spans="1:13" ht="21" customHeight="1" x14ac:dyDescent="0.15">
      <c r="A13" s="47">
        <v>13301264</v>
      </c>
      <c r="B13" s="47">
        <v>0</v>
      </c>
      <c r="C13" s="47">
        <v>4</v>
      </c>
      <c r="D13" s="47">
        <v>100</v>
      </c>
      <c r="E13" s="47">
        <v>50</v>
      </c>
      <c r="F13" s="47" t="s">
        <v>274</v>
      </c>
      <c r="G13" s="47">
        <v>1</v>
      </c>
      <c r="H13" s="47" t="s">
        <v>274</v>
      </c>
      <c r="I13" s="47" t="s">
        <v>274</v>
      </c>
      <c r="J13" s="48">
        <f t="shared" si="2"/>
        <v>100</v>
      </c>
      <c r="L13" s="51" t="s">
        <v>278</v>
      </c>
      <c r="M13" s="51" t="s">
        <v>279</v>
      </c>
    </row>
    <row r="14" spans="1:13" ht="21" customHeight="1" x14ac:dyDescent="0.15">
      <c r="A14" s="47">
        <v>13301265</v>
      </c>
      <c r="B14" s="47">
        <v>0</v>
      </c>
      <c r="C14" s="47">
        <v>3</v>
      </c>
      <c r="D14" s="47">
        <v>75</v>
      </c>
      <c r="E14" s="47" t="s">
        <v>274</v>
      </c>
      <c r="F14" s="47" t="s">
        <v>274</v>
      </c>
      <c r="G14" s="47" t="s">
        <v>274</v>
      </c>
      <c r="H14" s="47" t="s">
        <v>274</v>
      </c>
      <c r="I14" s="47" t="s">
        <v>274</v>
      </c>
      <c r="J14" s="48">
        <f t="shared" si="2"/>
        <v>75</v>
      </c>
      <c r="L14" s="51" t="s">
        <v>281</v>
      </c>
      <c r="M14" s="51" t="s">
        <v>282</v>
      </c>
    </row>
    <row r="15" spans="1:13" ht="21" customHeight="1" x14ac:dyDescent="0.15">
      <c r="A15" s="47">
        <v>13301266</v>
      </c>
      <c r="B15" s="47">
        <v>1</v>
      </c>
      <c r="C15" s="47" t="s">
        <v>274</v>
      </c>
      <c r="D15" s="47">
        <v>100</v>
      </c>
      <c r="E15" s="47" t="s">
        <v>274</v>
      </c>
      <c r="F15" s="47" t="s">
        <v>274</v>
      </c>
      <c r="G15" s="47">
        <v>1</v>
      </c>
      <c r="H15" s="47" t="s">
        <v>274</v>
      </c>
      <c r="I15" s="47" t="s">
        <v>274</v>
      </c>
      <c r="J15" s="48">
        <f t="shared" si="2"/>
        <v>100</v>
      </c>
      <c r="L15" s="51" t="s">
        <v>283</v>
      </c>
      <c r="M15" s="51" t="s">
        <v>300</v>
      </c>
    </row>
    <row r="16" spans="1:13" ht="21" customHeight="1" x14ac:dyDescent="0.15">
      <c r="A16" s="47">
        <v>13301268</v>
      </c>
      <c r="B16" s="47">
        <v>0</v>
      </c>
      <c r="C16" s="47">
        <v>3</v>
      </c>
      <c r="D16" s="47">
        <v>35</v>
      </c>
      <c r="E16" s="47" t="s">
        <v>274</v>
      </c>
      <c r="F16" s="47" t="s">
        <v>274</v>
      </c>
      <c r="G16" s="47">
        <v>1</v>
      </c>
      <c r="H16" s="47" t="s">
        <v>274</v>
      </c>
      <c r="I16" s="47" t="s">
        <v>274</v>
      </c>
      <c r="J16" s="48">
        <f t="shared" si="2"/>
        <v>35</v>
      </c>
      <c r="L16" s="51" t="s">
        <v>284</v>
      </c>
      <c r="M16" s="51" t="s">
        <v>302</v>
      </c>
    </row>
    <row r="17" spans="1:13" ht="21" customHeight="1" x14ac:dyDescent="0.15">
      <c r="A17" s="47">
        <v>13301269</v>
      </c>
      <c r="B17" s="47">
        <v>0</v>
      </c>
      <c r="C17" s="47">
        <v>4</v>
      </c>
      <c r="D17" s="47">
        <v>80</v>
      </c>
      <c r="E17" s="47">
        <v>50</v>
      </c>
      <c r="F17" s="47" t="s">
        <v>274</v>
      </c>
      <c r="G17" s="47">
        <v>2</v>
      </c>
      <c r="H17" s="47" t="s">
        <v>274</v>
      </c>
      <c r="I17" s="47" t="s">
        <v>274</v>
      </c>
      <c r="J17" s="48">
        <f t="shared" si="2"/>
        <v>80</v>
      </c>
      <c r="L17" s="51" t="s">
        <v>286</v>
      </c>
      <c r="M17" s="51" t="s">
        <v>287</v>
      </c>
    </row>
    <row r="18" spans="1:13" ht="21" customHeight="1" x14ac:dyDescent="0.15">
      <c r="A18" s="47">
        <v>13301270</v>
      </c>
      <c r="B18" s="47">
        <v>0</v>
      </c>
      <c r="C18" s="47">
        <v>4</v>
      </c>
      <c r="D18" s="47">
        <v>80</v>
      </c>
      <c r="E18" s="47">
        <v>50</v>
      </c>
      <c r="F18" s="47" t="s">
        <v>274</v>
      </c>
      <c r="G18" s="47">
        <v>2</v>
      </c>
      <c r="H18" s="47" t="s">
        <v>274</v>
      </c>
      <c r="I18" s="47" t="s">
        <v>274</v>
      </c>
      <c r="J18" s="48">
        <f t="shared" si="2"/>
        <v>80</v>
      </c>
      <c r="L18" s="51" t="s">
        <v>288</v>
      </c>
      <c r="M18" s="51" t="s">
        <v>304</v>
      </c>
    </row>
    <row r="19" spans="1:13" ht="21" customHeight="1" x14ac:dyDescent="0.15">
      <c r="A19" s="47">
        <v>13301271</v>
      </c>
      <c r="B19" s="47">
        <v>0</v>
      </c>
      <c r="C19" s="47">
        <v>3</v>
      </c>
      <c r="D19" s="47">
        <v>85</v>
      </c>
      <c r="E19" s="47" t="s">
        <v>274</v>
      </c>
      <c r="F19" s="47" t="s">
        <v>274</v>
      </c>
      <c r="G19" s="47" t="s">
        <v>274</v>
      </c>
      <c r="H19" s="47" t="s">
        <v>274</v>
      </c>
      <c r="I19" s="47" t="s">
        <v>274</v>
      </c>
      <c r="J19" s="48">
        <f t="shared" si="2"/>
        <v>85</v>
      </c>
      <c r="L19" s="51" t="s">
        <v>294</v>
      </c>
      <c r="M19" s="51" t="s">
        <v>282</v>
      </c>
    </row>
  </sheetData>
  <autoFilter ref="A1:G1"/>
  <phoneticPr fontId="5"/>
  <conditionalFormatting sqref="K20:K1048576 K1:K2">
    <cfRule type="duplicateValues" dxfId="17" priority="23"/>
  </conditionalFormatting>
  <conditionalFormatting sqref="K3">
    <cfRule type="duplicateValues" dxfId="16" priority="22"/>
  </conditionalFormatting>
  <conditionalFormatting sqref="K4">
    <cfRule type="duplicateValues" dxfId="15" priority="21"/>
  </conditionalFormatting>
  <conditionalFormatting sqref="K5">
    <cfRule type="duplicateValues" dxfId="14" priority="20"/>
  </conditionalFormatting>
  <conditionalFormatting sqref="K6">
    <cfRule type="duplicateValues" dxfId="13" priority="19"/>
  </conditionalFormatting>
  <conditionalFormatting sqref="K7">
    <cfRule type="duplicateValues" dxfId="12" priority="18"/>
  </conditionalFormatting>
  <conditionalFormatting sqref="K8">
    <cfRule type="duplicateValues" dxfId="11" priority="17"/>
  </conditionalFormatting>
  <conditionalFormatting sqref="K10">
    <cfRule type="duplicateValues" dxfId="10" priority="12"/>
  </conditionalFormatting>
  <conditionalFormatting sqref="K9">
    <cfRule type="duplicateValues" dxfId="9" priority="11"/>
  </conditionalFormatting>
  <conditionalFormatting sqref="K11">
    <cfRule type="duplicateValues" dxfId="8" priority="10"/>
  </conditionalFormatting>
  <conditionalFormatting sqref="K12">
    <cfRule type="duplicateValues" dxfId="7" priority="9"/>
  </conditionalFormatting>
  <conditionalFormatting sqref="K13">
    <cfRule type="duplicateValues" dxfId="6" priority="8"/>
  </conditionalFormatting>
  <conditionalFormatting sqref="K14">
    <cfRule type="duplicateValues" dxfId="5" priority="7"/>
  </conditionalFormatting>
  <conditionalFormatting sqref="K15">
    <cfRule type="duplicateValues" dxfId="4" priority="6"/>
  </conditionalFormatting>
  <conditionalFormatting sqref="K16">
    <cfRule type="duplicateValues" dxfId="3" priority="4"/>
  </conditionalFormatting>
  <conditionalFormatting sqref="K17">
    <cfRule type="duplicateValues" dxfId="2" priority="3"/>
  </conditionalFormatting>
  <conditionalFormatting sqref="K18">
    <cfRule type="duplicateValues" dxfId="1" priority="2"/>
  </conditionalFormatting>
  <conditionalFormatting sqref="K1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7"/>
  <sheetViews>
    <sheetView workbookViewId="0">
      <selection activeCell="D10" sqref="D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148</v>
      </c>
      <c r="B1" s="65" t="s">
        <v>149</v>
      </c>
      <c r="C1" s="66" t="s">
        <v>150</v>
      </c>
      <c r="D1" s="72" t="s">
        <v>151</v>
      </c>
      <c r="E1" s="67" t="s">
        <v>152</v>
      </c>
      <c r="F1" s="65" t="s">
        <v>153</v>
      </c>
      <c r="G1" s="65" t="s">
        <v>154</v>
      </c>
      <c r="H1" s="65" t="s">
        <v>155</v>
      </c>
      <c r="I1" s="65" t="s">
        <v>156</v>
      </c>
      <c r="J1" s="65" t="s">
        <v>157</v>
      </c>
      <c r="K1" s="65" t="s">
        <v>158</v>
      </c>
      <c r="L1" s="65" t="s">
        <v>159</v>
      </c>
      <c r="M1" s="65" t="s">
        <v>160</v>
      </c>
      <c r="N1" s="65" t="s">
        <v>161</v>
      </c>
      <c r="O1" s="65" t="s">
        <v>162</v>
      </c>
      <c r="P1" s="65" t="s">
        <v>163</v>
      </c>
      <c r="Q1" s="65" t="s">
        <v>164</v>
      </c>
      <c r="R1" s="65" t="s">
        <v>165</v>
      </c>
    </row>
    <row r="2" spans="1:18" x14ac:dyDescent="0.15">
      <c r="A2" s="57">
        <v>13301</v>
      </c>
      <c r="B2" s="57">
        <v>2</v>
      </c>
      <c r="C2" s="71" t="str">
        <f>A2&amp; "_"&amp;B2</f>
        <v>13301_2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222</v>
      </c>
      <c r="G2" s="57">
        <v>121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160</v>
      </c>
      <c r="Q2" s="57" t="s">
        <v>166</v>
      </c>
      <c r="R2" s="57" t="s">
        <v>167</v>
      </c>
    </row>
    <row r="3" spans="1:18" x14ac:dyDescent="0.15">
      <c r="A3" s="57">
        <v>13301</v>
      </c>
      <c r="B3" s="57">
        <v>2</v>
      </c>
      <c r="C3" s="71" t="str">
        <f t="shared" ref="C3:C6" si="0">A3&amp; "_"&amp;B3</f>
        <v>13301_2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222</v>
      </c>
      <c r="G3" s="57">
        <v>607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80</v>
      </c>
      <c r="Q3" s="57" t="s">
        <v>166</v>
      </c>
      <c r="R3" s="57" t="s">
        <v>167</v>
      </c>
    </row>
    <row r="4" spans="1:18" x14ac:dyDescent="0.15">
      <c r="A4" s="57">
        <v>13301</v>
      </c>
      <c r="B4" s="57">
        <v>2</v>
      </c>
      <c r="C4" s="71" t="str">
        <f t="shared" si="0"/>
        <v>13301_2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222</v>
      </c>
      <c r="G4" s="57">
        <v>125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20</v>
      </c>
      <c r="Q4" s="57" t="s">
        <v>166</v>
      </c>
      <c r="R4" s="57" t="s">
        <v>167</v>
      </c>
    </row>
    <row r="5" spans="1:18" x14ac:dyDescent="0.15">
      <c r="A5" s="57">
        <v>13301</v>
      </c>
      <c r="B5" s="57">
        <v>2</v>
      </c>
      <c r="C5" s="71" t="str">
        <f t="shared" si="0"/>
        <v>13301_2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222</v>
      </c>
      <c r="G5" s="57">
        <v>342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540</v>
      </c>
      <c r="Q5" s="57" t="s">
        <v>166</v>
      </c>
      <c r="R5" s="57" t="s">
        <v>167</v>
      </c>
    </row>
    <row r="6" spans="1:18" x14ac:dyDescent="0.15">
      <c r="A6" s="57">
        <v>13301</v>
      </c>
      <c r="B6" s="57">
        <v>2</v>
      </c>
      <c r="C6" s="71" t="str">
        <f t="shared" si="0"/>
        <v>13301_2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222</v>
      </c>
      <c r="G6" s="57">
        <v>343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200</v>
      </c>
      <c r="Q6" s="57" t="s">
        <v>166</v>
      </c>
      <c r="R6" s="57" t="s">
        <v>167</v>
      </c>
    </row>
    <row r="7" spans="1:18" x14ac:dyDescent="0.15">
      <c r="B7" s="104"/>
    </row>
  </sheetData>
  <phoneticPr fontId="5"/>
  <dataValidations disablePrompts="1"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M35" sqref="M3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185</v>
      </c>
      <c r="B1" s="73" t="s">
        <v>186</v>
      </c>
      <c r="C1" s="77" t="s">
        <v>187</v>
      </c>
      <c r="D1" s="77" t="s">
        <v>33</v>
      </c>
      <c r="E1" s="73" t="s">
        <v>188</v>
      </c>
      <c r="F1" s="77" t="s">
        <v>189</v>
      </c>
      <c r="G1" s="77" t="s">
        <v>33</v>
      </c>
      <c r="H1" s="73" t="s">
        <v>190</v>
      </c>
      <c r="I1" s="90" t="s">
        <v>192</v>
      </c>
      <c r="J1" s="79" t="s">
        <v>124</v>
      </c>
      <c r="K1" s="78" t="s">
        <v>183</v>
      </c>
      <c r="L1" s="91" t="s">
        <v>182</v>
      </c>
      <c r="M1" s="80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"/>
  <sheetViews>
    <sheetView showGridLines="0" workbookViewId="0">
      <pane ySplit="1" topLeftCell="A2" activePane="bottomLeft" state="frozen"/>
      <selection pane="bottomLeft" activeCell="H10" sqref="H1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185</v>
      </c>
      <c r="B1" s="73" t="s">
        <v>148</v>
      </c>
      <c r="C1" s="77" t="s">
        <v>187</v>
      </c>
      <c r="D1" s="77" t="s">
        <v>33</v>
      </c>
      <c r="E1" s="73" t="s">
        <v>188</v>
      </c>
      <c r="F1" s="77" t="s">
        <v>18</v>
      </c>
      <c r="G1" s="77" t="s">
        <v>33</v>
      </c>
      <c r="H1" s="73" t="s">
        <v>190</v>
      </c>
      <c r="I1" s="88" t="s">
        <v>191</v>
      </c>
      <c r="J1" s="90" t="s">
        <v>192</v>
      </c>
      <c r="K1" s="79" t="s">
        <v>124</v>
      </c>
      <c r="L1" s="78" t="s">
        <v>183</v>
      </c>
      <c r="M1" s="91" t="s">
        <v>182</v>
      </c>
      <c r="N1" s="80" t="s">
        <v>193</v>
      </c>
    </row>
    <row r="2" spans="1:14" ht="42" x14ac:dyDescent="0.15">
      <c r="A2" s="81" t="s">
        <v>194</v>
      </c>
      <c r="B2" s="82">
        <v>13301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2階 コスト制限なし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>
        <v>1</v>
      </c>
      <c r="I2" s="89">
        <f>ROW()-1</f>
        <v>1</v>
      </c>
      <c r="J2" s="105">
        <v>13301341</v>
      </c>
      <c r="K2" s="84" t="s">
        <v>125</v>
      </c>
      <c r="L2" s="86" t="s">
        <v>195</v>
      </c>
      <c r="M2" s="106" t="s">
        <v>269</v>
      </c>
      <c r="N2" s="57" t="s">
        <v>196</v>
      </c>
    </row>
    <row r="3" spans="1:14" ht="56" x14ac:dyDescent="0.15">
      <c r="A3" s="81" t="s">
        <v>194</v>
      </c>
      <c r="B3" s="82">
        <v>13301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2階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>
        <v>1</v>
      </c>
      <c r="I3" s="89">
        <f>ROW()-1</f>
        <v>2</v>
      </c>
      <c r="J3" s="105">
        <v>13301342</v>
      </c>
      <c r="K3" s="84" t="s">
        <v>125</v>
      </c>
      <c r="L3" s="86" t="s">
        <v>195</v>
      </c>
      <c r="M3" s="106" t="s">
        <v>268</v>
      </c>
      <c r="N3" s="57" t="s">
        <v>196</v>
      </c>
    </row>
    <row r="4" spans="1:14" ht="56" x14ac:dyDescent="0.15">
      <c r="A4" s="81" t="s">
        <v>194</v>
      </c>
      <c r="B4" s="82">
        <v>13301</v>
      </c>
      <c r="C4" s="83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3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4">
        <v>2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2階 コスト制限なし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5">
        <v>2</v>
      </c>
      <c r="I4" s="89">
        <f>ROW()-1</f>
        <v>3</v>
      </c>
      <c r="J4" s="105">
        <v>13301362</v>
      </c>
      <c r="K4" s="84" t="s">
        <v>270</v>
      </c>
      <c r="L4" s="86" t="s">
        <v>195</v>
      </c>
      <c r="M4" s="106" t="s">
        <v>322</v>
      </c>
      <c r="N4" s="57" t="s">
        <v>271</v>
      </c>
    </row>
    <row r="5" spans="1:14" ht="56" x14ac:dyDescent="0.15">
      <c r="A5" s="81" t="s">
        <v>194</v>
      </c>
      <c r="B5" s="82">
        <v>13301</v>
      </c>
      <c r="C5" s="83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3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4">
        <v>2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2階 コスト制限なし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5">
        <v>3</v>
      </c>
      <c r="I5" s="89">
        <v>5</v>
      </c>
      <c r="J5" s="105">
        <v>13301364</v>
      </c>
      <c r="K5" s="84" t="s">
        <v>272</v>
      </c>
      <c r="L5" s="86" t="s">
        <v>195</v>
      </c>
      <c r="M5" s="106" t="s">
        <v>323</v>
      </c>
      <c r="N5" s="57" t="s">
        <v>273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12" sqref="C1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208</v>
      </c>
      <c r="B1" s="94" t="s">
        <v>209</v>
      </c>
      <c r="C1" s="77" t="s">
        <v>210</v>
      </c>
      <c r="D1" s="77" t="s">
        <v>33</v>
      </c>
      <c r="E1" s="94" t="s">
        <v>211</v>
      </c>
      <c r="F1" s="77" t="s">
        <v>212</v>
      </c>
      <c r="G1" s="77" t="s">
        <v>33</v>
      </c>
      <c r="H1" s="94" t="s">
        <v>213</v>
      </c>
      <c r="I1" s="94" t="s">
        <v>214</v>
      </c>
      <c r="J1" s="94" t="s">
        <v>215</v>
      </c>
      <c r="K1" s="73" t="s">
        <v>216</v>
      </c>
      <c r="L1" s="73" t="s">
        <v>217</v>
      </c>
      <c r="M1" s="73" t="s">
        <v>154</v>
      </c>
      <c r="N1" s="77" t="s">
        <v>16</v>
      </c>
      <c r="O1" s="73" t="s">
        <v>218</v>
      </c>
      <c r="P1" s="73" t="s">
        <v>56</v>
      </c>
      <c r="Q1" s="73" t="s">
        <v>219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220</v>
      </c>
      <c r="X1" s="73" t="s">
        <v>221</v>
      </c>
    </row>
    <row r="2" spans="1:24" x14ac:dyDescent="0.15">
      <c r="A2" s="95" t="str">
        <f>B2&amp;"_"&amp;E2&amp;"_"&amp;H2&amp;"_"&amp;I2&amp;"_"&amp;J2</f>
        <v>13301_2_singleonly_clear_1</v>
      </c>
      <c r="B2" s="82">
        <v>13301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2階 コスト制限なし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 t="s">
        <v>252</v>
      </c>
      <c r="I2" s="84" t="s">
        <v>253</v>
      </c>
      <c r="J2" s="84">
        <v>1</v>
      </c>
      <c r="K2" s="84">
        <v>790</v>
      </c>
      <c r="L2" s="84" t="s">
        <v>254</v>
      </c>
      <c r="M2" s="84">
        <v>10000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 t="s">
        <v>255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7" t="s">
        <v>223</v>
      </c>
      <c r="X2" s="98" t="s">
        <v>224</v>
      </c>
    </row>
    <row r="3" spans="1:24" x14ac:dyDescent="0.15">
      <c r="A3" s="95" t="str">
        <f>B3&amp;"_"&amp;E3&amp;"_"&amp;H3&amp;"_"&amp;I3&amp;"_"&amp;J3</f>
        <v>13301_2_singleonly_clear_2</v>
      </c>
      <c r="B3" s="82">
        <v>13301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2階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 t="s">
        <v>252</v>
      </c>
      <c r="I3" s="84" t="s">
        <v>253</v>
      </c>
      <c r="J3" s="84">
        <v>2</v>
      </c>
      <c r="K3" s="84">
        <v>210</v>
      </c>
      <c r="L3" s="84" t="s">
        <v>254</v>
      </c>
      <c r="M3" s="84">
        <v>46000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 t="s">
        <v>256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7" t="s">
        <v>223</v>
      </c>
      <c r="X3" s="98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2016-11-12T00:53:22Z</dcterms:modified>
</cp:coreProperties>
</file>