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 standalone="yes"?>
<workbook xmlns="http://schemas.openxmlformats.org/spreadsheetml/2006/main" xmlns:r="http://schemas.openxmlformats.org/officeDocument/2006/relationships"><fileVersion appName="xl" lastEdited="5" lowestEdited="5" rupBuild="26518"/><workbookPr codeName="ThisWorkbook" autoCompressPictures="0"/><bookViews><workbookView xWindow="0" yWindow="0" windowWidth="25600" windowHeight="13860" tabRatio="740" firstSheet="2" activeTab="5"/></bookViews><sheets><sheet name="output" sheetId="16" r:id="rId1"/><sheet name="floors" sheetId="2" r:id="rId2"/><sheet name="enemy_habitats" sheetId="1" r:id="rId3"/><sheet name="enemy_habitat_S" sheetId="7" r:id="rId4"/><sheet name="enemy_skill_sets" sheetId="9" r:id="rId5"/><sheet name="enemy_skills" sheetId="10" r:id="rId6"/><sheet name="enemy_skill_triggers" sheetId="11" r:id="rId7"/><sheet name="bugbonuses" sheetId="18" r:id="rId8"/><sheet name="stage_hints_complete" sheetId="19" r:id="rId9"/><sheet name="stage_hints_failure" sheetId="21" r:id="rId10"/></sheets><externalReferences><externalReference r:id="rId11"/><externalReference r:id="rId12"/><externalReference r:id="rId13"/><externalReference r:id="rId14"/><externalReference r:id="rId15"/><externalReference r:id="rId16"/><externalReference r:id="rId17"/></externalReferences><definedNames><definedName name="_xlnm._FilterDatabase" localSheetId="3" hidden="1">enemy_habitat_S!$B$1:$Y$2</definedName><definedName name="_xlnm._FilterDatabase" localSheetId="2" hidden="1">enemy_habitats!$B$1:$AH$2</definedName><definedName name="_xlnm._FilterDatabase" localSheetId="4" hidden="1">enemy_skill_sets!$A$1:$R$1</definedName><definedName name="_xlnm._FilterDatabase" localSheetId="6" hidden="1">enemy_skill_triggers!$A$1:$G$1</definedName><definedName name="_xlnm._FilterDatabase" localSheetId="5" hidden="1">enemy_skills!$A$1:$AB$1</definedName><definedName name="_xlnm._FilterDatabase" localSheetId="8" hidden="1">stage_hints_complete!$B$1:$L$1</definedName><definedName name="_xlnm._FilterDatabase" localSheetId="9" hidden="1">stage_hints_failure!$B$1:$M$2</definedName><definedName name="Excel_BuiltIn__FilterDatabase_6_1" localSheetId="4">[1]unit_skills!#REF!</definedName><definedName name="Excel_BuiltIn__FilterDatabase_6_1" localSheetId="6">[1]unit_skills!#REF!</definedName></definedNames><calcPr calcId="140001" calcMode="manual" concurrentCalc="0"/><fileRecoveryPr repairLoad="1"/><extLst><ext uri="{7523E5D3-25F3-A5E0-1632-64F254C22452}" xmlns:mx="http://schemas.microsoft.com/office/mac/excel/2008/main"><mx:ArchID Flags="2"/></ext><ext uri="{79F54976-1DA5-4618-B147-4CDE4B953A38}" xmlns:x14="http://schemas.microsoft.com/office/spreadsheetml/2009/9/main"><x14:workbookPr defaultImageDpi="32767"/></ext><ext uri="{140A7094-0E35-4892-8432-C4D2E57EDEB5}"><x15:workbookPr chartTrackingRefBase="1"/></ext></extLst></workbook>
</file>

<file path=xl/calcChain.xml><?xml version="1.0" encoding="utf-8"?>
<calcChain xmlns="http://schemas.openxmlformats.org/spreadsheetml/2006/main">
  <c r="C11" i="18" l="1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B9" i="21"/>
  <c r="I9" i="21"/>
  <c r="J9" i="21"/>
  <c r="G9" i="21"/>
  <c r="F9" i="21"/>
  <c r="D9" i="21"/>
  <c r="C9" i="21"/>
  <c r="B8" i="21"/>
  <c r="C8" i="21"/>
  <c r="D8" i="21"/>
  <c r="F8" i="21"/>
  <c r="G8" i="21"/>
  <c r="I8" i="21"/>
  <c r="J8" i="21"/>
  <c r="B3" i="21"/>
  <c r="C3" i="21"/>
  <c r="D3" i="21"/>
  <c r="F3" i="21"/>
  <c r="G3" i="21"/>
  <c r="I3" i="21"/>
  <c r="J3" i="21"/>
  <c r="B4" i="21"/>
  <c r="C4" i="21"/>
  <c r="D4" i="21"/>
  <c r="F4" i="21"/>
  <c r="G4" i="21"/>
  <c r="I4" i="21"/>
  <c r="J4" i="21"/>
  <c r="B5" i="21"/>
  <c r="C5" i="21"/>
  <c r="D5" i="21"/>
  <c r="F5" i="21"/>
  <c r="G5" i="21"/>
  <c r="I5" i="21"/>
  <c r="J5" i="21"/>
  <c r="B6" i="21"/>
  <c r="C6" i="21"/>
  <c r="D6" i="21"/>
  <c r="F6" i="21"/>
  <c r="G6" i="21"/>
  <c r="I6" i="21"/>
  <c r="J6" i="21"/>
  <c r="B7" i="21"/>
  <c r="C7" i="21"/>
  <c r="D7" i="21"/>
  <c r="F7" i="21"/>
  <c r="G7" i="21"/>
  <c r="I7" i="21"/>
  <c r="J7" i="21"/>
  <c r="J47" i="11"/>
  <c r="O2" i="9"/>
  <c r="N2" i="9"/>
  <c r="M2" i="9"/>
  <c r="L2" i="9"/>
  <c r="K2" i="9"/>
  <c r="J2" i="9"/>
  <c r="I2" i="9"/>
  <c r="H2" i="9"/>
  <c r="G2" i="9"/>
  <c r="E2" i="9"/>
  <c r="D2" i="9"/>
  <c r="A2" i="9"/>
  <c r="O11" i="9"/>
  <c r="N11" i="9"/>
  <c r="M11" i="9"/>
  <c r="L11" i="9"/>
  <c r="K11" i="9"/>
  <c r="J11" i="9"/>
  <c r="I11" i="9"/>
  <c r="H11" i="9"/>
  <c r="G11" i="9"/>
  <c r="E11" i="9"/>
  <c r="D11" i="9"/>
  <c r="A11" i="9"/>
  <c r="O21" i="9"/>
  <c r="N21" i="9"/>
  <c r="M21" i="9"/>
  <c r="L21" i="9"/>
  <c r="K21" i="9"/>
  <c r="J21" i="9"/>
  <c r="I21" i="9"/>
  <c r="H21" i="9"/>
  <c r="G21" i="9"/>
  <c r="E21" i="9"/>
  <c r="D21" i="9"/>
  <c r="A21" i="9"/>
  <c r="O34" i="9"/>
  <c r="N34" i="9"/>
  <c r="M34" i="9"/>
  <c r="L34" i="9"/>
  <c r="K34" i="9"/>
  <c r="J34" i="9"/>
  <c r="I34" i="9"/>
  <c r="H34" i="9"/>
  <c r="G34" i="9"/>
  <c r="E34" i="9"/>
  <c r="D34" i="9"/>
  <c r="A34" i="9"/>
  <c r="O3" i="9"/>
  <c r="N3" i="9"/>
  <c r="M3" i="9"/>
  <c r="L3" i="9"/>
  <c r="K3" i="9"/>
  <c r="J3" i="9"/>
  <c r="I3" i="9"/>
  <c r="H3" i="9"/>
  <c r="G3" i="9"/>
  <c r="E3" i="9"/>
  <c r="D3" i="9"/>
  <c r="A3" i="9"/>
  <c r="J9" i="11"/>
  <c r="O12" i="9"/>
  <c r="N12" i="9"/>
  <c r="M12" i="9"/>
  <c r="L12" i="9"/>
  <c r="K12" i="9"/>
  <c r="J12" i="9"/>
  <c r="I12" i="9"/>
  <c r="H12" i="9"/>
  <c r="G12" i="9"/>
  <c r="E12" i="9"/>
  <c r="D12" i="9"/>
  <c r="A12" i="9"/>
  <c r="J17" i="11"/>
  <c r="O22" i="9"/>
  <c r="N22" i="9"/>
  <c r="M22" i="9"/>
  <c r="L22" i="9"/>
  <c r="K22" i="9"/>
  <c r="J22" i="9"/>
  <c r="I22" i="9"/>
  <c r="H22" i="9"/>
  <c r="G22" i="9"/>
  <c r="E22" i="9"/>
  <c r="D22" i="9"/>
  <c r="A22" i="9"/>
  <c r="J25" i="11"/>
  <c r="O35" i="9"/>
  <c r="N35" i="9"/>
  <c r="M35" i="9"/>
  <c r="L35" i="9"/>
  <c r="K35" i="9"/>
  <c r="J35" i="9"/>
  <c r="I35" i="9"/>
  <c r="H35" i="9"/>
  <c r="G35" i="9"/>
  <c r="E35" i="9"/>
  <c r="D35" i="9"/>
  <c r="A35" i="9"/>
  <c r="G47" i="10"/>
  <c r="H47" i="10"/>
  <c r="I47" i="10"/>
  <c r="J47" i="10"/>
  <c r="K47" i="10"/>
  <c r="L47" i="10"/>
  <c r="M47" i="10"/>
  <c r="N47" i="10"/>
  <c r="O47" i="10"/>
  <c r="P47" i="10"/>
  <c r="Q47" i="10"/>
  <c r="R47" i="10"/>
  <c r="S47" i="10"/>
  <c r="T47" i="10"/>
  <c r="U47" i="10"/>
  <c r="V47" i="10"/>
  <c r="W47" i="10"/>
  <c r="X47" i="10"/>
  <c r="Y47" i="10"/>
  <c r="G48" i="10"/>
  <c r="H48" i="10"/>
  <c r="I48" i="10"/>
  <c r="J48" i="10"/>
  <c r="K48" i="10"/>
  <c r="L48" i="10"/>
  <c r="M48" i="10"/>
  <c r="N48" i="10"/>
  <c r="O48" i="10"/>
  <c r="P48" i="10"/>
  <c r="Q48" i="10"/>
  <c r="R48" i="10"/>
  <c r="S48" i="10"/>
  <c r="T48" i="10"/>
  <c r="U48" i="10"/>
  <c r="V48" i="10"/>
  <c r="W48" i="10"/>
  <c r="X48" i="10"/>
  <c r="Y48" i="10"/>
  <c r="G49" i="10"/>
  <c r="H49" i="10"/>
  <c r="I49" i="10"/>
  <c r="J49" i="10"/>
  <c r="K49" i="10"/>
  <c r="L49" i="10"/>
  <c r="M49" i="10"/>
  <c r="N49" i="10"/>
  <c r="O49" i="10"/>
  <c r="P49" i="10"/>
  <c r="Q49" i="10"/>
  <c r="R49" i="10"/>
  <c r="S49" i="10"/>
  <c r="T49" i="10"/>
  <c r="U49" i="10"/>
  <c r="V49" i="10"/>
  <c r="W49" i="10"/>
  <c r="X49" i="10"/>
  <c r="Y49" i="10"/>
  <c r="G50" i="10"/>
  <c r="H50" i="10"/>
  <c r="I50" i="10"/>
  <c r="J50" i="10"/>
  <c r="K50" i="10"/>
  <c r="L50" i="10"/>
  <c r="M50" i="10"/>
  <c r="N50" i="10"/>
  <c r="O50" i="10"/>
  <c r="P50" i="10"/>
  <c r="Q50" i="10"/>
  <c r="R50" i="10"/>
  <c r="S50" i="10"/>
  <c r="T50" i="10"/>
  <c r="U50" i="10"/>
  <c r="V50" i="10"/>
  <c r="W50" i="10"/>
  <c r="X50" i="10"/>
  <c r="Y50" i="10"/>
  <c r="H36" i="9"/>
  <c r="I36" i="9"/>
  <c r="J36" i="9"/>
  <c r="H37" i="9"/>
  <c r="I37" i="9"/>
  <c r="J37" i="9"/>
  <c r="H38" i="9"/>
  <c r="I38" i="9"/>
  <c r="J38" i="9"/>
  <c r="H39" i="9"/>
  <c r="I39" i="9"/>
  <c r="J39" i="9"/>
  <c r="H40" i="9"/>
  <c r="I40" i="9"/>
  <c r="J40" i="9"/>
  <c r="J33" i="11"/>
  <c r="O44" i="9"/>
  <c r="N44" i="9"/>
  <c r="M44" i="9"/>
  <c r="L44" i="9"/>
  <c r="K44" i="9"/>
  <c r="J44" i="9"/>
  <c r="I44" i="9"/>
  <c r="H44" i="9"/>
  <c r="G44" i="9"/>
  <c r="E44" i="9"/>
  <c r="D44" i="9"/>
  <c r="A44" i="9"/>
  <c r="G24" i="9"/>
  <c r="H24" i="9"/>
  <c r="I24" i="9"/>
  <c r="J24" i="9"/>
  <c r="K24" i="9"/>
  <c r="L24" i="9"/>
  <c r="M24" i="9"/>
  <c r="N24" i="9"/>
  <c r="G25" i="9"/>
  <c r="H25" i="9"/>
  <c r="I25" i="9"/>
  <c r="J25" i="9"/>
  <c r="K25" i="9"/>
  <c r="L25" i="9"/>
  <c r="M25" i="9"/>
  <c r="N25" i="9"/>
  <c r="G26" i="9"/>
  <c r="H26" i="9"/>
  <c r="I26" i="9"/>
  <c r="J26" i="9"/>
  <c r="K26" i="9"/>
  <c r="L26" i="9"/>
  <c r="M26" i="9"/>
  <c r="N26" i="9"/>
  <c r="G27" i="9"/>
  <c r="H27" i="9"/>
  <c r="I27" i="9"/>
  <c r="J27" i="9"/>
  <c r="K27" i="9"/>
  <c r="L27" i="9"/>
  <c r="M27" i="9"/>
  <c r="N27" i="9"/>
  <c r="G28" i="9"/>
  <c r="H28" i="9"/>
  <c r="I28" i="9"/>
  <c r="J28" i="9"/>
  <c r="K28" i="9"/>
  <c r="L28" i="9"/>
  <c r="M28" i="9"/>
  <c r="N28" i="9"/>
  <c r="J44" i="11"/>
  <c r="J45" i="11"/>
  <c r="J46" i="11"/>
  <c r="O25" i="9"/>
  <c r="E25" i="9"/>
  <c r="D25" i="9"/>
  <c r="A25" i="9"/>
  <c r="O24" i="9"/>
  <c r="E24" i="9"/>
  <c r="D24" i="9"/>
  <c r="A24" i="9"/>
  <c r="J18" i="11"/>
  <c r="O26" i="9"/>
  <c r="E26" i="9"/>
  <c r="D26" i="9"/>
  <c r="A26" i="9"/>
  <c r="J21" i="11"/>
  <c r="M20" i="10"/>
  <c r="T20" i="10"/>
  <c r="W20" i="10"/>
  <c r="V20" i="10"/>
  <c r="X20" i="10"/>
  <c r="U20" i="10"/>
  <c r="Y20" i="10"/>
  <c r="M39" i="10"/>
  <c r="N39" i="10"/>
  <c r="Q39" i="10"/>
  <c r="P39" i="10"/>
  <c r="R39" i="10"/>
  <c r="O39" i="10"/>
  <c r="S39" i="10"/>
  <c r="M29" i="10"/>
  <c r="N29" i="10"/>
  <c r="Q29" i="10"/>
  <c r="P29" i="10"/>
  <c r="R29" i="10"/>
  <c r="O29" i="10"/>
  <c r="S29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8" i="10"/>
  <c r="T18" i="10"/>
  <c r="W18" i="10"/>
  <c r="V18" i="10"/>
  <c r="X18" i="10"/>
  <c r="U18" i="10"/>
  <c r="Y18" i="10"/>
  <c r="M38" i="10"/>
  <c r="N38" i="10"/>
  <c r="Q38" i="10"/>
  <c r="P38" i="10"/>
  <c r="R38" i="10"/>
  <c r="O38" i="10"/>
  <c r="S38" i="10"/>
  <c r="M28" i="10"/>
  <c r="N28" i="10"/>
  <c r="Q28" i="10"/>
  <c r="P28" i="10"/>
  <c r="R28" i="10"/>
  <c r="O28" i="10"/>
  <c r="S2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G5" i="9"/>
  <c r="H5" i="9"/>
  <c r="I5" i="9"/>
  <c r="J5" i="9"/>
  <c r="K5" i="9"/>
  <c r="L5" i="9"/>
  <c r="M5" i="9"/>
  <c r="N5" i="9"/>
  <c r="J3" i="11"/>
  <c r="O5" i="9"/>
  <c r="G6" i="9"/>
  <c r="H6" i="9"/>
  <c r="I6" i="9"/>
  <c r="J6" i="9"/>
  <c r="K6" i="9"/>
  <c r="L6" i="9"/>
  <c r="M6" i="9"/>
  <c r="N6" i="9"/>
  <c r="J4" i="11"/>
  <c r="O6" i="9"/>
  <c r="G7" i="9"/>
  <c r="H7" i="9"/>
  <c r="I7" i="9"/>
  <c r="J7" i="9"/>
  <c r="K7" i="9"/>
  <c r="L7" i="9"/>
  <c r="M7" i="9"/>
  <c r="N7" i="9"/>
  <c r="J6" i="11"/>
  <c r="J5" i="11"/>
  <c r="O7" i="9"/>
  <c r="G8" i="9"/>
  <c r="H8" i="9"/>
  <c r="I8" i="9"/>
  <c r="J8" i="9"/>
  <c r="K8" i="9"/>
  <c r="L8" i="9"/>
  <c r="M8" i="9"/>
  <c r="N8" i="9"/>
  <c r="J8" i="11"/>
  <c r="O8" i="9"/>
  <c r="G9" i="9"/>
  <c r="H9" i="9"/>
  <c r="I9" i="9"/>
  <c r="J9" i="9"/>
  <c r="K9" i="9"/>
  <c r="L9" i="9"/>
  <c r="M9" i="9"/>
  <c r="N9" i="9"/>
  <c r="J7" i="11"/>
  <c r="O9" i="9"/>
  <c r="G10" i="9"/>
  <c r="H10" i="9"/>
  <c r="I10" i="9"/>
  <c r="J10" i="9"/>
  <c r="K10" i="9"/>
  <c r="L10" i="9"/>
  <c r="M10" i="9"/>
  <c r="N10" i="9"/>
  <c r="J10" i="11"/>
  <c r="O10" i="9"/>
  <c r="G13" i="9"/>
  <c r="H13" i="9"/>
  <c r="I13" i="9"/>
  <c r="J13" i="9"/>
  <c r="K13" i="9"/>
  <c r="L13" i="9"/>
  <c r="M13" i="9"/>
  <c r="N13" i="9"/>
  <c r="J11" i="11"/>
  <c r="O13" i="9"/>
  <c r="G14" i="9"/>
  <c r="H14" i="9"/>
  <c r="I14" i="9"/>
  <c r="J14" i="9"/>
  <c r="K14" i="9"/>
  <c r="L14" i="9"/>
  <c r="M14" i="9"/>
  <c r="N14" i="9"/>
  <c r="J12" i="11"/>
  <c r="O14" i="9"/>
  <c r="G15" i="9"/>
  <c r="H15" i="9"/>
  <c r="I15" i="9"/>
  <c r="J15" i="9"/>
  <c r="K15" i="9"/>
  <c r="L15" i="9"/>
  <c r="M15" i="9"/>
  <c r="N15" i="9"/>
  <c r="J13" i="11"/>
  <c r="O15" i="9"/>
  <c r="G16" i="9"/>
  <c r="H16" i="9"/>
  <c r="I16" i="9"/>
  <c r="J16" i="9"/>
  <c r="K16" i="9"/>
  <c r="L16" i="9"/>
  <c r="M16" i="9"/>
  <c r="N16" i="9"/>
  <c r="J14" i="11"/>
  <c r="O16" i="9"/>
  <c r="G17" i="9"/>
  <c r="H17" i="9"/>
  <c r="I17" i="9"/>
  <c r="J17" i="9"/>
  <c r="K17" i="9"/>
  <c r="L17" i="9"/>
  <c r="M17" i="9"/>
  <c r="N17" i="9"/>
  <c r="J15" i="11"/>
  <c r="O17" i="9"/>
  <c r="G18" i="9"/>
  <c r="H18" i="9"/>
  <c r="I18" i="9"/>
  <c r="J18" i="9"/>
  <c r="K18" i="9"/>
  <c r="L18" i="9"/>
  <c r="M18" i="9"/>
  <c r="N18" i="9"/>
  <c r="J16" i="11"/>
  <c r="O18" i="9"/>
  <c r="G19" i="9"/>
  <c r="H19" i="9"/>
  <c r="I19" i="9"/>
  <c r="J19" i="9"/>
  <c r="K19" i="9"/>
  <c r="L19" i="9"/>
  <c r="M19" i="9"/>
  <c r="N19" i="9"/>
  <c r="O19" i="9"/>
  <c r="G20" i="9"/>
  <c r="H20" i="9"/>
  <c r="I20" i="9"/>
  <c r="J20" i="9"/>
  <c r="K20" i="9"/>
  <c r="L20" i="9"/>
  <c r="M20" i="9"/>
  <c r="N20" i="9"/>
  <c r="O20" i="9"/>
  <c r="G23" i="9"/>
  <c r="H23" i="9"/>
  <c r="I23" i="9"/>
  <c r="J23" i="9"/>
  <c r="K23" i="9"/>
  <c r="L23" i="9"/>
  <c r="M23" i="9"/>
  <c r="N23" i="9"/>
  <c r="J19" i="11"/>
  <c r="O23" i="9"/>
  <c r="O27" i="9"/>
  <c r="J22" i="11"/>
  <c r="O28" i="9"/>
  <c r="G29" i="9"/>
  <c r="H29" i="9"/>
  <c r="I29" i="9"/>
  <c r="J29" i="9"/>
  <c r="K29" i="9"/>
  <c r="L29" i="9"/>
  <c r="M29" i="9"/>
  <c r="N29" i="9"/>
  <c r="J23" i="11"/>
  <c r="J20" i="11"/>
  <c r="O29" i="9"/>
  <c r="G30" i="9"/>
  <c r="H30" i="9"/>
  <c r="I30" i="9"/>
  <c r="J30" i="9"/>
  <c r="K30" i="9"/>
  <c r="L30" i="9"/>
  <c r="M30" i="9"/>
  <c r="N30" i="9"/>
  <c r="J24" i="11"/>
  <c r="O30" i="9"/>
  <c r="G31" i="9"/>
  <c r="H31" i="9"/>
  <c r="I31" i="9"/>
  <c r="J31" i="9"/>
  <c r="K31" i="9"/>
  <c r="L31" i="9"/>
  <c r="M31" i="9"/>
  <c r="N31" i="9"/>
  <c r="O31" i="9"/>
  <c r="G32" i="9"/>
  <c r="H32" i="9"/>
  <c r="I32" i="9"/>
  <c r="J32" i="9"/>
  <c r="K32" i="9"/>
  <c r="L32" i="9"/>
  <c r="M32" i="9"/>
  <c r="N32" i="9"/>
  <c r="J26" i="11"/>
  <c r="O32" i="9"/>
  <c r="G33" i="9"/>
  <c r="H33" i="9"/>
  <c r="I33" i="9"/>
  <c r="J33" i="9"/>
  <c r="K33" i="9"/>
  <c r="L33" i="9"/>
  <c r="M33" i="9"/>
  <c r="N33" i="9"/>
  <c r="J27" i="11"/>
  <c r="O33" i="9"/>
  <c r="G36" i="9"/>
  <c r="K36" i="9"/>
  <c r="L36" i="9"/>
  <c r="M36" i="9"/>
  <c r="N36" i="9"/>
  <c r="J28" i="11"/>
  <c r="O36" i="9"/>
  <c r="G37" i="9"/>
  <c r="K37" i="9"/>
  <c r="L37" i="9"/>
  <c r="M37" i="9"/>
  <c r="N37" i="9"/>
  <c r="J29" i="11"/>
  <c r="O37" i="9"/>
  <c r="G39" i="9"/>
  <c r="K39" i="9"/>
  <c r="L39" i="9"/>
  <c r="M39" i="9"/>
  <c r="N39" i="9"/>
  <c r="J30" i="11"/>
  <c r="O39" i="9"/>
  <c r="G38" i="9"/>
  <c r="K38" i="9"/>
  <c r="L38" i="9"/>
  <c r="M38" i="9"/>
  <c r="N38" i="9"/>
  <c r="J31" i="11"/>
  <c r="O38" i="9"/>
  <c r="G40" i="9"/>
  <c r="K40" i="9"/>
  <c r="L40" i="9"/>
  <c r="M40" i="9"/>
  <c r="N40" i="9"/>
  <c r="J32" i="11"/>
  <c r="O40" i="9"/>
  <c r="G41" i="9"/>
  <c r="H41" i="9"/>
  <c r="I41" i="9"/>
  <c r="J41" i="9"/>
  <c r="K41" i="9"/>
  <c r="L41" i="9"/>
  <c r="M41" i="9"/>
  <c r="N41" i="9"/>
  <c r="O41" i="9"/>
  <c r="G42" i="9"/>
  <c r="H42" i="9"/>
  <c r="I42" i="9"/>
  <c r="J42" i="9"/>
  <c r="K42" i="9"/>
  <c r="L42" i="9"/>
  <c r="M42" i="9"/>
  <c r="N42" i="9"/>
  <c r="J34" i="11"/>
  <c r="O42" i="9"/>
  <c r="G43" i="9"/>
  <c r="H43" i="9"/>
  <c r="I43" i="9"/>
  <c r="J43" i="9"/>
  <c r="K43" i="9"/>
  <c r="L43" i="9"/>
  <c r="M43" i="9"/>
  <c r="N43" i="9"/>
  <c r="J35" i="11"/>
  <c r="O43" i="9"/>
  <c r="J36" i="11"/>
  <c r="G45" i="9"/>
  <c r="H45" i="9"/>
  <c r="I45" i="9"/>
  <c r="J45" i="9"/>
  <c r="K45" i="9"/>
  <c r="L45" i="9"/>
  <c r="M45" i="9"/>
  <c r="N45" i="9"/>
  <c r="J37" i="11"/>
  <c r="O45" i="9"/>
  <c r="G46" i="9"/>
  <c r="H46" i="9"/>
  <c r="I46" i="9"/>
  <c r="J46" i="9"/>
  <c r="K46" i="9"/>
  <c r="L46" i="9"/>
  <c r="M46" i="9"/>
  <c r="N46" i="9"/>
  <c r="J38" i="11"/>
  <c r="O46" i="9"/>
  <c r="G47" i="9"/>
  <c r="H47" i="9"/>
  <c r="I47" i="9"/>
  <c r="J47" i="9"/>
  <c r="K47" i="9"/>
  <c r="L47" i="9"/>
  <c r="M47" i="9"/>
  <c r="N47" i="9"/>
  <c r="J39" i="11"/>
  <c r="O47" i="9"/>
  <c r="G48" i="9"/>
  <c r="H48" i="9"/>
  <c r="I48" i="9"/>
  <c r="J48" i="9"/>
  <c r="K48" i="9"/>
  <c r="L48" i="9"/>
  <c r="M48" i="9"/>
  <c r="N48" i="9"/>
  <c r="J40" i="11"/>
  <c r="O48" i="9"/>
  <c r="G49" i="9"/>
  <c r="H49" i="9"/>
  <c r="I49" i="9"/>
  <c r="J49" i="9"/>
  <c r="K49" i="9"/>
  <c r="L49" i="9"/>
  <c r="M49" i="9"/>
  <c r="N49" i="9"/>
  <c r="J41" i="11"/>
  <c r="O49" i="9"/>
  <c r="G50" i="9"/>
  <c r="H50" i="9"/>
  <c r="I50" i="9"/>
  <c r="J50" i="9"/>
  <c r="K50" i="9"/>
  <c r="L50" i="9"/>
  <c r="M50" i="9"/>
  <c r="N50" i="9"/>
  <c r="J42" i="11"/>
  <c r="O50" i="9"/>
  <c r="G52" i="9"/>
  <c r="H52" i="9"/>
  <c r="I52" i="9"/>
  <c r="J52" i="9"/>
  <c r="K52" i="9"/>
  <c r="L52" i="9"/>
  <c r="M52" i="9"/>
  <c r="N52" i="9"/>
  <c r="J43" i="11"/>
  <c r="O52" i="9"/>
  <c r="G51" i="9"/>
  <c r="H51" i="9"/>
  <c r="I51" i="9"/>
  <c r="J51" i="9"/>
  <c r="K51" i="9"/>
  <c r="L51" i="9"/>
  <c r="M51" i="9"/>
  <c r="N51" i="9"/>
  <c r="O51" i="9"/>
  <c r="G53" i="9"/>
  <c r="H53" i="9"/>
  <c r="I53" i="9"/>
  <c r="J53" i="9"/>
  <c r="K53" i="9"/>
  <c r="L53" i="9"/>
  <c r="M53" i="9"/>
  <c r="N53" i="9"/>
  <c r="O53" i="9"/>
  <c r="G54" i="9"/>
  <c r="H54" i="9"/>
  <c r="I54" i="9"/>
  <c r="J54" i="9"/>
  <c r="K54" i="9"/>
  <c r="L54" i="9"/>
  <c r="M54" i="9"/>
  <c r="N54" i="9"/>
  <c r="O54" i="9"/>
  <c r="A32" i="9"/>
  <c r="D32" i="9"/>
  <c r="E32" i="9"/>
  <c r="A54" i="9"/>
  <c r="D54" i="9"/>
  <c r="E54" i="9"/>
  <c r="A5" i="9"/>
  <c r="D5" i="9"/>
  <c r="E5" i="9"/>
  <c r="A6" i="9"/>
  <c r="D6" i="9"/>
  <c r="E6" i="9"/>
  <c r="A7" i="9"/>
  <c r="D7" i="9"/>
  <c r="E7" i="9"/>
  <c r="A8" i="9"/>
  <c r="D8" i="9"/>
  <c r="E8" i="9"/>
  <c r="A9" i="9"/>
  <c r="D9" i="9"/>
  <c r="E9" i="9"/>
  <c r="A10" i="9"/>
  <c r="D10" i="9"/>
  <c r="E10" i="9"/>
  <c r="A13" i="9"/>
  <c r="D13" i="9"/>
  <c r="E13" i="9"/>
  <c r="A14" i="9"/>
  <c r="D14" i="9"/>
  <c r="E14" i="9"/>
  <c r="A15" i="9"/>
  <c r="D15" i="9"/>
  <c r="E15" i="9"/>
  <c r="A16" i="9"/>
  <c r="D16" i="9"/>
  <c r="E16" i="9"/>
  <c r="A17" i="9"/>
  <c r="D17" i="9"/>
  <c r="E17" i="9"/>
  <c r="A18" i="9"/>
  <c r="D18" i="9"/>
  <c r="E18" i="9"/>
  <c r="A19" i="9"/>
  <c r="D19" i="9"/>
  <c r="E19" i="9"/>
  <c r="A20" i="9"/>
  <c r="D20" i="9"/>
  <c r="E20" i="9"/>
  <c r="A23" i="9"/>
  <c r="D23" i="9"/>
  <c r="E23" i="9"/>
  <c r="A27" i="9"/>
  <c r="D27" i="9"/>
  <c r="E27" i="9"/>
  <c r="A28" i="9"/>
  <c r="D28" i="9"/>
  <c r="E28" i="9"/>
  <c r="A29" i="9"/>
  <c r="D29" i="9"/>
  <c r="E29" i="9"/>
  <c r="A30" i="9"/>
  <c r="D30" i="9"/>
  <c r="E30" i="9"/>
  <c r="A31" i="9"/>
  <c r="D31" i="9"/>
  <c r="E31" i="9"/>
  <c r="A33" i="9"/>
  <c r="D33" i="9"/>
  <c r="E33" i="9"/>
  <c r="A36" i="9"/>
  <c r="D36" i="9"/>
  <c r="E36" i="9"/>
  <c r="A37" i="9"/>
  <c r="D37" i="9"/>
  <c r="E37" i="9"/>
  <c r="A39" i="9"/>
  <c r="D39" i="9"/>
  <c r="E39" i="9"/>
  <c r="A38" i="9"/>
  <c r="D38" i="9"/>
  <c r="E38" i="9"/>
  <c r="A40" i="9"/>
  <c r="D40" i="9"/>
  <c r="E40" i="9"/>
  <c r="A41" i="9"/>
  <c r="D41" i="9"/>
  <c r="E41" i="9"/>
  <c r="A42" i="9"/>
  <c r="D42" i="9"/>
  <c r="E42" i="9"/>
  <c r="A43" i="9"/>
  <c r="D43" i="9"/>
  <c r="E43" i="9"/>
  <c r="A45" i="9"/>
  <c r="D45" i="9"/>
  <c r="E45" i="9"/>
  <c r="A46" i="9"/>
  <c r="D46" i="9"/>
  <c r="E46" i="9"/>
  <c r="A47" i="9"/>
  <c r="D47" i="9"/>
  <c r="E47" i="9"/>
  <c r="A48" i="9"/>
  <c r="D48" i="9"/>
  <c r="E48" i="9"/>
  <c r="A49" i="9"/>
  <c r="D49" i="9"/>
  <c r="E49" i="9"/>
  <c r="A50" i="9"/>
  <c r="D50" i="9"/>
  <c r="E50" i="9"/>
  <c r="A52" i="9"/>
  <c r="D52" i="9"/>
  <c r="E52" i="9"/>
  <c r="A51" i="9"/>
  <c r="D51" i="9"/>
  <c r="E51" i="9"/>
  <c r="A53" i="9"/>
  <c r="D53" i="9"/>
  <c r="E53" i="9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T39" i="10"/>
  <c r="W39" i="10"/>
  <c r="V39" i="10"/>
  <c r="X39" i="10"/>
  <c r="U39" i="10"/>
  <c r="Y39" i="10"/>
  <c r="G39" i="10"/>
  <c r="J39" i="10"/>
  <c r="I39" i="10"/>
  <c r="K39" i="10"/>
  <c r="H39" i="10"/>
  <c r="L39" i="10"/>
  <c r="G37" i="10"/>
  <c r="H37" i="10"/>
  <c r="I37" i="10"/>
  <c r="J37" i="10"/>
  <c r="K37" i="10"/>
  <c r="L37" i="10"/>
  <c r="M37" i="10"/>
  <c r="N37" i="10"/>
  <c r="O37" i="10"/>
  <c r="P37" i="10"/>
  <c r="Q37" i="10"/>
  <c r="R37" i="10"/>
  <c r="S37" i="10"/>
  <c r="T37" i="10"/>
  <c r="U37" i="10"/>
  <c r="V37" i="10"/>
  <c r="W37" i="10"/>
  <c r="X37" i="10"/>
  <c r="Y37" i="10"/>
  <c r="G38" i="10"/>
  <c r="H38" i="10"/>
  <c r="I38" i="10"/>
  <c r="J38" i="10"/>
  <c r="K38" i="10"/>
  <c r="L38" i="10"/>
  <c r="T38" i="10"/>
  <c r="U38" i="10"/>
  <c r="V38" i="10"/>
  <c r="W38" i="10"/>
  <c r="X38" i="10"/>
  <c r="Y38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G35" i="10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V35" i="10"/>
  <c r="W35" i="10"/>
  <c r="X35" i="10"/>
  <c r="Y35" i="10"/>
  <c r="G36" i="10"/>
  <c r="H36" i="10"/>
  <c r="I36" i="10"/>
  <c r="J36" i="10"/>
  <c r="K36" i="10"/>
  <c r="L36" i="10"/>
  <c r="M36" i="10"/>
  <c r="N36" i="10"/>
  <c r="O36" i="10"/>
  <c r="P36" i="10"/>
  <c r="Q36" i="10"/>
  <c r="R36" i="10"/>
  <c r="S36" i="10"/>
  <c r="T36" i="10"/>
  <c r="U36" i="10"/>
  <c r="V36" i="10"/>
  <c r="W36" i="10"/>
  <c r="X36" i="10"/>
  <c r="Y36" i="10"/>
  <c r="G28" i="10"/>
  <c r="H28" i="10"/>
  <c r="I28" i="10"/>
  <c r="J28" i="10"/>
  <c r="K28" i="10"/>
  <c r="L28" i="10"/>
  <c r="T28" i="10"/>
  <c r="U28" i="10"/>
  <c r="V28" i="10"/>
  <c r="W28" i="10"/>
  <c r="X28" i="10"/>
  <c r="Y28" i="10"/>
  <c r="G29" i="10"/>
  <c r="H29" i="10"/>
  <c r="I29" i="10"/>
  <c r="J29" i="10"/>
  <c r="K29" i="10"/>
  <c r="L29" i="10"/>
  <c r="T29" i="10"/>
  <c r="U29" i="10"/>
  <c r="V29" i="10"/>
  <c r="W29" i="10"/>
  <c r="X29" i="10"/>
  <c r="Y29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M24" i="10"/>
  <c r="N24" i="10"/>
  <c r="O24" i="10"/>
  <c r="P24" i="10"/>
  <c r="Q24" i="10"/>
  <c r="R24" i="10"/>
  <c r="S24" i="10"/>
  <c r="T24" i="10"/>
  <c r="U24" i="10"/>
  <c r="V24" i="10"/>
  <c r="W24" i="10"/>
  <c r="X24" i="10"/>
  <c r="Y24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G26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M13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D4" i="9"/>
  <c r="E4" i="9"/>
  <c r="G4" i="9"/>
  <c r="H4" i="9"/>
  <c r="I4" i="9"/>
  <c r="J4" i="9"/>
  <c r="K4" i="9"/>
  <c r="L4" i="9"/>
  <c r="M4" i="9"/>
  <c r="N4" i="9"/>
  <c r="J2" i="11"/>
  <c r="O4" i="9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G6" i="10"/>
  <c r="H6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G3" i="10"/>
  <c r="H3" i="10"/>
  <c r="I3" i="10"/>
  <c r="J3" i="10"/>
  <c r="K3" i="10"/>
  <c r="L3" i="10"/>
  <c r="M3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W3" i="7"/>
  <c r="W4" i="7"/>
  <c r="W5" i="7"/>
  <c r="R5" i="7"/>
  <c r="Q5" i="7"/>
  <c r="P5" i="7"/>
  <c r="O5" i="7"/>
  <c r="N5" i="7"/>
  <c r="H5" i="7"/>
  <c r="G2" i="2"/>
  <c r="A2" i="2"/>
  <c r="G3" i="2"/>
  <c r="A3" i="2"/>
  <c r="G4" i="2"/>
  <c r="A4" i="2"/>
  <c r="G5" i="2"/>
  <c r="A5" i="2"/>
  <c r="J5" i="7"/>
  <c r="I5" i="7"/>
  <c r="D5" i="7"/>
  <c r="F5" i="7"/>
  <c r="E5" i="7"/>
  <c r="A5" i="7"/>
  <c r="A3" i="7"/>
  <c r="D3" i="7"/>
  <c r="E3" i="7"/>
  <c r="F3" i="7"/>
  <c r="H3" i="7"/>
  <c r="I3" i="7"/>
  <c r="J3" i="7"/>
  <c r="N3" i="7"/>
  <c r="O3" i="7"/>
  <c r="P3" i="7"/>
  <c r="Q3" i="7"/>
  <c r="R3" i="7"/>
  <c r="A4" i="7"/>
  <c r="D4" i="7"/>
  <c r="E4" i="7"/>
  <c r="F4" i="7"/>
  <c r="H4" i="7"/>
  <c r="I4" i="7"/>
  <c r="J4" i="7"/>
  <c r="N4" i="7"/>
  <c r="O4" i="7"/>
  <c r="P4" i="7"/>
  <c r="Q4" i="7"/>
  <c r="R4" i="7"/>
  <c r="V2" i="1"/>
  <c r="V3" i="1"/>
  <c r="V4" i="1"/>
  <c r="V5" i="1"/>
  <c r="AB5" i="1"/>
  <c r="AD5" i="1"/>
  <c r="AG5" i="1"/>
  <c r="AE5" i="1"/>
  <c r="AC5" i="1"/>
  <c r="Q5" i="1"/>
  <c r="P5" i="1"/>
  <c r="O5" i="1"/>
  <c r="N5" i="1"/>
  <c r="M5" i="1"/>
  <c r="H5" i="1"/>
  <c r="J5" i="1"/>
  <c r="I5" i="1"/>
  <c r="D5" i="1"/>
  <c r="F5" i="1"/>
  <c r="E5" i="1"/>
  <c r="A5" i="1"/>
  <c r="AB4" i="1"/>
  <c r="AD4" i="1"/>
  <c r="AG4" i="1"/>
  <c r="AE4" i="1"/>
  <c r="AC4" i="1"/>
  <c r="Q4" i="1"/>
  <c r="P4" i="1"/>
  <c r="O4" i="1"/>
  <c r="N4" i="1"/>
  <c r="M4" i="1"/>
  <c r="H4" i="1"/>
  <c r="J4" i="1"/>
  <c r="I4" i="1"/>
  <c r="D4" i="1"/>
  <c r="F4" i="1"/>
  <c r="E4" i="1"/>
  <c r="A4" i="1"/>
  <c r="H2" i="1"/>
  <c r="H3" i="1"/>
  <c r="B3" i="2"/>
  <c r="D3" i="2"/>
  <c r="E3" i="2"/>
  <c r="H3" i="2"/>
  <c r="B4" i="2"/>
  <c r="D4" i="2"/>
  <c r="E4" i="2"/>
  <c r="H4" i="2"/>
  <c r="B5" i="2"/>
  <c r="D5" i="2"/>
  <c r="E5" i="2"/>
  <c r="H5" i="2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B2" i="19"/>
  <c r="C2" i="19"/>
  <c r="D2" i="19"/>
  <c r="F2" i="19"/>
  <c r="G2" i="19"/>
  <c r="B2" i="21"/>
  <c r="I2" i="21"/>
  <c r="J2" i="21"/>
  <c r="G2" i="21"/>
  <c r="F2" i="21"/>
  <c r="D2" i="21"/>
  <c r="C2" i="21"/>
  <c r="E12" i="16"/>
  <c r="E11" i="16"/>
  <c r="E10" i="16"/>
  <c r="E9" i="16"/>
  <c r="W2" i="7"/>
  <c r="R2" i="7"/>
  <c r="Q2" i="7"/>
  <c r="P2" i="7"/>
  <c r="O2" i="7"/>
  <c r="N2" i="7"/>
  <c r="AB3" i="1"/>
  <c r="AE3" i="1"/>
  <c r="AD3" i="1"/>
  <c r="AC3" i="1"/>
  <c r="AB2" i="1"/>
  <c r="AE2" i="1"/>
  <c r="AD2" i="1"/>
  <c r="AC2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J2" i="7"/>
  <c r="E8" i="16"/>
  <c r="E7" i="16"/>
  <c r="E6" i="16"/>
  <c r="E5" i="16"/>
  <c r="E4" i="16"/>
  <c r="E3" i="16"/>
  <c r="E2" i="16"/>
  <c r="A3" i="1"/>
  <c r="A2" i="1"/>
  <c r="AG3" i="1"/>
  <c r="A4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<sst xmlns="http://schemas.openxmlformats.org/spreadsheetml/2006/main" count="891" uniqueCount="364">
  <si>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</si>
  <si>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</si>
  <si>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</si>
  <si>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</si>
  <si>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</si>
  <si>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</si>
  <si>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</si>
  <si>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</si>
  <si>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</si>
  <si>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</si>
  <si>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</si>
  <si>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</si>
  <si>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</si>
  <si>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</si>
  <si>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</si>
  <si>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</si>
  <si>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</si>
  <si>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</si>
  <si>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</si>
  <si>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</si>
  <si>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</si>
  <si>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</si>
  <si>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</si>
  <si>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</si>
  <si>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</si>
  <si>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</si>
  <si>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</si>
  <si>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</si>
  <si>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</si>
  <si>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</si>
  <si>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</si>
  <si>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</si>
  <si>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</si>
  <si>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</si>
  <si>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</si>
  <si>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</si>
  <si>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</si>
  <si>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</si>
  <si>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</si>
  <si>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</si>
  <si>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</si>
  <si>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</si>
  <si>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</si>
  <si>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</si>
  <si>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</si>
  <si>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</si>
  <si>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</si>
  <si>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</si>
  <si>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</si>
  <si>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</si>
  <si>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</si>
  <si>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</si>
  <si>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</si>
  <si>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</si>
  <si>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</si>
  <si>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</si>
  <si>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</si>
  <si>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</si>
  <si>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</si>
  <si>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</si>
  <si>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</si>
  <si>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</si>
  <si>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</si>
  <si>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</si>
  <si>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</si>
  <si>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</si>
  <si>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</si>
  <si>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</si>
  <si>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</si>
  <si>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</si>
  <si>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</si>
  <si>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</si>
  <si>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</si>
  <si>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</si>
  <si>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</si>
  <si>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</si>
  <si>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</si>
  <si>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</si>
  <si>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</si>
  <si>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</si>
  <si>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</si>
  <si>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</si>
  <si>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</si>
  <si>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</si>
  <si>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</si>
  <si>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</si>
  <si>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</si>
  <si>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</si>
  <si>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</si>
  <si>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</si>
  <si>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</si>
  <si>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</si>
  <si>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</si>
  <si>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</si>
  <si>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</si>
  <si>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</si>
  <si>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</si>
  <si>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</si>
  <si>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</si>
  <si>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</si>
  <si>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</si>
  <si>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</si>
  <si>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</si>
  <si>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</si>
  <si>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</si>
  <si>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</si>
  <si>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</si>
  <si>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</si>
  <si>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</si>
  <si>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</si>
  <si>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</si>
  <si>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</si>
  <si>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</si>
  <si>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</si>
  <si>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</si>
  <si>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</si>
  <si>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</si>
  <si>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</si>
  <si>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</si>
  <si>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</si>
  <si>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</si>
  <si>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</si>
  <si>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</si>
  <si>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</si>
  <si>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</si>
  <si>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</si>
  <si>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</si>
  <si>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</si>
  <si>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</si>
  <si>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</si>
  <si>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</si>
  <si>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</si>
  <si>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</si>
  <si>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</si>
  <si>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</si>
  <si>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</si>
  <si>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</si>
  <si>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</si>
  <si>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</si>
  <si>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</si>
  <si>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</si>
  <si>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</si>
  <si>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</si>
  <si>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</si>
  <si>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</si>
  <si>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</si>
  <si>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</si>
  <si>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</si>
  <si>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</si>
  <si>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</si>
  <si>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</si>
  <si>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</si>
  <si>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</si>
  <si>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</si>
  <si>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</si>
  <si>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</si>
  <si>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</si>
  <si>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</si>
  <si>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</si>
  <si>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</si>
  <si>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</si>
  <si>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</si>
  <si>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</si>
  <si>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</si>
  <si>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</si>
  <si>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</si>
  <si>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</si>
  <si>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</si>
  <si>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</si>
  <si>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</si>
  <si>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</si>
  <si>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</si>
  <si>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</si>
  <si>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</si>
  <si>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</si>
  <si>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</si>
  <si>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</si>
  <si>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</si>
  <si>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</si>
  <si>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</si>
  <si>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</si>
  <si>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</si>
  <si>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</si>
  <si>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</si>
  <si>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</si>
  <si>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</si>
  <si>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</si>
  <si>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</si>
  <si>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</si>
  <si>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</si>
  <si>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</si>
  <si>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</si>
  <si>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</si>
  <si>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</si>
  <si>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</si>
  <si>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</si>
  <si>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</si>
  <si>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</si>
  <si>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</si>
  <si>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</si>
  <si>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</si>
  <si>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</si>
  <si>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</si>
  <si>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</si>
  <si>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</si>
  <si>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</si>
  <si>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</si>
  <si>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</si>
  <si>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</si>
  <si>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</si>
  <si>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</si>
  <si>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</si>
  <si>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old</t>
  </si>
  <si>
    <t>全体攻撃</t>
    <rPh sb="0" eb="4">
      <t>ゼンタイコウゲキ</t>
    </rPh>
    <phoneticPr fontId="5"/>
  </si>
  <si>
    <t>ハート以外プロテクト</t>
    <rPh sb="3" eb="5">
      <t>イガイ</t>
    </rPh>
    <phoneticPr fontId="5"/>
  </si>
  <si>
    <t>クリティカル</t>
    <phoneticPr fontId="5"/>
  </si>
  <si>
    <t>null</t>
  </si>
  <si>
    <t>[effect:dark, target:unit_all, turn:1, animation:enemy_dark]</t>
    <phoneticPr fontId="5"/>
  </si>
  <si>
    <t>[effect:dis_heart, turn:1, animation:enemy_dis_heart]</t>
    <phoneticPr fontId="5"/>
  </si>
  <si>
    <t>[effect:spread, val:0.3]</t>
    <phoneticPr fontId="5"/>
  </si>
  <si>
    <t>[effect:rush, count:3, val:0.4]</t>
    <phoneticPr fontId="5"/>
  </si>
  <si>
    <t>[effect:rush, count:1, val:1]</t>
    <phoneticPr fontId="5"/>
  </si>
  <si>
    <t>[effect:rush, count:1, val:1]</t>
    <phoneticPr fontId="5"/>
  </si>
  <si>
    <t>[effect:rush, count:1, val:1]</t>
    <phoneticPr fontId="5"/>
  </si>
  <si>
    <t>[effect:change_block, new_block:jammer, target:block_all, count:5, val:0, animation:change_block],[effect:rush, count:1, val:1]</t>
    <phoneticPr fontId="5"/>
  </si>
  <si>
    <t>[effect:change_block, new_block:jammer, target:block_all, count:3, val:0, animation:change_block],[effect:rush, count:1, val:1]</t>
    <phoneticPr fontId="5"/>
  </si>
  <si>
    <t>[effect:dark, target:unit_all, turn:1, animation:enemy_dark]</t>
    <phoneticPr fontId="5"/>
  </si>
  <si>
    <t>[effect:critical, val:1.4]</t>
    <phoneticPr fontId="5"/>
  </si>
  <si>
    <t>[effect:rush, count:1, val:1]</t>
    <phoneticPr fontId="5"/>
  </si>
  <si>
    <t>[effect:spread, val:0.3]</t>
    <phoneticPr fontId="5"/>
  </si>
  <si>
    <t>[effect:degrade_unit, target:unit_all, turn:1, status:attack, val:1, calc:mul],[effect:change_block, new_block:block_heart, target:block_red, count:5, val:0, animation:change_block],[effect:change_block, new_block:block_heart, target:block_green, count:5, val:0, animation:change_block],[effect:change_block, new_block:block_heart, target:block_blue, count:5, val:0, animation:change_block],[effect:change_block, new_block:block_heart, target:block_yellow, count:5, val:0, animation:change_block]</t>
    <phoneticPr fontId="5"/>
  </si>
  <si>
    <t>ja</t>
    <phoneticPr fontId="5"/>
  </si>
  <si>
    <t>[effect:spread, val:0.25]</t>
    <phoneticPr fontId="5"/>
  </si>
  <si>
    <t>[effect:hungup, target:unit_one, turn:1, rate:1, animation:hungup01],[effect:rush, count:1, val:0.8]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</si>
  <si>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</si>
  <si>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</si>
  <si>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</si>
  <si>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</si>
  <si>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[effect:critical, val:1.6]</t>
    <phoneticPr fontId="5"/>
  </si>
  <si>
    <t>[effect:critical, val:1.6]</t>
    <phoneticPr fontId="5"/>
  </si>
  <si>
    <t>[effect:change_block, new_block:time_bomb, target:block_all, count:5, val:0.2, min_time_count:1, max_time_count:1, animation:change_block],[effect:rush, count:1, val:1]</t>
    <phoneticPr fontId="5"/>
  </si>
  <si>
    <t>[effect:rush, count:1, val:1]</t>
    <phoneticPr fontId="5"/>
  </si>
  <si>
    <t>[effect:critical, val:1.3]</t>
    <phoneticPr fontId="5"/>
  </si>
  <si>
    <t xml:space="preserve">[effect:enhance_enemy, target:enemy_all, turn:-1, status:attack, val:0.2, calc:mul, animation:enemy_enhance_attack],[effect:fix_speed, target:myself, turn:2]    </t>
    <phoneticPr fontId="5"/>
  </si>
  <si>
    <t xml:space="preserve">[effect:critical, val:1.3],[effect:fix_speed, target:myself, turn:1]    </t>
    <phoneticPr fontId="5"/>
  </si>
  <si>
    <t>[effect:damage_anti_tribe, target:unit_all, tribe:human, val1:0.2, val2:1.5]</t>
    <phoneticPr fontId="5"/>
  </si>
  <si>
    <t>[effect:change_block, new_block:jammer, target:block_red, count:5, val:0, animation:change_block],[effect:change_block, new_block:jammer, target:block_yellow, count:5, val:0, animation:change_block],[effect:change_block, new_block:time_bomb, target:block_green, count:5, val:0.2, animation:change_block],[effect:change_block, new_block:time_bomb, target:block_blue, count:5, val:0.2, animation:change_block]</t>
    <phoneticPr fontId="5"/>
  </si>
  <si>
    <t>[effect:enemy_counter, target:myself, invoke_condition:unit_all, counter_target:attacker, turn:-1, val:0.1, animation:enemy_counter],[effect:fix_speed, target:myself, turn:1]</t>
    <phoneticPr fontId="5"/>
  </si>
  <si>
    <t xml:space="preserve">[effect:spread, val:0.1],[effect:enhance_enemy, target:enemy_all, turn:-1, status:attack, val:1, calc:add, animation:enemy_enhance_attack],,[effect:fix_speed, target:myself, turn:2]    </t>
    <phoneticPr fontId="5"/>
  </si>
  <si>
    <t xml:space="preserve">[effect:tolerance, target:myself, turn:-1, tolerance_effect:all, count:-1, animation:enemy_tolerance],[effect:fix_speed, target:myself, turn:2]    </t>
    <phoneticPr fontId="5"/>
  </si>
  <si>
    <t>[effect:dis_panel, target:block_red, turn:1],[effect:dis_panel, target:block_yellow, turn:1]</t>
    <phoneticPr fontId="5"/>
  </si>
  <si>
    <t>[effect:dis_panel, target:block_green, turn:1],[effect:dis_panel, target:block_blue, turn:1]</t>
    <phoneticPr fontId="5"/>
  </si>
  <si>
    <t>[effect:damage_anti_tribe, target:unit_all, tribe:human, val1:0.1, val2:0.9]</t>
    <phoneticPr fontId="5"/>
  </si>
  <si>
    <t>[effect:change_block, new_block:time_bomb, target:block_all, count:3, val:0.2, min_time_count:1, max_time_count:1, animation:change_block],[effect:rush, count:1, val:1]</t>
    <phoneticPr fontId="5"/>
  </si>
  <si>
    <t>[effect:critical, val:1.6]</t>
    <phoneticPr fontId="5"/>
  </si>
  <si>
    <t>状態異常無効</t>
    <rPh sb="0" eb="4">
      <t>ジョウタイイジョウ</t>
    </rPh>
    <rPh sb="4" eb="6">
      <t>ムコウ</t>
    </rPh>
    <phoneticPr fontId="5"/>
  </si>
  <si>
    <t>3連続攻撃</t>
    <rPh sb="1" eb="5">
      <t>レンゾクコウゲキ</t>
    </rPh>
    <phoneticPr fontId="5"/>
  </si>
  <si>
    <t>クリティカル！</t>
    <phoneticPr fontId="5"/>
  </si>
  <si>
    <t>攻撃力UP＋先制攻撃</t>
    <rPh sb="0" eb="3">
      <t>コウゲキリョクアッp</t>
    </rPh>
    <rPh sb="6" eb="10">
      <t>センセイコウゲキ</t>
    </rPh>
    <phoneticPr fontId="5"/>
  </si>
  <si>
    <t>久保</t>
    <rPh sb="0" eb="2">
      <t>クボ</t>
    </rPh>
    <phoneticPr fontId="5"/>
  </si>
  <si>
    <t>いざや1ゲージ目</t>
    <rPh sb="7" eb="8">
      <t>メ</t>
    </rPh>
    <phoneticPr fontId="5"/>
  </si>
  <si>
    <t>いざや2ゲージ目</t>
    <rPh sb="7" eb="8">
      <t>メ</t>
    </rPh>
    <phoneticPr fontId="5"/>
  </si>
  <si>
    <t>退屈です。</t>
  </si>
  <si>
    <t>弱小すぎです。</t>
  </si>
  <si>
    <t>危険危険危険危険！</t>
  </si>
  <si>
    <t>あなたの強さを確かめます。</t>
  </si>
  <si>
    <t>・・・否定します。</t>
  </si>
  <si>
    <t>沈黙してください。</t>
  </si>
  <si>
    <t>ヘイ！サーモン一丁！</t>
  </si>
  <si>
    <t>ヘイ！イクラ一丁！</t>
  </si>
  <si>
    <t>ヘイ！コハダ一丁！</t>
  </si>
  <si>
    <t>ヘイ！大トロ一丁！</t>
  </si>
  <si>
    <t>ハラショー！！</t>
  </si>
  <si>
    <t>暴力ヨクナイヨ！</t>
  </si>
  <si>
    <t>サービスしとくヨ</t>
  </si>
  <si>
    <t>もうイッチョいくヨ！</t>
  </si>
  <si>
    <t>お腹空いてるカ？</t>
  </si>
  <si>
    <t>お腹一杯ナッタ？</t>
  </si>
  <si>
    <t>こんなのでやられないよね？</t>
  </si>
  <si>
    <t>要らないからあげるよ</t>
  </si>
  <si>
    <t>うーん、微妙！</t>
  </si>
  <si>
    <t>良くないねぇ実に良くない</t>
  </si>
  <si>
    <t>手加減してあげるよ</t>
  </si>
  <si>
    <t>いいねいいねぇ！</t>
  </si>
  <si>
    <t>痛いかな？痛いよね〜</t>
  </si>
  <si>
    <t>ご苦労様だねぇ</t>
  </si>
  <si>
    <t>まぁ頑張ってよ</t>
  </si>
  <si>
    <t>まったく、やだなぁ</t>
  </si>
  <si>
    <t>はい、パーンッ！！！</t>
  </si>
  <si>
    <t>いいねぇ実にいい！！！</t>
  </si>
  <si>
    <t>ja</t>
    <phoneticPr fontId="5"/>
  </si>
  <si>
    <t>null</t>
    <phoneticPr fontId="5"/>
  </si>
  <si>
    <t>はいっ王手</t>
    <rPh sb="3" eb="5">
      <t>oute</t>
    </rPh>
    <phoneticPr fontId="5"/>
  </si>
  <si>
    <t>クリティカル！</t>
    <phoneticPr fontId="5"/>
  </si>
  <si>
    <t>[effect:panel_freeze, target:block_red,count:1, break_count:1],[effect:panel_freeze, target:block_green,count:1, break_count:1],[effect:panel_freeze, target:block_yellow,count:1, break_count:1],[effect:panel_freeze, target:block_blue,count:1, break_count:1],[effect:rush, count:1, val:1]</t>
    <phoneticPr fontId="5"/>
  </si>
  <si>
    <t>セルティによってロックされたパネルでも
Cパネルを作れば攻撃できます
ロックに惑わされずにパネルを繋げましょう</t>
    <rPh sb="25" eb="26">
      <t>ツク</t>
    </rPh>
    <rPh sb="28" eb="30">
      <t>コウゲキ</t>
    </rPh>
    <rPh sb="39" eb="40">
      <t>マド</t>
    </rPh>
    <rPh sb="49" eb="50">
      <t>ツナ</t>
    </rPh>
    <phoneticPr fontId="5"/>
  </si>
  <si>
    <t>ヴァローナはランダムに攻撃をします
どんな攻撃がきても耐えられるように
回復に気をつけながら戦いましょう</t>
    <rPh sb="11" eb="13">
      <t>コウゲキ</t>
    </rPh>
    <rPh sb="21" eb="23">
      <t>コウゲキ</t>
    </rPh>
    <rPh sb="27" eb="32">
      <t>taerareru</t>
    </rPh>
    <rPh sb="36" eb="38">
      <t>カイフク</t>
    </rPh>
    <rPh sb="39" eb="40">
      <t>キ</t>
    </rPh>
    <rPh sb="46" eb="47">
      <t>タタカ</t>
    </rPh>
    <phoneticPr fontId="5"/>
  </si>
  <si>
    <t>サイモンは2ゲージ目から強くなります
1ゲージ目で態勢を整えましょう</t>
    <rPh sb="9" eb="10">
      <t>メ</t>
    </rPh>
    <rPh sb="12" eb="13">
      <t>ツヨ</t>
    </rPh>
    <rPh sb="23" eb="24">
      <t>メ</t>
    </rPh>
    <rPh sb="25" eb="27">
      <t>タイセイ</t>
    </rPh>
    <rPh sb="28" eb="29">
      <t>トトノ</t>
    </rPh>
    <phoneticPr fontId="5"/>
  </si>
  <si>
    <t>サイモンは2ゲージ目のHPが半分になると
とても強力な溜め攻撃をします
溜めている間に倒しましょう</t>
    <rPh sb="9" eb="10">
      <t>メ</t>
    </rPh>
    <rPh sb="14" eb="16">
      <t>ハンブン</t>
    </rPh>
    <rPh sb="24" eb="26">
      <t>キョウリョク</t>
    </rPh>
    <rPh sb="27" eb="28">
      <t>タ</t>
    </rPh>
    <rPh sb="29" eb="31">
      <t>コウゲキ</t>
    </rPh>
    <rPh sb="36" eb="37">
      <t>タ</t>
    </rPh>
    <rPh sb="41" eb="42">
      <t>アイダ</t>
    </rPh>
    <rPh sb="43" eb="44">
      <t>タオ</t>
    </rPh>
    <phoneticPr fontId="5"/>
  </si>
  <si>
    <t>[effect:panel_freeze, target:block_red,count:1, break_count:1],[effect:panel_freeze, target:block_green,count:1, break_count:1],[effect:panel_freeze, target:block_yellow,count:1, break_count:1],[effect:panel_freeze, target:block_blue,count:1, break_count:1],[effect:rush, count:1, val:1]</t>
    <phoneticPr fontId="5"/>
  </si>
  <si>
    <t>折原臨也は1ゲージ目で先制攻撃をします
余裕を持って突入しましょう</t>
    <rPh sb="0" eb="2">
      <t>オリハラ</t>
    </rPh>
    <rPh sb="2" eb="3">
      <t>リンカイ</t>
    </rPh>
    <rPh sb="3" eb="4">
      <t>ヤ</t>
    </rPh>
    <rPh sb="9" eb="10">
      <t>メ</t>
    </rPh>
    <rPh sb="11" eb="15">
      <t>センセイコウゲキ</t>
    </rPh>
    <rPh sb="20" eb="22">
      <t>ヨユウ</t>
    </rPh>
    <rPh sb="23" eb="24">
      <t>モ</t>
    </rPh>
    <rPh sb="26" eb="28">
      <t>トツニュウ</t>
    </rPh>
    <phoneticPr fontId="5"/>
  </si>
  <si>
    <t>折原臨也は不規則にスキルを使います
どんなスキルにも対応できるように
慎重に戦いましょう</t>
    <rPh sb="0" eb="2">
      <t>オリハラ</t>
    </rPh>
    <rPh sb="2" eb="3">
      <t>リンカイ</t>
    </rPh>
    <rPh sb="3" eb="4">
      <t>ヤ</t>
    </rPh>
    <rPh sb="5" eb="8">
      <t>フキソク</t>
    </rPh>
    <rPh sb="13" eb="14">
      <t>ツカ</t>
    </rPh>
    <rPh sb="26" eb="28">
      <t>タイオウ</t>
    </rPh>
    <rPh sb="35" eb="37">
      <t>シンチョウ</t>
    </rPh>
    <rPh sb="38" eb="39">
      <t>タタカ</t>
    </rPh>
    <phoneticPr fontId="5"/>
  </si>
  <si>
    <t>折原臨也は2ゲージ目のHPが少なくなると
大量のお邪魔パネルと
時限式ダメージパネルを生成します</t>
    <rPh sb="0" eb="2">
      <t>オリハラ</t>
    </rPh>
    <rPh sb="2" eb="3">
      <t>リンカイ</t>
    </rPh>
    <rPh sb="3" eb="4">
      <t>ヤ</t>
    </rPh>
    <rPh sb="9" eb="10">
      <t>メ</t>
    </rPh>
    <rPh sb="14" eb="15">
      <t>スク</t>
    </rPh>
    <rPh sb="21" eb="23">
      <t>タイリョウ</t>
    </rPh>
    <rPh sb="25" eb="27">
      <t>ジャマ</t>
    </rPh>
    <rPh sb="32" eb="35">
      <t>ジゲンシキ</t>
    </rPh>
    <rPh sb="43" eb="45">
      <t>セイセイ</t>
    </rPh>
    <phoneticPr fontId="5"/>
  </si>
  <si>
    <t>折原臨也は3ゲージ目に先制攻撃として
フィーバーゲージをゼロにしてしまいます</t>
    <rPh sb="0" eb="2">
      <t>オリハラ</t>
    </rPh>
    <rPh sb="2" eb="3">
      <t>リンカイ</t>
    </rPh>
    <rPh sb="3" eb="4">
      <t>ヤ</t>
    </rPh>
    <rPh sb="9" eb="10">
      <t>メ</t>
    </rPh>
    <rPh sb="11" eb="15">
      <t>センセイコウゲキ</t>
    </rPh>
    <phoneticPr fontId="5"/>
  </si>
  <si>
    <t>どーぞお好きに回復すれば？</t>
    <rPh sb="4" eb="5">
      <t>ス</t>
    </rPh>
    <rPh sb="7" eb="9">
      <t>カイフク</t>
    </rPh>
    <phoneticPr fontId="5"/>
  </si>
  <si>
    <t>『お前の心臓を縛ってやる。』</t>
    <rPh sb="2" eb="3">
      <t>マエ</t>
    </rPh>
    <rPh sb="4" eb="6">
      <t>シンゾウ</t>
    </rPh>
    <rPh sb="7" eb="8">
      <t>シバ</t>
    </rPh>
    <phoneticPr fontId="5"/>
  </si>
  <si>
    <t>『お前だ。』</t>
    <rPh sb="2" eb="3">
      <t>マエ</t>
    </rPh>
    <phoneticPr fontId="5"/>
  </si>
  <si>
    <t>『私の影に呑まれろ。』</t>
    <rPh sb="1" eb="2">
      <t>ワタシ</t>
    </rPh>
    <rPh sb="3" eb="4">
      <t>カゲ</t>
    </rPh>
    <rPh sb="5" eb="6">
      <t>ノ</t>
    </rPh>
    <phoneticPr fontId="5"/>
  </si>
  <si>
    <t>link</t>
    <phoneticPr fontId="5"/>
  </si>
  <si>
    <t>null</t>
    <phoneticPr fontId="5"/>
  </si>
  <si>
    <t>unit</t>
    <phoneticPr fontId="5"/>
  </si>
  <si>
    <t>unit</t>
    <phoneticPr fontId="5"/>
  </si>
  <si>
    <t>unit</t>
    <phoneticPr fontId="5"/>
  </si>
  <si>
    <t>1ターン攻撃力0＋ハートパネル生成</t>
    <rPh sb="4" eb="7">
      <t>コウゲキリョク</t>
    </rPh>
    <rPh sb="15" eb="17">
      <t>セイセイ</t>
    </rPh>
    <phoneticPr fontId="5"/>
  </si>
  <si>
    <t>このバトル中は常にカウンター状態！[効果小]</t>
    <rPh sb="5" eb="6">
      <t>チュウ</t>
    </rPh>
    <rPh sb="7" eb="8">
      <t>ツネ</t>
    </rPh>
    <rPh sb="14" eb="16">
      <t>ジョウタイ</t>
    </rPh>
    <rPh sb="18" eb="20">
      <t>コウカ</t>
    </rPh>
    <rPh sb="20" eb="21">
      <t>syou</t>
    </rPh>
    <phoneticPr fontId="5"/>
  </si>
  <si>
    <t>攻撃力UP＋2ターン後に強力な攻撃！</t>
    <rPh sb="0" eb="3">
      <t>コウゲキリョク</t>
    </rPh>
    <rPh sb="10" eb="11">
      <t>ゴ</t>
    </rPh>
    <rPh sb="12" eb="14">
      <t>キョウリョク</t>
    </rPh>
    <rPh sb="15" eb="17">
      <t>ダイコウゲキ</t>
    </rPh>
    <phoneticPr fontId="5"/>
  </si>
  <si>
    <t>強力な攻撃！</t>
    <rPh sb="0" eb="2">
      <t>キョウリョク</t>
    </rPh>
    <rPh sb="3" eb="5">
      <t>コウゲキ</t>
    </rPh>
    <phoneticPr fontId="5"/>
  </si>
  <si>
    <t>種族ヒューマン以外に大ダメージ！</t>
    <rPh sb="0" eb="2">
      <t>シュゾク</t>
    </rPh>
    <rPh sb="7" eb="9">
      <t>イガイ</t>
    </rPh>
    <rPh sb="10" eb="11">
      <t>ダイ</t>
    </rPh>
    <phoneticPr fontId="5"/>
  </si>
  <si>
    <t>[effect:rush, count:1, val:1]</t>
    <phoneticPr fontId="5"/>
  </si>
  <si>
    <t xml:space="preserve">[effect:damage_anti_tribe, target:unit_all, tribe:human, val1:0.1, val2:0.9],[effect:fix_speed, target:myself, turn:1]    </t>
    <phoneticPr fontId="5"/>
  </si>
  <si>
    <t>ハートパネル以外をプロテクト</t>
    <rPh sb="6" eb="8">
      <t>イガイ</t>
    </rPh>
    <phoneticPr fontId="5"/>
  </si>
  <si>
    <t>クリティカル！</t>
    <phoneticPr fontId="5"/>
  </si>
  <si>
    <t>状態異常無効</t>
    <rPh sb="0" eb="6">
      <t>ジョウタイイジョウムコウ</t>
    </rPh>
    <phoneticPr fontId="5"/>
  </si>
  <si>
    <t>ランダムでお邪魔パネルに変換</t>
    <rPh sb="6" eb="8">
      <t>ジャマ</t>
    </rPh>
    <rPh sb="12" eb="14">
      <t>ヘンカン</t>
    </rPh>
    <phoneticPr fontId="5"/>
  </si>
  <si>
    <t>ランダムで時限式ダメージパネルに変換</t>
    <rPh sb="5" eb="7">
      <t>jigeン</t>
    </rPh>
    <rPh sb="7" eb="8">
      <t>シキ</t>
    </rPh>
    <rPh sb="16" eb="18">
      <t>ヘンカン</t>
    </rPh>
    <phoneticPr fontId="5"/>
  </si>
  <si>
    <t>状態異常無効＋フィーバーゲージ減少！</t>
    <rPh sb="0" eb="6">
      <t>ジョウタイイジョウムコウ</t>
    </rPh>
    <rPh sb="15" eb="17">
      <t>geンンsyou</t>
    </rPh>
    <phoneticPr fontId="5"/>
  </si>
  <si>
    <t>クリティカル！</t>
    <phoneticPr fontId="5"/>
  </si>
  <si>
    <t>お邪魔パネル＆時限式ダメージパネルに
大量変換！</t>
    <rPh sb="1" eb="3">
      <t>ジャマ</t>
    </rPh>
    <rPh sb="7" eb="10">
      <t>ジゲンシキ</t>
    </rPh>
    <rPh sb="19" eb="23">
      <t>タイリョウヘンカン</t>
    </rPh>
    <phoneticPr fontId="5"/>
  </si>
  <si>
    <t>クリティカル！</t>
    <phoneticPr fontId="5"/>
  </si>
  <si>
    <t>サーモンを突き出された！</t>
    <rPh sb="5" eb="6">
      <t>ツ</t>
    </rPh>
    <rPh sb="7" eb="8">
      <t>ダ</t>
    </rPh>
    <phoneticPr fontId="5"/>
  </si>
  <si>
    <t>イクラを突き出された！</t>
    <rPh sb="4" eb="5">
      <t>ツ</t>
    </rPh>
    <rPh sb="6" eb="7">
      <t>ダ</t>
    </rPh>
    <phoneticPr fontId="5"/>
  </si>
  <si>
    <t>コハダを突き出された！</t>
    <rPh sb="4" eb="5">
      <t>ツ</t>
    </rPh>
    <rPh sb="6" eb="7">
      <t>ダ</t>
    </rPh>
    <phoneticPr fontId="5"/>
  </si>
  <si>
    <t>大トロを突き出された！</t>
    <rPh sb="0" eb="1">
      <t>オオ</t>
    </rPh>
    <rPh sb="4" eb="5">
      <t>ツ</t>
    </rPh>
    <rPh sb="6" eb="7">
      <t>ダ</t>
    </rPh>
    <phoneticPr fontId="5"/>
  </si>
  <si>
    <t>困ったなぁ、見逃してよシズちゃん</t>
    <rPh sb="0" eb="1">
      <t>コマ</t>
    </rPh>
    <rPh sb="6" eb="8">
      <t>ミノガ</t>
    </rPh>
    <phoneticPr fontId="5"/>
  </si>
  <si>
    <t>・・・・・・・・・・？</t>
    <phoneticPr fontId="5"/>
  </si>
  <si>
    <t>全員撃破します。</t>
    <rPh sb="0" eb="2">
      <t>ゼンイン</t>
    </rPh>
    <phoneticPr fontId="5"/>
  </si>
  <si>
    <t>あがりを突き出された！</t>
    <rPh sb="4" eb="5">
      <t>ツ</t>
    </rPh>
    <rPh sb="6" eb="7">
      <t>ダ</t>
    </rPh>
    <phoneticPr fontId="5"/>
  </si>
  <si>
    <t>『この赤を縛ってやろう。』</t>
    <rPh sb="3" eb="4">
      <t>アカ</t>
    </rPh>
    <rPh sb="5" eb="6">
      <t>シバ</t>
    </rPh>
    <phoneticPr fontId="5"/>
  </si>
  <si>
    <t>『緑はいらないだろ？』</t>
    <rPh sb="1" eb="2">
      <t>ミドリ</t>
    </rPh>
    <phoneticPr fontId="5"/>
  </si>
  <si>
    <t>『この鎌で全員裂いてやる！』</t>
    <rPh sb="3" eb="4">
      <t>kama</t>
    </rPh>
    <rPh sb="5" eb="7">
      <t>ゼンイン</t>
    </rPh>
    <rPh sb="7" eb="8">
      <t>サ</t>
    </rPh>
    <phoneticPr fontId="5"/>
  </si>
  <si>
    <t>嘲笑している！</t>
    <rPh sb="0" eb="2">
      <t>チョウショウ</t>
    </rPh>
    <phoneticPr fontId="5"/>
  </si>
  <si>
    <t>鼻で笑っている！</t>
    <rPh sb="0" eb="1">
      <t>ハナ</t>
    </rPh>
    <rPh sb="2" eb="3">
      <t>ワラ</t>
    </rPh>
    <phoneticPr fontId="5"/>
  </si>
  <si>
    <t>楽しそうだ</t>
    <rPh sb="0" eb="1">
      <t>タノ</t>
    </rPh>
    <phoneticPr fontId="5"/>
  </si>
  <si>
    <t>・・・・・・・・・・？</t>
    <phoneticPr fontId="5"/>
  </si>
  <si>
    <t>・・・・・・・・・・。</t>
    <phoneticPr fontId="5"/>
  </si>
  <si>
    <t>・・・・・・・・・・。</t>
    <phoneticPr fontId="5"/>
  </si>
  <si>
    <t>・・・・・・・・・・？</t>
    <phoneticPr fontId="5"/>
  </si>
  <si>
    <t>・・・・・・・・・・！</t>
    <phoneticPr fontId="5"/>
  </si>
  <si>
    <t>『静雄、お前なぜ私に向かって来るんだ・・・？』</t>
    <rPh sb="1" eb="3">
      <t>シズオ</t>
    </rPh>
    <rPh sb="5" eb="6">
      <t>マエ</t>
    </rPh>
    <rPh sb="8" eb="9">
      <t>ワタシ</t>
    </rPh>
    <rPh sb="10" eb="11">
      <t>ム</t>
    </rPh>
    <rPh sb="14" eb="15">
      <t>ク</t>
    </rPh>
    <phoneticPr fontId="5"/>
  </si>
  <si>
    <t>先輩、私をもっと強くしてください。</t>
    <rPh sb="0" eb="2">
      <t>センパイ</t>
    </rPh>
    <rPh sb="3" eb="4">
      <t>ワタシ</t>
    </rPh>
    <rPh sb="8" eb="9">
      <t>ツヨ</t>
    </rPh>
    <phoneticPr fontId="5"/>
  </si>
  <si>
    <t>シズオ、カルシウム不足ネ！</t>
    <rPh sb="9" eb="11">
      <t>ブソク</t>
    </rPh>
    <phoneticPr fontId="5"/>
  </si>
  <si>
    <t>シズオ、喧嘩ヨクナイヨ</t>
    <rPh sb="4" eb="6">
      <t>ケンカ</t>
    </rPh>
    <phoneticPr fontId="5"/>
  </si>
  <si>
    <t>アハハハハハハハ！！！</t>
    <phoneticPr fontId="5"/>
  </si>
  <si>
    <t>君に罪をなすりつけた事、
まだ怒ってるのかな？</t>
    <phoneticPr fontId="5"/>
  </si>
  <si>
    <t>まったく…単細胞の癖に
どうしてあんなに鋭いんだろうねぇ</t>
    <phoneticPr fontId="5"/>
  </si>
  <si>
    <t>これだから俺はｼｽﾞちゃんのこと、大嫌いなんだよ</t>
    <phoneticPr fontId="5"/>
  </si>
  <si>
    <t>『静雄、お前なぜ私に向かって来るんだ・・・？』</t>
    <phoneticPr fontId="5"/>
  </si>
  <si>
    <t>先輩、私をもっと強くしてください。</t>
    <phoneticPr fontId="5"/>
  </si>
  <si>
    <t>困ったなぁ、見逃してよシズちゃん</t>
    <phoneticPr fontId="5"/>
  </si>
  <si>
    <t>相変わらず馬鹿力だね〜、シズちゃん</t>
    <rPh sb="0" eb="2">
      <t>アイカワラズ</t>
    </rPh>
    <rPh sb="5" eb="8">
      <t>バカヂカラ</t>
    </rPh>
    <phoneticPr fontId="5"/>
  </si>
  <si>
    <t>[effect:enemy_message, val1:3, val2:3, dead_type:suicide]</t>
    <phoneticPr fontId="5"/>
  </si>
  <si>
    <t>[effect:tolerance, target:myself, turn:-1, tolerance_effect:all, count:-1, animation:enemy_tolerance],[effect:degrade_fever, val:1000, animation:fevergauge_down],[effect:freq_turn, target:myself, turn:-1, val:1, animation:enemy_freq_turn],[effect:enemy_message, val1:3, val2:3]</t>
    <phoneticPr fontId="5"/>
  </si>
  <si>
    <t xml:space="preserve">[effect:tolerance, target:myself, turn:-1, tolerance_effect:all, count:-1, animation:enemy_tolerance],[effect:fix_speed, target:myself, turn:2],[effect:enemy_message, val1:3, val2:3]   </t>
    <phoneticPr fontId="5"/>
  </si>
  <si>
    <t>[effect:dark, target:unit_all, turn:1, animation:enemy_dark],[effect:enemy_message, val1:3, val2:3]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</si>
</sst>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5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</fonts>
  <fills count="3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4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</borders>
  <cellStyleXfs count="946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39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6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29" fillId="0" borderId="7" xfId="0" applyFont="1" applyFill="1" applyBorder="1" applyAlignment="1">
      <alignment vertical="center"/>
    </xf>
    <xf numFmtId="0" fontId="11" fillId="0" borderId="7" xfId="0" applyFont="1" applyBorder="1" applyAlignment="1">
      <alignment vertical="center"/>
    </xf>
    <xf numFmtId="0" fontId="11" fillId="31" borderId="7" xfId="0" applyFont="1" applyFill="1" applyBorder="1" applyAlignment="1">
      <alignment vertical="center"/>
    </xf>
    <xf numFmtId="0" fontId="11" fillId="31" borderId="10" xfId="0" applyFont="1" applyFill="1" applyBorder="1" applyAlignment="1">
      <alignment vertical="center"/>
    </xf>
    <xf numFmtId="0" fontId="11" fillId="31" borderId="12" xfId="0" applyFont="1" applyFill="1" applyBorder="1" applyAlignment="1">
      <alignment vertical="center"/>
    </xf>
    <xf numFmtId="0" fontId="11" fillId="31" borderId="23" xfId="0" applyFont="1" applyFill="1" applyBorder="1" applyAlignment="1">
      <alignment vertical="center"/>
    </xf>
    <xf numFmtId="0" fontId="11" fillId="13" borderId="7" xfId="0" applyFont="1" applyFill="1" applyBorder="1" applyAlignment="1">
      <alignment vertical="center"/>
    </xf>
    <xf numFmtId="0" fontId="16" fillId="3" borderId="8" xfId="0" applyFont="1" applyFill="1" applyBorder="1" applyAlignment="1">
      <alignment horizontal="left" vertical="center"/>
    </xf>
    <xf numFmtId="0" fontId="16" fillId="3" borderId="10" xfId="0" applyFont="1" applyFill="1" applyBorder="1" applyAlignment="1">
      <alignment vertical="center"/>
    </xf>
    <xf numFmtId="0" fontId="11" fillId="0" borderId="12" xfId="0" applyFont="1" applyBorder="1" applyAlignment="1">
      <alignment vertical="center"/>
    </xf>
    <xf numFmtId="0" fontId="16" fillId="3" borderId="12" xfId="0" applyFont="1" applyFill="1" applyBorder="1" applyAlignment="1">
      <alignment vertical="center"/>
    </xf>
    <xf numFmtId="0" fontId="11" fillId="0" borderId="24" xfId="0" applyFont="1" applyBorder="1" applyAlignment="1">
      <alignment vertical="center"/>
    </xf>
    <xf numFmtId="0" fontId="16" fillId="3" borderId="25" xfId="0" applyFont="1" applyFill="1" applyBorder="1" applyAlignment="1">
      <alignment vertical="center"/>
    </xf>
    <xf numFmtId="0" fontId="16" fillId="3" borderId="26" xfId="0" applyFont="1" applyFill="1" applyBorder="1" applyAlignment="1">
      <alignment vertical="center"/>
    </xf>
    <xf numFmtId="0" fontId="11" fillId="0" borderId="27" xfId="0" applyFont="1" applyBorder="1" applyAlignment="1">
      <alignment vertical="center"/>
    </xf>
    <xf numFmtId="0" fontId="16" fillId="3" borderId="28" xfId="0" applyFont="1" applyFill="1" applyBorder="1" applyAlignment="1">
      <alignment vertical="center"/>
    </xf>
    <xf numFmtId="0" fontId="11" fillId="0" borderId="29" xfId="0" applyFont="1" applyBorder="1" applyAlignment="1">
      <alignment vertical="center"/>
    </xf>
    <xf numFmtId="0" fontId="16" fillId="3" borderId="30" xfId="0" applyFont="1" applyFill="1" applyBorder="1" applyAlignment="1">
      <alignment vertical="center"/>
    </xf>
    <xf numFmtId="0" fontId="16" fillId="3" borderId="31" xfId="0" applyFont="1" applyFill="1" applyBorder="1" applyAlignment="1">
      <alignment vertical="center"/>
    </xf>
    <xf numFmtId="14" fontId="16" fillId="0" borderId="7" xfId="0" applyNumberFormat="1" applyFont="1" applyFill="1" applyBorder="1" applyAlignment="1">
      <alignment vertical="center"/>
    </xf>
    <xf numFmtId="0" fontId="11" fillId="0" borderId="32" xfId="0" applyFont="1" applyBorder="1" applyAlignment="1">
      <alignment vertical="center"/>
    </xf>
    <xf numFmtId="0" fontId="16" fillId="3" borderId="32" xfId="0" applyFont="1" applyFill="1" applyBorder="1" applyAlignment="1">
      <alignment vertical="center"/>
    </xf>
    <xf numFmtId="0" fontId="16" fillId="3" borderId="12" xfId="0" applyFont="1" applyFill="1" applyBorder="1" applyAlignment="1">
      <alignment horizontal="left" vertical="center"/>
    </xf>
    <xf numFmtId="0" fontId="16" fillId="0" borderId="12" xfId="0" applyFont="1" applyFill="1" applyBorder="1" applyAlignment="1">
      <alignment vertical="center"/>
    </xf>
    <xf numFmtId="14" fontId="16" fillId="0" borderId="12" xfId="0" applyNumberFormat="1" applyFont="1" applyFill="1" applyBorder="1" applyAlignment="1">
      <alignment vertical="center"/>
    </xf>
    <xf numFmtId="0" fontId="14" fillId="7" borderId="33" xfId="0" applyFont="1" applyFill="1" applyBorder="1" applyAlignment="1">
      <alignment vertical="center"/>
    </xf>
    <xf numFmtId="0" fontId="11" fillId="0" borderId="34" xfId="0" applyFont="1" applyBorder="1" applyAlignment="1">
      <alignment vertical="center"/>
    </xf>
    <xf numFmtId="0" fontId="16" fillId="3" borderId="34" xfId="0" applyFont="1" applyFill="1" applyBorder="1" applyAlignment="1">
      <alignment horizontal="left" vertical="center"/>
    </xf>
    <xf numFmtId="0" fontId="11" fillId="0" borderId="35" xfId="0" applyFont="1" applyBorder="1" applyAlignment="1">
      <alignment vertical="center"/>
    </xf>
    <xf numFmtId="0" fontId="16" fillId="3" borderId="35" xfId="0" applyFont="1" applyFill="1" applyBorder="1" applyAlignment="1">
      <alignment vertical="center"/>
    </xf>
    <xf numFmtId="0" fontId="16" fillId="3" borderId="34" xfId="0" applyFont="1" applyFill="1" applyBorder="1" applyAlignment="1">
      <alignment vertical="center"/>
    </xf>
    <xf numFmtId="0" fontId="16" fillId="0" borderId="34" xfId="0" applyFont="1" applyFill="1" applyBorder="1" applyAlignment="1">
      <alignment vertical="center"/>
    </xf>
    <xf numFmtId="14" fontId="16" fillId="0" borderId="34" xfId="0" applyNumberFormat="1" applyFont="1" applyFill="1" applyBorder="1" applyAlignment="1">
      <alignment vertical="center"/>
    </xf>
    <xf numFmtId="0" fontId="16" fillId="0" borderId="33" xfId="0" applyFont="1" applyBorder="1" applyAlignment="1">
      <alignment vertical="center"/>
    </xf>
    <xf numFmtId="0" fontId="16" fillId="3" borderId="36" xfId="0" applyFont="1" applyFill="1" applyBorder="1" applyAlignment="1">
      <alignment horizontal="left" vertical="center"/>
    </xf>
    <xf numFmtId="0" fontId="11" fillId="0" borderId="37" xfId="0" applyFont="1" applyBorder="1" applyAlignment="1">
      <alignment vertical="center"/>
    </xf>
    <xf numFmtId="0" fontId="16" fillId="3" borderId="38" xfId="0" applyFont="1" applyFill="1" applyBorder="1" applyAlignment="1">
      <alignment vertical="center"/>
    </xf>
    <xf numFmtId="0" fontId="16" fillId="3" borderId="39" xfId="0" applyFont="1" applyFill="1" applyBorder="1" applyAlignment="1">
      <alignment vertical="center"/>
    </xf>
    <xf numFmtId="0" fontId="16" fillId="32" borderId="7" xfId="0" applyFont="1" applyFill="1" applyBorder="1" applyAlignment="1">
      <alignment horizontal="left" vertical="center" wrapText="1"/>
    </xf>
    <xf numFmtId="38" fontId="16" fillId="0" borderId="7" xfId="628" applyFont="1" applyFill="1" applyBorder="1" applyAlignment="1">
      <alignment wrapText="1"/>
    </xf>
    <xf numFmtId="0" fontId="27" fillId="33" borderId="7" xfId="0" applyFont="1" applyFill="1" applyBorder="1"/>
    <xf numFmtId="0" fontId="27" fillId="14" borderId="7" xfId="0" applyFont="1" applyFill="1" applyBorder="1"/>
    <xf numFmtId="0" fontId="16" fillId="34" borderId="7" xfId="0" applyFont="1" applyFill="1" applyBorder="1" applyAlignment="1">
      <alignment horizontal="left" vertical="center" wrapText="1"/>
    </xf>
    <xf numFmtId="0" fontId="16" fillId="35" borderId="7" xfId="0" applyFont="1" applyFill="1" applyBorder="1" applyAlignment="1">
      <alignment horizontal="left" vertical="center" wrapText="1"/>
    </xf>
  </cellXfs>
  <cellStyles count="946">
    <cellStyle name="" xfId="629"/>
    <cellStyle name="_" xfId="630"/>
    <cellStyle name="__" xfId="631"/>
    <cellStyle name="__÷" xfId="632"/>
    <cellStyle name="«¢" xfId="633"/>
    <cellStyle name="`FbN Z" xfId="634"/>
    <cellStyle name="^Cg" xfId="635"/>
    <cellStyle name="©oµ 1" xfId="636"/>
    <cellStyle name="©oµ 2" xfId="637"/>
    <cellStyle name="©oµ 3" xfId="638"/>
    <cellStyle name="©oµ 4" xfId="639"/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à¾¶" xfId="658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Ç¢" xfId="665"/>
    <cellStyle name="Ê" xfId="666"/>
    <cellStyle name="Excel Built-in Normal" xfId="428"/>
    <cellStyle name="N Z" xfId="667"/>
    <cellStyle name="o_" xfId="668"/>
    <cellStyle name="oÍ" xfId="669"/>
    <cellStyle name="üÍ" xfId="670"/>
    <cellStyle name="v" xfId="671"/>
    <cellStyle name="vZ" xfId="672"/>
    <cellStyle name="x¶" xfId="673"/>
    <cellStyle name="x÷" xfId="674"/>
    <cellStyle name="ýo_ 1" xfId="67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桁区切り 2" xfId="429"/>
    <cellStyle name="桁区切り 2 2" xfId="628"/>
    <cellStyle name="青字強調" xfId="430"/>
    <cellStyle name="赤字強調" xfId="431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無題1" xfId="43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externalLink" Target="externalLinks/externalLink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11219</v>
          </cell>
        </row>
        <row r="76">
          <cell r="A76">
            <v>11220</v>
          </cell>
        </row>
        <row r="77">
          <cell r="A77">
            <v>11221</v>
          </cell>
        </row>
        <row r="78">
          <cell r="A78">
            <v>12001</v>
          </cell>
        </row>
        <row r="79">
          <cell r="A79">
            <v>12002</v>
          </cell>
        </row>
        <row r="80">
          <cell r="A80">
            <v>12003</v>
          </cell>
        </row>
        <row r="81">
          <cell r="A81">
            <v>12004</v>
          </cell>
        </row>
        <row r="82">
          <cell r="A82">
            <v>13001</v>
          </cell>
        </row>
        <row r="83">
          <cell r="A83">
            <v>14001</v>
          </cell>
        </row>
        <row r="84">
          <cell r="A84">
            <v>14002</v>
          </cell>
        </row>
        <row r="85">
          <cell r="A85">
            <v>14003</v>
          </cell>
        </row>
        <row r="86">
          <cell r="A86">
            <v>14004</v>
          </cell>
        </row>
        <row r="87">
          <cell r="A87">
            <v>14005</v>
          </cell>
        </row>
        <row r="88">
          <cell r="A88">
            <v>14006</v>
          </cell>
        </row>
        <row r="89">
          <cell r="A89">
            <v>15027</v>
          </cell>
        </row>
        <row r="90">
          <cell r="A90">
            <v>15028</v>
          </cell>
        </row>
        <row r="91">
          <cell r="A91">
            <v>15029</v>
          </cell>
        </row>
        <row r="92">
          <cell r="A92">
            <v>15030</v>
          </cell>
        </row>
        <row r="93">
          <cell r="A93">
            <v>15031</v>
          </cell>
        </row>
        <row r="94">
          <cell r="A94">
            <v>20001</v>
          </cell>
        </row>
        <row r="95">
          <cell r="A95">
            <v>20002</v>
          </cell>
        </row>
        <row r="96">
          <cell r="A96">
            <v>20003</v>
          </cell>
        </row>
        <row r="97">
          <cell r="A97">
            <v>20004</v>
          </cell>
        </row>
        <row r="98">
          <cell r="A98">
            <v>20005</v>
          </cell>
        </row>
        <row r="99">
          <cell r="A99">
            <v>20006</v>
          </cell>
        </row>
        <row r="100">
          <cell r="A100">
            <v>20007</v>
          </cell>
        </row>
        <row r="101">
          <cell r="A101">
            <v>20008</v>
          </cell>
        </row>
        <row r="102">
          <cell r="A102">
            <v>20009</v>
          </cell>
        </row>
        <row r="103">
          <cell r="A103">
            <v>20010</v>
          </cell>
        </row>
        <row r="104">
          <cell r="A104">
            <v>20011</v>
          </cell>
        </row>
        <row r="105">
          <cell r="A105">
            <v>20012</v>
          </cell>
        </row>
        <row r="106">
          <cell r="A106">
            <v>20013</v>
          </cell>
        </row>
        <row r="107">
          <cell r="A107">
            <v>30001</v>
          </cell>
        </row>
        <row r="108">
          <cell r="A108">
            <v>30002</v>
          </cell>
        </row>
        <row r="109">
          <cell r="A109">
            <v>30003</v>
          </cell>
        </row>
        <row r="110">
          <cell r="A110">
            <v>30004</v>
          </cell>
        </row>
        <row r="111">
          <cell r="A111">
            <v>30005</v>
          </cell>
        </row>
        <row r="112">
          <cell r="A112">
            <v>30006</v>
          </cell>
        </row>
        <row r="113">
          <cell r="A113">
            <v>30007</v>
          </cell>
        </row>
        <row r="114">
          <cell r="A114">
            <v>30008</v>
          </cell>
        </row>
        <row r="115">
          <cell r="A115">
            <v>30009</v>
          </cell>
        </row>
        <row r="116">
          <cell r="A116">
            <v>30010</v>
          </cell>
        </row>
        <row r="117">
          <cell r="A117">
            <v>30011</v>
          </cell>
        </row>
        <row r="118">
          <cell r="A118">
            <v>30012</v>
          </cell>
        </row>
        <row r="119">
          <cell r="A119">
            <v>30013</v>
          </cell>
        </row>
        <row r="120">
          <cell r="A120">
            <v>30014</v>
          </cell>
        </row>
        <row r="121">
          <cell r="A121">
            <v>30015</v>
          </cell>
        </row>
        <row r="122">
          <cell r="A122">
            <v>30016</v>
          </cell>
        </row>
        <row r="123">
          <cell r="A123">
            <v>30017</v>
          </cell>
        </row>
        <row r="124">
          <cell r="A124">
            <v>30018</v>
          </cell>
        </row>
        <row r="125">
          <cell r="A125">
            <v>30019</v>
          </cell>
        </row>
        <row r="126">
          <cell r="A126">
            <v>30020</v>
          </cell>
        </row>
        <row r="127">
          <cell r="A127">
            <v>30021</v>
          </cell>
        </row>
        <row r="128">
          <cell r="A128">
            <v>30022</v>
          </cell>
        </row>
        <row r="129">
          <cell r="A129">
            <v>30023</v>
          </cell>
        </row>
        <row r="130">
          <cell r="A130">
            <v>30024</v>
          </cell>
        </row>
        <row r="131">
          <cell r="A131">
            <v>30025</v>
          </cell>
        </row>
        <row r="132">
          <cell r="A132">
            <v>30026</v>
          </cell>
        </row>
        <row r="133">
          <cell r="A133">
            <v>30027</v>
          </cell>
        </row>
        <row r="134">
          <cell r="A134">
            <v>30028</v>
          </cell>
        </row>
        <row r="135">
          <cell r="A135">
            <v>30029</v>
          </cell>
        </row>
        <row r="136">
          <cell r="A136">
            <v>30030</v>
          </cell>
        </row>
        <row r="137">
          <cell r="A137">
            <v>30031</v>
          </cell>
        </row>
        <row r="138">
          <cell r="A138">
            <v>30032</v>
          </cell>
        </row>
        <row r="139">
          <cell r="A139">
            <v>30033</v>
          </cell>
        </row>
        <row r="140">
          <cell r="A140">
            <v>39001</v>
          </cell>
        </row>
        <row r="141">
          <cell r="A141">
            <v>39002</v>
          </cell>
        </row>
        <row r="142">
          <cell r="A142">
            <v>39003</v>
          </cell>
        </row>
        <row r="143">
          <cell r="A143">
            <v>40001</v>
          </cell>
        </row>
        <row r="144">
          <cell r="A144">
            <v>40002</v>
          </cell>
        </row>
        <row r="145">
          <cell r="A145">
            <v>40003</v>
          </cell>
        </row>
        <row r="146">
          <cell r="A146">
            <v>40004</v>
          </cell>
        </row>
        <row r="147">
          <cell r="A147">
            <v>40005</v>
          </cell>
        </row>
        <row r="148">
          <cell r="A148">
            <v>40006</v>
          </cell>
        </row>
        <row r="149">
          <cell r="A149">
            <v>40007</v>
          </cell>
        </row>
        <row r="150">
          <cell r="A150">
            <v>40008</v>
          </cell>
        </row>
        <row r="151">
          <cell r="A151">
            <v>40009</v>
          </cell>
        </row>
        <row r="152">
          <cell r="A152">
            <v>40010</v>
          </cell>
        </row>
        <row r="153">
          <cell r="A153">
            <v>40011</v>
          </cell>
        </row>
        <row r="154">
          <cell r="A154">
            <v>40012</v>
          </cell>
        </row>
        <row r="155">
          <cell r="A155">
            <v>40013</v>
          </cell>
        </row>
        <row r="156">
          <cell r="A156">
            <v>40014</v>
          </cell>
        </row>
        <row r="157">
          <cell r="A157">
            <v>40015</v>
          </cell>
        </row>
        <row r="158">
          <cell r="A158">
            <v>40016</v>
          </cell>
        </row>
        <row r="159">
          <cell r="A159">
            <v>49001</v>
          </cell>
        </row>
        <row r="160">
          <cell r="A160">
            <v>49002</v>
          </cell>
        </row>
        <row r="161">
          <cell r="A161">
            <v>49003</v>
          </cell>
        </row>
        <row r="162">
          <cell r="A162">
            <v>50001</v>
          </cell>
        </row>
        <row r="163">
          <cell r="A163">
            <v>50002</v>
          </cell>
        </row>
        <row r="164">
          <cell r="A164">
            <v>50003</v>
          </cell>
        </row>
        <row r="165">
          <cell r="A165">
            <v>60001</v>
          </cell>
        </row>
        <row r="166">
          <cell r="A166">
            <v>60002</v>
          </cell>
        </row>
        <row r="167">
          <cell r="A167">
            <v>60003</v>
          </cell>
        </row>
        <row r="168">
          <cell r="A168">
            <v>60004</v>
          </cell>
        </row>
        <row r="169">
          <cell r="A169">
            <v>60005</v>
          </cell>
        </row>
        <row r="170">
          <cell r="A170">
            <v>60006</v>
          </cell>
        </row>
        <row r="171">
          <cell r="A171">
            <v>65535</v>
          </cell>
        </row>
        <row r="172">
          <cell r="A172">
            <v>60021</v>
          </cell>
        </row>
        <row r="173">
          <cell r="A173">
            <v>60022</v>
          </cell>
        </row>
        <row r="174">
          <cell r="A174">
            <v>60023</v>
          </cell>
        </row>
        <row r="175">
          <cell r="A175">
            <v>60024</v>
          </cell>
        </row>
      </sheetData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  <cell r="B3">
            <v>3</v>
          </cell>
          <cell r="C3">
            <v>0</v>
          </cell>
          <cell r="D3" t="str">
            <v>チュートリアル</v>
          </cell>
          <cell r="E3" t="str">
            <v>チュートリアル</v>
          </cell>
          <cell r="F3">
            <v>1</v>
          </cell>
          <cell r="G3" t="str">
            <v>ja</v>
          </cell>
          <cell r="H3" t="str">
            <v>はじめてのクラッシュ</v>
          </cell>
          <cell r="I3" t="str">
            <v>チュートリアル</v>
          </cell>
          <cell r="J3" t="str">
            <v>NULL</v>
          </cell>
          <cell r="K3">
            <v>1</v>
          </cell>
          <cell r="L3">
            <v>25</v>
          </cell>
          <cell r="M3">
            <v>1</v>
          </cell>
          <cell r="N3">
            <v>1</v>
          </cell>
          <cell r="O3">
            <v>1</v>
          </cell>
          <cell r="P3">
            <v>1</v>
          </cell>
          <cell r="Q3">
            <v>1</v>
          </cell>
          <cell r="R3">
            <v>3</v>
          </cell>
          <cell r="S3" t="str">
            <v>none</v>
          </cell>
          <cell r="T3">
            <v>0</v>
          </cell>
          <cell r="U3" t="str">
            <v>NULL</v>
          </cell>
          <cell r="V3" t="str">
            <v>NULL</v>
          </cell>
          <cell r="W3" t="str">
            <v/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 t="str">
            <v>anytime</v>
          </cell>
          <cell r="AC3">
            <v>1</v>
          </cell>
          <cell r="AD3">
            <v>6</v>
          </cell>
          <cell r="AE3" t="str">
            <v>everyone</v>
          </cell>
        </row>
        <row r="4">
          <cell r="A4" t="str">
            <v>0_2</v>
          </cell>
          <cell r="B4">
            <v>3</v>
          </cell>
          <cell r="C4">
            <v>0</v>
          </cell>
          <cell r="D4" t="str">
            <v>チュートリアル</v>
          </cell>
          <cell r="E4" t="str">
            <v>チュートリアル</v>
          </cell>
          <cell r="F4">
            <v>2</v>
          </cell>
          <cell r="G4" t="str">
            <v>ja</v>
          </cell>
          <cell r="H4" t="str">
            <v>練習でクラッシュ！</v>
          </cell>
          <cell r="I4" t="str">
            <v>チュートリアル</v>
          </cell>
          <cell r="J4" t="str">
            <v>NULL</v>
          </cell>
          <cell r="K4">
            <v>1</v>
          </cell>
          <cell r="L4">
            <v>25</v>
          </cell>
          <cell r="M4">
            <v>1</v>
          </cell>
          <cell r="N4">
            <v>1</v>
          </cell>
          <cell r="O4">
            <v>1</v>
          </cell>
          <cell r="P4">
            <v>1</v>
          </cell>
          <cell r="Q4">
            <v>1</v>
          </cell>
          <cell r="R4">
            <v>3</v>
          </cell>
          <cell r="S4" t="str">
            <v>none</v>
          </cell>
          <cell r="T4">
            <v>0</v>
          </cell>
          <cell r="U4">
            <v>0</v>
          </cell>
          <cell r="V4">
            <v>1</v>
          </cell>
          <cell r="W4" t="str">
            <v>はじめてのクラッシュ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 t="str">
            <v>anytime</v>
          </cell>
          <cell r="AC4">
            <v>1</v>
          </cell>
          <cell r="AD4">
            <v>6</v>
          </cell>
          <cell r="AE4" t="str">
            <v>everyone</v>
          </cell>
        </row>
        <row r="5">
          <cell r="A5" t="str">
            <v>1_1</v>
          </cell>
          <cell r="B5">
            <v>3</v>
          </cell>
          <cell r="C5">
            <v>1</v>
          </cell>
          <cell r="D5" t="str">
            <v>1．ALICEの入り口</v>
          </cell>
          <cell r="E5" t="str">
            <v>混色DL0</v>
          </cell>
          <cell r="F5">
            <v>1</v>
          </cell>
          <cell r="G5" t="str">
            <v>ja</v>
          </cell>
          <cell r="H5" t="str">
            <v>1-1. はじまりの外壁</v>
          </cell>
          <cell r="I5" t="str">
            <v>教育</v>
          </cell>
          <cell r="J5" t="str">
            <v>NULL</v>
          </cell>
          <cell r="K5">
            <v>3</v>
          </cell>
          <cell r="L5">
            <v>140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  <cell r="R5">
            <v>3</v>
          </cell>
          <cell r="S5" t="str">
            <v>none</v>
          </cell>
          <cell r="T5">
            <v>0</v>
          </cell>
          <cell r="U5">
            <v>0</v>
          </cell>
          <cell r="V5">
            <v>2</v>
          </cell>
          <cell r="W5" t="str">
            <v>練習でクラッシュ！</v>
          </cell>
          <cell r="X5">
            <v>1</v>
          </cell>
          <cell r="Y5">
            <v>1</v>
          </cell>
          <cell r="Z5">
            <v>1</v>
          </cell>
          <cell r="AA5">
            <v>1</v>
          </cell>
          <cell r="AB5" t="str">
            <v>anytime</v>
          </cell>
          <cell r="AC5">
            <v>1</v>
          </cell>
          <cell r="AD5">
            <v>6</v>
          </cell>
          <cell r="AE5" t="str">
            <v>everyone</v>
          </cell>
        </row>
        <row r="6">
          <cell r="A6" t="str">
            <v>1_2</v>
          </cell>
          <cell r="B6">
            <v>3</v>
          </cell>
          <cell r="C6">
            <v>1</v>
          </cell>
          <cell r="D6" t="str">
            <v>1．ALICEの入り口</v>
          </cell>
          <cell r="E6" t="str">
            <v>混色DL0</v>
          </cell>
          <cell r="F6">
            <v>2</v>
          </cell>
          <cell r="G6" t="str">
            <v>ja</v>
          </cell>
          <cell r="H6" t="str">
            <v>1-2. 手荒い出迎え</v>
          </cell>
          <cell r="I6" t="str">
            <v>教育</v>
          </cell>
          <cell r="J6" t="str">
            <v>NULL</v>
          </cell>
          <cell r="K6">
            <v>4</v>
          </cell>
          <cell r="L6">
            <v>180</v>
          </cell>
          <cell r="M6">
            <v>1</v>
          </cell>
          <cell r="N6">
            <v>1</v>
          </cell>
          <cell r="O6">
            <v>1</v>
          </cell>
          <cell r="P6">
            <v>1</v>
          </cell>
          <cell r="Q6">
            <v>1</v>
          </cell>
          <cell r="R6">
            <v>3</v>
          </cell>
          <cell r="S6" t="str">
            <v>none</v>
          </cell>
          <cell r="T6">
            <v>0</v>
          </cell>
          <cell r="U6">
            <v>1</v>
          </cell>
          <cell r="V6">
            <v>1</v>
          </cell>
          <cell r="W6" t="str">
            <v>1-1. はじまりの外壁</v>
          </cell>
          <cell r="X6">
            <v>1</v>
          </cell>
          <cell r="Y6">
            <v>1</v>
          </cell>
          <cell r="Z6">
            <v>1</v>
          </cell>
          <cell r="AA6">
            <v>1</v>
          </cell>
          <cell r="AB6" t="str">
            <v>anytime</v>
          </cell>
          <cell r="AC6">
            <v>1</v>
          </cell>
          <cell r="AD6">
            <v>6</v>
          </cell>
          <cell r="AE6" t="str">
            <v>everyone</v>
          </cell>
        </row>
        <row r="7">
          <cell r="A7" t="str">
            <v>1_3</v>
          </cell>
          <cell r="B7">
            <v>3</v>
          </cell>
          <cell r="C7">
            <v>1</v>
          </cell>
          <cell r="D7" t="str">
            <v>1．ALICEの入り口</v>
          </cell>
          <cell r="E7" t="str">
            <v>混色DL0</v>
          </cell>
          <cell r="F7">
            <v>3</v>
          </cell>
          <cell r="G7" t="str">
            <v>ja</v>
          </cell>
          <cell r="H7" t="str">
            <v>1-3. ゲートの番犬</v>
          </cell>
          <cell r="I7" t="str">
            <v>教育</v>
          </cell>
          <cell r="J7" t="str">
            <v>NULL</v>
          </cell>
          <cell r="K7">
            <v>5</v>
          </cell>
          <cell r="L7">
            <v>220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3</v>
          </cell>
          <cell r="S7" t="str">
            <v>none</v>
          </cell>
          <cell r="T7">
            <v>0</v>
          </cell>
          <cell r="U7">
            <v>1</v>
          </cell>
          <cell r="V7">
            <v>2</v>
          </cell>
          <cell r="W7" t="str">
            <v>1-2. 手荒い出迎え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 t="str">
            <v>anytime</v>
          </cell>
          <cell r="AC7">
            <v>1</v>
          </cell>
          <cell r="AD7">
            <v>6</v>
          </cell>
          <cell r="AE7" t="str">
            <v>everyone</v>
          </cell>
        </row>
        <row r="8">
          <cell r="A8" t="str">
            <v>1_4</v>
          </cell>
          <cell r="B8">
            <v>3</v>
          </cell>
          <cell r="C8">
            <v>1</v>
          </cell>
          <cell r="D8" t="str">
            <v>1．ALICEの入り口</v>
          </cell>
          <cell r="E8" t="str">
            <v>混色DL0</v>
          </cell>
          <cell r="F8">
            <v>4</v>
          </cell>
          <cell r="G8" t="str">
            <v>ja</v>
          </cell>
          <cell r="H8" t="str">
            <v>1-4. 【1回のみ】ボーナスステージ</v>
          </cell>
          <cell r="I8" t="str">
            <v>ボーナス</v>
          </cell>
          <cell r="J8">
            <v>333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3</v>
          </cell>
          <cell r="S8" t="str">
            <v>none</v>
          </cell>
          <cell r="T8">
            <v>0</v>
          </cell>
          <cell r="U8">
            <v>1</v>
          </cell>
          <cell r="V8">
            <v>3</v>
          </cell>
          <cell r="W8" t="str">
            <v>1-3. ゲートの番犬</v>
          </cell>
          <cell r="X8">
            <v>1</v>
          </cell>
          <cell r="Y8">
            <v>1</v>
          </cell>
          <cell r="Z8">
            <v>1</v>
          </cell>
          <cell r="AA8">
            <v>1</v>
          </cell>
          <cell r="AB8" t="str">
            <v>once</v>
          </cell>
          <cell r="AC8">
            <v>1</v>
          </cell>
          <cell r="AD8">
            <v>6</v>
          </cell>
          <cell r="AE8" t="str">
            <v>singleonly</v>
          </cell>
        </row>
        <row r="9">
          <cell r="A9" t="str">
            <v>2_1</v>
          </cell>
          <cell r="B9">
            <v>3</v>
          </cell>
          <cell r="C9">
            <v>2</v>
          </cell>
          <cell r="D9" t="str">
            <v>2．火之柄神社</v>
          </cell>
          <cell r="E9" t="str">
            <v>赤DL1</v>
          </cell>
          <cell r="F9">
            <v>1</v>
          </cell>
          <cell r="G9" t="str">
            <v>ja</v>
          </cell>
          <cell r="H9" t="str">
            <v>2-1. 悪戯な炎</v>
          </cell>
          <cell r="J9" t="str">
            <v>NULL</v>
          </cell>
          <cell r="K9">
            <v>3</v>
          </cell>
          <cell r="L9">
            <v>160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</v>
          </cell>
          <cell r="R9">
            <v>3</v>
          </cell>
          <cell r="S9" t="str">
            <v>none</v>
          </cell>
          <cell r="T9">
            <v>0</v>
          </cell>
          <cell r="U9">
            <v>1</v>
          </cell>
          <cell r="V9">
            <v>4</v>
          </cell>
          <cell r="W9" t="str">
            <v>1-4. 【1回のみ】ボーナスステージ</v>
          </cell>
          <cell r="X9">
            <v>1</v>
          </cell>
          <cell r="Y9">
            <v>0</v>
          </cell>
          <cell r="Z9">
            <v>0</v>
          </cell>
          <cell r="AA9">
            <v>0</v>
          </cell>
          <cell r="AB9" t="str">
            <v>anytime</v>
          </cell>
          <cell r="AC9">
            <v>2</v>
          </cell>
          <cell r="AD9">
            <v>6</v>
          </cell>
          <cell r="AE9" t="str">
            <v>everyone</v>
          </cell>
        </row>
        <row r="10">
          <cell r="A10" t="str">
            <v>2_2</v>
          </cell>
          <cell r="B10">
            <v>3</v>
          </cell>
          <cell r="C10">
            <v>2</v>
          </cell>
          <cell r="D10" t="str">
            <v>2．火之柄神社</v>
          </cell>
          <cell r="E10" t="str">
            <v>赤DL1</v>
          </cell>
          <cell r="F10">
            <v>2</v>
          </cell>
          <cell r="G10" t="str">
            <v>ja</v>
          </cell>
          <cell r="H10" t="str">
            <v>2-2. 火線のファンタジスタ</v>
          </cell>
          <cell r="J10" t="str">
            <v>NULL</v>
          </cell>
          <cell r="K10">
            <v>4</v>
          </cell>
          <cell r="L10">
            <v>200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3</v>
          </cell>
          <cell r="S10" t="str">
            <v>none</v>
          </cell>
          <cell r="T10">
            <v>0</v>
          </cell>
          <cell r="U10">
            <v>2</v>
          </cell>
          <cell r="V10">
            <v>1</v>
          </cell>
          <cell r="W10" t="str">
            <v>2-1. 悪戯な炎</v>
          </cell>
          <cell r="X10">
            <v>1</v>
          </cell>
          <cell r="Y10">
            <v>0</v>
          </cell>
          <cell r="Z10">
            <v>0</v>
          </cell>
          <cell r="AA10">
            <v>0</v>
          </cell>
          <cell r="AB10" t="str">
            <v>anytime</v>
          </cell>
          <cell r="AC10">
            <v>2</v>
          </cell>
          <cell r="AD10">
            <v>6</v>
          </cell>
          <cell r="AE10" t="str">
            <v>everyone</v>
          </cell>
        </row>
        <row r="11">
          <cell r="A11" t="str">
            <v>2_3</v>
          </cell>
          <cell r="B11">
            <v>3</v>
          </cell>
          <cell r="C11">
            <v>2</v>
          </cell>
          <cell r="D11" t="str">
            <v>2．火之柄神社</v>
          </cell>
          <cell r="E11" t="str">
            <v>赤DL1</v>
          </cell>
          <cell r="F11">
            <v>3</v>
          </cell>
          <cell r="G11" t="str">
            <v>ja</v>
          </cell>
          <cell r="H11" t="str">
            <v>2-3. 妖炎の誘い</v>
          </cell>
          <cell r="J11" t="str">
            <v>NULL</v>
          </cell>
          <cell r="K11">
            <v>5</v>
          </cell>
          <cell r="L11">
            <v>240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3</v>
          </cell>
          <cell r="S11" t="str">
            <v>none</v>
          </cell>
          <cell r="T11">
            <v>0</v>
          </cell>
          <cell r="U11">
            <v>2</v>
          </cell>
          <cell r="V11">
            <v>2</v>
          </cell>
          <cell r="W11" t="str">
            <v>2-2. 火線のファンタジスタ</v>
          </cell>
          <cell r="X11">
            <v>1</v>
          </cell>
          <cell r="Y11">
            <v>0</v>
          </cell>
          <cell r="Z11">
            <v>0</v>
          </cell>
          <cell r="AA11">
            <v>0</v>
          </cell>
          <cell r="AB11" t="str">
            <v>anytime</v>
          </cell>
          <cell r="AC11">
            <v>2</v>
          </cell>
          <cell r="AD11">
            <v>6</v>
          </cell>
          <cell r="AE11" t="str">
            <v>everyone</v>
          </cell>
        </row>
        <row r="12">
          <cell r="A12" t="str">
            <v>2_4</v>
          </cell>
          <cell r="B12">
            <v>3</v>
          </cell>
          <cell r="C12">
            <v>2</v>
          </cell>
          <cell r="D12" t="str">
            <v>2．火之柄神社</v>
          </cell>
          <cell r="E12" t="str">
            <v>赤DL1</v>
          </cell>
          <cell r="F12">
            <v>4</v>
          </cell>
          <cell r="G12" t="str">
            <v>ja</v>
          </cell>
          <cell r="H12" t="str">
            <v>2-4. 【1回のみ】ボーナスステージ</v>
          </cell>
          <cell r="I12" t="str">
            <v>ボーナス</v>
          </cell>
          <cell r="J12">
            <v>117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3</v>
          </cell>
          <cell r="S12" t="str">
            <v>none</v>
          </cell>
          <cell r="T12">
            <v>0</v>
          </cell>
          <cell r="U12">
            <v>2</v>
          </cell>
          <cell r="V12">
            <v>3</v>
          </cell>
          <cell r="W12" t="str">
            <v>2-3. 妖炎の誘い</v>
          </cell>
          <cell r="X12">
            <v>1</v>
          </cell>
          <cell r="Y12">
            <v>0</v>
          </cell>
          <cell r="Z12">
            <v>0</v>
          </cell>
          <cell r="AA12">
            <v>0</v>
          </cell>
          <cell r="AB12" t="str">
            <v>once</v>
          </cell>
          <cell r="AC12">
            <v>2</v>
          </cell>
          <cell r="AD12">
            <v>6</v>
          </cell>
          <cell r="AE12" t="str">
            <v>singleonly</v>
          </cell>
        </row>
        <row r="13">
          <cell r="A13" t="str">
            <v>3_1</v>
          </cell>
          <cell r="B13">
            <v>3</v>
          </cell>
          <cell r="C13">
            <v>3</v>
          </cell>
          <cell r="D13" t="str">
            <v>3．グリーンモール</v>
          </cell>
          <cell r="E13" t="str">
            <v>緑DL1</v>
          </cell>
          <cell r="F13">
            <v>1</v>
          </cell>
          <cell r="G13" t="str">
            <v>ja</v>
          </cell>
          <cell r="H13" t="str">
            <v>3-1. 緑の警備員</v>
          </cell>
          <cell r="J13" t="str">
            <v>NULL</v>
          </cell>
          <cell r="K13">
            <v>4</v>
          </cell>
          <cell r="L13">
            <v>160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3</v>
          </cell>
          <cell r="S13" t="str">
            <v>none</v>
          </cell>
          <cell r="T13">
            <v>0</v>
          </cell>
          <cell r="U13">
            <v>2</v>
          </cell>
          <cell r="V13">
            <v>4</v>
          </cell>
          <cell r="W13" t="str">
            <v>2-4. 【1回のみ】ボーナスステージ</v>
          </cell>
          <cell r="X13">
            <v>0</v>
          </cell>
          <cell r="Y13">
            <v>0</v>
          </cell>
          <cell r="Z13">
            <v>1</v>
          </cell>
          <cell r="AA13">
            <v>0</v>
          </cell>
          <cell r="AB13" t="str">
            <v>anytime</v>
          </cell>
          <cell r="AC13">
            <v>3</v>
          </cell>
          <cell r="AD13">
            <v>6</v>
          </cell>
          <cell r="AE13" t="str">
            <v>everyone</v>
          </cell>
        </row>
        <row r="14">
          <cell r="A14" t="str">
            <v>3_2</v>
          </cell>
          <cell r="B14">
            <v>3</v>
          </cell>
          <cell r="C14">
            <v>3</v>
          </cell>
          <cell r="D14" t="str">
            <v>3．グリーンモール</v>
          </cell>
          <cell r="E14" t="str">
            <v>緑DL1</v>
          </cell>
          <cell r="F14">
            <v>2</v>
          </cell>
          <cell r="G14" t="str">
            <v>ja</v>
          </cell>
          <cell r="H14" t="str">
            <v>3-2. 買い物好きの刺客</v>
          </cell>
          <cell r="J14" t="str">
            <v>NULL</v>
          </cell>
          <cell r="K14">
            <v>5</v>
          </cell>
          <cell r="L14">
            <v>200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3</v>
          </cell>
          <cell r="S14" t="str">
            <v>none</v>
          </cell>
          <cell r="T14">
            <v>0</v>
          </cell>
          <cell r="U14">
            <v>3</v>
          </cell>
          <cell r="V14">
            <v>1</v>
          </cell>
          <cell r="W14" t="str">
            <v>3-1. 緑の警備員</v>
          </cell>
          <cell r="X14">
            <v>0</v>
          </cell>
          <cell r="Y14">
            <v>0</v>
          </cell>
          <cell r="Z14">
            <v>1</v>
          </cell>
          <cell r="AA14">
            <v>0</v>
          </cell>
          <cell r="AB14" t="str">
            <v>anytime</v>
          </cell>
          <cell r="AC14">
            <v>3</v>
          </cell>
          <cell r="AD14">
            <v>6</v>
          </cell>
          <cell r="AE14" t="str">
            <v>everyone</v>
          </cell>
        </row>
        <row r="15">
          <cell r="A15" t="str">
            <v>3_3</v>
          </cell>
          <cell r="B15">
            <v>3</v>
          </cell>
          <cell r="C15">
            <v>3</v>
          </cell>
          <cell r="D15" t="str">
            <v>3．グリーンモール</v>
          </cell>
          <cell r="E15" t="str">
            <v>緑DL1</v>
          </cell>
          <cell r="F15">
            <v>3</v>
          </cell>
          <cell r="G15" t="str">
            <v>ja</v>
          </cell>
          <cell r="H15" t="str">
            <v>3-3. 舞い散る木の葉</v>
          </cell>
          <cell r="J15" t="str">
            <v>NULL</v>
          </cell>
          <cell r="K15">
            <v>6</v>
          </cell>
          <cell r="L15">
            <v>240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3</v>
          </cell>
          <cell r="S15" t="str">
            <v>none</v>
          </cell>
          <cell r="T15">
            <v>0</v>
          </cell>
          <cell r="U15">
            <v>3</v>
          </cell>
          <cell r="V15">
            <v>2</v>
          </cell>
          <cell r="W15" t="str">
            <v>3-2. 買い物好きの刺客</v>
          </cell>
          <cell r="X15">
            <v>0</v>
          </cell>
          <cell r="Y15">
            <v>0</v>
          </cell>
          <cell r="Z15">
            <v>1</v>
          </cell>
          <cell r="AA15">
            <v>0</v>
          </cell>
          <cell r="AB15" t="str">
            <v>anytime</v>
          </cell>
          <cell r="AC15">
            <v>3</v>
          </cell>
          <cell r="AD15">
            <v>6</v>
          </cell>
          <cell r="AE15" t="str">
            <v>everyone</v>
          </cell>
        </row>
        <row r="16">
          <cell r="A16" t="str">
            <v>3_4</v>
          </cell>
          <cell r="B16">
            <v>3</v>
          </cell>
          <cell r="C16">
            <v>3</v>
          </cell>
          <cell r="D16" t="str">
            <v>3．グリーンモール</v>
          </cell>
          <cell r="E16" t="str">
            <v>緑DL1</v>
          </cell>
          <cell r="F16">
            <v>4</v>
          </cell>
          <cell r="G16" t="str">
            <v>ja</v>
          </cell>
          <cell r="H16" t="str">
            <v>3-4. 【1回のみ】ボーナスステージ</v>
          </cell>
          <cell r="I16" t="str">
            <v>ボーナス</v>
          </cell>
          <cell r="J16">
            <v>337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3</v>
          </cell>
          <cell r="S16" t="str">
            <v>none</v>
          </cell>
          <cell r="T16">
            <v>0</v>
          </cell>
          <cell r="U16">
            <v>3</v>
          </cell>
          <cell r="V16">
            <v>3</v>
          </cell>
          <cell r="W16" t="str">
            <v>3-3. 舞い散る木の葉</v>
          </cell>
          <cell r="X16">
            <v>0</v>
          </cell>
          <cell r="Y16">
            <v>0</v>
          </cell>
          <cell r="Z16">
            <v>1</v>
          </cell>
          <cell r="AA16">
            <v>0</v>
          </cell>
          <cell r="AB16" t="str">
            <v>once</v>
          </cell>
          <cell r="AC16">
            <v>3</v>
          </cell>
          <cell r="AD16">
            <v>6</v>
          </cell>
          <cell r="AE16" t="str">
            <v>singleonly</v>
          </cell>
        </row>
        <row r="17">
          <cell r="A17" t="str">
            <v>4_1</v>
          </cell>
          <cell r="B17">
            <v>3</v>
          </cell>
          <cell r="C17">
            <v>4</v>
          </cell>
          <cell r="D17" t="str">
            <v>4．イエロープラント</v>
          </cell>
          <cell r="E17" t="str">
            <v>黄DL1</v>
          </cell>
          <cell r="F17">
            <v>1</v>
          </cell>
          <cell r="G17" t="str">
            <v>ja</v>
          </cell>
          <cell r="H17" t="str">
            <v>4-1. 花弁にひそむ妖精</v>
          </cell>
          <cell r="J17" t="str">
            <v>NULL</v>
          </cell>
          <cell r="K17">
            <v>4</v>
          </cell>
          <cell r="L17">
            <v>180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1</v>
          </cell>
          <cell r="R17">
            <v>3</v>
          </cell>
          <cell r="S17" t="str">
            <v>none</v>
          </cell>
          <cell r="T17">
            <v>0</v>
          </cell>
          <cell r="U17">
            <v>3</v>
          </cell>
          <cell r="V17">
            <v>4</v>
          </cell>
          <cell r="W17" t="str">
            <v>3-4. 【1回のみ】ボーナスステージ</v>
          </cell>
          <cell r="X17">
            <v>0</v>
          </cell>
          <cell r="Y17">
            <v>0</v>
          </cell>
          <cell r="Z17">
            <v>0</v>
          </cell>
          <cell r="AA17">
            <v>1</v>
          </cell>
          <cell r="AB17" t="str">
            <v>anytime</v>
          </cell>
          <cell r="AC17">
            <v>4</v>
          </cell>
          <cell r="AD17">
            <v>6</v>
          </cell>
          <cell r="AE17" t="str">
            <v>everyone</v>
          </cell>
        </row>
        <row r="18">
          <cell r="A18" t="str">
            <v>4_2</v>
          </cell>
          <cell r="B18">
            <v>3</v>
          </cell>
          <cell r="C18">
            <v>4</v>
          </cell>
          <cell r="D18" t="str">
            <v>4．イエロープラント</v>
          </cell>
          <cell r="E18" t="str">
            <v>黄DL1</v>
          </cell>
          <cell r="F18">
            <v>2</v>
          </cell>
          <cell r="G18" t="str">
            <v>ja</v>
          </cell>
          <cell r="H18" t="str">
            <v>4-2. 振りかざされる木槌</v>
          </cell>
          <cell r="J18" t="str">
            <v>NULL</v>
          </cell>
          <cell r="K18">
            <v>5</v>
          </cell>
          <cell r="L18">
            <v>220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1</v>
          </cell>
          <cell r="R18">
            <v>3</v>
          </cell>
          <cell r="S18" t="str">
            <v>none</v>
          </cell>
          <cell r="T18">
            <v>0</v>
          </cell>
          <cell r="U18">
            <v>4</v>
          </cell>
          <cell r="V18">
            <v>1</v>
          </cell>
          <cell r="W18" t="str">
            <v>4-1. 花弁にひそむ妖精</v>
          </cell>
          <cell r="X18">
            <v>0</v>
          </cell>
          <cell r="Y18">
            <v>0</v>
          </cell>
          <cell r="Z18">
            <v>0</v>
          </cell>
          <cell r="AA18">
            <v>1</v>
          </cell>
          <cell r="AB18" t="str">
            <v>anytime</v>
          </cell>
          <cell r="AC18">
            <v>4</v>
          </cell>
          <cell r="AD18">
            <v>6</v>
          </cell>
          <cell r="AE18" t="str">
            <v>everyone</v>
          </cell>
        </row>
        <row r="19">
          <cell r="A19" t="str">
            <v>4_3</v>
          </cell>
          <cell r="B19">
            <v>3</v>
          </cell>
          <cell r="C19">
            <v>4</v>
          </cell>
          <cell r="D19" t="str">
            <v>4．イエロープラント</v>
          </cell>
          <cell r="E19" t="str">
            <v>黄DL1</v>
          </cell>
          <cell r="F19">
            <v>3</v>
          </cell>
          <cell r="G19" t="str">
            <v>ja</v>
          </cell>
          <cell r="H19" t="str">
            <v>4-3. 晩夏の狐</v>
          </cell>
          <cell r="J19" t="str">
            <v>NULL</v>
          </cell>
          <cell r="K19">
            <v>6</v>
          </cell>
          <cell r="L19">
            <v>260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1</v>
          </cell>
          <cell r="R19">
            <v>3</v>
          </cell>
          <cell r="S19" t="str">
            <v>none</v>
          </cell>
          <cell r="T19">
            <v>0</v>
          </cell>
          <cell r="U19">
            <v>4</v>
          </cell>
          <cell r="V19">
            <v>2</v>
          </cell>
          <cell r="W19" t="str">
            <v>4-2. 振りかざされる木槌</v>
          </cell>
          <cell r="X19">
            <v>0</v>
          </cell>
          <cell r="Y19">
            <v>0</v>
          </cell>
          <cell r="Z19">
            <v>0</v>
          </cell>
          <cell r="AA19">
            <v>1</v>
          </cell>
          <cell r="AB19" t="str">
            <v>anytime</v>
          </cell>
          <cell r="AC19">
            <v>4</v>
          </cell>
          <cell r="AD19">
            <v>6</v>
          </cell>
          <cell r="AE19" t="str">
            <v>everyone</v>
          </cell>
        </row>
        <row r="20">
          <cell r="A20" t="str">
            <v>4_4</v>
          </cell>
          <cell r="B20">
            <v>3</v>
          </cell>
          <cell r="C20">
            <v>4</v>
          </cell>
          <cell r="D20" t="str">
            <v>4．イエロープラント</v>
          </cell>
          <cell r="E20" t="str">
            <v>黄DL1</v>
          </cell>
          <cell r="F20">
            <v>4</v>
          </cell>
          <cell r="G20" t="str">
            <v>ja</v>
          </cell>
          <cell r="H20" t="str">
            <v>4-4. 【1回のみ】ボーナスステージ</v>
          </cell>
          <cell r="I20" t="str">
            <v>ボーナス</v>
          </cell>
          <cell r="J20">
            <v>345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3</v>
          </cell>
          <cell r="S20" t="str">
            <v>none</v>
          </cell>
          <cell r="T20">
            <v>0</v>
          </cell>
          <cell r="U20">
            <v>4</v>
          </cell>
          <cell r="V20">
            <v>3</v>
          </cell>
          <cell r="W20" t="str">
            <v>4-3. 晩夏の狐</v>
          </cell>
          <cell r="X20">
            <v>0</v>
          </cell>
          <cell r="Y20">
            <v>0</v>
          </cell>
          <cell r="Z20">
            <v>0</v>
          </cell>
          <cell r="AA20">
            <v>1</v>
          </cell>
          <cell r="AB20" t="str">
            <v>once</v>
          </cell>
          <cell r="AC20">
            <v>4</v>
          </cell>
          <cell r="AD20">
            <v>6</v>
          </cell>
          <cell r="AE20" t="str">
            <v>singleonly</v>
          </cell>
        </row>
        <row r="21">
          <cell r="A21" t="str">
            <v>5_1</v>
          </cell>
          <cell r="B21">
            <v>3</v>
          </cell>
          <cell r="C21">
            <v>5</v>
          </cell>
          <cell r="D21" t="str">
            <v>5．ウォーターランド</v>
          </cell>
          <cell r="E21" t="str">
            <v>青DL1</v>
          </cell>
          <cell r="F21">
            <v>1</v>
          </cell>
          <cell r="G21" t="str">
            <v>ja</v>
          </cell>
          <cell r="H21" t="str">
            <v>5-1. 水面を凍らす咆哮</v>
          </cell>
          <cell r="J21" t="str">
            <v>NULL</v>
          </cell>
          <cell r="K21">
            <v>5</v>
          </cell>
          <cell r="L21">
            <v>240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3</v>
          </cell>
          <cell r="S21" t="str">
            <v>none</v>
          </cell>
          <cell r="T21">
            <v>0</v>
          </cell>
          <cell r="U21">
            <v>4</v>
          </cell>
          <cell r="V21">
            <v>4</v>
          </cell>
          <cell r="W21" t="str">
            <v>4-4. 【1回のみ】ボーナスステージ</v>
          </cell>
          <cell r="X21">
            <v>0</v>
          </cell>
          <cell r="Y21">
            <v>1</v>
          </cell>
          <cell r="Z21">
            <v>0</v>
          </cell>
          <cell r="AA21">
            <v>0</v>
          </cell>
          <cell r="AB21" t="str">
            <v>anytime</v>
          </cell>
          <cell r="AC21">
            <v>5</v>
          </cell>
          <cell r="AD21">
            <v>6</v>
          </cell>
          <cell r="AE21" t="str">
            <v>everyone</v>
          </cell>
        </row>
        <row r="22">
          <cell r="A22" t="str">
            <v>5_2</v>
          </cell>
          <cell r="B22">
            <v>3</v>
          </cell>
          <cell r="C22">
            <v>5</v>
          </cell>
          <cell r="D22" t="str">
            <v>5．ウォーターランド</v>
          </cell>
          <cell r="E22" t="str">
            <v>青DL1</v>
          </cell>
          <cell r="F22">
            <v>2</v>
          </cell>
          <cell r="G22" t="str">
            <v>ja</v>
          </cell>
          <cell r="H22" t="str">
            <v>5-2. 波をさばく剣豪</v>
          </cell>
          <cell r="J22" t="str">
            <v>NULL</v>
          </cell>
          <cell r="K22">
            <v>6</v>
          </cell>
          <cell r="L22">
            <v>280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3</v>
          </cell>
          <cell r="S22" t="str">
            <v>none</v>
          </cell>
          <cell r="T22">
            <v>0</v>
          </cell>
          <cell r="U22">
            <v>5</v>
          </cell>
          <cell r="V22">
            <v>1</v>
          </cell>
          <cell r="W22" t="str">
            <v>5-1. 水面を凍らす咆哮</v>
          </cell>
          <cell r="X22">
            <v>0</v>
          </cell>
          <cell r="Y22">
            <v>1</v>
          </cell>
          <cell r="Z22">
            <v>0</v>
          </cell>
          <cell r="AA22">
            <v>0</v>
          </cell>
          <cell r="AB22" t="str">
            <v>anytime</v>
          </cell>
          <cell r="AC22">
            <v>5</v>
          </cell>
          <cell r="AD22">
            <v>6</v>
          </cell>
          <cell r="AE22" t="str">
            <v>everyone</v>
          </cell>
        </row>
        <row r="23">
          <cell r="A23" t="str">
            <v>5_3</v>
          </cell>
          <cell r="B23">
            <v>3</v>
          </cell>
          <cell r="C23">
            <v>5</v>
          </cell>
          <cell r="D23" t="str">
            <v>5．ウォーターランド</v>
          </cell>
          <cell r="E23" t="str">
            <v>青DL1</v>
          </cell>
          <cell r="F23">
            <v>3</v>
          </cell>
          <cell r="G23" t="str">
            <v>ja</v>
          </cell>
          <cell r="H23" t="str">
            <v>5-3. 水天一碧の凪刀</v>
          </cell>
          <cell r="J23" t="str">
            <v>NULL</v>
          </cell>
          <cell r="K23">
            <v>7</v>
          </cell>
          <cell r="L23">
            <v>320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3</v>
          </cell>
          <cell r="S23" t="str">
            <v>none</v>
          </cell>
          <cell r="T23">
            <v>0</v>
          </cell>
          <cell r="U23">
            <v>5</v>
          </cell>
          <cell r="V23">
            <v>2</v>
          </cell>
          <cell r="W23" t="str">
            <v>5-2. 波をさばく剣豪</v>
          </cell>
          <cell r="X23">
            <v>0</v>
          </cell>
          <cell r="Y23">
            <v>1</v>
          </cell>
          <cell r="Z23">
            <v>0</v>
          </cell>
          <cell r="AA23">
            <v>0</v>
          </cell>
          <cell r="AB23" t="str">
            <v>anytime</v>
          </cell>
          <cell r="AC23">
            <v>5</v>
          </cell>
          <cell r="AD23">
            <v>6</v>
          </cell>
          <cell r="AE23" t="str">
            <v>everyone</v>
          </cell>
        </row>
        <row r="24">
          <cell r="A24" t="str">
            <v>5_4</v>
          </cell>
          <cell r="B24">
            <v>3</v>
          </cell>
          <cell r="C24">
            <v>5</v>
          </cell>
          <cell r="D24" t="str">
            <v>5．ウォーターランド</v>
          </cell>
          <cell r="E24" t="str">
            <v>青DL1</v>
          </cell>
          <cell r="F24">
            <v>4</v>
          </cell>
          <cell r="G24" t="str">
            <v>ja</v>
          </cell>
          <cell r="H24" t="str">
            <v>5-4. 【1回のみ】ボーナスステージ</v>
          </cell>
          <cell r="I24" t="str">
            <v>ボーナス</v>
          </cell>
          <cell r="J24">
            <v>341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3</v>
          </cell>
          <cell r="S24" t="str">
            <v>none</v>
          </cell>
          <cell r="T24">
            <v>0</v>
          </cell>
          <cell r="U24">
            <v>5</v>
          </cell>
          <cell r="V24">
            <v>3</v>
          </cell>
          <cell r="W24" t="str">
            <v>5-3. 水天一碧の凪刀</v>
          </cell>
          <cell r="X24">
            <v>0</v>
          </cell>
          <cell r="Y24">
            <v>1</v>
          </cell>
          <cell r="Z24">
            <v>0</v>
          </cell>
          <cell r="AA24">
            <v>0</v>
          </cell>
          <cell r="AB24" t="str">
            <v>once</v>
          </cell>
          <cell r="AC24">
            <v>5</v>
          </cell>
          <cell r="AD24">
            <v>6</v>
          </cell>
          <cell r="AE24" t="str">
            <v>singleonly</v>
          </cell>
        </row>
        <row r="25">
          <cell r="A25" t="str">
            <v>6_1</v>
          </cell>
          <cell r="B25">
            <v>3</v>
          </cell>
          <cell r="C25">
            <v>6</v>
          </cell>
          <cell r="D25" t="str">
            <v>6．ドリームパーク</v>
          </cell>
          <cell r="E25" t="str">
            <v>混色DL1</v>
          </cell>
          <cell r="F25">
            <v>1</v>
          </cell>
          <cell r="G25" t="str">
            <v>ja</v>
          </cell>
          <cell r="H25" t="str">
            <v>6-1. 虚構の国</v>
          </cell>
          <cell r="J25" t="str">
            <v>NULL</v>
          </cell>
          <cell r="K25">
            <v>8</v>
          </cell>
          <cell r="L25">
            <v>360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1</v>
          </cell>
          <cell r="R25">
            <v>3</v>
          </cell>
          <cell r="S25" t="str">
            <v>none</v>
          </cell>
          <cell r="T25">
            <v>0</v>
          </cell>
          <cell r="U25">
            <v>5</v>
          </cell>
          <cell r="V25">
            <v>4</v>
          </cell>
          <cell r="W25" t="str">
            <v>5-4. 【1回のみ】ボーナスステージ</v>
          </cell>
          <cell r="X25">
            <v>1</v>
          </cell>
          <cell r="Y25">
            <v>1</v>
          </cell>
          <cell r="Z25">
            <v>1</v>
          </cell>
          <cell r="AA25">
            <v>1</v>
          </cell>
          <cell r="AB25" t="str">
            <v>anytime</v>
          </cell>
          <cell r="AC25">
            <v>6</v>
          </cell>
          <cell r="AD25">
            <v>6</v>
          </cell>
          <cell r="AE25" t="str">
            <v>everyone</v>
          </cell>
        </row>
        <row r="26">
          <cell r="A26" t="str">
            <v>6_2</v>
          </cell>
          <cell r="B26">
            <v>3</v>
          </cell>
          <cell r="C26">
            <v>6</v>
          </cell>
          <cell r="D26" t="str">
            <v>6．ドリームパーク</v>
          </cell>
          <cell r="E26" t="str">
            <v>混色DL1</v>
          </cell>
          <cell r="F26">
            <v>2</v>
          </cell>
          <cell r="G26" t="str">
            <v>ja</v>
          </cell>
          <cell r="H26" t="str">
            <v>6-2. 夢の国の洗礼</v>
          </cell>
          <cell r="J26" t="str">
            <v>NULL</v>
          </cell>
          <cell r="K26">
            <v>8</v>
          </cell>
          <cell r="L26">
            <v>410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3</v>
          </cell>
          <cell r="S26" t="str">
            <v>none</v>
          </cell>
          <cell r="T26">
            <v>0</v>
          </cell>
          <cell r="U26">
            <v>6</v>
          </cell>
          <cell r="V26">
            <v>1</v>
          </cell>
          <cell r="W26" t="str">
            <v>6-1. 虚構の国</v>
          </cell>
          <cell r="X26">
            <v>1</v>
          </cell>
          <cell r="Y26">
            <v>1</v>
          </cell>
          <cell r="Z26">
            <v>1</v>
          </cell>
          <cell r="AA26">
            <v>1</v>
          </cell>
          <cell r="AB26" t="str">
            <v>anytime</v>
          </cell>
          <cell r="AC26">
            <v>6</v>
          </cell>
          <cell r="AD26">
            <v>6</v>
          </cell>
          <cell r="AE26" t="str">
            <v>everyone</v>
          </cell>
        </row>
        <row r="27">
          <cell r="A27" t="str">
            <v>6_3</v>
          </cell>
          <cell r="B27">
            <v>3</v>
          </cell>
          <cell r="C27">
            <v>6</v>
          </cell>
          <cell r="D27" t="str">
            <v>6．ドリームパーク</v>
          </cell>
          <cell r="E27" t="str">
            <v>混色DL1</v>
          </cell>
          <cell r="F27">
            <v>3</v>
          </cell>
          <cell r="G27" t="str">
            <v>ja</v>
          </cell>
          <cell r="H27" t="str">
            <v>6-3. 正体不明のきぐるみ</v>
          </cell>
          <cell r="J27" t="str">
            <v>NULL</v>
          </cell>
          <cell r="K27">
            <v>9</v>
          </cell>
          <cell r="L27">
            <v>460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3</v>
          </cell>
          <cell r="S27" t="str">
            <v>none</v>
          </cell>
          <cell r="T27">
            <v>0</v>
          </cell>
          <cell r="U27">
            <v>6</v>
          </cell>
          <cell r="V27">
            <v>2</v>
          </cell>
          <cell r="W27" t="str">
            <v>6-2. 夢の国の洗礼</v>
          </cell>
          <cell r="X27">
            <v>1</v>
          </cell>
          <cell r="Y27">
            <v>1</v>
          </cell>
          <cell r="Z27">
            <v>1</v>
          </cell>
          <cell r="AA27">
            <v>1</v>
          </cell>
          <cell r="AB27" t="str">
            <v>anytime</v>
          </cell>
          <cell r="AC27">
            <v>6</v>
          </cell>
          <cell r="AD27">
            <v>6</v>
          </cell>
          <cell r="AE27" t="str">
            <v>everyone</v>
          </cell>
        </row>
        <row r="28">
          <cell r="A28" t="str">
            <v>6_4</v>
          </cell>
          <cell r="B28">
            <v>3</v>
          </cell>
          <cell r="C28">
            <v>6</v>
          </cell>
          <cell r="D28" t="str">
            <v>6．ドリームパーク</v>
          </cell>
          <cell r="E28" t="str">
            <v>混色DL1</v>
          </cell>
          <cell r="F28">
            <v>4</v>
          </cell>
          <cell r="G28" t="str">
            <v>ja</v>
          </cell>
          <cell r="H28" t="str">
            <v>6-4. 悪夢へのスイッチ</v>
          </cell>
          <cell r="J28" t="str">
            <v>NULL</v>
          </cell>
          <cell r="K28">
            <v>9</v>
          </cell>
          <cell r="L28">
            <v>510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3</v>
          </cell>
          <cell r="S28" t="str">
            <v>none</v>
          </cell>
          <cell r="T28">
            <v>0</v>
          </cell>
          <cell r="U28">
            <v>6</v>
          </cell>
          <cell r="V28">
            <v>3</v>
          </cell>
          <cell r="W28" t="str">
            <v>6-3. 正体不明のきぐるみ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 t="str">
            <v>anytime</v>
          </cell>
          <cell r="AC28">
            <v>6</v>
          </cell>
          <cell r="AD28">
            <v>6</v>
          </cell>
          <cell r="AE28" t="str">
            <v>everyone</v>
          </cell>
        </row>
        <row r="29">
          <cell r="A29" t="str">
            <v>6_5</v>
          </cell>
          <cell r="B29">
            <v>3</v>
          </cell>
          <cell r="C29">
            <v>6</v>
          </cell>
          <cell r="D29" t="str">
            <v>6．ドリームパーク</v>
          </cell>
          <cell r="E29" t="str">
            <v>混色DL1</v>
          </cell>
          <cell r="F29">
            <v>5</v>
          </cell>
          <cell r="G29" t="str">
            <v>ja</v>
          </cell>
          <cell r="H29" t="str">
            <v>6-5. 来園者の末路</v>
          </cell>
          <cell r="J29" t="str">
            <v>NULL</v>
          </cell>
          <cell r="K29">
            <v>10</v>
          </cell>
          <cell r="L29">
            <v>680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3</v>
          </cell>
          <cell r="S29" t="str">
            <v>none</v>
          </cell>
          <cell r="T29">
            <v>0</v>
          </cell>
          <cell r="U29">
            <v>6</v>
          </cell>
          <cell r="V29">
            <v>4</v>
          </cell>
          <cell r="W29" t="str">
            <v>6-4. 悪夢へのスイッチ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 t="str">
            <v>anytime</v>
          </cell>
          <cell r="AC29">
            <v>6</v>
          </cell>
          <cell r="AD29">
            <v>6</v>
          </cell>
          <cell r="AE29" t="str">
            <v>everyone</v>
          </cell>
        </row>
        <row r="30">
          <cell r="A30" t="str">
            <v>6_6</v>
          </cell>
          <cell r="B30">
            <v>3</v>
          </cell>
          <cell r="C30">
            <v>6</v>
          </cell>
          <cell r="D30" t="str">
            <v>6．ドリームパーク</v>
          </cell>
          <cell r="E30" t="str">
            <v>混色DL1</v>
          </cell>
          <cell r="F30">
            <v>6</v>
          </cell>
          <cell r="G30" t="str">
            <v>ja</v>
          </cell>
          <cell r="H30" t="str">
            <v>6-6. 【1回のみ】ボーナスステージ</v>
          </cell>
          <cell r="I30" t="str">
            <v>ボーナス</v>
          </cell>
          <cell r="J30">
            <v>125</v>
          </cell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3</v>
          </cell>
          <cell r="S30" t="str">
            <v>none</v>
          </cell>
          <cell r="T30">
            <v>0</v>
          </cell>
          <cell r="U30">
            <v>6</v>
          </cell>
          <cell r="V30">
            <v>5</v>
          </cell>
          <cell r="W30" t="str">
            <v>6-5. 来園者の末路</v>
          </cell>
          <cell r="X30">
            <v>1</v>
          </cell>
          <cell r="Y30">
            <v>1</v>
          </cell>
          <cell r="Z30">
            <v>1</v>
          </cell>
          <cell r="AA30">
            <v>1</v>
          </cell>
          <cell r="AB30" t="str">
            <v>once</v>
          </cell>
          <cell r="AC30">
            <v>6</v>
          </cell>
          <cell r="AD30">
            <v>6</v>
          </cell>
          <cell r="AE30" t="str">
            <v>singleonly</v>
          </cell>
        </row>
        <row r="31">
          <cell r="A31" t="str">
            <v>7_1</v>
          </cell>
          <cell r="B31">
            <v>3</v>
          </cell>
          <cell r="C31">
            <v>7</v>
          </cell>
          <cell r="D31" t="str">
            <v>7．ローガ密林</v>
          </cell>
          <cell r="E31" t="str">
            <v>緑DL2</v>
          </cell>
          <cell r="F31">
            <v>1</v>
          </cell>
          <cell r="G31" t="str">
            <v>ja</v>
          </cell>
          <cell r="H31" t="str">
            <v>7-1. 密林の防衛者</v>
          </cell>
          <cell r="J31" t="str">
            <v>NULL</v>
          </cell>
          <cell r="K31">
            <v>6</v>
          </cell>
          <cell r="L31">
            <v>320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3</v>
          </cell>
          <cell r="S31" t="str">
            <v>none</v>
          </cell>
          <cell r="T31">
            <v>0</v>
          </cell>
          <cell r="U31">
            <v>6</v>
          </cell>
          <cell r="V31">
            <v>6</v>
          </cell>
          <cell r="W31" t="str">
            <v>6-6. 【1回のみ】ボーナスステージ</v>
          </cell>
          <cell r="X31">
            <v>0</v>
          </cell>
          <cell r="Y31">
            <v>0</v>
          </cell>
          <cell r="Z31">
            <v>1</v>
          </cell>
          <cell r="AA31">
            <v>0</v>
          </cell>
          <cell r="AB31" t="str">
            <v>anytime</v>
          </cell>
          <cell r="AC31">
            <v>7</v>
          </cell>
          <cell r="AD31">
            <v>6</v>
          </cell>
          <cell r="AE31" t="str">
            <v>everyone</v>
          </cell>
        </row>
        <row r="32">
          <cell r="A32" t="str">
            <v>7_2</v>
          </cell>
          <cell r="B32">
            <v>3</v>
          </cell>
          <cell r="C32">
            <v>7</v>
          </cell>
          <cell r="D32" t="str">
            <v>7．ローガ密林</v>
          </cell>
          <cell r="E32" t="str">
            <v>緑DL2</v>
          </cell>
          <cell r="F32">
            <v>2</v>
          </cell>
          <cell r="G32" t="str">
            <v>ja</v>
          </cell>
          <cell r="H32" t="str">
            <v>7-2. さまよう怪影</v>
          </cell>
          <cell r="J32" t="str">
            <v>NULL</v>
          </cell>
          <cell r="K32">
            <v>6</v>
          </cell>
          <cell r="L32">
            <v>360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3</v>
          </cell>
          <cell r="S32" t="str">
            <v>none</v>
          </cell>
          <cell r="T32">
            <v>0</v>
          </cell>
          <cell r="U32">
            <v>7</v>
          </cell>
          <cell r="V32">
            <v>1</v>
          </cell>
          <cell r="W32" t="str">
            <v>7-1. 密林の防衛者</v>
          </cell>
          <cell r="X32">
            <v>0</v>
          </cell>
          <cell r="Y32">
            <v>0</v>
          </cell>
          <cell r="Z32">
            <v>1</v>
          </cell>
          <cell r="AA32">
            <v>0</v>
          </cell>
          <cell r="AB32" t="str">
            <v>anytime</v>
          </cell>
          <cell r="AC32">
            <v>7</v>
          </cell>
          <cell r="AD32">
            <v>6</v>
          </cell>
          <cell r="AE32" t="str">
            <v>everyone</v>
          </cell>
        </row>
        <row r="33">
          <cell r="A33" t="str">
            <v>7_3</v>
          </cell>
          <cell r="B33">
            <v>3</v>
          </cell>
          <cell r="C33">
            <v>7</v>
          </cell>
          <cell r="D33" t="str">
            <v>7．ローガ密林</v>
          </cell>
          <cell r="E33" t="str">
            <v>緑DL2</v>
          </cell>
          <cell r="F33">
            <v>3</v>
          </cell>
          <cell r="G33" t="str">
            <v>ja</v>
          </cell>
          <cell r="H33" t="str">
            <v>7-3. 野生児の急襲</v>
          </cell>
          <cell r="J33" t="str">
            <v>NULL</v>
          </cell>
          <cell r="K33">
            <v>7</v>
          </cell>
          <cell r="L33">
            <v>400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3</v>
          </cell>
          <cell r="S33" t="str">
            <v>none</v>
          </cell>
          <cell r="T33">
            <v>0</v>
          </cell>
          <cell r="U33">
            <v>7</v>
          </cell>
          <cell r="V33">
            <v>2</v>
          </cell>
          <cell r="W33" t="str">
            <v>7-2. さまよう怪影</v>
          </cell>
          <cell r="X33">
            <v>0</v>
          </cell>
          <cell r="Y33">
            <v>0</v>
          </cell>
          <cell r="Z33">
            <v>1</v>
          </cell>
          <cell r="AA33">
            <v>0</v>
          </cell>
          <cell r="AB33" t="str">
            <v>anytime</v>
          </cell>
          <cell r="AC33">
            <v>7</v>
          </cell>
          <cell r="AD33">
            <v>6</v>
          </cell>
          <cell r="AE33" t="str">
            <v>everyone</v>
          </cell>
        </row>
        <row r="34">
          <cell r="A34" t="str">
            <v>7_4</v>
          </cell>
          <cell r="B34">
            <v>3</v>
          </cell>
          <cell r="C34">
            <v>7</v>
          </cell>
          <cell r="D34" t="str">
            <v>7．ローガ密林</v>
          </cell>
          <cell r="E34" t="str">
            <v>緑DL2</v>
          </cell>
          <cell r="F34">
            <v>4</v>
          </cell>
          <cell r="G34" t="str">
            <v>ja</v>
          </cell>
          <cell r="H34" t="str">
            <v>7-4. この森通せんぼ</v>
          </cell>
          <cell r="J34" t="str">
            <v>NULL</v>
          </cell>
          <cell r="K34">
            <v>8</v>
          </cell>
          <cell r="L34">
            <v>440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3</v>
          </cell>
          <cell r="S34" t="str">
            <v>none</v>
          </cell>
          <cell r="T34">
            <v>0</v>
          </cell>
          <cell r="U34">
            <v>7</v>
          </cell>
          <cell r="V34">
            <v>3</v>
          </cell>
          <cell r="W34" t="str">
            <v>7-3. 野生児の急襲</v>
          </cell>
          <cell r="X34">
            <v>0</v>
          </cell>
          <cell r="Y34">
            <v>0</v>
          </cell>
          <cell r="Z34">
            <v>1</v>
          </cell>
          <cell r="AA34">
            <v>0</v>
          </cell>
          <cell r="AB34" t="str">
            <v>anytime</v>
          </cell>
          <cell r="AC34">
            <v>7</v>
          </cell>
          <cell r="AD34">
            <v>6</v>
          </cell>
          <cell r="AE34" t="str">
            <v>everyone</v>
          </cell>
        </row>
        <row r="35">
          <cell r="A35" t="str">
            <v>7_5</v>
          </cell>
          <cell r="B35">
            <v>3</v>
          </cell>
          <cell r="C35">
            <v>7</v>
          </cell>
          <cell r="D35" t="str">
            <v>7．ローガ密林</v>
          </cell>
          <cell r="E35" t="str">
            <v>緑DL2</v>
          </cell>
          <cell r="F35">
            <v>5</v>
          </cell>
          <cell r="G35" t="str">
            <v>ja</v>
          </cell>
          <cell r="H35" t="str">
            <v>7-5. 聖なる巨岩</v>
          </cell>
          <cell r="J35" t="str">
            <v>NULL</v>
          </cell>
          <cell r="K35">
            <v>10</v>
          </cell>
          <cell r="L35">
            <v>620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3</v>
          </cell>
          <cell r="S35" t="str">
            <v>none</v>
          </cell>
          <cell r="T35">
            <v>0</v>
          </cell>
          <cell r="U35">
            <v>7</v>
          </cell>
          <cell r="V35">
            <v>4</v>
          </cell>
          <cell r="W35" t="str">
            <v>7-4. この森通せんぼ</v>
          </cell>
          <cell r="X35">
            <v>0</v>
          </cell>
          <cell r="Y35">
            <v>0</v>
          </cell>
          <cell r="Z35">
            <v>1</v>
          </cell>
          <cell r="AA35">
            <v>0</v>
          </cell>
          <cell r="AB35" t="str">
            <v>anytime</v>
          </cell>
          <cell r="AC35">
            <v>7</v>
          </cell>
          <cell r="AD35">
            <v>6</v>
          </cell>
          <cell r="AE35" t="str">
            <v>everyone</v>
          </cell>
        </row>
        <row r="36">
          <cell r="A36" t="str">
            <v>7_6</v>
          </cell>
          <cell r="B36">
            <v>3</v>
          </cell>
          <cell r="C36">
            <v>7</v>
          </cell>
          <cell r="D36" t="str">
            <v>7．ローガ密林</v>
          </cell>
          <cell r="E36" t="str">
            <v>緑DL2</v>
          </cell>
          <cell r="F36">
            <v>6</v>
          </cell>
          <cell r="G36" t="str">
            <v>ja</v>
          </cell>
          <cell r="H36" t="str">
            <v>7-6. 【1回のみ】ボーナスステージ</v>
          </cell>
          <cell r="I36" t="str">
            <v>ボーナス</v>
          </cell>
          <cell r="J36">
            <v>337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3</v>
          </cell>
          <cell r="S36" t="str">
            <v>none</v>
          </cell>
          <cell r="T36">
            <v>0</v>
          </cell>
          <cell r="U36">
            <v>7</v>
          </cell>
          <cell r="V36">
            <v>5</v>
          </cell>
          <cell r="W36" t="str">
            <v>7-5. 聖なる巨岩</v>
          </cell>
          <cell r="X36">
            <v>0</v>
          </cell>
          <cell r="Y36">
            <v>0</v>
          </cell>
          <cell r="Z36">
            <v>1</v>
          </cell>
          <cell r="AA36">
            <v>0</v>
          </cell>
          <cell r="AB36" t="str">
            <v>once</v>
          </cell>
          <cell r="AC36">
            <v>7</v>
          </cell>
          <cell r="AD36">
            <v>6</v>
          </cell>
          <cell r="AE36" t="str">
            <v>singleonly</v>
          </cell>
        </row>
        <row r="37">
          <cell r="A37" t="str">
            <v>8_1</v>
          </cell>
          <cell r="B37">
            <v>3</v>
          </cell>
          <cell r="C37">
            <v>8</v>
          </cell>
          <cell r="D37" t="str">
            <v>8．ヴィクリー砂漠</v>
          </cell>
          <cell r="E37" t="str">
            <v>黄DL2</v>
          </cell>
          <cell r="F37">
            <v>1</v>
          </cell>
          <cell r="G37" t="str">
            <v>ja</v>
          </cell>
          <cell r="H37" t="str">
            <v>8-1. 黄砂のスピードスター</v>
          </cell>
          <cell r="J37" t="str">
            <v>NULL</v>
          </cell>
          <cell r="K37">
            <v>6</v>
          </cell>
          <cell r="L37">
            <v>480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3</v>
          </cell>
          <cell r="S37" t="str">
            <v>none</v>
          </cell>
          <cell r="T37">
            <v>0</v>
          </cell>
          <cell r="U37">
            <v>7</v>
          </cell>
          <cell r="V37">
            <v>6</v>
          </cell>
          <cell r="W37" t="str">
            <v>7-6. 【1回のみ】ボーナスステージ</v>
          </cell>
          <cell r="X37">
            <v>0</v>
          </cell>
          <cell r="Y37">
            <v>0</v>
          </cell>
          <cell r="Z37">
            <v>0</v>
          </cell>
          <cell r="AA37">
            <v>1</v>
          </cell>
          <cell r="AB37" t="str">
            <v>anytime</v>
          </cell>
          <cell r="AC37">
            <v>8</v>
          </cell>
          <cell r="AD37">
            <v>6</v>
          </cell>
          <cell r="AE37" t="str">
            <v>everyone</v>
          </cell>
        </row>
        <row r="38">
          <cell r="A38" t="str">
            <v>8_2</v>
          </cell>
          <cell r="B38">
            <v>3</v>
          </cell>
          <cell r="C38">
            <v>8</v>
          </cell>
          <cell r="D38" t="str">
            <v>8．ヴィクリー砂漠</v>
          </cell>
          <cell r="E38" t="str">
            <v>黄DL2</v>
          </cell>
          <cell r="F38">
            <v>2</v>
          </cell>
          <cell r="G38" t="str">
            <v>ja</v>
          </cell>
          <cell r="H38" t="str">
            <v>8-2. 遭難の仕掛け人</v>
          </cell>
          <cell r="J38" t="str">
            <v>NULL</v>
          </cell>
          <cell r="K38">
            <v>6</v>
          </cell>
          <cell r="L38">
            <v>520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3</v>
          </cell>
          <cell r="S38" t="str">
            <v>none</v>
          </cell>
          <cell r="T38">
            <v>0</v>
          </cell>
          <cell r="U38">
            <v>8</v>
          </cell>
          <cell r="V38">
            <v>1</v>
          </cell>
          <cell r="W38" t="str">
            <v>8-1. 黄砂のスピードスター</v>
          </cell>
          <cell r="X38">
            <v>0</v>
          </cell>
          <cell r="Y38">
            <v>0</v>
          </cell>
          <cell r="Z38">
            <v>0</v>
          </cell>
          <cell r="AA38">
            <v>1</v>
          </cell>
          <cell r="AB38" t="str">
            <v>anytime</v>
          </cell>
          <cell r="AC38">
            <v>8</v>
          </cell>
          <cell r="AD38">
            <v>6</v>
          </cell>
          <cell r="AE38" t="str">
            <v>everyone</v>
          </cell>
        </row>
        <row r="39">
          <cell r="A39" t="str">
            <v>8_3</v>
          </cell>
          <cell r="B39">
            <v>3</v>
          </cell>
          <cell r="C39">
            <v>8</v>
          </cell>
          <cell r="D39" t="str">
            <v>8．ヴィクリー砂漠</v>
          </cell>
          <cell r="E39" t="str">
            <v>黄DL2</v>
          </cell>
          <cell r="F39">
            <v>3</v>
          </cell>
          <cell r="G39" t="str">
            <v>ja</v>
          </cell>
          <cell r="H39" t="str">
            <v>8-3. 逃げ場無き狩場</v>
          </cell>
          <cell r="J39" t="str">
            <v>NULL</v>
          </cell>
          <cell r="K39">
            <v>7</v>
          </cell>
          <cell r="L39">
            <v>560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3</v>
          </cell>
          <cell r="S39" t="str">
            <v>none</v>
          </cell>
          <cell r="T39">
            <v>0</v>
          </cell>
          <cell r="U39">
            <v>8</v>
          </cell>
          <cell r="V39">
            <v>2</v>
          </cell>
          <cell r="W39" t="str">
            <v>8-2. 遭難の仕掛け人</v>
          </cell>
          <cell r="X39">
            <v>0</v>
          </cell>
          <cell r="Y39">
            <v>0</v>
          </cell>
          <cell r="Z39">
            <v>0</v>
          </cell>
          <cell r="AA39">
            <v>1</v>
          </cell>
          <cell r="AB39" t="str">
            <v>anytime</v>
          </cell>
          <cell r="AC39">
            <v>8</v>
          </cell>
          <cell r="AD39">
            <v>6</v>
          </cell>
          <cell r="AE39" t="str">
            <v>everyone</v>
          </cell>
        </row>
        <row r="40">
          <cell r="A40" t="str">
            <v>8_4</v>
          </cell>
          <cell r="B40">
            <v>3</v>
          </cell>
          <cell r="C40">
            <v>8</v>
          </cell>
          <cell r="D40" t="str">
            <v>8．ヴィクリー砂漠</v>
          </cell>
          <cell r="E40" t="str">
            <v>黄DL2</v>
          </cell>
          <cell r="F40">
            <v>4</v>
          </cell>
          <cell r="G40" t="str">
            <v>ja</v>
          </cell>
          <cell r="H40" t="str">
            <v>8-4. スピードスターの真髄</v>
          </cell>
          <cell r="J40" t="str">
            <v>NULL</v>
          </cell>
          <cell r="K40">
            <v>8</v>
          </cell>
          <cell r="L40">
            <v>600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3</v>
          </cell>
          <cell r="S40" t="str">
            <v>none</v>
          </cell>
          <cell r="T40">
            <v>0</v>
          </cell>
          <cell r="U40">
            <v>8</v>
          </cell>
          <cell r="V40">
            <v>3</v>
          </cell>
          <cell r="W40" t="str">
            <v>8-3. 逃げ場無き狩場</v>
          </cell>
          <cell r="X40">
            <v>0</v>
          </cell>
          <cell r="Y40">
            <v>0</v>
          </cell>
          <cell r="Z40">
            <v>0</v>
          </cell>
          <cell r="AA40">
            <v>1</v>
          </cell>
          <cell r="AB40" t="str">
            <v>anytime</v>
          </cell>
          <cell r="AC40">
            <v>8</v>
          </cell>
          <cell r="AD40">
            <v>6</v>
          </cell>
          <cell r="AE40" t="str">
            <v>everyone</v>
          </cell>
        </row>
        <row r="41">
          <cell r="A41" t="str">
            <v>8_5</v>
          </cell>
          <cell r="B41">
            <v>3</v>
          </cell>
          <cell r="C41">
            <v>8</v>
          </cell>
          <cell r="D41" t="str">
            <v>8．ヴィクリー砂漠</v>
          </cell>
          <cell r="E41" t="str">
            <v>黄DL2</v>
          </cell>
          <cell r="F41">
            <v>5</v>
          </cell>
          <cell r="G41" t="str">
            <v>ja</v>
          </cell>
          <cell r="H41" t="str">
            <v>8-5. 聖なる渇牙</v>
          </cell>
          <cell r="J41" t="str">
            <v>NULL</v>
          </cell>
          <cell r="K41">
            <v>10</v>
          </cell>
          <cell r="L41">
            <v>820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3</v>
          </cell>
          <cell r="S41" t="str">
            <v>none</v>
          </cell>
          <cell r="T41">
            <v>0</v>
          </cell>
          <cell r="U41">
            <v>8</v>
          </cell>
          <cell r="V41">
            <v>4</v>
          </cell>
          <cell r="W41" t="str">
            <v>8-4. スピードスターの真髄</v>
          </cell>
          <cell r="X41">
            <v>0</v>
          </cell>
          <cell r="Y41">
            <v>0</v>
          </cell>
          <cell r="Z41">
            <v>0</v>
          </cell>
          <cell r="AA41">
            <v>1</v>
          </cell>
          <cell r="AB41" t="str">
            <v>anytime</v>
          </cell>
          <cell r="AC41">
            <v>8</v>
          </cell>
          <cell r="AD41">
            <v>6</v>
          </cell>
          <cell r="AE41" t="str">
            <v>everyone</v>
          </cell>
        </row>
        <row r="42">
          <cell r="A42" t="str">
            <v>8_6</v>
          </cell>
          <cell r="B42">
            <v>3</v>
          </cell>
          <cell r="C42">
            <v>8</v>
          </cell>
          <cell r="D42" t="str">
            <v>8．ヴィクリー砂漠</v>
          </cell>
          <cell r="E42" t="str">
            <v>黄DL2</v>
          </cell>
          <cell r="F42">
            <v>6</v>
          </cell>
          <cell r="G42" t="str">
            <v>ja</v>
          </cell>
          <cell r="H42" t="str">
            <v>8-6.【1回のみ】ボーナスステージ</v>
          </cell>
          <cell r="I42" t="str">
            <v>ボーナス</v>
          </cell>
          <cell r="J42">
            <v>345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3</v>
          </cell>
          <cell r="S42" t="str">
            <v>none</v>
          </cell>
          <cell r="T42">
            <v>0</v>
          </cell>
          <cell r="U42">
            <v>8</v>
          </cell>
          <cell r="V42">
            <v>5</v>
          </cell>
          <cell r="W42" t="str">
            <v>8-5. 聖なる渇牙</v>
          </cell>
          <cell r="X42">
            <v>0</v>
          </cell>
          <cell r="Y42">
            <v>0</v>
          </cell>
          <cell r="Z42">
            <v>0</v>
          </cell>
          <cell r="AA42">
            <v>1</v>
          </cell>
          <cell r="AB42" t="str">
            <v>once</v>
          </cell>
          <cell r="AC42">
            <v>8</v>
          </cell>
          <cell r="AD42">
            <v>6</v>
          </cell>
          <cell r="AE42" t="str">
            <v>singleonly</v>
          </cell>
        </row>
        <row r="43">
          <cell r="A43" t="str">
            <v>9_1</v>
          </cell>
          <cell r="B43">
            <v>3</v>
          </cell>
          <cell r="C43">
            <v>9</v>
          </cell>
          <cell r="D43" t="str">
            <v>9．ラバーズ氷河</v>
          </cell>
          <cell r="E43" t="str">
            <v>青DL2</v>
          </cell>
          <cell r="F43">
            <v>1</v>
          </cell>
          <cell r="G43" t="str">
            <v>ja</v>
          </cell>
          <cell r="H43" t="str">
            <v>9-1. 春を待つ奏者</v>
          </cell>
          <cell r="J43" t="str">
            <v>NULL</v>
          </cell>
          <cell r="K43">
            <v>7</v>
          </cell>
          <cell r="L43">
            <v>620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3</v>
          </cell>
          <cell r="S43" t="str">
            <v>none</v>
          </cell>
          <cell r="T43">
            <v>0</v>
          </cell>
          <cell r="U43">
            <v>8</v>
          </cell>
          <cell r="V43">
            <v>6</v>
          </cell>
          <cell r="W43" t="str">
            <v>8-6.【1回のみ】ボーナスステージ</v>
          </cell>
          <cell r="X43">
            <v>0</v>
          </cell>
          <cell r="Y43">
            <v>1</v>
          </cell>
          <cell r="Z43">
            <v>0</v>
          </cell>
          <cell r="AA43">
            <v>0</v>
          </cell>
          <cell r="AB43" t="str">
            <v>anytime</v>
          </cell>
          <cell r="AC43">
            <v>9</v>
          </cell>
          <cell r="AD43">
            <v>6</v>
          </cell>
          <cell r="AE43" t="str">
            <v>everyone</v>
          </cell>
        </row>
        <row r="44">
          <cell r="A44" t="str">
            <v>9_2</v>
          </cell>
          <cell r="B44">
            <v>3</v>
          </cell>
          <cell r="C44">
            <v>9</v>
          </cell>
          <cell r="D44" t="str">
            <v>9．ラバーズ氷河</v>
          </cell>
          <cell r="E44" t="str">
            <v>青DL2</v>
          </cell>
          <cell r="F44">
            <v>2</v>
          </cell>
          <cell r="G44" t="str">
            <v>ja</v>
          </cell>
          <cell r="H44" t="str">
            <v>9-2. 氷結への案内</v>
          </cell>
          <cell r="J44" t="str">
            <v>NULL</v>
          </cell>
          <cell r="K44">
            <v>7</v>
          </cell>
          <cell r="L44">
            <v>680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1</v>
          </cell>
          <cell r="R44">
            <v>3</v>
          </cell>
          <cell r="S44" t="str">
            <v>none</v>
          </cell>
          <cell r="T44">
            <v>0</v>
          </cell>
          <cell r="U44">
            <v>9</v>
          </cell>
          <cell r="V44">
            <v>1</v>
          </cell>
          <cell r="W44" t="str">
            <v>9-1. 春を待つ奏者</v>
          </cell>
          <cell r="X44">
            <v>0</v>
          </cell>
          <cell r="Y44">
            <v>1</v>
          </cell>
          <cell r="Z44">
            <v>0</v>
          </cell>
          <cell r="AA44">
            <v>0</v>
          </cell>
          <cell r="AB44" t="str">
            <v>anytime</v>
          </cell>
          <cell r="AC44">
            <v>9</v>
          </cell>
          <cell r="AD44">
            <v>6</v>
          </cell>
          <cell r="AE44" t="str">
            <v>everyone</v>
          </cell>
        </row>
        <row r="45">
          <cell r="A45" t="str">
            <v>9_3</v>
          </cell>
          <cell r="B45">
            <v>3</v>
          </cell>
          <cell r="C45">
            <v>9</v>
          </cell>
          <cell r="D45" t="str">
            <v>9．ラバーズ氷河</v>
          </cell>
          <cell r="E45" t="str">
            <v>青DL2</v>
          </cell>
          <cell r="F45">
            <v>3</v>
          </cell>
          <cell r="G45" t="str">
            <v>ja</v>
          </cell>
          <cell r="H45" t="str">
            <v>9-3. 大いなる狼拳</v>
          </cell>
          <cell r="J45" t="str">
            <v>NULL</v>
          </cell>
          <cell r="K45">
            <v>8</v>
          </cell>
          <cell r="L45">
            <v>740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1</v>
          </cell>
          <cell r="R45">
            <v>3</v>
          </cell>
          <cell r="S45" t="str">
            <v>none</v>
          </cell>
          <cell r="T45">
            <v>0</v>
          </cell>
          <cell r="U45">
            <v>9</v>
          </cell>
          <cell r="V45">
            <v>2</v>
          </cell>
          <cell r="W45" t="str">
            <v>9-2. 氷結への案内</v>
          </cell>
          <cell r="X45">
            <v>0</v>
          </cell>
          <cell r="Y45">
            <v>1</v>
          </cell>
          <cell r="Z45">
            <v>0</v>
          </cell>
          <cell r="AA45">
            <v>0</v>
          </cell>
          <cell r="AB45" t="str">
            <v>anytime</v>
          </cell>
          <cell r="AC45">
            <v>9</v>
          </cell>
          <cell r="AD45">
            <v>6</v>
          </cell>
          <cell r="AE45" t="str">
            <v>everyone</v>
          </cell>
        </row>
        <row r="46">
          <cell r="A46" t="str">
            <v>9_4</v>
          </cell>
          <cell r="B46">
            <v>3</v>
          </cell>
          <cell r="C46">
            <v>9</v>
          </cell>
          <cell r="D46" t="str">
            <v>9．ラバーズ氷河</v>
          </cell>
          <cell r="E46" t="str">
            <v>青DL2</v>
          </cell>
          <cell r="F46">
            <v>4</v>
          </cell>
          <cell r="G46" t="str">
            <v>ja</v>
          </cell>
          <cell r="H46" t="str">
            <v>9-4. 溶けゆく氷塊</v>
          </cell>
          <cell r="J46" t="str">
            <v>NULL</v>
          </cell>
          <cell r="K46">
            <v>9</v>
          </cell>
          <cell r="L46">
            <v>800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1</v>
          </cell>
          <cell r="R46">
            <v>3</v>
          </cell>
          <cell r="S46" t="str">
            <v>none</v>
          </cell>
          <cell r="T46">
            <v>0</v>
          </cell>
          <cell r="U46">
            <v>9</v>
          </cell>
          <cell r="V46">
            <v>3</v>
          </cell>
          <cell r="W46" t="str">
            <v>9-3. 大いなる狼拳</v>
          </cell>
          <cell r="X46">
            <v>0</v>
          </cell>
          <cell r="Y46">
            <v>1</v>
          </cell>
          <cell r="Z46">
            <v>0</v>
          </cell>
          <cell r="AA46">
            <v>0</v>
          </cell>
          <cell r="AB46" t="str">
            <v>anytime</v>
          </cell>
          <cell r="AC46">
            <v>9</v>
          </cell>
          <cell r="AD46">
            <v>6</v>
          </cell>
          <cell r="AE46" t="str">
            <v>everyone</v>
          </cell>
        </row>
        <row r="47">
          <cell r="A47" t="str">
            <v>9_5</v>
          </cell>
          <cell r="B47">
            <v>3</v>
          </cell>
          <cell r="C47">
            <v>9</v>
          </cell>
          <cell r="D47" t="str">
            <v>9．ラバーズ氷河</v>
          </cell>
          <cell r="E47" t="str">
            <v>青DL2</v>
          </cell>
          <cell r="F47">
            <v>5</v>
          </cell>
          <cell r="G47" t="str">
            <v>ja</v>
          </cell>
          <cell r="H47" t="str">
            <v>9-5. 聖なる渦爪</v>
          </cell>
          <cell r="J47" t="str">
            <v>NULL</v>
          </cell>
          <cell r="K47">
            <v>13</v>
          </cell>
          <cell r="L47">
            <v>980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  <cell r="R47">
            <v>3</v>
          </cell>
          <cell r="S47" t="str">
            <v>none</v>
          </cell>
          <cell r="T47">
            <v>0</v>
          </cell>
          <cell r="U47">
            <v>9</v>
          </cell>
          <cell r="V47">
            <v>4</v>
          </cell>
          <cell r="W47" t="str">
            <v>9-4. 溶けゆく氷塊</v>
          </cell>
          <cell r="X47">
            <v>0</v>
          </cell>
          <cell r="Y47">
            <v>1</v>
          </cell>
          <cell r="Z47">
            <v>0</v>
          </cell>
          <cell r="AA47">
            <v>0</v>
          </cell>
          <cell r="AB47" t="str">
            <v>anytime</v>
          </cell>
          <cell r="AC47">
            <v>9</v>
          </cell>
          <cell r="AD47">
            <v>6</v>
          </cell>
          <cell r="AE47" t="str">
            <v>everyone</v>
          </cell>
        </row>
        <row r="48">
          <cell r="A48" t="str">
            <v>9_6</v>
          </cell>
          <cell r="B48">
            <v>3</v>
          </cell>
          <cell r="C48">
            <v>9</v>
          </cell>
          <cell r="D48" t="str">
            <v>9．ラバーズ氷河</v>
          </cell>
          <cell r="E48" t="str">
            <v>青DL2</v>
          </cell>
          <cell r="F48">
            <v>6</v>
          </cell>
          <cell r="G48" t="str">
            <v>ja</v>
          </cell>
          <cell r="H48" t="str">
            <v>9-6. 【1回のみ】ボーナスステージ</v>
          </cell>
          <cell r="I48" t="str">
            <v>ボーナス</v>
          </cell>
          <cell r="J48">
            <v>341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3</v>
          </cell>
          <cell r="S48" t="str">
            <v>none</v>
          </cell>
          <cell r="T48">
            <v>0</v>
          </cell>
          <cell r="U48">
            <v>9</v>
          </cell>
          <cell r="V48">
            <v>5</v>
          </cell>
          <cell r="W48" t="str">
            <v>9-5. 聖なる渦爪</v>
          </cell>
          <cell r="X48">
            <v>0</v>
          </cell>
          <cell r="Y48">
            <v>1</v>
          </cell>
          <cell r="Z48">
            <v>0</v>
          </cell>
          <cell r="AA48">
            <v>0</v>
          </cell>
          <cell r="AB48" t="str">
            <v>once</v>
          </cell>
          <cell r="AC48">
            <v>9</v>
          </cell>
          <cell r="AD48">
            <v>6</v>
          </cell>
          <cell r="AE48" t="str">
            <v>singleonly</v>
          </cell>
        </row>
        <row r="49">
          <cell r="A49" t="str">
            <v>10_1</v>
          </cell>
          <cell r="B49">
            <v>3</v>
          </cell>
          <cell r="C49">
            <v>10</v>
          </cell>
          <cell r="D49" t="str">
            <v>10．奥散水の紅葉岩</v>
          </cell>
          <cell r="E49" t="str">
            <v>赤DL2</v>
          </cell>
          <cell r="F49">
            <v>1</v>
          </cell>
          <cell r="G49" t="str">
            <v>ja</v>
          </cell>
          <cell r="H49" t="str">
            <v>10-1. ほろ酔い紅葉狩り</v>
          </cell>
          <cell r="J49" t="str">
            <v>NULL</v>
          </cell>
          <cell r="K49">
            <v>8</v>
          </cell>
          <cell r="L49">
            <v>680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1</v>
          </cell>
          <cell r="R49">
            <v>3</v>
          </cell>
          <cell r="S49" t="str">
            <v>none</v>
          </cell>
          <cell r="T49">
            <v>0</v>
          </cell>
          <cell r="U49">
            <v>9</v>
          </cell>
          <cell r="V49">
            <v>6</v>
          </cell>
          <cell r="W49" t="str">
            <v>9-6. 【1回のみ】ボーナスステージ</v>
          </cell>
          <cell r="X49">
            <v>1</v>
          </cell>
          <cell r="Y49">
            <v>0</v>
          </cell>
          <cell r="Z49">
            <v>0</v>
          </cell>
          <cell r="AA49">
            <v>0</v>
          </cell>
          <cell r="AB49" t="str">
            <v>anytime</v>
          </cell>
          <cell r="AC49">
            <v>10</v>
          </cell>
          <cell r="AD49">
            <v>6</v>
          </cell>
          <cell r="AE49" t="str">
            <v>everyone</v>
          </cell>
        </row>
        <row r="50">
          <cell r="A50" t="str">
            <v>10_2</v>
          </cell>
          <cell r="B50">
            <v>3</v>
          </cell>
          <cell r="C50">
            <v>10</v>
          </cell>
          <cell r="D50" t="str">
            <v>10．奥散水の紅葉岩</v>
          </cell>
          <cell r="E50" t="str">
            <v>赤DL2</v>
          </cell>
          <cell r="F50">
            <v>2</v>
          </cell>
          <cell r="G50" t="str">
            <v>ja</v>
          </cell>
          <cell r="H50" t="str">
            <v>10-2. 岩陰からの襲来</v>
          </cell>
          <cell r="J50" t="str">
            <v>NULL</v>
          </cell>
          <cell r="K50">
            <v>8</v>
          </cell>
          <cell r="L50">
            <v>740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1</v>
          </cell>
          <cell r="R50">
            <v>3</v>
          </cell>
          <cell r="S50" t="str">
            <v>none</v>
          </cell>
          <cell r="T50">
            <v>0</v>
          </cell>
          <cell r="U50">
            <v>10</v>
          </cell>
          <cell r="V50">
            <v>1</v>
          </cell>
          <cell r="W50" t="str">
            <v>10-1. ほろ酔い紅葉狩り</v>
          </cell>
          <cell r="X50">
            <v>1</v>
          </cell>
          <cell r="Y50">
            <v>0</v>
          </cell>
          <cell r="Z50">
            <v>0</v>
          </cell>
          <cell r="AA50">
            <v>0</v>
          </cell>
          <cell r="AB50" t="str">
            <v>anytime</v>
          </cell>
          <cell r="AC50">
            <v>10</v>
          </cell>
          <cell r="AD50">
            <v>6</v>
          </cell>
          <cell r="AE50" t="str">
            <v>everyone</v>
          </cell>
        </row>
        <row r="51">
          <cell r="A51" t="str">
            <v>10_3</v>
          </cell>
          <cell r="B51">
            <v>3</v>
          </cell>
          <cell r="C51">
            <v>10</v>
          </cell>
          <cell r="D51" t="str">
            <v>10．奥散水の紅葉岩</v>
          </cell>
          <cell r="E51" t="str">
            <v>赤DL2</v>
          </cell>
          <cell r="F51">
            <v>3</v>
          </cell>
          <cell r="G51" t="str">
            <v>ja</v>
          </cell>
          <cell r="H51" t="str">
            <v>10-3. ３つの眼孔</v>
          </cell>
          <cell r="J51" t="str">
            <v>NULL</v>
          </cell>
          <cell r="K51">
            <v>9</v>
          </cell>
          <cell r="L51">
            <v>800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1</v>
          </cell>
          <cell r="R51">
            <v>3</v>
          </cell>
          <cell r="S51" t="str">
            <v>none</v>
          </cell>
          <cell r="T51">
            <v>0</v>
          </cell>
          <cell r="U51">
            <v>10</v>
          </cell>
          <cell r="V51">
            <v>2</v>
          </cell>
          <cell r="W51" t="str">
            <v>10-2. 岩陰からの襲来</v>
          </cell>
          <cell r="X51">
            <v>1</v>
          </cell>
          <cell r="Y51">
            <v>0</v>
          </cell>
          <cell r="Z51">
            <v>0</v>
          </cell>
          <cell r="AA51">
            <v>0</v>
          </cell>
          <cell r="AB51" t="str">
            <v>anytime</v>
          </cell>
          <cell r="AC51">
            <v>10</v>
          </cell>
          <cell r="AD51">
            <v>6</v>
          </cell>
          <cell r="AE51" t="str">
            <v>everyone</v>
          </cell>
        </row>
        <row r="52">
          <cell r="A52" t="str">
            <v>10_4</v>
          </cell>
          <cell r="B52">
            <v>3</v>
          </cell>
          <cell r="C52">
            <v>10</v>
          </cell>
          <cell r="D52" t="str">
            <v>10．奥散水の紅葉岩</v>
          </cell>
          <cell r="E52" t="str">
            <v>赤DL2</v>
          </cell>
          <cell r="F52">
            <v>4</v>
          </cell>
          <cell r="G52" t="str">
            <v>ja</v>
          </cell>
          <cell r="H52" t="str">
            <v>10-4. 覚醒の泥酔者</v>
          </cell>
          <cell r="J52" t="str">
            <v>NULL</v>
          </cell>
          <cell r="K52">
            <v>9</v>
          </cell>
          <cell r="L52">
            <v>860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1</v>
          </cell>
          <cell r="R52">
            <v>3</v>
          </cell>
          <cell r="S52" t="str">
            <v>none</v>
          </cell>
          <cell r="T52">
            <v>0</v>
          </cell>
          <cell r="U52">
            <v>10</v>
          </cell>
          <cell r="V52">
            <v>3</v>
          </cell>
          <cell r="W52" t="str">
            <v>10-3. ３つの眼孔</v>
          </cell>
          <cell r="X52">
            <v>1</v>
          </cell>
          <cell r="Y52">
            <v>0</v>
          </cell>
          <cell r="Z52">
            <v>0</v>
          </cell>
          <cell r="AA52">
            <v>0</v>
          </cell>
          <cell r="AB52" t="str">
            <v>anytime</v>
          </cell>
          <cell r="AC52">
            <v>10</v>
          </cell>
          <cell r="AD52">
            <v>6</v>
          </cell>
          <cell r="AE52" t="str">
            <v>everyone</v>
          </cell>
        </row>
        <row r="53">
          <cell r="A53" t="str">
            <v>10_5</v>
          </cell>
          <cell r="B53">
            <v>3</v>
          </cell>
          <cell r="C53">
            <v>10</v>
          </cell>
          <cell r="D53" t="str">
            <v>10．奥散水の紅葉岩</v>
          </cell>
          <cell r="E53" t="str">
            <v>赤DL2</v>
          </cell>
          <cell r="F53">
            <v>5</v>
          </cell>
          <cell r="G53" t="str">
            <v>ja</v>
          </cell>
          <cell r="H53" t="str">
            <v>10-5. 聖なる炎翼</v>
          </cell>
          <cell r="J53" t="str">
            <v>NULL</v>
          </cell>
          <cell r="K53">
            <v>13</v>
          </cell>
          <cell r="L53">
            <v>1140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1</v>
          </cell>
          <cell r="R53">
            <v>3</v>
          </cell>
          <cell r="S53" t="str">
            <v>none</v>
          </cell>
          <cell r="T53">
            <v>0</v>
          </cell>
          <cell r="U53">
            <v>10</v>
          </cell>
          <cell r="V53">
            <v>4</v>
          </cell>
          <cell r="W53" t="str">
            <v>10-4. 覚醒の泥酔者</v>
          </cell>
          <cell r="X53">
            <v>1</v>
          </cell>
          <cell r="Y53">
            <v>0</v>
          </cell>
          <cell r="Z53">
            <v>0</v>
          </cell>
          <cell r="AA53">
            <v>0</v>
          </cell>
          <cell r="AB53" t="str">
            <v>anytime</v>
          </cell>
          <cell r="AC53">
            <v>10</v>
          </cell>
          <cell r="AD53">
            <v>6</v>
          </cell>
          <cell r="AE53" t="str">
            <v>everyone</v>
          </cell>
        </row>
        <row r="54">
          <cell r="A54" t="str">
            <v>10_6</v>
          </cell>
          <cell r="B54">
            <v>3</v>
          </cell>
          <cell r="C54">
            <v>10</v>
          </cell>
          <cell r="D54" t="str">
            <v>10．奥散水の紅葉岩</v>
          </cell>
          <cell r="E54" t="str">
            <v>赤DL2</v>
          </cell>
          <cell r="F54">
            <v>6</v>
          </cell>
          <cell r="G54" t="str">
            <v>ja</v>
          </cell>
          <cell r="H54" t="str">
            <v>10-6. 【1回のみ】ボーナスステージ</v>
          </cell>
          <cell r="I54" t="str">
            <v>ボーナス</v>
          </cell>
          <cell r="J54">
            <v>333</v>
          </cell>
          <cell r="K54">
            <v>1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3</v>
          </cell>
          <cell r="S54" t="str">
            <v>none</v>
          </cell>
          <cell r="T54">
            <v>0</v>
          </cell>
          <cell r="U54">
            <v>10</v>
          </cell>
          <cell r="V54">
            <v>5</v>
          </cell>
          <cell r="W54" t="str">
            <v>10-5. 聖なる炎翼</v>
          </cell>
          <cell r="X54">
            <v>1</v>
          </cell>
          <cell r="Y54">
            <v>0</v>
          </cell>
          <cell r="Z54">
            <v>0</v>
          </cell>
          <cell r="AA54">
            <v>0</v>
          </cell>
          <cell r="AB54" t="str">
            <v>once</v>
          </cell>
          <cell r="AC54">
            <v>10</v>
          </cell>
          <cell r="AD54">
            <v>6</v>
          </cell>
          <cell r="AE54" t="str">
            <v>singleonly</v>
          </cell>
        </row>
        <row r="55">
          <cell r="A55" t="str">
            <v>11_1</v>
          </cell>
          <cell r="B55">
            <v>3</v>
          </cell>
          <cell r="C55">
            <v>11</v>
          </cell>
          <cell r="D55" t="str">
            <v>11．ディープソート戦場跡</v>
          </cell>
          <cell r="E55" t="str">
            <v>混色DL2</v>
          </cell>
          <cell r="F55">
            <v>1</v>
          </cell>
          <cell r="G55" t="str">
            <v>ja</v>
          </cell>
          <cell r="H55" t="str">
            <v>11-1. 記憶の扉</v>
          </cell>
          <cell r="J55" t="str">
            <v>NULL</v>
          </cell>
          <cell r="K55">
            <v>7</v>
          </cell>
          <cell r="L55">
            <v>860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1</v>
          </cell>
          <cell r="R55">
            <v>3</v>
          </cell>
          <cell r="S55" t="str">
            <v>none</v>
          </cell>
          <cell r="T55">
            <v>0</v>
          </cell>
          <cell r="U55">
            <v>10</v>
          </cell>
          <cell r="V55">
            <v>6</v>
          </cell>
          <cell r="W55" t="str">
            <v>10-6. 【1回のみ】ボーナスステージ</v>
          </cell>
          <cell r="X55">
            <v>1</v>
          </cell>
          <cell r="Y55">
            <v>1</v>
          </cell>
          <cell r="Z55">
            <v>1</v>
          </cell>
          <cell r="AA55">
            <v>1</v>
          </cell>
          <cell r="AB55" t="str">
            <v>anytime</v>
          </cell>
          <cell r="AC55">
            <v>11</v>
          </cell>
          <cell r="AD55">
            <v>6</v>
          </cell>
          <cell r="AE55" t="str">
            <v>everyone</v>
          </cell>
        </row>
        <row r="56">
          <cell r="A56" t="str">
            <v>11_2</v>
          </cell>
          <cell r="B56">
            <v>3</v>
          </cell>
          <cell r="C56">
            <v>11</v>
          </cell>
          <cell r="D56" t="str">
            <v>11．ディープソート戦場跡</v>
          </cell>
          <cell r="E56" t="str">
            <v>混色DL2</v>
          </cell>
          <cell r="F56">
            <v>2</v>
          </cell>
          <cell r="G56" t="str">
            <v>ja</v>
          </cell>
          <cell r="H56" t="str">
            <v>11-2. 兵どもの夢の跡</v>
          </cell>
          <cell r="J56" t="str">
            <v>NULL</v>
          </cell>
          <cell r="K56">
            <v>7</v>
          </cell>
          <cell r="L56">
            <v>900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1</v>
          </cell>
          <cell r="R56">
            <v>3</v>
          </cell>
          <cell r="S56" t="str">
            <v>none</v>
          </cell>
          <cell r="T56">
            <v>0</v>
          </cell>
          <cell r="U56">
            <v>11</v>
          </cell>
          <cell r="V56">
            <v>1</v>
          </cell>
          <cell r="W56" t="str">
            <v>11-1. 記憶の扉</v>
          </cell>
          <cell r="X56">
            <v>1</v>
          </cell>
          <cell r="Y56">
            <v>1</v>
          </cell>
          <cell r="Z56">
            <v>1</v>
          </cell>
          <cell r="AA56">
            <v>1</v>
          </cell>
          <cell r="AB56" t="str">
            <v>anytime</v>
          </cell>
          <cell r="AC56">
            <v>11</v>
          </cell>
          <cell r="AD56">
            <v>6</v>
          </cell>
          <cell r="AE56" t="str">
            <v>everyone</v>
          </cell>
        </row>
        <row r="57">
          <cell r="A57" t="str">
            <v>11_3</v>
          </cell>
          <cell r="B57">
            <v>3</v>
          </cell>
          <cell r="C57">
            <v>11</v>
          </cell>
          <cell r="D57" t="str">
            <v>11．ディープソート戦場跡</v>
          </cell>
          <cell r="E57" t="str">
            <v>混色DL2</v>
          </cell>
          <cell r="F57">
            <v>3</v>
          </cell>
          <cell r="G57" t="str">
            <v>ja</v>
          </cell>
          <cell r="H57" t="str">
            <v>11-3. 繰り返される戦争</v>
          </cell>
          <cell r="J57" t="str">
            <v>NULL</v>
          </cell>
          <cell r="K57">
            <v>8</v>
          </cell>
          <cell r="L57">
            <v>1020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3</v>
          </cell>
          <cell r="S57" t="str">
            <v>none</v>
          </cell>
          <cell r="T57">
            <v>0</v>
          </cell>
          <cell r="U57">
            <v>11</v>
          </cell>
          <cell r="V57">
            <v>2</v>
          </cell>
          <cell r="W57" t="str">
            <v>11-2. 兵どもの夢の跡</v>
          </cell>
          <cell r="X57">
            <v>1</v>
          </cell>
          <cell r="Y57">
            <v>1</v>
          </cell>
          <cell r="Z57">
            <v>1</v>
          </cell>
          <cell r="AA57">
            <v>1</v>
          </cell>
          <cell r="AB57" t="str">
            <v>anytime</v>
          </cell>
          <cell r="AC57">
            <v>11</v>
          </cell>
          <cell r="AD57">
            <v>6</v>
          </cell>
          <cell r="AE57" t="str">
            <v>everyone</v>
          </cell>
        </row>
        <row r="58">
          <cell r="A58" t="str">
            <v>11_4</v>
          </cell>
          <cell r="B58">
            <v>3</v>
          </cell>
          <cell r="C58">
            <v>11</v>
          </cell>
          <cell r="D58" t="str">
            <v>11．ディープソート戦場跡</v>
          </cell>
          <cell r="E58" t="str">
            <v>混色DL2</v>
          </cell>
          <cell r="F58">
            <v>4</v>
          </cell>
          <cell r="G58" t="str">
            <v>ja</v>
          </cell>
          <cell r="H58" t="str">
            <v>11-4. チェックメイトへの布石</v>
          </cell>
          <cell r="J58" t="str">
            <v>NULL</v>
          </cell>
          <cell r="K58">
            <v>9</v>
          </cell>
          <cell r="L58">
            <v>1160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3</v>
          </cell>
          <cell r="S58" t="str">
            <v>none</v>
          </cell>
          <cell r="T58">
            <v>0</v>
          </cell>
          <cell r="U58">
            <v>11</v>
          </cell>
          <cell r="V58">
            <v>3</v>
          </cell>
          <cell r="W58" t="str">
            <v>11-3. 繰り返される戦争</v>
          </cell>
          <cell r="X58">
            <v>1</v>
          </cell>
          <cell r="Y58">
            <v>1</v>
          </cell>
          <cell r="Z58">
            <v>1</v>
          </cell>
          <cell r="AA58">
            <v>1</v>
          </cell>
          <cell r="AB58" t="str">
            <v>anytime</v>
          </cell>
          <cell r="AC58">
            <v>11</v>
          </cell>
          <cell r="AD58">
            <v>6</v>
          </cell>
          <cell r="AE58" t="str">
            <v>everyone</v>
          </cell>
        </row>
        <row r="59">
          <cell r="A59" t="str">
            <v>11_5</v>
          </cell>
          <cell r="B59">
            <v>3</v>
          </cell>
          <cell r="C59">
            <v>11</v>
          </cell>
          <cell r="D59" t="str">
            <v>11．ディープソート戦場跡</v>
          </cell>
          <cell r="E59" t="str">
            <v>混色DL2</v>
          </cell>
          <cell r="F59">
            <v>5</v>
          </cell>
          <cell r="G59" t="str">
            <v>ja</v>
          </cell>
          <cell r="H59" t="str">
            <v>11-5. 訓練された生存者</v>
          </cell>
          <cell r="J59" t="str">
            <v>NULL</v>
          </cell>
          <cell r="K59">
            <v>15</v>
          </cell>
          <cell r="L59">
            <v>1400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1</v>
          </cell>
          <cell r="R59">
            <v>3</v>
          </cell>
          <cell r="S59" t="str">
            <v>none</v>
          </cell>
          <cell r="T59">
            <v>0</v>
          </cell>
          <cell r="U59">
            <v>11</v>
          </cell>
          <cell r="V59">
            <v>4</v>
          </cell>
          <cell r="W59" t="str">
            <v>11-4. チェックメイトへの布石</v>
          </cell>
          <cell r="X59">
            <v>1</v>
          </cell>
          <cell r="Y59">
            <v>1</v>
          </cell>
          <cell r="Z59">
            <v>1</v>
          </cell>
          <cell r="AA59">
            <v>1</v>
          </cell>
          <cell r="AB59" t="str">
            <v>anytime</v>
          </cell>
          <cell r="AC59">
            <v>11</v>
          </cell>
          <cell r="AD59">
            <v>6</v>
          </cell>
          <cell r="AE59" t="str">
            <v>everyone</v>
          </cell>
        </row>
        <row r="60">
          <cell r="A60" t="str">
            <v>11_6</v>
          </cell>
          <cell r="B60">
            <v>3</v>
          </cell>
          <cell r="C60">
            <v>11</v>
          </cell>
          <cell r="D60" t="str">
            <v>11．ディープソート戦場跡</v>
          </cell>
          <cell r="E60" t="str">
            <v>混色DL2</v>
          </cell>
          <cell r="F60">
            <v>6</v>
          </cell>
          <cell r="G60" t="str">
            <v>ja</v>
          </cell>
          <cell r="H60" t="str">
            <v>11-6. 【1回のみ】ボーナスステージ</v>
          </cell>
          <cell r="I60" t="str">
            <v>ボーナス</v>
          </cell>
          <cell r="J60">
            <v>125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3</v>
          </cell>
          <cell r="S60" t="str">
            <v>none</v>
          </cell>
          <cell r="T60">
            <v>0</v>
          </cell>
          <cell r="U60">
            <v>11</v>
          </cell>
          <cell r="V60">
            <v>5</v>
          </cell>
          <cell r="W60" t="str">
            <v>11-5. 訓練された生存者</v>
          </cell>
          <cell r="X60">
            <v>1</v>
          </cell>
          <cell r="Y60">
            <v>1</v>
          </cell>
          <cell r="Z60">
            <v>1</v>
          </cell>
          <cell r="AA60">
            <v>1</v>
          </cell>
          <cell r="AB60" t="str">
            <v>once</v>
          </cell>
          <cell r="AC60">
            <v>11</v>
          </cell>
          <cell r="AD60">
            <v>6</v>
          </cell>
          <cell r="AE60" t="str">
            <v>singleonly</v>
          </cell>
        </row>
        <row r="61">
          <cell r="A61" t="str">
            <v>12_1</v>
          </cell>
          <cell r="B61">
            <v>3</v>
          </cell>
          <cell r="C61">
            <v>12</v>
          </cell>
          <cell r="D61" t="str">
            <v>12．電脳街アキハバラ2.0</v>
          </cell>
          <cell r="E61" t="str">
            <v>黄DL3</v>
          </cell>
          <cell r="F61">
            <v>1</v>
          </cell>
          <cell r="G61" t="str">
            <v>ja</v>
          </cell>
          <cell r="H61" t="str">
            <v>12-1. 電気街を駆ける働き者</v>
          </cell>
          <cell r="J61" t="str">
            <v>NULL</v>
          </cell>
          <cell r="K61">
            <v>8</v>
          </cell>
          <cell r="L61">
            <v>720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1</v>
          </cell>
          <cell r="R61">
            <v>3</v>
          </cell>
          <cell r="S61" t="str">
            <v>none</v>
          </cell>
          <cell r="T61">
            <v>0</v>
          </cell>
          <cell r="U61">
            <v>11</v>
          </cell>
          <cell r="V61">
            <v>6</v>
          </cell>
          <cell r="W61" t="str">
            <v>11-6. 【1回のみ】ボーナスステージ</v>
          </cell>
          <cell r="X61">
            <v>0</v>
          </cell>
          <cell r="Y61">
            <v>0</v>
          </cell>
          <cell r="Z61">
            <v>0</v>
          </cell>
          <cell r="AA61">
            <v>1</v>
          </cell>
          <cell r="AB61" t="str">
            <v>anytime</v>
          </cell>
          <cell r="AC61">
            <v>12</v>
          </cell>
          <cell r="AD61">
            <v>6</v>
          </cell>
          <cell r="AE61" t="str">
            <v>everyone</v>
          </cell>
        </row>
        <row r="62">
          <cell r="A62" t="str">
            <v>12_2</v>
          </cell>
          <cell r="B62">
            <v>3</v>
          </cell>
          <cell r="C62">
            <v>12</v>
          </cell>
          <cell r="D62" t="str">
            <v>12．電脳街アキハバラ2.0</v>
          </cell>
          <cell r="E62" t="str">
            <v>黄DL3</v>
          </cell>
          <cell r="F62">
            <v>2</v>
          </cell>
          <cell r="G62" t="str">
            <v>ja</v>
          </cell>
          <cell r="H62" t="str">
            <v>12-2. アーケードの迅雷</v>
          </cell>
          <cell r="J62" t="str">
            <v>NULL</v>
          </cell>
          <cell r="K62">
            <v>8</v>
          </cell>
          <cell r="L62">
            <v>760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1</v>
          </cell>
          <cell r="R62">
            <v>3</v>
          </cell>
          <cell r="S62" t="str">
            <v>none</v>
          </cell>
          <cell r="T62">
            <v>0</v>
          </cell>
          <cell r="U62">
            <v>12</v>
          </cell>
          <cell r="V62">
            <v>1</v>
          </cell>
          <cell r="W62" t="str">
            <v>12-1. 電気街を駆ける働き者</v>
          </cell>
          <cell r="X62">
            <v>0</v>
          </cell>
          <cell r="Y62">
            <v>0</v>
          </cell>
          <cell r="Z62">
            <v>0</v>
          </cell>
          <cell r="AA62">
            <v>1</v>
          </cell>
          <cell r="AB62" t="str">
            <v>anytime</v>
          </cell>
          <cell r="AC62">
            <v>12</v>
          </cell>
          <cell r="AD62">
            <v>6</v>
          </cell>
          <cell r="AE62" t="str">
            <v>everyone</v>
          </cell>
        </row>
        <row r="63">
          <cell r="A63" t="str">
            <v>12_3</v>
          </cell>
          <cell r="B63">
            <v>3</v>
          </cell>
          <cell r="C63">
            <v>12</v>
          </cell>
          <cell r="D63" t="str">
            <v>12．電脳街アキハバラ2.0</v>
          </cell>
          <cell r="E63" t="str">
            <v>黄DL3</v>
          </cell>
          <cell r="F63">
            <v>3</v>
          </cell>
          <cell r="G63" t="str">
            <v>ja</v>
          </cell>
          <cell r="H63" t="str">
            <v>12-3. 裏道の大鎌</v>
          </cell>
          <cell r="J63" t="str">
            <v>NULL</v>
          </cell>
          <cell r="K63">
            <v>9</v>
          </cell>
          <cell r="L63">
            <v>840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1</v>
          </cell>
          <cell r="R63">
            <v>3</v>
          </cell>
          <cell r="S63" t="str">
            <v>none</v>
          </cell>
          <cell r="T63">
            <v>0</v>
          </cell>
          <cell r="U63">
            <v>12</v>
          </cell>
          <cell r="V63">
            <v>2</v>
          </cell>
          <cell r="W63" t="str">
            <v>12-2. アーケードの迅雷</v>
          </cell>
          <cell r="X63">
            <v>0</v>
          </cell>
          <cell r="Y63">
            <v>0</v>
          </cell>
          <cell r="Z63">
            <v>0</v>
          </cell>
          <cell r="AA63">
            <v>1</v>
          </cell>
          <cell r="AB63" t="str">
            <v>anytime</v>
          </cell>
          <cell r="AC63">
            <v>12</v>
          </cell>
          <cell r="AD63">
            <v>6</v>
          </cell>
          <cell r="AE63" t="str">
            <v>everyone</v>
          </cell>
        </row>
        <row r="64">
          <cell r="A64" t="str">
            <v>12_4</v>
          </cell>
          <cell r="B64">
            <v>3</v>
          </cell>
          <cell r="C64">
            <v>12</v>
          </cell>
          <cell r="D64" t="str">
            <v>12．電脳街アキハバラ2.0</v>
          </cell>
          <cell r="E64" t="str">
            <v>黄DL3</v>
          </cell>
          <cell r="F64">
            <v>4</v>
          </cell>
          <cell r="G64" t="str">
            <v>ja</v>
          </cell>
          <cell r="H64" t="str">
            <v>12-4. トリック縦横無尽</v>
          </cell>
          <cell r="J64" t="str">
            <v>NULL</v>
          </cell>
          <cell r="K64">
            <v>10</v>
          </cell>
          <cell r="L64">
            <v>880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1</v>
          </cell>
          <cell r="R64">
            <v>3</v>
          </cell>
          <cell r="S64" t="str">
            <v>none</v>
          </cell>
          <cell r="T64">
            <v>0</v>
          </cell>
          <cell r="U64">
            <v>12</v>
          </cell>
          <cell r="V64">
            <v>3</v>
          </cell>
          <cell r="W64" t="str">
            <v>12-3. 裏道の大鎌</v>
          </cell>
          <cell r="X64">
            <v>0</v>
          </cell>
          <cell r="Y64">
            <v>0</v>
          </cell>
          <cell r="Z64">
            <v>0</v>
          </cell>
          <cell r="AA64">
            <v>1</v>
          </cell>
          <cell r="AB64" t="str">
            <v>anytime</v>
          </cell>
          <cell r="AC64">
            <v>12</v>
          </cell>
          <cell r="AD64">
            <v>6</v>
          </cell>
          <cell r="AE64" t="str">
            <v>everyone</v>
          </cell>
        </row>
        <row r="65">
          <cell r="A65" t="str">
            <v>12_5</v>
          </cell>
          <cell r="B65">
            <v>3</v>
          </cell>
          <cell r="C65">
            <v>12</v>
          </cell>
          <cell r="D65" t="str">
            <v>12．電脳街アキハバラ2.0</v>
          </cell>
          <cell r="E65" t="str">
            <v>黄DL3</v>
          </cell>
          <cell r="F65">
            <v>5</v>
          </cell>
          <cell r="G65" t="str">
            <v>ja</v>
          </cell>
          <cell r="H65" t="str">
            <v>12-5. 強蹴の働き者</v>
          </cell>
          <cell r="J65" t="str">
            <v>NULL</v>
          </cell>
          <cell r="K65">
            <v>14</v>
          </cell>
          <cell r="L65">
            <v>1120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1</v>
          </cell>
          <cell r="R65">
            <v>3</v>
          </cell>
          <cell r="S65" t="str">
            <v>none</v>
          </cell>
          <cell r="T65">
            <v>0</v>
          </cell>
          <cell r="U65">
            <v>12</v>
          </cell>
          <cell r="V65">
            <v>4</v>
          </cell>
          <cell r="W65" t="str">
            <v>12-4. トリック縦横無尽</v>
          </cell>
          <cell r="X65">
            <v>0</v>
          </cell>
          <cell r="Y65">
            <v>0</v>
          </cell>
          <cell r="Z65">
            <v>0</v>
          </cell>
          <cell r="AA65">
            <v>1</v>
          </cell>
          <cell r="AB65" t="str">
            <v>anytime</v>
          </cell>
          <cell r="AC65">
            <v>12</v>
          </cell>
          <cell r="AD65">
            <v>6</v>
          </cell>
          <cell r="AE65" t="str">
            <v>everyone</v>
          </cell>
        </row>
        <row r="66">
          <cell r="A66" t="str">
            <v>12_6</v>
          </cell>
          <cell r="B66">
            <v>3</v>
          </cell>
          <cell r="C66">
            <v>12</v>
          </cell>
          <cell r="D66" t="str">
            <v>12．電脳街アキハバラ2.0</v>
          </cell>
          <cell r="E66" t="str">
            <v>黄DL3</v>
          </cell>
          <cell r="F66">
            <v>6</v>
          </cell>
          <cell r="G66" t="str">
            <v>ja</v>
          </cell>
          <cell r="H66" t="str">
            <v>12-6. 【1回のみ】ボーナスステージ</v>
          </cell>
          <cell r="I66" t="str">
            <v>ボーナス</v>
          </cell>
          <cell r="J66">
            <v>346</v>
          </cell>
          <cell r="K66">
            <v>1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1</v>
          </cell>
          <cell r="R66">
            <v>3</v>
          </cell>
          <cell r="S66" t="str">
            <v>none</v>
          </cell>
          <cell r="T66">
            <v>0</v>
          </cell>
          <cell r="U66">
            <v>12</v>
          </cell>
          <cell r="V66">
            <v>5</v>
          </cell>
          <cell r="W66" t="str">
            <v>12-5. 強蹴の働き者</v>
          </cell>
          <cell r="X66">
            <v>0</v>
          </cell>
          <cell r="Y66">
            <v>0</v>
          </cell>
          <cell r="Z66">
            <v>0</v>
          </cell>
          <cell r="AA66">
            <v>1</v>
          </cell>
          <cell r="AB66" t="str">
            <v>once</v>
          </cell>
          <cell r="AC66">
            <v>12</v>
          </cell>
          <cell r="AD66">
            <v>6</v>
          </cell>
          <cell r="AE66" t="str">
            <v>singleonly</v>
          </cell>
        </row>
        <row r="67">
          <cell r="A67" t="str">
            <v>13_1</v>
          </cell>
          <cell r="B67">
            <v>3</v>
          </cell>
          <cell r="C67">
            <v>13</v>
          </cell>
          <cell r="D67" t="str">
            <v>13．天空城マドーラ</v>
          </cell>
          <cell r="E67" t="str">
            <v>青DL3</v>
          </cell>
          <cell r="F67">
            <v>1</v>
          </cell>
          <cell r="G67" t="str">
            <v>ja</v>
          </cell>
          <cell r="H67" t="str">
            <v>13-1. 甘く切ないメロウ</v>
          </cell>
          <cell r="J67" t="str">
            <v>NULL</v>
          </cell>
          <cell r="K67">
            <v>8</v>
          </cell>
          <cell r="L67">
            <v>760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3</v>
          </cell>
          <cell r="S67" t="str">
            <v>none</v>
          </cell>
          <cell r="T67">
            <v>0</v>
          </cell>
          <cell r="U67">
            <v>12</v>
          </cell>
          <cell r="V67">
            <v>6</v>
          </cell>
          <cell r="W67" t="str">
            <v>12-6. 【1回のみ】ボーナスステージ</v>
          </cell>
          <cell r="X67">
            <v>0</v>
          </cell>
          <cell r="Y67">
            <v>1</v>
          </cell>
          <cell r="Z67">
            <v>0</v>
          </cell>
          <cell r="AA67">
            <v>0</v>
          </cell>
          <cell r="AB67" t="str">
            <v>anytime</v>
          </cell>
          <cell r="AC67">
            <v>13</v>
          </cell>
          <cell r="AD67">
            <v>6</v>
          </cell>
          <cell r="AE67" t="str">
            <v>everyone</v>
          </cell>
        </row>
        <row r="68">
          <cell r="A68" t="str">
            <v>13_2</v>
          </cell>
          <cell r="B68">
            <v>3</v>
          </cell>
          <cell r="C68">
            <v>13</v>
          </cell>
          <cell r="D68" t="str">
            <v>13．天空城マドーラ</v>
          </cell>
          <cell r="E68" t="str">
            <v>青DL3</v>
          </cell>
          <cell r="F68">
            <v>2</v>
          </cell>
          <cell r="G68" t="str">
            <v>ja</v>
          </cell>
          <cell r="H68" t="str">
            <v>13-2. 天上の書家</v>
          </cell>
          <cell r="J68" t="str">
            <v>NULL</v>
          </cell>
          <cell r="K68">
            <v>8</v>
          </cell>
          <cell r="L68">
            <v>800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3</v>
          </cell>
          <cell r="S68" t="str">
            <v>none</v>
          </cell>
          <cell r="T68">
            <v>0</v>
          </cell>
          <cell r="U68">
            <v>13</v>
          </cell>
          <cell r="V68">
            <v>1</v>
          </cell>
          <cell r="W68" t="str">
            <v>13-1. 甘く切ないメロウ</v>
          </cell>
          <cell r="X68">
            <v>0</v>
          </cell>
          <cell r="Y68">
            <v>1</v>
          </cell>
          <cell r="Z68">
            <v>0</v>
          </cell>
          <cell r="AA68">
            <v>0</v>
          </cell>
          <cell r="AB68" t="str">
            <v>anytime</v>
          </cell>
          <cell r="AC68">
            <v>13</v>
          </cell>
          <cell r="AD68">
            <v>6</v>
          </cell>
          <cell r="AE68" t="str">
            <v>everyone</v>
          </cell>
        </row>
        <row r="69">
          <cell r="A69" t="str">
            <v>13_3</v>
          </cell>
          <cell r="B69">
            <v>3</v>
          </cell>
          <cell r="C69">
            <v>13</v>
          </cell>
          <cell r="D69" t="str">
            <v>13．天空城マドーラ</v>
          </cell>
          <cell r="E69" t="str">
            <v>青DL3</v>
          </cell>
          <cell r="F69">
            <v>3</v>
          </cell>
          <cell r="G69" t="str">
            <v>ja</v>
          </cell>
          <cell r="H69" t="str">
            <v>13-3. 雲海の司令塔</v>
          </cell>
          <cell r="J69" t="str">
            <v>NULL</v>
          </cell>
          <cell r="K69">
            <v>9</v>
          </cell>
          <cell r="L69">
            <v>880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3</v>
          </cell>
          <cell r="S69" t="str">
            <v>none</v>
          </cell>
          <cell r="T69">
            <v>0</v>
          </cell>
          <cell r="U69">
            <v>13</v>
          </cell>
          <cell r="V69">
            <v>2</v>
          </cell>
          <cell r="W69" t="str">
            <v>13-2. 天上の書家</v>
          </cell>
          <cell r="X69">
            <v>0</v>
          </cell>
          <cell r="Y69">
            <v>1</v>
          </cell>
          <cell r="Z69">
            <v>0</v>
          </cell>
          <cell r="AA69">
            <v>0</v>
          </cell>
          <cell r="AB69" t="str">
            <v>anytime</v>
          </cell>
          <cell r="AC69">
            <v>13</v>
          </cell>
          <cell r="AD69">
            <v>6</v>
          </cell>
          <cell r="AE69" t="str">
            <v>everyone</v>
          </cell>
        </row>
        <row r="70">
          <cell r="A70" t="str">
            <v>13_4</v>
          </cell>
          <cell r="B70">
            <v>3</v>
          </cell>
          <cell r="C70">
            <v>13</v>
          </cell>
          <cell r="D70" t="str">
            <v>13．天空城マドーラ</v>
          </cell>
          <cell r="E70" t="str">
            <v>青DL3</v>
          </cell>
          <cell r="F70">
            <v>4</v>
          </cell>
          <cell r="G70" t="str">
            <v>ja</v>
          </cell>
          <cell r="H70" t="str">
            <v>13-4. 生命吹き込む旋律</v>
          </cell>
          <cell r="J70" t="str">
            <v>NULL</v>
          </cell>
          <cell r="K70">
            <v>10</v>
          </cell>
          <cell r="L70">
            <v>920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3</v>
          </cell>
          <cell r="S70" t="str">
            <v>none</v>
          </cell>
          <cell r="T70">
            <v>0</v>
          </cell>
          <cell r="U70">
            <v>13</v>
          </cell>
          <cell r="V70">
            <v>3</v>
          </cell>
          <cell r="W70" t="str">
            <v>13-3. 雲海の司令塔</v>
          </cell>
          <cell r="X70">
            <v>0</v>
          </cell>
          <cell r="Y70">
            <v>1</v>
          </cell>
          <cell r="Z70">
            <v>0</v>
          </cell>
          <cell r="AA70">
            <v>0</v>
          </cell>
          <cell r="AB70" t="str">
            <v>anytime</v>
          </cell>
          <cell r="AC70">
            <v>13</v>
          </cell>
          <cell r="AD70">
            <v>6</v>
          </cell>
          <cell r="AE70" t="str">
            <v>everyone</v>
          </cell>
        </row>
        <row r="71">
          <cell r="A71" t="str">
            <v>13_5</v>
          </cell>
          <cell r="B71">
            <v>3</v>
          </cell>
          <cell r="C71">
            <v>13</v>
          </cell>
          <cell r="D71" t="str">
            <v>13．天空城マドーラ</v>
          </cell>
          <cell r="E71" t="str">
            <v>青DL3</v>
          </cell>
          <cell r="F71">
            <v>5</v>
          </cell>
          <cell r="G71" t="str">
            <v>ja</v>
          </cell>
          <cell r="H71" t="str">
            <v>13-5. ローレライの導き</v>
          </cell>
          <cell r="J71" t="str">
            <v>NULL</v>
          </cell>
          <cell r="K71">
            <v>14</v>
          </cell>
          <cell r="L71">
            <v>1180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3</v>
          </cell>
          <cell r="S71" t="str">
            <v>none</v>
          </cell>
          <cell r="T71">
            <v>0</v>
          </cell>
          <cell r="U71">
            <v>13</v>
          </cell>
          <cell r="V71">
            <v>4</v>
          </cell>
          <cell r="W71" t="str">
            <v>13-4. 生命吹き込む旋律</v>
          </cell>
          <cell r="X71">
            <v>0</v>
          </cell>
          <cell r="Y71">
            <v>1</v>
          </cell>
          <cell r="Z71">
            <v>0</v>
          </cell>
          <cell r="AA71">
            <v>0</v>
          </cell>
          <cell r="AB71" t="str">
            <v>anytime</v>
          </cell>
          <cell r="AC71">
            <v>13</v>
          </cell>
          <cell r="AD71">
            <v>6</v>
          </cell>
          <cell r="AE71" t="str">
            <v>everyone</v>
          </cell>
        </row>
        <row r="72">
          <cell r="A72" t="str">
            <v>13_6</v>
          </cell>
          <cell r="B72">
            <v>3</v>
          </cell>
          <cell r="C72">
            <v>13</v>
          </cell>
          <cell r="D72" t="str">
            <v>13．天空城マドーラ</v>
          </cell>
          <cell r="E72" t="str">
            <v>青DL3</v>
          </cell>
          <cell r="F72">
            <v>6</v>
          </cell>
          <cell r="G72" t="str">
            <v>ja</v>
          </cell>
          <cell r="H72" t="str">
            <v>13-6. 【1回のみ】ボーナスステージ</v>
          </cell>
          <cell r="I72" t="str">
            <v>ボーナス</v>
          </cell>
          <cell r="J72">
            <v>342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3</v>
          </cell>
          <cell r="S72" t="str">
            <v>none</v>
          </cell>
          <cell r="T72">
            <v>0</v>
          </cell>
          <cell r="U72">
            <v>13</v>
          </cell>
          <cell r="V72">
            <v>5</v>
          </cell>
          <cell r="W72" t="str">
            <v>13-5. ローレライの導き</v>
          </cell>
          <cell r="X72">
            <v>0</v>
          </cell>
          <cell r="Y72">
            <v>1</v>
          </cell>
          <cell r="Z72">
            <v>0</v>
          </cell>
          <cell r="AA72">
            <v>0</v>
          </cell>
          <cell r="AB72" t="str">
            <v>once</v>
          </cell>
          <cell r="AC72">
            <v>13</v>
          </cell>
          <cell r="AD72">
            <v>6</v>
          </cell>
          <cell r="AE72" t="str">
            <v>singleonly</v>
          </cell>
        </row>
        <row r="73">
          <cell r="A73" t="str">
            <v>14_1</v>
          </cell>
          <cell r="B73">
            <v>3</v>
          </cell>
          <cell r="C73">
            <v>14</v>
          </cell>
          <cell r="D73" t="str">
            <v>14．機械都市マッシュ</v>
          </cell>
          <cell r="E73" t="str">
            <v>赤DL3</v>
          </cell>
          <cell r="F73">
            <v>1</v>
          </cell>
          <cell r="G73" t="str">
            <v>ja</v>
          </cell>
          <cell r="H73" t="str">
            <v>14-1. 爆煙を起こす者</v>
          </cell>
          <cell r="J73" t="str">
            <v>NULL</v>
          </cell>
          <cell r="K73">
            <v>8</v>
          </cell>
          <cell r="L73">
            <v>860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1</v>
          </cell>
          <cell r="R73">
            <v>3</v>
          </cell>
          <cell r="S73" t="str">
            <v>none</v>
          </cell>
          <cell r="T73">
            <v>0</v>
          </cell>
          <cell r="U73">
            <v>13</v>
          </cell>
          <cell r="V73">
            <v>6</v>
          </cell>
          <cell r="W73" t="str">
            <v>13-6. 【1回のみ】ボーナスステージ</v>
          </cell>
          <cell r="X73">
            <v>1</v>
          </cell>
          <cell r="Y73">
            <v>0</v>
          </cell>
          <cell r="Z73">
            <v>0</v>
          </cell>
          <cell r="AA73">
            <v>0</v>
          </cell>
          <cell r="AB73" t="str">
            <v>anytime</v>
          </cell>
          <cell r="AC73">
            <v>14</v>
          </cell>
          <cell r="AD73">
            <v>6</v>
          </cell>
          <cell r="AE73" t="str">
            <v>everyone</v>
          </cell>
        </row>
        <row r="74">
          <cell r="A74" t="str">
            <v>14_2</v>
          </cell>
          <cell r="B74">
            <v>3</v>
          </cell>
          <cell r="C74">
            <v>14</v>
          </cell>
          <cell r="D74" t="str">
            <v>14．機械都市マッシュ</v>
          </cell>
          <cell r="E74" t="str">
            <v>赤DL3</v>
          </cell>
          <cell r="F74">
            <v>2</v>
          </cell>
          <cell r="G74" t="str">
            <v>ja</v>
          </cell>
          <cell r="H74" t="str">
            <v>14-2. 燃える息</v>
          </cell>
          <cell r="J74" t="str">
            <v>NULL</v>
          </cell>
          <cell r="K74">
            <v>8</v>
          </cell>
          <cell r="L74">
            <v>900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1</v>
          </cell>
          <cell r="R74">
            <v>3</v>
          </cell>
          <cell r="S74" t="str">
            <v>none</v>
          </cell>
          <cell r="T74">
            <v>0</v>
          </cell>
          <cell r="U74">
            <v>14</v>
          </cell>
          <cell r="V74">
            <v>1</v>
          </cell>
          <cell r="W74" t="str">
            <v>14-1. 爆煙を起こす者</v>
          </cell>
          <cell r="X74">
            <v>1</v>
          </cell>
          <cell r="Y74">
            <v>0</v>
          </cell>
          <cell r="Z74">
            <v>0</v>
          </cell>
          <cell r="AA74">
            <v>0</v>
          </cell>
          <cell r="AB74" t="str">
            <v>anytime</v>
          </cell>
          <cell r="AC74">
            <v>14</v>
          </cell>
          <cell r="AD74">
            <v>6</v>
          </cell>
          <cell r="AE74" t="str">
            <v>everyone</v>
          </cell>
        </row>
        <row r="75">
          <cell r="A75" t="str">
            <v>14_3</v>
          </cell>
          <cell r="B75">
            <v>3</v>
          </cell>
          <cell r="C75">
            <v>14</v>
          </cell>
          <cell r="D75" t="str">
            <v>14．機械都市マッシュ</v>
          </cell>
          <cell r="E75" t="str">
            <v>赤DL3</v>
          </cell>
          <cell r="F75">
            <v>3</v>
          </cell>
          <cell r="G75" t="str">
            <v>ja</v>
          </cell>
          <cell r="H75" t="str">
            <v>14-3. 力隠す門番</v>
          </cell>
          <cell r="J75" t="str">
            <v>NULL</v>
          </cell>
          <cell r="K75">
            <v>9</v>
          </cell>
          <cell r="L75">
            <v>980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3</v>
          </cell>
          <cell r="S75" t="str">
            <v>none</v>
          </cell>
          <cell r="T75">
            <v>0</v>
          </cell>
          <cell r="U75">
            <v>14</v>
          </cell>
          <cell r="V75">
            <v>2</v>
          </cell>
          <cell r="W75" t="str">
            <v>14-2. 燃える息</v>
          </cell>
          <cell r="X75">
            <v>1</v>
          </cell>
          <cell r="Y75">
            <v>0</v>
          </cell>
          <cell r="Z75">
            <v>0</v>
          </cell>
          <cell r="AA75">
            <v>0</v>
          </cell>
          <cell r="AB75" t="str">
            <v>anytime</v>
          </cell>
          <cell r="AC75">
            <v>14</v>
          </cell>
          <cell r="AD75">
            <v>6</v>
          </cell>
          <cell r="AE75" t="str">
            <v>everyone</v>
          </cell>
        </row>
        <row r="76">
          <cell r="A76" t="str">
            <v>14_4</v>
          </cell>
          <cell r="B76">
            <v>3</v>
          </cell>
          <cell r="C76">
            <v>14</v>
          </cell>
          <cell r="D76" t="str">
            <v>14．機械都市マッシュ</v>
          </cell>
          <cell r="E76" t="str">
            <v>赤DL3</v>
          </cell>
          <cell r="F76">
            <v>4</v>
          </cell>
          <cell r="G76" t="str">
            <v>ja</v>
          </cell>
          <cell r="H76" t="str">
            <v>14-4. 不規則な酒乱</v>
          </cell>
          <cell r="J76" t="str">
            <v>NULL</v>
          </cell>
          <cell r="K76">
            <v>10</v>
          </cell>
          <cell r="L76">
            <v>1060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3</v>
          </cell>
          <cell r="S76" t="str">
            <v>none</v>
          </cell>
          <cell r="T76">
            <v>0</v>
          </cell>
          <cell r="U76">
            <v>14</v>
          </cell>
          <cell r="V76">
            <v>3</v>
          </cell>
          <cell r="W76" t="str">
            <v>14-3. 力隠す門番</v>
          </cell>
          <cell r="X76">
            <v>1</v>
          </cell>
          <cell r="Y76">
            <v>0</v>
          </cell>
          <cell r="Z76">
            <v>0</v>
          </cell>
          <cell r="AA76">
            <v>0</v>
          </cell>
          <cell r="AB76" t="str">
            <v>anytime</v>
          </cell>
          <cell r="AC76">
            <v>14</v>
          </cell>
          <cell r="AD76">
            <v>6</v>
          </cell>
          <cell r="AE76" t="str">
            <v>everyone</v>
          </cell>
        </row>
        <row r="77">
          <cell r="A77" t="str">
            <v>14_5</v>
          </cell>
          <cell r="B77">
            <v>3</v>
          </cell>
          <cell r="C77">
            <v>14</v>
          </cell>
          <cell r="D77" t="str">
            <v>14．機械都市マッシュ</v>
          </cell>
          <cell r="E77" t="str">
            <v>赤DL3</v>
          </cell>
          <cell r="F77">
            <v>5</v>
          </cell>
          <cell r="G77" t="str">
            <v>ja</v>
          </cell>
          <cell r="H77" t="str">
            <v>14-5. 重機駆ける逆徒</v>
          </cell>
          <cell r="J77" t="str">
            <v>NULL</v>
          </cell>
          <cell r="K77">
            <v>14</v>
          </cell>
          <cell r="L77">
            <v>1320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3</v>
          </cell>
          <cell r="S77" t="str">
            <v>none</v>
          </cell>
          <cell r="T77">
            <v>0</v>
          </cell>
          <cell r="U77">
            <v>14</v>
          </cell>
          <cell r="V77">
            <v>4</v>
          </cell>
          <cell r="W77" t="str">
            <v>14-4. 不規則な酒乱</v>
          </cell>
          <cell r="X77">
            <v>1</v>
          </cell>
          <cell r="Y77">
            <v>0</v>
          </cell>
          <cell r="Z77">
            <v>0</v>
          </cell>
          <cell r="AA77">
            <v>0</v>
          </cell>
          <cell r="AB77" t="str">
            <v>anytime</v>
          </cell>
          <cell r="AC77">
            <v>14</v>
          </cell>
          <cell r="AD77">
            <v>6</v>
          </cell>
          <cell r="AE77" t="str">
            <v>everyone</v>
          </cell>
        </row>
        <row r="78">
          <cell r="A78" t="str">
            <v>14_6</v>
          </cell>
          <cell r="B78">
            <v>3</v>
          </cell>
          <cell r="C78">
            <v>14</v>
          </cell>
          <cell r="D78" t="str">
            <v>14．機械都市マッシュ</v>
          </cell>
          <cell r="E78" t="str">
            <v>赤DL3</v>
          </cell>
          <cell r="F78">
            <v>6</v>
          </cell>
          <cell r="G78" t="str">
            <v>ja</v>
          </cell>
          <cell r="H78" t="str">
            <v>14-6. 【1回のみ】ボーナスステージ</v>
          </cell>
          <cell r="I78" t="str">
            <v>ボーナス</v>
          </cell>
          <cell r="J78">
            <v>334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3</v>
          </cell>
          <cell r="S78" t="str">
            <v>none</v>
          </cell>
          <cell r="T78">
            <v>0</v>
          </cell>
          <cell r="U78">
            <v>14</v>
          </cell>
          <cell r="V78">
            <v>5</v>
          </cell>
          <cell r="W78" t="str">
            <v>14-5. 重機駆ける逆徒</v>
          </cell>
          <cell r="X78">
            <v>1</v>
          </cell>
          <cell r="Y78">
            <v>0</v>
          </cell>
          <cell r="Z78">
            <v>0</v>
          </cell>
          <cell r="AA78">
            <v>0</v>
          </cell>
          <cell r="AB78" t="str">
            <v>once</v>
          </cell>
          <cell r="AC78">
            <v>14</v>
          </cell>
          <cell r="AD78">
            <v>6</v>
          </cell>
          <cell r="AE78" t="str">
            <v>singleonly</v>
          </cell>
        </row>
        <row r="79">
          <cell r="A79" t="str">
            <v>15_1</v>
          </cell>
          <cell r="B79">
            <v>3</v>
          </cell>
          <cell r="C79">
            <v>15</v>
          </cell>
          <cell r="D79" t="str">
            <v>15．ハイサイスタジアム</v>
          </cell>
          <cell r="E79" t="str">
            <v>緑DL3</v>
          </cell>
          <cell r="F79">
            <v>1</v>
          </cell>
          <cell r="G79" t="str">
            <v>ja</v>
          </cell>
          <cell r="H79" t="str">
            <v>15-1. 先駆けの乱打</v>
          </cell>
          <cell r="J79" t="str">
            <v>NULL</v>
          </cell>
          <cell r="K79">
            <v>8</v>
          </cell>
          <cell r="L79">
            <v>920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3</v>
          </cell>
          <cell r="S79" t="str">
            <v>none</v>
          </cell>
          <cell r="T79">
            <v>0</v>
          </cell>
          <cell r="U79">
            <v>14</v>
          </cell>
          <cell r="V79">
            <v>6</v>
          </cell>
          <cell r="W79" t="str">
            <v>14-6. 【1回のみ】ボーナスステージ</v>
          </cell>
          <cell r="X79">
            <v>0</v>
          </cell>
          <cell r="Y79">
            <v>0</v>
          </cell>
          <cell r="Z79">
            <v>1</v>
          </cell>
          <cell r="AA79">
            <v>0</v>
          </cell>
          <cell r="AB79" t="str">
            <v>anytime</v>
          </cell>
          <cell r="AC79">
            <v>15</v>
          </cell>
          <cell r="AD79">
            <v>6</v>
          </cell>
          <cell r="AE79" t="str">
            <v>everyone</v>
          </cell>
        </row>
        <row r="80">
          <cell r="A80" t="str">
            <v>15_2</v>
          </cell>
          <cell r="B80">
            <v>3</v>
          </cell>
          <cell r="C80">
            <v>15</v>
          </cell>
          <cell r="D80" t="str">
            <v>15．ハイサイスタジアム</v>
          </cell>
          <cell r="E80" t="str">
            <v>緑DL3</v>
          </cell>
          <cell r="F80">
            <v>2</v>
          </cell>
          <cell r="G80" t="str">
            <v>ja</v>
          </cell>
          <cell r="H80" t="str">
            <v>15-2. 異星の参戦</v>
          </cell>
          <cell r="J80" t="str">
            <v>NULL</v>
          </cell>
          <cell r="K80">
            <v>8</v>
          </cell>
          <cell r="L80">
            <v>980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3</v>
          </cell>
          <cell r="S80" t="str">
            <v>none</v>
          </cell>
          <cell r="T80">
            <v>0</v>
          </cell>
          <cell r="U80">
            <v>15</v>
          </cell>
          <cell r="V80">
            <v>1</v>
          </cell>
          <cell r="W80" t="str">
            <v>15-1. 先駆けの乱打</v>
          </cell>
          <cell r="X80">
            <v>0</v>
          </cell>
          <cell r="Y80">
            <v>0</v>
          </cell>
          <cell r="Z80">
            <v>1</v>
          </cell>
          <cell r="AA80">
            <v>0</v>
          </cell>
          <cell r="AB80" t="str">
            <v>anytime</v>
          </cell>
          <cell r="AC80">
            <v>15</v>
          </cell>
          <cell r="AD80">
            <v>6</v>
          </cell>
          <cell r="AE80" t="str">
            <v>everyone</v>
          </cell>
        </row>
        <row r="81">
          <cell r="A81" t="str">
            <v>15_3</v>
          </cell>
          <cell r="B81">
            <v>3</v>
          </cell>
          <cell r="C81">
            <v>15</v>
          </cell>
          <cell r="D81" t="str">
            <v>15．ハイサイスタジアム</v>
          </cell>
          <cell r="E81" t="str">
            <v>緑DL3</v>
          </cell>
          <cell r="F81">
            <v>3</v>
          </cell>
          <cell r="G81" t="str">
            <v>ja</v>
          </cell>
          <cell r="H81" t="str">
            <v>15-3. シューティングレンジの美女</v>
          </cell>
          <cell r="J81" t="str">
            <v>NULL</v>
          </cell>
          <cell r="K81">
            <v>9</v>
          </cell>
          <cell r="L81">
            <v>1060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1</v>
          </cell>
          <cell r="R81">
            <v>3</v>
          </cell>
          <cell r="S81" t="str">
            <v>none</v>
          </cell>
          <cell r="T81">
            <v>0</v>
          </cell>
          <cell r="U81">
            <v>15</v>
          </cell>
          <cell r="V81">
            <v>2</v>
          </cell>
          <cell r="W81" t="str">
            <v>15-2. 異星の参戦</v>
          </cell>
          <cell r="X81">
            <v>0</v>
          </cell>
          <cell r="Y81">
            <v>0</v>
          </cell>
          <cell r="Z81">
            <v>1</v>
          </cell>
          <cell r="AA81">
            <v>0</v>
          </cell>
          <cell r="AB81" t="str">
            <v>anytime</v>
          </cell>
          <cell r="AC81">
            <v>15</v>
          </cell>
          <cell r="AD81">
            <v>6</v>
          </cell>
          <cell r="AE81" t="str">
            <v>everyone</v>
          </cell>
        </row>
        <row r="82">
          <cell r="A82" t="str">
            <v>15_4</v>
          </cell>
          <cell r="B82">
            <v>3</v>
          </cell>
          <cell r="C82">
            <v>15</v>
          </cell>
          <cell r="D82" t="str">
            <v>15．ハイサイスタジアム</v>
          </cell>
          <cell r="E82" t="str">
            <v>緑DL3</v>
          </cell>
          <cell r="F82">
            <v>4</v>
          </cell>
          <cell r="G82" t="str">
            <v>ja</v>
          </cell>
          <cell r="H82" t="str">
            <v>15-4. 無邪気な来客</v>
          </cell>
          <cell r="J82" t="str">
            <v>NULL</v>
          </cell>
          <cell r="K82">
            <v>10</v>
          </cell>
          <cell r="L82">
            <v>1220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3</v>
          </cell>
          <cell r="S82" t="str">
            <v>none</v>
          </cell>
          <cell r="T82">
            <v>0</v>
          </cell>
          <cell r="U82">
            <v>15</v>
          </cell>
          <cell r="V82">
            <v>3</v>
          </cell>
          <cell r="W82" t="str">
            <v>15-3. シューティングレンジの美女</v>
          </cell>
          <cell r="X82">
            <v>0</v>
          </cell>
          <cell r="Y82">
            <v>0</v>
          </cell>
          <cell r="Z82">
            <v>1</v>
          </cell>
          <cell r="AA82">
            <v>0</v>
          </cell>
          <cell r="AB82" t="str">
            <v>anytime</v>
          </cell>
          <cell r="AC82">
            <v>15</v>
          </cell>
          <cell r="AD82">
            <v>6</v>
          </cell>
          <cell r="AE82" t="str">
            <v>everyone</v>
          </cell>
        </row>
        <row r="83">
          <cell r="A83" t="str">
            <v>15_5</v>
          </cell>
          <cell r="B83">
            <v>3</v>
          </cell>
          <cell r="C83">
            <v>15</v>
          </cell>
          <cell r="D83" t="str">
            <v>15．ハイサイスタジアム</v>
          </cell>
          <cell r="E83" t="str">
            <v>緑DL3</v>
          </cell>
          <cell r="F83">
            <v>5</v>
          </cell>
          <cell r="G83" t="str">
            <v>ja</v>
          </cell>
          <cell r="H83" t="str">
            <v>15-5. 縁舞のメインイベント</v>
          </cell>
          <cell r="J83" t="str">
            <v>NULL</v>
          </cell>
          <cell r="K83">
            <v>14</v>
          </cell>
          <cell r="L83">
            <v>1510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1</v>
          </cell>
          <cell r="R83">
            <v>3</v>
          </cell>
          <cell r="S83" t="str">
            <v>none</v>
          </cell>
          <cell r="T83">
            <v>0</v>
          </cell>
          <cell r="U83">
            <v>15</v>
          </cell>
          <cell r="V83">
            <v>4</v>
          </cell>
          <cell r="W83" t="str">
            <v>15-4. 無邪気な来客</v>
          </cell>
          <cell r="X83">
            <v>0</v>
          </cell>
          <cell r="Y83">
            <v>0</v>
          </cell>
          <cell r="Z83">
            <v>1</v>
          </cell>
          <cell r="AA83">
            <v>0</v>
          </cell>
          <cell r="AB83" t="str">
            <v>anytime</v>
          </cell>
          <cell r="AC83">
            <v>15</v>
          </cell>
          <cell r="AD83">
            <v>6</v>
          </cell>
          <cell r="AE83" t="str">
            <v>everyone</v>
          </cell>
        </row>
        <row r="84">
          <cell r="A84" t="str">
            <v>15_6</v>
          </cell>
          <cell r="B84">
            <v>3</v>
          </cell>
          <cell r="C84">
            <v>15</v>
          </cell>
          <cell r="D84" t="str">
            <v>15．ハイサイスタジアム</v>
          </cell>
          <cell r="E84" t="str">
            <v>緑DL3</v>
          </cell>
          <cell r="F84">
            <v>6</v>
          </cell>
          <cell r="G84" t="str">
            <v>ja</v>
          </cell>
          <cell r="H84" t="str">
            <v>15-6. 【1回のみ】ボーナスステージ</v>
          </cell>
          <cell r="I84" t="str">
            <v>ボーナス</v>
          </cell>
          <cell r="J84">
            <v>338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3</v>
          </cell>
          <cell r="S84" t="str">
            <v>none</v>
          </cell>
          <cell r="T84">
            <v>0</v>
          </cell>
          <cell r="U84">
            <v>15</v>
          </cell>
          <cell r="V84">
            <v>5</v>
          </cell>
          <cell r="W84" t="str">
            <v>15-5. 縁舞のメインイベント</v>
          </cell>
          <cell r="X84">
            <v>0</v>
          </cell>
          <cell r="Y84">
            <v>0</v>
          </cell>
          <cell r="Z84">
            <v>1</v>
          </cell>
          <cell r="AA84">
            <v>0</v>
          </cell>
          <cell r="AB84" t="str">
            <v>once</v>
          </cell>
          <cell r="AC84">
            <v>15</v>
          </cell>
          <cell r="AD84">
            <v>6</v>
          </cell>
          <cell r="AE84" t="str">
            <v>singleonly</v>
          </cell>
        </row>
        <row r="85">
          <cell r="A85" t="str">
            <v>16_1</v>
          </cell>
          <cell r="B85">
            <v>3</v>
          </cell>
          <cell r="C85">
            <v>16</v>
          </cell>
          <cell r="D85" t="str">
            <v>16．H&amp;Gスイートハウス</v>
          </cell>
          <cell r="E85" t="str">
            <v>混色DL3</v>
          </cell>
          <cell r="F85">
            <v>1</v>
          </cell>
          <cell r="G85" t="str">
            <v>ja</v>
          </cell>
          <cell r="H85" t="str">
            <v>16-1. 侵入スイートハウス</v>
          </cell>
          <cell r="J85" t="str">
            <v>NULL</v>
          </cell>
          <cell r="K85">
            <v>9</v>
          </cell>
          <cell r="L85">
            <v>1200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1</v>
          </cell>
          <cell r="R85">
            <v>3</v>
          </cell>
          <cell r="S85" t="str">
            <v>none</v>
          </cell>
          <cell r="T85">
            <v>0</v>
          </cell>
          <cell r="U85">
            <v>15</v>
          </cell>
          <cell r="V85">
            <v>6</v>
          </cell>
          <cell r="W85" t="str">
            <v>15-6. 【1回のみ】ボーナスステージ</v>
          </cell>
          <cell r="X85">
            <v>1</v>
          </cell>
          <cell r="Y85">
            <v>1</v>
          </cell>
          <cell r="Z85">
            <v>1</v>
          </cell>
          <cell r="AA85">
            <v>1</v>
          </cell>
          <cell r="AB85" t="str">
            <v>anytime</v>
          </cell>
          <cell r="AC85">
            <v>16</v>
          </cell>
          <cell r="AD85">
            <v>6</v>
          </cell>
          <cell r="AE85" t="str">
            <v>everyone</v>
          </cell>
        </row>
        <row r="86">
          <cell r="A86" t="str">
            <v>16_2</v>
          </cell>
          <cell r="B86">
            <v>3</v>
          </cell>
          <cell r="C86">
            <v>16</v>
          </cell>
          <cell r="D86" t="str">
            <v>16．H&amp;Gスイートハウス</v>
          </cell>
          <cell r="E86" t="str">
            <v>混色DL3</v>
          </cell>
          <cell r="F86">
            <v>2</v>
          </cell>
          <cell r="G86" t="str">
            <v>ja</v>
          </cell>
          <cell r="H86" t="str">
            <v>16-2. ベタつく扉</v>
          </cell>
          <cell r="J86" t="str">
            <v>NULL</v>
          </cell>
          <cell r="K86">
            <v>9</v>
          </cell>
          <cell r="L86">
            <v>1280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1</v>
          </cell>
          <cell r="R86">
            <v>3</v>
          </cell>
          <cell r="S86" t="str">
            <v>none</v>
          </cell>
          <cell r="T86">
            <v>0</v>
          </cell>
          <cell r="U86">
            <v>16</v>
          </cell>
          <cell r="V86">
            <v>1</v>
          </cell>
          <cell r="W86" t="str">
            <v>16-1. 侵入スイートハウス</v>
          </cell>
          <cell r="X86">
            <v>1</v>
          </cell>
          <cell r="Y86">
            <v>1</v>
          </cell>
          <cell r="Z86">
            <v>1</v>
          </cell>
          <cell r="AA86">
            <v>1</v>
          </cell>
          <cell r="AB86" t="str">
            <v>anytime</v>
          </cell>
          <cell r="AC86">
            <v>16</v>
          </cell>
          <cell r="AD86">
            <v>6</v>
          </cell>
          <cell r="AE86" t="str">
            <v>everyone</v>
          </cell>
        </row>
        <row r="87">
          <cell r="A87" t="str">
            <v>16_3</v>
          </cell>
          <cell r="B87">
            <v>3</v>
          </cell>
          <cell r="C87">
            <v>16</v>
          </cell>
          <cell r="D87" t="str">
            <v>16．H&amp;Gスイートハウス</v>
          </cell>
          <cell r="E87" t="str">
            <v>混色DL3</v>
          </cell>
          <cell r="F87">
            <v>3</v>
          </cell>
          <cell r="G87" t="str">
            <v>ja</v>
          </cell>
          <cell r="H87" t="str">
            <v>16-3. 甘くて危険な空間</v>
          </cell>
          <cell r="J87" t="str">
            <v>NULL</v>
          </cell>
          <cell r="K87">
            <v>10</v>
          </cell>
          <cell r="L87">
            <v>1360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1</v>
          </cell>
          <cell r="R87">
            <v>3</v>
          </cell>
          <cell r="S87" t="str">
            <v>none</v>
          </cell>
          <cell r="T87">
            <v>0</v>
          </cell>
          <cell r="U87">
            <v>16</v>
          </cell>
          <cell r="V87">
            <v>2</v>
          </cell>
          <cell r="W87" t="str">
            <v>16-2. ベタつく扉</v>
          </cell>
          <cell r="X87">
            <v>1</v>
          </cell>
          <cell r="Y87">
            <v>1</v>
          </cell>
          <cell r="Z87">
            <v>1</v>
          </cell>
          <cell r="AA87">
            <v>1</v>
          </cell>
          <cell r="AB87" t="str">
            <v>anytime</v>
          </cell>
          <cell r="AC87">
            <v>16</v>
          </cell>
          <cell r="AD87">
            <v>6</v>
          </cell>
          <cell r="AE87" t="str">
            <v>everyone</v>
          </cell>
        </row>
        <row r="88">
          <cell r="A88" t="str">
            <v>16_4</v>
          </cell>
          <cell r="B88">
            <v>3</v>
          </cell>
          <cell r="C88">
            <v>16</v>
          </cell>
          <cell r="D88" t="str">
            <v>16．H&amp;Gスイートハウス</v>
          </cell>
          <cell r="E88" t="str">
            <v>混色DL3</v>
          </cell>
          <cell r="F88">
            <v>4</v>
          </cell>
          <cell r="G88" t="str">
            <v>ja</v>
          </cell>
          <cell r="H88" t="str">
            <v>16-4. 戦慄のシュガーハイ</v>
          </cell>
          <cell r="J88" t="str">
            <v>NULL</v>
          </cell>
          <cell r="K88">
            <v>11</v>
          </cell>
          <cell r="L88">
            <v>1580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1</v>
          </cell>
          <cell r="R88">
            <v>3</v>
          </cell>
          <cell r="S88" t="str">
            <v>none</v>
          </cell>
          <cell r="T88">
            <v>0</v>
          </cell>
          <cell r="U88">
            <v>16</v>
          </cell>
          <cell r="V88">
            <v>3</v>
          </cell>
          <cell r="W88" t="str">
            <v>16-3. 甘くて危険な空間</v>
          </cell>
          <cell r="X88">
            <v>1</v>
          </cell>
          <cell r="Y88">
            <v>1</v>
          </cell>
          <cell r="Z88">
            <v>1</v>
          </cell>
          <cell r="AA88">
            <v>1</v>
          </cell>
          <cell r="AB88" t="str">
            <v>anytime</v>
          </cell>
          <cell r="AC88">
            <v>16</v>
          </cell>
          <cell r="AD88">
            <v>6</v>
          </cell>
          <cell r="AE88" t="str">
            <v>everyone</v>
          </cell>
        </row>
        <row r="89">
          <cell r="A89" t="str">
            <v>16_5</v>
          </cell>
          <cell r="B89">
            <v>3</v>
          </cell>
          <cell r="C89">
            <v>16</v>
          </cell>
          <cell r="D89" t="str">
            <v>16．H&amp;Gスイートハウス</v>
          </cell>
          <cell r="E89" t="str">
            <v>混色DL3</v>
          </cell>
          <cell r="F89">
            <v>5</v>
          </cell>
          <cell r="G89" t="str">
            <v>ja</v>
          </cell>
          <cell r="H89" t="str">
            <v>16-5. プディングに狂気を添えて</v>
          </cell>
          <cell r="J89" t="str">
            <v>NULL</v>
          </cell>
          <cell r="K89">
            <v>16</v>
          </cell>
          <cell r="L89">
            <v>2110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3</v>
          </cell>
          <cell r="S89" t="str">
            <v>none</v>
          </cell>
          <cell r="T89">
            <v>0</v>
          </cell>
          <cell r="U89">
            <v>16</v>
          </cell>
          <cell r="V89">
            <v>4</v>
          </cell>
          <cell r="W89" t="str">
            <v>16-4. 戦慄のシュガーハイ</v>
          </cell>
          <cell r="X89">
            <v>1</v>
          </cell>
          <cell r="Y89">
            <v>1</v>
          </cell>
          <cell r="Z89">
            <v>1</v>
          </cell>
          <cell r="AA89">
            <v>1</v>
          </cell>
          <cell r="AB89" t="str">
            <v>anytime</v>
          </cell>
          <cell r="AC89">
            <v>16</v>
          </cell>
          <cell r="AD89">
            <v>6</v>
          </cell>
          <cell r="AE89" t="str">
            <v>everyone</v>
          </cell>
        </row>
        <row r="90">
          <cell r="A90" t="str">
            <v>16_6</v>
          </cell>
          <cell r="B90">
            <v>3</v>
          </cell>
          <cell r="C90">
            <v>16</v>
          </cell>
          <cell r="D90" t="str">
            <v>16．H&amp;Gスイートハウス</v>
          </cell>
          <cell r="E90" t="str">
            <v>混色DL3</v>
          </cell>
          <cell r="F90">
            <v>6</v>
          </cell>
          <cell r="G90" t="str">
            <v>ja</v>
          </cell>
          <cell r="H90" t="str">
            <v>16-6. 【1回のみ】ボーナスステージ</v>
          </cell>
          <cell r="I90" t="str">
            <v>ボーナス</v>
          </cell>
          <cell r="J90">
            <v>125</v>
          </cell>
          <cell r="K90">
            <v>1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1</v>
          </cell>
          <cell r="R90">
            <v>3</v>
          </cell>
          <cell r="S90" t="str">
            <v>none</v>
          </cell>
          <cell r="T90">
            <v>0</v>
          </cell>
          <cell r="U90">
            <v>16</v>
          </cell>
          <cell r="V90">
            <v>5</v>
          </cell>
          <cell r="W90" t="str">
            <v>16-5. プディングに狂気を添えて</v>
          </cell>
          <cell r="X90">
            <v>1</v>
          </cell>
          <cell r="Y90">
            <v>1</v>
          </cell>
          <cell r="Z90">
            <v>1</v>
          </cell>
          <cell r="AA90">
            <v>1</v>
          </cell>
          <cell r="AB90" t="str">
            <v>once</v>
          </cell>
          <cell r="AC90">
            <v>16</v>
          </cell>
          <cell r="AD90">
            <v>6</v>
          </cell>
          <cell r="AE90" t="str">
            <v>singleonly</v>
          </cell>
        </row>
        <row r="91">
          <cell r="A91" t="str">
            <v>17_1</v>
          </cell>
          <cell r="B91">
            <v>3</v>
          </cell>
          <cell r="C91">
            <v>17</v>
          </cell>
          <cell r="D91" t="str">
            <v>17．エナリオス海中神殿</v>
          </cell>
          <cell r="E91" t="str">
            <v>青DL4</v>
          </cell>
          <cell r="F91">
            <v>1</v>
          </cell>
          <cell r="G91" t="str">
            <v>ja</v>
          </cell>
          <cell r="H91" t="str">
            <v>17-1. 見捨てられた神殿</v>
          </cell>
          <cell r="J91" t="str">
            <v>NULL</v>
          </cell>
          <cell r="K91">
            <v>9</v>
          </cell>
          <cell r="L91">
            <v>1020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1</v>
          </cell>
          <cell r="R91">
            <v>3</v>
          </cell>
          <cell r="S91" t="str">
            <v>none</v>
          </cell>
          <cell r="T91">
            <v>0</v>
          </cell>
          <cell r="U91">
            <v>16</v>
          </cell>
          <cell r="V91">
            <v>6</v>
          </cell>
          <cell r="W91" t="str">
            <v>16-6. 【1回のみ】ボーナスステージ</v>
          </cell>
          <cell r="X91">
            <v>0</v>
          </cell>
          <cell r="Y91">
            <v>1</v>
          </cell>
          <cell r="Z91">
            <v>0</v>
          </cell>
          <cell r="AA91">
            <v>0</v>
          </cell>
          <cell r="AB91" t="str">
            <v>anytime</v>
          </cell>
          <cell r="AC91">
            <v>17</v>
          </cell>
          <cell r="AD91">
            <v>6</v>
          </cell>
          <cell r="AE91" t="str">
            <v>everyone</v>
          </cell>
        </row>
        <row r="92">
          <cell r="A92" t="str">
            <v>17_2</v>
          </cell>
          <cell r="B92">
            <v>3</v>
          </cell>
          <cell r="C92">
            <v>17</v>
          </cell>
          <cell r="D92" t="str">
            <v>17．エナリオス海中神殿</v>
          </cell>
          <cell r="E92" t="str">
            <v>青DL4</v>
          </cell>
          <cell r="F92">
            <v>2</v>
          </cell>
          <cell r="G92" t="str">
            <v>ja</v>
          </cell>
          <cell r="H92" t="str">
            <v>17-2. 窒息クライシス</v>
          </cell>
          <cell r="J92" t="str">
            <v>NULL</v>
          </cell>
          <cell r="K92">
            <v>9</v>
          </cell>
          <cell r="L92">
            <v>1100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1</v>
          </cell>
          <cell r="R92">
            <v>3</v>
          </cell>
          <cell r="S92" t="str">
            <v>none</v>
          </cell>
          <cell r="T92">
            <v>0</v>
          </cell>
          <cell r="U92">
            <v>17</v>
          </cell>
          <cell r="V92">
            <v>1</v>
          </cell>
          <cell r="W92" t="str">
            <v>17-1. 見捨てられた神殿</v>
          </cell>
          <cell r="X92">
            <v>0</v>
          </cell>
          <cell r="Y92">
            <v>1</v>
          </cell>
          <cell r="Z92">
            <v>0</v>
          </cell>
          <cell r="AA92">
            <v>0</v>
          </cell>
          <cell r="AB92" t="str">
            <v>anytime</v>
          </cell>
          <cell r="AC92">
            <v>17</v>
          </cell>
          <cell r="AD92">
            <v>6</v>
          </cell>
          <cell r="AE92" t="str">
            <v>everyone</v>
          </cell>
        </row>
        <row r="93">
          <cell r="A93" t="str">
            <v>17_3</v>
          </cell>
          <cell r="B93">
            <v>3</v>
          </cell>
          <cell r="C93">
            <v>17</v>
          </cell>
          <cell r="D93" t="str">
            <v>17．エナリオス海中神殿</v>
          </cell>
          <cell r="E93" t="str">
            <v>青DL4</v>
          </cell>
          <cell r="F93">
            <v>3</v>
          </cell>
          <cell r="G93" t="str">
            <v>ja</v>
          </cell>
          <cell r="H93" t="str">
            <v>17-3. 激流の守護龍</v>
          </cell>
          <cell r="J93" t="str">
            <v>NULL</v>
          </cell>
          <cell r="K93">
            <v>10</v>
          </cell>
          <cell r="L93">
            <v>1150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1</v>
          </cell>
          <cell r="R93">
            <v>3</v>
          </cell>
          <cell r="S93" t="str">
            <v>none</v>
          </cell>
          <cell r="T93">
            <v>0</v>
          </cell>
          <cell r="U93">
            <v>17</v>
          </cell>
          <cell r="V93">
            <v>2</v>
          </cell>
          <cell r="W93" t="str">
            <v>17-2. 窒息クライシス</v>
          </cell>
          <cell r="X93">
            <v>0</v>
          </cell>
          <cell r="Y93">
            <v>1</v>
          </cell>
          <cell r="Z93">
            <v>0</v>
          </cell>
          <cell r="AA93">
            <v>0</v>
          </cell>
          <cell r="AB93" t="str">
            <v>anytime</v>
          </cell>
          <cell r="AC93">
            <v>17</v>
          </cell>
          <cell r="AD93">
            <v>6</v>
          </cell>
          <cell r="AE93" t="str">
            <v>everyone</v>
          </cell>
        </row>
        <row r="94">
          <cell r="A94" t="str">
            <v>17_4</v>
          </cell>
          <cell r="B94">
            <v>3</v>
          </cell>
          <cell r="C94">
            <v>17</v>
          </cell>
          <cell r="D94" t="str">
            <v>17．エナリオス海中神殿</v>
          </cell>
          <cell r="E94" t="str">
            <v>青DL4</v>
          </cell>
          <cell r="F94">
            <v>4</v>
          </cell>
          <cell r="G94" t="str">
            <v>ja</v>
          </cell>
          <cell r="H94" t="str">
            <v>17-4. 正確無比の弾道</v>
          </cell>
          <cell r="J94" t="str">
            <v>NULL</v>
          </cell>
          <cell r="K94">
            <v>11</v>
          </cell>
          <cell r="L94">
            <v>1320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1</v>
          </cell>
          <cell r="R94">
            <v>3</v>
          </cell>
          <cell r="S94" t="str">
            <v>none</v>
          </cell>
          <cell r="T94">
            <v>0</v>
          </cell>
          <cell r="U94">
            <v>17</v>
          </cell>
          <cell r="V94">
            <v>3</v>
          </cell>
          <cell r="W94" t="str">
            <v>17-3. 激流の守護龍</v>
          </cell>
          <cell r="X94">
            <v>0</v>
          </cell>
          <cell r="Y94">
            <v>1</v>
          </cell>
          <cell r="Z94">
            <v>0</v>
          </cell>
          <cell r="AA94">
            <v>0</v>
          </cell>
          <cell r="AB94" t="str">
            <v>anytime</v>
          </cell>
          <cell r="AC94">
            <v>17</v>
          </cell>
          <cell r="AD94">
            <v>6</v>
          </cell>
          <cell r="AE94" t="str">
            <v>everyone</v>
          </cell>
        </row>
        <row r="95">
          <cell r="A95" t="str">
            <v>17_5</v>
          </cell>
          <cell r="B95">
            <v>3</v>
          </cell>
          <cell r="C95">
            <v>17</v>
          </cell>
          <cell r="D95" t="str">
            <v>17．エナリオス海中神殿</v>
          </cell>
          <cell r="E95" t="str">
            <v>青DL4</v>
          </cell>
          <cell r="F95">
            <v>5</v>
          </cell>
          <cell r="G95" t="str">
            <v>ja</v>
          </cell>
          <cell r="H95" t="str">
            <v>17-5. 水面に映る月閃</v>
          </cell>
          <cell r="J95" t="str">
            <v>NULL</v>
          </cell>
          <cell r="K95">
            <v>15</v>
          </cell>
          <cell r="L95">
            <v>1650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1</v>
          </cell>
          <cell r="R95">
            <v>3</v>
          </cell>
          <cell r="S95" t="str">
            <v>none</v>
          </cell>
          <cell r="T95">
            <v>0</v>
          </cell>
          <cell r="U95">
            <v>17</v>
          </cell>
          <cell r="V95">
            <v>4</v>
          </cell>
          <cell r="W95" t="str">
            <v>17-4. 正確無比の弾道</v>
          </cell>
          <cell r="X95">
            <v>0</v>
          </cell>
          <cell r="Y95">
            <v>1</v>
          </cell>
          <cell r="Z95">
            <v>0</v>
          </cell>
          <cell r="AA95">
            <v>0</v>
          </cell>
          <cell r="AB95" t="str">
            <v>anytime</v>
          </cell>
          <cell r="AC95">
            <v>17</v>
          </cell>
          <cell r="AD95">
            <v>6</v>
          </cell>
          <cell r="AE95" t="str">
            <v>everyone</v>
          </cell>
        </row>
        <row r="96">
          <cell r="A96" t="str">
            <v>17_6</v>
          </cell>
          <cell r="B96">
            <v>3</v>
          </cell>
          <cell r="C96">
            <v>17</v>
          </cell>
          <cell r="D96" t="str">
            <v>17．エナリオス海中神殿</v>
          </cell>
          <cell r="E96" t="str">
            <v>青DL4</v>
          </cell>
          <cell r="F96">
            <v>6</v>
          </cell>
          <cell r="G96" t="str">
            <v>ja</v>
          </cell>
          <cell r="H96" t="str">
            <v>17-6. 【1回のみ】ボーナスステージ</v>
          </cell>
          <cell r="I96" t="str">
            <v>ボーナス</v>
          </cell>
          <cell r="J96">
            <v>342</v>
          </cell>
          <cell r="K96">
            <v>1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1</v>
          </cell>
          <cell r="R96">
            <v>3</v>
          </cell>
          <cell r="S96" t="str">
            <v>none</v>
          </cell>
          <cell r="T96">
            <v>0</v>
          </cell>
          <cell r="U96">
            <v>17</v>
          </cell>
          <cell r="V96">
            <v>5</v>
          </cell>
          <cell r="W96" t="str">
            <v>17-5. 水面に映る月閃</v>
          </cell>
          <cell r="X96">
            <v>0</v>
          </cell>
          <cell r="Y96">
            <v>1</v>
          </cell>
          <cell r="Z96">
            <v>0</v>
          </cell>
          <cell r="AA96">
            <v>0</v>
          </cell>
          <cell r="AB96" t="str">
            <v>once</v>
          </cell>
          <cell r="AC96">
            <v>17</v>
          </cell>
          <cell r="AD96">
            <v>6</v>
          </cell>
          <cell r="AE96" t="str">
            <v>singleonly</v>
          </cell>
        </row>
        <row r="97">
          <cell r="A97" t="str">
            <v>18_1</v>
          </cell>
          <cell r="B97">
            <v>3</v>
          </cell>
          <cell r="C97">
            <v>18</v>
          </cell>
          <cell r="D97" t="str">
            <v>18．アリスボウル</v>
          </cell>
          <cell r="E97" t="str">
            <v>赤DL4</v>
          </cell>
          <cell r="F97">
            <v>1</v>
          </cell>
          <cell r="G97" t="str">
            <v>ja</v>
          </cell>
          <cell r="H97" t="str">
            <v>18-1. 幽閉されし者</v>
          </cell>
          <cell r="J97" t="str">
            <v>NULL</v>
          </cell>
          <cell r="K97">
            <v>9</v>
          </cell>
          <cell r="L97">
            <v>1040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1</v>
          </cell>
          <cell r="R97">
            <v>3</v>
          </cell>
          <cell r="S97" t="str">
            <v>none</v>
          </cell>
          <cell r="T97">
            <v>0</v>
          </cell>
          <cell r="U97">
            <v>17</v>
          </cell>
          <cell r="V97">
            <v>6</v>
          </cell>
          <cell r="W97" t="str">
            <v>17-6. 【1回のみ】ボーナスステージ</v>
          </cell>
          <cell r="X97">
            <v>1</v>
          </cell>
          <cell r="Y97">
            <v>0</v>
          </cell>
          <cell r="Z97">
            <v>0</v>
          </cell>
          <cell r="AA97">
            <v>0</v>
          </cell>
          <cell r="AB97" t="str">
            <v>anytime</v>
          </cell>
          <cell r="AC97">
            <v>18</v>
          </cell>
          <cell r="AD97">
            <v>6</v>
          </cell>
          <cell r="AE97" t="str">
            <v>everyone</v>
          </cell>
        </row>
        <row r="98">
          <cell r="A98" t="str">
            <v>18_2</v>
          </cell>
          <cell r="B98">
            <v>3</v>
          </cell>
          <cell r="C98">
            <v>18</v>
          </cell>
          <cell r="D98" t="str">
            <v>18．アリスボウル</v>
          </cell>
          <cell r="E98" t="str">
            <v>赤DL4</v>
          </cell>
          <cell r="F98">
            <v>2</v>
          </cell>
          <cell r="G98" t="str">
            <v>ja</v>
          </cell>
          <cell r="H98" t="str">
            <v>18-2. ストライクへの道</v>
          </cell>
          <cell r="J98" t="str">
            <v>NULL</v>
          </cell>
          <cell r="K98">
            <v>9</v>
          </cell>
          <cell r="L98">
            <v>1120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1</v>
          </cell>
          <cell r="R98">
            <v>3</v>
          </cell>
          <cell r="S98" t="str">
            <v>none</v>
          </cell>
          <cell r="T98">
            <v>0</v>
          </cell>
          <cell r="U98">
            <v>18</v>
          </cell>
          <cell r="V98">
            <v>1</v>
          </cell>
          <cell r="W98" t="str">
            <v>18-1. 幽閉されし者</v>
          </cell>
          <cell r="X98">
            <v>1</v>
          </cell>
          <cell r="Y98">
            <v>0</v>
          </cell>
          <cell r="Z98">
            <v>0</v>
          </cell>
          <cell r="AA98">
            <v>0</v>
          </cell>
          <cell r="AB98" t="str">
            <v>anytime</v>
          </cell>
          <cell r="AC98">
            <v>18</v>
          </cell>
          <cell r="AD98">
            <v>6</v>
          </cell>
          <cell r="AE98" t="str">
            <v>everyone</v>
          </cell>
        </row>
        <row r="99">
          <cell r="A99" t="str">
            <v>18_3</v>
          </cell>
          <cell r="B99">
            <v>3</v>
          </cell>
          <cell r="C99">
            <v>18</v>
          </cell>
          <cell r="D99" t="str">
            <v>18．アリスボウル</v>
          </cell>
          <cell r="E99" t="str">
            <v>赤DL4</v>
          </cell>
          <cell r="F99">
            <v>3</v>
          </cell>
          <cell r="G99" t="str">
            <v>ja</v>
          </cell>
          <cell r="H99" t="str">
            <v>18-3. 猛熱の試練</v>
          </cell>
          <cell r="J99" t="str">
            <v>NULL</v>
          </cell>
          <cell r="K99">
            <v>10</v>
          </cell>
          <cell r="L99">
            <v>1200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1</v>
          </cell>
          <cell r="R99">
            <v>3</v>
          </cell>
          <cell r="S99" t="str">
            <v>none</v>
          </cell>
          <cell r="T99">
            <v>0</v>
          </cell>
          <cell r="U99">
            <v>18</v>
          </cell>
          <cell r="V99">
            <v>2</v>
          </cell>
          <cell r="W99" t="str">
            <v>18-2. ストライクへの道</v>
          </cell>
          <cell r="X99">
            <v>1</v>
          </cell>
          <cell r="Y99">
            <v>0</v>
          </cell>
          <cell r="Z99">
            <v>0</v>
          </cell>
          <cell r="AA99">
            <v>0</v>
          </cell>
          <cell r="AB99" t="str">
            <v>anytime</v>
          </cell>
          <cell r="AC99">
            <v>18</v>
          </cell>
          <cell r="AD99">
            <v>6</v>
          </cell>
          <cell r="AE99" t="str">
            <v>everyone</v>
          </cell>
        </row>
        <row r="100">
          <cell r="A100" t="str">
            <v>18_4</v>
          </cell>
          <cell r="B100">
            <v>3</v>
          </cell>
          <cell r="C100">
            <v>18</v>
          </cell>
          <cell r="D100" t="str">
            <v>18．アリスボウル</v>
          </cell>
          <cell r="E100" t="str">
            <v>赤DL4</v>
          </cell>
          <cell r="F100">
            <v>4</v>
          </cell>
          <cell r="G100" t="str">
            <v>ja</v>
          </cell>
          <cell r="H100" t="str">
            <v>18-4. 不可避の弾丸</v>
          </cell>
          <cell r="J100" t="str">
            <v>NULL</v>
          </cell>
          <cell r="K100">
            <v>11</v>
          </cell>
          <cell r="L100">
            <v>1350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1</v>
          </cell>
          <cell r="R100">
            <v>3</v>
          </cell>
          <cell r="S100" t="str">
            <v>none</v>
          </cell>
          <cell r="T100">
            <v>0</v>
          </cell>
          <cell r="U100">
            <v>18</v>
          </cell>
          <cell r="V100">
            <v>3</v>
          </cell>
          <cell r="W100" t="str">
            <v>18-3. 猛熱の試練</v>
          </cell>
          <cell r="X100">
            <v>1</v>
          </cell>
          <cell r="Y100">
            <v>0</v>
          </cell>
          <cell r="Z100">
            <v>0</v>
          </cell>
          <cell r="AA100">
            <v>0</v>
          </cell>
          <cell r="AB100" t="str">
            <v>anytime</v>
          </cell>
          <cell r="AC100">
            <v>18</v>
          </cell>
          <cell r="AD100">
            <v>6</v>
          </cell>
          <cell r="AE100" t="str">
            <v>everyone</v>
          </cell>
        </row>
        <row r="101">
          <cell r="A101" t="str">
            <v>18_5</v>
          </cell>
          <cell r="B101">
            <v>3</v>
          </cell>
          <cell r="C101">
            <v>18</v>
          </cell>
          <cell r="D101" t="str">
            <v>18．アリスボウル</v>
          </cell>
          <cell r="E101" t="str">
            <v>赤DL4</v>
          </cell>
          <cell r="F101">
            <v>5</v>
          </cell>
          <cell r="G101" t="str">
            <v>ja</v>
          </cell>
          <cell r="H101" t="str">
            <v>18-5. 解き放たれし焔神</v>
          </cell>
          <cell r="J101" t="str">
            <v>NULL</v>
          </cell>
          <cell r="K101">
            <v>15</v>
          </cell>
          <cell r="L101">
            <v>1680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1</v>
          </cell>
          <cell r="R101">
            <v>3</v>
          </cell>
          <cell r="S101" t="str">
            <v>none</v>
          </cell>
          <cell r="T101">
            <v>0</v>
          </cell>
          <cell r="U101">
            <v>18</v>
          </cell>
          <cell r="V101">
            <v>4</v>
          </cell>
          <cell r="W101" t="str">
            <v>18-4. 不可避の弾丸</v>
          </cell>
          <cell r="X101">
            <v>1</v>
          </cell>
          <cell r="Y101">
            <v>0</v>
          </cell>
          <cell r="Z101">
            <v>0</v>
          </cell>
          <cell r="AA101">
            <v>0</v>
          </cell>
          <cell r="AB101" t="str">
            <v>anytime</v>
          </cell>
          <cell r="AC101">
            <v>18</v>
          </cell>
          <cell r="AD101">
            <v>6</v>
          </cell>
          <cell r="AE101" t="str">
            <v>everyone</v>
          </cell>
        </row>
        <row r="102">
          <cell r="A102" t="str">
            <v>18_6</v>
          </cell>
          <cell r="B102">
            <v>3</v>
          </cell>
          <cell r="C102">
            <v>18</v>
          </cell>
          <cell r="D102" t="str">
            <v>18．アリスボウル</v>
          </cell>
          <cell r="E102" t="str">
            <v>赤DL4</v>
          </cell>
          <cell r="F102">
            <v>6</v>
          </cell>
          <cell r="G102" t="str">
            <v>ja</v>
          </cell>
          <cell r="H102" t="str">
            <v>18-6. 【1回のみ】ボーナスステージ</v>
          </cell>
          <cell r="I102" t="str">
            <v>ボーナス</v>
          </cell>
          <cell r="J102">
            <v>334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1</v>
          </cell>
          <cell r="R102">
            <v>3</v>
          </cell>
          <cell r="S102" t="str">
            <v>none</v>
          </cell>
          <cell r="T102">
            <v>0</v>
          </cell>
          <cell r="U102">
            <v>18</v>
          </cell>
          <cell r="V102">
            <v>5</v>
          </cell>
          <cell r="W102" t="str">
            <v>18-5. 解き放たれし焔神</v>
          </cell>
          <cell r="X102">
            <v>1</v>
          </cell>
          <cell r="Y102">
            <v>0</v>
          </cell>
          <cell r="Z102">
            <v>0</v>
          </cell>
          <cell r="AA102">
            <v>0</v>
          </cell>
          <cell r="AB102" t="str">
            <v>once</v>
          </cell>
          <cell r="AC102">
            <v>18</v>
          </cell>
          <cell r="AD102">
            <v>6</v>
          </cell>
          <cell r="AE102" t="str">
            <v>singleonly</v>
          </cell>
        </row>
        <row r="103">
          <cell r="A103" t="str">
            <v>19_1</v>
          </cell>
          <cell r="B103">
            <v>3</v>
          </cell>
          <cell r="C103">
            <v>19</v>
          </cell>
          <cell r="D103" t="str">
            <v>19．アレイスター王立図書館</v>
          </cell>
          <cell r="E103" t="str">
            <v>緑DL4</v>
          </cell>
          <cell r="F103">
            <v>1</v>
          </cell>
          <cell r="G103" t="str">
            <v>ja</v>
          </cell>
          <cell r="H103" t="str">
            <v>19-1. 庭園の主</v>
          </cell>
          <cell r="J103" t="str">
            <v>NULL</v>
          </cell>
          <cell r="K103">
            <v>9</v>
          </cell>
          <cell r="L103">
            <v>1130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1</v>
          </cell>
          <cell r="R103">
            <v>3</v>
          </cell>
          <cell r="S103" t="str">
            <v>none</v>
          </cell>
          <cell r="T103">
            <v>0</v>
          </cell>
          <cell r="U103">
            <v>18</v>
          </cell>
          <cell r="V103">
            <v>6</v>
          </cell>
          <cell r="W103" t="str">
            <v>18-6. 【1回のみ】ボーナスステージ</v>
          </cell>
          <cell r="X103">
            <v>0</v>
          </cell>
          <cell r="Y103">
            <v>0</v>
          </cell>
          <cell r="Z103">
            <v>1</v>
          </cell>
          <cell r="AA103">
            <v>0</v>
          </cell>
          <cell r="AB103" t="str">
            <v>anytime</v>
          </cell>
          <cell r="AC103">
            <v>19</v>
          </cell>
          <cell r="AD103">
            <v>6</v>
          </cell>
          <cell r="AE103" t="str">
            <v>everyone</v>
          </cell>
        </row>
        <row r="104">
          <cell r="A104" t="str">
            <v>19_2</v>
          </cell>
          <cell r="B104">
            <v>3</v>
          </cell>
          <cell r="C104">
            <v>19</v>
          </cell>
          <cell r="D104" t="str">
            <v>19．アレイスター王立図書館</v>
          </cell>
          <cell r="E104" t="str">
            <v>緑DL4</v>
          </cell>
          <cell r="F104">
            <v>2</v>
          </cell>
          <cell r="G104" t="str">
            <v>ja</v>
          </cell>
          <cell r="H104" t="str">
            <v>19-2. 館内はお静かに</v>
          </cell>
          <cell r="J104" t="str">
            <v>NULL</v>
          </cell>
          <cell r="K104">
            <v>9</v>
          </cell>
          <cell r="L104">
            <v>1200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1</v>
          </cell>
          <cell r="R104">
            <v>3</v>
          </cell>
          <cell r="S104" t="str">
            <v>none</v>
          </cell>
          <cell r="T104">
            <v>0</v>
          </cell>
          <cell r="U104">
            <v>19</v>
          </cell>
          <cell r="V104">
            <v>1</v>
          </cell>
          <cell r="W104" t="str">
            <v>19-1. 庭園の主</v>
          </cell>
          <cell r="X104">
            <v>0</v>
          </cell>
          <cell r="Y104">
            <v>0</v>
          </cell>
          <cell r="Z104">
            <v>1</v>
          </cell>
          <cell r="AA104">
            <v>0</v>
          </cell>
          <cell r="AB104" t="str">
            <v>anytime</v>
          </cell>
          <cell r="AC104">
            <v>19</v>
          </cell>
          <cell r="AD104">
            <v>6</v>
          </cell>
          <cell r="AE104" t="str">
            <v>everyone</v>
          </cell>
        </row>
        <row r="105">
          <cell r="A105" t="str">
            <v>19_3</v>
          </cell>
          <cell r="B105">
            <v>3</v>
          </cell>
          <cell r="C105">
            <v>19</v>
          </cell>
          <cell r="D105" t="str">
            <v>19．アレイスター王立図書館</v>
          </cell>
          <cell r="E105" t="str">
            <v>緑DL4</v>
          </cell>
          <cell r="F105">
            <v>3</v>
          </cell>
          <cell r="G105" t="str">
            <v>ja</v>
          </cell>
          <cell r="H105" t="str">
            <v>19-3. 動かざる者</v>
          </cell>
          <cell r="J105" t="str">
            <v>NULL</v>
          </cell>
          <cell r="K105">
            <v>10</v>
          </cell>
          <cell r="L105">
            <v>1250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1</v>
          </cell>
          <cell r="R105">
            <v>3</v>
          </cell>
          <cell r="S105" t="str">
            <v>none</v>
          </cell>
          <cell r="T105">
            <v>0</v>
          </cell>
          <cell r="U105">
            <v>19</v>
          </cell>
          <cell r="V105">
            <v>2</v>
          </cell>
          <cell r="W105" t="str">
            <v>19-2. 館内はお静かに</v>
          </cell>
          <cell r="X105">
            <v>0</v>
          </cell>
          <cell r="Y105">
            <v>0</v>
          </cell>
          <cell r="Z105">
            <v>1</v>
          </cell>
          <cell r="AA105">
            <v>0</v>
          </cell>
          <cell r="AB105" t="str">
            <v>anytime</v>
          </cell>
          <cell r="AC105">
            <v>19</v>
          </cell>
          <cell r="AD105">
            <v>6</v>
          </cell>
          <cell r="AE105" t="str">
            <v>everyone</v>
          </cell>
        </row>
        <row r="106">
          <cell r="A106" t="str">
            <v>19_4</v>
          </cell>
          <cell r="B106">
            <v>3</v>
          </cell>
          <cell r="C106">
            <v>19</v>
          </cell>
          <cell r="D106" t="str">
            <v>19．アレイスター王立図書館</v>
          </cell>
          <cell r="E106" t="str">
            <v>緑DL4</v>
          </cell>
          <cell r="F106">
            <v>4</v>
          </cell>
          <cell r="G106" t="str">
            <v>ja</v>
          </cell>
          <cell r="H106" t="str">
            <v>19-4. けたたましい来館</v>
          </cell>
          <cell r="J106" t="str">
            <v>NULL</v>
          </cell>
          <cell r="K106">
            <v>11</v>
          </cell>
          <cell r="L106">
            <v>1440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1</v>
          </cell>
          <cell r="R106">
            <v>3</v>
          </cell>
          <cell r="S106" t="str">
            <v>none</v>
          </cell>
          <cell r="T106">
            <v>0</v>
          </cell>
          <cell r="U106">
            <v>19</v>
          </cell>
          <cell r="V106">
            <v>3</v>
          </cell>
          <cell r="W106" t="str">
            <v>19-3. 動かざる者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 t="str">
            <v>anytime</v>
          </cell>
          <cell r="AC106">
            <v>19</v>
          </cell>
          <cell r="AD106">
            <v>6</v>
          </cell>
          <cell r="AE106" t="str">
            <v>everyone</v>
          </cell>
        </row>
        <row r="107">
          <cell r="A107" t="str">
            <v>19_5</v>
          </cell>
          <cell r="B107">
            <v>3</v>
          </cell>
          <cell r="C107">
            <v>19</v>
          </cell>
          <cell r="D107" t="str">
            <v>19．アレイスター王立図書館</v>
          </cell>
          <cell r="E107" t="str">
            <v>緑DL4</v>
          </cell>
          <cell r="F107">
            <v>5</v>
          </cell>
          <cell r="G107" t="str">
            <v>ja</v>
          </cell>
          <cell r="H107" t="str">
            <v>19-5. 庭園主の包囲網</v>
          </cell>
          <cell r="J107" t="str">
            <v>NULL</v>
          </cell>
          <cell r="K107">
            <v>15</v>
          </cell>
          <cell r="L107">
            <v>1880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1</v>
          </cell>
          <cell r="R107">
            <v>3</v>
          </cell>
          <cell r="S107" t="str">
            <v>none</v>
          </cell>
          <cell r="T107">
            <v>0</v>
          </cell>
          <cell r="U107">
            <v>19</v>
          </cell>
          <cell r="V107">
            <v>4</v>
          </cell>
          <cell r="W107" t="str">
            <v>19-4. けたたましい来館</v>
          </cell>
          <cell r="X107">
            <v>0</v>
          </cell>
          <cell r="Y107">
            <v>0</v>
          </cell>
          <cell r="Z107">
            <v>1</v>
          </cell>
          <cell r="AA107">
            <v>0</v>
          </cell>
          <cell r="AB107" t="str">
            <v>anytime</v>
          </cell>
          <cell r="AC107">
            <v>19</v>
          </cell>
          <cell r="AD107">
            <v>6</v>
          </cell>
          <cell r="AE107" t="str">
            <v>everyone</v>
          </cell>
        </row>
        <row r="108">
          <cell r="A108" t="str">
            <v>19_6</v>
          </cell>
          <cell r="B108">
            <v>3</v>
          </cell>
          <cell r="C108">
            <v>19</v>
          </cell>
          <cell r="D108" t="str">
            <v>19．アレイスター王立図書館</v>
          </cell>
          <cell r="E108" t="str">
            <v>緑DL4</v>
          </cell>
          <cell r="F108">
            <v>6</v>
          </cell>
          <cell r="G108" t="str">
            <v>ja</v>
          </cell>
          <cell r="H108" t="str">
            <v>19-6. 【1回のみ】ボーナスステージ</v>
          </cell>
          <cell r="I108" t="str">
            <v>ボーナス</v>
          </cell>
          <cell r="J108">
            <v>338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1</v>
          </cell>
          <cell r="R108">
            <v>3</v>
          </cell>
          <cell r="S108" t="str">
            <v>none</v>
          </cell>
          <cell r="T108">
            <v>0</v>
          </cell>
          <cell r="U108">
            <v>19</v>
          </cell>
          <cell r="V108">
            <v>5</v>
          </cell>
          <cell r="W108" t="str">
            <v>19-5. 庭園主の包囲網</v>
          </cell>
          <cell r="X108">
            <v>0</v>
          </cell>
          <cell r="Y108">
            <v>0</v>
          </cell>
          <cell r="Z108">
            <v>1</v>
          </cell>
          <cell r="AA108">
            <v>0</v>
          </cell>
          <cell r="AB108" t="str">
            <v>once</v>
          </cell>
          <cell r="AC108">
            <v>19</v>
          </cell>
          <cell r="AD108">
            <v>6</v>
          </cell>
          <cell r="AE108" t="str">
            <v>singleonly</v>
          </cell>
        </row>
        <row r="109">
          <cell r="A109" t="str">
            <v>20_1</v>
          </cell>
          <cell r="B109">
            <v>3</v>
          </cell>
          <cell r="C109">
            <v>20</v>
          </cell>
          <cell r="D109" t="str">
            <v>20．コロシアム</v>
          </cell>
          <cell r="E109" t="str">
            <v>黄DL4</v>
          </cell>
          <cell r="F109">
            <v>1</v>
          </cell>
          <cell r="G109" t="str">
            <v>ja</v>
          </cell>
          <cell r="H109" t="str">
            <v>20-1. 星空からの降臨</v>
          </cell>
          <cell r="J109" t="str">
            <v>NULL</v>
          </cell>
          <cell r="K109">
            <v>9</v>
          </cell>
          <cell r="L109">
            <v>1240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1</v>
          </cell>
          <cell r="R109">
            <v>3</v>
          </cell>
          <cell r="S109" t="str">
            <v>none</v>
          </cell>
          <cell r="T109">
            <v>0</v>
          </cell>
          <cell r="U109">
            <v>19</v>
          </cell>
          <cell r="V109">
            <v>6</v>
          </cell>
          <cell r="W109" t="str">
            <v>19-6. 【1回のみ】ボーナスステージ</v>
          </cell>
          <cell r="X109">
            <v>0</v>
          </cell>
          <cell r="Y109">
            <v>0</v>
          </cell>
          <cell r="Z109">
            <v>0</v>
          </cell>
          <cell r="AA109">
            <v>1</v>
          </cell>
          <cell r="AB109" t="str">
            <v>anytime</v>
          </cell>
          <cell r="AC109">
            <v>20</v>
          </cell>
          <cell r="AD109">
            <v>6</v>
          </cell>
          <cell r="AE109" t="str">
            <v>everyone</v>
          </cell>
        </row>
        <row r="110">
          <cell r="A110" t="str">
            <v>20_2</v>
          </cell>
          <cell r="B110">
            <v>3</v>
          </cell>
          <cell r="C110">
            <v>20</v>
          </cell>
          <cell r="D110" t="str">
            <v>20．コロシアム</v>
          </cell>
          <cell r="E110" t="str">
            <v>黄DL4</v>
          </cell>
          <cell r="F110">
            <v>2</v>
          </cell>
          <cell r="G110" t="str">
            <v>ja</v>
          </cell>
          <cell r="H110" t="str">
            <v>20-2. 終わりなき連戦</v>
          </cell>
          <cell r="J110" t="str">
            <v>NULL</v>
          </cell>
          <cell r="K110">
            <v>9</v>
          </cell>
          <cell r="L110">
            <v>1280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1</v>
          </cell>
          <cell r="R110">
            <v>3</v>
          </cell>
          <cell r="S110" t="str">
            <v>none</v>
          </cell>
          <cell r="T110">
            <v>0</v>
          </cell>
          <cell r="U110">
            <v>20</v>
          </cell>
          <cell r="V110">
            <v>1</v>
          </cell>
          <cell r="W110" t="str">
            <v>20-1. 星空からの降臨</v>
          </cell>
          <cell r="X110">
            <v>0</v>
          </cell>
          <cell r="Y110">
            <v>0</v>
          </cell>
          <cell r="Z110">
            <v>0</v>
          </cell>
          <cell r="AA110">
            <v>1</v>
          </cell>
          <cell r="AB110" t="str">
            <v>anytime</v>
          </cell>
          <cell r="AC110">
            <v>20</v>
          </cell>
          <cell r="AD110">
            <v>6</v>
          </cell>
          <cell r="AE110" t="str">
            <v>everyone</v>
          </cell>
        </row>
        <row r="111">
          <cell r="A111" t="str">
            <v>20_3</v>
          </cell>
          <cell r="B111">
            <v>3</v>
          </cell>
          <cell r="C111">
            <v>20</v>
          </cell>
          <cell r="D111" t="str">
            <v>20．コロシアム</v>
          </cell>
          <cell r="E111" t="str">
            <v>黄DL4</v>
          </cell>
          <cell r="F111">
            <v>3</v>
          </cell>
          <cell r="G111" t="str">
            <v>ja</v>
          </cell>
          <cell r="H111" t="str">
            <v>20-3. 身の凍る眼力</v>
          </cell>
          <cell r="J111" t="str">
            <v>NULL</v>
          </cell>
          <cell r="K111">
            <v>10</v>
          </cell>
          <cell r="L111">
            <v>1320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1</v>
          </cell>
          <cell r="R111">
            <v>3</v>
          </cell>
          <cell r="S111" t="str">
            <v>none</v>
          </cell>
          <cell r="T111">
            <v>0</v>
          </cell>
          <cell r="U111">
            <v>20</v>
          </cell>
          <cell r="V111">
            <v>2</v>
          </cell>
          <cell r="W111" t="str">
            <v>20-2. 終わりなき連戦</v>
          </cell>
          <cell r="X111">
            <v>0</v>
          </cell>
          <cell r="Y111">
            <v>0</v>
          </cell>
          <cell r="Z111">
            <v>0</v>
          </cell>
          <cell r="AA111">
            <v>1</v>
          </cell>
          <cell r="AB111" t="str">
            <v>anytime</v>
          </cell>
          <cell r="AC111">
            <v>20</v>
          </cell>
          <cell r="AD111">
            <v>6</v>
          </cell>
          <cell r="AE111" t="str">
            <v>everyone</v>
          </cell>
        </row>
        <row r="112">
          <cell r="A112" t="str">
            <v>20_4</v>
          </cell>
          <cell r="B112">
            <v>3</v>
          </cell>
          <cell r="C112">
            <v>20</v>
          </cell>
          <cell r="D112" t="str">
            <v>20．コロシアム</v>
          </cell>
          <cell r="E112" t="str">
            <v>黄DL4</v>
          </cell>
          <cell r="F112">
            <v>4</v>
          </cell>
          <cell r="G112" t="str">
            <v>ja</v>
          </cell>
          <cell r="H112" t="str">
            <v>20-4. 悪魔と踊る輪舞曲</v>
          </cell>
          <cell r="J112" t="str">
            <v>NULL</v>
          </cell>
          <cell r="K112">
            <v>11</v>
          </cell>
          <cell r="L112">
            <v>1560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1</v>
          </cell>
          <cell r="R112">
            <v>3</v>
          </cell>
          <cell r="S112" t="str">
            <v>none</v>
          </cell>
          <cell r="T112">
            <v>0</v>
          </cell>
          <cell r="U112">
            <v>20</v>
          </cell>
          <cell r="V112">
            <v>3</v>
          </cell>
          <cell r="W112" t="str">
            <v>20-3. 身の凍る眼力</v>
          </cell>
          <cell r="X112">
            <v>0</v>
          </cell>
          <cell r="Y112">
            <v>0</v>
          </cell>
          <cell r="Z112">
            <v>0</v>
          </cell>
          <cell r="AA112">
            <v>1</v>
          </cell>
          <cell r="AB112" t="str">
            <v>anytime</v>
          </cell>
          <cell r="AC112">
            <v>20</v>
          </cell>
          <cell r="AD112">
            <v>6</v>
          </cell>
          <cell r="AE112" t="str">
            <v>everyone</v>
          </cell>
        </row>
        <row r="113">
          <cell r="A113" t="str">
            <v>20_5</v>
          </cell>
          <cell r="B113">
            <v>3</v>
          </cell>
          <cell r="C113">
            <v>20</v>
          </cell>
          <cell r="D113" t="str">
            <v>20．コロシアム</v>
          </cell>
          <cell r="E113" t="str">
            <v>黄DL4</v>
          </cell>
          <cell r="F113">
            <v>5</v>
          </cell>
          <cell r="G113" t="str">
            <v>ja</v>
          </cell>
          <cell r="H113" t="str">
            <v>20-5. 空から降る数多の星</v>
          </cell>
          <cell r="J113" t="str">
            <v>NULL</v>
          </cell>
          <cell r="K113">
            <v>15</v>
          </cell>
          <cell r="L113">
            <v>2050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1</v>
          </cell>
          <cell r="R113">
            <v>3</v>
          </cell>
          <cell r="S113" t="str">
            <v>none</v>
          </cell>
          <cell r="T113">
            <v>0</v>
          </cell>
          <cell r="U113">
            <v>20</v>
          </cell>
          <cell r="V113">
            <v>4</v>
          </cell>
          <cell r="W113" t="str">
            <v>20-4. 悪魔と踊る輪舞曲</v>
          </cell>
          <cell r="X113">
            <v>0</v>
          </cell>
          <cell r="Y113">
            <v>0</v>
          </cell>
          <cell r="Z113">
            <v>0</v>
          </cell>
          <cell r="AA113">
            <v>1</v>
          </cell>
          <cell r="AB113" t="str">
            <v>anytime</v>
          </cell>
          <cell r="AC113">
            <v>20</v>
          </cell>
          <cell r="AD113">
            <v>6</v>
          </cell>
          <cell r="AE113" t="str">
            <v>everyone</v>
          </cell>
        </row>
        <row r="114">
          <cell r="A114" t="str">
            <v>20_6</v>
          </cell>
          <cell r="B114">
            <v>3</v>
          </cell>
          <cell r="C114">
            <v>20</v>
          </cell>
          <cell r="D114" t="str">
            <v>20．コロシアム</v>
          </cell>
          <cell r="E114" t="str">
            <v>黄DL4</v>
          </cell>
          <cell r="F114">
            <v>6</v>
          </cell>
          <cell r="G114" t="str">
            <v>ja</v>
          </cell>
          <cell r="H114" t="str">
            <v>20-6. 【1回のみ】ボーナスステージ</v>
          </cell>
          <cell r="I114" t="str">
            <v>ボーナス</v>
          </cell>
          <cell r="J114">
            <v>346</v>
          </cell>
          <cell r="K114">
            <v>1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1</v>
          </cell>
          <cell r="R114">
            <v>3</v>
          </cell>
          <cell r="S114" t="str">
            <v>none</v>
          </cell>
          <cell r="T114">
            <v>0</v>
          </cell>
          <cell r="U114">
            <v>20</v>
          </cell>
          <cell r="V114">
            <v>5</v>
          </cell>
          <cell r="W114" t="str">
            <v>20-5. 空から降る数多の星</v>
          </cell>
          <cell r="X114">
            <v>0</v>
          </cell>
          <cell r="Y114">
            <v>0</v>
          </cell>
          <cell r="Z114">
            <v>0</v>
          </cell>
          <cell r="AA114">
            <v>1</v>
          </cell>
          <cell r="AB114" t="str">
            <v>once</v>
          </cell>
          <cell r="AC114">
            <v>20</v>
          </cell>
          <cell r="AD114">
            <v>6</v>
          </cell>
          <cell r="AE114" t="str">
            <v>singleonly</v>
          </cell>
        </row>
        <row r="115">
          <cell r="A115" t="str">
            <v>21_1</v>
          </cell>
          <cell r="B115">
            <v>3</v>
          </cell>
          <cell r="C115">
            <v>21</v>
          </cell>
          <cell r="D115" t="str">
            <v>21．胡蝶舞う植物園</v>
          </cell>
          <cell r="E115" t="str">
            <v>混色DL4</v>
          </cell>
          <cell r="F115">
            <v>1</v>
          </cell>
          <cell r="G115" t="str">
            <v>ja</v>
          </cell>
          <cell r="H115" t="str">
            <v>21-1. 花園の誘い</v>
          </cell>
          <cell r="J115" t="str">
            <v>NULL</v>
          </cell>
          <cell r="K115">
            <v>10</v>
          </cell>
          <cell r="L115">
            <v>1620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1</v>
          </cell>
          <cell r="R115">
            <v>3</v>
          </cell>
          <cell r="S115" t="str">
            <v>none</v>
          </cell>
          <cell r="T115">
            <v>0</v>
          </cell>
          <cell r="U115">
            <v>20</v>
          </cell>
          <cell r="V115">
            <v>6</v>
          </cell>
          <cell r="W115" t="str">
            <v>20-6. 【1回のみ】ボーナスステージ</v>
          </cell>
          <cell r="X115">
            <v>1</v>
          </cell>
          <cell r="Y115">
            <v>1</v>
          </cell>
          <cell r="Z115">
            <v>1</v>
          </cell>
          <cell r="AA115">
            <v>1</v>
          </cell>
          <cell r="AB115" t="str">
            <v>anytime</v>
          </cell>
          <cell r="AC115">
            <v>21</v>
          </cell>
          <cell r="AD115">
            <v>6</v>
          </cell>
          <cell r="AE115" t="str">
            <v>everyone</v>
          </cell>
        </row>
        <row r="116">
          <cell r="A116" t="str">
            <v>21_2</v>
          </cell>
          <cell r="B116">
            <v>3</v>
          </cell>
          <cell r="C116">
            <v>21</v>
          </cell>
          <cell r="D116" t="str">
            <v>21．胡蝶舞う植物園</v>
          </cell>
          <cell r="E116" t="str">
            <v>混色DL4</v>
          </cell>
          <cell r="F116">
            <v>2</v>
          </cell>
          <cell r="G116" t="str">
            <v>ja</v>
          </cell>
          <cell r="H116" t="str">
            <v>21-2. 華やかなる迎撃</v>
          </cell>
          <cell r="J116" t="str">
            <v>NULL</v>
          </cell>
          <cell r="K116">
            <v>11</v>
          </cell>
          <cell r="L116">
            <v>1760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1</v>
          </cell>
          <cell r="R116">
            <v>3</v>
          </cell>
          <cell r="S116" t="str">
            <v>none</v>
          </cell>
          <cell r="T116">
            <v>0</v>
          </cell>
          <cell r="U116">
            <v>21</v>
          </cell>
          <cell r="V116">
            <v>1</v>
          </cell>
          <cell r="W116" t="str">
            <v>21-1. 花園の誘い</v>
          </cell>
          <cell r="X116">
            <v>1</v>
          </cell>
          <cell r="Y116">
            <v>1</v>
          </cell>
          <cell r="Z116">
            <v>1</v>
          </cell>
          <cell r="AA116">
            <v>1</v>
          </cell>
          <cell r="AB116" t="str">
            <v>anytime</v>
          </cell>
          <cell r="AC116">
            <v>21</v>
          </cell>
          <cell r="AD116">
            <v>6</v>
          </cell>
          <cell r="AE116" t="str">
            <v>everyone</v>
          </cell>
        </row>
        <row r="117">
          <cell r="A117" t="str">
            <v>21_3</v>
          </cell>
          <cell r="B117">
            <v>3</v>
          </cell>
          <cell r="C117">
            <v>21</v>
          </cell>
          <cell r="D117" t="str">
            <v>21．胡蝶舞う植物園</v>
          </cell>
          <cell r="E117" t="str">
            <v>混色DL4</v>
          </cell>
          <cell r="F117">
            <v>3</v>
          </cell>
          <cell r="G117" t="str">
            <v>ja</v>
          </cell>
          <cell r="H117" t="str">
            <v>21-3. 物言わぬ猛攻</v>
          </cell>
          <cell r="J117" t="str">
            <v>NULL</v>
          </cell>
          <cell r="K117">
            <v>13</v>
          </cell>
          <cell r="L117">
            <v>2010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1</v>
          </cell>
          <cell r="R117">
            <v>3</v>
          </cell>
          <cell r="S117" t="str">
            <v>none</v>
          </cell>
          <cell r="T117">
            <v>0</v>
          </cell>
          <cell r="U117">
            <v>21</v>
          </cell>
          <cell r="V117">
            <v>2</v>
          </cell>
          <cell r="W117" t="str">
            <v>21-2. 華やかなる迎撃</v>
          </cell>
          <cell r="X117">
            <v>1</v>
          </cell>
          <cell r="Y117">
            <v>1</v>
          </cell>
          <cell r="Z117">
            <v>1</v>
          </cell>
          <cell r="AA117">
            <v>1</v>
          </cell>
          <cell r="AB117" t="str">
            <v>anytime</v>
          </cell>
          <cell r="AC117">
            <v>21</v>
          </cell>
          <cell r="AD117">
            <v>6</v>
          </cell>
          <cell r="AE117" t="str">
            <v>everyone</v>
          </cell>
        </row>
        <row r="118">
          <cell r="A118" t="str">
            <v>21_4</v>
          </cell>
          <cell r="B118">
            <v>3</v>
          </cell>
          <cell r="C118">
            <v>21</v>
          </cell>
          <cell r="D118" t="str">
            <v>21．胡蝶舞う植物園</v>
          </cell>
          <cell r="E118" t="str">
            <v>混色DL4</v>
          </cell>
          <cell r="F118">
            <v>4</v>
          </cell>
          <cell r="G118" t="str">
            <v>ja</v>
          </cell>
          <cell r="H118" t="str">
            <v>21-4. 虹彩の軍団</v>
          </cell>
          <cell r="J118" t="str">
            <v>NULL</v>
          </cell>
          <cell r="K118">
            <v>15</v>
          </cell>
          <cell r="L118">
            <v>2400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1</v>
          </cell>
          <cell r="R118">
            <v>3</v>
          </cell>
          <cell r="S118" t="str">
            <v>none</v>
          </cell>
          <cell r="T118">
            <v>0</v>
          </cell>
          <cell r="U118">
            <v>21</v>
          </cell>
          <cell r="V118">
            <v>3</v>
          </cell>
          <cell r="W118" t="str">
            <v>21-3. 物言わぬ猛攻</v>
          </cell>
          <cell r="X118">
            <v>1</v>
          </cell>
          <cell r="Y118">
            <v>1</v>
          </cell>
          <cell r="Z118">
            <v>1</v>
          </cell>
          <cell r="AA118">
            <v>1</v>
          </cell>
          <cell r="AB118" t="str">
            <v>anytime</v>
          </cell>
          <cell r="AC118">
            <v>21</v>
          </cell>
          <cell r="AD118">
            <v>6</v>
          </cell>
          <cell r="AE118" t="str">
            <v>everyone</v>
          </cell>
        </row>
        <row r="119">
          <cell r="A119" t="str">
            <v>21_5</v>
          </cell>
          <cell r="B119">
            <v>3</v>
          </cell>
          <cell r="C119">
            <v>21</v>
          </cell>
          <cell r="D119" t="str">
            <v>21．胡蝶舞う植物園</v>
          </cell>
          <cell r="E119" t="str">
            <v>混色DL4</v>
          </cell>
          <cell r="F119">
            <v>5</v>
          </cell>
          <cell r="G119" t="str">
            <v>ja</v>
          </cell>
          <cell r="H119" t="str">
            <v>21-5. マスターオブエデン</v>
          </cell>
          <cell r="J119" t="str">
            <v>NULL</v>
          </cell>
          <cell r="K119">
            <v>20</v>
          </cell>
          <cell r="L119">
            <v>3100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1</v>
          </cell>
          <cell r="R119">
            <v>3</v>
          </cell>
          <cell r="S119" t="str">
            <v>none</v>
          </cell>
          <cell r="T119">
            <v>0</v>
          </cell>
          <cell r="U119">
            <v>21</v>
          </cell>
          <cell r="V119">
            <v>4</v>
          </cell>
          <cell r="W119" t="str">
            <v>21-4. 虹彩の軍団</v>
          </cell>
          <cell r="X119">
            <v>1</v>
          </cell>
          <cell r="Y119">
            <v>1</v>
          </cell>
          <cell r="Z119">
            <v>1</v>
          </cell>
          <cell r="AA119">
            <v>1</v>
          </cell>
          <cell r="AB119" t="str">
            <v>anytime</v>
          </cell>
          <cell r="AC119">
            <v>21</v>
          </cell>
          <cell r="AD119">
            <v>6</v>
          </cell>
          <cell r="AE119" t="str">
            <v>everyone</v>
          </cell>
        </row>
        <row r="120">
          <cell r="A120" t="str">
            <v>21_6</v>
          </cell>
          <cell r="B120">
            <v>3</v>
          </cell>
          <cell r="C120">
            <v>21</v>
          </cell>
          <cell r="D120" t="str">
            <v>21．胡蝶舞う植物園</v>
          </cell>
          <cell r="E120" t="str">
            <v>混色DL4</v>
          </cell>
          <cell r="F120">
            <v>6</v>
          </cell>
          <cell r="G120" t="str">
            <v>ja</v>
          </cell>
          <cell r="H120" t="str">
            <v>21-6. 【1回のみ】ボーナスステージ</v>
          </cell>
          <cell r="I120" t="str">
            <v>ボーナス</v>
          </cell>
          <cell r="J120">
            <v>125</v>
          </cell>
          <cell r="K120">
            <v>1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1</v>
          </cell>
          <cell r="R120">
            <v>3</v>
          </cell>
          <cell r="S120" t="str">
            <v>none</v>
          </cell>
          <cell r="T120">
            <v>0</v>
          </cell>
          <cell r="U120">
            <v>21</v>
          </cell>
          <cell r="V120">
            <v>5</v>
          </cell>
          <cell r="W120" t="str">
            <v>21-5. マスターオブエデン</v>
          </cell>
          <cell r="X120">
            <v>1</v>
          </cell>
          <cell r="Y120">
            <v>1</v>
          </cell>
          <cell r="Z120">
            <v>1</v>
          </cell>
          <cell r="AA120">
            <v>1</v>
          </cell>
          <cell r="AB120" t="str">
            <v>once</v>
          </cell>
          <cell r="AC120">
            <v>21</v>
          </cell>
          <cell r="AD120">
            <v>6</v>
          </cell>
          <cell r="AE120" t="str">
            <v>singleonly</v>
          </cell>
        </row>
        <row r="121">
          <cell r="A121" t="str">
            <v>22_1</v>
          </cell>
          <cell r="B121">
            <v>3</v>
          </cell>
          <cell r="C121">
            <v>22</v>
          </cell>
          <cell r="D121" t="str">
            <v>22．紫炎の例大祭</v>
          </cell>
          <cell r="E121" t="str">
            <v>赤DL5</v>
          </cell>
          <cell r="F121">
            <v>1</v>
          </cell>
          <cell r="G121" t="str">
            <v>ja</v>
          </cell>
          <cell r="H121" t="str">
            <v>22-1．開宴の遠吠え</v>
          </cell>
          <cell r="J121" t="str">
            <v>NULL</v>
          </cell>
          <cell r="K121">
            <v>15</v>
          </cell>
          <cell r="L121">
            <v>1520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1</v>
          </cell>
          <cell r="R121">
            <v>3</v>
          </cell>
          <cell r="S121" t="str">
            <v>none</v>
          </cell>
          <cell r="T121">
            <v>0</v>
          </cell>
          <cell r="U121">
            <v>21</v>
          </cell>
          <cell r="V121">
            <v>6</v>
          </cell>
          <cell r="W121" t="str">
            <v>21-6. 【1回のみ】ボーナスステージ</v>
          </cell>
          <cell r="X121">
            <v>1</v>
          </cell>
          <cell r="Y121">
            <v>1</v>
          </cell>
          <cell r="Z121">
            <v>0</v>
          </cell>
          <cell r="AA121">
            <v>0</v>
          </cell>
          <cell r="AB121" t="str">
            <v>anytime</v>
          </cell>
          <cell r="AC121">
            <v>22</v>
          </cell>
          <cell r="AD121">
            <v>6</v>
          </cell>
          <cell r="AE121" t="str">
            <v>everyone</v>
          </cell>
        </row>
        <row r="122">
          <cell r="A122" t="str">
            <v>22_2</v>
          </cell>
          <cell r="B122">
            <v>3</v>
          </cell>
          <cell r="C122">
            <v>22</v>
          </cell>
          <cell r="D122" t="str">
            <v>22．紫炎の例大祭</v>
          </cell>
          <cell r="E122" t="str">
            <v>赤DL5</v>
          </cell>
          <cell r="F122">
            <v>2</v>
          </cell>
          <cell r="G122" t="str">
            <v>ja</v>
          </cell>
          <cell r="H122" t="str">
            <v>22-2．排他的な案内人</v>
          </cell>
          <cell r="J122" t="str">
            <v>NULL</v>
          </cell>
          <cell r="K122">
            <v>15</v>
          </cell>
          <cell r="L122">
            <v>1640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1</v>
          </cell>
          <cell r="R122">
            <v>3</v>
          </cell>
          <cell r="S122" t="str">
            <v>none</v>
          </cell>
          <cell r="T122">
            <v>0</v>
          </cell>
          <cell r="U122">
            <v>22</v>
          </cell>
          <cell r="V122">
            <v>1</v>
          </cell>
          <cell r="W122" t="str">
            <v>22-1．開宴の遠吠え</v>
          </cell>
          <cell r="X122">
            <v>1</v>
          </cell>
          <cell r="Y122">
            <v>1</v>
          </cell>
          <cell r="Z122">
            <v>0</v>
          </cell>
          <cell r="AA122">
            <v>0</v>
          </cell>
          <cell r="AB122" t="str">
            <v>anytime</v>
          </cell>
          <cell r="AC122">
            <v>22</v>
          </cell>
          <cell r="AD122">
            <v>6</v>
          </cell>
          <cell r="AE122" t="str">
            <v>everyone</v>
          </cell>
        </row>
        <row r="123">
          <cell r="A123" t="str">
            <v>22_3</v>
          </cell>
          <cell r="B123">
            <v>3</v>
          </cell>
          <cell r="C123">
            <v>22</v>
          </cell>
          <cell r="D123" t="str">
            <v>22．紫炎の例大祭</v>
          </cell>
          <cell r="E123" t="str">
            <v>赤DL5</v>
          </cell>
          <cell r="F123">
            <v>3</v>
          </cell>
          <cell r="G123" t="str">
            <v>ja</v>
          </cell>
          <cell r="H123" t="str">
            <v>22-3．誘眠の鼓音</v>
          </cell>
          <cell r="J123" t="str">
            <v>NULL</v>
          </cell>
          <cell r="K123">
            <v>16</v>
          </cell>
          <cell r="L123">
            <v>1780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1</v>
          </cell>
          <cell r="R123">
            <v>3</v>
          </cell>
          <cell r="S123" t="str">
            <v>none</v>
          </cell>
          <cell r="T123">
            <v>0</v>
          </cell>
          <cell r="U123">
            <v>22</v>
          </cell>
          <cell r="V123">
            <v>2</v>
          </cell>
          <cell r="W123" t="str">
            <v>22-2．排他的な案内人</v>
          </cell>
          <cell r="X123">
            <v>1</v>
          </cell>
          <cell r="Y123">
            <v>1</v>
          </cell>
          <cell r="Z123">
            <v>0</v>
          </cell>
          <cell r="AA123">
            <v>0</v>
          </cell>
          <cell r="AB123" t="str">
            <v>anytime</v>
          </cell>
          <cell r="AC123">
            <v>22</v>
          </cell>
          <cell r="AD123">
            <v>6</v>
          </cell>
          <cell r="AE123" t="str">
            <v>everyone</v>
          </cell>
        </row>
        <row r="124">
          <cell r="A124" t="str">
            <v>22_4</v>
          </cell>
          <cell r="B124">
            <v>3</v>
          </cell>
          <cell r="C124">
            <v>22</v>
          </cell>
          <cell r="D124" t="str">
            <v>22．紫炎の例大祭</v>
          </cell>
          <cell r="E124" t="str">
            <v>赤DL5</v>
          </cell>
          <cell r="F124">
            <v>4</v>
          </cell>
          <cell r="G124" t="str">
            <v>ja</v>
          </cell>
          <cell r="H124" t="str">
            <v>22-4．聖火の啼き声</v>
          </cell>
          <cell r="J124" t="str">
            <v>NULL</v>
          </cell>
          <cell r="K124">
            <v>17</v>
          </cell>
          <cell r="L124">
            <v>1990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1</v>
          </cell>
          <cell r="R124">
            <v>3</v>
          </cell>
          <cell r="S124" t="str">
            <v>none</v>
          </cell>
          <cell r="T124">
            <v>0</v>
          </cell>
          <cell r="U124">
            <v>22</v>
          </cell>
          <cell r="V124">
            <v>3</v>
          </cell>
          <cell r="W124" t="str">
            <v>22-3．誘眠の鼓音</v>
          </cell>
          <cell r="X124">
            <v>1</v>
          </cell>
          <cell r="Y124">
            <v>1</v>
          </cell>
          <cell r="Z124">
            <v>0</v>
          </cell>
          <cell r="AA124">
            <v>0</v>
          </cell>
          <cell r="AB124" t="str">
            <v>anytime</v>
          </cell>
          <cell r="AC124">
            <v>22</v>
          </cell>
          <cell r="AD124">
            <v>6</v>
          </cell>
          <cell r="AE124" t="str">
            <v>everyone</v>
          </cell>
        </row>
        <row r="125">
          <cell r="A125" t="str">
            <v>22_5</v>
          </cell>
          <cell r="B125">
            <v>3</v>
          </cell>
          <cell r="C125">
            <v>22</v>
          </cell>
          <cell r="D125" t="str">
            <v>22．紫炎の例大祭</v>
          </cell>
          <cell r="E125" t="str">
            <v>赤DL5</v>
          </cell>
          <cell r="F125">
            <v>5</v>
          </cell>
          <cell r="G125" t="str">
            <v>ja</v>
          </cell>
          <cell r="H125" t="str">
            <v>22-5．真宴の月光</v>
          </cell>
          <cell r="J125" t="str">
            <v>NULL</v>
          </cell>
          <cell r="K125">
            <v>20</v>
          </cell>
          <cell r="L125">
            <v>2500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1</v>
          </cell>
          <cell r="R125">
            <v>3</v>
          </cell>
          <cell r="S125" t="str">
            <v>none</v>
          </cell>
          <cell r="T125">
            <v>0</v>
          </cell>
          <cell r="U125">
            <v>22</v>
          </cell>
          <cell r="V125">
            <v>4</v>
          </cell>
          <cell r="W125" t="str">
            <v>22-4．聖火の啼き声</v>
          </cell>
          <cell r="X125">
            <v>1</v>
          </cell>
          <cell r="Y125">
            <v>1</v>
          </cell>
          <cell r="Z125">
            <v>0</v>
          </cell>
          <cell r="AA125">
            <v>0</v>
          </cell>
          <cell r="AB125" t="str">
            <v>anytime</v>
          </cell>
          <cell r="AC125">
            <v>22</v>
          </cell>
          <cell r="AD125">
            <v>6</v>
          </cell>
          <cell r="AE125" t="str">
            <v>everyone</v>
          </cell>
        </row>
        <row r="126">
          <cell r="A126" t="str">
            <v>22_6</v>
          </cell>
          <cell r="B126">
            <v>3</v>
          </cell>
          <cell r="C126">
            <v>22</v>
          </cell>
          <cell r="D126" t="str">
            <v>22．紫炎の例大祭</v>
          </cell>
          <cell r="E126" t="str">
            <v>赤DL5</v>
          </cell>
          <cell r="F126">
            <v>6</v>
          </cell>
          <cell r="G126" t="str">
            <v>ja</v>
          </cell>
          <cell r="H126" t="str">
            <v>22-6．【1回のみ】ボーナスステージ</v>
          </cell>
          <cell r="I126" t="str">
            <v>ボーナス</v>
          </cell>
          <cell r="J126">
            <v>334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1</v>
          </cell>
          <cell r="R126">
            <v>3</v>
          </cell>
          <cell r="S126" t="str">
            <v>none</v>
          </cell>
          <cell r="T126">
            <v>0</v>
          </cell>
          <cell r="U126">
            <v>22</v>
          </cell>
          <cell r="V126">
            <v>5</v>
          </cell>
          <cell r="W126" t="str">
            <v>22-5．真宴の月光</v>
          </cell>
          <cell r="X126">
            <v>1</v>
          </cell>
          <cell r="Y126">
            <v>1</v>
          </cell>
          <cell r="Z126">
            <v>0</v>
          </cell>
          <cell r="AA126">
            <v>0</v>
          </cell>
          <cell r="AB126" t="str">
            <v>once</v>
          </cell>
          <cell r="AC126">
            <v>22</v>
          </cell>
          <cell r="AD126">
            <v>6</v>
          </cell>
          <cell r="AE126" t="str">
            <v>singleonly</v>
          </cell>
        </row>
        <row r="127">
          <cell r="A127" t="str">
            <v>23_1</v>
          </cell>
          <cell r="B127">
            <v>3</v>
          </cell>
          <cell r="C127">
            <v>23</v>
          </cell>
          <cell r="D127" t="str">
            <v>23．ファングフォレスト</v>
          </cell>
          <cell r="E127" t="str">
            <v>緑DL5</v>
          </cell>
          <cell r="F127">
            <v>1</v>
          </cell>
          <cell r="G127" t="str">
            <v>ja</v>
          </cell>
          <cell r="H127" t="str">
            <v>23-1．牙森の子どもたち</v>
          </cell>
          <cell r="J127" t="str">
            <v>NULL</v>
          </cell>
          <cell r="K127">
            <v>15</v>
          </cell>
          <cell r="L127">
            <v>1540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1</v>
          </cell>
          <cell r="R127">
            <v>3</v>
          </cell>
          <cell r="S127" t="str">
            <v>none</v>
          </cell>
          <cell r="T127">
            <v>0</v>
          </cell>
          <cell r="U127">
            <v>22</v>
          </cell>
          <cell r="V127">
            <v>6</v>
          </cell>
          <cell r="W127" t="str">
            <v>22-6．【1回のみ】ボーナスステージ</v>
          </cell>
          <cell r="X127">
            <v>1</v>
          </cell>
          <cell r="Y127">
            <v>0</v>
          </cell>
          <cell r="Z127">
            <v>1</v>
          </cell>
          <cell r="AA127">
            <v>0</v>
          </cell>
          <cell r="AB127" t="str">
            <v>anytime</v>
          </cell>
          <cell r="AC127">
            <v>23</v>
          </cell>
          <cell r="AD127">
            <v>6</v>
          </cell>
          <cell r="AE127" t="str">
            <v>everyone</v>
          </cell>
        </row>
        <row r="128">
          <cell r="A128" t="str">
            <v>23_2</v>
          </cell>
          <cell r="B128">
            <v>3</v>
          </cell>
          <cell r="C128">
            <v>23</v>
          </cell>
          <cell r="D128" t="str">
            <v>23．ファングフォレスト</v>
          </cell>
          <cell r="E128" t="str">
            <v>緑DL5</v>
          </cell>
          <cell r="F128">
            <v>2</v>
          </cell>
          <cell r="G128" t="str">
            <v>ja</v>
          </cell>
          <cell r="H128" t="str">
            <v>23-2．微笑みの猛蛇</v>
          </cell>
          <cell r="J128" t="str">
            <v>NULL</v>
          </cell>
          <cell r="K128">
            <v>15</v>
          </cell>
          <cell r="L128">
            <v>1660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1</v>
          </cell>
          <cell r="R128">
            <v>3</v>
          </cell>
          <cell r="S128" t="str">
            <v>none</v>
          </cell>
          <cell r="T128">
            <v>0</v>
          </cell>
          <cell r="U128">
            <v>23</v>
          </cell>
          <cell r="V128">
            <v>1</v>
          </cell>
          <cell r="W128" t="str">
            <v>23-1．牙森の子どもたち</v>
          </cell>
          <cell r="X128">
            <v>1</v>
          </cell>
          <cell r="Y128">
            <v>0</v>
          </cell>
          <cell r="Z128">
            <v>1</v>
          </cell>
          <cell r="AA128">
            <v>0</v>
          </cell>
          <cell r="AB128" t="str">
            <v>anytime</v>
          </cell>
          <cell r="AC128">
            <v>23</v>
          </cell>
          <cell r="AD128">
            <v>6</v>
          </cell>
          <cell r="AE128" t="str">
            <v>everyone</v>
          </cell>
        </row>
        <row r="129">
          <cell r="A129" t="str">
            <v>23_3</v>
          </cell>
          <cell r="B129">
            <v>3</v>
          </cell>
          <cell r="C129">
            <v>23</v>
          </cell>
          <cell r="D129" t="str">
            <v>23．ファングフォレスト</v>
          </cell>
          <cell r="E129" t="str">
            <v>緑DL5</v>
          </cell>
          <cell r="F129">
            <v>3</v>
          </cell>
          <cell r="G129" t="str">
            <v>ja</v>
          </cell>
          <cell r="H129" t="str">
            <v>23-3．震える大地</v>
          </cell>
          <cell r="J129" t="str">
            <v>NULL</v>
          </cell>
          <cell r="K129">
            <v>16</v>
          </cell>
          <cell r="L129">
            <v>1800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1</v>
          </cell>
          <cell r="R129">
            <v>3</v>
          </cell>
          <cell r="S129" t="str">
            <v>none</v>
          </cell>
          <cell r="T129">
            <v>0</v>
          </cell>
          <cell r="U129">
            <v>23</v>
          </cell>
          <cell r="V129">
            <v>2</v>
          </cell>
          <cell r="W129" t="str">
            <v>23-2．微笑みの猛蛇</v>
          </cell>
          <cell r="X129">
            <v>1</v>
          </cell>
          <cell r="Y129">
            <v>0</v>
          </cell>
          <cell r="Z129">
            <v>1</v>
          </cell>
          <cell r="AA129">
            <v>0</v>
          </cell>
          <cell r="AB129" t="str">
            <v>anytime</v>
          </cell>
          <cell r="AC129">
            <v>23</v>
          </cell>
          <cell r="AD129">
            <v>6</v>
          </cell>
          <cell r="AE129" t="str">
            <v>everyone</v>
          </cell>
        </row>
        <row r="130">
          <cell r="A130" t="str">
            <v>23_4</v>
          </cell>
          <cell r="B130">
            <v>3</v>
          </cell>
          <cell r="C130">
            <v>23</v>
          </cell>
          <cell r="D130" t="str">
            <v>23．ファングフォレスト</v>
          </cell>
          <cell r="E130" t="str">
            <v>緑DL5</v>
          </cell>
          <cell r="F130">
            <v>4</v>
          </cell>
          <cell r="G130" t="str">
            <v>ja</v>
          </cell>
          <cell r="H130" t="str">
            <v>23-4．森は咬み千切る</v>
          </cell>
          <cell r="J130" t="str">
            <v>NULL</v>
          </cell>
          <cell r="K130">
            <v>17</v>
          </cell>
          <cell r="L130">
            <v>2010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1</v>
          </cell>
          <cell r="R130">
            <v>3</v>
          </cell>
          <cell r="S130" t="str">
            <v>none</v>
          </cell>
          <cell r="T130">
            <v>0</v>
          </cell>
          <cell r="U130">
            <v>23</v>
          </cell>
          <cell r="V130">
            <v>3</v>
          </cell>
          <cell r="W130" t="str">
            <v>23-3．震える大地</v>
          </cell>
          <cell r="X130">
            <v>1</v>
          </cell>
          <cell r="Y130">
            <v>0</v>
          </cell>
          <cell r="Z130">
            <v>1</v>
          </cell>
          <cell r="AA130">
            <v>0</v>
          </cell>
          <cell r="AB130" t="str">
            <v>anytime</v>
          </cell>
          <cell r="AC130">
            <v>23</v>
          </cell>
          <cell r="AD130">
            <v>6</v>
          </cell>
          <cell r="AE130" t="str">
            <v>everyone</v>
          </cell>
        </row>
        <row r="131">
          <cell r="A131" t="str">
            <v>23_5</v>
          </cell>
          <cell r="B131">
            <v>3</v>
          </cell>
          <cell r="C131">
            <v>23</v>
          </cell>
          <cell r="D131" t="str">
            <v>23．ファングフォレスト</v>
          </cell>
          <cell r="E131" t="str">
            <v>緑DL5</v>
          </cell>
          <cell r="F131">
            <v>5</v>
          </cell>
          <cell r="G131" t="str">
            <v>ja</v>
          </cell>
          <cell r="H131" t="str">
            <v>23-5．目醒めの子どもたち</v>
          </cell>
          <cell r="J131" t="str">
            <v>NULL</v>
          </cell>
          <cell r="K131">
            <v>20</v>
          </cell>
          <cell r="L131">
            <v>2520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1</v>
          </cell>
          <cell r="R131">
            <v>3</v>
          </cell>
          <cell r="S131" t="str">
            <v>none</v>
          </cell>
          <cell r="T131">
            <v>0</v>
          </cell>
          <cell r="U131">
            <v>23</v>
          </cell>
          <cell r="V131">
            <v>4</v>
          </cell>
          <cell r="W131" t="str">
            <v>23-4．森は咬み千切る</v>
          </cell>
          <cell r="X131">
            <v>1</v>
          </cell>
          <cell r="Y131">
            <v>0</v>
          </cell>
          <cell r="Z131">
            <v>1</v>
          </cell>
          <cell r="AA131">
            <v>0</v>
          </cell>
          <cell r="AB131" t="str">
            <v>anytime</v>
          </cell>
          <cell r="AC131">
            <v>23</v>
          </cell>
          <cell r="AD131">
            <v>6</v>
          </cell>
          <cell r="AE131" t="str">
            <v>everyone</v>
          </cell>
        </row>
        <row r="132">
          <cell r="A132" t="str">
            <v>23_6</v>
          </cell>
          <cell r="B132">
            <v>3</v>
          </cell>
          <cell r="C132">
            <v>23</v>
          </cell>
          <cell r="D132" t="str">
            <v>23．ファングフォレスト</v>
          </cell>
          <cell r="E132" t="str">
            <v>緑DL5</v>
          </cell>
          <cell r="F132">
            <v>6</v>
          </cell>
          <cell r="G132" t="str">
            <v>ja</v>
          </cell>
          <cell r="H132" t="str">
            <v>23-6．【1回のみ】ボーナスステージ</v>
          </cell>
          <cell r="I132" t="str">
            <v>ボーナス</v>
          </cell>
          <cell r="J132">
            <v>338</v>
          </cell>
          <cell r="K132">
            <v>1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1</v>
          </cell>
          <cell r="R132">
            <v>3</v>
          </cell>
          <cell r="S132" t="str">
            <v>none</v>
          </cell>
          <cell r="T132">
            <v>0</v>
          </cell>
          <cell r="U132">
            <v>23</v>
          </cell>
          <cell r="V132">
            <v>5</v>
          </cell>
          <cell r="W132" t="str">
            <v>23-5．目醒めの子どもたち</v>
          </cell>
          <cell r="X132">
            <v>1</v>
          </cell>
          <cell r="Y132">
            <v>0</v>
          </cell>
          <cell r="Z132">
            <v>1</v>
          </cell>
          <cell r="AA132">
            <v>0</v>
          </cell>
          <cell r="AB132" t="str">
            <v>once</v>
          </cell>
          <cell r="AC132">
            <v>23</v>
          </cell>
          <cell r="AD132">
            <v>6</v>
          </cell>
          <cell r="AE132" t="str">
            <v>singleonly</v>
          </cell>
        </row>
        <row r="133">
          <cell r="A133" t="str">
            <v>24_1</v>
          </cell>
          <cell r="B133">
            <v>3</v>
          </cell>
          <cell r="C133">
            <v>24</v>
          </cell>
          <cell r="D133" t="str">
            <v>24．バトルフィールドヘヴン</v>
          </cell>
          <cell r="E133" t="str">
            <v>黄DL5</v>
          </cell>
          <cell r="F133">
            <v>1</v>
          </cell>
          <cell r="G133" t="str">
            <v>ja</v>
          </cell>
          <cell r="H133" t="str">
            <v>24-1．開戦の電磁</v>
          </cell>
          <cell r="J133" t="str">
            <v>NULL</v>
          </cell>
          <cell r="K133">
            <v>15</v>
          </cell>
          <cell r="L133">
            <v>1610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1</v>
          </cell>
          <cell r="R133">
            <v>3</v>
          </cell>
          <cell r="S133" t="str">
            <v>none</v>
          </cell>
          <cell r="T133">
            <v>0</v>
          </cell>
          <cell r="U133">
            <v>23</v>
          </cell>
          <cell r="V133">
            <v>6</v>
          </cell>
          <cell r="W133" t="str">
            <v>23-6．【1回のみ】ボーナスステージ</v>
          </cell>
          <cell r="X133">
            <v>0</v>
          </cell>
          <cell r="Y133">
            <v>0</v>
          </cell>
          <cell r="Z133">
            <v>1</v>
          </cell>
          <cell r="AA133">
            <v>1</v>
          </cell>
          <cell r="AB133" t="str">
            <v>anytime</v>
          </cell>
          <cell r="AC133">
            <v>24</v>
          </cell>
          <cell r="AD133">
            <v>6</v>
          </cell>
          <cell r="AE133" t="str">
            <v>everyone</v>
          </cell>
        </row>
        <row r="134">
          <cell r="A134" t="str">
            <v>24_2</v>
          </cell>
          <cell r="B134">
            <v>3</v>
          </cell>
          <cell r="C134">
            <v>24</v>
          </cell>
          <cell r="D134" t="str">
            <v>24．バトルフィールドヘヴン</v>
          </cell>
          <cell r="E134" t="str">
            <v>黄DL5</v>
          </cell>
          <cell r="F134">
            <v>2</v>
          </cell>
          <cell r="G134" t="str">
            <v>ja</v>
          </cell>
          <cell r="H134" t="str">
            <v>24-2．奇襲と増援</v>
          </cell>
          <cell r="J134" t="str">
            <v>NULL</v>
          </cell>
          <cell r="K134">
            <v>15</v>
          </cell>
          <cell r="L134">
            <v>1730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3</v>
          </cell>
          <cell r="S134" t="str">
            <v>none</v>
          </cell>
          <cell r="T134">
            <v>0</v>
          </cell>
          <cell r="U134">
            <v>24</v>
          </cell>
          <cell r="V134">
            <v>1</v>
          </cell>
          <cell r="W134" t="str">
            <v>24-1．開戦の電磁</v>
          </cell>
          <cell r="X134">
            <v>0</v>
          </cell>
          <cell r="Y134">
            <v>0</v>
          </cell>
          <cell r="Z134">
            <v>1</v>
          </cell>
          <cell r="AA134">
            <v>1</v>
          </cell>
          <cell r="AB134" t="str">
            <v>anytime</v>
          </cell>
          <cell r="AC134">
            <v>24</v>
          </cell>
          <cell r="AD134">
            <v>6</v>
          </cell>
          <cell r="AE134" t="str">
            <v>everyone</v>
          </cell>
        </row>
        <row r="135">
          <cell r="A135" t="str">
            <v>24_3</v>
          </cell>
          <cell r="B135">
            <v>3</v>
          </cell>
          <cell r="C135">
            <v>24</v>
          </cell>
          <cell r="D135" t="str">
            <v>24．バトルフィールドヘヴン</v>
          </cell>
          <cell r="E135" t="str">
            <v>黄DL5</v>
          </cell>
          <cell r="F135">
            <v>3</v>
          </cell>
          <cell r="G135" t="str">
            <v>ja</v>
          </cell>
          <cell r="H135" t="str">
            <v>24-3．武器を花に変えて</v>
          </cell>
          <cell r="J135" t="str">
            <v>NULL</v>
          </cell>
          <cell r="K135">
            <v>16</v>
          </cell>
          <cell r="L135">
            <v>1870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1</v>
          </cell>
          <cell r="R135">
            <v>3</v>
          </cell>
          <cell r="S135" t="str">
            <v>none</v>
          </cell>
          <cell r="T135">
            <v>0</v>
          </cell>
          <cell r="U135">
            <v>24</v>
          </cell>
          <cell r="V135">
            <v>2</v>
          </cell>
          <cell r="W135" t="str">
            <v>24-2．奇襲と増援</v>
          </cell>
          <cell r="X135">
            <v>0</v>
          </cell>
          <cell r="Y135">
            <v>0</v>
          </cell>
          <cell r="Z135">
            <v>1</v>
          </cell>
          <cell r="AA135">
            <v>1</v>
          </cell>
          <cell r="AB135" t="str">
            <v>anytime</v>
          </cell>
          <cell r="AC135">
            <v>24</v>
          </cell>
          <cell r="AD135">
            <v>6</v>
          </cell>
          <cell r="AE135" t="str">
            <v>everyone</v>
          </cell>
        </row>
        <row r="136">
          <cell r="A136" t="str">
            <v>24_4</v>
          </cell>
          <cell r="B136">
            <v>3</v>
          </cell>
          <cell r="C136">
            <v>24</v>
          </cell>
          <cell r="D136" t="str">
            <v>24．バトルフィールドヘヴン</v>
          </cell>
          <cell r="E136" t="str">
            <v>黄DL5</v>
          </cell>
          <cell r="F136">
            <v>4</v>
          </cell>
          <cell r="G136" t="str">
            <v>ja</v>
          </cell>
          <cell r="H136" t="str">
            <v>24-4．肉弾の虎将</v>
          </cell>
          <cell r="J136" t="str">
            <v>NULL</v>
          </cell>
          <cell r="K136">
            <v>17</v>
          </cell>
          <cell r="L136">
            <v>2080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1</v>
          </cell>
          <cell r="R136">
            <v>3</v>
          </cell>
          <cell r="S136" t="str">
            <v>none</v>
          </cell>
          <cell r="T136">
            <v>0</v>
          </cell>
          <cell r="U136">
            <v>24</v>
          </cell>
          <cell r="V136">
            <v>3</v>
          </cell>
          <cell r="W136" t="str">
            <v>24-3．武器を花に変えて</v>
          </cell>
          <cell r="X136">
            <v>0</v>
          </cell>
          <cell r="Y136">
            <v>0</v>
          </cell>
          <cell r="Z136">
            <v>1</v>
          </cell>
          <cell r="AA136">
            <v>1</v>
          </cell>
          <cell r="AB136" t="str">
            <v>anytime</v>
          </cell>
          <cell r="AC136">
            <v>24</v>
          </cell>
          <cell r="AD136">
            <v>6</v>
          </cell>
          <cell r="AE136" t="str">
            <v>everyone</v>
          </cell>
        </row>
        <row r="137">
          <cell r="A137" t="str">
            <v>24_5</v>
          </cell>
          <cell r="B137">
            <v>3</v>
          </cell>
          <cell r="C137">
            <v>24</v>
          </cell>
          <cell r="D137" t="str">
            <v>24．バトルフィールドヘヴン</v>
          </cell>
          <cell r="E137" t="str">
            <v>黄DL5</v>
          </cell>
          <cell r="F137">
            <v>5</v>
          </cell>
          <cell r="G137" t="str">
            <v>ja</v>
          </cell>
          <cell r="H137" t="str">
            <v>24-5．決戦のヘヴン</v>
          </cell>
          <cell r="J137" t="str">
            <v>NULL</v>
          </cell>
          <cell r="K137">
            <v>20</v>
          </cell>
          <cell r="L137">
            <v>2590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1</v>
          </cell>
          <cell r="R137">
            <v>3</v>
          </cell>
          <cell r="S137" t="str">
            <v>none</v>
          </cell>
          <cell r="T137">
            <v>0</v>
          </cell>
          <cell r="U137">
            <v>24</v>
          </cell>
          <cell r="V137">
            <v>4</v>
          </cell>
          <cell r="W137" t="str">
            <v>24-4．肉弾の虎将</v>
          </cell>
          <cell r="X137">
            <v>0</v>
          </cell>
          <cell r="Y137">
            <v>0</v>
          </cell>
          <cell r="Z137">
            <v>1</v>
          </cell>
          <cell r="AA137">
            <v>1</v>
          </cell>
          <cell r="AB137" t="str">
            <v>anytime</v>
          </cell>
          <cell r="AC137">
            <v>24</v>
          </cell>
          <cell r="AD137">
            <v>6</v>
          </cell>
          <cell r="AE137" t="str">
            <v>everyone</v>
          </cell>
        </row>
        <row r="138">
          <cell r="A138" t="str">
            <v>24_6</v>
          </cell>
          <cell r="B138">
            <v>3</v>
          </cell>
          <cell r="C138">
            <v>24</v>
          </cell>
          <cell r="D138" t="str">
            <v>24．バトルフィールドヘヴン</v>
          </cell>
          <cell r="E138" t="str">
            <v>黄DL5</v>
          </cell>
          <cell r="F138">
            <v>6</v>
          </cell>
          <cell r="G138" t="str">
            <v>ja</v>
          </cell>
          <cell r="H138" t="str">
            <v>24-6．【1回のみ】ボーナスステージ</v>
          </cell>
          <cell r="I138" t="str">
            <v>ボーナス</v>
          </cell>
          <cell r="J138">
            <v>346</v>
          </cell>
          <cell r="K138">
            <v>1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1</v>
          </cell>
          <cell r="R138">
            <v>3</v>
          </cell>
          <cell r="S138" t="str">
            <v>none</v>
          </cell>
          <cell r="T138">
            <v>0</v>
          </cell>
          <cell r="U138">
            <v>24</v>
          </cell>
          <cell r="V138">
            <v>5</v>
          </cell>
          <cell r="W138" t="str">
            <v>24-5．決戦のヘヴン</v>
          </cell>
          <cell r="X138">
            <v>0</v>
          </cell>
          <cell r="Y138">
            <v>0</v>
          </cell>
          <cell r="Z138">
            <v>1</v>
          </cell>
          <cell r="AA138">
            <v>1</v>
          </cell>
          <cell r="AB138" t="str">
            <v>once</v>
          </cell>
          <cell r="AC138">
            <v>24</v>
          </cell>
          <cell r="AD138">
            <v>6</v>
          </cell>
          <cell r="AE138" t="str">
            <v>singleonly</v>
          </cell>
        </row>
        <row r="139">
          <cell r="A139" t="str">
            <v>25_1</v>
          </cell>
          <cell r="B139">
            <v>3</v>
          </cell>
          <cell r="C139">
            <v>25</v>
          </cell>
          <cell r="D139" t="str">
            <v>25．サディスティックパーティ</v>
          </cell>
          <cell r="E139" t="str">
            <v>青DL5</v>
          </cell>
          <cell r="F139">
            <v>1</v>
          </cell>
          <cell r="G139" t="str">
            <v>ja</v>
          </cell>
          <cell r="H139" t="str">
            <v>25-1．血塗られた招待状</v>
          </cell>
          <cell r="J139" t="str">
            <v>NULL</v>
          </cell>
          <cell r="K139">
            <v>15</v>
          </cell>
          <cell r="L139">
            <v>1740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1</v>
          </cell>
          <cell r="R139">
            <v>3</v>
          </cell>
          <cell r="S139" t="str">
            <v>none</v>
          </cell>
          <cell r="T139">
            <v>0</v>
          </cell>
          <cell r="U139">
            <v>24</v>
          </cell>
          <cell r="V139">
            <v>6</v>
          </cell>
          <cell r="W139" t="str">
            <v>24-6．【1回のみ】ボーナスステージ</v>
          </cell>
          <cell r="X139">
            <v>0</v>
          </cell>
          <cell r="Y139">
            <v>1</v>
          </cell>
          <cell r="Z139">
            <v>0</v>
          </cell>
          <cell r="AA139">
            <v>1</v>
          </cell>
          <cell r="AB139" t="str">
            <v>anytime</v>
          </cell>
          <cell r="AC139">
            <v>25</v>
          </cell>
          <cell r="AD139">
            <v>6</v>
          </cell>
          <cell r="AE139" t="str">
            <v>everyone</v>
          </cell>
        </row>
        <row r="140">
          <cell r="A140" t="str">
            <v>25_2</v>
          </cell>
          <cell r="B140">
            <v>3</v>
          </cell>
          <cell r="C140">
            <v>25</v>
          </cell>
          <cell r="D140" t="str">
            <v>25．サディスティックパーティ</v>
          </cell>
          <cell r="E140" t="str">
            <v>青DL5</v>
          </cell>
          <cell r="F140">
            <v>2</v>
          </cell>
          <cell r="G140" t="str">
            <v>ja</v>
          </cell>
          <cell r="H140" t="str">
            <v>25-2．剣の舞</v>
          </cell>
          <cell r="J140" t="str">
            <v>NULL</v>
          </cell>
          <cell r="K140">
            <v>15</v>
          </cell>
          <cell r="L140">
            <v>1860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1</v>
          </cell>
          <cell r="R140">
            <v>3</v>
          </cell>
          <cell r="S140" t="str">
            <v>none</v>
          </cell>
          <cell r="T140">
            <v>0</v>
          </cell>
          <cell r="U140">
            <v>25</v>
          </cell>
          <cell r="V140">
            <v>1</v>
          </cell>
          <cell r="W140" t="str">
            <v>25-1．血塗られた招待状</v>
          </cell>
          <cell r="X140">
            <v>0</v>
          </cell>
          <cell r="Y140">
            <v>1</v>
          </cell>
          <cell r="Z140">
            <v>0</v>
          </cell>
          <cell r="AA140">
            <v>1</v>
          </cell>
          <cell r="AB140" t="str">
            <v>anytime</v>
          </cell>
          <cell r="AC140">
            <v>25</v>
          </cell>
          <cell r="AD140">
            <v>6</v>
          </cell>
          <cell r="AE140" t="str">
            <v>everyone</v>
          </cell>
        </row>
        <row r="141">
          <cell r="A141" t="str">
            <v>25_3</v>
          </cell>
          <cell r="B141">
            <v>3</v>
          </cell>
          <cell r="C141">
            <v>25</v>
          </cell>
          <cell r="D141" t="str">
            <v>25．サディスティックパーティ</v>
          </cell>
          <cell r="E141" t="str">
            <v>青DL5</v>
          </cell>
          <cell r="F141">
            <v>3</v>
          </cell>
          <cell r="G141" t="str">
            <v>ja</v>
          </cell>
          <cell r="H141" t="str">
            <v>25-3．暗闇との対話</v>
          </cell>
          <cell r="J141" t="str">
            <v>NULL</v>
          </cell>
          <cell r="K141">
            <v>16</v>
          </cell>
          <cell r="L141">
            <v>2000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1</v>
          </cell>
          <cell r="R141">
            <v>3</v>
          </cell>
          <cell r="S141" t="str">
            <v>none</v>
          </cell>
          <cell r="T141">
            <v>0</v>
          </cell>
          <cell r="U141">
            <v>25</v>
          </cell>
          <cell r="V141">
            <v>2</v>
          </cell>
          <cell r="W141" t="str">
            <v>25-2．剣の舞</v>
          </cell>
          <cell r="X141">
            <v>0</v>
          </cell>
          <cell r="Y141">
            <v>1</v>
          </cell>
          <cell r="Z141">
            <v>0</v>
          </cell>
          <cell r="AA141">
            <v>1</v>
          </cell>
          <cell r="AB141" t="str">
            <v>anytime</v>
          </cell>
          <cell r="AC141">
            <v>25</v>
          </cell>
          <cell r="AD141">
            <v>6</v>
          </cell>
          <cell r="AE141" t="str">
            <v>everyone</v>
          </cell>
        </row>
        <row r="142">
          <cell r="A142" t="str">
            <v>25_4</v>
          </cell>
          <cell r="B142">
            <v>3</v>
          </cell>
          <cell r="C142">
            <v>25</v>
          </cell>
          <cell r="D142" t="str">
            <v>25．サディスティックパーティ</v>
          </cell>
          <cell r="E142" t="str">
            <v>青DL5</v>
          </cell>
          <cell r="F142">
            <v>4</v>
          </cell>
          <cell r="G142" t="str">
            <v>ja</v>
          </cell>
          <cell r="H142" t="str">
            <v>25-4．許されぬ休息</v>
          </cell>
          <cell r="J142" t="str">
            <v>NULL</v>
          </cell>
          <cell r="K142">
            <v>17</v>
          </cell>
          <cell r="L142">
            <v>2210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1</v>
          </cell>
          <cell r="R142">
            <v>3</v>
          </cell>
          <cell r="S142" t="str">
            <v>none</v>
          </cell>
          <cell r="T142">
            <v>0</v>
          </cell>
          <cell r="U142">
            <v>25</v>
          </cell>
          <cell r="V142">
            <v>3</v>
          </cell>
          <cell r="W142" t="str">
            <v>25-3．暗闇との対話</v>
          </cell>
          <cell r="X142">
            <v>0</v>
          </cell>
          <cell r="Y142">
            <v>1</v>
          </cell>
          <cell r="Z142">
            <v>0</v>
          </cell>
          <cell r="AA142">
            <v>1</v>
          </cell>
          <cell r="AB142" t="str">
            <v>anytime</v>
          </cell>
          <cell r="AC142">
            <v>25</v>
          </cell>
          <cell r="AD142">
            <v>6</v>
          </cell>
          <cell r="AE142" t="str">
            <v>everyone</v>
          </cell>
        </row>
        <row r="143">
          <cell r="A143" t="str">
            <v>25_5</v>
          </cell>
          <cell r="B143">
            <v>3</v>
          </cell>
          <cell r="C143">
            <v>25</v>
          </cell>
          <cell r="D143" t="str">
            <v>25．サディスティックパーティ</v>
          </cell>
          <cell r="E143" t="str">
            <v>青DL5</v>
          </cell>
          <cell r="F143">
            <v>5</v>
          </cell>
          <cell r="G143" t="str">
            <v>ja</v>
          </cell>
          <cell r="H143" t="str">
            <v>25-5．君はサディスティック</v>
          </cell>
          <cell r="J143" t="str">
            <v>NULL</v>
          </cell>
          <cell r="K143">
            <v>20</v>
          </cell>
          <cell r="L143">
            <v>2720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1</v>
          </cell>
          <cell r="R143">
            <v>3</v>
          </cell>
          <cell r="S143" t="str">
            <v>none</v>
          </cell>
          <cell r="T143">
            <v>0</v>
          </cell>
          <cell r="U143">
            <v>25</v>
          </cell>
          <cell r="V143">
            <v>4</v>
          </cell>
          <cell r="W143" t="str">
            <v>25-4．許されぬ休息</v>
          </cell>
          <cell r="X143">
            <v>0</v>
          </cell>
          <cell r="Y143">
            <v>1</v>
          </cell>
          <cell r="Z143">
            <v>0</v>
          </cell>
          <cell r="AA143">
            <v>1</v>
          </cell>
          <cell r="AB143" t="str">
            <v>anytime</v>
          </cell>
          <cell r="AC143">
            <v>25</v>
          </cell>
          <cell r="AD143">
            <v>6</v>
          </cell>
          <cell r="AE143" t="str">
            <v>everyone</v>
          </cell>
        </row>
        <row r="144">
          <cell r="A144" t="str">
            <v>25_6</v>
          </cell>
          <cell r="B144">
            <v>3</v>
          </cell>
          <cell r="C144">
            <v>25</v>
          </cell>
          <cell r="D144" t="str">
            <v>25．サディスティックパーティ</v>
          </cell>
          <cell r="E144" t="str">
            <v>青DL5</v>
          </cell>
          <cell r="F144">
            <v>6</v>
          </cell>
          <cell r="G144" t="str">
            <v>ja</v>
          </cell>
          <cell r="H144" t="str">
            <v>25-6．【1回のみ】ボーナスステージ</v>
          </cell>
          <cell r="I144" t="str">
            <v>ボーナス</v>
          </cell>
          <cell r="J144">
            <v>342</v>
          </cell>
          <cell r="K144">
            <v>1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1</v>
          </cell>
          <cell r="R144">
            <v>3</v>
          </cell>
          <cell r="S144" t="str">
            <v>none</v>
          </cell>
          <cell r="T144">
            <v>0</v>
          </cell>
          <cell r="U144">
            <v>25</v>
          </cell>
          <cell r="V144">
            <v>5</v>
          </cell>
          <cell r="W144" t="str">
            <v>25-5．君はサディスティック</v>
          </cell>
          <cell r="X144">
            <v>0</v>
          </cell>
          <cell r="Y144">
            <v>1</v>
          </cell>
          <cell r="Z144">
            <v>0</v>
          </cell>
          <cell r="AA144">
            <v>1</v>
          </cell>
          <cell r="AB144" t="str">
            <v>once</v>
          </cell>
          <cell r="AC144">
            <v>25</v>
          </cell>
          <cell r="AD144">
            <v>6</v>
          </cell>
          <cell r="AE144" t="str">
            <v>singleonly</v>
          </cell>
        </row>
        <row r="145">
          <cell r="A145" t="str">
            <v>26_1</v>
          </cell>
          <cell r="B145">
            <v>3</v>
          </cell>
          <cell r="C145">
            <v>26</v>
          </cell>
          <cell r="D145" t="str">
            <v>26．クラブ クラッシュビーツ</v>
          </cell>
          <cell r="E145" t="str">
            <v>混色DL5</v>
          </cell>
          <cell r="F145">
            <v>1</v>
          </cell>
          <cell r="G145" t="str">
            <v>ja</v>
          </cell>
          <cell r="H145" t="str">
            <v>26-1．無愛想なフロント</v>
          </cell>
          <cell r="J145" t="str">
            <v>NULL</v>
          </cell>
          <cell r="K145">
            <v>15</v>
          </cell>
          <cell r="L145">
            <v>1900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1</v>
          </cell>
          <cell r="R145">
            <v>3</v>
          </cell>
          <cell r="S145" t="str">
            <v>none</v>
          </cell>
          <cell r="T145">
            <v>0</v>
          </cell>
          <cell r="U145">
            <v>25</v>
          </cell>
          <cell r="V145">
            <v>6</v>
          </cell>
          <cell r="W145" t="str">
            <v>25-6．【1回のみ】ボーナスステージ</v>
          </cell>
          <cell r="X145">
            <v>1</v>
          </cell>
          <cell r="Y145">
            <v>1</v>
          </cell>
          <cell r="Z145">
            <v>1</v>
          </cell>
          <cell r="AA145">
            <v>1</v>
          </cell>
          <cell r="AB145" t="str">
            <v>anytime</v>
          </cell>
          <cell r="AC145">
            <v>2601</v>
          </cell>
          <cell r="AD145">
            <v>6</v>
          </cell>
          <cell r="AE145" t="str">
            <v>everyone</v>
          </cell>
        </row>
        <row r="146">
          <cell r="A146" t="str">
            <v>26_2</v>
          </cell>
          <cell r="B146">
            <v>3</v>
          </cell>
          <cell r="C146">
            <v>26</v>
          </cell>
          <cell r="D146" t="str">
            <v>26．クラブ クラッシュビーツ</v>
          </cell>
          <cell r="E146" t="str">
            <v>混色DL5</v>
          </cell>
          <cell r="F146">
            <v>2</v>
          </cell>
          <cell r="G146" t="str">
            <v>ja</v>
          </cell>
          <cell r="H146" t="str">
            <v>26-2．フロアジャック</v>
          </cell>
          <cell r="J146" t="str">
            <v>NULL</v>
          </cell>
          <cell r="K146">
            <v>15</v>
          </cell>
          <cell r="L146">
            <v>2020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1</v>
          </cell>
          <cell r="R146">
            <v>3</v>
          </cell>
          <cell r="S146" t="str">
            <v>none</v>
          </cell>
          <cell r="T146">
            <v>0</v>
          </cell>
          <cell r="U146">
            <v>26</v>
          </cell>
          <cell r="V146">
            <v>1</v>
          </cell>
          <cell r="W146" t="str">
            <v>26-1．無愛想なフロント</v>
          </cell>
          <cell r="X146">
            <v>1</v>
          </cell>
          <cell r="Y146">
            <v>1</v>
          </cell>
          <cell r="Z146">
            <v>1</v>
          </cell>
          <cell r="AA146">
            <v>1</v>
          </cell>
          <cell r="AB146" t="str">
            <v>anytime</v>
          </cell>
          <cell r="AC146">
            <v>2601</v>
          </cell>
          <cell r="AD146">
            <v>6</v>
          </cell>
          <cell r="AE146" t="str">
            <v>everyone</v>
          </cell>
        </row>
        <row r="147">
          <cell r="A147" t="str">
            <v>26_3</v>
          </cell>
          <cell r="B147">
            <v>3</v>
          </cell>
          <cell r="C147">
            <v>26</v>
          </cell>
          <cell r="D147" t="str">
            <v>26．クラブ クラッシュビーツ</v>
          </cell>
          <cell r="E147" t="str">
            <v>混色DL5</v>
          </cell>
          <cell r="F147">
            <v>3</v>
          </cell>
          <cell r="G147" t="str">
            <v>ja</v>
          </cell>
          <cell r="H147" t="str">
            <v>26-3．荒ぶる電飾</v>
          </cell>
          <cell r="J147" t="str">
            <v>NULL</v>
          </cell>
          <cell r="K147">
            <v>17</v>
          </cell>
          <cell r="L147">
            <v>2160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1</v>
          </cell>
          <cell r="R147">
            <v>3</v>
          </cell>
          <cell r="S147" t="str">
            <v>none</v>
          </cell>
          <cell r="T147">
            <v>0</v>
          </cell>
          <cell r="U147">
            <v>26</v>
          </cell>
          <cell r="V147">
            <v>2</v>
          </cell>
          <cell r="W147" t="str">
            <v>26-2．フロアジャック</v>
          </cell>
          <cell r="X147">
            <v>1</v>
          </cell>
          <cell r="Y147">
            <v>1</v>
          </cell>
          <cell r="Z147">
            <v>1</v>
          </cell>
          <cell r="AA147">
            <v>1</v>
          </cell>
          <cell r="AB147" t="str">
            <v>anytime</v>
          </cell>
          <cell r="AC147">
            <v>2601</v>
          </cell>
          <cell r="AD147">
            <v>6</v>
          </cell>
          <cell r="AE147" t="str">
            <v>everyone</v>
          </cell>
        </row>
        <row r="148">
          <cell r="A148" t="str">
            <v>26_4</v>
          </cell>
          <cell r="B148">
            <v>3</v>
          </cell>
          <cell r="C148">
            <v>26</v>
          </cell>
          <cell r="D148" t="str">
            <v>26．クラブ クラッシュビーツ</v>
          </cell>
          <cell r="E148" t="str">
            <v>混色DL5</v>
          </cell>
          <cell r="F148">
            <v>4</v>
          </cell>
          <cell r="G148" t="str">
            <v>ja</v>
          </cell>
          <cell r="H148" t="str">
            <v>26-4．今夜はダークナイト</v>
          </cell>
          <cell r="J148" t="str">
            <v>NULL</v>
          </cell>
          <cell r="K148">
            <v>19</v>
          </cell>
          <cell r="L148">
            <v>2370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1</v>
          </cell>
          <cell r="R148">
            <v>3</v>
          </cell>
          <cell r="S148" t="str">
            <v>none</v>
          </cell>
          <cell r="T148">
            <v>0</v>
          </cell>
          <cell r="U148">
            <v>26</v>
          </cell>
          <cell r="V148">
            <v>3</v>
          </cell>
          <cell r="W148" t="str">
            <v>26-3．荒ぶる電飾</v>
          </cell>
          <cell r="X148">
            <v>1</v>
          </cell>
          <cell r="Y148">
            <v>1</v>
          </cell>
          <cell r="Z148">
            <v>1</v>
          </cell>
          <cell r="AA148">
            <v>1</v>
          </cell>
          <cell r="AB148" t="str">
            <v>anytime</v>
          </cell>
          <cell r="AC148">
            <v>2601</v>
          </cell>
          <cell r="AD148">
            <v>6</v>
          </cell>
          <cell r="AE148" t="str">
            <v>everyone</v>
          </cell>
        </row>
        <row r="149">
          <cell r="A149" t="str">
            <v>26_5</v>
          </cell>
          <cell r="B149">
            <v>3</v>
          </cell>
          <cell r="C149">
            <v>26</v>
          </cell>
          <cell r="D149" t="str">
            <v>26．クラブ クラッシュビーツ</v>
          </cell>
          <cell r="E149" t="str">
            <v>混色DL5</v>
          </cell>
          <cell r="F149">
            <v>5</v>
          </cell>
          <cell r="G149" t="str">
            <v>ja</v>
          </cell>
          <cell r="H149" t="str">
            <v>26-5．踊る強奪者</v>
          </cell>
          <cell r="J149" t="str">
            <v>NULL</v>
          </cell>
          <cell r="K149">
            <v>22</v>
          </cell>
          <cell r="L149">
            <v>3500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1</v>
          </cell>
          <cell r="R149">
            <v>3</v>
          </cell>
          <cell r="S149" t="str">
            <v>none</v>
          </cell>
          <cell r="T149">
            <v>0</v>
          </cell>
          <cell r="U149">
            <v>26</v>
          </cell>
          <cell r="V149">
            <v>4</v>
          </cell>
          <cell r="W149" t="str">
            <v>26-4．今夜はダークナイト</v>
          </cell>
          <cell r="X149">
            <v>1</v>
          </cell>
          <cell r="Y149">
            <v>1</v>
          </cell>
          <cell r="Z149">
            <v>1</v>
          </cell>
          <cell r="AA149">
            <v>1</v>
          </cell>
          <cell r="AB149" t="str">
            <v>anytime</v>
          </cell>
          <cell r="AC149">
            <v>2601</v>
          </cell>
          <cell r="AD149">
            <v>6</v>
          </cell>
          <cell r="AE149" t="str">
            <v>everyone</v>
          </cell>
        </row>
        <row r="150">
          <cell r="A150" t="str">
            <v>26_6</v>
          </cell>
          <cell r="B150">
            <v>3</v>
          </cell>
          <cell r="C150">
            <v>26</v>
          </cell>
          <cell r="D150" t="str">
            <v>26．クラブ クラッシュビーツ</v>
          </cell>
          <cell r="E150" t="str">
            <v>混色DL5</v>
          </cell>
          <cell r="F150">
            <v>6</v>
          </cell>
          <cell r="G150" t="str">
            <v>ja</v>
          </cell>
          <cell r="H150" t="str">
            <v>26-6．【1回のみ】ボーナスステージ</v>
          </cell>
          <cell r="I150" t="str">
            <v>ボーナス</v>
          </cell>
          <cell r="J150">
            <v>125</v>
          </cell>
          <cell r="K150">
            <v>1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1</v>
          </cell>
          <cell r="R150">
            <v>3</v>
          </cell>
          <cell r="S150" t="str">
            <v>none</v>
          </cell>
          <cell r="T150">
            <v>0</v>
          </cell>
          <cell r="U150">
            <v>26</v>
          </cell>
          <cell r="V150">
            <v>5</v>
          </cell>
          <cell r="W150" t="str">
            <v>26-5．踊る強奪者</v>
          </cell>
          <cell r="X150">
            <v>1</v>
          </cell>
          <cell r="Y150">
            <v>1</v>
          </cell>
          <cell r="Z150">
            <v>1</v>
          </cell>
          <cell r="AA150">
            <v>1</v>
          </cell>
          <cell r="AB150" t="str">
            <v>once</v>
          </cell>
          <cell r="AC150">
            <v>2601</v>
          </cell>
          <cell r="AD150">
            <v>6</v>
          </cell>
          <cell r="AE150" t="str">
            <v>singleonly</v>
          </cell>
        </row>
        <row r="151">
          <cell r="A151" t="str">
            <v>27_1</v>
          </cell>
          <cell r="B151">
            <v>0</v>
          </cell>
          <cell r="C151">
            <v>27</v>
          </cell>
          <cell r="D151">
            <v>0</v>
          </cell>
          <cell r="E151" t="str">
            <v>緑DL6</v>
          </cell>
          <cell r="F151">
            <v>1</v>
          </cell>
          <cell r="G151" t="str">
            <v>ja</v>
          </cell>
          <cell r="H151" t="str">
            <v>DL6緑ステージ1</v>
          </cell>
          <cell r="J151" t="str">
            <v>NULL</v>
          </cell>
          <cell r="K151">
            <v>14</v>
          </cell>
          <cell r="L151">
            <v>14400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1</v>
          </cell>
          <cell r="R151">
            <v>3</v>
          </cell>
          <cell r="S151" t="str">
            <v>none</v>
          </cell>
          <cell r="T151">
            <v>0</v>
          </cell>
          <cell r="U151">
            <v>26</v>
          </cell>
          <cell r="V151">
            <v>6</v>
          </cell>
          <cell r="W151" t="str">
            <v>26-6．【1回のみ】ボーナスステージ</v>
          </cell>
          <cell r="X151">
            <v>0</v>
          </cell>
          <cell r="Y151">
            <v>1</v>
          </cell>
          <cell r="Z151">
            <v>0</v>
          </cell>
          <cell r="AA151">
            <v>1</v>
          </cell>
          <cell r="AB151" t="str">
            <v>anytime</v>
          </cell>
          <cell r="AC151">
            <v>27</v>
          </cell>
          <cell r="AD151">
            <v>6</v>
          </cell>
          <cell r="AE151" t="str">
            <v>everyone</v>
          </cell>
        </row>
        <row r="152">
          <cell r="A152" t="str">
            <v>27_2</v>
          </cell>
          <cell r="B152">
            <v>0</v>
          </cell>
          <cell r="C152">
            <v>27</v>
          </cell>
          <cell r="D152">
            <v>0</v>
          </cell>
          <cell r="E152" t="str">
            <v>緑DL6</v>
          </cell>
          <cell r="F152">
            <v>2</v>
          </cell>
          <cell r="G152" t="str">
            <v>ja</v>
          </cell>
          <cell r="H152" t="str">
            <v>DL6緑ステージ2</v>
          </cell>
          <cell r="J152" t="str">
            <v>NULL</v>
          </cell>
          <cell r="K152">
            <v>14</v>
          </cell>
          <cell r="L152">
            <v>14520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1</v>
          </cell>
          <cell r="R152">
            <v>3</v>
          </cell>
          <cell r="S152" t="str">
            <v>none</v>
          </cell>
          <cell r="T152">
            <v>0</v>
          </cell>
          <cell r="U152">
            <v>27</v>
          </cell>
          <cell r="V152">
            <v>1</v>
          </cell>
          <cell r="W152" t="str">
            <v>DL6緑ステージ1</v>
          </cell>
          <cell r="X152">
            <v>0</v>
          </cell>
          <cell r="Y152">
            <v>1</v>
          </cell>
          <cell r="Z152">
            <v>0</v>
          </cell>
          <cell r="AA152">
            <v>1</v>
          </cell>
          <cell r="AB152" t="str">
            <v>anytime</v>
          </cell>
          <cell r="AC152">
            <v>27</v>
          </cell>
          <cell r="AD152">
            <v>6</v>
          </cell>
          <cell r="AE152" t="str">
            <v>everyone</v>
          </cell>
        </row>
        <row r="153">
          <cell r="A153" t="str">
            <v>27_3</v>
          </cell>
          <cell r="B153">
            <v>0</v>
          </cell>
          <cell r="C153">
            <v>27</v>
          </cell>
          <cell r="D153">
            <v>0</v>
          </cell>
          <cell r="E153" t="str">
            <v>緑DL6</v>
          </cell>
          <cell r="F153">
            <v>3</v>
          </cell>
          <cell r="G153" t="str">
            <v>ja</v>
          </cell>
          <cell r="H153" t="str">
            <v>DL6緑ステージ3</v>
          </cell>
          <cell r="J153" t="str">
            <v>NULL</v>
          </cell>
          <cell r="K153">
            <v>14</v>
          </cell>
          <cell r="L153">
            <v>14640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1</v>
          </cell>
          <cell r="R153">
            <v>3</v>
          </cell>
          <cell r="S153" t="str">
            <v>none</v>
          </cell>
          <cell r="T153">
            <v>0</v>
          </cell>
          <cell r="U153">
            <v>27</v>
          </cell>
          <cell r="V153">
            <v>2</v>
          </cell>
          <cell r="W153" t="str">
            <v>DL6緑ステージ2</v>
          </cell>
          <cell r="X153">
            <v>0</v>
          </cell>
          <cell r="Y153">
            <v>1</v>
          </cell>
          <cell r="Z153">
            <v>0</v>
          </cell>
          <cell r="AA153">
            <v>1</v>
          </cell>
          <cell r="AB153" t="str">
            <v>anytime</v>
          </cell>
          <cell r="AC153">
            <v>27</v>
          </cell>
          <cell r="AD153">
            <v>6</v>
          </cell>
          <cell r="AE153" t="str">
            <v>everyone</v>
          </cell>
        </row>
        <row r="154">
          <cell r="A154" t="str">
            <v>27_4</v>
          </cell>
          <cell r="B154">
            <v>0</v>
          </cell>
          <cell r="C154">
            <v>27</v>
          </cell>
          <cell r="D154">
            <v>0</v>
          </cell>
          <cell r="E154" t="str">
            <v>緑DL6</v>
          </cell>
          <cell r="F154">
            <v>4</v>
          </cell>
          <cell r="G154" t="str">
            <v>ja</v>
          </cell>
          <cell r="H154" t="str">
            <v>DL6緑ステージ4</v>
          </cell>
          <cell r="J154" t="str">
            <v>NULL</v>
          </cell>
          <cell r="K154">
            <v>14</v>
          </cell>
          <cell r="L154">
            <v>14760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1</v>
          </cell>
          <cell r="R154">
            <v>3</v>
          </cell>
          <cell r="S154" t="str">
            <v>none</v>
          </cell>
          <cell r="T154">
            <v>0</v>
          </cell>
          <cell r="U154">
            <v>27</v>
          </cell>
          <cell r="V154">
            <v>3</v>
          </cell>
          <cell r="W154" t="str">
            <v>DL6緑ステージ3</v>
          </cell>
          <cell r="X154">
            <v>0</v>
          </cell>
          <cell r="Y154">
            <v>1</v>
          </cell>
          <cell r="Z154">
            <v>0</v>
          </cell>
          <cell r="AA154">
            <v>1</v>
          </cell>
          <cell r="AB154" t="str">
            <v>anytime</v>
          </cell>
          <cell r="AC154">
            <v>27</v>
          </cell>
          <cell r="AD154">
            <v>6</v>
          </cell>
          <cell r="AE154" t="str">
            <v>everyone</v>
          </cell>
        </row>
        <row r="155">
          <cell r="A155" t="str">
            <v>27_5</v>
          </cell>
          <cell r="B155">
            <v>0</v>
          </cell>
          <cell r="C155">
            <v>27</v>
          </cell>
          <cell r="D155">
            <v>0</v>
          </cell>
          <cell r="E155" t="str">
            <v>緑DL6</v>
          </cell>
          <cell r="F155">
            <v>5</v>
          </cell>
          <cell r="G155" t="str">
            <v>ja</v>
          </cell>
          <cell r="H155" t="str">
            <v>DL6緑ステージ5</v>
          </cell>
          <cell r="J155" t="str">
            <v>NULL</v>
          </cell>
          <cell r="K155">
            <v>15</v>
          </cell>
          <cell r="L155">
            <v>14880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1</v>
          </cell>
          <cell r="R155">
            <v>3</v>
          </cell>
          <cell r="S155" t="str">
            <v>none</v>
          </cell>
          <cell r="T155">
            <v>0</v>
          </cell>
          <cell r="U155">
            <v>27</v>
          </cell>
          <cell r="V155">
            <v>4</v>
          </cell>
          <cell r="W155" t="str">
            <v>DL6緑ステージ4</v>
          </cell>
          <cell r="X155">
            <v>0</v>
          </cell>
          <cell r="Y155">
            <v>1</v>
          </cell>
          <cell r="Z155">
            <v>0</v>
          </cell>
          <cell r="AA155">
            <v>1</v>
          </cell>
          <cell r="AB155" t="str">
            <v>anytime</v>
          </cell>
          <cell r="AC155">
            <v>27</v>
          </cell>
          <cell r="AD155">
            <v>6</v>
          </cell>
          <cell r="AE155" t="str">
            <v>everyone</v>
          </cell>
        </row>
        <row r="156">
          <cell r="A156" t="str">
            <v>27_6</v>
          </cell>
          <cell r="B156">
            <v>0</v>
          </cell>
          <cell r="C156">
            <v>27</v>
          </cell>
          <cell r="D156">
            <v>0</v>
          </cell>
          <cell r="E156" t="str">
            <v>緑DL6</v>
          </cell>
          <cell r="F156">
            <v>6</v>
          </cell>
          <cell r="G156" t="str">
            <v>ja</v>
          </cell>
          <cell r="H156" t="str">
            <v>【1回のみ】ボーナスステージ</v>
          </cell>
          <cell r="I156" t="str">
            <v>ボーナス</v>
          </cell>
          <cell r="J156">
            <v>338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1</v>
          </cell>
          <cell r="R156">
            <v>3</v>
          </cell>
          <cell r="S156" t="str">
            <v>none</v>
          </cell>
          <cell r="T156">
            <v>0</v>
          </cell>
          <cell r="U156">
            <v>27</v>
          </cell>
          <cell r="V156">
            <v>5</v>
          </cell>
          <cell r="W156" t="str">
            <v>DL6緑ステージ5</v>
          </cell>
          <cell r="X156">
            <v>0</v>
          </cell>
          <cell r="Y156">
            <v>1</v>
          </cell>
          <cell r="Z156">
            <v>0</v>
          </cell>
          <cell r="AA156">
            <v>1</v>
          </cell>
          <cell r="AB156" t="str">
            <v>once</v>
          </cell>
          <cell r="AC156">
            <v>27</v>
          </cell>
          <cell r="AD156">
            <v>6</v>
          </cell>
          <cell r="AE156" t="str">
            <v>singleonly</v>
          </cell>
        </row>
        <row r="157">
          <cell r="A157" t="str">
            <v>28_1</v>
          </cell>
          <cell r="B157">
            <v>0</v>
          </cell>
          <cell r="C157">
            <v>28</v>
          </cell>
          <cell r="D157">
            <v>0</v>
          </cell>
          <cell r="E157" t="str">
            <v>黄DL6</v>
          </cell>
          <cell r="F157">
            <v>1</v>
          </cell>
          <cell r="G157" t="str">
            <v>ja</v>
          </cell>
          <cell r="H157" t="str">
            <v>DL6黄ステージ1</v>
          </cell>
          <cell r="J157" t="str">
            <v>NULL</v>
          </cell>
          <cell r="K157">
            <v>14</v>
          </cell>
          <cell r="L157">
            <v>15000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1</v>
          </cell>
          <cell r="R157">
            <v>3</v>
          </cell>
          <cell r="S157" t="str">
            <v>none</v>
          </cell>
          <cell r="T157">
            <v>0</v>
          </cell>
          <cell r="U157">
            <v>27</v>
          </cell>
          <cell r="V157">
            <v>6</v>
          </cell>
          <cell r="W157" t="str">
            <v>【1回のみ】ボーナスステージ</v>
          </cell>
          <cell r="X157">
            <v>1</v>
          </cell>
          <cell r="Y157">
            <v>0</v>
          </cell>
          <cell r="Z157">
            <v>1</v>
          </cell>
          <cell r="AA157">
            <v>0</v>
          </cell>
          <cell r="AB157" t="str">
            <v>anytime</v>
          </cell>
          <cell r="AC157">
            <v>28</v>
          </cell>
          <cell r="AD157">
            <v>6</v>
          </cell>
          <cell r="AE157" t="str">
            <v>everyone</v>
          </cell>
        </row>
        <row r="158">
          <cell r="A158" t="str">
            <v>28_2</v>
          </cell>
          <cell r="B158">
            <v>0</v>
          </cell>
          <cell r="C158">
            <v>28</v>
          </cell>
          <cell r="D158">
            <v>0</v>
          </cell>
          <cell r="E158" t="str">
            <v>黄DL6</v>
          </cell>
          <cell r="F158">
            <v>2</v>
          </cell>
          <cell r="G158" t="str">
            <v>ja</v>
          </cell>
          <cell r="H158" t="str">
            <v>DL6黄ステージ2</v>
          </cell>
          <cell r="J158" t="str">
            <v>NULL</v>
          </cell>
          <cell r="K158">
            <v>14</v>
          </cell>
          <cell r="L158">
            <v>15120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1</v>
          </cell>
          <cell r="R158">
            <v>3</v>
          </cell>
          <cell r="S158" t="str">
            <v>none</v>
          </cell>
          <cell r="T158">
            <v>0</v>
          </cell>
          <cell r="U158">
            <v>28</v>
          </cell>
          <cell r="V158">
            <v>1</v>
          </cell>
          <cell r="W158" t="str">
            <v>DL6黄ステージ1</v>
          </cell>
          <cell r="X158">
            <v>1</v>
          </cell>
          <cell r="Y158">
            <v>0</v>
          </cell>
          <cell r="Z158">
            <v>1</v>
          </cell>
          <cell r="AA158">
            <v>0</v>
          </cell>
          <cell r="AB158" t="str">
            <v>anytime</v>
          </cell>
          <cell r="AC158">
            <v>28</v>
          </cell>
          <cell r="AD158">
            <v>6</v>
          </cell>
          <cell r="AE158" t="str">
            <v>everyone</v>
          </cell>
        </row>
        <row r="159">
          <cell r="A159" t="str">
            <v>28_3</v>
          </cell>
          <cell r="B159">
            <v>0</v>
          </cell>
          <cell r="C159">
            <v>28</v>
          </cell>
          <cell r="D159">
            <v>0</v>
          </cell>
          <cell r="E159" t="str">
            <v>黄DL6</v>
          </cell>
          <cell r="F159">
            <v>3</v>
          </cell>
          <cell r="G159" t="str">
            <v>ja</v>
          </cell>
          <cell r="H159" t="str">
            <v>DL6黄ステージ3</v>
          </cell>
          <cell r="J159" t="str">
            <v>NULL</v>
          </cell>
          <cell r="K159">
            <v>14</v>
          </cell>
          <cell r="L159">
            <v>15240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1</v>
          </cell>
          <cell r="R159">
            <v>3</v>
          </cell>
          <cell r="S159" t="str">
            <v>none</v>
          </cell>
          <cell r="T159">
            <v>0</v>
          </cell>
          <cell r="U159">
            <v>28</v>
          </cell>
          <cell r="V159">
            <v>2</v>
          </cell>
          <cell r="W159" t="str">
            <v>DL6黄ステージ2</v>
          </cell>
          <cell r="X159">
            <v>1</v>
          </cell>
          <cell r="Y159">
            <v>0</v>
          </cell>
          <cell r="Z159">
            <v>1</v>
          </cell>
          <cell r="AA159">
            <v>0</v>
          </cell>
          <cell r="AB159" t="str">
            <v>anytime</v>
          </cell>
          <cell r="AC159">
            <v>28</v>
          </cell>
          <cell r="AD159">
            <v>6</v>
          </cell>
          <cell r="AE159" t="str">
            <v>everyone</v>
          </cell>
        </row>
        <row r="160">
          <cell r="A160" t="str">
            <v>28_4</v>
          </cell>
          <cell r="B160">
            <v>0</v>
          </cell>
          <cell r="C160">
            <v>28</v>
          </cell>
          <cell r="D160">
            <v>0</v>
          </cell>
          <cell r="E160" t="str">
            <v>黄DL6</v>
          </cell>
          <cell r="F160">
            <v>4</v>
          </cell>
          <cell r="G160" t="str">
            <v>ja</v>
          </cell>
          <cell r="H160" t="str">
            <v>DL6黄ステージ4</v>
          </cell>
          <cell r="J160" t="str">
            <v>NULL</v>
          </cell>
          <cell r="K160">
            <v>14</v>
          </cell>
          <cell r="L160">
            <v>15360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1</v>
          </cell>
          <cell r="R160">
            <v>3</v>
          </cell>
          <cell r="S160" t="str">
            <v>none</v>
          </cell>
          <cell r="T160">
            <v>0</v>
          </cell>
          <cell r="U160">
            <v>28</v>
          </cell>
          <cell r="V160">
            <v>3</v>
          </cell>
          <cell r="W160" t="str">
            <v>DL6黄ステージ3</v>
          </cell>
          <cell r="X160">
            <v>1</v>
          </cell>
          <cell r="Y160">
            <v>0</v>
          </cell>
          <cell r="Z160">
            <v>1</v>
          </cell>
          <cell r="AA160">
            <v>0</v>
          </cell>
          <cell r="AB160" t="str">
            <v>anytime</v>
          </cell>
          <cell r="AC160">
            <v>28</v>
          </cell>
          <cell r="AD160">
            <v>6</v>
          </cell>
          <cell r="AE160" t="str">
            <v>everyone</v>
          </cell>
        </row>
        <row r="161">
          <cell r="A161" t="str">
            <v>28_5</v>
          </cell>
          <cell r="B161">
            <v>0</v>
          </cell>
          <cell r="C161">
            <v>28</v>
          </cell>
          <cell r="D161">
            <v>0</v>
          </cell>
          <cell r="E161" t="str">
            <v>黄DL6</v>
          </cell>
          <cell r="F161">
            <v>5</v>
          </cell>
          <cell r="G161" t="str">
            <v>ja</v>
          </cell>
          <cell r="H161" t="str">
            <v>DL6黄ステージ5</v>
          </cell>
          <cell r="J161" t="str">
            <v>NULL</v>
          </cell>
          <cell r="K161">
            <v>15</v>
          </cell>
          <cell r="L161">
            <v>15480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1</v>
          </cell>
          <cell r="R161">
            <v>3</v>
          </cell>
          <cell r="S161" t="str">
            <v>none</v>
          </cell>
          <cell r="T161">
            <v>0</v>
          </cell>
          <cell r="U161">
            <v>28</v>
          </cell>
          <cell r="V161">
            <v>4</v>
          </cell>
          <cell r="W161" t="str">
            <v>DL6黄ステージ4</v>
          </cell>
          <cell r="X161">
            <v>1</v>
          </cell>
          <cell r="Y161">
            <v>0</v>
          </cell>
          <cell r="Z161">
            <v>1</v>
          </cell>
          <cell r="AA161">
            <v>0</v>
          </cell>
          <cell r="AB161" t="str">
            <v>anytime</v>
          </cell>
          <cell r="AC161">
            <v>28</v>
          </cell>
          <cell r="AD161">
            <v>6</v>
          </cell>
          <cell r="AE161" t="str">
            <v>everyone</v>
          </cell>
        </row>
        <row r="162">
          <cell r="A162" t="str">
            <v>28_6</v>
          </cell>
          <cell r="B162">
            <v>0</v>
          </cell>
          <cell r="C162">
            <v>28</v>
          </cell>
          <cell r="D162">
            <v>0</v>
          </cell>
          <cell r="E162" t="str">
            <v>黄DL6</v>
          </cell>
          <cell r="F162">
            <v>6</v>
          </cell>
          <cell r="G162" t="str">
            <v>ja</v>
          </cell>
          <cell r="H162" t="str">
            <v>ボーナスステージ</v>
          </cell>
          <cell r="I162" t="str">
            <v>ボーナス</v>
          </cell>
          <cell r="J162">
            <v>346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1</v>
          </cell>
          <cell r="R162">
            <v>3</v>
          </cell>
          <cell r="S162" t="str">
            <v>none</v>
          </cell>
          <cell r="T162">
            <v>0</v>
          </cell>
          <cell r="U162">
            <v>28</v>
          </cell>
          <cell r="V162">
            <v>5</v>
          </cell>
          <cell r="W162" t="str">
            <v>DL6黄ステージ5</v>
          </cell>
          <cell r="X162">
            <v>1</v>
          </cell>
          <cell r="Y162">
            <v>0</v>
          </cell>
          <cell r="Z162">
            <v>1</v>
          </cell>
          <cell r="AA162">
            <v>0</v>
          </cell>
          <cell r="AB162" t="str">
            <v>once</v>
          </cell>
          <cell r="AC162">
            <v>28</v>
          </cell>
          <cell r="AD162">
            <v>6</v>
          </cell>
          <cell r="AE162" t="str">
            <v>singleonly</v>
          </cell>
        </row>
        <row r="163">
          <cell r="A163" t="str">
            <v>29_1</v>
          </cell>
          <cell r="B163">
            <v>0</v>
          </cell>
          <cell r="C163">
            <v>29</v>
          </cell>
          <cell r="D163">
            <v>0</v>
          </cell>
          <cell r="E163" t="str">
            <v>青DL6</v>
          </cell>
          <cell r="F163">
            <v>1</v>
          </cell>
          <cell r="G163" t="str">
            <v>ja</v>
          </cell>
          <cell r="H163" t="str">
            <v>DL6青ステージ1</v>
          </cell>
          <cell r="J163" t="str">
            <v>NULL</v>
          </cell>
          <cell r="K163">
            <v>14</v>
          </cell>
          <cell r="L163">
            <v>15600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1</v>
          </cell>
          <cell r="R163">
            <v>3</v>
          </cell>
          <cell r="S163" t="str">
            <v>none</v>
          </cell>
          <cell r="T163">
            <v>0</v>
          </cell>
          <cell r="U163">
            <v>28</v>
          </cell>
          <cell r="V163">
            <v>6</v>
          </cell>
          <cell r="W163" t="str">
            <v>ボーナスステージ</v>
          </cell>
          <cell r="X163">
            <v>0</v>
          </cell>
          <cell r="Y163">
            <v>0</v>
          </cell>
          <cell r="Z163">
            <v>1</v>
          </cell>
          <cell r="AA163">
            <v>1</v>
          </cell>
          <cell r="AB163" t="str">
            <v>anytime</v>
          </cell>
          <cell r="AC163">
            <v>29</v>
          </cell>
          <cell r="AD163">
            <v>6</v>
          </cell>
          <cell r="AE163" t="str">
            <v>everyone</v>
          </cell>
        </row>
        <row r="164">
          <cell r="A164" t="str">
            <v>29_2</v>
          </cell>
          <cell r="B164">
            <v>0</v>
          </cell>
          <cell r="C164">
            <v>29</v>
          </cell>
          <cell r="D164">
            <v>0</v>
          </cell>
          <cell r="E164" t="str">
            <v>青DL6</v>
          </cell>
          <cell r="F164">
            <v>2</v>
          </cell>
          <cell r="G164" t="str">
            <v>ja</v>
          </cell>
          <cell r="H164" t="str">
            <v>DL6青ステージ2</v>
          </cell>
          <cell r="J164" t="str">
            <v>NULL</v>
          </cell>
          <cell r="K164">
            <v>14</v>
          </cell>
          <cell r="L164">
            <v>15720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1</v>
          </cell>
          <cell r="R164">
            <v>3</v>
          </cell>
          <cell r="S164" t="str">
            <v>none</v>
          </cell>
          <cell r="T164">
            <v>0</v>
          </cell>
          <cell r="U164">
            <v>29</v>
          </cell>
          <cell r="V164">
            <v>1</v>
          </cell>
          <cell r="W164" t="str">
            <v>DL6青ステージ1</v>
          </cell>
          <cell r="X164">
            <v>0</v>
          </cell>
          <cell r="Y164">
            <v>0</v>
          </cell>
          <cell r="Z164">
            <v>1</v>
          </cell>
          <cell r="AA164">
            <v>1</v>
          </cell>
          <cell r="AB164" t="str">
            <v>anytime</v>
          </cell>
          <cell r="AC164">
            <v>29</v>
          </cell>
          <cell r="AD164">
            <v>6</v>
          </cell>
          <cell r="AE164" t="str">
            <v>everyone</v>
          </cell>
        </row>
        <row r="165">
          <cell r="A165" t="str">
            <v>29_3</v>
          </cell>
          <cell r="B165">
            <v>0</v>
          </cell>
          <cell r="C165">
            <v>29</v>
          </cell>
          <cell r="D165">
            <v>0</v>
          </cell>
          <cell r="E165" t="str">
            <v>青DL6</v>
          </cell>
          <cell r="F165">
            <v>3</v>
          </cell>
          <cell r="G165" t="str">
            <v>ja</v>
          </cell>
          <cell r="H165" t="str">
            <v>DL6青ステージ3</v>
          </cell>
          <cell r="J165" t="str">
            <v>NULL</v>
          </cell>
          <cell r="K165">
            <v>14</v>
          </cell>
          <cell r="L165">
            <v>15840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1</v>
          </cell>
          <cell r="R165">
            <v>3</v>
          </cell>
          <cell r="S165" t="str">
            <v>none</v>
          </cell>
          <cell r="T165">
            <v>0</v>
          </cell>
          <cell r="U165">
            <v>29</v>
          </cell>
          <cell r="V165">
            <v>2</v>
          </cell>
          <cell r="W165" t="str">
            <v>DL6青ステージ2</v>
          </cell>
          <cell r="X165">
            <v>0</v>
          </cell>
          <cell r="Y165">
            <v>0</v>
          </cell>
          <cell r="Z165">
            <v>1</v>
          </cell>
          <cell r="AA165">
            <v>1</v>
          </cell>
          <cell r="AB165" t="str">
            <v>anytime</v>
          </cell>
          <cell r="AC165">
            <v>29</v>
          </cell>
          <cell r="AD165">
            <v>6</v>
          </cell>
          <cell r="AE165" t="str">
            <v>everyone</v>
          </cell>
        </row>
        <row r="166">
          <cell r="A166" t="str">
            <v>29_4</v>
          </cell>
          <cell r="B166">
            <v>0</v>
          </cell>
          <cell r="C166">
            <v>29</v>
          </cell>
          <cell r="D166">
            <v>0</v>
          </cell>
          <cell r="E166" t="str">
            <v>青DL6</v>
          </cell>
          <cell r="F166">
            <v>4</v>
          </cell>
          <cell r="G166" t="str">
            <v>ja</v>
          </cell>
          <cell r="H166" t="str">
            <v>DL6青ステージ4</v>
          </cell>
          <cell r="J166" t="str">
            <v>NULL</v>
          </cell>
          <cell r="K166">
            <v>14</v>
          </cell>
          <cell r="L166">
            <v>15960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1</v>
          </cell>
          <cell r="R166">
            <v>3</v>
          </cell>
          <cell r="S166" t="str">
            <v>none</v>
          </cell>
          <cell r="T166">
            <v>0</v>
          </cell>
          <cell r="U166">
            <v>29</v>
          </cell>
          <cell r="V166">
            <v>3</v>
          </cell>
          <cell r="W166" t="str">
            <v>DL6青ステージ3</v>
          </cell>
          <cell r="X166">
            <v>0</v>
          </cell>
          <cell r="Y166">
            <v>0</v>
          </cell>
          <cell r="Z166">
            <v>1</v>
          </cell>
          <cell r="AA166">
            <v>1</v>
          </cell>
          <cell r="AB166" t="str">
            <v>anytime</v>
          </cell>
          <cell r="AC166">
            <v>29</v>
          </cell>
          <cell r="AD166">
            <v>6</v>
          </cell>
          <cell r="AE166" t="str">
            <v>everyone</v>
          </cell>
        </row>
        <row r="167">
          <cell r="A167" t="str">
            <v>29_5</v>
          </cell>
          <cell r="B167">
            <v>0</v>
          </cell>
          <cell r="C167">
            <v>29</v>
          </cell>
          <cell r="D167">
            <v>0</v>
          </cell>
          <cell r="E167" t="str">
            <v>青DL6</v>
          </cell>
          <cell r="F167">
            <v>5</v>
          </cell>
          <cell r="G167" t="str">
            <v>ja</v>
          </cell>
          <cell r="H167" t="str">
            <v>DL6青ステージ5</v>
          </cell>
          <cell r="J167" t="str">
            <v>NULL</v>
          </cell>
          <cell r="K167">
            <v>15</v>
          </cell>
          <cell r="L167">
            <v>16080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1</v>
          </cell>
          <cell r="R167">
            <v>3</v>
          </cell>
          <cell r="S167" t="str">
            <v>none</v>
          </cell>
          <cell r="T167">
            <v>0</v>
          </cell>
          <cell r="U167">
            <v>29</v>
          </cell>
          <cell r="V167">
            <v>4</v>
          </cell>
          <cell r="W167" t="str">
            <v>DL6青ステージ4</v>
          </cell>
          <cell r="X167">
            <v>0</v>
          </cell>
          <cell r="Y167">
            <v>0</v>
          </cell>
          <cell r="Z167">
            <v>1</v>
          </cell>
          <cell r="AA167">
            <v>1</v>
          </cell>
          <cell r="AB167" t="str">
            <v>anytime</v>
          </cell>
          <cell r="AC167">
            <v>29</v>
          </cell>
          <cell r="AD167">
            <v>6</v>
          </cell>
          <cell r="AE167" t="str">
            <v>everyone</v>
          </cell>
        </row>
        <row r="168">
          <cell r="A168" t="str">
            <v>29_6</v>
          </cell>
          <cell r="B168">
            <v>0</v>
          </cell>
          <cell r="C168">
            <v>29</v>
          </cell>
          <cell r="D168">
            <v>0</v>
          </cell>
          <cell r="E168" t="str">
            <v>青DL6</v>
          </cell>
          <cell r="F168">
            <v>6</v>
          </cell>
          <cell r="G168" t="str">
            <v>ja</v>
          </cell>
          <cell r="H168" t="str">
            <v>【1回のみ】ボーナスステージ</v>
          </cell>
          <cell r="I168" t="str">
            <v>ボーナス</v>
          </cell>
          <cell r="J168">
            <v>342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1</v>
          </cell>
          <cell r="R168">
            <v>3</v>
          </cell>
          <cell r="S168" t="str">
            <v>none</v>
          </cell>
          <cell r="T168">
            <v>0</v>
          </cell>
          <cell r="U168">
            <v>29</v>
          </cell>
          <cell r="V168">
            <v>5</v>
          </cell>
          <cell r="W168" t="str">
            <v>DL6青ステージ5</v>
          </cell>
          <cell r="X168">
            <v>0</v>
          </cell>
          <cell r="Y168">
            <v>0</v>
          </cell>
          <cell r="Z168">
            <v>1</v>
          </cell>
          <cell r="AA168">
            <v>1</v>
          </cell>
          <cell r="AB168" t="str">
            <v>once</v>
          </cell>
          <cell r="AC168">
            <v>29</v>
          </cell>
          <cell r="AD168">
            <v>6</v>
          </cell>
          <cell r="AE168" t="str">
            <v>singleonly</v>
          </cell>
        </row>
        <row r="169">
          <cell r="A169" t="str">
            <v>30_1</v>
          </cell>
          <cell r="B169">
            <v>0</v>
          </cell>
          <cell r="C169">
            <v>30</v>
          </cell>
          <cell r="D169">
            <v>0</v>
          </cell>
          <cell r="E169" t="str">
            <v>赤DL6</v>
          </cell>
          <cell r="F169">
            <v>1</v>
          </cell>
          <cell r="G169" t="str">
            <v>ja</v>
          </cell>
          <cell r="H169" t="str">
            <v>DL6赤ステージ1</v>
          </cell>
          <cell r="J169" t="str">
            <v>NULL</v>
          </cell>
          <cell r="K169">
            <v>14</v>
          </cell>
          <cell r="L169">
            <v>16200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  <cell r="R169">
            <v>3</v>
          </cell>
          <cell r="S169" t="str">
            <v>none</v>
          </cell>
          <cell r="T169">
            <v>0</v>
          </cell>
          <cell r="U169">
            <v>29</v>
          </cell>
          <cell r="V169">
            <v>6</v>
          </cell>
          <cell r="W169" t="str">
            <v>【1回のみ】ボーナスステージ</v>
          </cell>
          <cell r="X169">
            <v>1</v>
          </cell>
          <cell r="Y169">
            <v>1</v>
          </cell>
          <cell r="Z169">
            <v>0</v>
          </cell>
          <cell r="AA169">
            <v>0</v>
          </cell>
          <cell r="AB169" t="str">
            <v>anytime</v>
          </cell>
          <cell r="AC169">
            <v>30</v>
          </cell>
          <cell r="AD169">
            <v>6</v>
          </cell>
          <cell r="AE169" t="str">
            <v>everyone</v>
          </cell>
        </row>
        <row r="170">
          <cell r="A170" t="str">
            <v>30_2</v>
          </cell>
          <cell r="B170">
            <v>0</v>
          </cell>
          <cell r="C170">
            <v>30</v>
          </cell>
          <cell r="D170">
            <v>0</v>
          </cell>
          <cell r="E170" t="str">
            <v>赤DL6</v>
          </cell>
          <cell r="F170">
            <v>2</v>
          </cell>
          <cell r="G170" t="str">
            <v>ja</v>
          </cell>
          <cell r="H170" t="str">
            <v>DL6赤ステージ2</v>
          </cell>
          <cell r="J170" t="str">
            <v>NULL</v>
          </cell>
          <cell r="K170">
            <v>14</v>
          </cell>
          <cell r="L170">
            <v>16320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3</v>
          </cell>
          <cell r="S170" t="str">
            <v>none</v>
          </cell>
          <cell r="T170">
            <v>0</v>
          </cell>
          <cell r="U170">
            <v>30</v>
          </cell>
          <cell r="V170">
            <v>1</v>
          </cell>
          <cell r="W170" t="str">
            <v>DL6赤ステージ1</v>
          </cell>
          <cell r="X170">
            <v>1</v>
          </cell>
          <cell r="Y170">
            <v>1</v>
          </cell>
          <cell r="Z170">
            <v>0</v>
          </cell>
          <cell r="AA170">
            <v>0</v>
          </cell>
          <cell r="AB170" t="str">
            <v>anytime</v>
          </cell>
          <cell r="AC170">
            <v>30</v>
          </cell>
          <cell r="AD170">
            <v>6</v>
          </cell>
          <cell r="AE170" t="str">
            <v>everyone</v>
          </cell>
        </row>
        <row r="171">
          <cell r="A171" t="str">
            <v>30_3</v>
          </cell>
          <cell r="B171">
            <v>0</v>
          </cell>
          <cell r="C171">
            <v>30</v>
          </cell>
          <cell r="D171">
            <v>0</v>
          </cell>
          <cell r="E171" t="str">
            <v>赤DL6</v>
          </cell>
          <cell r="F171">
            <v>3</v>
          </cell>
          <cell r="G171" t="str">
            <v>ja</v>
          </cell>
          <cell r="H171" t="str">
            <v>DL6赤ステージ3</v>
          </cell>
          <cell r="J171" t="str">
            <v>NULL</v>
          </cell>
          <cell r="K171">
            <v>14</v>
          </cell>
          <cell r="L171">
            <v>16440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1</v>
          </cell>
          <cell r="R171">
            <v>3</v>
          </cell>
          <cell r="S171" t="str">
            <v>none</v>
          </cell>
          <cell r="T171">
            <v>0</v>
          </cell>
          <cell r="U171">
            <v>30</v>
          </cell>
          <cell r="V171">
            <v>2</v>
          </cell>
          <cell r="W171" t="str">
            <v>DL6赤ステージ2</v>
          </cell>
          <cell r="X171">
            <v>1</v>
          </cell>
          <cell r="Y171">
            <v>1</v>
          </cell>
          <cell r="Z171">
            <v>0</v>
          </cell>
          <cell r="AA171">
            <v>0</v>
          </cell>
          <cell r="AB171" t="str">
            <v>anytime</v>
          </cell>
          <cell r="AC171">
            <v>30</v>
          </cell>
          <cell r="AD171">
            <v>6</v>
          </cell>
          <cell r="AE171" t="str">
            <v>everyone</v>
          </cell>
        </row>
        <row r="172">
          <cell r="A172" t="str">
            <v>30_4</v>
          </cell>
          <cell r="B172">
            <v>0</v>
          </cell>
          <cell r="C172">
            <v>30</v>
          </cell>
          <cell r="D172">
            <v>0</v>
          </cell>
          <cell r="E172" t="str">
            <v>赤DL6</v>
          </cell>
          <cell r="F172">
            <v>4</v>
          </cell>
          <cell r="G172" t="str">
            <v>ja</v>
          </cell>
          <cell r="H172" t="str">
            <v>DL6赤ステージ4</v>
          </cell>
          <cell r="J172" t="str">
            <v>NULL</v>
          </cell>
          <cell r="K172">
            <v>14</v>
          </cell>
          <cell r="L172">
            <v>16560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1</v>
          </cell>
          <cell r="R172">
            <v>3</v>
          </cell>
          <cell r="S172" t="str">
            <v>none</v>
          </cell>
          <cell r="T172">
            <v>0</v>
          </cell>
          <cell r="U172">
            <v>30</v>
          </cell>
          <cell r="V172">
            <v>3</v>
          </cell>
          <cell r="W172" t="str">
            <v>DL6赤ステージ3</v>
          </cell>
          <cell r="X172">
            <v>1</v>
          </cell>
          <cell r="Y172">
            <v>1</v>
          </cell>
          <cell r="Z172">
            <v>0</v>
          </cell>
          <cell r="AA172">
            <v>0</v>
          </cell>
          <cell r="AB172" t="str">
            <v>anytime</v>
          </cell>
          <cell r="AC172">
            <v>30</v>
          </cell>
          <cell r="AD172">
            <v>6</v>
          </cell>
          <cell r="AE172" t="str">
            <v>everyone</v>
          </cell>
        </row>
        <row r="173">
          <cell r="A173" t="str">
            <v>30_5</v>
          </cell>
          <cell r="B173">
            <v>0</v>
          </cell>
          <cell r="C173">
            <v>30</v>
          </cell>
          <cell r="D173">
            <v>0</v>
          </cell>
          <cell r="E173" t="str">
            <v>赤DL6</v>
          </cell>
          <cell r="F173">
            <v>5</v>
          </cell>
          <cell r="G173" t="str">
            <v>ja</v>
          </cell>
          <cell r="H173" t="str">
            <v>DL6赤ステージ5</v>
          </cell>
          <cell r="J173" t="str">
            <v>NULL</v>
          </cell>
          <cell r="K173">
            <v>15</v>
          </cell>
          <cell r="L173">
            <v>16680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3</v>
          </cell>
          <cell r="S173" t="str">
            <v>none</v>
          </cell>
          <cell r="T173">
            <v>0</v>
          </cell>
          <cell r="U173">
            <v>30</v>
          </cell>
          <cell r="V173">
            <v>4</v>
          </cell>
          <cell r="W173" t="str">
            <v>DL6赤ステージ4</v>
          </cell>
          <cell r="X173">
            <v>1</v>
          </cell>
          <cell r="Y173">
            <v>1</v>
          </cell>
          <cell r="Z173">
            <v>0</v>
          </cell>
          <cell r="AA173">
            <v>0</v>
          </cell>
          <cell r="AB173" t="str">
            <v>anytime</v>
          </cell>
          <cell r="AC173">
            <v>30</v>
          </cell>
          <cell r="AD173">
            <v>6</v>
          </cell>
          <cell r="AE173" t="str">
            <v>everyone</v>
          </cell>
        </row>
        <row r="174">
          <cell r="A174" t="str">
            <v>30_6</v>
          </cell>
          <cell r="B174">
            <v>0</v>
          </cell>
          <cell r="C174">
            <v>30</v>
          </cell>
          <cell r="D174">
            <v>0</v>
          </cell>
          <cell r="E174" t="str">
            <v>赤DL6</v>
          </cell>
          <cell r="F174">
            <v>6</v>
          </cell>
          <cell r="G174" t="str">
            <v>ja</v>
          </cell>
          <cell r="H174" t="str">
            <v>【1回のみ】ボーナスステージ</v>
          </cell>
          <cell r="I174" t="str">
            <v>ボーナス</v>
          </cell>
          <cell r="J174">
            <v>334</v>
          </cell>
          <cell r="K174">
            <v>1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1</v>
          </cell>
          <cell r="R174">
            <v>3</v>
          </cell>
          <cell r="S174" t="str">
            <v>none</v>
          </cell>
          <cell r="T174">
            <v>0</v>
          </cell>
          <cell r="U174">
            <v>30</v>
          </cell>
          <cell r="V174">
            <v>5</v>
          </cell>
          <cell r="W174" t="str">
            <v>DL6赤ステージ5</v>
          </cell>
          <cell r="X174">
            <v>1</v>
          </cell>
          <cell r="Y174">
            <v>1</v>
          </cell>
          <cell r="Z174">
            <v>0</v>
          </cell>
          <cell r="AA174">
            <v>0</v>
          </cell>
          <cell r="AB174" t="str">
            <v>once</v>
          </cell>
          <cell r="AC174">
            <v>30</v>
          </cell>
          <cell r="AD174">
            <v>6</v>
          </cell>
          <cell r="AE174" t="str">
            <v>singleonly</v>
          </cell>
        </row>
        <row r="175">
          <cell r="A175" t="str">
            <v>31_1</v>
          </cell>
          <cell r="B175">
            <v>0</v>
          </cell>
          <cell r="C175">
            <v>31</v>
          </cell>
          <cell r="D175">
            <v>0</v>
          </cell>
          <cell r="E175" t="str">
            <v>混色DL6</v>
          </cell>
          <cell r="F175">
            <v>1</v>
          </cell>
          <cell r="G175" t="str">
            <v>ja</v>
          </cell>
          <cell r="H175" t="str">
            <v>DL6混色ステージ1</v>
          </cell>
          <cell r="J175" t="str">
            <v>NULL</v>
          </cell>
          <cell r="K175">
            <v>15</v>
          </cell>
          <cell r="L175">
            <v>16800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1</v>
          </cell>
          <cell r="R175">
            <v>3</v>
          </cell>
          <cell r="S175" t="str">
            <v>none</v>
          </cell>
          <cell r="T175">
            <v>0</v>
          </cell>
          <cell r="U175">
            <v>30</v>
          </cell>
          <cell r="V175">
            <v>6</v>
          </cell>
          <cell r="W175" t="str">
            <v>【1回のみ】ボーナスステージ</v>
          </cell>
          <cell r="X175">
            <v>1</v>
          </cell>
          <cell r="Y175">
            <v>1</v>
          </cell>
          <cell r="Z175">
            <v>1</v>
          </cell>
          <cell r="AA175">
            <v>1</v>
          </cell>
          <cell r="AB175" t="str">
            <v>anytime</v>
          </cell>
          <cell r="AC175">
            <v>31</v>
          </cell>
          <cell r="AD175">
            <v>6</v>
          </cell>
          <cell r="AE175" t="str">
            <v>everyone</v>
          </cell>
        </row>
        <row r="176">
          <cell r="A176" t="str">
            <v>31_2</v>
          </cell>
          <cell r="B176">
            <v>0</v>
          </cell>
          <cell r="C176">
            <v>31</v>
          </cell>
          <cell r="D176">
            <v>0</v>
          </cell>
          <cell r="E176" t="str">
            <v>混色DL6</v>
          </cell>
          <cell r="F176">
            <v>2</v>
          </cell>
          <cell r="G176" t="str">
            <v>ja</v>
          </cell>
          <cell r="H176" t="str">
            <v>DL6混色ステージ2</v>
          </cell>
          <cell r="J176" t="str">
            <v>NULL</v>
          </cell>
          <cell r="K176">
            <v>15</v>
          </cell>
          <cell r="L176">
            <v>16920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1</v>
          </cell>
          <cell r="R176">
            <v>3</v>
          </cell>
          <cell r="S176" t="str">
            <v>none</v>
          </cell>
          <cell r="T176">
            <v>0</v>
          </cell>
          <cell r="U176">
            <v>31</v>
          </cell>
          <cell r="V176">
            <v>1</v>
          </cell>
          <cell r="W176" t="str">
            <v>DL6混色ステージ1</v>
          </cell>
          <cell r="X176">
            <v>1</v>
          </cell>
          <cell r="Y176">
            <v>1</v>
          </cell>
          <cell r="Z176">
            <v>1</v>
          </cell>
          <cell r="AA176">
            <v>1</v>
          </cell>
          <cell r="AB176" t="str">
            <v>anytime</v>
          </cell>
          <cell r="AC176">
            <v>31</v>
          </cell>
          <cell r="AD176">
            <v>6</v>
          </cell>
          <cell r="AE176" t="str">
            <v>everyone</v>
          </cell>
        </row>
        <row r="177">
          <cell r="A177" t="str">
            <v>31_3</v>
          </cell>
          <cell r="B177">
            <v>0</v>
          </cell>
          <cell r="C177">
            <v>31</v>
          </cell>
          <cell r="D177">
            <v>0</v>
          </cell>
          <cell r="E177" t="str">
            <v>混色DL6</v>
          </cell>
          <cell r="F177">
            <v>3</v>
          </cell>
          <cell r="G177" t="str">
            <v>ja</v>
          </cell>
          <cell r="H177" t="str">
            <v>DL6混色ステージ3</v>
          </cell>
          <cell r="J177" t="str">
            <v>NULL</v>
          </cell>
          <cell r="K177">
            <v>15</v>
          </cell>
          <cell r="L177">
            <v>17040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1</v>
          </cell>
          <cell r="R177">
            <v>3</v>
          </cell>
          <cell r="S177" t="str">
            <v>none</v>
          </cell>
          <cell r="T177">
            <v>0</v>
          </cell>
          <cell r="U177">
            <v>31</v>
          </cell>
          <cell r="V177">
            <v>2</v>
          </cell>
          <cell r="W177" t="str">
            <v>DL6混色ステージ2</v>
          </cell>
          <cell r="X177">
            <v>1</v>
          </cell>
          <cell r="Y177">
            <v>1</v>
          </cell>
          <cell r="Z177">
            <v>1</v>
          </cell>
          <cell r="AA177">
            <v>1</v>
          </cell>
          <cell r="AB177" t="str">
            <v>anytime</v>
          </cell>
          <cell r="AC177">
            <v>31</v>
          </cell>
          <cell r="AD177">
            <v>6</v>
          </cell>
          <cell r="AE177" t="str">
            <v>everyone</v>
          </cell>
        </row>
        <row r="178">
          <cell r="A178" t="str">
            <v>31_4</v>
          </cell>
          <cell r="B178">
            <v>0</v>
          </cell>
          <cell r="C178">
            <v>31</v>
          </cell>
          <cell r="D178">
            <v>0</v>
          </cell>
          <cell r="E178" t="str">
            <v>混色DL6</v>
          </cell>
          <cell r="F178">
            <v>4</v>
          </cell>
          <cell r="G178" t="str">
            <v>ja</v>
          </cell>
          <cell r="H178" t="str">
            <v>DL6混色ステージ4</v>
          </cell>
          <cell r="J178" t="str">
            <v>NULL</v>
          </cell>
          <cell r="K178">
            <v>15</v>
          </cell>
          <cell r="L178">
            <v>17160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1</v>
          </cell>
          <cell r="R178">
            <v>3</v>
          </cell>
          <cell r="S178" t="str">
            <v>none</v>
          </cell>
          <cell r="T178">
            <v>0</v>
          </cell>
          <cell r="U178">
            <v>31</v>
          </cell>
          <cell r="V178">
            <v>3</v>
          </cell>
          <cell r="W178" t="str">
            <v>DL6混色ステージ3</v>
          </cell>
          <cell r="X178">
            <v>1</v>
          </cell>
          <cell r="Y178">
            <v>1</v>
          </cell>
          <cell r="Z178">
            <v>1</v>
          </cell>
          <cell r="AA178">
            <v>1</v>
          </cell>
          <cell r="AB178" t="str">
            <v>anytime</v>
          </cell>
          <cell r="AC178">
            <v>31</v>
          </cell>
          <cell r="AD178">
            <v>6</v>
          </cell>
          <cell r="AE178" t="str">
            <v>everyone</v>
          </cell>
        </row>
        <row r="179">
          <cell r="A179" t="str">
            <v>31_5</v>
          </cell>
          <cell r="B179">
            <v>0</v>
          </cell>
          <cell r="C179">
            <v>31</v>
          </cell>
          <cell r="D179">
            <v>0</v>
          </cell>
          <cell r="E179" t="str">
            <v>混色DL6</v>
          </cell>
          <cell r="F179">
            <v>5</v>
          </cell>
          <cell r="G179" t="str">
            <v>ja</v>
          </cell>
          <cell r="H179" t="str">
            <v>DL6混色ステージ5</v>
          </cell>
          <cell r="J179" t="str">
            <v>NULL</v>
          </cell>
          <cell r="K179">
            <v>16</v>
          </cell>
          <cell r="L179">
            <v>17280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1</v>
          </cell>
          <cell r="R179">
            <v>3</v>
          </cell>
          <cell r="S179" t="str">
            <v>none</v>
          </cell>
          <cell r="T179">
            <v>0</v>
          </cell>
          <cell r="U179">
            <v>31</v>
          </cell>
          <cell r="V179">
            <v>4</v>
          </cell>
          <cell r="W179" t="str">
            <v>DL6混色ステージ4</v>
          </cell>
          <cell r="X179">
            <v>1</v>
          </cell>
          <cell r="Y179">
            <v>1</v>
          </cell>
          <cell r="Z179">
            <v>1</v>
          </cell>
          <cell r="AA179">
            <v>1</v>
          </cell>
          <cell r="AB179" t="str">
            <v>anytime</v>
          </cell>
          <cell r="AC179">
            <v>31</v>
          </cell>
          <cell r="AD179">
            <v>6</v>
          </cell>
          <cell r="AE179" t="str">
            <v>everyone</v>
          </cell>
        </row>
        <row r="180">
          <cell r="A180" t="str">
            <v>31_6</v>
          </cell>
          <cell r="B180">
            <v>0</v>
          </cell>
          <cell r="C180">
            <v>31</v>
          </cell>
          <cell r="D180">
            <v>0</v>
          </cell>
          <cell r="E180" t="str">
            <v>混色DL6</v>
          </cell>
          <cell r="F180">
            <v>6</v>
          </cell>
          <cell r="G180" t="str">
            <v>ja</v>
          </cell>
          <cell r="H180" t="str">
            <v>【1回のみ】ボーナスステージ</v>
          </cell>
          <cell r="I180" t="str">
            <v>ボーナス</v>
          </cell>
          <cell r="J180">
            <v>125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1</v>
          </cell>
          <cell r="R180">
            <v>3</v>
          </cell>
          <cell r="S180" t="str">
            <v>none</v>
          </cell>
          <cell r="T180">
            <v>0</v>
          </cell>
          <cell r="U180">
            <v>31</v>
          </cell>
          <cell r="V180">
            <v>5</v>
          </cell>
          <cell r="W180" t="str">
            <v>DL6混色ステージ5</v>
          </cell>
          <cell r="X180">
            <v>1</v>
          </cell>
          <cell r="Y180">
            <v>1</v>
          </cell>
          <cell r="Z180">
            <v>1</v>
          </cell>
          <cell r="AA180">
            <v>1</v>
          </cell>
          <cell r="AB180" t="str">
            <v>once</v>
          </cell>
          <cell r="AC180">
            <v>31</v>
          </cell>
          <cell r="AD180">
            <v>6</v>
          </cell>
          <cell r="AE180" t="str">
            <v>singleonly</v>
          </cell>
        </row>
        <row r="181">
          <cell r="A181" t="str">
            <v>10008_1</v>
          </cell>
          <cell r="B181">
            <v>3</v>
          </cell>
          <cell r="C181">
            <v>10008</v>
          </cell>
          <cell r="D181" t="str">
            <v>【1回のみ】幸せのカタチ</v>
          </cell>
          <cell r="E181" t="str">
            <v>ランク開放クエスト Lv8</v>
          </cell>
          <cell r="F181">
            <v>1</v>
          </cell>
          <cell r="G181" t="str">
            <v>ja</v>
          </cell>
          <cell r="H181" t="str">
            <v>【1回のみ】幸せのカタチ</v>
          </cell>
          <cell r="I181" t="str">
            <v>攻略用ユニットの入手</v>
          </cell>
          <cell r="J181">
            <v>79</v>
          </cell>
          <cell r="K181">
            <v>3</v>
          </cell>
          <cell r="L181">
            <v>150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1</v>
          </cell>
          <cell r="R181">
            <v>3</v>
          </cell>
          <cell r="S181" t="str">
            <v>character</v>
          </cell>
          <cell r="T181">
            <v>107</v>
          </cell>
          <cell r="U181" t="str">
            <v>NULL</v>
          </cell>
          <cell r="V181" t="str">
            <v>NULL</v>
          </cell>
          <cell r="W181" t="str">
            <v/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 t="str">
            <v>once</v>
          </cell>
          <cell r="AC181">
            <v>1</v>
          </cell>
          <cell r="AD181">
            <v>6</v>
          </cell>
          <cell r="AE181" t="str">
            <v>everyone</v>
          </cell>
        </row>
        <row r="182">
          <cell r="A182" t="str">
            <v>10010_1</v>
          </cell>
          <cell r="B182">
            <v>3</v>
          </cell>
          <cell r="C182">
            <v>10010</v>
          </cell>
          <cell r="D182" t="str">
            <v>【1回のみ】幼女増殖！！</v>
          </cell>
          <cell r="E182" t="str">
            <v>ランク開放クエスト Lv10</v>
          </cell>
          <cell r="F182">
            <v>1</v>
          </cell>
          <cell r="G182" t="str">
            <v>ja</v>
          </cell>
          <cell r="H182" t="str">
            <v>【1回のみ】幼女増殖！！</v>
          </cell>
          <cell r="I182" t="str">
            <v>攻略用ユニットの入手</v>
          </cell>
          <cell r="J182">
            <v>83</v>
          </cell>
          <cell r="K182">
            <v>5</v>
          </cell>
          <cell r="L182">
            <v>275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3</v>
          </cell>
          <cell r="S182" t="str">
            <v>polygon</v>
          </cell>
          <cell r="T182">
            <v>1</v>
          </cell>
          <cell r="U182" t="str">
            <v>NULL</v>
          </cell>
          <cell r="V182" t="str">
            <v>NULL</v>
          </cell>
          <cell r="W182" t="str">
            <v/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 t="str">
            <v>once</v>
          </cell>
          <cell r="AC182">
            <v>1</v>
          </cell>
          <cell r="AD182">
            <v>6</v>
          </cell>
          <cell r="AE182" t="str">
            <v>everyone</v>
          </cell>
        </row>
        <row r="183">
          <cell r="A183" t="str">
            <v>10015_1</v>
          </cell>
          <cell r="B183">
            <v>3</v>
          </cell>
          <cell r="C183">
            <v>10015</v>
          </cell>
          <cell r="D183" t="str">
            <v>【1回のみ】静かなる混乱</v>
          </cell>
          <cell r="E183" t="str">
            <v>ランク開放クエスト Lv15</v>
          </cell>
          <cell r="F183">
            <v>1</v>
          </cell>
          <cell r="G183" t="str">
            <v>ja</v>
          </cell>
          <cell r="H183" t="str">
            <v>【1回のみ】静かなる混乱</v>
          </cell>
          <cell r="I183" t="str">
            <v>攻略用ユニットの入手</v>
          </cell>
          <cell r="J183">
            <v>81</v>
          </cell>
          <cell r="K183">
            <v>7</v>
          </cell>
          <cell r="L183">
            <v>424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3</v>
          </cell>
          <cell r="S183" t="str">
            <v>polygon</v>
          </cell>
          <cell r="T183">
            <v>1</v>
          </cell>
          <cell r="U183" t="str">
            <v>NULL</v>
          </cell>
          <cell r="V183" t="str">
            <v>NULL</v>
          </cell>
          <cell r="W183" t="str">
            <v/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 t="str">
            <v>once</v>
          </cell>
          <cell r="AC183">
            <v>1</v>
          </cell>
          <cell r="AD183">
            <v>6</v>
          </cell>
          <cell r="AE183" t="str">
            <v>everyone</v>
          </cell>
        </row>
        <row r="184">
          <cell r="A184" t="str">
            <v>10020_1</v>
          </cell>
          <cell r="B184">
            <v>3</v>
          </cell>
          <cell r="C184">
            <v>10020</v>
          </cell>
          <cell r="D184" t="str">
            <v>【1回のみ】紅き侵入者</v>
          </cell>
          <cell r="E184" t="str">
            <v>ランク開放クエスト Lv20</v>
          </cell>
          <cell r="F184">
            <v>1</v>
          </cell>
          <cell r="G184" t="str">
            <v>ja</v>
          </cell>
          <cell r="H184" t="str">
            <v>【1回のみ】紅き侵入者</v>
          </cell>
          <cell r="I184" t="str">
            <v>攻略用ユニットの入手</v>
          </cell>
          <cell r="J184">
            <v>77</v>
          </cell>
          <cell r="K184">
            <v>7</v>
          </cell>
          <cell r="L184">
            <v>466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1</v>
          </cell>
          <cell r="R184">
            <v>3</v>
          </cell>
          <cell r="S184" t="str">
            <v>polygon</v>
          </cell>
          <cell r="T184">
            <v>1</v>
          </cell>
          <cell r="U184" t="str">
            <v>NULL</v>
          </cell>
          <cell r="V184" t="str">
            <v>NULL</v>
          </cell>
          <cell r="W184" t="str">
            <v/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 t="str">
            <v>once</v>
          </cell>
          <cell r="AC184">
            <v>1</v>
          </cell>
          <cell r="AD184">
            <v>6</v>
          </cell>
          <cell r="AE184" t="str">
            <v>everyone</v>
          </cell>
        </row>
        <row r="185">
          <cell r="A185" t="str">
            <v>10025_1</v>
          </cell>
          <cell r="B185">
            <v>3</v>
          </cell>
          <cell r="C185">
            <v>10025</v>
          </cell>
          <cell r="D185" t="str">
            <v>【1回のみ】イブとトモダチと狼男</v>
          </cell>
          <cell r="E185" t="str">
            <v>ランク開放クエスト Lv25</v>
          </cell>
          <cell r="F185">
            <v>1</v>
          </cell>
          <cell r="G185" t="str">
            <v>ja</v>
          </cell>
          <cell r="H185" t="str">
            <v>【1回のみ】イブとトモダチと狼男</v>
          </cell>
          <cell r="I185" t="str">
            <v>クリア目標となるクエスト（シングルプレイのみ）</v>
          </cell>
          <cell r="J185" t="str">
            <v>NULL</v>
          </cell>
          <cell r="K185">
            <v>12</v>
          </cell>
          <cell r="L185">
            <v>958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1</v>
          </cell>
          <cell r="R185">
            <v>3</v>
          </cell>
          <cell r="S185" t="str">
            <v>character</v>
          </cell>
          <cell r="T185">
            <v>125</v>
          </cell>
          <cell r="U185" t="str">
            <v>NULL</v>
          </cell>
          <cell r="V185" t="str">
            <v>NULL</v>
          </cell>
          <cell r="W185" t="str">
            <v/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 t="str">
            <v>once</v>
          </cell>
          <cell r="AC185">
            <v>1</v>
          </cell>
          <cell r="AD185">
            <v>6</v>
          </cell>
          <cell r="AE185" t="str">
            <v>everyone</v>
          </cell>
        </row>
        <row r="186">
          <cell r="A186" t="str">
            <v>10030_1</v>
          </cell>
          <cell r="B186">
            <v>3</v>
          </cell>
          <cell r="C186">
            <v>10030</v>
          </cell>
          <cell r="D186" t="str">
            <v>【1回のみ】陸と海</v>
          </cell>
          <cell r="E186" t="str">
            <v>ランク開放クエスト Lv30</v>
          </cell>
          <cell r="F186">
            <v>1</v>
          </cell>
          <cell r="G186" t="str">
            <v>ja</v>
          </cell>
          <cell r="H186" t="str">
            <v>【1回のみ】陸と海</v>
          </cell>
          <cell r="I186" t="str">
            <v>クリア目標となるクエスト（シングルプレイのみ）</v>
          </cell>
          <cell r="J186" t="str">
            <v>NULL</v>
          </cell>
          <cell r="K186">
            <v>14</v>
          </cell>
          <cell r="L186">
            <v>1380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1</v>
          </cell>
          <cell r="R186">
            <v>3</v>
          </cell>
          <cell r="S186" t="str">
            <v>character</v>
          </cell>
          <cell r="T186">
            <v>125</v>
          </cell>
          <cell r="U186" t="str">
            <v>NULL</v>
          </cell>
          <cell r="V186" t="str">
            <v>NULL</v>
          </cell>
          <cell r="W186" t="str">
            <v/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 t="str">
            <v>once</v>
          </cell>
          <cell r="AC186">
            <v>1</v>
          </cell>
          <cell r="AD186">
            <v>6</v>
          </cell>
          <cell r="AE186" t="str">
            <v>everyone</v>
          </cell>
        </row>
        <row r="187">
          <cell r="A187" t="str">
            <v>10035_1</v>
          </cell>
          <cell r="B187">
            <v>3</v>
          </cell>
          <cell r="C187">
            <v>10035</v>
          </cell>
          <cell r="D187" t="str">
            <v>【1回のみ】二人の関係は？</v>
          </cell>
          <cell r="E187" t="str">
            <v>ランク開放クエスト Lv35</v>
          </cell>
          <cell r="F187">
            <v>1</v>
          </cell>
          <cell r="G187" t="str">
            <v>ja</v>
          </cell>
          <cell r="H187" t="str">
            <v>【1回のみ】二人の関係は？</v>
          </cell>
          <cell r="I187" t="str">
            <v>クリア目標となるクエスト（シングルプレイのみ）</v>
          </cell>
          <cell r="J187" t="str">
            <v>NULL</v>
          </cell>
          <cell r="K187">
            <v>17</v>
          </cell>
          <cell r="L187">
            <v>1932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1</v>
          </cell>
          <cell r="R187">
            <v>3</v>
          </cell>
          <cell r="S187" t="str">
            <v>character</v>
          </cell>
          <cell r="T187">
            <v>125</v>
          </cell>
          <cell r="U187" t="str">
            <v>NULL</v>
          </cell>
          <cell r="V187" t="str">
            <v>NULL</v>
          </cell>
          <cell r="W187" t="str">
            <v/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 t="str">
            <v>once</v>
          </cell>
          <cell r="AC187">
            <v>1</v>
          </cell>
          <cell r="AD187">
            <v>6</v>
          </cell>
          <cell r="AE187" t="str">
            <v>everyone</v>
          </cell>
        </row>
        <row r="188">
          <cell r="A188" t="str">
            <v>10040_1</v>
          </cell>
          <cell r="B188">
            <v>3</v>
          </cell>
          <cell r="C188">
            <v>10040</v>
          </cell>
          <cell r="D188" t="str">
            <v>【1回のみ】大地の杖</v>
          </cell>
          <cell r="E188" t="str">
            <v>ランク開放クエスト Lv40</v>
          </cell>
          <cell r="F188">
            <v>1</v>
          </cell>
          <cell r="G188" t="str">
            <v>ja</v>
          </cell>
          <cell r="H188" t="str">
            <v>【1回のみ】大地の杖</v>
          </cell>
          <cell r="I188" t="str">
            <v>クリア目標となるクエスト（シングルプレイのみ）</v>
          </cell>
          <cell r="J188" t="str">
            <v>NULL</v>
          </cell>
          <cell r="K188">
            <v>18</v>
          </cell>
          <cell r="L188">
            <v>2645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1</v>
          </cell>
          <cell r="R188">
            <v>3</v>
          </cell>
          <cell r="S188" t="str">
            <v>character</v>
          </cell>
          <cell r="T188">
            <v>125</v>
          </cell>
          <cell r="U188" t="str">
            <v>NULL</v>
          </cell>
          <cell r="V188" t="str">
            <v>NULL</v>
          </cell>
          <cell r="W188" t="str">
            <v/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 t="str">
            <v>once</v>
          </cell>
          <cell r="AC188">
            <v>1</v>
          </cell>
          <cell r="AD188">
            <v>6</v>
          </cell>
          <cell r="AE188" t="str">
            <v>everyone</v>
          </cell>
        </row>
        <row r="189">
          <cell r="A189" t="str">
            <v>10045_1</v>
          </cell>
          <cell r="B189">
            <v>3</v>
          </cell>
          <cell r="C189">
            <v>10045</v>
          </cell>
          <cell r="D189" t="str">
            <v>【1回のみ】迅雷</v>
          </cell>
          <cell r="E189" t="str">
            <v>ランク開放クエスト Lv45</v>
          </cell>
          <cell r="F189">
            <v>1</v>
          </cell>
          <cell r="G189" t="str">
            <v>ja</v>
          </cell>
          <cell r="H189" t="str">
            <v>【1回のみ】迅雷</v>
          </cell>
          <cell r="I189" t="str">
            <v>クリア目標となるクエスト（シングルプレイのみ）</v>
          </cell>
          <cell r="J189" t="str">
            <v>NULL</v>
          </cell>
          <cell r="K189">
            <v>21</v>
          </cell>
          <cell r="L189">
            <v>3737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1</v>
          </cell>
          <cell r="R189">
            <v>3</v>
          </cell>
          <cell r="S189" t="str">
            <v>character</v>
          </cell>
          <cell r="T189">
            <v>125</v>
          </cell>
          <cell r="U189" t="str">
            <v>NULL</v>
          </cell>
          <cell r="V189" t="str">
            <v>NULL</v>
          </cell>
          <cell r="W189" t="str">
            <v/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 t="str">
            <v>once</v>
          </cell>
          <cell r="AC189">
            <v>1</v>
          </cell>
          <cell r="AD189">
            <v>6</v>
          </cell>
          <cell r="AE189" t="str">
            <v>everyone</v>
          </cell>
        </row>
        <row r="190">
          <cell r="A190" t="str">
            <v>10050_1</v>
          </cell>
          <cell r="B190">
            <v>3</v>
          </cell>
          <cell r="C190">
            <v>10050</v>
          </cell>
          <cell r="D190" t="str">
            <v>【1回のみ】噛み合わない二柱</v>
          </cell>
          <cell r="E190" t="str">
            <v>ランク開放クエスト Lv50</v>
          </cell>
          <cell r="F190">
            <v>1</v>
          </cell>
          <cell r="G190" t="str">
            <v>ja</v>
          </cell>
          <cell r="H190" t="str">
            <v>【1回のみ】噛み合わない二柱</v>
          </cell>
          <cell r="I190" t="str">
            <v>クリア目標となるクエスト（シングルプレイのみ）</v>
          </cell>
          <cell r="J190" t="str">
            <v>NULL</v>
          </cell>
          <cell r="K190">
            <v>22</v>
          </cell>
          <cell r="L190">
            <v>5031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1</v>
          </cell>
          <cell r="R190">
            <v>3</v>
          </cell>
          <cell r="S190" t="str">
            <v>character</v>
          </cell>
          <cell r="T190">
            <v>125</v>
          </cell>
          <cell r="U190" t="str">
            <v>NULL</v>
          </cell>
          <cell r="V190" t="str">
            <v>NULL</v>
          </cell>
          <cell r="W190" t="str">
            <v/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 t="str">
            <v>once</v>
          </cell>
          <cell r="AC190">
            <v>1</v>
          </cell>
          <cell r="AD190">
            <v>6</v>
          </cell>
          <cell r="AE190" t="str">
            <v>everyone</v>
          </cell>
        </row>
        <row r="191">
          <cell r="A191" t="str">
            <v>10055_1</v>
          </cell>
          <cell r="B191">
            <v>3</v>
          </cell>
          <cell r="C191">
            <v>10055</v>
          </cell>
          <cell r="D191" t="str">
            <v>【1回のみ】美女と美獣</v>
          </cell>
          <cell r="E191" t="str">
            <v>ランク開放クエスト Lv55</v>
          </cell>
          <cell r="F191">
            <v>1</v>
          </cell>
          <cell r="G191" t="str">
            <v>ja</v>
          </cell>
          <cell r="H191" t="str">
            <v>【1回のみ】美女と美獣</v>
          </cell>
          <cell r="I191" t="str">
            <v>クリア目標となるクエスト（シングルプレイのみ）</v>
          </cell>
          <cell r="J191" t="str">
            <v>NULL</v>
          </cell>
          <cell r="K191">
            <v>27</v>
          </cell>
          <cell r="L191">
            <v>7012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1</v>
          </cell>
          <cell r="R191">
            <v>3</v>
          </cell>
          <cell r="S191" t="str">
            <v>character</v>
          </cell>
          <cell r="T191">
            <v>125</v>
          </cell>
          <cell r="U191" t="str">
            <v>NULL</v>
          </cell>
          <cell r="V191" t="str">
            <v>NULL</v>
          </cell>
          <cell r="W191" t="str">
            <v/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 t="str">
            <v>once</v>
          </cell>
          <cell r="AC191">
            <v>1</v>
          </cell>
          <cell r="AD191">
            <v>6</v>
          </cell>
          <cell r="AE191" t="str">
            <v>everyone</v>
          </cell>
        </row>
        <row r="192">
          <cell r="A192" t="str">
            <v>10060_1</v>
          </cell>
          <cell r="B192">
            <v>3</v>
          </cell>
          <cell r="C192">
            <v>10060</v>
          </cell>
          <cell r="D192" t="str">
            <v>【1回のみ】東と西の女神</v>
          </cell>
          <cell r="E192" t="str">
            <v>ランク開放クエスト Lv60</v>
          </cell>
          <cell r="F192">
            <v>1</v>
          </cell>
          <cell r="G192" t="str">
            <v>ja</v>
          </cell>
          <cell r="H192" t="str">
            <v>【1回のみ】東と西の女神</v>
          </cell>
          <cell r="I192" t="str">
            <v>クリア目標となるクエスト（シングルプレイのみ）</v>
          </cell>
          <cell r="J192" t="str">
            <v>NULL</v>
          </cell>
          <cell r="K192">
            <v>28</v>
          </cell>
          <cell r="L192">
            <v>8140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1</v>
          </cell>
          <cell r="R192">
            <v>3</v>
          </cell>
          <cell r="S192" t="str">
            <v>character</v>
          </cell>
          <cell r="T192">
            <v>125</v>
          </cell>
          <cell r="U192" t="str">
            <v>NULL</v>
          </cell>
          <cell r="V192" t="str">
            <v>NULL</v>
          </cell>
          <cell r="W192" t="str">
            <v/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 t="str">
            <v>once</v>
          </cell>
          <cell r="AC192">
            <v>1</v>
          </cell>
          <cell r="AD192">
            <v>6</v>
          </cell>
          <cell r="AE192" t="str">
            <v>everyone</v>
          </cell>
        </row>
        <row r="193">
          <cell r="A193" t="str">
            <v>10065_1</v>
          </cell>
          <cell r="B193">
            <v>1</v>
          </cell>
          <cell r="C193">
            <v>10065</v>
          </cell>
          <cell r="D193" t="str">
            <v>【ランク65開放】【1回のみ】 奪還！太陽神！【仮開放】</v>
          </cell>
          <cell r="E193" t="str">
            <v>ランク開放クエスト Lv65</v>
          </cell>
          <cell r="F193">
            <v>1</v>
          </cell>
          <cell r="G193" t="str">
            <v>ja</v>
          </cell>
          <cell r="H193" t="str">
            <v>【ランク65開放】【1回のみ】 奪還！太陽神！【仮開放】</v>
          </cell>
          <cell r="I193" t="str">
            <v>クリア目標となるクエスト（シングルプレイのみ）</v>
          </cell>
          <cell r="J193" t="str">
            <v>NULL</v>
          </cell>
          <cell r="K193">
            <v>22</v>
          </cell>
          <cell r="L193">
            <v>5031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1</v>
          </cell>
          <cell r="R193">
            <v>3</v>
          </cell>
          <cell r="S193" t="str">
            <v>character</v>
          </cell>
          <cell r="T193">
            <v>125</v>
          </cell>
          <cell r="U193" t="str">
            <v>NULL</v>
          </cell>
          <cell r="V193" t="str">
            <v>NULL</v>
          </cell>
          <cell r="W193" t="str">
            <v/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 t="str">
            <v>anytime</v>
          </cell>
          <cell r="AC193">
            <v>1</v>
          </cell>
          <cell r="AD193">
            <v>6</v>
          </cell>
          <cell r="AE193" t="str">
            <v>everyone</v>
          </cell>
        </row>
        <row r="194">
          <cell r="A194" t="str">
            <v>10090_1</v>
          </cell>
          <cell r="B194">
            <v>0</v>
          </cell>
          <cell r="C194">
            <v>10090</v>
          </cell>
          <cell r="D194" t="str">
            <v>【ランク90開放】【1回のみ】 星の降る夜に</v>
          </cell>
          <cell r="E194" t="str">
            <v>ランク開放クエスト Lv90</v>
          </cell>
          <cell r="F194">
            <v>1</v>
          </cell>
          <cell r="G194" t="str">
            <v>ja</v>
          </cell>
          <cell r="H194" t="str">
            <v>【ランク90開放】【1回のみ】 星の降る夜に</v>
          </cell>
          <cell r="I194" t="str">
            <v>クリア目標となるクエスト（シングルプレイのみ）</v>
          </cell>
          <cell r="J194" t="str">
            <v>NULL</v>
          </cell>
          <cell r="K194">
            <v>27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1</v>
          </cell>
          <cell r="R194">
            <v>3</v>
          </cell>
          <cell r="S194" t="str">
            <v>none</v>
          </cell>
          <cell r="T194">
            <v>0</v>
          </cell>
          <cell r="U194" t="str">
            <v>NULL</v>
          </cell>
          <cell r="V194" t="str">
            <v>NULL</v>
          </cell>
          <cell r="W194" t="str">
            <v/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 t="str">
            <v>once</v>
          </cell>
          <cell r="AC194">
            <v>1</v>
          </cell>
          <cell r="AD194">
            <v>6</v>
          </cell>
          <cell r="AE194" t="str">
            <v>everyone</v>
          </cell>
        </row>
        <row r="195">
          <cell r="A195" t="str">
            <v>10100_1</v>
          </cell>
          <cell r="B195">
            <v>0</v>
          </cell>
          <cell r="C195">
            <v>10100</v>
          </cell>
          <cell r="D195" t="str">
            <v>【ランク100開放】【1回のみ】 お前のものは誰のもの？</v>
          </cell>
          <cell r="E195" t="str">
            <v>ランク開放クエスト Lv100</v>
          </cell>
          <cell r="F195">
            <v>1</v>
          </cell>
          <cell r="G195" t="str">
            <v>ja</v>
          </cell>
          <cell r="H195" t="str">
            <v>【ランク100開放】【1回のみ】 お前のものは誰のもの？</v>
          </cell>
          <cell r="I195" t="str">
            <v>クリア目標となるクエスト（シングルプレイのみ）</v>
          </cell>
          <cell r="J195" t="str">
            <v>NULL</v>
          </cell>
          <cell r="K195">
            <v>29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1</v>
          </cell>
          <cell r="R195">
            <v>3</v>
          </cell>
          <cell r="S195" t="str">
            <v>none</v>
          </cell>
          <cell r="T195">
            <v>0</v>
          </cell>
          <cell r="U195" t="str">
            <v>NULL</v>
          </cell>
          <cell r="V195" t="str">
            <v>NULL</v>
          </cell>
          <cell r="W195" t="str">
            <v/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 t="str">
            <v>once</v>
          </cell>
          <cell r="AC195">
            <v>1</v>
          </cell>
          <cell r="AD195">
            <v>6</v>
          </cell>
          <cell r="AE195" t="str">
            <v>everyone</v>
          </cell>
        </row>
        <row r="196">
          <cell r="A196" t="str">
            <v>11001_1</v>
          </cell>
          <cell r="B196">
            <v>3</v>
          </cell>
          <cell r="C196">
            <v>11001</v>
          </cell>
          <cell r="D196" t="str">
            <v>【月曜限定】 黄の素材</v>
          </cell>
          <cell r="E196" t="str">
            <v>月曜クエスト</v>
          </cell>
          <cell r="F196">
            <v>1</v>
          </cell>
          <cell r="G196" t="str">
            <v>ja</v>
          </cell>
          <cell r="H196" t="str">
            <v>【初級】雷のチェシャ猫</v>
          </cell>
          <cell r="I196" t="str">
            <v>初級</v>
          </cell>
          <cell r="J196">
            <v>113</v>
          </cell>
          <cell r="K196">
            <v>8</v>
          </cell>
          <cell r="L196">
            <v>240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1</v>
          </cell>
          <cell r="R196">
            <v>3</v>
          </cell>
          <cell r="S196" t="str">
            <v>none</v>
          </cell>
          <cell r="T196">
            <v>0</v>
          </cell>
          <cell r="U196" t="str">
            <v>NULL</v>
          </cell>
          <cell r="V196" t="str">
            <v>NULL</v>
          </cell>
          <cell r="W196" t="str">
            <v/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 t="str">
            <v>anytime</v>
          </cell>
          <cell r="AC196">
            <v>101</v>
          </cell>
          <cell r="AD196">
            <v>6</v>
          </cell>
          <cell r="AE196" t="str">
            <v>everyone</v>
          </cell>
        </row>
        <row r="197">
          <cell r="A197" t="str">
            <v>11001_2</v>
          </cell>
          <cell r="B197">
            <v>3</v>
          </cell>
          <cell r="C197">
            <v>11001</v>
          </cell>
          <cell r="D197" t="str">
            <v>【月曜限定】 黄の素材</v>
          </cell>
          <cell r="E197" t="str">
            <v>月曜クエスト</v>
          </cell>
          <cell r="F197">
            <v>2</v>
          </cell>
          <cell r="G197" t="str">
            <v>ja</v>
          </cell>
          <cell r="H197" t="str">
            <v>【中級】雷のウサギ</v>
          </cell>
          <cell r="I197" t="str">
            <v>中級</v>
          </cell>
          <cell r="J197">
            <v>114</v>
          </cell>
          <cell r="K197">
            <v>15</v>
          </cell>
          <cell r="L197">
            <v>525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1</v>
          </cell>
          <cell r="R197">
            <v>3</v>
          </cell>
          <cell r="S197" t="str">
            <v>none</v>
          </cell>
          <cell r="T197">
            <v>0</v>
          </cell>
          <cell r="U197" t="str">
            <v>NULL</v>
          </cell>
          <cell r="V197" t="str">
            <v>NULL</v>
          </cell>
          <cell r="W197" t="str">
            <v/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 t="str">
            <v>anytime</v>
          </cell>
          <cell r="AC197">
            <v>101</v>
          </cell>
          <cell r="AD197">
            <v>6</v>
          </cell>
          <cell r="AE197" t="str">
            <v>everyone</v>
          </cell>
        </row>
        <row r="198">
          <cell r="A198" t="str">
            <v>11001_3</v>
          </cell>
          <cell r="B198">
            <v>3</v>
          </cell>
          <cell r="C198">
            <v>11001</v>
          </cell>
          <cell r="D198" t="str">
            <v>【月曜限定】 黄の素材</v>
          </cell>
          <cell r="E198" t="str">
            <v>月曜クエスト</v>
          </cell>
          <cell r="F198">
            <v>3</v>
          </cell>
          <cell r="G198" t="str">
            <v>ja</v>
          </cell>
          <cell r="H198" t="str">
            <v>【上級】雷のイモムシ</v>
          </cell>
          <cell r="I198" t="str">
            <v>上級</v>
          </cell>
          <cell r="J198">
            <v>115</v>
          </cell>
          <cell r="K198">
            <v>20</v>
          </cell>
          <cell r="L198">
            <v>860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1</v>
          </cell>
          <cell r="R198">
            <v>3</v>
          </cell>
          <cell r="S198" t="str">
            <v>none</v>
          </cell>
          <cell r="T198">
            <v>0</v>
          </cell>
          <cell r="U198" t="str">
            <v>NULL</v>
          </cell>
          <cell r="V198" t="str">
            <v>NULL</v>
          </cell>
          <cell r="W198" t="str">
            <v/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 t="str">
            <v>anytime</v>
          </cell>
          <cell r="AC198">
            <v>101</v>
          </cell>
          <cell r="AD198">
            <v>6</v>
          </cell>
          <cell r="AE198" t="str">
            <v>everyone</v>
          </cell>
        </row>
        <row r="199">
          <cell r="A199" t="str">
            <v>11002_1</v>
          </cell>
          <cell r="B199">
            <v>3</v>
          </cell>
          <cell r="C199">
            <v>11002</v>
          </cell>
          <cell r="D199" t="str">
            <v>【火曜限定】 赤の素材</v>
          </cell>
          <cell r="E199" t="str">
            <v>火曜クエスト</v>
          </cell>
          <cell r="F199">
            <v>1</v>
          </cell>
          <cell r="G199" t="str">
            <v>ja</v>
          </cell>
          <cell r="H199" t="str">
            <v xml:space="preserve">【初級】火のチェシャ猫 </v>
          </cell>
          <cell r="I199" t="str">
            <v>初級</v>
          </cell>
          <cell r="J199">
            <v>101</v>
          </cell>
          <cell r="K199">
            <v>8</v>
          </cell>
          <cell r="L199">
            <v>240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1</v>
          </cell>
          <cell r="R199">
            <v>3</v>
          </cell>
          <cell r="S199" t="str">
            <v>none</v>
          </cell>
          <cell r="T199">
            <v>0</v>
          </cell>
          <cell r="U199" t="str">
            <v>NULL</v>
          </cell>
          <cell r="V199" t="str">
            <v>NULL</v>
          </cell>
          <cell r="W199" t="str">
            <v/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 t="str">
            <v>anytime</v>
          </cell>
          <cell r="AC199">
            <v>102</v>
          </cell>
          <cell r="AD199">
            <v>6</v>
          </cell>
          <cell r="AE199" t="str">
            <v>everyone</v>
          </cell>
        </row>
        <row r="200">
          <cell r="A200" t="str">
            <v>11002_2</v>
          </cell>
          <cell r="B200">
            <v>3</v>
          </cell>
          <cell r="C200">
            <v>11002</v>
          </cell>
          <cell r="D200" t="str">
            <v>【火曜限定】 赤の素材</v>
          </cell>
          <cell r="E200" t="str">
            <v>火曜クエスト</v>
          </cell>
          <cell r="F200">
            <v>2</v>
          </cell>
          <cell r="G200" t="str">
            <v>ja</v>
          </cell>
          <cell r="H200" t="str">
            <v xml:space="preserve">【中級】火のウサギ </v>
          </cell>
          <cell r="I200" t="str">
            <v>中級</v>
          </cell>
          <cell r="J200">
            <v>102</v>
          </cell>
          <cell r="K200">
            <v>15</v>
          </cell>
          <cell r="L200">
            <v>525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1</v>
          </cell>
          <cell r="R200">
            <v>3</v>
          </cell>
          <cell r="S200" t="str">
            <v>none</v>
          </cell>
          <cell r="T200">
            <v>0</v>
          </cell>
          <cell r="U200" t="str">
            <v>NULL</v>
          </cell>
          <cell r="V200" t="str">
            <v>NULL</v>
          </cell>
          <cell r="W200" t="str">
            <v/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 t="str">
            <v>anytime</v>
          </cell>
          <cell r="AC200">
            <v>102</v>
          </cell>
          <cell r="AD200">
            <v>6</v>
          </cell>
          <cell r="AE200" t="str">
            <v>everyone</v>
          </cell>
        </row>
        <row r="201">
          <cell r="A201" t="str">
            <v>11002_3</v>
          </cell>
          <cell r="B201">
            <v>3</v>
          </cell>
          <cell r="C201">
            <v>11002</v>
          </cell>
          <cell r="D201" t="str">
            <v>【火曜限定】 赤の素材</v>
          </cell>
          <cell r="E201" t="str">
            <v>火曜クエスト</v>
          </cell>
          <cell r="F201">
            <v>3</v>
          </cell>
          <cell r="G201" t="str">
            <v>ja</v>
          </cell>
          <cell r="H201" t="str">
            <v xml:space="preserve">【上級】火のイモムシ </v>
          </cell>
          <cell r="I201" t="str">
            <v>上級</v>
          </cell>
          <cell r="J201">
            <v>103</v>
          </cell>
          <cell r="K201">
            <v>20</v>
          </cell>
          <cell r="L201">
            <v>860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1</v>
          </cell>
          <cell r="R201">
            <v>3</v>
          </cell>
          <cell r="S201" t="str">
            <v>none</v>
          </cell>
          <cell r="T201">
            <v>0</v>
          </cell>
          <cell r="U201" t="str">
            <v>NULL</v>
          </cell>
          <cell r="V201" t="str">
            <v>NULL</v>
          </cell>
          <cell r="W201" t="str">
            <v/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 t="str">
            <v>anytime</v>
          </cell>
          <cell r="AC201">
            <v>102</v>
          </cell>
          <cell r="AD201">
            <v>6</v>
          </cell>
          <cell r="AE201" t="str">
            <v>everyone</v>
          </cell>
        </row>
        <row r="202">
          <cell r="A202" t="str">
            <v>11003_1</v>
          </cell>
          <cell r="B202">
            <v>3</v>
          </cell>
          <cell r="C202">
            <v>11003</v>
          </cell>
          <cell r="D202" t="str">
            <v>【水曜限定】 青の素材</v>
          </cell>
          <cell r="E202" t="str">
            <v>水曜クエスト</v>
          </cell>
          <cell r="F202">
            <v>1</v>
          </cell>
          <cell r="G202" t="str">
            <v>ja</v>
          </cell>
          <cell r="H202" t="str">
            <v>【初級】水のチェシャ猫</v>
          </cell>
          <cell r="I202" t="str">
            <v>初級</v>
          </cell>
          <cell r="J202">
            <v>109</v>
          </cell>
          <cell r="K202">
            <v>8</v>
          </cell>
          <cell r="L202">
            <v>240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1</v>
          </cell>
          <cell r="R202">
            <v>3</v>
          </cell>
          <cell r="S202" t="str">
            <v>none</v>
          </cell>
          <cell r="T202">
            <v>0</v>
          </cell>
          <cell r="U202" t="str">
            <v>NULL</v>
          </cell>
          <cell r="V202" t="str">
            <v>NULL</v>
          </cell>
          <cell r="W202" t="str">
            <v/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 t="str">
            <v>anytime</v>
          </cell>
          <cell r="AC202">
            <v>103</v>
          </cell>
          <cell r="AD202">
            <v>6</v>
          </cell>
          <cell r="AE202" t="str">
            <v>everyone</v>
          </cell>
        </row>
        <row r="203">
          <cell r="A203" t="str">
            <v>11003_2</v>
          </cell>
          <cell r="B203">
            <v>3</v>
          </cell>
          <cell r="C203">
            <v>11003</v>
          </cell>
          <cell r="D203" t="str">
            <v>【水曜限定】 青の素材</v>
          </cell>
          <cell r="E203" t="str">
            <v>水曜クエスト</v>
          </cell>
          <cell r="F203">
            <v>2</v>
          </cell>
          <cell r="G203" t="str">
            <v>ja</v>
          </cell>
          <cell r="H203" t="str">
            <v xml:space="preserve">【中級】水のウサギ </v>
          </cell>
          <cell r="I203" t="str">
            <v>中級</v>
          </cell>
          <cell r="J203">
            <v>110</v>
          </cell>
          <cell r="K203">
            <v>15</v>
          </cell>
          <cell r="L203">
            <v>525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1</v>
          </cell>
          <cell r="R203">
            <v>3</v>
          </cell>
          <cell r="S203" t="str">
            <v>none</v>
          </cell>
          <cell r="T203">
            <v>0</v>
          </cell>
          <cell r="U203" t="str">
            <v>NULL</v>
          </cell>
          <cell r="V203" t="str">
            <v>NULL</v>
          </cell>
          <cell r="W203" t="str">
            <v/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 t="str">
            <v>anytime</v>
          </cell>
          <cell r="AC203">
            <v>103</v>
          </cell>
          <cell r="AD203">
            <v>6</v>
          </cell>
          <cell r="AE203" t="str">
            <v>everyone</v>
          </cell>
        </row>
        <row r="204">
          <cell r="A204" t="str">
            <v>11003_3</v>
          </cell>
          <cell r="B204">
            <v>3</v>
          </cell>
          <cell r="C204">
            <v>11003</v>
          </cell>
          <cell r="D204" t="str">
            <v>【水曜限定】 青の素材</v>
          </cell>
          <cell r="E204" t="str">
            <v>水曜クエスト</v>
          </cell>
          <cell r="F204">
            <v>3</v>
          </cell>
          <cell r="G204" t="str">
            <v>ja</v>
          </cell>
          <cell r="H204" t="str">
            <v>【上級】水のイモムシ</v>
          </cell>
          <cell r="I204" t="str">
            <v>上級</v>
          </cell>
          <cell r="J204">
            <v>111</v>
          </cell>
          <cell r="K204">
            <v>20</v>
          </cell>
          <cell r="L204">
            <v>860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1</v>
          </cell>
          <cell r="R204">
            <v>3</v>
          </cell>
          <cell r="S204" t="str">
            <v>none</v>
          </cell>
          <cell r="T204">
            <v>0</v>
          </cell>
          <cell r="U204" t="str">
            <v>NULL</v>
          </cell>
          <cell r="V204" t="str">
            <v>NULL</v>
          </cell>
          <cell r="W204" t="str">
            <v/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 t="str">
            <v>anytime</v>
          </cell>
          <cell r="AC204">
            <v>103</v>
          </cell>
          <cell r="AD204">
            <v>6</v>
          </cell>
          <cell r="AE204" t="str">
            <v>everyone</v>
          </cell>
        </row>
        <row r="205">
          <cell r="A205" t="str">
            <v>11004_1</v>
          </cell>
          <cell r="B205">
            <v>3</v>
          </cell>
          <cell r="C205">
            <v>11004</v>
          </cell>
          <cell r="D205" t="str">
            <v>【木曜限定】 緑の素材</v>
          </cell>
          <cell r="E205" t="str">
            <v>木曜クエスト</v>
          </cell>
          <cell r="F205">
            <v>1</v>
          </cell>
          <cell r="G205" t="str">
            <v>ja</v>
          </cell>
          <cell r="H205" t="str">
            <v xml:space="preserve">【初級】樹のチェシャ猫 </v>
          </cell>
          <cell r="I205" t="str">
            <v>初級</v>
          </cell>
          <cell r="J205">
            <v>105</v>
          </cell>
          <cell r="K205">
            <v>8</v>
          </cell>
          <cell r="L205">
            <v>240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R205">
            <v>3</v>
          </cell>
          <cell r="S205" t="str">
            <v>none</v>
          </cell>
          <cell r="T205">
            <v>0</v>
          </cell>
          <cell r="U205" t="str">
            <v>NULL</v>
          </cell>
          <cell r="V205" t="str">
            <v>NULL</v>
          </cell>
          <cell r="W205" t="str">
            <v/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 t="str">
            <v>anytime</v>
          </cell>
          <cell r="AC205">
            <v>104</v>
          </cell>
          <cell r="AD205">
            <v>6</v>
          </cell>
          <cell r="AE205" t="str">
            <v>everyone</v>
          </cell>
        </row>
        <row r="206">
          <cell r="A206" t="str">
            <v>11004_2</v>
          </cell>
          <cell r="B206">
            <v>3</v>
          </cell>
          <cell r="C206">
            <v>11004</v>
          </cell>
          <cell r="D206" t="str">
            <v>【木曜限定】 緑の素材</v>
          </cell>
          <cell r="E206" t="str">
            <v>木曜クエスト</v>
          </cell>
          <cell r="F206">
            <v>2</v>
          </cell>
          <cell r="G206" t="str">
            <v>ja</v>
          </cell>
          <cell r="H206" t="str">
            <v>【中級】樹のウサギ</v>
          </cell>
          <cell r="I206" t="str">
            <v>中級</v>
          </cell>
          <cell r="J206">
            <v>106</v>
          </cell>
          <cell r="K206">
            <v>15</v>
          </cell>
          <cell r="L206">
            <v>525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R206">
            <v>3</v>
          </cell>
          <cell r="S206" t="str">
            <v>none</v>
          </cell>
          <cell r="T206">
            <v>0</v>
          </cell>
          <cell r="U206" t="str">
            <v>NULL</v>
          </cell>
          <cell r="V206" t="str">
            <v>NULL</v>
          </cell>
          <cell r="W206" t="str">
            <v/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 t="str">
            <v>anytime</v>
          </cell>
          <cell r="AC206">
            <v>104</v>
          </cell>
          <cell r="AD206">
            <v>6</v>
          </cell>
          <cell r="AE206" t="str">
            <v>everyone</v>
          </cell>
        </row>
        <row r="207">
          <cell r="A207" t="str">
            <v>11004_3</v>
          </cell>
          <cell r="B207">
            <v>3</v>
          </cell>
          <cell r="C207">
            <v>11004</v>
          </cell>
          <cell r="D207" t="str">
            <v>【木曜限定】 緑の素材</v>
          </cell>
          <cell r="E207" t="str">
            <v>木曜クエスト</v>
          </cell>
          <cell r="F207">
            <v>3</v>
          </cell>
          <cell r="G207" t="str">
            <v>ja</v>
          </cell>
          <cell r="H207" t="str">
            <v xml:space="preserve">【上級】樹のイモムシ </v>
          </cell>
          <cell r="I207" t="str">
            <v>上級</v>
          </cell>
          <cell r="J207">
            <v>107</v>
          </cell>
          <cell r="K207">
            <v>20</v>
          </cell>
          <cell r="L207">
            <v>860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1</v>
          </cell>
          <cell r="R207">
            <v>3</v>
          </cell>
          <cell r="S207" t="str">
            <v>none</v>
          </cell>
          <cell r="T207">
            <v>0</v>
          </cell>
          <cell r="U207" t="str">
            <v>NULL</v>
          </cell>
          <cell r="V207" t="str">
            <v>NULL</v>
          </cell>
          <cell r="W207" t="str">
            <v/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 t="str">
            <v>anytime</v>
          </cell>
          <cell r="AC207">
            <v>104</v>
          </cell>
          <cell r="AD207">
            <v>6</v>
          </cell>
          <cell r="AE207" t="str">
            <v>everyone</v>
          </cell>
        </row>
        <row r="208">
          <cell r="A208" t="str">
            <v>11005_1</v>
          </cell>
          <cell r="B208">
            <v>3</v>
          </cell>
          <cell r="C208">
            <v>11005</v>
          </cell>
          <cell r="D208" t="str">
            <v>【金曜限定】 帽子屋を追え！</v>
          </cell>
          <cell r="E208" t="str">
            <v>金曜クエスト</v>
          </cell>
          <cell r="F208">
            <v>1</v>
          </cell>
          <cell r="G208" t="str">
            <v>ja</v>
          </cell>
          <cell r="H208" t="str">
            <v xml:space="preserve">【超級】火の帽子屋 </v>
          </cell>
          <cell r="I208" t="str">
            <v>赤R5</v>
          </cell>
          <cell r="J208">
            <v>104</v>
          </cell>
          <cell r="K208">
            <v>30</v>
          </cell>
          <cell r="L208">
            <v>1400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1</v>
          </cell>
          <cell r="R208">
            <v>3</v>
          </cell>
          <cell r="S208" t="str">
            <v>none</v>
          </cell>
          <cell r="T208">
            <v>0</v>
          </cell>
          <cell r="U208" t="str">
            <v>NULL</v>
          </cell>
          <cell r="V208" t="str">
            <v>NULL</v>
          </cell>
          <cell r="W208" t="str">
            <v/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 t="str">
            <v>anytime</v>
          </cell>
          <cell r="AC208">
            <v>102</v>
          </cell>
          <cell r="AD208">
            <v>6</v>
          </cell>
          <cell r="AE208" t="str">
            <v>everyone</v>
          </cell>
        </row>
        <row r="209">
          <cell r="A209" t="str">
            <v>11005_2</v>
          </cell>
          <cell r="B209">
            <v>3</v>
          </cell>
          <cell r="C209">
            <v>11005</v>
          </cell>
          <cell r="D209" t="str">
            <v>【金曜限定】 帽子屋を追え！</v>
          </cell>
          <cell r="E209" t="str">
            <v>金曜クエスト</v>
          </cell>
          <cell r="F209">
            <v>2</v>
          </cell>
          <cell r="G209" t="str">
            <v>ja</v>
          </cell>
          <cell r="H209" t="str">
            <v xml:space="preserve">【超級】樹の帽子屋 </v>
          </cell>
          <cell r="I209" t="str">
            <v>緑R5</v>
          </cell>
          <cell r="J209">
            <v>108</v>
          </cell>
          <cell r="K209">
            <v>30</v>
          </cell>
          <cell r="L209">
            <v>1400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1</v>
          </cell>
          <cell r="R209">
            <v>3</v>
          </cell>
          <cell r="S209" t="str">
            <v>none</v>
          </cell>
          <cell r="T209">
            <v>0</v>
          </cell>
          <cell r="U209" t="str">
            <v>NULL</v>
          </cell>
          <cell r="V209" t="str">
            <v>NULL</v>
          </cell>
          <cell r="W209" t="str">
            <v/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 t="str">
            <v>anytime</v>
          </cell>
          <cell r="AC209">
            <v>104</v>
          </cell>
          <cell r="AD209">
            <v>6</v>
          </cell>
          <cell r="AE209" t="str">
            <v>everyone</v>
          </cell>
        </row>
        <row r="210">
          <cell r="A210" t="str">
            <v>11005_3</v>
          </cell>
          <cell r="B210">
            <v>3</v>
          </cell>
          <cell r="C210">
            <v>11005</v>
          </cell>
          <cell r="D210" t="str">
            <v>【金曜限定】 帽子屋を追え！</v>
          </cell>
          <cell r="E210" t="str">
            <v>金曜クエスト</v>
          </cell>
          <cell r="F210">
            <v>3</v>
          </cell>
          <cell r="G210" t="str">
            <v>ja</v>
          </cell>
          <cell r="H210" t="str">
            <v xml:space="preserve">【超級】水の帽子屋 </v>
          </cell>
          <cell r="I210" t="str">
            <v>青R5</v>
          </cell>
          <cell r="J210">
            <v>112</v>
          </cell>
          <cell r="K210">
            <v>30</v>
          </cell>
          <cell r="L210">
            <v>1400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3</v>
          </cell>
          <cell r="S210" t="str">
            <v>none</v>
          </cell>
          <cell r="T210">
            <v>0</v>
          </cell>
          <cell r="U210" t="str">
            <v>NULL</v>
          </cell>
          <cell r="V210" t="str">
            <v>NULL</v>
          </cell>
          <cell r="W210" t="str">
            <v/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 t="str">
            <v>anytime</v>
          </cell>
          <cell r="AC210">
            <v>103</v>
          </cell>
          <cell r="AD210">
            <v>6</v>
          </cell>
          <cell r="AE210" t="str">
            <v>everyone</v>
          </cell>
        </row>
        <row r="211">
          <cell r="A211" t="str">
            <v>11005_4</v>
          </cell>
          <cell r="B211">
            <v>3</v>
          </cell>
          <cell r="C211">
            <v>11005</v>
          </cell>
          <cell r="D211" t="str">
            <v>【金曜限定】 帽子屋を追え！</v>
          </cell>
          <cell r="E211" t="str">
            <v>金曜クエスト</v>
          </cell>
          <cell r="F211">
            <v>4</v>
          </cell>
          <cell r="G211" t="str">
            <v>ja</v>
          </cell>
          <cell r="H211" t="str">
            <v>【超級】雷の帽子屋</v>
          </cell>
          <cell r="I211" t="str">
            <v>黄R5</v>
          </cell>
          <cell r="J211">
            <v>116</v>
          </cell>
          <cell r="K211">
            <v>30</v>
          </cell>
          <cell r="L211">
            <v>1400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1</v>
          </cell>
          <cell r="R211">
            <v>3</v>
          </cell>
          <cell r="S211" t="str">
            <v>none</v>
          </cell>
          <cell r="T211">
            <v>0</v>
          </cell>
          <cell r="U211" t="str">
            <v>NULL</v>
          </cell>
          <cell r="V211" t="str">
            <v>NULL</v>
          </cell>
          <cell r="W211" t="str">
            <v/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 t="str">
            <v>anytime</v>
          </cell>
          <cell r="AC211">
            <v>101</v>
          </cell>
          <cell r="AD211">
            <v>6</v>
          </cell>
          <cell r="AE211" t="str">
            <v>everyone</v>
          </cell>
        </row>
        <row r="212">
          <cell r="A212" t="str">
            <v>11006_1</v>
          </cell>
          <cell r="B212">
            <v>3</v>
          </cell>
          <cell r="C212">
            <v>11006</v>
          </cell>
          <cell r="D212" t="str">
            <v>【土日限定】 ゴールドカジノ</v>
          </cell>
          <cell r="E212" t="str">
            <v>土日クエスト</v>
          </cell>
          <cell r="F212">
            <v>1</v>
          </cell>
          <cell r="G212" t="str">
            <v>ja</v>
          </cell>
          <cell r="H212" t="str">
            <v>【初級】ゴールドカジノ</v>
          </cell>
          <cell r="I212" t="str">
            <v>初級</v>
          </cell>
          <cell r="J212">
            <v>117</v>
          </cell>
          <cell r="K212">
            <v>8</v>
          </cell>
          <cell r="L212">
            <v>140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1</v>
          </cell>
          <cell r="R212">
            <v>3</v>
          </cell>
          <cell r="S212" t="str">
            <v>none</v>
          </cell>
          <cell r="T212">
            <v>0</v>
          </cell>
          <cell r="U212" t="str">
            <v>NULL</v>
          </cell>
          <cell r="V212" t="str">
            <v>NULL</v>
          </cell>
          <cell r="W212" t="str">
            <v/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 t="str">
            <v>anytime</v>
          </cell>
          <cell r="AC212">
            <v>105</v>
          </cell>
          <cell r="AD212">
            <v>6</v>
          </cell>
          <cell r="AE212" t="str">
            <v>everyone</v>
          </cell>
        </row>
        <row r="213">
          <cell r="A213" t="str">
            <v>11006_2</v>
          </cell>
          <cell r="B213">
            <v>3</v>
          </cell>
          <cell r="C213">
            <v>11006</v>
          </cell>
          <cell r="D213" t="str">
            <v>【土日限定】 ゴールドカジノ</v>
          </cell>
          <cell r="E213" t="str">
            <v>土日クエスト</v>
          </cell>
          <cell r="F213">
            <v>2</v>
          </cell>
          <cell r="G213" t="str">
            <v>ja</v>
          </cell>
          <cell r="H213" t="str">
            <v xml:space="preserve">【中級】ゴールドカジノ </v>
          </cell>
          <cell r="I213" t="str">
            <v>中級</v>
          </cell>
          <cell r="J213">
            <v>118</v>
          </cell>
          <cell r="K213">
            <v>15</v>
          </cell>
          <cell r="L213">
            <v>350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3</v>
          </cell>
          <cell r="S213" t="str">
            <v>none</v>
          </cell>
          <cell r="T213">
            <v>0</v>
          </cell>
          <cell r="U213" t="str">
            <v>NULL</v>
          </cell>
          <cell r="V213" t="str">
            <v>NULL</v>
          </cell>
          <cell r="W213" t="str">
            <v/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 t="str">
            <v>anytime</v>
          </cell>
          <cell r="AC213">
            <v>105</v>
          </cell>
          <cell r="AD213">
            <v>6</v>
          </cell>
          <cell r="AE213" t="str">
            <v>everyone</v>
          </cell>
        </row>
        <row r="214">
          <cell r="A214" t="str">
            <v>11006_3</v>
          </cell>
          <cell r="B214">
            <v>3</v>
          </cell>
          <cell r="C214">
            <v>11006</v>
          </cell>
          <cell r="D214" t="str">
            <v>【土日限定】 ゴールドカジノ</v>
          </cell>
          <cell r="E214" t="str">
            <v>土日クエスト</v>
          </cell>
          <cell r="F214">
            <v>3</v>
          </cell>
          <cell r="G214" t="str">
            <v>ja</v>
          </cell>
          <cell r="H214" t="str">
            <v xml:space="preserve">【上級】ゴールドカジノ </v>
          </cell>
          <cell r="I214" t="str">
            <v>上級</v>
          </cell>
          <cell r="J214">
            <v>119</v>
          </cell>
          <cell r="K214">
            <v>20</v>
          </cell>
          <cell r="L214">
            <v>860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1</v>
          </cell>
          <cell r="R214">
            <v>3</v>
          </cell>
          <cell r="S214" t="str">
            <v>none</v>
          </cell>
          <cell r="T214">
            <v>0</v>
          </cell>
          <cell r="U214" t="str">
            <v>NULL</v>
          </cell>
          <cell r="V214" t="str">
            <v>NULL</v>
          </cell>
          <cell r="W214" t="str">
            <v/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 t="str">
            <v>anytime</v>
          </cell>
          <cell r="AC214">
            <v>105</v>
          </cell>
          <cell r="AD214">
            <v>6</v>
          </cell>
          <cell r="AE214" t="str">
            <v>everyone</v>
          </cell>
        </row>
        <row r="215">
          <cell r="A215" t="str">
            <v>11101_1</v>
          </cell>
          <cell r="B215">
            <v>3</v>
          </cell>
          <cell r="C215">
            <v>11101</v>
          </cell>
          <cell r="D215" t="str">
            <v>【マルチ専用】 黄の素材</v>
          </cell>
          <cell r="E215" t="str">
            <v>月曜クエスト</v>
          </cell>
          <cell r="F215">
            <v>1</v>
          </cell>
          <cell r="G215" t="str">
            <v>ja</v>
          </cell>
          <cell r="H215" t="str">
            <v>【初級】雷のチェシャ猫</v>
          </cell>
          <cell r="I215" t="str">
            <v>初級</v>
          </cell>
          <cell r="J215">
            <v>113</v>
          </cell>
          <cell r="K215">
            <v>8</v>
          </cell>
          <cell r="L215">
            <v>240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1</v>
          </cell>
          <cell r="R215">
            <v>3</v>
          </cell>
          <cell r="S215" t="str">
            <v>none</v>
          </cell>
          <cell r="T215">
            <v>0</v>
          </cell>
          <cell r="U215" t="str">
            <v>NULL</v>
          </cell>
          <cell r="V215" t="str">
            <v>NULL</v>
          </cell>
          <cell r="W215" t="str">
            <v/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 t="str">
            <v>anytime</v>
          </cell>
          <cell r="AC215">
            <v>101</v>
          </cell>
          <cell r="AD215">
            <v>6</v>
          </cell>
          <cell r="AE215" t="str">
            <v>multionly</v>
          </cell>
        </row>
        <row r="216">
          <cell r="A216" t="str">
            <v>11101_2</v>
          </cell>
          <cell r="B216">
            <v>3</v>
          </cell>
          <cell r="C216">
            <v>11101</v>
          </cell>
          <cell r="D216" t="str">
            <v>【マルチ専用】 黄の素材</v>
          </cell>
          <cell r="E216" t="str">
            <v>月曜クエスト</v>
          </cell>
          <cell r="F216">
            <v>2</v>
          </cell>
          <cell r="G216" t="str">
            <v>ja</v>
          </cell>
          <cell r="H216" t="str">
            <v xml:space="preserve">【中級】雷のウサギ </v>
          </cell>
          <cell r="I216" t="str">
            <v>中級</v>
          </cell>
          <cell r="J216">
            <v>114</v>
          </cell>
          <cell r="K216">
            <v>15</v>
          </cell>
          <cell r="L216">
            <v>525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1</v>
          </cell>
          <cell r="R216">
            <v>3</v>
          </cell>
          <cell r="S216" t="str">
            <v>none</v>
          </cell>
          <cell r="T216">
            <v>0</v>
          </cell>
          <cell r="U216" t="str">
            <v>NULL</v>
          </cell>
          <cell r="V216" t="str">
            <v>NULL</v>
          </cell>
          <cell r="W216" t="str">
            <v/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 t="str">
            <v>anytime</v>
          </cell>
          <cell r="AC216">
            <v>101</v>
          </cell>
          <cell r="AD216">
            <v>6</v>
          </cell>
          <cell r="AE216" t="str">
            <v>multionly</v>
          </cell>
        </row>
        <row r="217">
          <cell r="A217" t="str">
            <v>11101_3</v>
          </cell>
          <cell r="B217">
            <v>3</v>
          </cell>
          <cell r="C217">
            <v>11101</v>
          </cell>
          <cell r="D217" t="str">
            <v>【マルチ専用】 黄の素材</v>
          </cell>
          <cell r="E217" t="str">
            <v>月曜クエスト</v>
          </cell>
          <cell r="F217">
            <v>3</v>
          </cell>
          <cell r="G217" t="str">
            <v>ja</v>
          </cell>
          <cell r="H217" t="str">
            <v>【上級】雷のイモムシ</v>
          </cell>
          <cell r="I217" t="str">
            <v>上級</v>
          </cell>
          <cell r="J217">
            <v>115</v>
          </cell>
          <cell r="K217">
            <v>20</v>
          </cell>
          <cell r="L217">
            <v>860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1</v>
          </cell>
          <cell r="R217">
            <v>3</v>
          </cell>
          <cell r="S217" t="str">
            <v>none</v>
          </cell>
          <cell r="T217">
            <v>0</v>
          </cell>
          <cell r="U217" t="str">
            <v>NULL</v>
          </cell>
          <cell r="V217" t="str">
            <v>NULL</v>
          </cell>
          <cell r="W217" t="str">
            <v/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 t="str">
            <v>anytime</v>
          </cell>
          <cell r="AC217">
            <v>101</v>
          </cell>
          <cell r="AD217">
            <v>6</v>
          </cell>
          <cell r="AE217" t="str">
            <v>multionly</v>
          </cell>
        </row>
        <row r="218">
          <cell r="A218" t="str">
            <v>11102_1</v>
          </cell>
          <cell r="B218">
            <v>3</v>
          </cell>
          <cell r="C218">
            <v>11102</v>
          </cell>
          <cell r="D218" t="str">
            <v>【マルチ専用】 赤の素材</v>
          </cell>
          <cell r="E218" t="str">
            <v>火曜クエスト</v>
          </cell>
          <cell r="F218">
            <v>1</v>
          </cell>
          <cell r="G218" t="str">
            <v>ja</v>
          </cell>
          <cell r="H218" t="str">
            <v xml:space="preserve">【初級】火のチェシャ猫 </v>
          </cell>
          <cell r="I218" t="str">
            <v>初級</v>
          </cell>
          <cell r="J218">
            <v>101</v>
          </cell>
          <cell r="K218">
            <v>8</v>
          </cell>
          <cell r="L218">
            <v>240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1</v>
          </cell>
          <cell r="R218">
            <v>3</v>
          </cell>
          <cell r="S218" t="str">
            <v>none</v>
          </cell>
          <cell r="T218">
            <v>0</v>
          </cell>
          <cell r="U218" t="str">
            <v>NULL</v>
          </cell>
          <cell r="V218" t="str">
            <v>NULL</v>
          </cell>
          <cell r="W218" t="str">
            <v/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 t="str">
            <v>anytime</v>
          </cell>
          <cell r="AC218">
            <v>102</v>
          </cell>
          <cell r="AD218">
            <v>6</v>
          </cell>
          <cell r="AE218" t="str">
            <v>multionly</v>
          </cell>
        </row>
        <row r="219">
          <cell r="A219" t="str">
            <v>11102_2</v>
          </cell>
          <cell r="B219">
            <v>3</v>
          </cell>
          <cell r="C219">
            <v>11102</v>
          </cell>
          <cell r="D219" t="str">
            <v>【マルチ専用】 赤の素材</v>
          </cell>
          <cell r="E219" t="str">
            <v>火曜クエスト</v>
          </cell>
          <cell r="F219">
            <v>2</v>
          </cell>
          <cell r="G219" t="str">
            <v>ja</v>
          </cell>
          <cell r="H219" t="str">
            <v xml:space="preserve">【中級】火のウサギ </v>
          </cell>
          <cell r="I219" t="str">
            <v>中級</v>
          </cell>
          <cell r="J219">
            <v>102</v>
          </cell>
          <cell r="K219">
            <v>15</v>
          </cell>
          <cell r="L219">
            <v>525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R219">
            <v>3</v>
          </cell>
          <cell r="S219" t="str">
            <v>none</v>
          </cell>
          <cell r="T219">
            <v>0</v>
          </cell>
          <cell r="U219" t="str">
            <v>NULL</v>
          </cell>
          <cell r="V219" t="str">
            <v>NULL</v>
          </cell>
          <cell r="W219" t="str">
            <v/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 t="str">
            <v>anytime</v>
          </cell>
          <cell r="AC219">
            <v>102</v>
          </cell>
          <cell r="AD219">
            <v>6</v>
          </cell>
          <cell r="AE219" t="str">
            <v>multionly</v>
          </cell>
        </row>
        <row r="220">
          <cell r="A220" t="str">
            <v>11102_3</v>
          </cell>
          <cell r="B220">
            <v>3</v>
          </cell>
          <cell r="C220">
            <v>11102</v>
          </cell>
          <cell r="D220" t="str">
            <v>【マルチ専用】 赤の素材</v>
          </cell>
          <cell r="E220" t="str">
            <v>火曜クエスト</v>
          </cell>
          <cell r="F220">
            <v>3</v>
          </cell>
          <cell r="G220" t="str">
            <v>ja</v>
          </cell>
          <cell r="H220" t="str">
            <v xml:space="preserve">【上級】火のイモムシ </v>
          </cell>
          <cell r="I220" t="str">
            <v>上級</v>
          </cell>
          <cell r="J220">
            <v>103</v>
          </cell>
          <cell r="K220">
            <v>20</v>
          </cell>
          <cell r="L220">
            <v>860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1</v>
          </cell>
          <cell r="R220">
            <v>3</v>
          </cell>
          <cell r="S220" t="str">
            <v>none</v>
          </cell>
          <cell r="T220">
            <v>0</v>
          </cell>
          <cell r="U220" t="str">
            <v>NULL</v>
          </cell>
          <cell r="V220" t="str">
            <v>NULL</v>
          </cell>
          <cell r="W220" t="str">
            <v/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 t="str">
            <v>anytime</v>
          </cell>
          <cell r="AC220">
            <v>102</v>
          </cell>
          <cell r="AD220">
            <v>6</v>
          </cell>
          <cell r="AE220" t="str">
            <v>multionly</v>
          </cell>
        </row>
        <row r="221">
          <cell r="A221" t="str">
            <v>11103_1</v>
          </cell>
          <cell r="B221">
            <v>3</v>
          </cell>
          <cell r="C221">
            <v>11103</v>
          </cell>
          <cell r="D221" t="str">
            <v>【マルチ専用】 青の素材</v>
          </cell>
          <cell r="E221" t="str">
            <v>水曜クエスト</v>
          </cell>
          <cell r="F221">
            <v>1</v>
          </cell>
          <cell r="G221" t="str">
            <v>ja</v>
          </cell>
          <cell r="H221" t="str">
            <v>【初級】水のチェシャ猫</v>
          </cell>
          <cell r="I221" t="str">
            <v>初級</v>
          </cell>
          <cell r="J221">
            <v>109</v>
          </cell>
          <cell r="K221">
            <v>8</v>
          </cell>
          <cell r="L221">
            <v>240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1</v>
          </cell>
          <cell r="R221">
            <v>3</v>
          </cell>
          <cell r="S221" t="str">
            <v>none</v>
          </cell>
          <cell r="T221">
            <v>0</v>
          </cell>
          <cell r="U221" t="str">
            <v>NULL</v>
          </cell>
          <cell r="V221" t="str">
            <v>NULL</v>
          </cell>
          <cell r="W221" t="str">
            <v/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 t="str">
            <v>anytime</v>
          </cell>
          <cell r="AC221">
            <v>103</v>
          </cell>
          <cell r="AD221">
            <v>6</v>
          </cell>
          <cell r="AE221" t="str">
            <v>multionly</v>
          </cell>
        </row>
        <row r="222">
          <cell r="A222" t="str">
            <v>11103_2</v>
          </cell>
          <cell r="B222">
            <v>3</v>
          </cell>
          <cell r="C222">
            <v>11103</v>
          </cell>
          <cell r="D222" t="str">
            <v>【マルチ専用】 青の素材</v>
          </cell>
          <cell r="E222" t="str">
            <v>水曜クエスト</v>
          </cell>
          <cell r="F222">
            <v>2</v>
          </cell>
          <cell r="G222" t="str">
            <v>ja</v>
          </cell>
          <cell r="H222" t="str">
            <v xml:space="preserve">【中級】水のウサギ </v>
          </cell>
          <cell r="I222" t="str">
            <v>中級</v>
          </cell>
          <cell r="J222">
            <v>110</v>
          </cell>
          <cell r="K222">
            <v>15</v>
          </cell>
          <cell r="L222">
            <v>525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1</v>
          </cell>
          <cell r="R222">
            <v>3</v>
          </cell>
          <cell r="S222" t="str">
            <v>none</v>
          </cell>
          <cell r="T222">
            <v>0</v>
          </cell>
          <cell r="U222" t="str">
            <v>NULL</v>
          </cell>
          <cell r="V222" t="str">
            <v>NULL</v>
          </cell>
          <cell r="W222" t="str">
            <v/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 t="str">
            <v>anytime</v>
          </cell>
          <cell r="AC222">
            <v>103</v>
          </cell>
          <cell r="AD222">
            <v>6</v>
          </cell>
          <cell r="AE222" t="str">
            <v>multionly</v>
          </cell>
        </row>
        <row r="223">
          <cell r="A223" t="str">
            <v>11103_3</v>
          </cell>
          <cell r="B223">
            <v>3</v>
          </cell>
          <cell r="C223">
            <v>11103</v>
          </cell>
          <cell r="D223" t="str">
            <v>【マルチ専用】 青の素材</v>
          </cell>
          <cell r="E223" t="str">
            <v>水曜クエスト</v>
          </cell>
          <cell r="F223">
            <v>3</v>
          </cell>
          <cell r="G223" t="str">
            <v>ja</v>
          </cell>
          <cell r="H223" t="str">
            <v xml:space="preserve">【上級】水のイモムシ </v>
          </cell>
          <cell r="I223" t="str">
            <v>上級</v>
          </cell>
          <cell r="J223">
            <v>111</v>
          </cell>
          <cell r="K223">
            <v>20</v>
          </cell>
          <cell r="L223">
            <v>860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1</v>
          </cell>
          <cell r="R223">
            <v>3</v>
          </cell>
          <cell r="S223" t="str">
            <v>none</v>
          </cell>
          <cell r="T223">
            <v>0</v>
          </cell>
          <cell r="U223" t="str">
            <v>NULL</v>
          </cell>
          <cell r="V223" t="str">
            <v>NULL</v>
          </cell>
          <cell r="W223" t="str">
            <v/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 t="str">
            <v>anytime</v>
          </cell>
          <cell r="AC223">
            <v>103</v>
          </cell>
          <cell r="AD223">
            <v>6</v>
          </cell>
          <cell r="AE223" t="str">
            <v>multionly</v>
          </cell>
        </row>
        <row r="224">
          <cell r="A224" t="str">
            <v>11104_1</v>
          </cell>
          <cell r="B224">
            <v>3</v>
          </cell>
          <cell r="C224">
            <v>11104</v>
          </cell>
          <cell r="D224" t="str">
            <v>【マルチ専用】 緑の素材</v>
          </cell>
          <cell r="E224" t="str">
            <v>木曜クエスト</v>
          </cell>
          <cell r="F224">
            <v>1</v>
          </cell>
          <cell r="G224" t="str">
            <v>ja</v>
          </cell>
          <cell r="H224" t="str">
            <v xml:space="preserve">【初級】樹のチェシャ猫 </v>
          </cell>
          <cell r="I224" t="str">
            <v>初級</v>
          </cell>
          <cell r="J224">
            <v>105</v>
          </cell>
          <cell r="K224">
            <v>8</v>
          </cell>
          <cell r="L224">
            <v>240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1</v>
          </cell>
          <cell r="R224">
            <v>3</v>
          </cell>
          <cell r="S224" t="str">
            <v>none</v>
          </cell>
          <cell r="T224">
            <v>0</v>
          </cell>
          <cell r="U224" t="str">
            <v>NULL</v>
          </cell>
          <cell r="V224" t="str">
            <v>NULL</v>
          </cell>
          <cell r="W224" t="str">
            <v/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 t="str">
            <v>anytime</v>
          </cell>
          <cell r="AC224">
            <v>104</v>
          </cell>
          <cell r="AD224">
            <v>6</v>
          </cell>
          <cell r="AE224" t="str">
            <v>multionly</v>
          </cell>
        </row>
        <row r="225">
          <cell r="A225" t="str">
            <v>11104_2</v>
          </cell>
          <cell r="B225">
            <v>3</v>
          </cell>
          <cell r="C225">
            <v>11104</v>
          </cell>
          <cell r="D225" t="str">
            <v>【マルチ専用】 緑の素材</v>
          </cell>
          <cell r="E225" t="str">
            <v>木曜クエスト</v>
          </cell>
          <cell r="F225">
            <v>2</v>
          </cell>
          <cell r="G225" t="str">
            <v>ja</v>
          </cell>
          <cell r="H225" t="str">
            <v xml:space="preserve">【中級】樹のウサギ </v>
          </cell>
          <cell r="I225" t="str">
            <v>中級</v>
          </cell>
          <cell r="J225">
            <v>106</v>
          </cell>
          <cell r="K225">
            <v>15</v>
          </cell>
          <cell r="L225">
            <v>525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1</v>
          </cell>
          <cell r="R225">
            <v>3</v>
          </cell>
          <cell r="S225" t="str">
            <v>none</v>
          </cell>
          <cell r="T225">
            <v>0</v>
          </cell>
          <cell r="U225" t="str">
            <v>NULL</v>
          </cell>
          <cell r="V225" t="str">
            <v>NULL</v>
          </cell>
          <cell r="W225" t="str">
            <v/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 t="str">
            <v>anytime</v>
          </cell>
          <cell r="AC225">
            <v>104</v>
          </cell>
          <cell r="AD225">
            <v>6</v>
          </cell>
          <cell r="AE225" t="str">
            <v>multionly</v>
          </cell>
        </row>
        <row r="226">
          <cell r="A226" t="str">
            <v>11104_3</v>
          </cell>
          <cell r="B226">
            <v>3</v>
          </cell>
          <cell r="C226">
            <v>11104</v>
          </cell>
          <cell r="D226" t="str">
            <v>【マルチ専用】 緑の素材</v>
          </cell>
          <cell r="E226" t="str">
            <v>木曜クエスト</v>
          </cell>
          <cell r="F226">
            <v>3</v>
          </cell>
          <cell r="G226" t="str">
            <v>ja</v>
          </cell>
          <cell r="H226" t="str">
            <v>【上級】樹のイモムシ</v>
          </cell>
          <cell r="I226" t="str">
            <v>上級</v>
          </cell>
          <cell r="J226">
            <v>107</v>
          </cell>
          <cell r="K226">
            <v>20</v>
          </cell>
          <cell r="L226">
            <v>860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3</v>
          </cell>
          <cell r="S226" t="str">
            <v>none</v>
          </cell>
          <cell r="T226">
            <v>0</v>
          </cell>
          <cell r="U226" t="str">
            <v>NULL</v>
          </cell>
          <cell r="V226" t="str">
            <v>NULL</v>
          </cell>
          <cell r="W226" t="str">
            <v/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 t="str">
            <v>anytime</v>
          </cell>
          <cell r="AC226">
            <v>104</v>
          </cell>
          <cell r="AD226">
            <v>6</v>
          </cell>
          <cell r="AE226" t="str">
            <v>multionly</v>
          </cell>
        </row>
        <row r="227">
          <cell r="A227" t="str">
            <v>11105_1</v>
          </cell>
          <cell r="B227">
            <v>3</v>
          </cell>
          <cell r="C227">
            <v>11105</v>
          </cell>
          <cell r="D227" t="str">
            <v>【マルチ専用】 帽子屋を追え！</v>
          </cell>
          <cell r="E227" t="str">
            <v>金曜クエスト</v>
          </cell>
          <cell r="F227">
            <v>1</v>
          </cell>
          <cell r="G227" t="str">
            <v>ja</v>
          </cell>
          <cell r="H227" t="str">
            <v xml:space="preserve">【超級】火の帽子屋 </v>
          </cell>
          <cell r="I227" t="str">
            <v>赤R5</v>
          </cell>
          <cell r="J227">
            <v>104</v>
          </cell>
          <cell r="K227">
            <v>30</v>
          </cell>
          <cell r="L227">
            <v>1400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1</v>
          </cell>
          <cell r="R227">
            <v>3</v>
          </cell>
          <cell r="S227" t="str">
            <v>none</v>
          </cell>
          <cell r="T227">
            <v>0</v>
          </cell>
          <cell r="U227" t="str">
            <v>NULL</v>
          </cell>
          <cell r="V227" t="str">
            <v>NULL</v>
          </cell>
          <cell r="W227" t="str">
            <v/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 t="str">
            <v>anytime</v>
          </cell>
          <cell r="AC227">
            <v>102</v>
          </cell>
          <cell r="AD227">
            <v>6</v>
          </cell>
          <cell r="AE227" t="str">
            <v>multionly</v>
          </cell>
        </row>
        <row r="228">
          <cell r="A228" t="str">
            <v>11105_2</v>
          </cell>
          <cell r="B228">
            <v>3</v>
          </cell>
          <cell r="C228">
            <v>11105</v>
          </cell>
          <cell r="D228" t="str">
            <v>【マルチ専用】 帽子屋を追え！</v>
          </cell>
          <cell r="E228" t="str">
            <v>金曜クエスト</v>
          </cell>
          <cell r="F228">
            <v>2</v>
          </cell>
          <cell r="G228" t="str">
            <v>ja</v>
          </cell>
          <cell r="H228" t="str">
            <v>【超級】樹の帽子屋</v>
          </cell>
          <cell r="I228" t="str">
            <v>緑R5</v>
          </cell>
          <cell r="J228">
            <v>108</v>
          </cell>
          <cell r="K228">
            <v>30</v>
          </cell>
          <cell r="L228">
            <v>1400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3</v>
          </cell>
          <cell r="S228" t="str">
            <v>none</v>
          </cell>
          <cell r="T228">
            <v>0</v>
          </cell>
          <cell r="U228" t="str">
            <v>NULL</v>
          </cell>
          <cell r="V228" t="str">
            <v>NULL</v>
          </cell>
          <cell r="W228" t="str">
            <v/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 t="str">
            <v>anytime</v>
          </cell>
          <cell r="AC228">
            <v>104</v>
          </cell>
          <cell r="AD228">
            <v>6</v>
          </cell>
          <cell r="AE228" t="str">
            <v>multionly</v>
          </cell>
        </row>
        <row r="229">
          <cell r="A229" t="str">
            <v>11105_3</v>
          </cell>
          <cell r="B229">
            <v>3</v>
          </cell>
          <cell r="C229">
            <v>11105</v>
          </cell>
          <cell r="D229" t="str">
            <v>【マルチ専用】 帽子屋を追え！</v>
          </cell>
          <cell r="E229" t="str">
            <v>金曜クエスト</v>
          </cell>
          <cell r="F229">
            <v>3</v>
          </cell>
          <cell r="G229" t="str">
            <v>ja</v>
          </cell>
          <cell r="H229" t="str">
            <v xml:space="preserve">【超級】水の帽子屋 </v>
          </cell>
          <cell r="I229" t="str">
            <v>青R5</v>
          </cell>
          <cell r="J229">
            <v>112</v>
          </cell>
          <cell r="K229">
            <v>30</v>
          </cell>
          <cell r="L229">
            <v>1400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1</v>
          </cell>
          <cell r="R229">
            <v>3</v>
          </cell>
          <cell r="S229" t="str">
            <v>none</v>
          </cell>
          <cell r="T229">
            <v>0</v>
          </cell>
          <cell r="U229" t="str">
            <v>NULL</v>
          </cell>
          <cell r="V229" t="str">
            <v>NULL</v>
          </cell>
          <cell r="W229" t="str">
            <v/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 t="str">
            <v>anytime</v>
          </cell>
          <cell r="AC229">
            <v>103</v>
          </cell>
          <cell r="AD229">
            <v>6</v>
          </cell>
          <cell r="AE229" t="str">
            <v>multionly</v>
          </cell>
        </row>
        <row r="230">
          <cell r="A230" t="str">
            <v>11105_4</v>
          </cell>
          <cell r="B230">
            <v>3</v>
          </cell>
          <cell r="C230">
            <v>11105</v>
          </cell>
          <cell r="D230" t="str">
            <v>【マルチ専用】 帽子屋を追え！</v>
          </cell>
          <cell r="E230" t="str">
            <v>金曜クエスト</v>
          </cell>
          <cell r="F230">
            <v>4</v>
          </cell>
          <cell r="G230" t="str">
            <v>ja</v>
          </cell>
          <cell r="H230" t="str">
            <v xml:space="preserve">【超級】雷の帽子屋 </v>
          </cell>
          <cell r="I230" t="str">
            <v>黄R5</v>
          </cell>
          <cell r="J230">
            <v>116</v>
          </cell>
          <cell r="K230">
            <v>30</v>
          </cell>
          <cell r="L230">
            <v>1400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1</v>
          </cell>
          <cell r="R230">
            <v>3</v>
          </cell>
          <cell r="S230" t="str">
            <v>none</v>
          </cell>
          <cell r="T230">
            <v>0</v>
          </cell>
          <cell r="U230" t="str">
            <v>NULL</v>
          </cell>
          <cell r="V230" t="str">
            <v>NULL</v>
          </cell>
          <cell r="W230" t="str">
            <v/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 t="str">
            <v>anytime</v>
          </cell>
          <cell r="AC230">
            <v>101</v>
          </cell>
          <cell r="AD230">
            <v>6</v>
          </cell>
          <cell r="AE230" t="str">
            <v>multionly</v>
          </cell>
        </row>
        <row r="231">
          <cell r="A231" t="str">
            <v>11106_1</v>
          </cell>
          <cell r="B231">
            <v>0</v>
          </cell>
          <cell r="C231">
            <v>11106</v>
          </cell>
          <cell r="D231" t="str">
            <v>【キャンペーン限定】 ゴールドカジノ</v>
          </cell>
          <cell r="E231" t="str">
            <v>土日クエスト1</v>
          </cell>
          <cell r="F231">
            <v>1</v>
          </cell>
          <cell r="G231" t="str">
            <v>ja</v>
          </cell>
          <cell r="H231" t="str">
            <v xml:space="preserve">【初級】ゴールドカジノ </v>
          </cell>
          <cell r="I231" t="str">
            <v>初級</v>
          </cell>
          <cell r="J231">
            <v>117</v>
          </cell>
          <cell r="K231">
            <v>8</v>
          </cell>
          <cell r="L231">
            <v>140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1</v>
          </cell>
          <cell r="R231">
            <v>3</v>
          </cell>
          <cell r="S231" t="str">
            <v>none</v>
          </cell>
          <cell r="T231">
            <v>0</v>
          </cell>
          <cell r="U231" t="str">
            <v>NULL</v>
          </cell>
          <cell r="V231" t="str">
            <v>NULL</v>
          </cell>
          <cell r="W231" t="str">
            <v/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 t="str">
            <v>anytime</v>
          </cell>
          <cell r="AC231">
            <v>105</v>
          </cell>
          <cell r="AD231">
            <v>6</v>
          </cell>
          <cell r="AE231" t="str">
            <v>everyone</v>
          </cell>
        </row>
        <row r="232">
          <cell r="A232" t="str">
            <v>11106_2</v>
          </cell>
          <cell r="B232">
            <v>0</v>
          </cell>
          <cell r="C232">
            <v>11106</v>
          </cell>
          <cell r="D232" t="str">
            <v>【キャンペーン限定】 ゴールドカジノ</v>
          </cell>
          <cell r="E232" t="str">
            <v>土日クエスト1</v>
          </cell>
          <cell r="F232">
            <v>2</v>
          </cell>
          <cell r="G232" t="str">
            <v>ja</v>
          </cell>
          <cell r="H232" t="str">
            <v xml:space="preserve">【中級】ゴールドカジノ </v>
          </cell>
          <cell r="I232" t="str">
            <v>中級</v>
          </cell>
          <cell r="J232">
            <v>118</v>
          </cell>
          <cell r="K232">
            <v>15</v>
          </cell>
          <cell r="L232">
            <v>350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  <cell r="R232">
            <v>3</v>
          </cell>
          <cell r="S232" t="str">
            <v>none</v>
          </cell>
          <cell r="T232">
            <v>0</v>
          </cell>
          <cell r="U232" t="str">
            <v>NULL</v>
          </cell>
          <cell r="V232" t="str">
            <v>NULL</v>
          </cell>
          <cell r="W232" t="str">
            <v/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 t="str">
            <v>anytime</v>
          </cell>
          <cell r="AC232">
            <v>105</v>
          </cell>
          <cell r="AD232">
            <v>6</v>
          </cell>
          <cell r="AE232" t="str">
            <v>everyone</v>
          </cell>
        </row>
        <row r="233">
          <cell r="A233" t="str">
            <v>11106_3</v>
          </cell>
          <cell r="B233">
            <v>0</v>
          </cell>
          <cell r="C233">
            <v>11106</v>
          </cell>
          <cell r="D233" t="str">
            <v>【キャンペーン限定】 ゴールドカジノ</v>
          </cell>
          <cell r="E233" t="str">
            <v>土日クエスト1</v>
          </cell>
          <cell r="F233">
            <v>3</v>
          </cell>
          <cell r="G233" t="str">
            <v>ja</v>
          </cell>
          <cell r="H233" t="str">
            <v xml:space="preserve">【上級】ゴールドカジノ </v>
          </cell>
          <cell r="I233" t="str">
            <v>上級</v>
          </cell>
          <cell r="J233">
            <v>119</v>
          </cell>
          <cell r="K233">
            <v>20</v>
          </cell>
          <cell r="L233">
            <v>860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  <cell r="R233">
            <v>3</v>
          </cell>
          <cell r="S233" t="str">
            <v>none</v>
          </cell>
          <cell r="T233">
            <v>0</v>
          </cell>
          <cell r="U233" t="str">
            <v>NULL</v>
          </cell>
          <cell r="V233" t="str">
            <v>NULL</v>
          </cell>
          <cell r="W233" t="str">
            <v/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 t="str">
            <v>anytime</v>
          </cell>
          <cell r="AC233">
            <v>105</v>
          </cell>
          <cell r="AD233">
            <v>6</v>
          </cell>
          <cell r="AE233" t="str">
            <v>everyone</v>
          </cell>
        </row>
        <row r="234">
          <cell r="A234" t="str">
            <v>11206_1</v>
          </cell>
          <cell r="B234">
            <v>0</v>
          </cell>
          <cell r="C234">
            <v>11206</v>
          </cell>
          <cell r="D234" t="str">
            <v>【キャンペーン限定】 ゴールドカジノ</v>
          </cell>
          <cell r="E234" t="str">
            <v>土日クエスト2</v>
          </cell>
          <cell r="F234">
            <v>1</v>
          </cell>
          <cell r="G234" t="str">
            <v>ja</v>
          </cell>
          <cell r="H234" t="str">
            <v>【初級】ゴールドカジノ</v>
          </cell>
          <cell r="I234" t="str">
            <v>初級</v>
          </cell>
          <cell r="J234">
            <v>117</v>
          </cell>
          <cell r="K234">
            <v>8</v>
          </cell>
          <cell r="L234">
            <v>140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1</v>
          </cell>
          <cell r="R234">
            <v>3</v>
          </cell>
          <cell r="S234" t="str">
            <v>none</v>
          </cell>
          <cell r="T234">
            <v>0</v>
          </cell>
          <cell r="U234" t="str">
            <v>NULL</v>
          </cell>
          <cell r="V234" t="str">
            <v>NULL</v>
          </cell>
          <cell r="W234" t="str">
            <v/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 t="str">
            <v>anytime</v>
          </cell>
          <cell r="AC234">
            <v>105</v>
          </cell>
          <cell r="AD234">
            <v>6</v>
          </cell>
          <cell r="AE234" t="str">
            <v>everyone</v>
          </cell>
        </row>
        <row r="235">
          <cell r="A235" t="str">
            <v>11206_2</v>
          </cell>
          <cell r="B235">
            <v>0</v>
          </cell>
          <cell r="C235">
            <v>11206</v>
          </cell>
          <cell r="D235" t="str">
            <v>【キャンペーン限定】 ゴールドカジノ</v>
          </cell>
          <cell r="E235" t="str">
            <v>土日クエスト2</v>
          </cell>
          <cell r="F235">
            <v>2</v>
          </cell>
          <cell r="G235" t="str">
            <v>ja</v>
          </cell>
          <cell r="H235" t="str">
            <v xml:space="preserve">【中級】ゴールドカジノ </v>
          </cell>
          <cell r="I235" t="str">
            <v>中級</v>
          </cell>
          <cell r="J235">
            <v>118</v>
          </cell>
          <cell r="K235">
            <v>15</v>
          </cell>
          <cell r="L235">
            <v>350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1</v>
          </cell>
          <cell r="R235">
            <v>3</v>
          </cell>
          <cell r="S235" t="str">
            <v>none</v>
          </cell>
          <cell r="T235">
            <v>0</v>
          </cell>
          <cell r="U235" t="str">
            <v>NULL</v>
          </cell>
          <cell r="V235" t="str">
            <v>NULL</v>
          </cell>
          <cell r="W235" t="str">
            <v/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 t="str">
            <v>anytime</v>
          </cell>
          <cell r="AC235">
            <v>105</v>
          </cell>
          <cell r="AD235">
            <v>6</v>
          </cell>
          <cell r="AE235" t="str">
            <v>everyone</v>
          </cell>
        </row>
        <row r="236">
          <cell r="A236" t="str">
            <v>11206_3</v>
          </cell>
          <cell r="B236">
            <v>0</v>
          </cell>
          <cell r="C236">
            <v>11206</v>
          </cell>
          <cell r="D236" t="str">
            <v>【キャンペーン限定】 ゴールドカジノ</v>
          </cell>
          <cell r="E236" t="str">
            <v>土日クエスト2</v>
          </cell>
          <cell r="F236">
            <v>3</v>
          </cell>
          <cell r="G236" t="str">
            <v>ja</v>
          </cell>
          <cell r="H236" t="str">
            <v xml:space="preserve">【上級】ゴールドカジノ </v>
          </cell>
          <cell r="I236" t="str">
            <v>上級</v>
          </cell>
          <cell r="J236">
            <v>119</v>
          </cell>
          <cell r="K236">
            <v>20</v>
          </cell>
          <cell r="L236">
            <v>860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1</v>
          </cell>
          <cell r="R236">
            <v>3</v>
          </cell>
          <cell r="S236" t="str">
            <v>none</v>
          </cell>
          <cell r="T236">
            <v>0</v>
          </cell>
          <cell r="U236" t="str">
            <v>NULL</v>
          </cell>
          <cell r="V236" t="str">
            <v>NULL</v>
          </cell>
          <cell r="W236" t="str">
            <v/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 t="str">
            <v>anytime</v>
          </cell>
          <cell r="AC236">
            <v>105</v>
          </cell>
          <cell r="AD236">
            <v>6</v>
          </cell>
          <cell r="AE236" t="str">
            <v>everyone</v>
          </cell>
        </row>
        <row r="237">
          <cell r="A237" t="str">
            <v>11016_1</v>
          </cell>
          <cell r="B237">
            <v>3</v>
          </cell>
          <cell r="C237">
            <v>11016</v>
          </cell>
          <cell r="D237" t="str">
            <v>【マルチ専用1/2】 ゴールドカジノ</v>
          </cell>
          <cell r="E237" t="str">
            <v>土日クエスト1</v>
          </cell>
          <cell r="F237">
            <v>1</v>
          </cell>
          <cell r="G237" t="str">
            <v>ja</v>
          </cell>
          <cell r="H237" t="str">
            <v xml:space="preserve">【上級】ゴールドカジノ </v>
          </cell>
          <cell r="I237" t="str">
            <v>上級</v>
          </cell>
          <cell r="J237">
            <v>119</v>
          </cell>
          <cell r="K237">
            <v>10</v>
          </cell>
          <cell r="L237">
            <v>860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  <cell r="R237">
            <v>3</v>
          </cell>
          <cell r="S237" t="str">
            <v>none</v>
          </cell>
          <cell r="T237">
            <v>0</v>
          </cell>
          <cell r="U237" t="str">
            <v>NULL</v>
          </cell>
          <cell r="V237" t="str">
            <v>NULL</v>
          </cell>
          <cell r="W237" t="str">
            <v/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 t="str">
            <v>anytime</v>
          </cell>
          <cell r="AC237">
            <v>105</v>
          </cell>
          <cell r="AD237">
            <v>6</v>
          </cell>
          <cell r="AE237" t="str">
            <v>multionly</v>
          </cell>
        </row>
        <row r="238">
          <cell r="A238" t="str">
            <v>11207_1</v>
          </cell>
          <cell r="B238">
            <v>3</v>
          </cell>
          <cell r="C238">
            <v>11207</v>
          </cell>
          <cell r="D238" t="str">
            <v>果実達の大宴会</v>
          </cell>
          <cell r="E238">
            <v>0</v>
          </cell>
          <cell r="F238">
            <v>1</v>
          </cell>
          <cell r="G238" t="str">
            <v>ja</v>
          </cell>
          <cell r="H238" t="str">
            <v>【上級】果実達の大宴会</v>
          </cell>
          <cell r="I238" t="str">
            <v>ボーナス</v>
          </cell>
          <cell r="J238" t="str">
            <v>NULL</v>
          </cell>
          <cell r="K238">
            <v>20</v>
          </cell>
          <cell r="L238">
            <v>525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  <cell r="R238">
            <v>3</v>
          </cell>
          <cell r="S238" t="str">
            <v>none</v>
          </cell>
          <cell r="T238">
            <v>0</v>
          </cell>
          <cell r="U238" t="str">
            <v>NULL</v>
          </cell>
          <cell r="V238" t="str">
            <v>NULL</v>
          </cell>
          <cell r="W238" t="str">
            <v/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 t="str">
            <v>anytime</v>
          </cell>
          <cell r="AC238">
            <v>21</v>
          </cell>
          <cell r="AD238">
            <v>6</v>
          </cell>
          <cell r="AE238" t="str">
            <v>singleonly</v>
          </cell>
        </row>
        <row r="239">
          <cell r="A239" t="str">
            <v>11207_2</v>
          </cell>
          <cell r="B239">
            <v>3</v>
          </cell>
          <cell r="C239">
            <v>11207</v>
          </cell>
          <cell r="D239" t="str">
            <v>果実達の大宴会</v>
          </cell>
          <cell r="E239">
            <v>0</v>
          </cell>
          <cell r="F239">
            <v>2</v>
          </cell>
          <cell r="G239" t="str">
            <v>ja</v>
          </cell>
          <cell r="H239" t="str">
            <v>【超級】果実達の大宴会</v>
          </cell>
          <cell r="I239" t="str">
            <v>ボーナス</v>
          </cell>
          <cell r="J239">
            <v>125</v>
          </cell>
          <cell r="K239">
            <v>40</v>
          </cell>
          <cell r="L239">
            <v>860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  <cell r="R239">
            <v>3</v>
          </cell>
          <cell r="S239" t="str">
            <v>none</v>
          </cell>
          <cell r="T239">
            <v>0</v>
          </cell>
          <cell r="U239" t="str">
            <v>NULL</v>
          </cell>
          <cell r="V239" t="str">
            <v>NULL</v>
          </cell>
          <cell r="W239" t="str">
            <v/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 t="str">
            <v>anytime</v>
          </cell>
          <cell r="AC239">
            <v>21</v>
          </cell>
          <cell r="AD239">
            <v>6</v>
          </cell>
          <cell r="AE239" t="str">
            <v>singleonly</v>
          </cell>
        </row>
        <row r="240">
          <cell r="A240" t="str">
            <v>11208_1</v>
          </cell>
          <cell r="B240">
            <v>0</v>
          </cell>
          <cell r="C240">
            <v>11208</v>
          </cell>
          <cell r="D240" t="str">
            <v>果実達の大宴会</v>
          </cell>
          <cell r="E240">
            <v>0</v>
          </cell>
          <cell r="F240">
            <v>1</v>
          </cell>
          <cell r="G240" t="str">
            <v>ja</v>
          </cell>
          <cell r="H240" t="str">
            <v>【上級】果実達の大宴会</v>
          </cell>
          <cell r="I240" t="str">
            <v>ボーナス</v>
          </cell>
          <cell r="J240" t="str">
            <v>NULL</v>
          </cell>
          <cell r="K240">
            <v>20</v>
          </cell>
          <cell r="L240">
            <v>525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1</v>
          </cell>
          <cell r="R240">
            <v>3</v>
          </cell>
          <cell r="S240" t="str">
            <v>none</v>
          </cell>
          <cell r="T240">
            <v>0</v>
          </cell>
          <cell r="U240" t="str">
            <v>NULL</v>
          </cell>
          <cell r="V240" t="str">
            <v>NULL</v>
          </cell>
          <cell r="W240" t="str">
            <v/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 t="str">
            <v>anytime</v>
          </cell>
          <cell r="AC240">
            <v>21</v>
          </cell>
          <cell r="AD240">
            <v>6</v>
          </cell>
          <cell r="AE240" t="str">
            <v>singleonly</v>
          </cell>
        </row>
        <row r="241">
          <cell r="A241" t="str">
            <v>11208_2</v>
          </cell>
          <cell r="B241">
            <v>0</v>
          </cell>
          <cell r="C241">
            <v>11208</v>
          </cell>
          <cell r="D241" t="str">
            <v>果実達の大宴会</v>
          </cell>
          <cell r="E241">
            <v>0</v>
          </cell>
          <cell r="F241">
            <v>2</v>
          </cell>
          <cell r="G241" t="str">
            <v>ja</v>
          </cell>
          <cell r="H241" t="str">
            <v>【超級】果実達の大宴会</v>
          </cell>
          <cell r="I241" t="str">
            <v>ボーナス</v>
          </cell>
          <cell r="J241">
            <v>125</v>
          </cell>
          <cell r="K241">
            <v>40</v>
          </cell>
          <cell r="L241">
            <v>860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1</v>
          </cell>
          <cell r="R241">
            <v>3</v>
          </cell>
          <cell r="S241" t="str">
            <v>none</v>
          </cell>
          <cell r="T241">
            <v>0</v>
          </cell>
          <cell r="U241" t="str">
            <v>NULL</v>
          </cell>
          <cell r="V241" t="str">
            <v>NULL</v>
          </cell>
          <cell r="W241" t="str">
            <v/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 t="str">
            <v>anytime</v>
          </cell>
          <cell r="AC241">
            <v>21</v>
          </cell>
          <cell r="AD241">
            <v>6</v>
          </cell>
          <cell r="AE241" t="str">
            <v>singleonly</v>
          </cell>
        </row>
        <row r="242">
          <cell r="A242" t="str">
            <v>11209_1</v>
          </cell>
          <cell r="B242">
            <v>3</v>
          </cell>
          <cell r="C242">
            <v>11209</v>
          </cell>
          <cell r="D242" t="str">
            <v>スタートダッシュキャンペーンクエスト</v>
          </cell>
          <cell r="E242" t="str">
            <v>スタートダッシュキャンペーンクエスト</v>
          </cell>
          <cell r="F242">
            <v>1</v>
          </cell>
          <cell r="G242" t="str">
            <v>ja</v>
          </cell>
          <cell r="H242" t="str">
            <v>【初級】メタルダックを捕獲せよ！</v>
          </cell>
          <cell r="I242" t="str">
            <v>経験値ゲリラ</v>
          </cell>
          <cell r="J242">
            <v>334</v>
          </cell>
          <cell r="K242">
            <v>8</v>
          </cell>
          <cell r="L242">
            <v>140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  <cell r="R242">
            <v>3</v>
          </cell>
          <cell r="S242" t="str">
            <v>none</v>
          </cell>
          <cell r="T242">
            <v>0</v>
          </cell>
          <cell r="U242" t="str">
            <v>NULL</v>
          </cell>
          <cell r="V242" t="str">
            <v>NULL</v>
          </cell>
          <cell r="W242" t="str">
            <v/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 t="str">
            <v>anytime</v>
          </cell>
          <cell r="AC242">
            <v>201</v>
          </cell>
          <cell r="AD242">
            <v>6</v>
          </cell>
          <cell r="AE242" t="str">
            <v>everyone</v>
          </cell>
        </row>
        <row r="243">
          <cell r="A243" t="str">
            <v>11209_2</v>
          </cell>
          <cell r="B243">
            <v>3</v>
          </cell>
          <cell r="C243">
            <v>11209</v>
          </cell>
          <cell r="D243" t="str">
            <v>スタートダッシュキャンペーンクエスト</v>
          </cell>
          <cell r="E243" t="str">
            <v>スタートダッシュキャンペーンクエスト</v>
          </cell>
          <cell r="F243">
            <v>2</v>
          </cell>
          <cell r="G243" t="str">
            <v>ja</v>
          </cell>
          <cell r="H243" t="str">
            <v xml:space="preserve">【初級】ゴールドカジノ </v>
          </cell>
          <cell r="I243" t="str">
            <v>初級</v>
          </cell>
          <cell r="J243">
            <v>117</v>
          </cell>
          <cell r="K243">
            <v>8</v>
          </cell>
          <cell r="L243">
            <v>140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  <cell r="R243">
            <v>3</v>
          </cell>
          <cell r="S243" t="str">
            <v>none</v>
          </cell>
          <cell r="T243">
            <v>0</v>
          </cell>
          <cell r="U243" t="str">
            <v>NULL</v>
          </cell>
          <cell r="V243" t="str">
            <v>NULL</v>
          </cell>
          <cell r="W243" t="str">
            <v/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 t="str">
            <v>anytime</v>
          </cell>
          <cell r="AC243">
            <v>105</v>
          </cell>
          <cell r="AD243">
            <v>6</v>
          </cell>
          <cell r="AE243" t="str">
            <v>everyone</v>
          </cell>
        </row>
        <row r="244">
          <cell r="A244" t="str">
            <v>11210_1</v>
          </cell>
          <cell r="B244">
            <v>0</v>
          </cell>
          <cell r="C244">
            <v>11210</v>
          </cell>
          <cell r="D244" t="str">
            <v>100万DL記念★育成ブースト！</v>
          </cell>
          <cell r="E244" t="str">
            <v>ゲリラ【超級】</v>
          </cell>
          <cell r="F244">
            <v>1</v>
          </cell>
          <cell r="G244" t="str">
            <v>ja</v>
          </cell>
          <cell r="H244" t="str">
            <v>【超級】雷のジェントルを追え！</v>
          </cell>
          <cell r="I244" t="str">
            <v>超級ゲリラ</v>
          </cell>
          <cell r="J244">
            <v>347</v>
          </cell>
          <cell r="K244">
            <v>40</v>
          </cell>
          <cell r="L244">
            <v>500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  <cell r="R244">
            <v>3</v>
          </cell>
          <cell r="S244" t="str">
            <v>none</v>
          </cell>
          <cell r="T244">
            <v>0</v>
          </cell>
          <cell r="U244" t="str">
            <v>NULL</v>
          </cell>
          <cell r="V244" t="str">
            <v>NULL</v>
          </cell>
          <cell r="W244" t="str">
            <v/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 t="str">
            <v>anytime</v>
          </cell>
          <cell r="AC244">
            <v>12</v>
          </cell>
          <cell r="AD244">
            <v>6</v>
          </cell>
          <cell r="AE244" t="str">
            <v>singleonly</v>
          </cell>
        </row>
        <row r="245">
          <cell r="A245" t="str">
            <v>11210_2</v>
          </cell>
          <cell r="B245">
            <v>0</v>
          </cell>
          <cell r="C245">
            <v>11210</v>
          </cell>
          <cell r="D245" t="str">
            <v>100万DL記念★育成ブースト！</v>
          </cell>
          <cell r="E245" t="str">
            <v>ゲリラ【超級】</v>
          </cell>
          <cell r="F245">
            <v>2</v>
          </cell>
          <cell r="G245" t="str">
            <v>ja</v>
          </cell>
          <cell r="H245" t="str">
            <v>【超級】水のジェントルを追え！</v>
          </cell>
          <cell r="I245" t="str">
            <v>超級ゲリラ</v>
          </cell>
          <cell r="J245">
            <v>343</v>
          </cell>
          <cell r="K245">
            <v>40</v>
          </cell>
          <cell r="L245">
            <v>500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  <cell r="R245">
            <v>3</v>
          </cell>
          <cell r="S245" t="str">
            <v>none</v>
          </cell>
          <cell r="T245">
            <v>0</v>
          </cell>
          <cell r="U245" t="str">
            <v>NULL</v>
          </cell>
          <cell r="V245" t="str">
            <v>NULL</v>
          </cell>
          <cell r="W245" t="str">
            <v/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 t="str">
            <v>anytime</v>
          </cell>
          <cell r="AC245">
            <v>5</v>
          </cell>
          <cell r="AD245">
            <v>6</v>
          </cell>
          <cell r="AE245" t="str">
            <v>singleonly</v>
          </cell>
        </row>
        <row r="246">
          <cell r="A246" t="str">
            <v>11210_3</v>
          </cell>
          <cell r="B246">
            <v>0</v>
          </cell>
          <cell r="C246">
            <v>11210</v>
          </cell>
          <cell r="D246" t="str">
            <v>100万DL記念★育成ブースト！</v>
          </cell>
          <cell r="E246" t="str">
            <v>ゲリラ【超級】</v>
          </cell>
          <cell r="F246">
            <v>3</v>
          </cell>
          <cell r="G246" t="str">
            <v>ja</v>
          </cell>
          <cell r="H246" t="str">
            <v>【超級】森のジェントルを追え！</v>
          </cell>
          <cell r="I246" t="str">
            <v>超級ゲリラ</v>
          </cell>
          <cell r="J246">
            <v>339</v>
          </cell>
          <cell r="K246">
            <v>40</v>
          </cell>
          <cell r="L246">
            <v>500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  <cell r="R246">
            <v>3</v>
          </cell>
          <cell r="S246" t="str">
            <v>none</v>
          </cell>
          <cell r="T246">
            <v>0</v>
          </cell>
          <cell r="U246" t="str">
            <v>NULL</v>
          </cell>
          <cell r="V246" t="str">
            <v>NULL</v>
          </cell>
          <cell r="W246" t="str">
            <v/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 t="str">
            <v>anytime</v>
          </cell>
          <cell r="AC246">
            <v>7</v>
          </cell>
          <cell r="AD246">
            <v>6</v>
          </cell>
          <cell r="AE246" t="str">
            <v>singleonly</v>
          </cell>
        </row>
        <row r="247">
          <cell r="A247" t="str">
            <v>11210_4</v>
          </cell>
          <cell r="B247">
            <v>0</v>
          </cell>
          <cell r="C247">
            <v>11210</v>
          </cell>
          <cell r="D247" t="str">
            <v>100万DL記念★育成ブースト！</v>
          </cell>
          <cell r="E247" t="str">
            <v>ゲリラ【超級】</v>
          </cell>
          <cell r="F247">
            <v>4</v>
          </cell>
          <cell r="G247" t="str">
            <v>ja</v>
          </cell>
          <cell r="H247" t="str">
            <v>【超級】炎のジェントルを追え！</v>
          </cell>
          <cell r="I247" t="str">
            <v>超級ゲリラ</v>
          </cell>
          <cell r="J247">
            <v>335</v>
          </cell>
          <cell r="K247">
            <v>40</v>
          </cell>
          <cell r="L247">
            <v>500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  <cell r="R247">
            <v>3</v>
          </cell>
          <cell r="S247" t="str">
            <v>none</v>
          </cell>
          <cell r="T247">
            <v>0</v>
          </cell>
          <cell r="U247" t="str">
            <v>NULL</v>
          </cell>
          <cell r="V247" t="str">
            <v>NULL</v>
          </cell>
          <cell r="W247" t="str">
            <v/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 t="str">
            <v>anytime</v>
          </cell>
          <cell r="AC247">
            <v>10</v>
          </cell>
          <cell r="AD247">
            <v>6</v>
          </cell>
          <cell r="AE247" t="str">
            <v>singleonly</v>
          </cell>
        </row>
        <row r="248">
          <cell r="A248" t="str">
            <v>11211_1</v>
          </cell>
          <cell r="B248">
            <v>0</v>
          </cell>
          <cell r="C248">
            <v>11211</v>
          </cell>
          <cell r="D248" t="str">
            <v>※欠番</v>
          </cell>
          <cell r="E248" t="str">
            <v>【超級】ゲリラ※欠番</v>
          </cell>
          <cell r="F248">
            <v>1</v>
          </cell>
          <cell r="G248" t="str">
            <v>ja</v>
          </cell>
          <cell r="H248" t="str">
            <v>【超級】雷のジェントルを追え！</v>
          </cell>
          <cell r="I248" t="str">
            <v>超級ゲリラ ※一時利用</v>
          </cell>
          <cell r="J248">
            <v>347</v>
          </cell>
          <cell r="K248">
            <v>40</v>
          </cell>
          <cell r="L248">
            <v>500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3</v>
          </cell>
          <cell r="S248" t="str">
            <v>none</v>
          </cell>
          <cell r="T248">
            <v>0</v>
          </cell>
          <cell r="U248" t="str">
            <v>NULL</v>
          </cell>
          <cell r="V248" t="str">
            <v>NULL</v>
          </cell>
          <cell r="W248" t="str">
            <v/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 t="str">
            <v>anytime</v>
          </cell>
          <cell r="AC248">
            <v>12</v>
          </cell>
          <cell r="AD248">
            <v>6</v>
          </cell>
          <cell r="AE248" t="str">
            <v>singleonly</v>
          </cell>
        </row>
        <row r="249">
          <cell r="A249" t="str">
            <v>11211_2</v>
          </cell>
          <cell r="B249">
            <v>0</v>
          </cell>
          <cell r="C249">
            <v>11211</v>
          </cell>
          <cell r="D249" t="str">
            <v>※欠番</v>
          </cell>
          <cell r="E249" t="str">
            <v>【超級】ゲリラ※欠番</v>
          </cell>
          <cell r="F249">
            <v>2</v>
          </cell>
          <cell r="G249" t="str">
            <v>ja</v>
          </cell>
          <cell r="H249" t="str">
            <v>【超級】水のジェントルを追え！</v>
          </cell>
          <cell r="I249" t="str">
            <v>超級ゲリラ ※一時利用</v>
          </cell>
          <cell r="J249">
            <v>343</v>
          </cell>
          <cell r="K249">
            <v>40</v>
          </cell>
          <cell r="L249">
            <v>500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3</v>
          </cell>
          <cell r="S249" t="str">
            <v>none</v>
          </cell>
          <cell r="T249">
            <v>0</v>
          </cell>
          <cell r="U249" t="str">
            <v>NULL</v>
          </cell>
          <cell r="V249" t="str">
            <v>NULL</v>
          </cell>
          <cell r="W249" t="str">
            <v/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 t="str">
            <v>anytime</v>
          </cell>
          <cell r="AC249">
            <v>5</v>
          </cell>
          <cell r="AD249">
            <v>6</v>
          </cell>
          <cell r="AE249" t="str">
            <v>singleonly</v>
          </cell>
        </row>
        <row r="250">
          <cell r="A250" t="str">
            <v>11211_3</v>
          </cell>
          <cell r="B250">
            <v>0</v>
          </cell>
          <cell r="C250">
            <v>11211</v>
          </cell>
          <cell r="D250" t="str">
            <v>※欠番</v>
          </cell>
          <cell r="E250" t="str">
            <v>【超級】ゲリラ※欠番</v>
          </cell>
          <cell r="F250">
            <v>3</v>
          </cell>
          <cell r="G250" t="str">
            <v>ja</v>
          </cell>
          <cell r="H250" t="str">
            <v>【超級】森のジェントルを追え！</v>
          </cell>
          <cell r="I250" t="str">
            <v>超級ゲリラ ※一時利用</v>
          </cell>
          <cell r="J250">
            <v>339</v>
          </cell>
          <cell r="K250">
            <v>40</v>
          </cell>
          <cell r="L250">
            <v>500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  <cell r="R250">
            <v>3</v>
          </cell>
          <cell r="S250" t="str">
            <v>none</v>
          </cell>
          <cell r="T250">
            <v>0</v>
          </cell>
          <cell r="U250" t="str">
            <v>NULL</v>
          </cell>
          <cell r="V250" t="str">
            <v>NULL</v>
          </cell>
          <cell r="W250" t="str">
            <v/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 t="str">
            <v>anytime</v>
          </cell>
          <cell r="AC250">
            <v>7</v>
          </cell>
          <cell r="AD250">
            <v>6</v>
          </cell>
          <cell r="AE250" t="str">
            <v>singleonly</v>
          </cell>
        </row>
        <row r="251">
          <cell r="A251" t="str">
            <v>11211_4</v>
          </cell>
          <cell r="B251">
            <v>0</v>
          </cell>
          <cell r="C251">
            <v>11211</v>
          </cell>
          <cell r="D251" t="str">
            <v>※欠番</v>
          </cell>
          <cell r="E251" t="str">
            <v>【超級】ゲリラ※欠番</v>
          </cell>
          <cell r="F251">
            <v>4</v>
          </cell>
          <cell r="G251" t="str">
            <v>ja</v>
          </cell>
          <cell r="H251" t="str">
            <v>【超級】炎のジェントルを追え！</v>
          </cell>
          <cell r="I251" t="str">
            <v>超級ゲリラ ※一時利用</v>
          </cell>
          <cell r="J251">
            <v>335</v>
          </cell>
          <cell r="K251">
            <v>40</v>
          </cell>
          <cell r="L251">
            <v>500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  <cell r="R251">
            <v>3</v>
          </cell>
          <cell r="S251" t="str">
            <v>none</v>
          </cell>
          <cell r="T251">
            <v>0</v>
          </cell>
          <cell r="U251" t="str">
            <v>NULL</v>
          </cell>
          <cell r="V251" t="str">
            <v>NULL</v>
          </cell>
          <cell r="W251" t="str">
            <v/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 t="str">
            <v>anytime</v>
          </cell>
          <cell r="AC251">
            <v>10</v>
          </cell>
          <cell r="AD251">
            <v>6</v>
          </cell>
          <cell r="AE251" t="str">
            <v>singleonly</v>
          </cell>
        </row>
        <row r="252">
          <cell r="A252" t="str">
            <v>11212_1</v>
          </cell>
          <cell r="B252">
            <v>0</v>
          </cell>
          <cell r="C252">
            <v>11212</v>
          </cell>
          <cell r="D252" t="str">
            <v>100万DL記念★特別クエスト</v>
          </cell>
          <cell r="E252" t="str">
            <v>100万DL記念★特別クエスト</v>
          </cell>
          <cell r="F252">
            <v>1</v>
          </cell>
          <cell r="G252" t="str">
            <v>ja</v>
          </cell>
          <cell r="H252" t="str">
            <v>ミリオンダックより愛をこめて</v>
          </cell>
          <cell r="I252" t="str">
            <v>100万DL記念限定クエスト</v>
          </cell>
          <cell r="J252">
            <v>97</v>
          </cell>
          <cell r="K252">
            <v>1</v>
          </cell>
          <cell r="L252">
            <v>100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  <cell r="R252">
            <v>3</v>
          </cell>
          <cell r="S252" t="str">
            <v>none</v>
          </cell>
          <cell r="T252">
            <v>0</v>
          </cell>
          <cell r="U252" t="str">
            <v>NULL</v>
          </cell>
          <cell r="V252" t="str">
            <v>NULL</v>
          </cell>
          <cell r="W252" t="str">
            <v/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 t="str">
            <v>once</v>
          </cell>
          <cell r="AC252">
            <v>1</v>
          </cell>
          <cell r="AD252">
            <v>6</v>
          </cell>
          <cell r="AE252" t="str">
            <v>singleonly</v>
          </cell>
        </row>
        <row r="253">
          <cell r="A253" t="str">
            <v>11213_1</v>
          </cell>
          <cell r="B253">
            <v>0</v>
          </cell>
          <cell r="C253">
            <v>11213</v>
          </cell>
          <cell r="D253" t="str">
            <v>クエスト名</v>
          </cell>
          <cell r="E253" t="str">
            <v>【超級】カジノ</v>
          </cell>
          <cell r="F253">
            <v>1</v>
          </cell>
          <cell r="G253" t="str">
            <v>ja</v>
          </cell>
          <cell r="H253" t="str">
            <v xml:space="preserve">【超級】ゴールドカジノ </v>
          </cell>
          <cell r="I253" t="str">
            <v>超級カジノ</v>
          </cell>
          <cell r="J253">
            <v>119</v>
          </cell>
          <cell r="K253">
            <v>30</v>
          </cell>
          <cell r="L253">
            <v>777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1</v>
          </cell>
          <cell r="R253">
            <v>3</v>
          </cell>
          <cell r="S253" t="str">
            <v>none</v>
          </cell>
          <cell r="T253">
            <v>0</v>
          </cell>
          <cell r="U253" t="str">
            <v>NULL</v>
          </cell>
          <cell r="V253" t="str">
            <v>NULL</v>
          </cell>
          <cell r="W253" t="str">
            <v/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 t="str">
            <v>anytime</v>
          </cell>
          <cell r="AC253">
            <v>105</v>
          </cell>
          <cell r="AD253">
            <v>6</v>
          </cell>
          <cell r="AE253" t="str">
            <v>everyone</v>
          </cell>
        </row>
        <row r="254">
          <cell r="A254" t="str">
            <v>11214_1</v>
          </cell>
          <cell r="B254">
            <v>0</v>
          </cell>
          <cell r="C254">
            <v>11214</v>
          </cell>
          <cell r="D254" t="str">
            <v>プロメテウスの恋</v>
          </cell>
          <cell r="E254" t="str">
            <v>2015年クリスマスクエスト</v>
          </cell>
          <cell r="F254">
            <v>1</v>
          </cell>
          <cell r="G254" t="str">
            <v>ja</v>
          </cell>
          <cell r="H254" t="str">
            <v>【ストーリー前編】勢いまかせ</v>
          </cell>
          <cell r="I254" t="str">
            <v>2015年クリスマスクエスト</v>
          </cell>
          <cell r="J254">
            <v>202</v>
          </cell>
          <cell r="K254">
            <v>1</v>
          </cell>
          <cell r="L254">
            <v>1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  <cell r="R254">
            <v>3</v>
          </cell>
          <cell r="S254" t="str">
            <v>character</v>
          </cell>
          <cell r="T254" t="str">
            <v>520,521,522,523</v>
          </cell>
          <cell r="U254" t="str">
            <v>NULL</v>
          </cell>
          <cell r="V254" t="str">
            <v>NULL</v>
          </cell>
          <cell r="W254" t="str">
            <v/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 t="str">
            <v>anytime</v>
          </cell>
          <cell r="AC254">
            <v>1</v>
          </cell>
          <cell r="AD254">
            <v>6</v>
          </cell>
          <cell r="AE254" t="str">
            <v>singleonly</v>
          </cell>
        </row>
        <row r="255">
          <cell r="A255" t="str">
            <v>11214_2</v>
          </cell>
          <cell r="B255">
            <v>0</v>
          </cell>
          <cell r="C255">
            <v>11214</v>
          </cell>
          <cell r="D255" t="str">
            <v>プロメテウスの恋</v>
          </cell>
          <cell r="E255" t="str">
            <v>2015年クリスマスクエスト</v>
          </cell>
          <cell r="F255">
            <v>2</v>
          </cell>
          <cell r="G255" t="str">
            <v>ja</v>
          </cell>
          <cell r="H255" t="str">
            <v>【ストーリー中編】恋の奥義</v>
          </cell>
          <cell r="I255" t="str">
            <v>2015年クリスマスクエスト</v>
          </cell>
          <cell r="J255">
            <v>202</v>
          </cell>
          <cell r="K255">
            <v>1</v>
          </cell>
          <cell r="L255">
            <v>1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1</v>
          </cell>
          <cell r="R255">
            <v>3</v>
          </cell>
          <cell r="S255" t="str">
            <v>none</v>
          </cell>
          <cell r="T255">
            <v>0</v>
          </cell>
          <cell r="U255">
            <v>11214</v>
          </cell>
          <cell r="V255">
            <v>1</v>
          </cell>
          <cell r="W255" t="str">
            <v>【ストーリー前編】勢いまかせ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 t="str">
            <v>anytime</v>
          </cell>
          <cell r="AC255">
            <v>105</v>
          </cell>
          <cell r="AD255">
            <v>6</v>
          </cell>
          <cell r="AE255" t="str">
            <v>singleonly</v>
          </cell>
        </row>
        <row r="256">
          <cell r="A256" t="str">
            <v>11214_3</v>
          </cell>
          <cell r="B256">
            <v>0</v>
          </cell>
          <cell r="C256">
            <v>11214</v>
          </cell>
          <cell r="D256" t="str">
            <v>プロメテウスの恋</v>
          </cell>
          <cell r="E256" t="str">
            <v>2015年クリスマスクエスト</v>
          </cell>
          <cell r="F256">
            <v>3</v>
          </cell>
          <cell r="G256" t="str">
            <v>ja</v>
          </cell>
          <cell r="H256" t="str">
            <v>【ストーリー後編】フィーバーの力</v>
          </cell>
          <cell r="I256" t="str">
            <v>2015年クリスマスクエスト</v>
          </cell>
          <cell r="J256">
            <v>202</v>
          </cell>
          <cell r="K256">
            <v>1</v>
          </cell>
          <cell r="L256">
            <v>2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  <cell r="R256">
            <v>3</v>
          </cell>
          <cell r="S256" t="str">
            <v>character</v>
          </cell>
          <cell r="T256" t="str">
            <v>520,521,522,523</v>
          </cell>
          <cell r="U256">
            <v>11214</v>
          </cell>
          <cell r="V256">
            <v>1</v>
          </cell>
          <cell r="W256" t="str">
            <v>【ストーリー前編】勢いまかせ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 t="str">
            <v>anytime</v>
          </cell>
          <cell r="AC256">
            <v>105</v>
          </cell>
          <cell r="AD256">
            <v>6</v>
          </cell>
          <cell r="AE256" t="str">
            <v>singleonly</v>
          </cell>
        </row>
        <row r="257">
          <cell r="A257" t="str">
            <v>11215_1</v>
          </cell>
          <cell r="B257">
            <v>0</v>
          </cell>
          <cell r="C257">
            <v>11215</v>
          </cell>
          <cell r="D257" t="str">
            <v>【マルチ】サンタダックを捕獲せよ！</v>
          </cell>
          <cell r="E257" t="str">
            <v>2015年クリスマスゲリラクエスト</v>
          </cell>
          <cell r="F257">
            <v>1</v>
          </cell>
          <cell r="G257" t="str">
            <v>ja</v>
          </cell>
          <cell r="H257" t="str">
            <v>【上級】サンタダックを捕獲せよ！</v>
          </cell>
          <cell r="I257" t="str">
            <v>2015年クリスマスゲリラクエスト</v>
          </cell>
          <cell r="J257">
            <v>520</v>
          </cell>
          <cell r="K257">
            <v>10</v>
          </cell>
          <cell r="L257">
            <v>350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  <cell r="R257">
            <v>3</v>
          </cell>
          <cell r="S257" t="str">
            <v>none</v>
          </cell>
          <cell r="T257">
            <v>0</v>
          </cell>
          <cell r="U257" t="str">
            <v>NULL</v>
          </cell>
          <cell r="V257" t="str">
            <v>NULL</v>
          </cell>
          <cell r="W257" t="str">
            <v/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 t="str">
            <v>anytime</v>
          </cell>
          <cell r="AC257">
            <v>105</v>
          </cell>
          <cell r="AD257">
            <v>6</v>
          </cell>
          <cell r="AE257" t="str">
            <v>multionly</v>
          </cell>
        </row>
        <row r="258">
          <cell r="A258" t="str">
            <v>11216_1</v>
          </cell>
          <cell r="B258">
            <v>0</v>
          </cell>
          <cell r="C258">
            <v>11216</v>
          </cell>
          <cell r="D258" t="str">
            <v>年越し★特別クエスト</v>
          </cell>
          <cell r="E258" t="str">
            <v>2015年年越しクエスト</v>
          </cell>
          <cell r="F258">
            <v>1</v>
          </cell>
          <cell r="G258" t="str">
            <v>ja</v>
          </cell>
          <cell r="H258" t="str">
            <v>【上級】年を越える宴（ハートなし）</v>
          </cell>
          <cell r="I258" t="str">
            <v>2015年年忘れクエスト</v>
          </cell>
          <cell r="J258">
            <v>377</v>
          </cell>
          <cell r="K258">
            <v>10</v>
          </cell>
          <cell r="L258">
            <v>350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0</v>
          </cell>
          <cell r="R258">
            <v>3</v>
          </cell>
          <cell r="S258" t="str">
            <v>none</v>
          </cell>
          <cell r="T258">
            <v>0</v>
          </cell>
          <cell r="U258" t="str">
            <v>NULL</v>
          </cell>
          <cell r="V258" t="str">
            <v>NULL</v>
          </cell>
          <cell r="W258" t="str">
            <v/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 t="str">
            <v>anytime</v>
          </cell>
          <cell r="AC258">
            <v>901</v>
          </cell>
          <cell r="AD258">
            <v>6</v>
          </cell>
          <cell r="AE258" t="str">
            <v>multionly</v>
          </cell>
        </row>
        <row r="259">
          <cell r="A259" t="str">
            <v>11217_1</v>
          </cell>
          <cell r="B259">
            <v>0</v>
          </cell>
          <cell r="C259">
            <v>11217</v>
          </cell>
          <cell r="D259" t="str">
            <v>年明け★特別クエスト</v>
          </cell>
          <cell r="E259" t="str">
            <v>2016年あけおめクエスト</v>
          </cell>
          <cell r="F259">
            <v>1</v>
          </cell>
          <cell r="G259" t="str">
            <v>ja</v>
          </cell>
          <cell r="H259" t="str">
            <v>あけおめダックのお年玉</v>
          </cell>
          <cell r="I259" t="str">
            <v>2016年あけおめクエスト</v>
          </cell>
          <cell r="J259">
            <v>524</v>
          </cell>
          <cell r="K259">
            <v>1</v>
          </cell>
          <cell r="L259">
            <v>2016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0</v>
          </cell>
          <cell r="R259">
            <v>3</v>
          </cell>
          <cell r="S259" t="str">
            <v>polygon</v>
          </cell>
          <cell r="T259">
            <v>1</v>
          </cell>
          <cell r="U259" t="str">
            <v>NULL</v>
          </cell>
          <cell r="V259" t="str">
            <v>NULL</v>
          </cell>
          <cell r="W259" t="str">
            <v/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 t="str">
            <v>once</v>
          </cell>
          <cell r="AC259">
            <v>2</v>
          </cell>
          <cell r="AD259">
            <v>6</v>
          </cell>
          <cell r="AE259" t="str">
            <v>singleonly</v>
          </cell>
        </row>
        <row r="260">
          <cell r="A260" t="str">
            <v>11218_1</v>
          </cell>
          <cell r="B260">
            <v>3</v>
          </cell>
          <cell r="C260">
            <v>11218</v>
          </cell>
          <cell r="D260" t="str">
            <v>バレンタイン★特別クエスト</v>
          </cell>
          <cell r="E260" t="str">
            <v>2016年バレンタインクエスト</v>
          </cell>
          <cell r="F260">
            <v>1</v>
          </cell>
          <cell r="G260" t="str">
            <v>ja</v>
          </cell>
          <cell r="H260" t="str">
            <v>【ストーリー】バレンタイン狂想曲</v>
          </cell>
          <cell r="I260" t="str">
            <v>ストーリー</v>
          </cell>
          <cell r="J260">
            <v>572</v>
          </cell>
          <cell r="K260">
            <v>1</v>
          </cell>
          <cell r="L260">
            <v>214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3</v>
          </cell>
          <cell r="S260" t="str">
            <v>polygon</v>
          </cell>
          <cell r="T260">
            <v>1</v>
          </cell>
          <cell r="U260" t="str">
            <v>NULL</v>
          </cell>
          <cell r="V260" t="str">
            <v>NULL</v>
          </cell>
          <cell r="W260" t="str">
            <v/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 t="str">
            <v>once</v>
          </cell>
          <cell r="AC260">
            <v>1</v>
          </cell>
          <cell r="AD260">
            <v>6</v>
          </cell>
          <cell r="AE260" t="str">
            <v>singleonly</v>
          </cell>
        </row>
        <row r="261">
          <cell r="A261" t="str">
            <v>11219_1</v>
          </cell>
          <cell r="B261">
            <v>3</v>
          </cell>
          <cell r="C261">
            <v>11219</v>
          </cell>
          <cell r="D261" t="str">
            <v>200万DL記念★特別クエスト</v>
          </cell>
          <cell r="E261" t="str">
            <v>200万DL記念★特別クエスト</v>
          </cell>
          <cell r="F261">
            <v>1</v>
          </cell>
          <cell r="G261" t="str">
            <v>ja</v>
          </cell>
          <cell r="H261" t="str">
            <v>ミリオンダックより愛を込めて 2</v>
          </cell>
          <cell r="I261" t="str">
            <v>200万DL記念限定クエスト</v>
          </cell>
          <cell r="J261">
            <v>97</v>
          </cell>
          <cell r="K261">
            <v>1</v>
          </cell>
          <cell r="L261">
            <v>200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  <cell r="R261">
            <v>3</v>
          </cell>
          <cell r="S261" t="str">
            <v>polygon</v>
          </cell>
          <cell r="T261">
            <v>1</v>
          </cell>
          <cell r="U261" t="str">
            <v>NULL</v>
          </cell>
          <cell r="V261" t="str">
            <v>NULL</v>
          </cell>
          <cell r="W261" t="str">
            <v/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 t="str">
            <v>anytime</v>
          </cell>
          <cell r="AC261">
            <v>1</v>
          </cell>
          <cell r="AD261">
            <v>6</v>
          </cell>
          <cell r="AE261" t="str">
            <v>singleonly</v>
          </cell>
        </row>
        <row r="262">
          <cell r="A262" t="str">
            <v>11220_1</v>
          </cell>
          <cell r="B262">
            <v>3</v>
          </cell>
          <cell r="C262">
            <v>11220</v>
          </cell>
          <cell r="D262" t="str">
            <v>ホワイトデー★特別クエスト</v>
          </cell>
          <cell r="E262" t="str">
            <v>2016年ホワイトデークエスト</v>
          </cell>
          <cell r="F262">
            <v>1</v>
          </cell>
          <cell r="G262" t="str">
            <v>ja</v>
          </cell>
          <cell r="H262" t="str">
            <v>【ストーリー】ホワイトデー独騒曲</v>
          </cell>
          <cell r="I262" t="str">
            <v>2016年ホワイトデークエスト</v>
          </cell>
          <cell r="J262">
            <v>350</v>
          </cell>
          <cell r="K262">
            <v>1</v>
          </cell>
          <cell r="L262">
            <v>314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  <cell r="R262">
            <v>3</v>
          </cell>
          <cell r="S262" t="str">
            <v>polygon</v>
          </cell>
          <cell r="T262">
            <v>1</v>
          </cell>
          <cell r="U262" t="str">
            <v>NULL</v>
          </cell>
          <cell r="V262" t="str">
            <v>NULL</v>
          </cell>
          <cell r="W262" t="str">
            <v/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 t="str">
            <v>once</v>
          </cell>
          <cell r="AC262">
            <v>1</v>
          </cell>
          <cell r="AD262">
            <v>6</v>
          </cell>
          <cell r="AE262" t="str">
            <v>singleonly</v>
          </cell>
        </row>
        <row r="263">
          <cell r="A263" t="str">
            <v>11221_1</v>
          </cell>
          <cell r="B263">
            <v>3</v>
          </cell>
          <cell r="C263">
            <v>11221</v>
          </cell>
          <cell r="D263" t="str">
            <v>新生活★応援クエスト</v>
          </cell>
          <cell r="E263" t="str">
            <v>2016年卒業クエスト</v>
          </cell>
          <cell r="F263">
            <v>1</v>
          </cell>
          <cell r="G263" t="str">
            <v>ja</v>
          </cell>
          <cell r="H263" t="str">
            <v>【ストーリー】桜舞い散る樹の下で</v>
          </cell>
          <cell r="I263" t="str">
            <v>2016年卒業クエスト</v>
          </cell>
          <cell r="J263">
            <v>794</v>
          </cell>
          <cell r="K263">
            <v>1</v>
          </cell>
          <cell r="L263">
            <v>331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  <cell r="R263">
            <v>3</v>
          </cell>
          <cell r="S263" t="str">
            <v>polygon</v>
          </cell>
          <cell r="T263">
            <v>1</v>
          </cell>
          <cell r="U263" t="str">
            <v>NULL</v>
          </cell>
          <cell r="V263" t="str">
            <v>NULL</v>
          </cell>
          <cell r="W263" t="str">
            <v/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 t="str">
            <v>once</v>
          </cell>
          <cell r="AC263">
            <v>926</v>
          </cell>
          <cell r="AD263">
            <v>6</v>
          </cell>
          <cell r="AE263" t="str">
            <v>singleonly</v>
          </cell>
        </row>
        <row r="264">
          <cell r="A264" t="str">
            <v>12001_1</v>
          </cell>
          <cell r="B264">
            <v>3</v>
          </cell>
          <cell r="C264">
            <v>12001</v>
          </cell>
          <cell r="D264" t="str">
            <v>【緊急！！】 アヒル捕獲作戦</v>
          </cell>
          <cell r="E264" t="str">
            <v>ゲリラクエスト</v>
          </cell>
          <cell r="F264">
            <v>1</v>
          </cell>
          <cell r="G264" t="str">
            <v>ja</v>
          </cell>
          <cell r="H264" t="str">
            <v xml:space="preserve">【初級】メタルダックを捕獲せよ！ </v>
          </cell>
          <cell r="I264" t="str">
            <v>経験値ゲリラ</v>
          </cell>
          <cell r="J264">
            <v>334</v>
          </cell>
          <cell r="K264">
            <v>8</v>
          </cell>
          <cell r="L264">
            <v>140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3</v>
          </cell>
          <cell r="S264" t="str">
            <v>none</v>
          </cell>
          <cell r="T264">
            <v>0</v>
          </cell>
          <cell r="U264" t="str">
            <v>NULL</v>
          </cell>
          <cell r="V264" t="str">
            <v>NULL</v>
          </cell>
          <cell r="W264" t="str">
            <v/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 t="str">
            <v>anytime</v>
          </cell>
          <cell r="AC264">
            <v>201</v>
          </cell>
          <cell r="AD264">
            <v>6</v>
          </cell>
          <cell r="AE264" t="str">
            <v>everyone</v>
          </cell>
        </row>
        <row r="265">
          <cell r="A265" t="str">
            <v>12001_2</v>
          </cell>
          <cell r="B265">
            <v>3</v>
          </cell>
          <cell r="C265">
            <v>12001</v>
          </cell>
          <cell r="D265" t="str">
            <v>【緊急！！】 アヒル捕獲作戦</v>
          </cell>
          <cell r="E265" t="str">
            <v>ゲリラクエスト</v>
          </cell>
          <cell r="F265">
            <v>2</v>
          </cell>
          <cell r="G265" t="str">
            <v>ja</v>
          </cell>
          <cell r="H265" t="str">
            <v xml:space="preserve">【上級】メタルダックを捕獲せよ！ </v>
          </cell>
          <cell r="I265" t="str">
            <v>経験値ゲリラ</v>
          </cell>
          <cell r="J265">
            <v>334</v>
          </cell>
          <cell r="K265">
            <v>20</v>
          </cell>
          <cell r="L265">
            <v>350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1</v>
          </cell>
          <cell r="R265">
            <v>3</v>
          </cell>
          <cell r="S265" t="str">
            <v>none</v>
          </cell>
          <cell r="T265">
            <v>0</v>
          </cell>
          <cell r="U265" t="str">
            <v>NULL</v>
          </cell>
          <cell r="V265" t="str">
            <v>NULL</v>
          </cell>
          <cell r="W265" t="str">
            <v/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 t="str">
            <v>anytime</v>
          </cell>
          <cell r="AC265">
            <v>201</v>
          </cell>
          <cell r="AD265">
            <v>6</v>
          </cell>
          <cell r="AE265" t="str">
            <v>everyone</v>
          </cell>
        </row>
        <row r="266">
          <cell r="A266" t="str">
            <v>12001_3</v>
          </cell>
          <cell r="B266">
            <v>0</v>
          </cell>
          <cell r="C266">
            <v>12001</v>
          </cell>
          <cell r="D266" t="str">
            <v>【緊急！！】 アヒル捕獲作戦</v>
          </cell>
          <cell r="E266" t="str">
            <v>ゲリラクエスト</v>
          </cell>
          <cell r="F266">
            <v>3</v>
          </cell>
          <cell r="G266" t="str">
            <v>ja</v>
          </cell>
          <cell r="H266" t="str">
            <v>★100DL記念 マルチ専用★_x000D_【上級】メタルダックを捕獲せよ！</v>
          </cell>
          <cell r="I266" t="str">
            <v>経験値ゲリラ</v>
          </cell>
          <cell r="J266">
            <v>334</v>
          </cell>
          <cell r="K266">
            <v>10</v>
          </cell>
          <cell r="L266">
            <v>350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1</v>
          </cell>
          <cell r="R266">
            <v>3</v>
          </cell>
          <cell r="S266" t="str">
            <v>none</v>
          </cell>
          <cell r="T266">
            <v>0</v>
          </cell>
          <cell r="U266" t="str">
            <v>NULL</v>
          </cell>
          <cell r="V266" t="str">
            <v>NULL</v>
          </cell>
          <cell r="W266" t="str">
            <v/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 t="str">
            <v>anytime</v>
          </cell>
          <cell r="AC266">
            <v>201</v>
          </cell>
          <cell r="AD266">
            <v>6</v>
          </cell>
          <cell r="AE266" t="str">
            <v>multionly</v>
          </cell>
        </row>
        <row r="267">
          <cell r="A267" t="str">
            <v>12002_3</v>
          </cell>
          <cell r="B267">
            <v>0</v>
          </cell>
          <cell r="C267">
            <v>12002</v>
          </cell>
          <cell r="D267" t="str">
            <v>【マルチ専用1/2】 アヒル捕獲作戦</v>
          </cell>
          <cell r="E267" t="str">
            <v>ゲリラクエスト</v>
          </cell>
          <cell r="F267">
            <v>3</v>
          </cell>
          <cell r="G267" t="str">
            <v>ja</v>
          </cell>
          <cell r="H267" t="str">
            <v xml:space="preserve">【初級】メタルダックを捕獲せよ！ </v>
          </cell>
          <cell r="I267" t="str">
            <v>経験値ゲリラ</v>
          </cell>
          <cell r="J267">
            <v>334</v>
          </cell>
          <cell r="K267">
            <v>8</v>
          </cell>
          <cell r="L267">
            <v>140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1</v>
          </cell>
          <cell r="R267">
            <v>3</v>
          </cell>
          <cell r="S267" t="str">
            <v>none</v>
          </cell>
          <cell r="T267">
            <v>0</v>
          </cell>
          <cell r="U267" t="str">
            <v>NULL</v>
          </cell>
          <cell r="V267" t="str">
            <v>NULL</v>
          </cell>
          <cell r="W267" t="str">
            <v/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 t="str">
            <v>anytime</v>
          </cell>
          <cell r="AC267">
            <v>201</v>
          </cell>
          <cell r="AD267">
            <v>6</v>
          </cell>
          <cell r="AE267" t="str">
            <v>everyone</v>
          </cell>
        </row>
        <row r="268">
          <cell r="A268" t="str">
            <v>12002_2</v>
          </cell>
          <cell r="B268">
            <v>0</v>
          </cell>
          <cell r="C268">
            <v>12002</v>
          </cell>
          <cell r="D268" t="str">
            <v>【マルチ専用1/2】 アヒル捕獲作戦</v>
          </cell>
          <cell r="E268" t="str">
            <v>ゲリラクエスト</v>
          </cell>
          <cell r="F268">
            <v>2</v>
          </cell>
          <cell r="G268" t="str">
            <v>ja</v>
          </cell>
          <cell r="H268" t="str">
            <v xml:space="preserve">【上級】メタルダックを捕獲せよ！ </v>
          </cell>
          <cell r="I268" t="str">
            <v>経験値ゲリラ</v>
          </cell>
          <cell r="J268">
            <v>334</v>
          </cell>
          <cell r="K268">
            <v>20</v>
          </cell>
          <cell r="L268">
            <v>350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1</v>
          </cell>
          <cell r="R268">
            <v>3</v>
          </cell>
          <cell r="S268" t="str">
            <v>none</v>
          </cell>
          <cell r="T268">
            <v>0</v>
          </cell>
          <cell r="U268" t="str">
            <v>NULL</v>
          </cell>
          <cell r="V268" t="str">
            <v>NULL</v>
          </cell>
          <cell r="W268" t="str">
            <v/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 t="str">
            <v>anytime</v>
          </cell>
          <cell r="AC268">
            <v>201</v>
          </cell>
          <cell r="AD268">
            <v>6</v>
          </cell>
          <cell r="AE268" t="str">
            <v>everyone</v>
          </cell>
        </row>
        <row r="269">
          <cell r="A269" t="str">
            <v>12002_1</v>
          </cell>
          <cell r="B269">
            <v>3</v>
          </cell>
          <cell r="C269">
            <v>12002</v>
          </cell>
          <cell r="D269" t="str">
            <v>【マルチ専用1/2】 アヒル捕獲作戦</v>
          </cell>
          <cell r="E269" t="str">
            <v>ゲリラクエスト</v>
          </cell>
          <cell r="F269">
            <v>1</v>
          </cell>
          <cell r="G269" t="str">
            <v>ja</v>
          </cell>
          <cell r="H269" t="str">
            <v>【上級】メタルダックを捕獲せよ！</v>
          </cell>
          <cell r="I269" t="str">
            <v>経験値ゲリラ</v>
          </cell>
          <cell r="J269">
            <v>334</v>
          </cell>
          <cell r="K269">
            <v>10</v>
          </cell>
          <cell r="L269">
            <v>350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1</v>
          </cell>
          <cell r="R269">
            <v>3</v>
          </cell>
          <cell r="S269" t="str">
            <v>none</v>
          </cell>
          <cell r="T269">
            <v>0</v>
          </cell>
          <cell r="U269" t="str">
            <v>NULL</v>
          </cell>
          <cell r="V269" t="str">
            <v>NULL</v>
          </cell>
          <cell r="W269" t="str">
            <v/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 t="str">
            <v>anytime</v>
          </cell>
          <cell r="AC269">
            <v>201</v>
          </cell>
          <cell r="AD269">
            <v>6</v>
          </cell>
          <cell r="AE269" t="str">
            <v>multionly</v>
          </cell>
        </row>
        <row r="270">
          <cell r="A270" t="str">
            <v>12003_1</v>
          </cell>
          <cell r="B270">
            <v>3</v>
          </cell>
          <cell r="C270">
            <v>12003</v>
          </cell>
          <cell r="D270" t="str">
            <v>【超緊急！！】メタルジェントルを追え</v>
          </cell>
          <cell r="E270" t="str">
            <v>ゲリラ【超級】</v>
          </cell>
          <cell r="F270">
            <v>1</v>
          </cell>
          <cell r="G270" t="str">
            <v>ja</v>
          </cell>
          <cell r="H270" t="str">
            <v>【超級】雷のジェントルを追え！</v>
          </cell>
          <cell r="I270" t="str">
            <v>超級ゲリラ</v>
          </cell>
          <cell r="J270">
            <v>347</v>
          </cell>
          <cell r="K270">
            <v>40</v>
          </cell>
          <cell r="L270">
            <v>500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1</v>
          </cell>
          <cell r="R270">
            <v>3</v>
          </cell>
          <cell r="S270" t="str">
            <v>none</v>
          </cell>
          <cell r="T270">
            <v>0</v>
          </cell>
          <cell r="U270" t="str">
            <v>NULL</v>
          </cell>
          <cell r="V270" t="str">
            <v>NULL</v>
          </cell>
          <cell r="W270" t="str">
            <v/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 t="str">
            <v>anytime</v>
          </cell>
          <cell r="AC270">
            <v>12</v>
          </cell>
          <cell r="AD270">
            <v>6</v>
          </cell>
          <cell r="AE270" t="str">
            <v>singleonly</v>
          </cell>
        </row>
        <row r="271">
          <cell r="A271" t="str">
            <v>12003_2</v>
          </cell>
          <cell r="B271">
            <v>3</v>
          </cell>
          <cell r="C271">
            <v>12003</v>
          </cell>
          <cell r="D271" t="str">
            <v>【超緊急！！】メタルジェントルを追え</v>
          </cell>
          <cell r="E271" t="str">
            <v>ゲリラ【超級】</v>
          </cell>
          <cell r="F271">
            <v>2</v>
          </cell>
          <cell r="G271" t="str">
            <v>ja</v>
          </cell>
          <cell r="H271" t="str">
            <v>【超級】水のジェントルを追え！</v>
          </cell>
          <cell r="I271" t="str">
            <v>超級ゲリラ</v>
          </cell>
          <cell r="J271">
            <v>343</v>
          </cell>
          <cell r="K271">
            <v>40</v>
          </cell>
          <cell r="L271">
            <v>500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1</v>
          </cell>
          <cell r="R271">
            <v>3</v>
          </cell>
          <cell r="S271" t="str">
            <v>none</v>
          </cell>
          <cell r="T271">
            <v>0</v>
          </cell>
          <cell r="U271" t="str">
            <v>NULL</v>
          </cell>
          <cell r="V271" t="str">
            <v>NULL</v>
          </cell>
          <cell r="W271" t="str">
            <v/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 t="str">
            <v>anytime</v>
          </cell>
          <cell r="AC271">
            <v>5</v>
          </cell>
          <cell r="AD271">
            <v>6</v>
          </cell>
          <cell r="AE271" t="str">
            <v>singleonly</v>
          </cell>
        </row>
        <row r="272">
          <cell r="A272" t="str">
            <v>12003_3</v>
          </cell>
          <cell r="B272">
            <v>3</v>
          </cell>
          <cell r="C272">
            <v>12003</v>
          </cell>
          <cell r="D272" t="str">
            <v>【超緊急！！】メタルジェントルを追え</v>
          </cell>
          <cell r="E272" t="str">
            <v>ゲリラ【超級】</v>
          </cell>
          <cell r="F272">
            <v>3</v>
          </cell>
          <cell r="G272" t="str">
            <v>ja</v>
          </cell>
          <cell r="H272" t="str">
            <v>【超級】森のジェントルを追え！</v>
          </cell>
          <cell r="I272" t="str">
            <v>超級ゲリラ</v>
          </cell>
          <cell r="J272">
            <v>339</v>
          </cell>
          <cell r="K272">
            <v>40</v>
          </cell>
          <cell r="L272">
            <v>500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1</v>
          </cell>
          <cell r="R272">
            <v>3</v>
          </cell>
          <cell r="S272" t="str">
            <v>none</v>
          </cell>
          <cell r="T272">
            <v>0</v>
          </cell>
          <cell r="U272" t="str">
            <v>NULL</v>
          </cell>
          <cell r="V272" t="str">
            <v>NULL</v>
          </cell>
          <cell r="W272" t="str">
            <v/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 t="str">
            <v>anytime</v>
          </cell>
          <cell r="AC272">
            <v>7</v>
          </cell>
          <cell r="AD272">
            <v>6</v>
          </cell>
          <cell r="AE272" t="str">
            <v>singleonly</v>
          </cell>
        </row>
        <row r="273">
          <cell r="A273" t="str">
            <v>12003_4</v>
          </cell>
          <cell r="B273">
            <v>3</v>
          </cell>
          <cell r="C273">
            <v>12003</v>
          </cell>
          <cell r="D273" t="str">
            <v>【超緊急！！】メタルジェントルを追え</v>
          </cell>
          <cell r="E273" t="str">
            <v>ゲリラ【超級】</v>
          </cell>
          <cell r="F273">
            <v>4</v>
          </cell>
          <cell r="G273" t="str">
            <v>ja</v>
          </cell>
          <cell r="H273" t="str">
            <v>【超級】炎のジェントルを追え！</v>
          </cell>
          <cell r="I273" t="str">
            <v>超級ゲリラ</v>
          </cell>
          <cell r="J273">
            <v>335</v>
          </cell>
          <cell r="K273">
            <v>40</v>
          </cell>
          <cell r="L273">
            <v>500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1</v>
          </cell>
          <cell r="R273">
            <v>3</v>
          </cell>
          <cell r="S273" t="str">
            <v>none</v>
          </cell>
          <cell r="T273">
            <v>0</v>
          </cell>
          <cell r="U273" t="str">
            <v>NULL</v>
          </cell>
          <cell r="V273" t="str">
            <v>NULL</v>
          </cell>
          <cell r="W273" t="str">
            <v/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 t="str">
            <v>anytime</v>
          </cell>
          <cell r="AC273">
            <v>10</v>
          </cell>
          <cell r="AD273">
            <v>6</v>
          </cell>
          <cell r="AE273" t="str">
            <v>singleonly</v>
          </cell>
        </row>
        <row r="274">
          <cell r="A274" t="str">
            <v>12004_1</v>
          </cell>
          <cell r="B274">
            <v>3</v>
          </cell>
          <cell r="C274">
            <v>12004</v>
          </cell>
          <cell r="D274" t="str">
            <v>メタルフロッグをもとめて</v>
          </cell>
          <cell r="E274" t="str">
            <v>イベントクエスト</v>
          </cell>
          <cell r="F274">
            <v>1</v>
          </cell>
          <cell r="G274" t="str">
            <v>ja</v>
          </cell>
          <cell r="H274" t="str">
            <v>【上級】メタルフロッグをもとめて</v>
          </cell>
          <cell r="I274" t="str">
            <v>経験値イベント</v>
          </cell>
          <cell r="J274">
            <v>351</v>
          </cell>
          <cell r="K274">
            <v>20</v>
          </cell>
          <cell r="L274">
            <v>100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1</v>
          </cell>
          <cell r="R274">
            <v>3</v>
          </cell>
          <cell r="S274" t="str">
            <v>none</v>
          </cell>
          <cell r="T274">
            <v>0</v>
          </cell>
          <cell r="U274" t="str">
            <v>NULL</v>
          </cell>
          <cell r="V274" t="str">
            <v>NULL</v>
          </cell>
          <cell r="W274" t="str">
            <v/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 t="str">
            <v>anytime</v>
          </cell>
          <cell r="AC274">
            <v>23</v>
          </cell>
          <cell r="AD274">
            <v>6</v>
          </cell>
          <cell r="AE274" t="str">
            <v>everyone</v>
          </cell>
        </row>
        <row r="275">
          <cell r="A275" t="str">
            <v>13001_1</v>
          </cell>
          <cell r="B275">
            <v>3</v>
          </cell>
          <cell r="C275">
            <v>13001</v>
          </cell>
          <cell r="D275" t="str">
            <v>チャレンジタワー(ソロ専用)</v>
          </cell>
          <cell r="E275" t="str">
            <v>試練の塔</v>
          </cell>
          <cell r="F275">
            <v>1</v>
          </cell>
          <cell r="G275" t="str">
            <v>ja</v>
          </cell>
          <cell r="H275" t="str">
            <v>チャレンジタワー 1F</v>
          </cell>
          <cell r="I275" t="str">
            <v>試練の塔</v>
          </cell>
          <cell r="J275">
            <v>345</v>
          </cell>
          <cell r="K275">
            <v>3</v>
          </cell>
          <cell r="L275">
            <v>120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1</v>
          </cell>
          <cell r="R275">
            <v>3</v>
          </cell>
          <cell r="S275" t="str">
            <v>character</v>
          </cell>
          <cell r="T275" t="str">
            <v>345,345</v>
          </cell>
          <cell r="U275" t="str">
            <v>NULL</v>
          </cell>
          <cell r="V275" t="str">
            <v>NULL</v>
          </cell>
          <cell r="W275" t="str">
            <v/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 t="str">
            <v>anytime</v>
          </cell>
          <cell r="AC275">
            <v>26</v>
          </cell>
          <cell r="AD275">
            <v>6</v>
          </cell>
          <cell r="AE275" t="str">
            <v>singleonly</v>
          </cell>
        </row>
        <row r="276">
          <cell r="A276" t="str">
            <v>13001_2</v>
          </cell>
          <cell r="B276">
            <v>3</v>
          </cell>
          <cell r="C276">
            <v>13001</v>
          </cell>
          <cell r="D276" t="str">
            <v>チャレンジタワー(ソロ専用)</v>
          </cell>
          <cell r="E276" t="str">
            <v>試練の塔</v>
          </cell>
          <cell r="F276">
            <v>2</v>
          </cell>
          <cell r="G276" t="str">
            <v>ja</v>
          </cell>
          <cell r="H276" t="str">
            <v>チャレンジタワー 2F</v>
          </cell>
          <cell r="I276" t="str">
            <v>試練の塔</v>
          </cell>
          <cell r="J276">
            <v>333</v>
          </cell>
          <cell r="K276">
            <v>4</v>
          </cell>
          <cell r="L276">
            <v>176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1</v>
          </cell>
          <cell r="R276">
            <v>3</v>
          </cell>
          <cell r="S276" t="str">
            <v>character</v>
          </cell>
          <cell r="T276" t="str">
            <v>333,333</v>
          </cell>
          <cell r="U276">
            <v>13001</v>
          </cell>
          <cell r="V276">
            <v>1</v>
          </cell>
          <cell r="W276" t="str">
            <v>チャレンジタワー 1F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 t="str">
            <v>anytime</v>
          </cell>
          <cell r="AC276">
            <v>26</v>
          </cell>
          <cell r="AD276">
            <v>6</v>
          </cell>
          <cell r="AE276" t="str">
            <v>singleonly</v>
          </cell>
        </row>
        <row r="277">
          <cell r="A277" t="str">
            <v>13001_3</v>
          </cell>
          <cell r="B277">
            <v>3</v>
          </cell>
          <cell r="C277">
            <v>13001</v>
          </cell>
          <cell r="D277" t="str">
            <v>チャレンジタワー(ソロ専用)</v>
          </cell>
          <cell r="E277" t="str">
            <v>試練の塔</v>
          </cell>
          <cell r="F277">
            <v>3</v>
          </cell>
          <cell r="G277" t="str">
            <v>ja</v>
          </cell>
          <cell r="H277" t="str">
            <v>チャレンジタワー 3F</v>
          </cell>
          <cell r="I277" t="str">
            <v>試練の塔</v>
          </cell>
          <cell r="J277">
            <v>337</v>
          </cell>
          <cell r="K277">
            <v>5</v>
          </cell>
          <cell r="L277">
            <v>242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1</v>
          </cell>
          <cell r="R277">
            <v>3</v>
          </cell>
          <cell r="S277" t="str">
            <v>character</v>
          </cell>
          <cell r="T277" t="str">
            <v>337,337</v>
          </cell>
          <cell r="U277">
            <v>13001</v>
          </cell>
          <cell r="V277">
            <v>2</v>
          </cell>
          <cell r="W277" t="str">
            <v>チャレンジタワー 2F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 t="str">
            <v>anytime</v>
          </cell>
          <cell r="AC277">
            <v>26</v>
          </cell>
          <cell r="AD277">
            <v>6</v>
          </cell>
          <cell r="AE277" t="str">
            <v>singleonly</v>
          </cell>
        </row>
        <row r="278">
          <cell r="A278" t="str">
            <v>13001_4</v>
          </cell>
          <cell r="B278">
            <v>3</v>
          </cell>
          <cell r="C278">
            <v>13001</v>
          </cell>
          <cell r="D278" t="str">
            <v>チャレンジタワー(ソロ専用)</v>
          </cell>
          <cell r="E278" t="str">
            <v>試練の塔</v>
          </cell>
          <cell r="F278">
            <v>4</v>
          </cell>
          <cell r="G278" t="str">
            <v>ja</v>
          </cell>
          <cell r="H278" t="str">
            <v>チャレンジタワー 4F</v>
          </cell>
          <cell r="I278" t="str">
            <v>試練の塔</v>
          </cell>
          <cell r="J278">
            <v>341</v>
          </cell>
          <cell r="K278">
            <v>7</v>
          </cell>
          <cell r="L278">
            <v>508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1</v>
          </cell>
          <cell r="R278">
            <v>3</v>
          </cell>
          <cell r="S278" t="str">
            <v>character</v>
          </cell>
          <cell r="T278" t="str">
            <v>341,341</v>
          </cell>
          <cell r="U278">
            <v>13001</v>
          </cell>
          <cell r="V278">
            <v>3</v>
          </cell>
          <cell r="W278" t="str">
            <v>チャレンジタワー 3F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 t="str">
            <v>anytime</v>
          </cell>
          <cell r="AC278">
            <v>26</v>
          </cell>
          <cell r="AD278">
            <v>6</v>
          </cell>
          <cell r="AE278" t="str">
            <v>singleonly</v>
          </cell>
        </row>
        <row r="279">
          <cell r="A279" t="str">
            <v>13001_5</v>
          </cell>
          <cell r="B279">
            <v>3</v>
          </cell>
          <cell r="C279">
            <v>13001</v>
          </cell>
          <cell r="D279" t="str">
            <v>チャレンジタワー(ソロ専用)</v>
          </cell>
          <cell r="E279" t="str">
            <v>試練の塔</v>
          </cell>
          <cell r="F279">
            <v>5</v>
          </cell>
          <cell r="G279" t="str">
            <v>ja</v>
          </cell>
          <cell r="H279" t="str">
            <v>チャレンジタワー 5F</v>
          </cell>
          <cell r="I279" t="str">
            <v>試練の塔</v>
          </cell>
          <cell r="J279">
            <v>333</v>
          </cell>
          <cell r="K279">
            <v>7</v>
          </cell>
          <cell r="L279">
            <v>280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1</v>
          </cell>
          <cell r="R279">
            <v>3</v>
          </cell>
          <cell r="S279" t="str">
            <v>character</v>
          </cell>
          <cell r="T279" t="str">
            <v>333,337,341,345</v>
          </cell>
          <cell r="U279">
            <v>13001</v>
          </cell>
          <cell r="V279">
            <v>4</v>
          </cell>
          <cell r="W279" t="str">
            <v>チャレンジタワー 4F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 t="str">
            <v>anytime</v>
          </cell>
          <cell r="AC279">
            <v>26</v>
          </cell>
          <cell r="AD279">
            <v>6</v>
          </cell>
          <cell r="AE279" t="str">
            <v>singleonly</v>
          </cell>
        </row>
        <row r="280">
          <cell r="A280" t="str">
            <v>13001_6</v>
          </cell>
          <cell r="B280">
            <v>3</v>
          </cell>
          <cell r="C280">
            <v>13001</v>
          </cell>
          <cell r="D280" t="str">
            <v>チャレンジタワー(ソロ専用)</v>
          </cell>
          <cell r="E280" t="str">
            <v>試練の塔</v>
          </cell>
          <cell r="F280">
            <v>6</v>
          </cell>
          <cell r="G280" t="str">
            <v>ja</v>
          </cell>
          <cell r="H280" t="str">
            <v>チャレンジタワー 6F</v>
          </cell>
          <cell r="I280" t="str">
            <v>試練の塔</v>
          </cell>
          <cell r="J280">
            <v>346</v>
          </cell>
          <cell r="K280">
            <v>8</v>
          </cell>
          <cell r="L280">
            <v>474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1</v>
          </cell>
          <cell r="R280">
            <v>3</v>
          </cell>
          <cell r="S280" t="str">
            <v>character</v>
          </cell>
          <cell r="T280" t="str">
            <v>346,345</v>
          </cell>
          <cell r="U280">
            <v>13001</v>
          </cell>
          <cell r="V280">
            <v>5</v>
          </cell>
          <cell r="W280" t="str">
            <v>チャレンジタワー 5F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 t="str">
            <v>anytime</v>
          </cell>
          <cell r="AC280">
            <v>26</v>
          </cell>
          <cell r="AD280">
            <v>6</v>
          </cell>
          <cell r="AE280" t="str">
            <v>singleonly</v>
          </cell>
        </row>
        <row r="281">
          <cell r="A281" t="str">
            <v>13001_7</v>
          </cell>
          <cell r="B281">
            <v>3</v>
          </cell>
          <cell r="C281">
            <v>13001</v>
          </cell>
          <cell r="D281" t="str">
            <v>チャレンジタワー(ソロ専用)</v>
          </cell>
          <cell r="E281" t="str">
            <v>試練の塔</v>
          </cell>
          <cell r="F281">
            <v>7</v>
          </cell>
          <cell r="G281" t="str">
            <v>ja</v>
          </cell>
          <cell r="H281" t="str">
            <v>チャレンジタワー 7F</v>
          </cell>
          <cell r="I281" t="str">
            <v>試練の塔</v>
          </cell>
          <cell r="J281">
            <v>342</v>
          </cell>
          <cell r="K281">
            <v>8</v>
          </cell>
          <cell r="L281">
            <v>486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>
            <v>3</v>
          </cell>
          <cell r="S281" t="str">
            <v>character</v>
          </cell>
          <cell r="T281" t="str">
            <v>342,341</v>
          </cell>
          <cell r="U281">
            <v>13001</v>
          </cell>
          <cell r="V281">
            <v>6</v>
          </cell>
          <cell r="W281" t="str">
            <v>チャレンジタワー 6F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 t="str">
            <v>anytime</v>
          </cell>
          <cell r="AC281">
            <v>26</v>
          </cell>
          <cell r="AD281">
            <v>6</v>
          </cell>
          <cell r="AE281" t="str">
            <v>singleonly</v>
          </cell>
        </row>
        <row r="282">
          <cell r="A282" t="str">
            <v>13001_8</v>
          </cell>
          <cell r="B282">
            <v>3</v>
          </cell>
          <cell r="C282">
            <v>13001</v>
          </cell>
          <cell r="D282" t="str">
            <v>チャレンジタワー(ソロ専用)</v>
          </cell>
          <cell r="E282" t="str">
            <v>試練の塔</v>
          </cell>
          <cell r="F282">
            <v>8</v>
          </cell>
          <cell r="G282" t="str">
            <v>ja</v>
          </cell>
          <cell r="H282" t="str">
            <v>チャレンジタワー 8F</v>
          </cell>
          <cell r="I282" t="str">
            <v>試練の塔</v>
          </cell>
          <cell r="J282">
            <v>334</v>
          </cell>
          <cell r="K282">
            <v>10</v>
          </cell>
          <cell r="L282">
            <v>1006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1</v>
          </cell>
          <cell r="R282">
            <v>3</v>
          </cell>
          <cell r="S282" t="str">
            <v>character</v>
          </cell>
          <cell r="T282" t="str">
            <v>334,333</v>
          </cell>
          <cell r="U282">
            <v>13001</v>
          </cell>
          <cell r="V282">
            <v>7</v>
          </cell>
          <cell r="W282" t="str">
            <v>チャレンジタワー 7F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 t="str">
            <v>anytime</v>
          </cell>
          <cell r="AC282">
            <v>26</v>
          </cell>
          <cell r="AD282">
            <v>6</v>
          </cell>
          <cell r="AE282" t="str">
            <v>singleonly</v>
          </cell>
        </row>
        <row r="283">
          <cell r="A283" t="str">
            <v>13001_9</v>
          </cell>
          <cell r="B283">
            <v>3</v>
          </cell>
          <cell r="C283">
            <v>13001</v>
          </cell>
          <cell r="D283" t="str">
            <v>チャレンジタワー(ソロ専用)</v>
          </cell>
          <cell r="E283" t="str">
            <v>試練の塔</v>
          </cell>
          <cell r="F283">
            <v>9</v>
          </cell>
          <cell r="G283" t="str">
            <v>ja</v>
          </cell>
          <cell r="H283" t="str">
            <v>チャレンジタワー 9F</v>
          </cell>
          <cell r="I283" t="str">
            <v>試練の塔</v>
          </cell>
          <cell r="J283">
            <v>338</v>
          </cell>
          <cell r="K283">
            <v>10</v>
          </cell>
          <cell r="L283">
            <v>702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1</v>
          </cell>
          <cell r="R283">
            <v>3</v>
          </cell>
          <cell r="S283" t="str">
            <v>character</v>
          </cell>
          <cell r="T283" t="str">
            <v>337,337,338</v>
          </cell>
          <cell r="U283">
            <v>13001</v>
          </cell>
          <cell r="V283">
            <v>8</v>
          </cell>
          <cell r="W283" t="str">
            <v>チャレンジタワー 8F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 t="str">
            <v>anytime</v>
          </cell>
          <cell r="AC283">
            <v>26</v>
          </cell>
          <cell r="AD283">
            <v>6</v>
          </cell>
          <cell r="AE283" t="str">
            <v>singleonly</v>
          </cell>
        </row>
        <row r="284">
          <cell r="A284" t="str">
            <v>13001_10</v>
          </cell>
          <cell r="B284">
            <v>3</v>
          </cell>
          <cell r="C284">
            <v>13001</v>
          </cell>
          <cell r="D284" t="str">
            <v>チャレンジタワー(ソロ専用)</v>
          </cell>
          <cell r="E284" t="str">
            <v>試練の塔</v>
          </cell>
          <cell r="F284">
            <v>10</v>
          </cell>
          <cell r="G284" t="str">
            <v>ja</v>
          </cell>
          <cell r="H284" t="str">
            <v>チャレンジタワー 10F</v>
          </cell>
          <cell r="I284" t="str">
            <v>試練の塔</v>
          </cell>
          <cell r="J284">
            <v>346</v>
          </cell>
          <cell r="K284">
            <v>11</v>
          </cell>
          <cell r="L284">
            <v>788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1</v>
          </cell>
          <cell r="R284">
            <v>3</v>
          </cell>
          <cell r="S284" t="str">
            <v>character</v>
          </cell>
          <cell r="T284" t="str">
            <v>346,333,337,341</v>
          </cell>
          <cell r="U284">
            <v>13001</v>
          </cell>
          <cell r="V284">
            <v>9</v>
          </cell>
          <cell r="W284" t="str">
            <v>チャレンジタワー 9F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 t="str">
            <v>anytime</v>
          </cell>
          <cell r="AC284">
            <v>26</v>
          </cell>
          <cell r="AD284">
            <v>6</v>
          </cell>
          <cell r="AE284" t="str">
            <v>singleonly</v>
          </cell>
        </row>
        <row r="285">
          <cell r="A285" t="str">
            <v>13001_11</v>
          </cell>
          <cell r="B285">
            <v>3</v>
          </cell>
          <cell r="C285">
            <v>13001</v>
          </cell>
          <cell r="D285" t="str">
            <v>チャレンジタワー(ソロ専用)</v>
          </cell>
          <cell r="E285" t="str">
            <v>試練の塔</v>
          </cell>
          <cell r="F285">
            <v>11</v>
          </cell>
          <cell r="G285" t="str">
            <v>ja</v>
          </cell>
          <cell r="H285" t="str">
            <v>チャレンジタワー 11F</v>
          </cell>
          <cell r="I285" t="str">
            <v>試練の塔</v>
          </cell>
          <cell r="J285">
            <v>346</v>
          </cell>
          <cell r="K285">
            <v>12</v>
          </cell>
          <cell r="L285">
            <v>936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1</v>
          </cell>
          <cell r="R285">
            <v>3</v>
          </cell>
          <cell r="S285" t="str">
            <v>character</v>
          </cell>
          <cell r="T285" t="str">
            <v>346,346</v>
          </cell>
          <cell r="U285">
            <v>13001</v>
          </cell>
          <cell r="V285">
            <v>10</v>
          </cell>
          <cell r="W285" t="str">
            <v>チャレンジタワー 10F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 t="str">
            <v>anytime</v>
          </cell>
          <cell r="AC285">
            <v>26</v>
          </cell>
          <cell r="AD285">
            <v>6</v>
          </cell>
          <cell r="AE285" t="str">
            <v>singleonly</v>
          </cell>
        </row>
        <row r="286">
          <cell r="A286" t="str">
            <v>13001_12</v>
          </cell>
          <cell r="B286">
            <v>3</v>
          </cell>
          <cell r="C286">
            <v>13001</v>
          </cell>
          <cell r="D286" t="str">
            <v>チャレンジタワー(ソロ専用)</v>
          </cell>
          <cell r="E286" t="str">
            <v>試練の塔</v>
          </cell>
          <cell r="F286">
            <v>12</v>
          </cell>
          <cell r="G286" t="str">
            <v>ja</v>
          </cell>
          <cell r="H286" t="str">
            <v>チャレンジタワー 12F</v>
          </cell>
          <cell r="I286" t="str">
            <v>試練の塔</v>
          </cell>
          <cell r="J286">
            <v>342</v>
          </cell>
          <cell r="K286">
            <v>13</v>
          </cell>
          <cell r="L286">
            <v>1601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1</v>
          </cell>
          <cell r="R286">
            <v>3</v>
          </cell>
          <cell r="S286" t="str">
            <v>character</v>
          </cell>
          <cell r="T286" t="str">
            <v>342,342</v>
          </cell>
          <cell r="U286">
            <v>13001</v>
          </cell>
          <cell r="V286">
            <v>11</v>
          </cell>
          <cell r="W286" t="str">
            <v>チャレンジタワー 11F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 t="str">
            <v>anytime</v>
          </cell>
          <cell r="AC286">
            <v>26</v>
          </cell>
          <cell r="AD286">
            <v>6</v>
          </cell>
          <cell r="AE286" t="str">
            <v>singleonly</v>
          </cell>
        </row>
        <row r="287">
          <cell r="A287" t="str">
            <v>13001_13</v>
          </cell>
          <cell r="B287">
            <v>3</v>
          </cell>
          <cell r="C287">
            <v>13001</v>
          </cell>
          <cell r="D287" t="str">
            <v>チャレンジタワー(ソロ専用)</v>
          </cell>
          <cell r="E287" t="str">
            <v>試練の塔</v>
          </cell>
          <cell r="F287">
            <v>13</v>
          </cell>
          <cell r="G287" t="str">
            <v>ja</v>
          </cell>
          <cell r="H287" t="str">
            <v>チャレンジタワー 13F</v>
          </cell>
          <cell r="I287" t="str">
            <v>試練の塔</v>
          </cell>
          <cell r="J287">
            <v>338</v>
          </cell>
          <cell r="K287">
            <v>14</v>
          </cell>
          <cell r="L287">
            <v>945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1</v>
          </cell>
          <cell r="R287">
            <v>3</v>
          </cell>
          <cell r="S287" t="str">
            <v>character</v>
          </cell>
          <cell r="T287" t="str">
            <v>338,338</v>
          </cell>
          <cell r="U287">
            <v>13001</v>
          </cell>
          <cell r="V287">
            <v>12</v>
          </cell>
          <cell r="W287" t="str">
            <v>チャレンジタワー 12F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 t="str">
            <v>anytime</v>
          </cell>
          <cell r="AC287">
            <v>26</v>
          </cell>
          <cell r="AD287">
            <v>6</v>
          </cell>
          <cell r="AE287" t="str">
            <v>singleonly</v>
          </cell>
        </row>
        <row r="288">
          <cell r="A288" t="str">
            <v>13001_14</v>
          </cell>
          <cell r="B288">
            <v>3</v>
          </cell>
          <cell r="C288">
            <v>13001</v>
          </cell>
          <cell r="D288" t="str">
            <v>チャレンジタワー(ソロ専用)</v>
          </cell>
          <cell r="E288" t="str">
            <v>試練の塔</v>
          </cell>
          <cell r="F288">
            <v>14</v>
          </cell>
          <cell r="G288" t="str">
            <v>ja</v>
          </cell>
          <cell r="H288" t="str">
            <v>チャレンジタワー 14F</v>
          </cell>
          <cell r="I288" t="str">
            <v>試練の塔</v>
          </cell>
          <cell r="J288">
            <v>334</v>
          </cell>
          <cell r="K288">
            <v>14</v>
          </cell>
          <cell r="L288">
            <v>1188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1</v>
          </cell>
          <cell r="R288">
            <v>3</v>
          </cell>
          <cell r="S288" t="str">
            <v>character</v>
          </cell>
          <cell r="T288" t="str">
            <v>334,334</v>
          </cell>
          <cell r="U288">
            <v>13001</v>
          </cell>
          <cell r="V288">
            <v>13</v>
          </cell>
          <cell r="W288" t="str">
            <v>チャレンジタワー 13F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 t="str">
            <v>anytime</v>
          </cell>
          <cell r="AC288">
            <v>26</v>
          </cell>
          <cell r="AD288">
            <v>6</v>
          </cell>
          <cell r="AE288" t="str">
            <v>singleonly</v>
          </cell>
        </row>
        <row r="289">
          <cell r="A289" t="str">
            <v>13001_15</v>
          </cell>
          <cell r="B289">
            <v>3</v>
          </cell>
          <cell r="C289">
            <v>13001</v>
          </cell>
          <cell r="D289" t="str">
            <v>チャレンジタワー(ソロ専用)</v>
          </cell>
          <cell r="E289" t="str">
            <v>試練の塔</v>
          </cell>
          <cell r="F289">
            <v>15</v>
          </cell>
          <cell r="G289" t="str">
            <v>ja</v>
          </cell>
          <cell r="H289" t="str">
            <v>チャレンジタワー 15F</v>
          </cell>
          <cell r="I289" t="str">
            <v>試練の塔</v>
          </cell>
          <cell r="J289">
            <v>316</v>
          </cell>
          <cell r="K289">
            <v>14</v>
          </cell>
          <cell r="L289">
            <v>1008</v>
          </cell>
          <cell r="M289">
            <v>1</v>
          </cell>
          <cell r="N289">
            <v>1</v>
          </cell>
          <cell r="O289">
            <v>1</v>
          </cell>
          <cell r="P289">
            <v>1</v>
          </cell>
          <cell r="Q289">
            <v>1</v>
          </cell>
          <cell r="R289">
            <v>3</v>
          </cell>
          <cell r="S289" t="str">
            <v>character</v>
          </cell>
          <cell r="T289" t="str">
            <v>316</v>
          </cell>
          <cell r="U289">
            <v>13001</v>
          </cell>
          <cell r="V289">
            <v>14</v>
          </cell>
          <cell r="W289" t="str">
            <v>チャレンジタワー 14F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 t="str">
            <v>anytime</v>
          </cell>
          <cell r="AC289">
            <v>26</v>
          </cell>
          <cell r="AD289">
            <v>6</v>
          </cell>
          <cell r="AE289" t="str">
            <v>singleonly</v>
          </cell>
        </row>
        <row r="290">
          <cell r="A290" t="str">
            <v>13001_16</v>
          </cell>
          <cell r="B290">
            <v>3</v>
          </cell>
          <cell r="C290">
            <v>13001</v>
          </cell>
          <cell r="D290" t="str">
            <v>チャレンジタワー(ソロ専用)</v>
          </cell>
          <cell r="E290" t="str">
            <v>試練の塔</v>
          </cell>
          <cell r="F290">
            <v>16</v>
          </cell>
          <cell r="G290" t="str">
            <v>ja</v>
          </cell>
          <cell r="H290" t="str">
            <v>チャレンジタワー 16F</v>
          </cell>
          <cell r="I290" t="str">
            <v>試練の塔</v>
          </cell>
          <cell r="J290">
            <v>338</v>
          </cell>
          <cell r="K290">
            <v>16</v>
          </cell>
          <cell r="L290">
            <v>2573</v>
          </cell>
          <cell r="M290">
            <v>1</v>
          </cell>
          <cell r="N290">
            <v>1</v>
          </cell>
          <cell r="O290">
            <v>1</v>
          </cell>
          <cell r="P290">
            <v>1</v>
          </cell>
          <cell r="Q290">
            <v>1</v>
          </cell>
          <cell r="R290">
            <v>3</v>
          </cell>
          <cell r="S290" t="str">
            <v>character</v>
          </cell>
          <cell r="T290" t="str">
            <v>338,338,337</v>
          </cell>
          <cell r="U290">
            <v>13001</v>
          </cell>
          <cell r="V290">
            <v>15</v>
          </cell>
          <cell r="W290" t="str">
            <v>チャレンジタワー 15F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 t="str">
            <v>anytime</v>
          </cell>
          <cell r="AC290">
            <v>26</v>
          </cell>
          <cell r="AD290">
            <v>6</v>
          </cell>
          <cell r="AE290" t="str">
            <v>singleonly</v>
          </cell>
        </row>
        <row r="291">
          <cell r="A291" t="str">
            <v>13001_17</v>
          </cell>
          <cell r="B291">
            <v>3</v>
          </cell>
          <cell r="C291">
            <v>13001</v>
          </cell>
          <cell r="D291" t="str">
            <v>チャレンジタワー(ソロ専用)</v>
          </cell>
          <cell r="E291" t="str">
            <v>試練の塔</v>
          </cell>
          <cell r="F291">
            <v>17</v>
          </cell>
          <cell r="G291" t="str">
            <v>ja</v>
          </cell>
          <cell r="H291" t="str">
            <v>チャレンジタワー 17F</v>
          </cell>
          <cell r="I291" t="str">
            <v>試練の塔</v>
          </cell>
          <cell r="J291">
            <v>346</v>
          </cell>
          <cell r="K291">
            <v>16</v>
          </cell>
          <cell r="L291">
            <v>1568</v>
          </cell>
          <cell r="M291">
            <v>1</v>
          </cell>
          <cell r="N291">
            <v>1</v>
          </cell>
          <cell r="O291">
            <v>1</v>
          </cell>
          <cell r="P291">
            <v>1</v>
          </cell>
          <cell r="Q291">
            <v>1</v>
          </cell>
          <cell r="R291">
            <v>3</v>
          </cell>
          <cell r="S291" t="str">
            <v>character</v>
          </cell>
          <cell r="T291" t="str">
            <v>346,346,345</v>
          </cell>
          <cell r="U291">
            <v>13001</v>
          </cell>
          <cell r="V291">
            <v>16</v>
          </cell>
          <cell r="W291" t="str">
            <v>チャレンジタワー 16F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 t="str">
            <v>anytime</v>
          </cell>
          <cell r="AC291">
            <v>26</v>
          </cell>
          <cell r="AD291">
            <v>6</v>
          </cell>
          <cell r="AE291" t="str">
            <v>singleonly</v>
          </cell>
        </row>
        <row r="292">
          <cell r="A292" t="str">
            <v>13001_18</v>
          </cell>
          <cell r="B292">
            <v>3</v>
          </cell>
          <cell r="C292">
            <v>13001</v>
          </cell>
          <cell r="D292" t="str">
            <v>チャレンジタワー(ソロ専用)</v>
          </cell>
          <cell r="E292" t="str">
            <v>試練の塔</v>
          </cell>
          <cell r="F292">
            <v>18</v>
          </cell>
          <cell r="G292" t="str">
            <v>ja</v>
          </cell>
          <cell r="H292" t="str">
            <v>チャレンジタワー 18F</v>
          </cell>
          <cell r="I292" t="str">
            <v>試練の塔</v>
          </cell>
          <cell r="J292">
            <v>334</v>
          </cell>
          <cell r="K292">
            <v>17</v>
          </cell>
          <cell r="L292">
            <v>1821</v>
          </cell>
          <cell r="M292">
            <v>1</v>
          </cell>
          <cell r="N292">
            <v>1</v>
          </cell>
          <cell r="O292">
            <v>1</v>
          </cell>
          <cell r="P292">
            <v>1</v>
          </cell>
          <cell r="Q292">
            <v>1</v>
          </cell>
          <cell r="R292">
            <v>3</v>
          </cell>
          <cell r="S292" t="str">
            <v>character</v>
          </cell>
          <cell r="T292" t="str">
            <v>334,334,333</v>
          </cell>
          <cell r="U292">
            <v>13001</v>
          </cell>
          <cell r="V292">
            <v>17</v>
          </cell>
          <cell r="W292" t="str">
            <v>チャレンジタワー 17F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 t="str">
            <v>anytime</v>
          </cell>
          <cell r="AC292">
            <v>26</v>
          </cell>
          <cell r="AD292">
            <v>6</v>
          </cell>
          <cell r="AE292" t="str">
            <v>singleonly</v>
          </cell>
        </row>
        <row r="293">
          <cell r="A293" t="str">
            <v>13001_19</v>
          </cell>
          <cell r="B293">
            <v>3</v>
          </cell>
          <cell r="C293">
            <v>13001</v>
          </cell>
          <cell r="D293" t="str">
            <v>チャレンジタワー(ソロ専用)</v>
          </cell>
          <cell r="E293" t="str">
            <v>試練の塔</v>
          </cell>
          <cell r="F293">
            <v>19</v>
          </cell>
          <cell r="G293" t="str">
            <v>ja</v>
          </cell>
          <cell r="H293" t="str">
            <v>チャレンジタワー 19F</v>
          </cell>
          <cell r="I293" t="str">
            <v>試練の塔</v>
          </cell>
          <cell r="J293">
            <v>342</v>
          </cell>
          <cell r="K293">
            <v>18</v>
          </cell>
          <cell r="L293">
            <v>2108</v>
          </cell>
          <cell r="M293">
            <v>1</v>
          </cell>
          <cell r="N293">
            <v>1</v>
          </cell>
          <cell r="O293">
            <v>1</v>
          </cell>
          <cell r="P293">
            <v>1</v>
          </cell>
          <cell r="Q293">
            <v>1</v>
          </cell>
          <cell r="R293">
            <v>3</v>
          </cell>
          <cell r="S293" t="str">
            <v>character</v>
          </cell>
          <cell r="T293" t="str">
            <v>342,342,341</v>
          </cell>
          <cell r="U293">
            <v>13001</v>
          </cell>
          <cell r="V293">
            <v>18</v>
          </cell>
          <cell r="W293" t="str">
            <v>チャレンジタワー 18F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 t="str">
            <v>anytime</v>
          </cell>
          <cell r="AC293">
            <v>26</v>
          </cell>
          <cell r="AD293">
            <v>6</v>
          </cell>
          <cell r="AE293" t="str">
            <v>singleonly</v>
          </cell>
        </row>
        <row r="294">
          <cell r="A294" t="str">
            <v>13001_20</v>
          </cell>
          <cell r="B294">
            <v>3</v>
          </cell>
          <cell r="C294">
            <v>13001</v>
          </cell>
          <cell r="D294" t="str">
            <v>チャレンジタワー(ソロ専用)</v>
          </cell>
          <cell r="E294" t="str">
            <v>試練の塔</v>
          </cell>
          <cell r="F294">
            <v>20</v>
          </cell>
          <cell r="G294" t="str">
            <v>ja</v>
          </cell>
          <cell r="H294" t="str">
            <v>チャレンジタワー 20F</v>
          </cell>
          <cell r="I294" t="str">
            <v>試練の塔</v>
          </cell>
          <cell r="J294">
            <v>318</v>
          </cell>
          <cell r="K294">
            <v>18</v>
          </cell>
          <cell r="L294">
            <v>1620</v>
          </cell>
          <cell r="M294">
            <v>1</v>
          </cell>
          <cell r="N294">
            <v>1</v>
          </cell>
          <cell r="O294">
            <v>1</v>
          </cell>
          <cell r="P294">
            <v>1</v>
          </cell>
          <cell r="Q294">
            <v>1</v>
          </cell>
          <cell r="R294">
            <v>3</v>
          </cell>
          <cell r="S294" t="str">
            <v>character</v>
          </cell>
          <cell r="T294" t="str">
            <v>318</v>
          </cell>
          <cell r="U294">
            <v>13001</v>
          </cell>
          <cell r="V294">
            <v>19</v>
          </cell>
          <cell r="W294" t="str">
            <v>チャレンジタワー 19F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 t="str">
            <v>anytime</v>
          </cell>
          <cell r="AC294">
            <v>26</v>
          </cell>
          <cell r="AD294">
            <v>6</v>
          </cell>
          <cell r="AE294" t="str">
            <v>singleonly</v>
          </cell>
        </row>
        <row r="295">
          <cell r="A295" t="str">
            <v>13001_21</v>
          </cell>
          <cell r="B295">
            <v>3</v>
          </cell>
          <cell r="C295">
            <v>13001</v>
          </cell>
          <cell r="D295" t="str">
            <v>チャレンジタワー(ソロ専用)</v>
          </cell>
          <cell r="E295" t="str">
            <v>試練の塔</v>
          </cell>
          <cell r="F295">
            <v>21</v>
          </cell>
          <cell r="G295" t="str">
            <v>ja</v>
          </cell>
          <cell r="H295" t="str">
            <v>チャレンジタワー 21F</v>
          </cell>
          <cell r="I295" t="str">
            <v>試練の塔</v>
          </cell>
          <cell r="J295" t="str">
            <v>335</v>
          </cell>
          <cell r="K295">
            <v>18</v>
          </cell>
          <cell r="L295">
            <v>1620</v>
          </cell>
          <cell r="M295">
            <v>1</v>
          </cell>
          <cell r="N295">
            <v>1</v>
          </cell>
          <cell r="O295">
            <v>1</v>
          </cell>
          <cell r="P295">
            <v>1</v>
          </cell>
          <cell r="Q295">
            <v>1</v>
          </cell>
          <cell r="R295">
            <v>3</v>
          </cell>
          <cell r="S295" t="str">
            <v>character</v>
          </cell>
          <cell r="T295" t="str">
            <v>334,335,335</v>
          </cell>
          <cell r="U295">
            <v>13001</v>
          </cell>
          <cell r="V295">
            <v>20</v>
          </cell>
          <cell r="W295" t="str">
            <v>チャレンジタワー 20F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 t="str">
            <v>anytime</v>
          </cell>
          <cell r="AC295">
            <v>26</v>
          </cell>
          <cell r="AD295">
            <v>6</v>
          </cell>
          <cell r="AE295" t="str">
            <v>singleonly</v>
          </cell>
        </row>
        <row r="296">
          <cell r="A296" t="str">
            <v>13001_22</v>
          </cell>
          <cell r="B296">
            <v>3</v>
          </cell>
          <cell r="C296">
            <v>13001</v>
          </cell>
          <cell r="D296" t="str">
            <v>チャレンジタワー(ソロ専用)</v>
          </cell>
          <cell r="E296" t="str">
            <v>試練の塔</v>
          </cell>
          <cell r="F296">
            <v>22</v>
          </cell>
          <cell r="G296" t="str">
            <v>ja</v>
          </cell>
          <cell r="H296" t="str">
            <v>チャレンジタワー 22F</v>
          </cell>
          <cell r="I296" t="str">
            <v>試練の塔</v>
          </cell>
          <cell r="J296" t="str">
            <v>339</v>
          </cell>
          <cell r="K296">
            <v>18</v>
          </cell>
          <cell r="L296">
            <v>1620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1</v>
          </cell>
          <cell r="R296">
            <v>3</v>
          </cell>
          <cell r="S296" t="str">
            <v>character</v>
          </cell>
          <cell r="T296" t="str">
            <v>338,339,339</v>
          </cell>
          <cell r="U296">
            <v>13001</v>
          </cell>
          <cell r="V296">
            <v>21</v>
          </cell>
          <cell r="W296" t="str">
            <v>チャレンジタワー 21F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 t="str">
            <v>anytime</v>
          </cell>
          <cell r="AC296">
            <v>26</v>
          </cell>
          <cell r="AD296">
            <v>6</v>
          </cell>
          <cell r="AE296" t="str">
            <v>singleonly</v>
          </cell>
        </row>
        <row r="297">
          <cell r="A297" t="str">
            <v>13001_23</v>
          </cell>
          <cell r="B297">
            <v>3</v>
          </cell>
          <cell r="C297">
            <v>13001</v>
          </cell>
          <cell r="D297" t="str">
            <v>チャレンジタワー(ソロ専用)</v>
          </cell>
          <cell r="E297" t="str">
            <v>試練の塔</v>
          </cell>
          <cell r="F297">
            <v>23</v>
          </cell>
          <cell r="G297" t="str">
            <v>ja</v>
          </cell>
          <cell r="H297" t="str">
            <v>チャレンジタワー 23F</v>
          </cell>
          <cell r="I297" t="str">
            <v>試練の塔</v>
          </cell>
          <cell r="J297" t="str">
            <v>347</v>
          </cell>
          <cell r="K297">
            <v>20</v>
          </cell>
          <cell r="L297">
            <v>1821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1</v>
          </cell>
          <cell r="R297">
            <v>3</v>
          </cell>
          <cell r="S297" t="str">
            <v>character</v>
          </cell>
          <cell r="T297" t="str">
            <v>346,347,347</v>
          </cell>
          <cell r="U297">
            <v>13001</v>
          </cell>
          <cell r="V297">
            <v>22</v>
          </cell>
          <cell r="W297" t="str">
            <v>チャレンジタワー 22F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 t="str">
            <v>anytime</v>
          </cell>
          <cell r="AC297">
            <v>26</v>
          </cell>
          <cell r="AD297">
            <v>6</v>
          </cell>
          <cell r="AE297" t="str">
            <v>singleonly</v>
          </cell>
        </row>
        <row r="298">
          <cell r="A298" t="str">
            <v>13001_24</v>
          </cell>
          <cell r="B298">
            <v>3</v>
          </cell>
          <cell r="C298">
            <v>13001</v>
          </cell>
          <cell r="D298" t="str">
            <v>チャレンジタワー(ソロ専用)</v>
          </cell>
          <cell r="E298" t="str">
            <v>試練の塔</v>
          </cell>
          <cell r="F298">
            <v>24</v>
          </cell>
          <cell r="G298" t="str">
            <v>ja</v>
          </cell>
          <cell r="H298" t="str">
            <v>チャレンジタワー 24F</v>
          </cell>
          <cell r="I298" t="str">
            <v>試練の塔</v>
          </cell>
          <cell r="J298" t="str">
            <v>343</v>
          </cell>
          <cell r="K298">
            <v>20</v>
          </cell>
          <cell r="L298">
            <v>2871</v>
          </cell>
          <cell r="M298">
            <v>1</v>
          </cell>
          <cell r="N298">
            <v>1</v>
          </cell>
          <cell r="O298">
            <v>1</v>
          </cell>
          <cell r="P298">
            <v>1</v>
          </cell>
          <cell r="Q298">
            <v>1</v>
          </cell>
          <cell r="R298">
            <v>3</v>
          </cell>
          <cell r="S298" t="str">
            <v>character</v>
          </cell>
          <cell r="T298" t="str">
            <v>342,343,343</v>
          </cell>
          <cell r="U298">
            <v>13001</v>
          </cell>
          <cell r="V298">
            <v>23</v>
          </cell>
          <cell r="W298" t="str">
            <v>チャレンジタワー 23F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 t="str">
            <v>anytime</v>
          </cell>
          <cell r="AC298">
            <v>26</v>
          </cell>
          <cell r="AD298">
            <v>6</v>
          </cell>
          <cell r="AE298" t="str">
            <v>singleonly</v>
          </cell>
        </row>
        <row r="299">
          <cell r="A299" t="str">
            <v>13001_25</v>
          </cell>
          <cell r="B299">
            <v>3</v>
          </cell>
          <cell r="C299">
            <v>13001</v>
          </cell>
          <cell r="D299" t="str">
            <v>チャレンジタワー(ソロ専用)</v>
          </cell>
          <cell r="E299" t="str">
            <v>試練の塔</v>
          </cell>
          <cell r="F299">
            <v>25</v>
          </cell>
          <cell r="G299" t="str">
            <v>ja</v>
          </cell>
          <cell r="H299" t="str">
            <v>チャレンジタワー 25F</v>
          </cell>
          <cell r="I299" t="str">
            <v>試練の塔</v>
          </cell>
          <cell r="J299" t="str">
            <v>368</v>
          </cell>
          <cell r="K299">
            <v>22</v>
          </cell>
          <cell r="L299">
            <v>3740</v>
          </cell>
          <cell r="M299">
            <v>1</v>
          </cell>
          <cell r="N299">
            <v>1</v>
          </cell>
          <cell r="O299">
            <v>1</v>
          </cell>
          <cell r="P299">
            <v>1</v>
          </cell>
          <cell r="Q299">
            <v>1</v>
          </cell>
          <cell r="R299">
            <v>3</v>
          </cell>
          <cell r="S299" t="str">
            <v>character</v>
          </cell>
          <cell r="T299" t="str">
            <v>368</v>
          </cell>
          <cell r="U299">
            <v>13001</v>
          </cell>
          <cell r="V299">
            <v>24</v>
          </cell>
          <cell r="W299" t="str">
            <v>チャレンジタワー 24F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 t="str">
            <v>anytime</v>
          </cell>
          <cell r="AC299">
            <v>26</v>
          </cell>
          <cell r="AD299">
            <v>6</v>
          </cell>
          <cell r="AE299" t="str">
            <v>singleonly</v>
          </cell>
        </row>
        <row r="300">
          <cell r="A300" t="str">
            <v>14001_1</v>
          </cell>
          <cell r="B300">
            <v>3</v>
          </cell>
          <cell r="C300">
            <v>14001</v>
          </cell>
          <cell r="D300" t="str">
            <v>【ロック】経験値/ソロ</v>
          </cell>
          <cell r="E300" t="str">
            <v>【ロック】経験値/ソロ</v>
          </cell>
          <cell r="F300">
            <v>1</v>
          </cell>
          <cell r="G300" t="str">
            <v>ja</v>
          </cell>
          <cell r="H300" t="str">
            <v>【超級】雷ファミリー（ハートなし）</v>
          </cell>
          <cell r="I300" t="str">
            <v>【ロッククエスト】経験値</v>
          </cell>
          <cell r="J300">
            <v>347</v>
          </cell>
          <cell r="K300">
            <v>1</v>
          </cell>
          <cell r="L300">
            <v>500</v>
          </cell>
          <cell r="M300">
            <v>1</v>
          </cell>
          <cell r="N300">
            <v>1</v>
          </cell>
          <cell r="O300">
            <v>1</v>
          </cell>
          <cell r="P300">
            <v>1</v>
          </cell>
          <cell r="Q300">
            <v>0</v>
          </cell>
          <cell r="R300">
            <v>3</v>
          </cell>
          <cell r="S300" t="str">
            <v>none</v>
          </cell>
          <cell r="T300">
            <v>0</v>
          </cell>
          <cell r="U300" t="str">
            <v>NULL</v>
          </cell>
          <cell r="V300" t="str">
            <v>NULL</v>
          </cell>
          <cell r="W300" t="str">
            <v/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 t="str">
            <v>anytime</v>
          </cell>
          <cell r="AC300">
            <v>12</v>
          </cell>
          <cell r="AD300">
            <v>6</v>
          </cell>
          <cell r="AE300" t="str">
            <v>singleonly</v>
          </cell>
        </row>
        <row r="301">
          <cell r="A301" t="str">
            <v>14001_2</v>
          </cell>
          <cell r="B301">
            <v>3</v>
          </cell>
          <cell r="C301">
            <v>14001</v>
          </cell>
          <cell r="D301" t="str">
            <v>【ロック】経験値/ソロ</v>
          </cell>
          <cell r="E301" t="str">
            <v>【ロック】経験値/ソロ</v>
          </cell>
          <cell r="F301">
            <v>2</v>
          </cell>
          <cell r="G301" t="str">
            <v>ja</v>
          </cell>
          <cell r="H301" t="str">
            <v>【超級】水ファミリー（ハートなし）</v>
          </cell>
          <cell r="I301" t="str">
            <v>【ロッククエスト】経験値</v>
          </cell>
          <cell r="J301">
            <v>343</v>
          </cell>
          <cell r="K301">
            <v>1</v>
          </cell>
          <cell r="L301">
            <v>500</v>
          </cell>
          <cell r="M301">
            <v>1</v>
          </cell>
          <cell r="N301">
            <v>1</v>
          </cell>
          <cell r="O301">
            <v>1</v>
          </cell>
          <cell r="P301">
            <v>1</v>
          </cell>
          <cell r="Q301">
            <v>0</v>
          </cell>
          <cell r="R301">
            <v>3</v>
          </cell>
          <cell r="S301" t="str">
            <v>none</v>
          </cell>
          <cell r="T301">
            <v>0</v>
          </cell>
          <cell r="U301" t="str">
            <v>NULL</v>
          </cell>
          <cell r="V301" t="str">
            <v>NULL</v>
          </cell>
          <cell r="W301" t="str">
            <v/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 t="str">
            <v>anytime</v>
          </cell>
          <cell r="AC301">
            <v>5</v>
          </cell>
          <cell r="AD301">
            <v>6</v>
          </cell>
          <cell r="AE301" t="str">
            <v>singleonly</v>
          </cell>
        </row>
        <row r="302">
          <cell r="A302" t="str">
            <v>14001_3</v>
          </cell>
          <cell r="B302">
            <v>3</v>
          </cell>
          <cell r="C302">
            <v>14001</v>
          </cell>
          <cell r="D302" t="str">
            <v>【ロック】経験値/ソロ</v>
          </cell>
          <cell r="E302" t="str">
            <v>【ロック】経験値/ソロ</v>
          </cell>
          <cell r="F302">
            <v>3</v>
          </cell>
          <cell r="G302" t="str">
            <v>ja</v>
          </cell>
          <cell r="H302" t="str">
            <v>【超級】森ファミリー（ハートなし）</v>
          </cell>
          <cell r="I302" t="str">
            <v>【ロッククエスト】経験値</v>
          </cell>
          <cell r="J302">
            <v>339</v>
          </cell>
          <cell r="K302">
            <v>1</v>
          </cell>
          <cell r="L302">
            <v>500</v>
          </cell>
          <cell r="M302">
            <v>1</v>
          </cell>
          <cell r="N302">
            <v>1</v>
          </cell>
          <cell r="O302">
            <v>1</v>
          </cell>
          <cell r="P302">
            <v>1</v>
          </cell>
          <cell r="Q302">
            <v>0</v>
          </cell>
          <cell r="R302">
            <v>3</v>
          </cell>
          <cell r="S302" t="str">
            <v>none</v>
          </cell>
          <cell r="T302">
            <v>0</v>
          </cell>
          <cell r="U302" t="str">
            <v>NULL</v>
          </cell>
          <cell r="V302" t="str">
            <v>NULL</v>
          </cell>
          <cell r="W302" t="str">
            <v/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 t="str">
            <v>anytime</v>
          </cell>
          <cell r="AC302">
            <v>7</v>
          </cell>
          <cell r="AD302">
            <v>6</v>
          </cell>
          <cell r="AE302" t="str">
            <v>singleonly</v>
          </cell>
        </row>
        <row r="303">
          <cell r="A303" t="str">
            <v>14001_4</v>
          </cell>
          <cell r="B303">
            <v>3</v>
          </cell>
          <cell r="C303">
            <v>14001</v>
          </cell>
          <cell r="D303" t="str">
            <v>【ロック】経験値/ソロ</v>
          </cell>
          <cell r="E303" t="str">
            <v>【ロック】経験値/ソロ</v>
          </cell>
          <cell r="F303">
            <v>4</v>
          </cell>
          <cell r="G303" t="str">
            <v>ja</v>
          </cell>
          <cell r="H303" t="str">
            <v>【超級】炎ファミリー（ハートなし）</v>
          </cell>
          <cell r="I303" t="str">
            <v>【ロッククエスト】経験値</v>
          </cell>
          <cell r="J303">
            <v>335</v>
          </cell>
          <cell r="K303">
            <v>1</v>
          </cell>
          <cell r="L303">
            <v>500</v>
          </cell>
          <cell r="M303">
            <v>1</v>
          </cell>
          <cell r="N303">
            <v>1</v>
          </cell>
          <cell r="O303">
            <v>1</v>
          </cell>
          <cell r="P303">
            <v>1</v>
          </cell>
          <cell r="Q303">
            <v>0</v>
          </cell>
          <cell r="R303">
            <v>3</v>
          </cell>
          <cell r="S303" t="str">
            <v>none</v>
          </cell>
          <cell r="T303">
            <v>0</v>
          </cell>
          <cell r="U303" t="str">
            <v>NULL</v>
          </cell>
          <cell r="V303" t="str">
            <v>NULL</v>
          </cell>
          <cell r="W303" t="str">
            <v/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 t="str">
            <v>anytime</v>
          </cell>
          <cell r="AC303">
            <v>10</v>
          </cell>
          <cell r="AD303">
            <v>6</v>
          </cell>
          <cell r="AE303" t="str">
            <v>singleonly</v>
          </cell>
        </row>
        <row r="304">
          <cell r="A304" t="str">
            <v>14002_1</v>
          </cell>
          <cell r="B304">
            <v>3</v>
          </cell>
          <cell r="C304">
            <v>14002</v>
          </cell>
          <cell r="D304" t="str">
            <v>【ロック】ビット/ソロ</v>
          </cell>
          <cell r="E304" t="str">
            <v>【ロック】ビット/ソロ</v>
          </cell>
          <cell r="F304">
            <v>1</v>
          </cell>
          <cell r="G304" t="str">
            <v>ja</v>
          </cell>
          <cell r="H304" t="str">
            <v>【超級】ハイローラー（ハートなし）</v>
          </cell>
          <cell r="I304" t="str">
            <v>【ロッククエスト】ビット</v>
          </cell>
          <cell r="J304">
            <v>119</v>
          </cell>
          <cell r="K304">
            <v>1</v>
          </cell>
          <cell r="L304">
            <v>777</v>
          </cell>
          <cell r="M304">
            <v>1</v>
          </cell>
          <cell r="N304">
            <v>1</v>
          </cell>
          <cell r="O304">
            <v>1</v>
          </cell>
          <cell r="P304">
            <v>1</v>
          </cell>
          <cell r="Q304">
            <v>0</v>
          </cell>
          <cell r="R304">
            <v>3</v>
          </cell>
          <cell r="S304" t="str">
            <v>none</v>
          </cell>
          <cell r="T304">
            <v>0</v>
          </cell>
          <cell r="U304" t="str">
            <v>NULL</v>
          </cell>
          <cell r="V304" t="str">
            <v>NULL</v>
          </cell>
          <cell r="W304" t="str">
            <v/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 t="str">
            <v>anytime</v>
          </cell>
          <cell r="AC304">
            <v>105</v>
          </cell>
          <cell r="AD304">
            <v>6</v>
          </cell>
          <cell r="AE304" t="str">
            <v>singleonly</v>
          </cell>
        </row>
        <row r="305">
          <cell r="A305" t="str">
            <v>14003_1</v>
          </cell>
          <cell r="B305">
            <v>3</v>
          </cell>
          <cell r="C305">
            <v>14003</v>
          </cell>
          <cell r="D305" t="str">
            <v>【ロック】限界突破/ソロ</v>
          </cell>
          <cell r="E305" t="str">
            <v>【ロック】限界突破/ソロ</v>
          </cell>
          <cell r="F305">
            <v>1</v>
          </cell>
          <cell r="G305" t="str">
            <v>ja</v>
          </cell>
          <cell r="H305" t="str">
            <v>【超級】果実の楽園（ハートなし）</v>
          </cell>
          <cell r="I305" t="str">
            <v>【ロッククエスト】限界突破</v>
          </cell>
          <cell r="J305">
            <v>125</v>
          </cell>
          <cell r="K305">
            <v>1</v>
          </cell>
          <cell r="L305">
            <v>860</v>
          </cell>
          <cell r="M305">
            <v>1</v>
          </cell>
          <cell r="N305">
            <v>1</v>
          </cell>
          <cell r="O305">
            <v>1</v>
          </cell>
          <cell r="P305">
            <v>1</v>
          </cell>
          <cell r="Q305">
            <v>0</v>
          </cell>
          <cell r="R305">
            <v>3</v>
          </cell>
          <cell r="S305" t="str">
            <v>none</v>
          </cell>
          <cell r="T305">
            <v>0</v>
          </cell>
          <cell r="U305" t="str">
            <v>NULL</v>
          </cell>
          <cell r="V305" t="str">
            <v>NULL</v>
          </cell>
          <cell r="W305" t="str">
            <v/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 t="str">
            <v>anytime</v>
          </cell>
          <cell r="AC305">
            <v>7</v>
          </cell>
          <cell r="AD305">
            <v>6</v>
          </cell>
          <cell r="AE305" t="str">
            <v>singleonly</v>
          </cell>
        </row>
        <row r="306">
          <cell r="A306" t="str">
            <v>14004_1</v>
          </cell>
          <cell r="B306">
            <v>1</v>
          </cell>
          <cell r="C306">
            <v>14004</v>
          </cell>
          <cell r="D306" t="str">
            <v>【ロック】経験値/LINEマルチ</v>
          </cell>
          <cell r="E306" t="str">
            <v>【ロック】経験値/LINEマルチ</v>
          </cell>
          <cell r="F306">
            <v>1</v>
          </cell>
          <cell r="G306" t="str">
            <v>ja</v>
          </cell>
          <cell r="H306" t="str">
            <v>【超級】雷ファミリー（ハートなし）</v>
          </cell>
          <cell r="I306" t="str">
            <v>【ロッククエスト】経験値</v>
          </cell>
          <cell r="J306">
            <v>347</v>
          </cell>
          <cell r="K306">
            <v>1</v>
          </cell>
          <cell r="L306">
            <v>500</v>
          </cell>
          <cell r="M306">
            <v>1</v>
          </cell>
          <cell r="N306">
            <v>1</v>
          </cell>
          <cell r="O306">
            <v>1</v>
          </cell>
          <cell r="P306">
            <v>1</v>
          </cell>
          <cell r="Q306">
            <v>0</v>
          </cell>
          <cell r="R306">
            <v>3</v>
          </cell>
          <cell r="S306" t="str">
            <v>none</v>
          </cell>
          <cell r="T306">
            <v>0</v>
          </cell>
          <cell r="U306" t="str">
            <v>NULL</v>
          </cell>
          <cell r="V306" t="str">
            <v>NULL</v>
          </cell>
          <cell r="W306" t="str">
            <v/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 t="str">
            <v>anytime</v>
          </cell>
          <cell r="AC306">
            <v>12</v>
          </cell>
          <cell r="AD306">
            <v>6</v>
          </cell>
          <cell r="AE306" t="str">
            <v>lineonly</v>
          </cell>
        </row>
        <row r="307">
          <cell r="A307" t="str">
            <v>14004_2</v>
          </cell>
          <cell r="B307">
            <v>1</v>
          </cell>
          <cell r="C307">
            <v>14004</v>
          </cell>
          <cell r="D307" t="str">
            <v>【ロック】経験値/LINEマルチ</v>
          </cell>
          <cell r="E307" t="str">
            <v>【ロック】経験値/LINEマルチ</v>
          </cell>
          <cell r="F307">
            <v>2</v>
          </cell>
          <cell r="G307" t="str">
            <v>ja</v>
          </cell>
          <cell r="H307" t="str">
            <v>【超級】水ファミリー（ハートなし）</v>
          </cell>
          <cell r="I307" t="str">
            <v>【ロッククエスト】経験値</v>
          </cell>
          <cell r="J307">
            <v>343</v>
          </cell>
          <cell r="K307">
            <v>1</v>
          </cell>
          <cell r="L307">
            <v>500</v>
          </cell>
          <cell r="M307">
            <v>1</v>
          </cell>
          <cell r="N307">
            <v>1</v>
          </cell>
          <cell r="O307">
            <v>1</v>
          </cell>
          <cell r="P307">
            <v>1</v>
          </cell>
          <cell r="Q307">
            <v>0</v>
          </cell>
          <cell r="R307">
            <v>3</v>
          </cell>
          <cell r="S307" t="str">
            <v>none</v>
          </cell>
          <cell r="T307">
            <v>0</v>
          </cell>
          <cell r="U307" t="str">
            <v>NULL</v>
          </cell>
          <cell r="V307" t="str">
            <v>NULL</v>
          </cell>
          <cell r="W307" t="str">
            <v/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 t="str">
            <v>anytime</v>
          </cell>
          <cell r="AC307">
            <v>5</v>
          </cell>
          <cell r="AD307">
            <v>6</v>
          </cell>
          <cell r="AE307" t="str">
            <v>lineonly</v>
          </cell>
        </row>
        <row r="308">
          <cell r="A308" t="str">
            <v>14004_3</v>
          </cell>
          <cell r="B308">
            <v>1</v>
          </cell>
          <cell r="C308">
            <v>14004</v>
          </cell>
          <cell r="D308" t="str">
            <v>【ロック】経験値/LINEマルチ</v>
          </cell>
          <cell r="E308" t="str">
            <v>【ロック】経験値/LINEマルチ</v>
          </cell>
          <cell r="F308">
            <v>3</v>
          </cell>
          <cell r="G308" t="str">
            <v>ja</v>
          </cell>
          <cell r="H308" t="str">
            <v>【超級】森ファミリー（ハートなし）</v>
          </cell>
          <cell r="I308" t="str">
            <v>【ロッククエスト】経験値</v>
          </cell>
          <cell r="J308">
            <v>339</v>
          </cell>
          <cell r="K308">
            <v>1</v>
          </cell>
          <cell r="L308">
            <v>500</v>
          </cell>
          <cell r="M308">
            <v>1</v>
          </cell>
          <cell r="N308">
            <v>1</v>
          </cell>
          <cell r="O308">
            <v>1</v>
          </cell>
          <cell r="P308">
            <v>1</v>
          </cell>
          <cell r="Q308">
            <v>0</v>
          </cell>
          <cell r="R308">
            <v>3</v>
          </cell>
          <cell r="S308" t="str">
            <v>none</v>
          </cell>
          <cell r="T308">
            <v>0</v>
          </cell>
          <cell r="U308" t="str">
            <v>NULL</v>
          </cell>
          <cell r="V308" t="str">
            <v>NULL</v>
          </cell>
          <cell r="W308" t="str">
            <v/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 t="str">
            <v>anytime</v>
          </cell>
          <cell r="AC308">
            <v>7</v>
          </cell>
          <cell r="AD308">
            <v>6</v>
          </cell>
          <cell r="AE308" t="str">
            <v>lineonly</v>
          </cell>
        </row>
        <row r="309">
          <cell r="A309" t="str">
            <v>14004_4</v>
          </cell>
          <cell r="B309">
            <v>1</v>
          </cell>
          <cell r="C309">
            <v>14004</v>
          </cell>
          <cell r="D309" t="str">
            <v>【ロック】経験値/LINEマルチ</v>
          </cell>
          <cell r="E309" t="str">
            <v>【ロック】経験値/LINEマルチ</v>
          </cell>
          <cell r="F309">
            <v>4</v>
          </cell>
          <cell r="G309" t="str">
            <v>ja</v>
          </cell>
          <cell r="H309" t="str">
            <v>【超級】炎ファミリー（ハートなし）</v>
          </cell>
          <cell r="I309" t="str">
            <v>【ロッククエスト】経験値</v>
          </cell>
          <cell r="J309">
            <v>335</v>
          </cell>
          <cell r="K309">
            <v>1</v>
          </cell>
          <cell r="L309">
            <v>500</v>
          </cell>
          <cell r="M309">
            <v>1</v>
          </cell>
          <cell r="N309">
            <v>1</v>
          </cell>
          <cell r="O309">
            <v>1</v>
          </cell>
          <cell r="P309">
            <v>1</v>
          </cell>
          <cell r="Q309">
            <v>0</v>
          </cell>
          <cell r="R309">
            <v>3</v>
          </cell>
          <cell r="S309" t="str">
            <v>none</v>
          </cell>
          <cell r="T309">
            <v>0</v>
          </cell>
          <cell r="U309" t="str">
            <v>NULL</v>
          </cell>
          <cell r="V309" t="str">
            <v>NULL</v>
          </cell>
          <cell r="W309" t="str">
            <v/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 t="str">
            <v>anytime</v>
          </cell>
          <cell r="AC309">
            <v>10</v>
          </cell>
          <cell r="AD309">
            <v>6</v>
          </cell>
          <cell r="AE309" t="str">
            <v>lineonly</v>
          </cell>
        </row>
        <row r="310">
          <cell r="A310" t="str">
            <v>14005_1</v>
          </cell>
          <cell r="B310">
            <v>1</v>
          </cell>
          <cell r="C310">
            <v>14005</v>
          </cell>
          <cell r="D310" t="str">
            <v>【ロック】ビット/LINEマルチ</v>
          </cell>
          <cell r="E310" t="str">
            <v>【ロック】ビット/LINEマルチ</v>
          </cell>
          <cell r="F310">
            <v>1</v>
          </cell>
          <cell r="G310" t="str">
            <v>ja</v>
          </cell>
          <cell r="H310" t="str">
            <v>【超級】ハイローラー（ハートなし）</v>
          </cell>
          <cell r="I310" t="str">
            <v>【ロッククエスト】ビット</v>
          </cell>
          <cell r="J310">
            <v>119</v>
          </cell>
          <cell r="K310">
            <v>1</v>
          </cell>
          <cell r="L310">
            <v>777</v>
          </cell>
          <cell r="M310">
            <v>1</v>
          </cell>
          <cell r="N310">
            <v>1</v>
          </cell>
          <cell r="O310">
            <v>1</v>
          </cell>
          <cell r="P310">
            <v>1</v>
          </cell>
          <cell r="Q310">
            <v>0</v>
          </cell>
          <cell r="R310">
            <v>3</v>
          </cell>
          <cell r="S310" t="str">
            <v>none</v>
          </cell>
          <cell r="T310">
            <v>0</v>
          </cell>
          <cell r="U310" t="str">
            <v>NULL</v>
          </cell>
          <cell r="V310" t="str">
            <v>NULL</v>
          </cell>
          <cell r="W310" t="str">
            <v/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 t="str">
            <v>anytime</v>
          </cell>
          <cell r="AC310">
            <v>105</v>
          </cell>
          <cell r="AD310">
            <v>6</v>
          </cell>
          <cell r="AE310" t="str">
            <v>lineonly</v>
          </cell>
        </row>
        <row r="311">
          <cell r="A311" t="str">
            <v>14006_1</v>
          </cell>
          <cell r="B311">
            <v>1</v>
          </cell>
          <cell r="C311">
            <v>14006</v>
          </cell>
          <cell r="D311" t="str">
            <v>【ロック】限界突破/LINEマルチ</v>
          </cell>
          <cell r="E311" t="str">
            <v>【ロック】限界突破/LINEマルチ</v>
          </cell>
          <cell r="F311">
            <v>1</v>
          </cell>
          <cell r="G311" t="str">
            <v>ja</v>
          </cell>
          <cell r="H311" t="str">
            <v>【超級】果実の楽園（ハートなし）</v>
          </cell>
          <cell r="I311" t="str">
            <v>【ロッククエスト】限界突破</v>
          </cell>
          <cell r="J311">
            <v>125</v>
          </cell>
          <cell r="K311">
            <v>1</v>
          </cell>
          <cell r="L311">
            <v>860</v>
          </cell>
          <cell r="M311">
            <v>1</v>
          </cell>
          <cell r="N311">
            <v>1</v>
          </cell>
          <cell r="O311">
            <v>1</v>
          </cell>
          <cell r="P311">
            <v>1</v>
          </cell>
          <cell r="Q311">
            <v>0</v>
          </cell>
          <cell r="R311">
            <v>3</v>
          </cell>
          <cell r="S311" t="str">
            <v>none</v>
          </cell>
          <cell r="T311">
            <v>0</v>
          </cell>
          <cell r="U311" t="str">
            <v>NULL</v>
          </cell>
          <cell r="V311" t="str">
            <v>NULL</v>
          </cell>
          <cell r="W311" t="str">
            <v/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 t="str">
            <v>anytime</v>
          </cell>
          <cell r="AC311">
            <v>7</v>
          </cell>
          <cell r="AD311">
            <v>6</v>
          </cell>
          <cell r="AE311" t="str">
            <v>lineonly</v>
          </cell>
        </row>
        <row r="312">
          <cell r="A312" t="str">
            <v>15027_1</v>
          </cell>
          <cell r="B312">
            <v>1</v>
          </cell>
          <cell r="C312">
            <v>15027</v>
          </cell>
          <cell r="D312">
            <v>27</v>
          </cell>
          <cell r="E312" t="str">
            <v>黄青DL6</v>
          </cell>
          <cell r="F312">
            <v>1</v>
          </cell>
          <cell r="G312" t="str">
            <v>ja</v>
          </cell>
          <cell r="H312" t="str">
            <v>27--1</v>
          </cell>
          <cell r="I312" t="str">
            <v>27--1</v>
          </cell>
          <cell r="J312" t="str">
            <v>NULL</v>
          </cell>
          <cell r="K312">
            <v>14</v>
          </cell>
          <cell r="L312">
            <v>14640</v>
          </cell>
          <cell r="M312">
            <v>1</v>
          </cell>
          <cell r="N312">
            <v>1</v>
          </cell>
          <cell r="O312">
            <v>1</v>
          </cell>
          <cell r="P312">
            <v>1</v>
          </cell>
          <cell r="Q312">
            <v>1</v>
          </cell>
          <cell r="R312">
            <v>3</v>
          </cell>
          <cell r="S312" t="str">
            <v>none</v>
          </cell>
          <cell r="T312">
            <v>0</v>
          </cell>
          <cell r="U312" t="str">
            <v>NULL</v>
          </cell>
          <cell r="V312" t="str">
            <v>NULL</v>
          </cell>
          <cell r="W312" t="str">
            <v/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 t="str">
            <v>anytime</v>
          </cell>
          <cell r="AC312">
            <v>27</v>
          </cell>
          <cell r="AD312">
            <v>6</v>
          </cell>
          <cell r="AE312" t="str">
            <v>everyone</v>
          </cell>
        </row>
        <row r="313">
          <cell r="A313" t="str">
            <v>15027_2</v>
          </cell>
          <cell r="B313">
            <v>1</v>
          </cell>
          <cell r="C313">
            <v>15027</v>
          </cell>
          <cell r="D313">
            <v>27</v>
          </cell>
          <cell r="E313" t="str">
            <v>黄青DL6</v>
          </cell>
          <cell r="F313">
            <v>2</v>
          </cell>
          <cell r="G313" t="str">
            <v>ja</v>
          </cell>
          <cell r="H313" t="str">
            <v>27--2</v>
          </cell>
          <cell r="I313" t="str">
            <v>27--2</v>
          </cell>
          <cell r="J313" t="str">
            <v>NULL</v>
          </cell>
          <cell r="K313">
            <v>14</v>
          </cell>
          <cell r="L313">
            <v>14760</v>
          </cell>
          <cell r="M313">
            <v>1</v>
          </cell>
          <cell r="N313">
            <v>1</v>
          </cell>
          <cell r="O313">
            <v>1</v>
          </cell>
          <cell r="P313">
            <v>1</v>
          </cell>
          <cell r="Q313">
            <v>1</v>
          </cell>
          <cell r="R313">
            <v>3</v>
          </cell>
          <cell r="S313" t="str">
            <v>none</v>
          </cell>
          <cell r="T313">
            <v>0</v>
          </cell>
          <cell r="U313" t="str">
            <v>NULL</v>
          </cell>
          <cell r="V313" t="str">
            <v>NULL</v>
          </cell>
          <cell r="W313" t="str">
            <v/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 t="str">
            <v>anytime</v>
          </cell>
          <cell r="AC313">
            <v>27</v>
          </cell>
          <cell r="AD313">
            <v>6</v>
          </cell>
          <cell r="AE313" t="str">
            <v>everyone</v>
          </cell>
        </row>
        <row r="314">
          <cell r="A314" t="str">
            <v>15027_3</v>
          </cell>
          <cell r="B314">
            <v>1</v>
          </cell>
          <cell r="C314">
            <v>15027</v>
          </cell>
          <cell r="D314">
            <v>27</v>
          </cell>
          <cell r="E314" t="str">
            <v>黄青DL6</v>
          </cell>
          <cell r="F314">
            <v>3</v>
          </cell>
          <cell r="G314" t="str">
            <v>ja</v>
          </cell>
          <cell r="H314" t="str">
            <v>27--3</v>
          </cell>
          <cell r="I314" t="str">
            <v>27--3</v>
          </cell>
          <cell r="J314" t="str">
            <v>NULL</v>
          </cell>
          <cell r="K314">
            <v>15</v>
          </cell>
          <cell r="L314">
            <v>14880</v>
          </cell>
          <cell r="M314">
            <v>1</v>
          </cell>
          <cell r="N314">
            <v>1</v>
          </cell>
          <cell r="O314">
            <v>1</v>
          </cell>
          <cell r="P314">
            <v>1</v>
          </cell>
          <cell r="Q314">
            <v>1</v>
          </cell>
          <cell r="R314">
            <v>3</v>
          </cell>
          <cell r="S314" t="str">
            <v>none</v>
          </cell>
          <cell r="T314">
            <v>0</v>
          </cell>
          <cell r="U314" t="str">
            <v>NULL</v>
          </cell>
          <cell r="V314" t="str">
            <v>NULL</v>
          </cell>
          <cell r="W314" t="str">
            <v/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 t="str">
            <v>anytime</v>
          </cell>
          <cell r="AC314">
            <v>27</v>
          </cell>
          <cell r="AD314">
            <v>6</v>
          </cell>
          <cell r="AE314" t="str">
            <v>everyone</v>
          </cell>
        </row>
        <row r="315">
          <cell r="A315" t="str">
            <v>15027_4</v>
          </cell>
          <cell r="B315">
            <v>1</v>
          </cell>
          <cell r="C315">
            <v>15027</v>
          </cell>
          <cell r="D315">
            <v>27</v>
          </cell>
          <cell r="E315" t="str">
            <v>黄青DL6</v>
          </cell>
          <cell r="F315">
            <v>4</v>
          </cell>
          <cell r="G315" t="str">
            <v>ja</v>
          </cell>
          <cell r="H315" t="str">
            <v>27--4</v>
          </cell>
          <cell r="I315" t="str">
            <v>27--4</v>
          </cell>
          <cell r="J315">
            <v>125</v>
          </cell>
          <cell r="K315">
            <v>1</v>
          </cell>
          <cell r="L315">
            <v>1</v>
          </cell>
          <cell r="M315">
            <v>1</v>
          </cell>
          <cell r="N315">
            <v>1</v>
          </cell>
          <cell r="O315">
            <v>1</v>
          </cell>
          <cell r="P315">
            <v>1</v>
          </cell>
          <cell r="Q315">
            <v>1</v>
          </cell>
          <cell r="R315">
            <v>3</v>
          </cell>
          <cell r="S315" t="str">
            <v>none</v>
          </cell>
          <cell r="T315">
            <v>0</v>
          </cell>
          <cell r="U315" t="str">
            <v>NULL</v>
          </cell>
          <cell r="V315" t="str">
            <v>NULL</v>
          </cell>
          <cell r="W315" t="str">
            <v/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 t="str">
            <v>once</v>
          </cell>
          <cell r="AC315">
            <v>27</v>
          </cell>
          <cell r="AD315">
            <v>6</v>
          </cell>
          <cell r="AE315" t="str">
            <v>singleonly</v>
          </cell>
        </row>
        <row r="316">
          <cell r="A316" t="str">
            <v>15028_1</v>
          </cell>
          <cell r="B316">
            <v>1</v>
          </cell>
          <cell r="C316">
            <v>15028</v>
          </cell>
          <cell r="D316">
            <v>28</v>
          </cell>
          <cell r="E316" t="str">
            <v>赤緑DL6</v>
          </cell>
          <cell r="F316">
            <v>1</v>
          </cell>
          <cell r="G316" t="str">
            <v>ja</v>
          </cell>
          <cell r="H316" t="str">
            <v>28--1</v>
          </cell>
          <cell r="I316" t="str">
            <v>28--1</v>
          </cell>
          <cell r="J316" t="str">
            <v>NULL</v>
          </cell>
          <cell r="K316">
            <v>14</v>
          </cell>
          <cell r="L316">
            <v>14640</v>
          </cell>
          <cell r="M316">
            <v>1</v>
          </cell>
          <cell r="N316">
            <v>1</v>
          </cell>
          <cell r="O316">
            <v>1</v>
          </cell>
          <cell r="P316">
            <v>1</v>
          </cell>
          <cell r="Q316">
            <v>1</v>
          </cell>
          <cell r="R316">
            <v>3</v>
          </cell>
          <cell r="S316" t="str">
            <v>none</v>
          </cell>
          <cell r="T316">
            <v>0</v>
          </cell>
          <cell r="U316" t="str">
            <v>NULL</v>
          </cell>
          <cell r="V316" t="str">
            <v>NULL</v>
          </cell>
          <cell r="W316" t="str">
            <v/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 t="str">
            <v>anytime</v>
          </cell>
          <cell r="AC316">
            <v>27</v>
          </cell>
          <cell r="AD316">
            <v>6</v>
          </cell>
          <cell r="AE316" t="str">
            <v>everyone</v>
          </cell>
        </row>
        <row r="317">
          <cell r="A317" t="str">
            <v>15028_2</v>
          </cell>
          <cell r="B317">
            <v>1</v>
          </cell>
          <cell r="C317">
            <v>15028</v>
          </cell>
          <cell r="D317">
            <v>28</v>
          </cell>
          <cell r="E317" t="str">
            <v>赤緑DL6</v>
          </cell>
          <cell r="F317">
            <v>2</v>
          </cell>
          <cell r="G317" t="str">
            <v>ja</v>
          </cell>
          <cell r="H317" t="str">
            <v>28--2</v>
          </cell>
          <cell r="I317" t="str">
            <v>28--2</v>
          </cell>
          <cell r="J317" t="str">
            <v>NULL</v>
          </cell>
          <cell r="K317">
            <v>14</v>
          </cell>
          <cell r="L317">
            <v>14760</v>
          </cell>
          <cell r="M317">
            <v>1</v>
          </cell>
          <cell r="N317">
            <v>1</v>
          </cell>
          <cell r="O317">
            <v>1</v>
          </cell>
          <cell r="P317">
            <v>1</v>
          </cell>
          <cell r="Q317">
            <v>1</v>
          </cell>
          <cell r="R317">
            <v>3</v>
          </cell>
          <cell r="S317" t="str">
            <v>none</v>
          </cell>
          <cell r="T317">
            <v>0</v>
          </cell>
          <cell r="U317" t="str">
            <v>NULL</v>
          </cell>
          <cell r="V317" t="str">
            <v>NULL</v>
          </cell>
          <cell r="W317" t="str">
            <v/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 t="str">
            <v>anytime</v>
          </cell>
          <cell r="AC317">
            <v>27</v>
          </cell>
          <cell r="AD317">
            <v>6</v>
          </cell>
          <cell r="AE317" t="str">
            <v>everyone</v>
          </cell>
        </row>
        <row r="318">
          <cell r="A318" t="str">
            <v>15028_3</v>
          </cell>
          <cell r="B318">
            <v>1</v>
          </cell>
          <cell r="C318">
            <v>15028</v>
          </cell>
          <cell r="D318">
            <v>28</v>
          </cell>
          <cell r="E318" t="str">
            <v>赤緑DL6</v>
          </cell>
          <cell r="F318">
            <v>3</v>
          </cell>
          <cell r="G318" t="str">
            <v>ja</v>
          </cell>
          <cell r="H318" t="str">
            <v>28--3</v>
          </cell>
          <cell r="I318" t="str">
            <v>28--3</v>
          </cell>
          <cell r="J318" t="str">
            <v>NULL</v>
          </cell>
          <cell r="K318">
            <v>15</v>
          </cell>
          <cell r="L318">
            <v>14880</v>
          </cell>
          <cell r="M318">
            <v>1</v>
          </cell>
          <cell r="N318">
            <v>1</v>
          </cell>
          <cell r="O318">
            <v>1</v>
          </cell>
          <cell r="P318">
            <v>1</v>
          </cell>
          <cell r="Q318">
            <v>1</v>
          </cell>
          <cell r="R318">
            <v>3</v>
          </cell>
          <cell r="S318" t="str">
            <v>none</v>
          </cell>
          <cell r="T318">
            <v>0</v>
          </cell>
          <cell r="U318" t="str">
            <v>NULL</v>
          </cell>
          <cell r="V318" t="str">
            <v>NULL</v>
          </cell>
          <cell r="W318" t="str">
            <v/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 t="str">
            <v>anytime</v>
          </cell>
          <cell r="AC318">
            <v>27</v>
          </cell>
          <cell r="AD318">
            <v>6</v>
          </cell>
          <cell r="AE318" t="str">
            <v>everyone</v>
          </cell>
        </row>
        <row r="319">
          <cell r="A319" t="str">
            <v>15028_4</v>
          </cell>
          <cell r="B319">
            <v>1</v>
          </cell>
          <cell r="C319">
            <v>15028</v>
          </cell>
          <cell r="D319">
            <v>28</v>
          </cell>
          <cell r="E319" t="str">
            <v>赤緑DL6</v>
          </cell>
          <cell r="F319">
            <v>4</v>
          </cell>
          <cell r="G319" t="str">
            <v>ja</v>
          </cell>
          <cell r="H319" t="str">
            <v>28--4</v>
          </cell>
          <cell r="I319" t="str">
            <v>28--4</v>
          </cell>
          <cell r="J319">
            <v>125</v>
          </cell>
          <cell r="K319">
            <v>1</v>
          </cell>
          <cell r="L319">
            <v>1</v>
          </cell>
          <cell r="M319">
            <v>1</v>
          </cell>
          <cell r="N319">
            <v>1</v>
          </cell>
          <cell r="O319">
            <v>1</v>
          </cell>
          <cell r="P319">
            <v>1</v>
          </cell>
          <cell r="Q319">
            <v>1</v>
          </cell>
          <cell r="R319">
            <v>3</v>
          </cell>
          <cell r="S319" t="str">
            <v>none</v>
          </cell>
          <cell r="T319">
            <v>0</v>
          </cell>
          <cell r="U319" t="str">
            <v>NULL</v>
          </cell>
          <cell r="V319" t="str">
            <v>NULL</v>
          </cell>
          <cell r="W319" t="str">
            <v/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 t="str">
            <v>once</v>
          </cell>
          <cell r="AC319">
            <v>27</v>
          </cell>
          <cell r="AD319">
            <v>6</v>
          </cell>
          <cell r="AE319" t="str">
            <v>singleonly</v>
          </cell>
        </row>
        <row r="320">
          <cell r="A320" t="str">
            <v>15029_1</v>
          </cell>
          <cell r="B320">
            <v>1</v>
          </cell>
          <cell r="C320">
            <v>15029</v>
          </cell>
          <cell r="D320">
            <v>29</v>
          </cell>
          <cell r="E320" t="str">
            <v>緑黄DL6</v>
          </cell>
          <cell r="F320">
            <v>1</v>
          </cell>
          <cell r="G320" t="str">
            <v>ja</v>
          </cell>
          <cell r="H320" t="str">
            <v>29--1</v>
          </cell>
          <cell r="I320" t="str">
            <v>29--1</v>
          </cell>
          <cell r="J320" t="str">
            <v>NULL</v>
          </cell>
          <cell r="K320">
            <v>14</v>
          </cell>
          <cell r="L320">
            <v>14640</v>
          </cell>
          <cell r="M320">
            <v>1</v>
          </cell>
          <cell r="N320">
            <v>1</v>
          </cell>
          <cell r="O320">
            <v>1</v>
          </cell>
          <cell r="P320">
            <v>1</v>
          </cell>
          <cell r="Q320">
            <v>1</v>
          </cell>
          <cell r="R320">
            <v>3</v>
          </cell>
          <cell r="S320" t="str">
            <v>none</v>
          </cell>
          <cell r="T320">
            <v>0</v>
          </cell>
          <cell r="U320" t="str">
            <v>NULL</v>
          </cell>
          <cell r="V320" t="str">
            <v>NULL</v>
          </cell>
          <cell r="W320" t="str">
            <v/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 t="str">
            <v>anytime</v>
          </cell>
          <cell r="AC320">
            <v>27</v>
          </cell>
          <cell r="AD320">
            <v>6</v>
          </cell>
          <cell r="AE320" t="str">
            <v>everyone</v>
          </cell>
        </row>
        <row r="321">
          <cell r="A321" t="str">
            <v>15029_2</v>
          </cell>
          <cell r="B321">
            <v>1</v>
          </cell>
          <cell r="C321">
            <v>15029</v>
          </cell>
          <cell r="D321">
            <v>29</v>
          </cell>
          <cell r="E321" t="str">
            <v>緑黄DL6</v>
          </cell>
          <cell r="F321">
            <v>2</v>
          </cell>
          <cell r="G321" t="str">
            <v>ja</v>
          </cell>
          <cell r="H321" t="str">
            <v>29--2</v>
          </cell>
          <cell r="I321" t="str">
            <v>29--2</v>
          </cell>
          <cell r="J321" t="str">
            <v>NULL</v>
          </cell>
          <cell r="K321">
            <v>14</v>
          </cell>
          <cell r="L321">
            <v>14760</v>
          </cell>
          <cell r="M321">
            <v>1</v>
          </cell>
          <cell r="N321">
            <v>1</v>
          </cell>
          <cell r="O321">
            <v>1</v>
          </cell>
          <cell r="P321">
            <v>1</v>
          </cell>
          <cell r="Q321">
            <v>1</v>
          </cell>
          <cell r="R321">
            <v>3</v>
          </cell>
          <cell r="S321" t="str">
            <v>none</v>
          </cell>
          <cell r="T321">
            <v>0</v>
          </cell>
          <cell r="U321" t="str">
            <v>NULL</v>
          </cell>
          <cell r="V321" t="str">
            <v>NULL</v>
          </cell>
          <cell r="W321" t="str">
            <v/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 t="str">
            <v>anytime</v>
          </cell>
          <cell r="AC321">
            <v>27</v>
          </cell>
          <cell r="AD321">
            <v>6</v>
          </cell>
          <cell r="AE321" t="str">
            <v>everyone</v>
          </cell>
        </row>
        <row r="322">
          <cell r="A322" t="str">
            <v>15029_3</v>
          </cell>
          <cell r="B322">
            <v>1</v>
          </cell>
          <cell r="C322">
            <v>15029</v>
          </cell>
          <cell r="D322">
            <v>29</v>
          </cell>
          <cell r="E322" t="str">
            <v>緑黄DL6</v>
          </cell>
          <cell r="F322">
            <v>3</v>
          </cell>
          <cell r="G322" t="str">
            <v>ja</v>
          </cell>
          <cell r="H322" t="str">
            <v>29--3</v>
          </cell>
          <cell r="I322" t="str">
            <v>29--3</v>
          </cell>
          <cell r="J322" t="str">
            <v>NULL</v>
          </cell>
          <cell r="K322">
            <v>15</v>
          </cell>
          <cell r="L322">
            <v>14880</v>
          </cell>
          <cell r="M322">
            <v>1</v>
          </cell>
          <cell r="N322">
            <v>1</v>
          </cell>
          <cell r="O322">
            <v>1</v>
          </cell>
          <cell r="P322">
            <v>1</v>
          </cell>
          <cell r="Q322">
            <v>1</v>
          </cell>
          <cell r="R322">
            <v>3</v>
          </cell>
          <cell r="S322" t="str">
            <v>none</v>
          </cell>
          <cell r="T322">
            <v>0</v>
          </cell>
          <cell r="U322" t="str">
            <v>NULL</v>
          </cell>
          <cell r="V322" t="str">
            <v>NULL</v>
          </cell>
          <cell r="W322" t="str">
            <v/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 t="str">
            <v>anytime</v>
          </cell>
          <cell r="AC322">
            <v>27</v>
          </cell>
          <cell r="AD322">
            <v>6</v>
          </cell>
          <cell r="AE322" t="str">
            <v>everyone</v>
          </cell>
        </row>
        <row r="323">
          <cell r="A323" t="str">
            <v>15029_4</v>
          </cell>
          <cell r="B323">
            <v>1</v>
          </cell>
          <cell r="C323">
            <v>15029</v>
          </cell>
          <cell r="D323">
            <v>29</v>
          </cell>
          <cell r="E323" t="str">
            <v>緑黄DL6</v>
          </cell>
          <cell r="F323">
            <v>4</v>
          </cell>
          <cell r="G323" t="str">
            <v>ja</v>
          </cell>
          <cell r="H323" t="str">
            <v>29--4</v>
          </cell>
          <cell r="I323" t="str">
            <v>29--4</v>
          </cell>
          <cell r="J323">
            <v>125</v>
          </cell>
          <cell r="K323">
            <v>1</v>
          </cell>
          <cell r="L323">
            <v>1</v>
          </cell>
          <cell r="M323">
            <v>1</v>
          </cell>
          <cell r="N323">
            <v>1</v>
          </cell>
          <cell r="O323">
            <v>1</v>
          </cell>
          <cell r="P323">
            <v>1</v>
          </cell>
          <cell r="Q323">
            <v>1</v>
          </cell>
          <cell r="R323">
            <v>3</v>
          </cell>
          <cell r="S323" t="str">
            <v>none</v>
          </cell>
          <cell r="T323">
            <v>0</v>
          </cell>
          <cell r="U323" t="str">
            <v>NULL</v>
          </cell>
          <cell r="V323" t="str">
            <v>NULL</v>
          </cell>
          <cell r="W323" t="str">
            <v/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 t="str">
            <v>once</v>
          </cell>
          <cell r="AC323">
            <v>27</v>
          </cell>
          <cell r="AD323">
            <v>6</v>
          </cell>
          <cell r="AE323" t="str">
            <v>singleonly</v>
          </cell>
        </row>
        <row r="324">
          <cell r="A324" t="str">
            <v>15030_1</v>
          </cell>
          <cell r="B324">
            <v>1</v>
          </cell>
          <cell r="C324">
            <v>15030</v>
          </cell>
          <cell r="D324">
            <v>30</v>
          </cell>
          <cell r="E324" t="str">
            <v>赤青DL6</v>
          </cell>
          <cell r="F324">
            <v>1</v>
          </cell>
          <cell r="G324" t="str">
            <v>ja</v>
          </cell>
          <cell r="H324" t="str">
            <v>30--1</v>
          </cell>
          <cell r="I324" t="str">
            <v>30--1</v>
          </cell>
          <cell r="J324" t="str">
            <v>NULL</v>
          </cell>
          <cell r="K324">
            <v>14</v>
          </cell>
          <cell r="L324">
            <v>14640</v>
          </cell>
          <cell r="M324">
            <v>1</v>
          </cell>
          <cell r="N324">
            <v>1</v>
          </cell>
          <cell r="O324">
            <v>1</v>
          </cell>
          <cell r="P324">
            <v>1</v>
          </cell>
          <cell r="Q324">
            <v>1</v>
          </cell>
          <cell r="R324">
            <v>3</v>
          </cell>
          <cell r="S324" t="str">
            <v>none</v>
          </cell>
          <cell r="T324">
            <v>0</v>
          </cell>
          <cell r="U324" t="str">
            <v>NULL</v>
          </cell>
          <cell r="V324" t="str">
            <v>NULL</v>
          </cell>
          <cell r="W324" t="str">
            <v/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 t="str">
            <v>anytime</v>
          </cell>
          <cell r="AC324">
            <v>27</v>
          </cell>
          <cell r="AD324">
            <v>6</v>
          </cell>
          <cell r="AE324" t="str">
            <v>everyone</v>
          </cell>
        </row>
        <row r="325">
          <cell r="A325" t="str">
            <v>15030_2</v>
          </cell>
          <cell r="B325">
            <v>1</v>
          </cell>
          <cell r="C325">
            <v>15030</v>
          </cell>
          <cell r="D325">
            <v>30</v>
          </cell>
          <cell r="E325" t="str">
            <v>赤青DL6</v>
          </cell>
          <cell r="F325">
            <v>2</v>
          </cell>
          <cell r="G325" t="str">
            <v>ja</v>
          </cell>
          <cell r="H325" t="str">
            <v>30--2</v>
          </cell>
          <cell r="I325" t="str">
            <v>30--2</v>
          </cell>
          <cell r="J325" t="str">
            <v>NULL</v>
          </cell>
          <cell r="K325">
            <v>14</v>
          </cell>
          <cell r="L325">
            <v>14760</v>
          </cell>
          <cell r="M325">
            <v>1</v>
          </cell>
          <cell r="N325">
            <v>1</v>
          </cell>
          <cell r="O325">
            <v>1</v>
          </cell>
          <cell r="P325">
            <v>1</v>
          </cell>
          <cell r="Q325">
            <v>1</v>
          </cell>
          <cell r="R325">
            <v>3</v>
          </cell>
          <cell r="S325" t="str">
            <v>none</v>
          </cell>
          <cell r="T325">
            <v>0</v>
          </cell>
          <cell r="U325" t="str">
            <v>NULL</v>
          </cell>
          <cell r="V325" t="str">
            <v>NULL</v>
          </cell>
          <cell r="W325" t="str">
            <v/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 t="str">
            <v>anytime</v>
          </cell>
          <cell r="AC325">
            <v>27</v>
          </cell>
          <cell r="AD325">
            <v>6</v>
          </cell>
          <cell r="AE325" t="str">
            <v>everyone</v>
          </cell>
        </row>
        <row r="326">
          <cell r="A326" t="str">
            <v>15030_3</v>
          </cell>
          <cell r="B326">
            <v>1</v>
          </cell>
          <cell r="C326">
            <v>15030</v>
          </cell>
          <cell r="D326">
            <v>30</v>
          </cell>
          <cell r="E326" t="str">
            <v>赤青DL6</v>
          </cell>
          <cell r="F326">
            <v>3</v>
          </cell>
          <cell r="G326" t="str">
            <v>ja</v>
          </cell>
          <cell r="H326" t="str">
            <v>30--3</v>
          </cell>
          <cell r="I326" t="str">
            <v>30--3</v>
          </cell>
          <cell r="J326" t="str">
            <v>NULL</v>
          </cell>
          <cell r="K326">
            <v>15</v>
          </cell>
          <cell r="L326">
            <v>14880</v>
          </cell>
          <cell r="M326">
            <v>1</v>
          </cell>
          <cell r="N326">
            <v>1</v>
          </cell>
          <cell r="O326">
            <v>1</v>
          </cell>
          <cell r="P326">
            <v>1</v>
          </cell>
          <cell r="Q326">
            <v>1</v>
          </cell>
          <cell r="R326">
            <v>3</v>
          </cell>
          <cell r="S326" t="str">
            <v>none</v>
          </cell>
          <cell r="T326">
            <v>0</v>
          </cell>
          <cell r="U326" t="str">
            <v>NULL</v>
          </cell>
          <cell r="V326" t="str">
            <v>NULL</v>
          </cell>
          <cell r="W326" t="str">
            <v/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 t="str">
            <v>anytime</v>
          </cell>
          <cell r="AC326">
            <v>27</v>
          </cell>
          <cell r="AD326">
            <v>6</v>
          </cell>
          <cell r="AE326" t="str">
            <v>everyone</v>
          </cell>
        </row>
        <row r="327">
          <cell r="A327" t="str">
            <v>15030_4</v>
          </cell>
          <cell r="B327">
            <v>1</v>
          </cell>
          <cell r="C327">
            <v>15030</v>
          </cell>
          <cell r="D327">
            <v>30</v>
          </cell>
          <cell r="E327" t="str">
            <v>赤青DL6</v>
          </cell>
          <cell r="F327">
            <v>4</v>
          </cell>
          <cell r="G327" t="str">
            <v>ja</v>
          </cell>
          <cell r="H327" t="str">
            <v>30--4</v>
          </cell>
          <cell r="I327" t="str">
            <v>30--4</v>
          </cell>
          <cell r="J327">
            <v>125</v>
          </cell>
          <cell r="K327">
            <v>1</v>
          </cell>
          <cell r="L327">
            <v>1</v>
          </cell>
          <cell r="M327">
            <v>1</v>
          </cell>
          <cell r="N327">
            <v>1</v>
          </cell>
          <cell r="O327">
            <v>1</v>
          </cell>
          <cell r="P327">
            <v>1</v>
          </cell>
          <cell r="Q327">
            <v>1</v>
          </cell>
          <cell r="R327">
            <v>3</v>
          </cell>
          <cell r="S327" t="str">
            <v>none</v>
          </cell>
          <cell r="T327">
            <v>0</v>
          </cell>
          <cell r="U327" t="str">
            <v>NULL</v>
          </cell>
          <cell r="V327" t="str">
            <v>NULL</v>
          </cell>
          <cell r="W327" t="str">
            <v/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 t="str">
            <v>once</v>
          </cell>
          <cell r="AC327">
            <v>27</v>
          </cell>
          <cell r="AD327">
            <v>6</v>
          </cell>
          <cell r="AE327" t="str">
            <v>singleonly</v>
          </cell>
        </row>
        <row r="328">
          <cell r="A328" t="str">
            <v>15031_1</v>
          </cell>
          <cell r="B328">
            <v>1</v>
          </cell>
          <cell r="C328">
            <v>15031</v>
          </cell>
          <cell r="D328">
            <v>31</v>
          </cell>
          <cell r="E328" t="str">
            <v>混色DL6</v>
          </cell>
          <cell r="F328">
            <v>1</v>
          </cell>
          <cell r="G328" t="str">
            <v>ja</v>
          </cell>
          <cell r="H328" t="str">
            <v>31--1</v>
          </cell>
          <cell r="I328" t="str">
            <v>31--1</v>
          </cell>
          <cell r="J328" t="str">
            <v>NULL</v>
          </cell>
          <cell r="K328">
            <v>14</v>
          </cell>
          <cell r="L328">
            <v>14640</v>
          </cell>
          <cell r="M328">
            <v>1</v>
          </cell>
          <cell r="N328">
            <v>1</v>
          </cell>
          <cell r="O328">
            <v>1</v>
          </cell>
          <cell r="P328">
            <v>1</v>
          </cell>
          <cell r="Q328">
            <v>1</v>
          </cell>
          <cell r="R328">
            <v>3</v>
          </cell>
          <cell r="S328" t="str">
            <v>none</v>
          </cell>
          <cell r="T328">
            <v>0</v>
          </cell>
          <cell r="U328" t="str">
            <v>NULL</v>
          </cell>
          <cell r="V328" t="str">
            <v>NULL</v>
          </cell>
          <cell r="W328" t="str">
            <v/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 t="str">
            <v>anytime</v>
          </cell>
          <cell r="AC328">
            <v>27</v>
          </cell>
          <cell r="AD328">
            <v>6</v>
          </cell>
          <cell r="AE328" t="str">
            <v>everyone</v>
          </cell>
        </row>
        <row r="329">
          <cell r="A329" t="str">
            <v>15031_2</v>
          </cell>
          <cell r="B329">
            <v>1</v>
          </cell>
          <cell r="C329">
            <v>15031</v>
          </cell>
          <cell r="D329">
            <v>31</v>
          </cell>
          <cell r="E329" t="str">
            <v>混色DL6</v>
          </cell>
          <cell r="F329">
            <v>2</v>
          </cell>
          <cell r="G329" t="str">
            <v>ja</v>
          </cell>
          <cell r="H329" t="str">
            <v>31--2</v>
          </cell>
          <cell r="I329" t="str">
            <v>31--2</v>
          </cell>
          <cell r="J329" t="str">
            <v>NULL</v>
          </cell>
          <cell r="K329">
            <v>14</v>
          </cell>
          <cell r="L329">
            <v>14760</v>
          </cell>
          <cell r="M329">
            <v>1</v>
          </cell>
          <cell r="N329">
            <v>1</v>
          </cell>
          <cell r="O329">
            <v>1</v>
          </cell>
          <cell r="P329">
            <v>1</v>
          </cell>
          <cell r="Q329">
            <v>1</v>
          </cell>
          <cell r="R329">
            <v>3</v>
          </cell>
          <cell r="S329" t="str">
            <v>none</v>
          </cell>
          <cell r="T329">
            <v>0</v>
          </cell>
          <cell r="U329" t="str">
            <v>NULL</v>
          </cell>
          <cell r="V329" t="str">
            <v>NULL</v>
          </cell>
          <cell r="W329" t="str">
            <v/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 t="str">
            <v>anytime</v>
          </cell>
          <cell r="AC329">
            <v>27</v>
          </cell>
          <cell r="AD329">
            <v>6</v>
          </cell>
          <cell r="AE329" t="str">
            <v>everyone</v>
          </cell>
        </row>
        <row r="330">
          <cell r="A330" t="str">
            <v>15031_3</v>
          </cell>
          <cell r="B330">
            <v>1</v>
          </cell>
          <cell r="C330">
            <v>15031</v>
          </cell>
          <cell r="D330">
            <v>31</v>
          </cell>
          <cell r="E330" t="str">
            <v>混色DL6</v>
          </cell>
          <cell r="F330">
            <v>3</v>
          </cell>
          <cell r="G330" t="str">
            <v>ja</v>
          </cell>
          <cell r="H330" t="str">
            <v>31--3</v>
          </cell>
          <cell r="I330" t="str">
            <v>31--3</v>
          </cell>
          <cell r="J330" t="str">
            <v>NULL</v>
          </cell>
          <cell r="K330">
            <v>15</v>
          </cell>
          <cell r="L330">
            <v>14880</v>
          </cell>
          <cell r="M330">
            <v>1</v>
          </cell>
          <cell r="N330">
            <v>1</v>
          </cell>
          <cell r="O330">
            <v>1</v>
          </cell>
          <cell r="P330">
            <v>1</v>
          </cell>
          <cell r="Q330">
            <v>1</v>
          </cell>
          <cell r="R330">
            <v>3</v>
          </cell>
          <cell r="S330" t="str">
            <v>none</v>
          </cell>
          <cell r="T330">
            <v>0</v>
          </cell>
          <cell r="U330" t="str">
            <v>NULL</v>
          </cell>
          <cell r="V330" t="str">
            <v>NULL</v>
          </cell>
          <cell r="W330" t="str">
            <v/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 t="str">
            <v>anytime</v>
          </cell>
          <cell r="AC330">
            <v>27</v>
          </cell>
          <cell r="AD330">
            <v>6</v>
          </cell>
          <cell r="AE330" t="str">
            <v>everyone</v>
          </cell>
        </row>
        <row r="331">
          <cell r="A331" t="str">
            <v>15031_4</v>
          </cell>
          <cell r="B331">
            <v>1</v>
          </cell>
          <cell r="C331">
            <v>15031</v>
          </cell>
          <cell r="D331">
            <v>31</v>
          </cell>
          <cell r="E331" t="str">
            <v>混色DL6</v>
          </cell>
          <cell r="F331">
            <v>4</v>
          </cell>
          <cell r="G331" t="str">
            <v>ja</v>
          </cell>
          <cell r="H331" t="str">
            <v>31--4</v>
          </cell>
          <cell r="I331" t="str">
            <v>31--4</v>
          </cell>
          <cell r="J331">
            <v>125</v>
          </cell>
          <cell r="K331">
            <v>1</v>
          </cell>
          <cell r="L331">
            <v>1</v>
          </cell>
          <cell r="M331">
            <v>1</v>
          </cell>
          <cell r="N331">
            <v>1</v>
          </cell>
          <cell r="O331">
            <v>1</v>
          </cell>
          <cell r="P331">
            <v>1</v>
          </cell>
          <cell r="Q331">
            <v>1</v>
          </cell>
          <cell r="R331">
            <v>3</v>
          </cell>
          <cell r="S331" t="str">
            <v>none</v>
          </cell>
          <cell r="T331">
            <v>0</v>
          </cell>
          <cell r="U331" t="str">
            <v>NULL</v>
          </cell>
          <cell r="V331" t="str">
            <v>NULL</v>
          </cell>
          <cell r="W331" t="str">
            <v/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 t="str">
            <v>once</v>
          </cell>
          <cell r="AC331">
            <v>27</v>
          </cell>
          <cell r="AD331">
            <v>6</v>
          </cell>
          <cell r="AE331" t="str">
            <v>singleonly</v>
          </cell>
        </row>
        <row r="332">
          <cell r="A332" t="str">
            <v>20001_1</v>
          </cell>
          <cell r="B332">
            <v>3</v>
          </cell>
          <cell r="C332">
            <v>20001</v>
          </cell>
          <cell r="D332" t="str">
            <v>紅き執行者</v>
          </cell>
          <cell r="E332" t="str">
            <v>ドロップイベント1-1</v>
          </cell>
          <cell r="F332">
            <v>1</v>
          </cell>
          <cell r="G332" t="str">
            <v>ja</v>
          </cell>
          <cell r="H332" t="str">
            <v xml:space="preserve">【初級】紅き執行者 </v>
          </cell>
          <cell r="I332" t="str">
            <v>初級</v>
          </cell>
          <cell r="J332">
            <v>262</v>
          </cell>
          <cell r="K332">
            <v>8</v>
          </cell>
          <cell r="L332">
            <v>384</v>
          </cell>
          <cell r="M332">
            <v>1</v>
          </cell>
          <cell r="N332">
            <v>1</v>
          </cell>
          <cell r="O332">
            <v>1</v>
          </cell>
          <cell r="P332">
            <v>1</v>
          </cell>
          <cell r="Q332">
            <v>1</v>
          </cell>
          <cell r="R332">
            <v>3</v>
          </cell>
          <cell r="S332" t="str">
            <v>none</v>
          </cell>
          <cell r="T332">
            <v>0</v>
          </cell>
          <cell r="U332" t="str">
            <v>NULL</v>
          </cell>
          <cell r="V332" t="str">
            <v>NULL</v>
          </cell>
          <cell r="W332" t="str">
            <v/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 t="str">
            <v>anytime</v>
          </cell>
          <cell r="AC332">
            <v>14</v>
          </cell>
          <cell r="AD332">
            <v>6</v>
          </cell>
          <cell r="AE332" t="str">
            <v>everyone</v>
          </cell>
        </row>
        <row r="333">
          <cell r="A333" t="str">
            <v>20001_2</v>
          </cell>
          <cell r="B333">
            <v>3</v>
          </cell>
          <cell r="C333">
            <v>20001</v>
          </cell>
          <cell r="D333" t="str">
            <v>紅き執行者</v>
          </cell>
          <cell r="E333" t="str">
            <v>ドロップイベント1-1</v>
          </cell>
          <cell r="F333">
            <v>2</v>
          </cell>
          <cell r="G333" t="str">
            <v>ja</v>
          </cell>
          <cell r="H333" t="str">
            <v>【中級】紅き執行者</v>
          </cell>
          <cell r="I333" t="str">
            <v>中級</v>
          </cell>
          <cell r="J333">
            <v>262</v>
          </cell>
          <cell r="K333">
            <v>15</v>
          </cell>
          <cell r="L333">
            <v>1200</v>
          </cell>
          <cell r="M333">
            <v>1</v>
          </cell>
          <cell r="N333">
            <v>1</v>
          </cell>
          <cell r="O333">
            <v>1</v>
          </cell>
          <cell r="P333">
            <v>1</v>
          </cell>
          <cell r="Q333">
            <v>1</v>
          </cell>
          <cell r="R333">
            <v>3</v>
          </cell>
          <cell r="S333" t="str">
            <v>none</v>
          </cell>
          <cell r="T333">
            <v>0</v>
          </cell>
          <cell r="U333" t="str">
            <v>NULL</v>
          </cell>
          <cell r="V333" t="str">
            <v>NULL</v>
          </cell>
          <cell r="W333" t="str">
            <v/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 t="str">
            <v>anytime</v>
          </cell>
          <cell r="AC333">
            <v>14</v>
          </cell>
          <cell r="AD333">
            <v>6</v>
          </cell>
          <cell r="AE333" t="str">
            <v>everyone</v>
          </cell>
        </row>
        <row r="334">
          <cell r="A334" t="str">
            <v>20001_3</v>
          </cell>
          <cell r="B334">
            <v>3</v>
          </cell>
          <cell r="C334">
            <v>20001</v>
          </cell>
          <cell r="D334" t="str">
            <v>紅き執行者</v>
          </cell>
          <cell r="E334" t="str">
            <v>ドロップイベント1-1</v>
          </cell>
          <cell r="F334">
            <v>3</v>
          </cell>
          <cell r="G334" t="str">
            <v>ja</v>
          </cell>
          <cell r="H334" t="str">
            <v xml:space="preserve">【上級】紅き執行者 </v>
          </cell>
          <cell r="I334" t="str">
            <v>上級</v>
          </cell>
          <cell r="J334">
            <v>263</v>
          </cell>
          <cell r="K334">
            <v>20</v>
          </cell>
          <cell r="L334">
            <v>2000</v>
          </cell>
          <cell r="M334">
            <v>1</v>
          </cell>
          <cell r="N334">
            <v>1</v>
          </cell>
          <cell r="O334">
            <v>1</v>
          </cell>
          <cell r="P334">
            <v>1</v>
          </cell>
          <cell r="Q334">
            <v>1</v>
          </cell>
          <cell r="R334">
            <v>3</v>
          </cell>
          <cell r="S334" t="str">
            <v>polygon</v>
          </cell>
          <cell r="T334">
            <v>1</v>
          </cell>
          <cell r="U334" t="str">
            <v>NULL</v>
          </cell>
          <cell r="V334" t="str">
            <v>NULL</v>
          </cell>
          <cell r="W334" t="str">
            <v/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 t="str">
            <v>anytime</v>
          </cell>
          <cell r="AC334">
            <v>14</v>
          </cell>
          <cell r="AD334">
            <v>6</v>
          </cell>
          <cell r="AE334" t="str">
            <v>everyone</v>
          </cell>
        </row>
        <row r="335">
          <cell r="A335" t="str">
            <v>20002_1</v>
          </cell>
          <cell r="B335">
            <v>3</v>
          </cell>
          <cell r="C335">
            <v>20002</v>
          </cell>
          <cell r="D335" t="str">
            <v>孤高の一角獣</v>
          </cell>
          <cell r="E335" t="str">
            <v>ドロップイベント1-2</v>
          </cell>
          <cell r="F335">
            <v>1</v>
          </cell>
          <cell r="G335" t="str">
            <v>ja</v>
          </cell>
          <cell r="H335" t="str">
            <v>【初級】孤高の一角獣(ハートなし)</v>
          </cell>
          <cell r="I335" t="str">
            <v>初級</v>
          </cell>
          <cell r="J335">
            <v>264</v>
          </cell>
          <cell r="K335">
            <v>8</v>
          </cell>
          <cell r="L335">
            <v>384</v>
          </cell>
          <cell r="M335">
            <v>1</v>
          </cell>
          <cell r="N335">
            <v>1</v>
          </cell>
          <cell r="O335">
            <v>1</v>
          </cell>
          <cell r="P335">
            <v>1</v>
          </cell>
          <cell r="Q335">
            <v>0</v>
          </cell>
          <cell r="R335">
            <v>3</v>
          </cell>
          <cell r="S335" t="str">
            <v>none</v>
          </cell>
          <cell r="T335">
            <v>0</v>
          </cell>
          <cell r="U335" t="str">
            <v>NULL</v>
          </cell>
          <cell r="V335" t="str">
            <v>NULL</v>
          </cell>
          <cell r="W335" t="str">
            <v/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 t="str">
            <v>anytime</v>
          </cell>
          <cell r="AC335">
            <v>19</v>
          </cell>
          <cell r="AD335">
            <v>6</v>
          </cell>
          <cell r="AE335" t="str">
            <v>everyone</v>
          </cell>
        </row>
        <row r="336">
          <cell r="A336" t="str">
            <v>20002_2</v>
          </cell>
          <cell r="B336">
            <v>3</v>
          </cell>
          <cell r="C336">
            <v>20002</v>
          </cell>
          <cell r="D336" t="str">
            <v>孤高の一角獣</v>
          </cell>
          <cell r="E336" t="str">
            <v>ドロップイベント1-2</v>
          </cell>
          <cell r="F336">
            <v>2</v>
          </cell>
          <cell r="G336" t="str">
            <v>ja</v>
          </cell>
          <cell r="H336" t="str">
            <v>【中級】孤高の一角獣(ハートなし)</v>
          </cell>
          <cell r="I336" t="str">
            <v>中級</v>
          </cell>
          <cell r="J336">
            <v>264</v>
          </cell>
          <cell r="K336">
            <v>15</v>
          </cell>
          <cell r="L336">
            <v>1200</v>
          </cell>
          <cell r="M336">
            <v>1</v>
          </cell>
          <cell r="N336">
            <v>1</v>
          </cell>
          <cell r="O336">
            <v>1</v>
          </cell>
          <cell r="P336">
            <v>1</v>
          </cell>
          <cell r="Q336">
            <v>0</v>
          </cell>
          <cell r="R336">
            <v>3</v>
          </cell>
          <cell r="S336" t="str">
            <v>none</v>
          </cell>
          <cell r="T336">
            <v>0</v>
          </cell>
          <cell r="U336" t="str">
            <v>NULL</v>
          </cell>
          <cell r="V336" t="str">
            <v>NULL</v>
          </cell>
          <cell r="W336" t="str">
            <v/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 t="str">
            <v>anytime</v>
          </cell>
          <cell r="AC336">
            <v>19</v>
          </cell>
          <cell r="AD336">
            <v>6</v>
          </cell>
          <cell r="AE336" t="str">
            <v>everyone</v>
          </cell>
        </row>
        <row r="337">
          <cell r="A337" t="str">
            <v>20002_3</v>
          </cell>
          <cell r="B337">
            <v>3</v>
          </cell>
          <cell r="C337">
            <v>20002</v>
          </cell>
          <cell r="D337" t="str">
            <v>孤高の一角獣</v>
          </cell>
          <cell r="E337" t="str">
            <v>ドロップイベント1-2</v>
          </cell>
          <cell r="F337">
            <v>3</v>
          </cell>
          <cell r="G337" t="str">
            <v>ja</v>
          </cell>
          <cell r="H337" t="str">
            <v>【上級】孤高の一角獣(ハートなし)</v>
          </cell>
          <cell r="I337" t="str">
            <v>上級</v>
          </cell>
          <cell r="J337">
            <v>265</v>
          </cell>
          <cell r="K337">
            <v>20</v>
          </cell>
          <cell r="L337">
            <v>2000</v>
          </cell>
          <cell r="M337">
            <v>1</v>
          </cell>
          <cell r="N337">
            <v>1</v>
          </cell>
          <cell r="O337">
            <v>1</v>
          </cell>
          <cell r="P337">
            <v>1</v>
          </cell>
          <cell r="Q337">
            <v>0</v>
          </cell>
          <cell r="R337">
            <v>3</v>
          </cell>
          <cell r="S337" t="str">
            <v>polygon</v>
          </cell>
          <cell r="T337">
            <v>1</v>
          </cell>
          <cell r="U337" t="str">
            <v>NULL</v>
          </cell>
          <cell r="V337" t="str">
            <v>NULL</v>
          </cell>
          <cell r="W337" t="str">
            <v/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 t="str">
            <v>anytime</v>
          </cell>
          <cell r="AC337">
            <v>19</v>
          </cell>
          <cell r="AD337">
            <v>6</v>
          </cell>
          <cell r="AE337" t="str">
            <v>everyone</v>
          </cell>
        </row>
        <row r="338">
          <cell r="A338" t="str">
            <v>20003_1</v>
          </cell>
          <cell r="B338">
            <v>3</v>
          </cell>
          <cell r="C338">
            <v>20003</v>
          </cell>
          <cell r="D338" t="str">
            <v>忍び寄る短剣</v>
          </cell>
          <cell r="E338" t="str">
            <v>ドロップイベント1-3</v>
          </cell>
          <cell r="F338">
            <v>1</v>
          </cell>
          <cell r="G338" t="str">
            <v>ja</v>
          </cell>
          <cell r="H338" t="str">
            <v xml:space="preserve">【初級】忍び寄る短剣 </v>
          </cell>
          <cell r="I338" t="str">
            <v>初級</v>
          </cell>
          <cell r="J338">
            <v>266</v>
          </cell>
          <cell r="K338">
            <v>8</v>
          </cell>
          <cell r="L338">
            <v>384</v>
          </cell>
          <cell r="M338">
            <v>1</v>
          </cell>
          <cell r="N338">
            <v>1</v>
          </cell>
          <cell r="O338">
            <v>1</v>
          </cell>
          <cell r="P338">
            <v>1</v>
          </cell>
          <cell r="Q338">
            <v>1</v>
          </cell>
          <cell r="R338">
            <v>3</v>
          </cell>
          <cell r="S338" t="str">
            <v>none</v>
          </cell>
          <cell r="T338">
            <v>0</v>
          </cell>
          <cell r="U338" t="str">
            <v>NULL</v>
          </cell>
          <cell r="V338" t="str">
            <v>NULL</v>
          </cell>
          <cell r="W338" t="str">
            <v/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 t="str">
            <v>anytime</v>
          </cell>
          <cell r="AC338">
            <v>11</v>
          </cell>
          <cell r="AD338">
            <v>6</v>
          </cell>
          <cell r="AE338" t="str">
            <v>everyone</v>
          </cell>
        </row>
        <row r="339">
          <cell r="A339" t="str">
            <v>20003_2</v>
          </cell>
          <cell r="B339">
            <v>3</v>
          </cell>
          <cell r="C339">
            <v>20003</v>
          </cell>
          <cell r="D339" t="str">
            <v>忍び寄る短剣</v>
          </cell>
          <cell r="E339" t="str">
            <v>ドロップイベント1-3</v>
          </cell>
          <cell r="F339">
            <v>2</v>
          </cell>
          <cell r="G339" t="str">
            <v>ja</v>
          </cell>
          <cell r="H339" t="str">
            <v xml:space="preserve">【中級】忍び寄る短剣 </v>
          </cell>
          <cell r="I339" t="str">
            <v>中級</v>
          </cell>
          <cell r="J339">
            <v>266</v>
          </cell>
          <cell r="K339">
            <v>15</v>
          </cell>
          <cell r="L339">
            <v>1200</v>
          </cell>
          <cell r="M339">
            <v>1</v>
          </cell>
          <cell r="N339">
            <v>1</v>
          </cell>
          <cell r="O339">
            <v>1</v>
          </cell>
          <cell r="P339">
            <v>1</v>
          </cell>
          <cell r="Q339">
            <v>1</v>
          </cell>
          <cell r="R339">
            <v>3</v>
          </cell>
          <cell r="S339" t="str">
            <v>none</v>
          </cell>
          <cell r="T339">
            <v>0</v>
          </cell>
          <cell r="U339" t="str">
            <v>NULL</v>
          </cell>
          <cell r="V339" t="str">
            <v>NULL</v>
          </cell>
          <cell r="W339" t="str">
            <v/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 t="str">
            <v>anytime</v>
          </cell>
          <cell r="AC339">
            <v>11</v>
          </cell>
          <cell r="AD339">
            <v>6</v>
          </cell>
          <cell r="AE339" t="str">
            <v>everyone</v>
          </cell>
        </row>
        <row r="340">
          <cell r="A340" t="str">
            <v>20003_3</v>
          </cell>
          <cell r="B340">
            <v>3</v>
          </cell>
          <cell r="C340">
            <v>20003</v>
          </cell>
          <cell r="D340" t="str">
            <v>忍び寄る短剣</v>
          </cell>
          <cell r="E340" t="str">
            <v>ドロップイベント1-3</v>
          </cell>
          <cell r="F340">
            <v>3</v>
          </cell>
          <cell r="G340" t="str">
            <v>ja</v>
          </cell>
          <cell r="H340" t="str">
            <v xml:space="preserve">【上級】忍び寄る短剣 </v>
          </cell>
          <cell r="I340" t="str">
            <v>上級</v>
          </cell>
          <cell r="J340">
            <v>267</v>
          </cell>
          <cell r="K340">
            <v>20</v>
          </cell>
          <cell r="L340">
            <v>2000</v>
          </cell>
          <cell r="M340">
            <v>1</v>
          </cell>
          <cell r="N340">
            <v>1</v>
          </cell>
          <cell r="O340">
            <v>1</v>
          </cell>
          <cell r="P340">
            <v>1</v>
          </cell>
          <cell r="Q340">
            <v>1</v>
          </cell>
          <cell r="R340">
            <v>3</v>
          </cell>
          <cell r="S340" t="str">
            <v>polygon</v>
          </cell>
          <cell r="T340">
            <v>1</v>
          </cell>
          <cell r="U340" t="str">
            <v>NULL</v>
          </cell>
          <cell r="V340" t="str">
            <v>NULL</v>
          </cell>
          <cell r="W340" t="str">
            <v/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 t="str">
            <v>anytime</v>
          </cell>
          <cell r="AC340">
            <v>11</v>
          </cell>
          <cell r="AD340">
            <v>6</v>
          </cell>
          <cell r="AE340" t="str">
            <v>everyone</v>
          </cell>
        </row>
        <row r="341">
          <cell r="A341" t="str">
            <v>20004_1</v>
          </cell>
          <cell r="B341">
            <v>3</v>
          </cell>
          <cell r="C341">
            <v>20004</v>
          </cell>
          <cell r="D341" t="str">
            <v>雷雲からの刺客</v>
          </cell>
          <cell r="E341" t="str">
            <v>ドロップイベント1-4</v>
          </cell>
          <cell r="F341">
            <v>1</v>
          </cell>
          <cell r="G341" t="str">
            <v>ja</v>
          </cell>
          <cell r="H341" t="str">
            <v>【初級】雷雲からの刺客(ハートなし)</v>
          </cell>
          <cell r="I341" t="str">
            <v>初級</v>
          </cell>
          <cell r="J341">
            <v>268</v>
          </cell>
          <cell r="K341">
            <v>8</v>
          </cell>
          <cell r="L341">
            <v>384</v>
          </cell>
          <cell r="M341">
            <v>1</v>
          </cell>
          <cell r="N341">
            <v>1</v>
          </cell>
          <cell r="O341">
            <v>1</v>
          </cell>
          <cell r="P341">
            <v>1</v>
          </cell>
          <cell r="Q341">
            <v>0</v>
          </cell>
          <cell r="R341">
            <v>3</v>
          </cell>
          <cell r="S341" t="str">
            <v>none</v>
          </cell>
          <cell r="T341">
            <v>0</v>
          </cell>
          <cell r="U341" t="str">
            <v>NULL</v>
          </cell>
          <cell r="V341" t="str">
            <v>NULL</v>
          </cell>
          <cell r="W341" t="str">
            <v/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 t="str">
            <v>anytime</v>
          </cell>
          <cell r="AC341">
            <v>4</v>
          </cell>
          <cell r="AD341">
            <v>6</v>
          </cell>
          <cell r="AE341" t="str">
            <v>everyone</v>
          </cell>
        </row>
        <row r="342">
          <cell r="A342" t="str">
            <v>20004_2</v>
          </cell>
          <cell r="B342">
            <v>3</v>
          </cell>
          <cell r="C342">
            <v>20004</v>
          </cell>
          <cell r="D342" t="str">
            <v>雷雲からの刺客</v>
          </cell>
          <cell r="E342" t="str">
            <v>ドロップイベント1-4</v>
          </cell>
          <cell r="F342">
            <v>2</v>
          </cell>
          <cell r="G342" t="str">
            <v>ja</v>
          </cell>
          <cell r="H342" t="str">
            <v>【中級】雷雲からの刺客(ハートなし)</v>
          </cell>
          <cell r="I342" t="str">
            <v>中級</v>
          </cell>
          <cell r="J342">
            <v>268</v>
          </cell>
          <cell r="K342">
            <v>15</v>
          </cell>
          <cell r="L342">
            <v>1200</v>
          </cell>
          <cell r="M342">
            <v>1</v>
          </cell>
          <cell r="N342">
            <v>1</v>
          </cell>
          <cell r="O342">
            <v>1</v>
          </cell>
          <cell r="P342">
            <v>1</v>
          </cell>
          <cell r="Q342">
            <v>0</v>
          </cell>
          <cell r="R342">
            <v>3</v>
          </cell>
          <cell r="S342" t="str">
            <v>none</v>
          </cell>
          <cell r="T342">
            <v>0</v>
          </cell>
          <cell r="U342" t="str">
            <v>NULL</v>
          </cell>
          <cell r="V342" t="str">
            <v>NULL</v>
          </cell>
          <cell r="W342" t="str">
            <v/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 t="str">
            <v>anytime</v>
          </cell>
          <cell r="AC342">
            <v>4</v>
          </cell>
          <cell r="AD342">
            <v>6</v>
          </cell>
          <cell r="AE342" t="str">
            <v>everyone</v>
          </cell>
        </row>
        <row r="343">
          <cell r="A343" t="str">
            <v>20004_3</v>
          </cell>
          <cell r="B343">
            <v>3</v>
          </cell>
          <cell r="C343">
            <v>20004</v>
          </cell>
          <cell r="D343" t="str">
            <v>雷雲からの刺客</v>
          </cell>
          <cell r="E343" t="str">
            <v>ドロップイベント1-4</v>
          </cell>
          <cell r="F343">
            <v>3</v>
          </cell>
          <cell r="G343" t="str">
            <v>ja</v>
          </cell>
          <cell r="H343" t="str">
            <v>【上級】雷雲からの刺客(ハートなし)</v>
          </cell>
          <cell r="I343" t="str">
            <v>上級</v>
          </cell>
          <cell r="J343">
            <v>269</v>
          </cell>
          <cell r="K343">
            <v>20</v>
          </cell>
          <cell r="L343">
            <v>2000</v>
          </cell>
          <cell r="M343">
            <v>1</v>
          </cell>
          <cell r="N343">
            <v>1</v>
          </cell>
          <cell r="O343">
            <v>1</v>
          </cell>
          <cell r="P343">
            <v>1</v>
          </cell>
          <cell r="Q343">
            <v>0</v>
          </cell>
          <cell r="R343">
            <v>3</v>
          </cell>
          <cell r="S343" t="str">
            <v>polygon</v>
          </cell>
          <cell r="T343">
            <v>1</v>
          </cell>
          <cell r="U343" t="str">
            <v>NULL</v>
          </cell>
          <cell r="V343" t="str">
            <v>NULL</v>
          </cell>
          <cell r="W343" t="str">
            <v/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 t="str">
            <v>anytime</v>
          </cell>
          <cell r="AC343">
            <v>4</v>
          </cell>
          <cell r="AD343">
            <v>6</v>
          </cell>
          <cell r="AE343" t="str">
            <v>everyone</v>
          </cell>
        </row>
        <row r="344">
          <cell r="A344" t="str">
            <v>20005_1</v>
          </cell>
          <cell r="B344">
            <v>3</v>
          </cell>
          <cell r="C344">
            <v>20005</v>
          </cell>
          <cell r="D344" t="str">
            <v>ザ・キャノン</v>
          </cell>
          <cell r="E344" t="str">
            <v>ドロップイベント2-2</v>
          </cell>
          <cell r="F344">
            <v>1</v>
          </cell>
          <cell r="G344" t="str">
            <v>ja</v>
          </cell>
          <cell r="H344" t="str">
            <v>【初級】ザ・キャノン(4タップ）</v>
          </cell>
          <cell r="I344" t="str">
            <v>初級</v>
          </cell>
          <cell r="J344">
            <v>286</v>
          </cell>
          <cell r="K344">
            <v>8</v>
          </cell>
          <cell r="L344">
            <v>384</v>
          </cell>
          <cell r="M344">
            <v>1</v>
          </cell>
          <cell r="N344">
            <v>1</v>
          </cell>
          <cell r="O344">
            <v>1</v>
          </cell>
          <cell r="P344">
            <v>1</v>
          </cell>
          <cell r="Q344">
            <v>1</v>
          </cell>
          <cell r="R344">
            <v>4</v>
          </cell>
          <cell r="S344" t="str">
            <v>none</v>
          </cell>
          <cell r="T344">
            <v>0</v>
          </cell>
          <cell r="U344" t="str">
            <v>NULL</v>
          </cell>
          <cell r="V344" t="str">
            <v>NULL</v>
          </cell>
          <cell r="W344" t="str">
            <v/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 t="str">
            <v>anytime</v>
          </cell>
          <cell r="AC344">
            <v>14</v>
          </cell>
          <cell r="AD344">
            <v>6</v>
          </cell>
          <cell r="AE344" t="str">
            <v>everyone</v>
          </cell>
        </row>
        <row r="345">
          <cell r="A345" t="str">
            <v>20005_2</v>
          </cell>
          <cell r="B345">
            <v>3</v>
          </cell>
          <cell r="C345">
            <v>20005</v>
          </cell>
          <cell r="D345" t="str">
            <v>ザ・キャノン</v>
          </cell>
          <cell r="E345" t="str">
            <v>ドロップイベント2-2</v>
          </cell>
          <cell r="F345">
            <v>2</v>
          </cell>
          <cell r="G345" t="str">
            <v>ja</v>
          </cell>
          <cell r="H345" t="str">
            <v>【中級】ザ・キャノン(4タップ)</v>
          </cell>
          <cell r="I345" t="str">
            <v>中級</v>
          </cell>
          <cell r="J345">
            <v>286</v>
          </cell>
          <cell r="K345">
            <v>15</v>
          </cell>
          <cell r="L345">
            <v>1200</v>
          </cell>
          <cell r="M345">
            <v>1</v>
          </cell>
          <cell r="N345">
            <v>1</v>
          </cell>
          <cell r="O345">
            <v>1</v>
          </cell>
          <cell r="P345">
            <v>1</v>
          </cell>
          <cell r="Q345">
            <v>1</v>
          </cell>
          <cell r="R345">
            <v>4</v>
          </cell>
          <cell r="S345" t="str">
            <v>none</v>
          </cell>
          <cell r="T345">
            <v>0</v>
          </cell>
          <cell r="U345" t="str">
            <v>NULL</v>
          </cell>
          <cell r="V345" t="str">
            <v>NULL</v>
          </cell>
          <cell r="W345" t="str">
            <v/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 t="str">
            <v>anytime</v>
          </cell>
          <cell r="AC345">
            <v>14</v>
          </cell>
          <cell r="AD345">
            <v>6</v>
          </cell>
          <cell r="AE345" t="str">
            <v>everyone</v>
          </cell>
        </row>
        <row r="346">
          <cell r="A346" t="str">
            <v>20005_3</v>
          </cell>
          <cell r="B346">
            <v>3</v>
          </cell>
          <cell r="C346">
            <v>20005</v>
          </cell>
          <cell r="D346" t="str">
            <v>ザ・キャノン</v>
          </cell>
          <cell r="E346" t="str">
            <v>ドロップイベント2-2</v>
          </cell>
          <cell r="F346">
            <v>3</v>
          </cell>
          <cell r="G346" t="str">
            <v>ja</v>
          </cell>
          <cell r="H346" t="str">
            <v>【上級】ザ・キャノン(4タップ)</v>
          </cell>
          <cell r="I346" t="str">
            <v>上級</v>
          </cell>
          <cell r="J346">
            <v>287</v>
          </cell>
          <cell r="K346">
            <v>20</v>
          </cell>
          <cell r="L346">
            <v>2000</v>
          </cell>
          <cell r="M346">
            <v>1</v>
          </cell>
          <cell r="N346">
            <v>1</v>
          </cell>
          <cell r="O346">
            <v>1</v>
          </cell>
          <cell r="P346">
            <v>1</v>
          </cell>
          <cell r="Q346">
            <v>1</v>
          </cell>
          <cell r="R346">
            <v>4</v>
          </cell>
          <cell r="S346" t="str">
            <v>polygon</v>
          </cell>
          <cell r="T346">
            <v>1</v>
          </cell>
          <cell r="U346" t="str">
            <v>NULL</v>
          </cell>
          <cell r="V346" t="str">
            <v>NULL</v>
          </cell>
          <cell r="W346" t="str">
            <v/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 t="str">
            <v>anytime</v>
          </cell>
          <cell r="AC346">
            <v>14</v>
          </cell>
          <cell r="AD346">
            <v>6</v>
          </cell>
          <cell r="AE346" t="str">
            <v>everyone</v>
          </cell>
        </row>
        <row r="347">
          <cell r="A347" t="str">
            <v>20006_1</v>
          </cell>
          <cell r="B347">
            <v>3</v>
          </cell>
          <cell r="C347">
            <v>20006</v>
          </cell>
          <cell r="D347" t="str">
            <v>スチール・プレデター</v>
          </cell>
          <cell r="E347" t="str">
            <v>ドロップイベント2-3</v>
          </cell>
          <cell r="F347">
            <v>1</v>
          </cell>
          <cell r="G347" t="str">
            <v>ja</v>
          </cell>
          <cell r="H347" t="str">
            <v>【初級】スチール・プレデター</v>
          </cell>
          <cell r="I347" t="str">
            <v>初級</v>
          </cell>
          <cell r="J347">
            <v>280</v>
          </cell>
          <cell r="K347">
            <v>8</v>
          </cell>
          <cell r="L347">
            <v>384</v>
          </cell>
          <cell r="M347">
            <v>1</v>
          </cell>
          <cell r="N347">
            <v>1</v>
          </cell>
          <cell r="O347">
            <v>1</v>
          </cell>
          <cell r="P347">
            <v>1</v>
          </cell>
          <cell r="Q347">
            <v>1</v>
          </cell>
          <cell r="R347">
            <v>2</v>
          </cell>
          <cell r="S347" t="str">
            <v>none</v>
          </cell>
          <cell r="T347">
            <v>0</v>
          </cell>
          <cell r="U347" t="str">
            <v>NULL</v>
          </cell>
          <cell r="V347" t="str">
            <v>NULL</v>
          </cell>
          <cell r="W347" t="str">
            <v/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 t="str">
            <v>anytime</v>
          </cell>
          <cell r="AC347">
            <v>19</v>
          </cell>
          <cell r="AD347">
            <v>6</v>
          </cell>
          <cell r="AE347" t="str">
            <v>everyone</v>
          </cell>
        </row>
        <row r="348">
          <cell r="A348" t="str">
            <v>20006_2</v>
          </cell>
          <cell r="B348">
            <v>3</v>
          </cell>
          <cell r="C348">
            <v>20006</v>
          </cell>
          <cell r="D348" t="str">
            <v>スチール・プレデター</v>
          </cell>
          <cell r="E348" t="str">
            <v>ドロップイベント2-3</v>
          </cell>
          <cell r="F348">
            <v>2</v>
          </cell>
          <cell r="G348" t="str">
            <v>ja</v>
          </cell>
          <cell r="H348" t="str">
            <v>【中級】スチール・プレデター</v>
          </cell>
          <cell r="I348" t="str">
            <v>中級</v>
          </cell>
          <cell r="J348">
            <v>280</v>
          </cell>
          <cell r="K348">
            <v>15</v>
          </cell>
          <cell r="L348">
            <v>1200</v>
          </cell>
          <cell r="M348">
            <v>1</v>
          </cell>
          <cell r="N348">
            <v>1</v>
          </cell>
          <cell r="O348">
            <v>1</v>
          </cell>
          <cell r="P348">
            <v>1</v>
          </cell>
          <cell r="Q348">
            <v>1</v>
          </cell>
          <cell r="R348">
            <v>2</v>
          </cell>
          <cell r="S348" t="str">
            <v>none</v>
          </cell>
          <cell r="T348">
            <v>0</v>
          </cell>
          <cell r="U348" t="str">
            <v>NULL</v>
          </cell>
          <cell r="V348" t="str">
            <v>NULL</v>
          </cell>
          <cell r="W348" t="str">
            <v/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 t="str">
            <v>anytime</v>
          </cell>
          <cell r="AC348">
            <v>19</v>
          </cell>
          <cell r="AD348">
            <v>6</v>
          </cell>
          <cell r="AE348" t="str">
            <v>everyone</v>
          </cell>
        </row>
        <row r="349">
          <cell r="A349" t="str">
            <v>20006_3</v>
          </cell>
          <cell r="B349">
            <v>3</v>
          </cell>
          <cell r="C349">
            <v>20006</v>
          </cell>
          <cell r="D349" t="str">
            <v>スチール・プレデター</v>
          </cell>
          <cell r="E349" t="str">
            <v>ドロップイベント2-3</v>
          </cell>
          <cell r="F349">
            <v>3</v>
          </cell>
          <cell r="G349" t="str">
            <v>ja</v>
          </cell>
          <cell r="H349" t="str">
            <v>【上級】スチール・プレデター</v>
          </cell>
          <cell r="I349" t="str">
            <v>上級</v>
          </cell>
          <cell r="J349">
            <v>281</v>
          </cell>
          <cell r="K349">
            <v>20</v>
          </cell>
          <cell r="L349">
            <v>2000</v>
          </cell>
          <cell r="M349">
            <v>1</v>
          </cell>
          <cell r="N349">
            <v>1</v>
          </cell>
          <cell r="O349">
            <v>1</v>
          </cell>
          <cell r="P349">
            <v>1</v>
          </cell>
          <cell r="Q349">
            <v>1</v>
          </cell>
          <cell r="R349">
            <v>2</v>
          </cell>
          <cell r="S349" t="str">
            <v>polygon</v>
          </cell>
          <cell r="T349">
            <v>1</v>
          </cell>
          <cell r="U349" t="str">
            <v>NULL</v>
          </cell>
          <cell r="V349" t="str">
            <v>NULL</v>
          </cell>
          <cell r="W349" t="str">
            <v/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 t="str">
            <v>anytime</v>
          </cell>
          <cell r="AC349">
            <v>19</v>
          </cell>
          <cell r="AD349">
            <v>6</v>
          </cell>
          <cell r="AE349" t="str">
            <v>everyone</v>
          </cell>
        </row>
        <row r="350">
          <cell r="A350" t="str">
            <v>20007_1</v>
          </cell>
          <cell r="B350">
            <v>3</v>
          </cell>
          <cell r="C350">
            <v>20007</v>
          </cell>
          <cell r="D350" t="str">
            <v>女王陛下の処刑龍</v>
          </cell>
          <cell r="E350" t="str">
            <v>ドロップイベント2-1</v>
          </cell>
          <cell r="F350">
            <v>1</v>
          </cell>
          <cell r="G350" t="str">
            <v>ja</v>
          </cell>
          <cell r="H350" t="str">
            <v>【初級】女王陛下の処刑龍(4タップ)</v>
          </cell>
          <cell r="I350" t="str">
            <v>初級</v>
          </cell>
          <cell r="J350">
            <v>282</v>
          </cell>
          <cell r="K350">
            <v>8</v>
          </cell>
          <cell r="L350">
            <v>384</v>
          </cell>
          <cell r="M350">
            <v>1</v>
          </cell>
          <cell r="N350">
            <v>1</v>
          </cell>
          <cell r="O350">
            <v>1</v>
          </cell>
          <cell r="P350">
            <v>1</v>
          </cell>
          <cell r="Q350">
            <v>1</v>
          </cell>
          <cell r="R350">
            <v>4</v>
          </cell>
          <cell r="S350" t="str">
            <v>none</v>
          </cell>
          <cell r="T350">
            <v>0</v>
          </cell>
          <cell r="U350" t="str">
            <v>NULL</v>
          </cell>
          <cell r="V350" t="str">
            <v>NULL</v>
          </cell>
          <cell r="W350" t="str">
            <v/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 t="str">
            <v>anytime</v>
          </cell>
          <cell r="AC350">
            <v>17</v>
          </cell>
          <cell r="AD350">
            <v>6</v>
          </cell>
          <cell r="AE350" t="str">
            <v>everyone</v>
          </cell>
        </row>
        <row r="351">
          <cell r="A351" t="str">
            <v>20007_2</v>
          </cell>
          <cell r="B351">
            <v>3</v>
          </cell>
          <cell r="C351">
            <v>20007</v>
          </cell>
          <cell r="D351" t="str">
            <v>女王陛下の処刑龍</v>
          </cell>
          <cell r="E351" t="str">
            <v>ドロップイベント2-1</v>
          </cell>
          <cell r="F351">
            <v>2</v>
          </cell>
          <cell r="G351" t="str">
            <v>ja</v>
          </cell>
          <cell r="H351" t="str">
            <v>【中級】女王陛下の処刑龍(4タップ)</v>
          </cell>
          <cell r="I351" t="str">
            <v>中級</v>
          </cell>
          <cell r="J351">
            <v>282</v>
          </cell>
          <cell r="K351">
            <v>15</v>
          </cell>
          <cell r="L351">
            <v>1200</v>
          </cell>
          <cell r="M351">
            <v>1</v>
          </cell>
          <cell r="N351">
            <v>1</v>
          </cell>
          <cell r="O351">
            <v>1</v>
          </cell>
          <cell r="P351">
            <v>1</v>
          </cell>
          <cell r="Q351">
            <v>1</v>
          </cell>
          <cell r="R351">
            <v>4</v>
          </cell>
          <cell r="S351" t="str">
            <v>none</v>
          </cell>
          <cell r="T351">
            <v>0</v>
          </cell>
          <cell r="U351" t="str">
            <v>NULL</v>
          </cell>
          <cell r="V351" t="str">
            <v>NULL</v>
          </cell>
          <cell r="W351" t="str">
            <v/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 t="str">
            <v>anytime</v>
          </cell>
          <cell r="AC351">
            <v>17</v>
          </cell>
          <cell r="AD351">
            <v>6</v>
          </cell>
          <cell r="AE351" t="str">
            <v>everyone</v>
          </cell>
        </row>
        <row r="352">
          <cell r="A352" t="str">
            <v>20007_3</v>
          </cell>
          <cell r="B352">
            <v>3</v>
          </cell>
          <cell r="C352">
            <v>20007</v>
          </cell>
          <cell r="D352" t="str">
            <v>女王陛下の処刑龍</v>
          </cell>
          <cell r="E352" t="str">
            <v>ドロップイベント2-1</v>
          </cell>
          <cell r="F352">
            <v>3</v>
          </cell>
          <cell r="G352" t="str">
            <v>ja</v>
          </cell>
          <cell r="H352" t="str">
            <v>【上級】女王陛下の処刑龍(4タップ)</v>
          </cell>
          <cell r="I352" t="str">
            <v>上級</v>
          </cell>
          <cell r="J352">
            <v>283</v>
          </cell>
          <cell r="K352">
            <v>20</v>
          </cell>
          <cell r="L352">
            <v>2000</v>
          </cell>
          <cell r="M352">
            <v>1</v>
          </cell>
          <cell r="N352">
            <v>1</v>
          </cell>
          <cell r="O352">
            <v>1</v>
          </cell>
          <cell r="P352">
            <v>1</v>
          </cell>
          <cell r="Q352">
            <v>1</v>
          </cell>
          <cell r="R352">
            <v>4</v>
          </cell>
          <cell r="S352" t="str">
            <v>polygon</v>
          </cell>
          <cell r="T352">
            <v>1</v>
          </cell>
          <cell r="U352" t="str">
            <v>NULL</v>
          </cell>
          <cell r="V352" t="str">
            <v>NULL</v>
          </cell>
          <cell r="W352" t="str">
            <v/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 t="str">
            <v>anytime</v>
          </cell>
          <cell r="AC352">
            <v>17</v>
          </cell>
          <cell r="AD352">
            <v>6</v>
          </cell>
          <cell r="AE352" t="str">
            <v>everyone</v>
          </cell>
        </row>
        <row r="353">
          <cell r="A353" t="str">
            <v>20008_1</v>
          </cell>
          <cell r="B353">
            <v>3</v>
          </cell>
          <cell r="C353">
            <v>20008</v>
          </cell>
          <cell r="D353" t="str">
            <v>天翔ける金轟機龍</v>
          </cell>
          <cell r="E353" t="str">
            <v>ドロップイベント2-4</v>
          </cell>
          <cell r="F353">
            <v>1</v>
          </cell>
          <cell r="G353" t="str">
            <v>ja</v>
          </cell>
          <cell r="H353" t="str">
            <v>【初級】天翔ける金轟機龍</v>
          </cell>
          <cell r="I353" t="str">
            <v>初級</v>
          </cell>
          <cell r="J353">
            <v>284</v>
          </cell>
          <cell r="K353">
            <v>8</v>
          </cell>
          <cell r="L353">
            <v>384</v>
          </cell>
          <cell r="M353">
            <v>1</v>
          </cell>
          <cell r="N353">
            <v>1</v>
          </cell>
          <cell r="O353">
            <v>1</v>
          </cell>
          <cell r="P353">
            <v>1</v>
          </cell>
          <cell r="Q353">
            <v>1</v>
          </cell>
          <cell r="R353">
            <v>3</v>
          </cell>
          <cell r="S353" t="str">
            <v>none</v>
          </cell>
          <cell r="T353">
            <v>0</v>
          </cell>
          <cell r="U353" t="str">
            <v>NULL</v>
          </cell>
          <cell r="V353" t="str">
            <v>NULL</v>
          </cell>
          <cell r="W353" t="str">
            <v/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 t="str">
            <v>anytime</v>
          </cell>
          <cell r="AC353">
            <v>8</v>
          </cell>
          <cell r="AD353">
            <v>6</v>
          </cell>
          <cell r="AE353" t="str">
            <v>everyone</v>
          </cell>
        </row>
        <row r="354">
          <cell r="A354" t="str">
            <v>20008_2</v>
          </cell>
          <cell r="B354">
            <v>3</v>
          </cell>
          <cell r="C354">
            <v>20008</v>
          </cell>
          <cell r="D354" t="str">
            <v>天翔ける金轟機龍</v>
          </cell>
          <cell r="E354" t="str">
            <v>ドロップイベント2-4</v>
          </cell>
          <cell r="F354">
            <v>2</v>
          </cell>
          <cell r="G354" t="str">
            <v>ja</v>
          </cell>
          <cell r="H354" t="str">
            <v>【中級】天翔ける金轟機龍</v>
          </cell>
          <cell r="I354" t="str">
            <v>中級</v>
          </cell>
          <cell r="J354">
            <v>284</v>
          </cell>
          <cell r="K354">
            <v>15</v>
          </cell>
          <cell r="L354">
            <v>1200</v>
          </cell>
          <cell r="M354">
            <v>1</v>
          </cell>
          <cell r="N354">
            <v>1</v>
          </cell>
          <cell r="O354">
            <v>1</v>
          </cell>
          <cell r="P354">
            <v>1</v>
          </cell>
          <cell r="Q354">
            <v>1</v>
          </cell>
          <cell r="R354">
            <v>3</v>
          </cell>
          <cell r="S354" t="str">
            <v>none</v>
          </cell>
          <cell r="T354">
            <v>0</v>
          </cell>
          <cell r="U354" t="str">
            <v>NULL</v>
          </cell>
          <cell r="V354" t="str">
            <v>NULL</v>
          </cell>
          <cell r="W354" t="str">
            <v/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 t="str">
            <v>anytime</v>
          </cell>
          <cell r="AC354">
            <v>8</v>
          </cell>
          <cell r="AD354">
            <v>6</v>
          </cell>
          <cell r="AE354" t="str">
            <v>everyone</v>
          </cell>
        </row>
        <row r="355">
          <cell r="A355" t="str">
            <v>20008_3</v>
          </cell>
          <cell r="B355">
            <v>3</v>
          </cell>
          <cell r="C355">
            <v>20008</v>
          </cell>
          <cell r="D355" t="str">
            <v>天翔ける金轟機龍</v>
          </cell>
          <cell r="E355" t="str">
            <v>ドロップイベント2-4</v>
          </cell>
          <cell r="F355">
            <v>3</v>
          </cell>
          <cell r="G355" t="str">
            <v>ja</v>
          </cell>
          <cell r="H355" t="str">
            <v>【上級】天翔ける金轟機龍</v>
          </cell>
          <cell r="I355" t="str">
            <v>上級</v>
          </cell>
          <cell r="J355">
            <v>285</v>
          </cell>
          <cell r="K355">
            <v>20</v>
          </cell>
          <cell r="L355">
            <v>2000</v>
          </cell>
          <cell r="M355">
            <v>1</v>
          </cell>
          <cell r="N355">
            <v>1</v>
          </cell>
          <cell r="O355">
            <v>1</v>
          </cell>
          <cell r="P355">
            <v>1</v>
          </cell>
          <cell r="Q355">
            <v>1</v>
          </cell>
          <cell r="R355">
            <v>3</v>
          </cell>
          <cell r="S355" t="str">
            <v>polygon</v>
          </cell>
          <cell r="T355">
            <v>1</v>
          </cell>
          <cell r="U355" t="str">
            <v>NULL</v>
          </cell>
          <cell r="V355" t="str">
            <v>NULL</v>
          </cell>
          <cell r="W355" t="str">
            <v/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 t="str">
            <v>anytime</v>
          </cell>
          <cell r="AC355">
            <v>8</v>
          </cell>
          <cell r="AD355">
            <v>6</v>
          </cell>
          <cell r="AE355" t="str">
            <v>everyone</v>
          </cell>
        </row>
        <row r="356">
          <cell r="A356" t="str">
            <v>20009_1</v>
          </cell>
          <cell r="B356">
            <v>0</v>
          </cell>
          <cell r="C356">
            <v>20009</v>
          </cell>
          <cell r="D356" t="str">
            <v>迫り来る窒息</v>
          </cell>
          <cell r="E356" t="str">
            <v>ドロップイベント3</v>
          </cell>
          <cell r="F356">
            <v>1</v>
          </cell>
          <cell r="G356" t="str">
            <v>ja</v>
          </cell>
          <cell r="H356" t="str">
            <v>【初級】迫り来る窒息</v>
          </cell>
          <cell r="I356" t="str">
            <v>初級</v>
          </cell>
          <cell r="J356" t="str">
            <v>NULL</v>
          </cell>
          <cell r="K356">
            <v>8</v>
          </cell>
          <cell r="L356">
            <v>384</v>
          </cell>
          <cell r="M356">
            <v>1</v>
          </cell>
          <cell r="N356">
            <v>1</v>
          </cell>
          <cell r="O356">
            <v>1</v>
          </cell>
          <cell r="P356">
            <v>1</v>
          </cell>
          <cell r="Q356">
            <v>1</v>
          </cell>
          <cell r="R356">
            <v>3</v>
          </cell>
          <cell r="S356" t="str">
            <v>none</v>
          </cell>
          <cell r="T356">
            <v>0</v>
          </cell>
          <cell r="U356" t="str">
            <v>NULL</v>
          </cell>
          <cell r="V356" t="str">
            <v>NULL</v>
          </cell>
          <cell r="W356" t="str">
            <v/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 t="str">
            <v>anytime</v>
          </cell>
          <cell r="AC356">
            <v>25</v>
          </cell>
          <cell r="AD356">
            <v>5</v>
          </cell>
          <cell r="AE356" t="str">
            <v>everyone</v>
          </cell>
        </row>
        <row r="357">
          <cell r="A357" t="str">
            <v>20009_2</v>
          </cell>
          <cell r="B357">
            <v>3</v>
          </cell>
          <cell r="C357">
            <v>20009</v>
          </cell>
          <cell r="D357" t="str">
            <v>迫り来る窒息</v>
          </cell>
          <cell r="E357" t="str">
            <v>ドロップイベント3</v>
          </cell>
          <cell r="F357">
            <v>2</v>
          </cell>
          <cell r="G357" t="str">
            <v>ja</v>
          </cell>
          <cell r="H357" t="str">
            <v>【中級】迫り来る窒息</v>
          </cell>
          <cell r="I357" t="str">
            <v>中級</v>
          </cell>
          <cell r="J357">
            <v>302</v>
          </cell>
          <cell r="K357">
            <v>15</v>
          </cell>
          <cell r="L357">
            <v>1200</v>
          </cell>
          <cell r="M357">
            <v>1</v>
          </cell>
          <cell r="N357">
            <v>1</v>
          </cell>
          <cell r="O357">
            <v>1</v>
          </cell>
          <cell r="P357">
            <v>1</v>
          </cell>
          <cell r="Q357">
            <v>1</v>
          </cell>
          <cell r="R357">
            <v>3</v>
          </cell>
          <cell r="S357" t="str">
            <v>none</v>
          </cell>
          <cell r="T357">
            <v>0</v>
          </cell>
          <cell r="U357" t="str">
            <v>NULL</v>
          </cell>
          <cell r="V357" t="str">
            <v>NULL</v>
          </cell>
          <cell r="W357" t="str">
            <v/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 t="str">
            <v>anytime</v>
          </cell>
          <cell r="AC357">
            <v>25</v>
          </cell>
          <cell r="AD357">
            <v>5</v>
          </cell>
          <cell r="AE357" t="str">
            <v>everyone</v>
          </cell>
        </row>
        <row r="358">
          <cell r="A358" t="str">
            <v>20009_3</v>
          </cell>
          <cell r="B358">
            <v>3</v>
          </cell>
          <cell r="C358">
            <v>20009</v>
          </cell>
          <cell r="D358" t="str">
            <v>迫り来る窒息</v>
          </cell>
          <cell r="E358" t="str">
            <v>ドロップイベント3</v>
          </cell>
          <cell r="F358">
            <v>3</v>
          </cell>
          <cell r="G358" t="str">
            <v>ja</v>
          </cell>
          <cell r="H358" t="str">
            <v>【上級】迫り来る窒息</v>
          </cell>
          <cell r="I358" t="str">
            <v>上級</v>
          </cell>
          <cell r="J358">
            <v>303</v>
          </cell>
          <cell r="K358">
            <v>20</v>
          </cell>
          <cell r="L358">
            <v>2000</v>
          </cell>
          <cell r="M358">
            <v>1</v>
          </cell>
          <cell r="N358">
            <v>1</v>
          </cell>
          <cell r="O358">
            <v>1</v>
          </cell>
          <cell r="P358">
            <v>1</v>
          </cell>
          <cell r="Q358">
            <v>1</v>
          </cell>
          <cell r="R358">
            <v>3</v>
          </cell>
          <cell r="S358" t="str">
            <v>polygon</v>
          </cell>
          <cell r="T358">
            <v>1</v>
          </cell>
          <cell r="U358" t="str">
            <v>NULL</v>
          </cell>
          <cell r="V358" t="str">
            <v>NULL</v>
          </cell>
          <cell r="W358" t="str">
            <v/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 t="str">
            <v>anytime</v>
          </cell>
          <cell r="AC358">
            <v>25</v>
          </cell>
          <cell r="AD358">
            <v>5</v>
          </cell>
          <cell r="AE358" t="str">
            <v>everyone</v>
          </cell>
        </row>
        <row r="359">
          <cell r="A359" t="str">
            <v>20010_1</v>
          </cell>
          <cell r="B359">
            <v>3</v>
          </cell>
          <cell r="C359">
            <v>20010</v>
          </cell>
          <cell r="D359" t="str">
            <v>悪夢の一目惚れ</v>
          </cell>
          <cell r="E359" t="str">
            <v>ドロップイベント3</v>
          </cell>
          <cell r="F359">
            <v>1</v>
          </cell>
          <cell r="G359" t="str">
            <v>ja</v>
          </cell>
          <cell r="H359" t="str">
            <v>【初級】悪夢の一目惚れ</v>
          </cell>
          <cell r="I359" t="str">
            <v>初級</v>
          </cell>
          <cell r="J359">
            <v>304</v>
          </cell>
          <cell r="K359">
            <v>8</v>
          </cell>
          <cell r="L359">
            <v>384</v>
          </cell>
          <cell r="M359">
            <v>1</v>
          </cell>
          <cell r="N359">
            <v>1</v>
          </cell>
          <cell r="O359">
            <v>0</v>
          </cell>
          <cell r="P359">
            <v>1</v>
          </cell>
          <cell r="Q359">
            <v>1</v>
          </cell>
          <cell r="R359">
            <v>3</v>
          </cell>
          <cell r="S359" t="str">
            <v>none</v>
          </cell>
          <cell r="T359">
            <v>0</v>
          </cell>
          <cell r="U359" t="str">
            <v>NULL</v>
          </cell>
          <cell r="V359" t="str">
            <v>NULL</v>
          </cell>
          <cell r="W359" t="str">
            <v/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 t="str">
            <v>anytime</v>
          </cell>
          <cell r="AC359">
            <v>2601</v>
          </cell>
          <cell r="AD359">
            <v>6</v>
          </cell>
          <cell r="AE359" t="str">
            <v>everyone</v>
          </cell>
        </row>
        <row r="360">
          <cell r="A360" t="str">
            <v>20010_2</v>
          </cell>
          <cell r="B360">
            <v>3</v>
          </cell>
          <cell r="C360">
            <v>20010</v>
          </cell>
          <cell r="D360" t="str">
            <v>悪夢の一目惚れ</v>
          </cell>
          <cell r="E360" t="str">
            <v>ドロップイベント3</v>
          </cell>
          <cell r="F360">
            <v>2</v>
          </cell>
          <cell r="G360" t="str">
            <v>ja</v>
          </cell>
          <cell r="H360" t="str">
            <v>【中級】悪夢の一目惚れ</v>
          </cell>
          <cell r="I360" t="str">
            <v>中級</v>
          </cell>
          <cell r="J360">
            <v>304</v>
          </cell>
          <cell r="K360">
            <v>15</v>
          </cell>
          <cell r="L360">
            <v>1200</v>
          </cell>
          <cell r="M360">
            <v>1</v>
          </cell>
          <cell r="N360">
            <v>1</v>
          </cell>
          <cell r="O360">
            <v>0</v>
          </cell>
          <cell r="P360">
            <v>1</v>
          </cell>
          <cell r="Q360">
            <v>1</v>
          </cell>
          <cell r="R360">
            <v>3</v>
          </cell>
          <cell r="S360" t="str">
            <v>none</v>
          </cell>
          <cell r="T360">
            <v>0</v>
          </cell>
          <cell r="U360" t="str">
            <v>NULL</v>
          </cell>
          <cell r="V360" t="str">
            <v>NULL</v>
          </cell>
          <cell r="W360" t="str">
            <v/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 t="str">
            <v>anytime</v>
          </cell>
          <cell r="AC360">
            <v>2601</v>
          </cell>
          <cell r="AD360">
            <v>6</v>
          </cell>
          <cell r="AE360" t="str">
            <v>everyone</v>
          </cell>
        </row>
        <row r="361">
          <cell r="A361" t="str">
            <v>20010_3</v>
          </cell>
          <cell r="B361">
            <v>3</v>
          </cell>
          <cell r="C361">
            <v>20010</v>
          </cell>
          <cell r="D361" t="str">
            <v>悪夢の一目惚れ</v>
          </cell>
          <cell r="E361" t="str">
            <v>ドロップイベント3</v>
          </cell>
          <cell r="F361">
            <v>3</v>
          </cell>
          <cell r="G361" t="str">
            <v>ja</v>
          </cell>
          <cell r="H361" t="str">
            <v>【上級】悪夢の一目惚れ</v>
          </cell>
          <cell r="I361" t="str">
            <v>上級</v>
          </cell>
          <cell r="J361">
            <v>305</v>
          </cell>
          <cell r="K361">
            <v>20</v>
          </cell>
          <cell r="L361">
            <v>2000</v>
          </cell>
          <cell r="M361">
            <v>1</v>
          </cell>
          <cell r="N361">
            <v>1</v>
          </cell>
          <cell r="O361">
            <v>0</v>
          </cell>
          <cell r="P361">
            <v>1</v>
          </cell>
          <cell r="Q361">
            <v>1</v>
          </cell>
          <cell r="R361">
            <v>3</v>
          </cell>
          <cell r="S361" t="str">
            <v>polygon</v>
          </cell>
          <cell r="T361">
            <v>1</v>
          </cell>
          <cell r="U361" t="str">
            <v>NULL</v>
          </cell>
          <cell r="V361" t="str">
            <v>NULL</v>
          </cell>
          <cell r="W361" t="str">
            <v/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 t="str">
            <v>anytime</v>
          </cell>
          <cell r="AC361">
            <v>2601</v>
          </cell>
          <cell r="AD361">
            <v>6</v>
          </cell>
          <cell r="AE361" t="str">
            <v>everyone</v>
          </cell>
        </row>
        <row r="362">
          <cell r="A362" t="str">
            <v>20011_1</v>
          </cell>
          <cell r="B362">
            <v>3</v>
          </cell>
          <cell r="C362">
            <v>20011</v>
          </cell>
          <cell r="D362" t="str">
            <v>すべてが灰になる</v>
          </cell>
          <cell r="E362" t="str">
            <v>ドロップイベント3</v>
          </cell>
          <cell r="F362">
            <v>1</v>
          </cell>
          <cell r="G362" t="str">
            <v>ja</v>
          </cell>
          <cell r="H362" t="str">
            <v>【初級】すべてが灰になる</v>
          </cell>
          <cell r="I362" t="str">
            <v>初級</v>
          </cell>
          <cell r="J362">
            <v>298</v>
          </cell>
          <cell r="K362">
            <v>8</v>
          </cell>
          <cell r="L362">
            <v>384</v>
          </cell>
          <cell r="M362">
            <v>1</v>
          </cell>
          <cell r="N362">
            <v>1</v>
          </cell>
          <cell r="O362">
            <v>1</v>
          </cell>
          <cell r="P362">
            <v>1</v>
          </cell>
          <cell r="Q362">
            <v>1</v>
          </cell>
          <cell r="R362">
            <v>3</v>
          </cell>
          <cell r="S362" t="str">
            <v>none</v>
          </cell>
          <cell r="T362">
            <v>0</v>
          </cell>
          <cell r="U362" t="str">
            <v>NULL</v>
          </cell>
          <cell r="V362" t="str">
            <v>NULL</v>
          </cell>
          <cell r="W362" t="str">
            <v/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 t="str">
            <v>anytime</v>
          </cell>
          <cell r="AC362">
            <v>10</v>
          </cell>
          <cell r="AD362">
            <v>5</v>
          </cell>
          <cell r="AE362" t="str">
            <v>everyone</v>
          </cell>
        </row>
        <row r="363">
          <cell r="A363" t="str">
            <v>20011_2</v>
          </cell>
          <cell r="B363">
            <v>3</v>
          </cell>
          <cell r="C363">
            <v>20011</v>
          </cell>
          <cell r="D363" t="str">
            <v>すべてが灰になる</v>
          </cell>
          <cell r="E363" t="str">
            <v>ドロップイベント3</v>
          </cell>
          <cell r="F363">
            <v>2</v>
          </cell>
          <cell r="G363" t="str">
            <v>ja</v>
          </cell>
          <cell r="H363" t="str">
            <v>【中級】すべてが灰になる</v>
          </cell>
          <cell r="I363" t="str">
            <v>中級</v>
          </cell>
          <cell r="J363">
            <v>298</v>
          </cell>
          <cell r="K363">
            <v>15</v>
          </cell>
          <cell r="L363">
            <v>1200</v>
          </cell>
          <cell r="M363">
            <v>1</v>
          </cell>
          <cell r="N363">
            <v>1</v>
          </cell>
          <cell r="O363">
            <v>1</v>
          </cell>
          <cell r="P363">
            <v>1</v>
          </cell>
          <cell r="Q363">
            <v>1</v>
          </cell>
          <cell r="R363">
            <v>3</v>
          </cell>
          <cell r="S363" t="str">
            <v>none</v>
          </cell>
          <cell r="T363">
            <v>0</v>
          </cell>
          <cell r="U363" t="str">
            <v>NULL</v>
          </cell>
          <cell r="V363" t="str">
            <v>NULL</v>
          </cell>
          <cell r="W363" t="str">
            <v/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 t="str">
            <v>anytime</v>
          </cell>
          <cell r="AC363">
            <v>10</v>
          </cell>
          <cell r="AD363">
            <v>5</v>
          </cell>
          <cell r="AE363" t="str">
            <v>everyone</v>
          </cell>
        </row>
        <row r="364">
          <cell r="A364" t="str">
            <v>20011_3</v>
          </cell>
          <cell r="B364">
            <v>3</v>
          </cell>
          <cell r="C364">
            <v>20011</v>
          </cell>
          <cell r="D364" t="str">
            <v>すべてが灰になる</v>
          </cell>
          <cell r="E364" t="str">
            <v>ドロップイベント3</v>
          </cell>
          <cell r="F364">
            <v>3</v>
          </cell>
          <cell r="G364" t="str">
            <v>ja</v>
          </cell>
          <cell r="H364" t="str">
            <v>【上級】すべてが灰になる</v>
          </cell>
          <cell r="I364" t="str">
            <v>上級</v>
          </cell>
          <cell r="J364">
            <v>299</v>
          </cell>
          <cell r="K364">
            <v>20</v>
          </cell>
          <cell r="L364">
            <v>2000</v>
          </cell>
          <cell r="M364">
            <v>1</v>
          </cell>
          <cell r="N364">
            <v>1</v>
          </cell>
          <cell r="O364">
            <v>1</v>
          </cell>
          <cell r="P364">
            <v>1</v>
          </cell>
          <cell r="Q364">
            <v>1</v>
          </cell>
          <cell r="R364">
            <v>3</v>
          </cell>
          <cell r="S364" t="str">
            <v>polygon</v>
          </cell>
          <cell r="T364">
            <v>1</v>
          </cell>
          <cell r="U364" t="str">
            <v>NULL</v>
          </cell>
          <cell r="V364" t="str">
            <v>NULL</v>
          </cell>
          <cell r="W364" t="str">
            <v/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 t="str">
            <v>anytime</v>
          </cell>
          <cell r="AC364">
            <v>10</v>
          </cell>
          <cell r="AD364">
            <v>5</v>
          </cell>
          <cell r="AE364" t="str">
            <v>everyone</v>
          </cell>
        </row>
        <row r="365">
          <cell r="A365" t="str">
            <v>20012_1</v>
          </cell>
          <cell r="B365">
            <v>3</v>
          </cell>
          <cell r="C365">
            <v>20012</v>
          </cell>
          <cell r="D365" t="str">
            <v>罪と劇薬</v>
          </cell>
          <cell r="E365" t="str">
            <v>ドロップイベント3</v>
          </cell>
          <cell r="F365">
            <v>1</v>
          </cell>
          <cell r="G365" t="str">
            <v>ja</v>
          </cell>
          <cell r="H365" t="str">
            <v>【初級】罪と劇薬</v>
          </cell>
          <cell r="I365" t="str">
            <v>初級</v>
          </cell>
          <cell r="J365">
            <v>300</v>
          </cell>
          <cell r="K365">
            <v>8</v>
          </cell>
          <cell r="L365">
            <v>384</v>
          </cell>
          <cell r="M365">
            <v>0</v>
          </cell>
          <cell r="N365">
            <v>1</v>
          </cell>
          <cell r="O365">
            <v>1</v>
          </cell>
          <cell r="P365">
            <v>1</v>
          </cell>
          <cell r="Q365">
            <v>1</v>
          </cell>
          <cell r="R365">
            <v>3</v>
          </cell>
          <cell r="S365" t="str">
            <v>none</v>
          </cell>
          <cell r="T365">
            <v>0</v>
          </cell>
          <cell r="U365" t="str">
            <v>NULL</v>
          </cell>
          <cell r="V365" t="str">
            <v>NULL</v>
          </cell>
          <cell r="W365" t="str">
            <v/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 t="str">
            <v>anytime</v>
          </cell>
          <cell r="AC365">
            <v>19</v>
          </cell>
          <cell r="AD365">
            <v>6</v>
          </cell>
          <cell r="AE365" t="str">
            <v>everyone</v>
          </cell>
        </row>
        <row r="366">
          <cell r="A366" t="str">
            <v>20012_2</v>
          </cell>
          <cell r="B366">
            <v>3</v>
          </cell>
          <cell r="C366">
            <v>20012</v>
          </cell>
          <cell r="D366" t="str">
            <v>罪と劇薬</v>
          </cell>
          <cell r="E366" t="str">
            <v>ドロップイベント3</v>
          </cell>
          <cell r="F366">
            <v>2</v>
          </cell>
          <cell r="G366" t="str">
            <v>ja</v>
          </cell>
          <cell r="H366" t="str">
            <v>【中級】罪と劇薬</v>
          </cell>
          <cell r="I366" t="str">
            <v>中級</v>
          </cell>
          <cell r="J366">
            <v>300</v>
          </cell>
          <cell r="K366">
            <v>15</v>
          </cell>
          <cell r="L366">
            <v>1200</v>
          </cell>
          <cell r="M366">
            <v>0</v>
          </cell>
          <cell r="N366">
            <v>1</v>
          </cell>
          <cell r="O366">
            <v>1</v>
          </cell>
          <cell r="P366">
            <v>1</v>
          </cell>
          <cell r="Q366">
            <v>1</v>
          </cell>
          <cell r="R366">
            <v>3</v>
          </cell>
          <cell r="S366" t="str">
            <v>none</v>
          </cell>
          <cell r="T366">
            <v>0</v>
          </cell>
          <cell r="U366" t="str">
            <v>NULL</v>
          </cell>
          <cell r="V366" t="str">
            <v>NULL</v>
          </cell>
          <cell r="W366" t="str">
            <v/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 t="str">
            <v>anytime</v>
          </cell>
          <cell r="AC366">
            <v>19</v>
          </cell>
          <cell r="AD366">
            <v>6</v>
          </cell>
          <cell r="AE366" t="str">
            <v>everyone</v>
          </cell>
        </row>
        <row r="367">
          <cell r="A367" t="str">
            <v>20012_3</v>
          </cell>
          <cell r="B367">
            <v>3</v>
          </cell>
          <cell r="C367">
            <v>20012</v>
          </cell>
          <cell r="D367" t="str">
            <v>罪と劇薬</v>
          </cell>
          <cell r="E367" t="str">
            <v>ドロップイベント3</v>
          </cell>
          <cell r="F367">
            <v>3</v>
          </cell>
          <cell r="G367" t="str">
            <v>ja</v>
          </cell>
          <cell r="H367" t="str">
            <v>【上級】罪と劇薬</v>
          </cell>
          <cell r="I367" t="str">
            <v>上級</v>
          </cell>
          <cell r="J367">
            <v>301</v>
          </cell>
          <cell r="K367">
            <v>20</v>
          </cell>
          <cell r="L367">
            <v>2000</v>
          </cell>
          <cell r="M367">
            <v>0</v>
          </cell>
          <cell r="N367">
            <v>1</v>
          </cell>
          <cell r="O367">
            <v>1</v>
          </cell>
          <cell r="P367">
            <v>1</v>
          </cell>
          <cell r="Q367">
            <v>1</v>
          </cell>
          <cell r="R367">
            <v>3</v>
          </cell>
          <cell r="S367" t="str">
            <v>polygon</v>
          </cell>
          <cell r="T367">
            <v>1</v>
          </cell>
          <cell r="U367" t="str">
            <v>NULL</v>
          </cell>
          <cell r="V367" t="str">
            <v>NULL</v>
          </cell>
          <cell r="W367" t="str">
            <v/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 t="str">
            <v>anytime</v>
          </cell>
          <cell r="AC367">
            <v>19</v>
          </cell>
          <cell r="AD367">
            <v>6</v>
          </cell>
          <cell r="AE367" t="str">
            <v>everyone</v>
          </cell>
        </row>
        <row r="368">
          <cell r="A368" t="str">
            <v>20013_1</v>
          </cell>
          <cell r="B368">
            <v>1</v>
          </cell>
          <cell r="C368">
            <v>20013</v>
          </cell>
          <cell r="D368" t="str">
            <v>直江</v>
          </cell>
          <cell r="E368" t="str">
            <v>戦国１</v>
          </cell>
          <cell r="F368">
            <v>1</v>
          </cell>
          <cell r="G368" t="str">
            <v>ja</v>
          </cell>
          <cell r="H368" t="str">
            <v>【初級】直江</v>
          </cell>
          <cell r="I368" t="str">
            <v>初級</v>
          </cell>
          <cell r="J368">
            <v>721</v>
          </cell>
          <cell r="K368">
            <v>20</v>
          </cell>
          <cell r="L368">
            <v>2000</v>
          </cell>
          <cell r="M368">
            <v>1</v>
          </cell>
          <cell r="N368">
            <v>1</v>
          </cell>
          <cell r="O368">
            <v>1</v>
          </cell>
          <cell r="P368">
            <v>1</v>
          </cell>
          <cell r="Q368">
            <v>1</v>
          </cell>
          <cell r="R368">
            <v>3</v>
          </cell>
          <cell r="S368" t="str">
            <v>polygon</v>
          </cell>
          <cell r="T368">
            <v>1</v>
          </cell>
          <cell r="U368" t="str">
            <v>NULL</v>
          </cell>
          <cell r="V368" t="str">
            <v>NULL</v>
          </cell>
          <cell r="W368" t="str">
            <v/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 t="str">
            <v>anytime</v>
          </cell>
          <cell r="AC368">
            <v>19</v>
          </cell>
          <cell r="AD368">
            <v>5</v>
          </cell>
          <cell r="AE368" t="str">
            <v>everyone</v>
          </cell>
        </row>
        <row r="369">
          <cell r="A369" t="str">
            <v>20013_2</v>
          </cell>
          <cell r="B369">
            <v>1</v>
          </cell>
          <cell r="C369">
            <v>20013</v>
          </cell>
          <cell r="D369" t="str">
            <v>直江</v>
          </cell>
          <cell r="E369" t="str">
            <v>戦国１</v>
          </cell>
          <cell r="F369">
            <v>2</v>
          </cell>
          <cell r="G369" t="str">
            <v>ja</v>
          </cell>
          <cell r="H369" t="str">
            <v>【中級】直江</v>
          </cell>
          <cell r="I369" t="str">
            <v>中級</v>
          </cell>
          <cell r="J369">
            <v>721</v>
          </cell>
          <cell r="K369">
            <v>20</v>
          </cell>
          <cell r="L369">
            <v>2000</v>
          </cell>
          <cell r="M369">
            <v>1</v>
          </cell>
          <cell r="N369">
            <v>1</v>
          </cell>
          <cell r="O369">
            <v>1</v>
          </cell>
          <cell r="P369">
            <v>1</v>
          </cell>
          <cell r="Q369">
            <v>1</v>
          </cell>
          <cell r="R369">
            <v>3</v>
          </cell>
          <cell r="S369" t="str">
            <v>polygon</v>
          </cell>
          <cell r="T369">
            <v>1</v>
          </cell>
          <cell r="U369" t="str">
            <v>NULL</v>
          </cell>
          <cell r="V369" t="str">
            <v>NULL</v>
          </cell>
          <cell r="W369" t="str">
            <v/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 t="str">
            <v>anytime</v>
          </cell>
          <cell r="AC369">
            <v>19</v>
          </cell>
          <cell r="AD369">
            <v>5</v>
          </cell>
          <cell r="AE369" t="str">
            <v>everyone</v>
          </cell>
        </row>
        <row r="370">
          <cell r="A370" t="str">
            <v>20013_3</v>
          </cell>
          <cell r="B370">
            <v>1</v>
          </cell>
          <cell r="C370">
            <v>20013</v>
          </cell>
          <cell r="D370" t="str">
            <v>直江</v>
          </cell>
          <cell r="E370" t="str">
            <v>戦国１</v>
          </cell>
          <cell r="F370">
            <v>3</v>
          </cell>
          <cell r="G370" t="str">
            <v>ja</v>
          </cell>
          <cell r="H370" t="str">
            <v>【上級】直江</v>
          </cell>
          <cell r="I370" t="str">
            <v>上級</v>
          </cell>
          <cell r="J370">
            <v>721</v>
          </cell>
          <cell r="K370">
            <v>20</v>
          </cell>
          <cell r="L370">
            <v>2000</v>
          </cell>
          <cell r="M370">
            <v>1</v>
          </cell>
          <cell r="N370">
            <v>1</v>
          </cell>
          <cell r="O370">
            <v>1</v>
          </cell>
          <cell r="P370">
            <v>1</v>
          </cell>
          <cell r="Q370">
            <v>1</v>
          </cell>
          <cell r="R370">
            <v>3</v>
          </cell>
          <cell r="S370" t="str">
            <v>polygon</v>
          </cell>
          <cell r="T370">
            <v>1</v>
          </cell>
          <cell r="U370" t="str">
            <v>NULL</v>
          </cell>
          <cell r="V370" t="str">
            <v>NULL</v>
          </cell>
          <cell r="W370" t="str">
            <v/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 t="str">
            <v>anytime</v>
          </cell>
          <cell r="AC370">
            <v>19</v>
          </cell>
          <cell r="AD370">
            <v>5</v>
          </cell>
          <cell r="AE370" t="str">
            <v>everyone</v>
          </cell>
        </row>
        <row r="371">
          <cell r="A371" t="str">
            <v>30001_1</v>
          </cell>
          <cell r="B371">
            <v>3</v>
          </cell>
          <cell r="C371">
            <v>30001</v>
          </cell>
          <cell r="D371" t="str">
            <v>ハンター・オブ・ハンター</v>
          </cell>
          <cell r="E371" t="str">
            <v>ドロップイベント1-1（マルチ専用）</v>
          </cell>
          <cell r="F371">
            <v>1</v>
          </cell>
          <cell r="G371" t="str">
            <v>ja</v>
          </cell>
          <cell r="H371" t="str">
            <v xml:space="preserve">【中級】ハンター・オブ・ハンター </v>
          </cell>
          <cell r="I371" t="str">
            <v>中級</v>
          </cell>
          <cell r="J371">
            <v>270</v>
          </cell>
          <cell r="K371">
            <v>15</v>
          </cell>
          <cell r="L371">
            <v>1200</v>
          </cell>
          <cell r="M371">
            <v>1</v>
          </cell>
          <cell r="N371">
            <v>1</v>
          </cell>
          <cell r="O371">
            <v>1</v>
          </cell>
          <cell r="P371">
            <v>1</v>
          </cell>
          <cell r="Q371">
            <v>1</v>
          </cell>
          <cell r="R371">
            <v>3</v>
          </cell>
          <cell r="S371" t="str">
            <v>none</v>
          </cell>
          <cell r="T371">
            <v>0</v>
          </cell>
          <cell r="U371" t="str">
            <v>NULL</v>
          </cell>
          <cell r="V371" t="str">
            <v>NULL</v>
          </cell>
          <cell r="W371" t="str">
            <v/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 t="str">
            <v>anytime</v>
          </cell>
          <cell r="AC371">
            <v>7</v>
          </cell>
          <cell r="AD371">
            <v>6</v>
          </cell>
          <cell r="AE371" t="str">
            <v>everyone</v>
          </cell>
        </row>
        <row r="372">
          <cell r="A372" t="str">
            <v>30001_2</v>
          </cell>
          <cell r="B372">
            <v>3</v>
          </cell>
          <cell r="C372">
            <v>30001</v>
          </cell>
          <cell r="D372" t="str">
            <v>ハンター・オブ・ハンター</v>
          </cell>
          <cell r="E372" t="str">
            <v>ドロップイベント1-1（マルチ専用）</v>
          </cell>
          <cell r="F372">
            <v>2</v>
          </cell>
          <cell r="G372" t="str">
            <v>ja</v>
          </cell>
          <cell r="H372" t="str">
            <v xml:space="preserve">【上級】ハンター・オブ・ハンター </v>
          </cell>
          <cell r="I372" t="str">
            <v>上級</v>
          </cell>
          <cell r="J372">
            <v>270</v>
          </cell>
          <cell r="K372">
            <v>20</v>
          </cell>
          <cell r="L372">
            <v>2000</v>
          </cell>
          <cell r="M372">
            <v>1</v>
          </cell>
          <cell r="N372">
            <v>1</v>
          </cell>
          <cell r="O372">
            <v>1</v>
          </cell>
          <cell r="P372">
            <v>1</v>
          </cell>
          <cell r="Q372">
            <v>1</v>
          </cell>
          <cell r="R372">
            <v>3</v>
          </cell>
          <cell r="S372" t="str">
            <v>none</v>
          </cell>
          <cell r="T372">
            <v>0</v>
          </cell>
          <cell r="U372" t="str">
            <v>NULL</v>
          </cell>
          <cell r="V372" t="str">
            <v>NULL</v>
          </cell>
          <cell r="W372" t="str">
            <v/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 t="str">
            <v>anytime</v>
          </cell>
          <cell r="AC372">
            <v>7</v>
          </cell>
          <cell r="AD372">
            <v>6</v>
          </cell>
          <cell r="AE372" t="str">
            <v>everyone</v>
          </cell>
        </row>
        <row r="373">
          <cell r="A373" t="str">
            <v>30001_3</v>
          </cell>
          <cell r="B373">
            <v>3</v>
          </cell>
          <cell r="C373">
            <v>30001</v>
          </cell>
          <cell r="D373" t="str">
            <v>ハンター・オブ・ハンター</v>
          </cell>
          <cell r="E373" t="str">
            <v>ドロップイベント1-1（マルチ専用）</v>
          </cell>
          <cell r="F373">
            <v>3</v>
          </cell>
          <cell r="G373" t="str">
            <v>ja</v>
          </cell>
          <cell r="H373" t="str">
            <v xml:space="preserve">【超級】ハンター・オブ・ハンター </v>
          </cell>
          <cell r="I373" t="str">
            <v>超級</v>
          </cell>
          <cell r="J373">
            <v>271</v>
          </cell>
          <cell r="K373">
            <v>30</v>
          </cell>
          <cell r="L373">
            <v>3300</v>
          </cell>
          <cell r="M373">
            <v>1</v>
          </cell>
          <cell r="N373">
            <v>1</v>
          </cell>
          <cell r="O373">
            <v>1</v>
          </cell>
          <cell r="P373">
            <v>1</v>
          </cell>
          <cell r="Q373">
            <v>1</v>
          </cell>
          <cell r="R373">
            <v>3</v>
          </cell>
          <cell r="S373" t="str">
            <v>polygon</v>
          </cell>
          <cell r="T373">
            <v>1</v>
          </cell>
          <cell r="U373" t="str">
            <v>NULL</v>
          </cell>
          <cell r="V373" t="str">
            <v>NULL</v>
          </cell>
          <cell r="W373" t="str">
            <v/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 t="str">
            <v>anytime</v>
          </cell>
          <cell r="AC373">
            <v>7</v>
          </cell>
          <cell r="AD373">
            <v>6</v>
          </cell>
          <cell r="AE373" t="str">
            <v>everyone</v>
          </cell>
        </row>
        <row r="374">
          <cell r="A374" t="str">
            <v>30002_1</v>
          </cell>
          <cell r="B374">
            <v>3</v>
          </cell>
          <cell r="C374">
            <v>30002</v>
          </cell>
          <cell r="D374" t="str">
            <v>トリックスター</v>
          </cell>
          <cell r="E374" t="str">
            <v>ドロップイベント1-2（マルチ専用）</v>
          </cell>
          <cell r="F374">
            <v>1</v>
          </cell>
          <cell r="G374" t="str">
            <v>ja</v>
          </cell>
          <cell r="H374" t="str">
            <v xml:space="preserve">【中級】トリックスター </v>
          </cell>
          <cell r="I374" t="str">
            <v>中級</v>
          </cell>
          <cell r="J374">
            <v>272</v>
          </cell>
          <cell r="K374">
            <v>15</v>
          </cell>
          <cell r="L374">
            <v>1200</v>
          </cell>
          <cell r="M374">
            <v>1</v>
          </cell>
          <cell r="N374">
            <v>1</v>
          </cell>
          <cell r="O374">
            <v>1</v>
          </cell>
          <cell r="P374">
            <v>1</v>
          </cell>
          <cell r="Q374">
            <v>1</v>
          </cell>
          <cell r="R374">
            <v>3</v>
          </cell>
          <cell r="S374" t="str">
            <v>none</v>
          </cell>
          <cell r="T374">
            <v>0</v>
          </cell>
          <cell r="U374" t="str">
            <v>NULL</v>
          </cell>
          <cell r="V374" t="str">
            <v>NULL</v>
          </cell>
          <cell r="W374" t="str">
            <v/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 t="str">
            <v>anytime</v>
          </cell>
          <cell r="AC374">
            <v>17</v>
          </cell>
          <cell r="AD374">
            <v>6</v>
          </cell>
          <cell r="AE374" t="str">
            <v>everyone</v>
          </cell>
        </row>
        <row r="375">
          <cell r="A375" t="str">
            <v>30002_2</v>
          </cell>
          <cell r="B375">
            <v>3</v>
          </cell>
          <cell r="C375">
            <v>30002</v>
          </cell>
          <cell r="D375" t="str">
            <v>トリックスター</v>
          </cell>
          <cell r="E375" t="str">
            <v>ドロップイベント1-2（マルチ専用）</v>
          </cell>
          <cell r="F375">
            <v>2</v>
          </cell>
          <cell r="G375" t="str">
            <v>ja</v>
          </cell>
          <cell r="H375" t="str">
            <v xml:space="preserve">【上級】トリックスター </v>
          </cell>
          <cell r="I375" t="str">
            <v>上級</v>
          </cell>
          <cell r="J375">
            <v>272</v>
          </cell>
          <cell r="K375">
            <v>20</v>
          </cell>
          <cell r="L375">
            <v>2000</v>
          </cell>
          <cell r="M375">
            <v>1</v>
          </cell>
          <cell r="N375">
            <v>1</v>
          </cell>
          <cell r="O375">
            <v>1</v>
          </cell>
          <cell r="P375">
            <v>1</v>
          </cell>
          <cell r="Q375">
            <v>1</v>
          </cell>
          <cell r="R375">
            <v>3</v>
          </cell>
          <cell r="S375" t="str">
            <v>none</v>
          </cell>
          <cell r="T375">
            <v>0</v>
          </cell>
          <cell r="U375" t="str">
            <v>NULL</v>
          </cell>
          <cell r="V375" t="str">
            <v>NULL</v>
          </cell>
          <cell r="W375" t="str">
            <v/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 t="str">
            <v>anytime</v>
          </cell>
          <cell r="AC375">
            <v>17</v>
          </cell>
          <cell r="AD375">
            <v>6</v>
          </cell>
          <cell r="AE375" t="str">
            <v>everyone</v>
          </cell>
        </row>
        <row r="376">
          <cell r="A376" t="str">
            <v>30002_3</v>
          </cell>
          <cell r="B376">
            <v>3</v>
          </cell>
          <cell r="C376">
            <v>30002</v>
          </cell>
          <cell r="D376" t="str">
            <v>トリックスター</v>
          </cell>
          <cell r="E376" t="str">
            <v>ドロップイベント1-2（マルチ専用）</v>
          </cell>
          <cell r="F376">
            <v>3</v>
          </cell>
          <cell r="G376" t="str">
            <v>ja</v>
          </cell>
          <cell r="H376" t="str">
            <v xml:space="preserve">【超級】トリックスター </v>
          </cell>
          <cell r="I376" t="str">
            <v>超級</v>
          </cell>
          <cell r="J376">
            <v>273</v>
          </cell>
          <cell r="K376">
            <v>30</v>
          </cell>
          <cell r="L376">
            <v>3300</v>
          </cell>
          <cell r="M376">
            <v>1</v>
          </cell>
          <cell r="N376">
            <v>1</v>
          </cell>
          <cell r="O376">
            <v>1</v>
          </cell>
          <cell r="P376">
            <v>1</v>
          </cell>
          <cell r="Q376">
            <v>1</v>
          </cell>
          <cell r="R376">
            <v>3</v>
          </cell>
          <cell r="S376" t="str">
            <v>polygon</v>
          </cell>
          <cell r="T376">
            <v>1</v>
          </cell>
          <cell r="U376" t="str">
            <v>NULL</v>
          </cell>
          <cell r="V376" t="str">
            <v>NULL</v>
          </cell>
          <cell r="W376" t="str">
            <v/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 t="str">
            <v>anytime</v>
          </cell>
          <cell r="AC376">
            <v>17</v>
          </cell>
          <cell r="AD376">
            <v>6</v>
          </cell>
          <cell r="AE376" t="str">
            <v>everyone</v>
          </cell>
        </row>
        <row r="377">
          <cell r="A377" t="str">
            <v>30003_1</v>
          </cell>
          <cell r="B377">
            <v>3</v>
          </cell>
          <cell r="C377">
            <v>30003</v>
          </cell>
          <cell r="D377" t="str">
            <v>打ち下ろされる砕棒</v>
          </cell>
          <cell r="E377" t="str">
            <v>ドロップイベント1-3（マルチ専用）</v>
          </cell>
          <cell r="F377">
            <v>1</v>
          </cell>
          <cell r="G377" t="str">
            <v>ja</v>
          </cell>
          <cell r="H377" t="str">
            <v xml:space="preserve">【中級】打ち下ろされる砕棒 </v>
          </cell>
          <cell r="I377" t="str">
            <v>中級</v>
          </cell>
          <cell r="J377">
            <v>274</v>
          </cell>
          <cell r="K377">
            <v>15</v>
          </cell>
          <cell r="L377">
            <v>1200</v>
          </cell>
          <cell r="M377">
            <v>1</v>
          </cell>
          <cell r="N377">
            <v>1</v>
          </cell>
          <cell r="O377">
            <v>1</v>
          </cell>
          <cell r="P377">
            <v>1</v>
          </cell>
          <cell r="Q377">
            <v>1</v>
          </cell>
          <cell r="R377">
            <v>3</v>
          </cell>
          <cell r="S377" t="str">
            <v>none</v>
          </cell>
          <cell r="T377">
            <v>0</v>
          </cell>
          <cell r="U377" t="str">
            <v>NULL</v>
          </cell>
          <cell r="V377" t="str">
            <v>NULL</v>
          </cell>
          <cell r="W377" t="str">
            <v/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 t="str">
            <v>anytime</v>
          </cell>
          <cell r="AC377">
            <v>20</v>
          </cell>
          <cell r="AD377">
            <v>6</v>
          </cell>
          <cell r="AE377" t="str">
            <v>everyone</v>
          </cell>
        </row>
        <row r="378">
          <cell r="A378" t="str">
            <v>30003_2</v>
          </cell>
          <cell r="B378">
            <v>3</v>
          </cell>
          <cell r="C378">
            <v>30003</v>
          </cell>
          <cell r="D378" t="str">
            <v>打ち下ろされる砕棒</v>
          </cell>
          <cell r="E378" t="str">
            <v>ドロップイベント1-3（マルチ専用）</v>
          </cell>
          <cell r="F378">
            <v>2</v>
          </cell>
          <cell r="G378" t="str">
            <v>ja</v>
          </cell>
          <cell r="H378" t="str">
            <v>【上級】打ち下ろされる砕棒</v>
          </cell>
          <cell r="I378" t="str">
            <v>上級</v>
          </cell>
          <cell r="J378">
            <v>274</v>
          </cell>
          <cell r="K378">
            <v>20</v>
          </cell>
          <cell r="L378">
            <v>2000</v>
          </cell>
          <cell r="M378">
            <v>1</v>
          </cell>
          <cell r="N378">
            <v>1</v>
          </cell>
          <cell r="O378">
            <v>1</v>
          </cell>
          <cell r="P378">
            <v>1</v>
          </cell>
          <cell r="Q378">
            <v>1</v>
          </cell>
          <cell r="R378">
            <v>3</v>
          </cell>
          <cell r="S378" t="str">
            <v>none</v>
          </cell>
          <cell r="T378">
            <v>0</v>
          </cell>
          <cell r="U378" t="str">
            <v>NULL</v>
          </cell>
          <cell r="V378" t="str">
            <v>NULL</v>
          </cell>
          <cell r="W378" t="str">
            <v/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 t="str">
            <v>anytime</v>
          </cell>
          <cell r="AC378">
            <v>20</v>
          </cell>
          <cell r="AD378">
            <v>6</v>
          </cell>
          <cell r="AE378" t="str">
            <v>everyone</v>
          </cell>
        </row>
        <row r="379">
          <cell r="A379" t="str">
            <v>30003_3</v>
          </cell>
          <cell r="B379">
            <v>3</v>
          </cell>
          <cell r="C379">
            <v>30003</v>
          </cell>
          <cell r="D379" t="str">
            <v>打ち下ろされる砕棒</v>
          </cell>
          <cell r="E379" t="str">
            <v>ドロップイベント1-3（マルチ専用）</v>
          </cell>
          <cell r="F379">
            <v>3</v>
          </cell>
          <cell r="G379" t="str">
            <v>ja</v>
          </cell>
          <cell r="H379" t="str">
            <v xml:space="preserve">【超級】打ち下ろされる砕棒 </v>
          </cell>
          <cell r="I379" t="str">
            <v>超級</v>
          </cell>
          <cell r="J379">
            <v>275</v>
          </cell>
          <cell r="K379">
            <v>30</v>
          </cell>
          <cell r="L379">
            <v>3300</v>
          </cell>
          <cell r="M379">
            <v>1</v>
          </cell>
          <cell r="N379">
            <v>1</v>
          </cell>
          <cell r="O379">
            <v>1</v>
          </cell>
          <cell r="P379">
            <v>1</v>
          </cell>
          <cell r="Q379">
            <v>1</v>
          </cell>
          <cell r="R379">
            <v>3</v>
          </cell>
          <cell r="S379" t="str">
            <v>polygon</v>
          </cell>
          <cell r="T379">
            <v>1</v>
          </cell>
          <cell r="U379" t="str">
            <v>NULL</v>
          </cell>
          <cell r="V379" t="str">
            <v>NULL</v>
          </cell>
          <cell r="W379" t="str">
            <v/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 t="str">
            <v>anytime</v>
          </cell>
          <cell r="AC379">
            <v>20</v>
          </cell>
          <cell r="AD379">
            <v>6</v>
          </cell>
          <cell r="AE379" t="str">
            <v>everyone</v>
          </cell>
        </row>
        <row r="380">
          <cell r="A380" t="str">
            <v>30004_1</v>
          </cell>
          <cell r="B380">
            <v>3</v>
          </cell>
          <cell r="C380">
            <v>30004</v>
          </cell>
          <cell r="D380" t="str">
            <v>危険な仲裁者</v>
          </cell>
          <cell r="E380" t="str">
            <v>ドロップイベント1-4（マルチ専用）</v>
          </cell>
          <cell r="F380">
            <v>1</v>
          </cell>
          <cell r="G380" t="str">
            <v>ja</v>
          </cell>
          <cell r="H380" t="str">
            <v xml:space="preserve">【中級】危険な仲裁者 </v>
          </cell>
          <cell r="I380" t="str">
            <v>中級</v>
          </cell>
          <cell r="J380">
            <v>276</v>
          </cell>
          <cell r="K380">
            <v>15</v>
          </cell>
          <cell r="L380">
            <v>1200</v>
          </cell>
          <cell r="M380">
            <v>1</v>
          </cell>
          <cell r="N380">
            <v>1</v>
          </cell>
          <cell r="O380">
            <v>1</v>
          </cell>
          <cell r="P380">
            <v>1</v>
          </cell>
          <cell r="Q380">
            <v>1</v>
          </cell>
          <cell r="R380">
            <v>3</v>
          </cell>
          <cell r="S380" t="str">
            <v>none</v>
          </cell>
          <cell r="T380">
            <v>0</v>
          </cell>
          <cell r="U380" t="str">
            <v>NULL</v>
          </cell>
          <cell r="V380" t="str">
            <v>NULL</v>
          </cell>
          <cell r="W380" t="str">
            <v/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 t="str">
            <v>anytime</v>
          </cell>
          <cell r="AC380">
            <v>14</v>
          </cell>
          <cell r="AD380">
            <v>6</v>
          </cell>
          <cell r="AE380" t="str">
            <v>everyone</v>
          </cell>
        </row>
        <row r="381">
          <cell r="A381" t="str">
            <v>30004_2</v>
          </cell>
          <cell r="B381">
            <v>3</v>
          </cell>
          <cell r="C381">
            <v>30004</v>
          </cell>
          <cell r="D381" t="str">
            <v>危険な仲裁者</v>
          </cell>
          <cell r="E381" t="str">
            <v>ドロップイベント1-4（マルチ専用）</v>
          </cell>
          <cell r="F381">
            <v>2</v>
          </cell>
          <cell r="G381" t="str">
            <v>ja</v>
          </cell>
          <cell r="H381" t="str">
            <v xml:space="preserve">【上級】危険な仲裁者 </v>
          </cell>
          <cell r="I381" t="str">
            <v>上級</v>
          </cell>
          <cell r="J381">
            <v>276</v>
          </cell>
          <cell r="K381">
            <v>20</v>
          </cell>
          <cell r="L381">
            <v>2000</v>
          </cell>
          <cell r="M381">
            <v>1</v>
          </cell>
          <cell r="N381">
            <v>1</v>
          </cell>
          <cell r="O381">
            <v>1</v>
          </cell>
          <cell r="P381">
            <v>1</v>
          </cell>
          <cell r="Q381">
            <v>1</v>
          </cell>
          <cell r="R381">
            <v>3</v>
          </cell>
          <cell r="S381" t="str">
            <v>none</v>
          </cell>
          <cell r="T381">
            <v>0</v>
          </cell>
          <cell r="U381" t="str">
            <v>NULL</v>
          </cell>
          <cell r="V381" t="str">
            <v>NULL</v>
          </cell>
          <cell r="W381" t="str">
            <v/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 t="str">
            <v>anytime</v>
          </cell>
          <cell r="AC381">
            <v>14</v>
          </cell>
          <cell r="AD381">
            <v>6</v>
          </cell>
          <cell r="AE381" t="str">
            <v>everyone</v>
          </cell>
        </row>
        <row r="382">
          <cell r="A382" t="str">
            <v>30004_3</v>
          </cell>
          <cell r="B382">
            <v>3</v>
          </cell>
          <cell r="C382">
            <v>30004</v>
          </cell>
          <cell r="D382" t="str">
            <v>危険な仲裁者</v>
          </cell>
          <cell r="E382" t="str">
            <v>ドロップイベント1-4（マルチ専用）</v>
          </cell>
          <cell r="F382">
            <v>3</v>
          </cell>
          <cell r="G382" t="str">
            <v>ja</v>
          </cell>
          <cell r="H382" t="str">
            <v xml:space="preserve">【超級】危険な仲裁者 </v>
          </cell>
          <cell r="I382" t="str">
            <v>超級</v>
          </cell>
          <cell r="J382">
            <v>277</v>
          </cell>
          <cell r="K382">
            <v>30</v>
          </cell>
          <cell r="L382">
            <v>3300</v>
          </cell>
          <cell r="M382">
            <v>1</v>
          </cell>
          <cell r="N382">
            <v>1</v>
          </cell>
          <cell r="O382">
            <v>1</v>
          </cell>
          <cell r="P382">
            <v>1</v>
          </cell>
          <cell r="Q382">
            <v>1</v>
          </cell>
          <cell r="R382">
            <v>3</v>
          </cell>
          <cell r="S382" t="str">
            <v>polygon</v>
          </cell>
          <cell r="T382">
            <v>1</v>
          </cell>
          <cell r="U382" t="str">
            <v>NULL</v>
          </cell>
          <cell r="V382" t="str">
            <v>NULL</v>
          </cell>
          <cell r="W382" t="str">
            <v/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 t="str">
            <v>anytime</v>
          </cell>
          <cell r="AC382">
            <v>14</v>
          </cell>
          <cell r="AD382">
            <v>6</v>
          </cell>
          <cell r="AE382" t="str">
            <v>everyone</v>
          </cell>
        </row>
        <row r="383">
          <cell r="A383" t="str">
            <v>30005_1</v>
          </cell>
          <cell r="B383">
            <v>3</v>
          </cell>
          <cell r="C383">
            <v>30005</v>
          </cell>
          <cell r="D383" t="str">
            <v>ニンゲンにしてあげる☆</v>
          </cell>
          <cell r="E383" t="str">
            <v>ドロップイベント2-1（マルチ専用）</v>
          </cell>
          <cell r="F383">
            <v>1</v>
          </cell>
          <cell r="G383" t="str">
            <v>ja</v>
          </cell>
          <cell r="H383" t="str">
            <v xml:space="preserve">【中級】ニンゲンにしてあげる </v>
          </cell>
          <cell r="I383" t="str">
            <v>中級</v>
          </cell>
          <cell r="J383">
            <v>290</v>
          </cell>
          <cell r="K383">
            <v>15</v>
          </cell>
          <cell r="L383">
            <v>1200</v>
          </cell>
          <cell r="M383">
            <v>1</v>
          </cell>
          <cell r="N383">
            <v>1</v>
          </cell>
          <cell r="O383">
            <v>1</v>
          </cell>
          <cell r="P383">
            <v>1</v>
          </cell>
          <cell r="Q383">
            <v>1</v>
          </cell>
          <cell r="R383">
            <v>3</v>
          </cell>
          <cell r="S383" t="str">
            <v>none</v>
          </cell>
          <cell r="T383">
            <v>0</v>
          </cell>
          <cell r="U383" t="str">
            <v>NULL</v>
          </cell>
          <cell r="V383" t="str">
            <v>NULL</v>
          </cell>
          <cell r="W383" t="str">
            <v/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 t="str">
            <v>anytime</v>
          </cell>
          <cell r="AC383">
            <v>11</v>
          </cell>
          <cell r="AD383">
            <v>6</v>
          </cell>
          <cell r="AE383" t="str">
            <v>everyone</v>
          </cell>
        </row>
        <row r="384">
          <cell r="A384" t="str">
            <v>30005_2</v>
          </cell>
          <cell r="B384">
            <v>3</v>
          </cell>
          <cell r="C384">
            <v>30005</v>
          </cell>
          <cell r="D384" t="str">
            <v>ニンゲンにしてあげる☆</v>
          </cell>
          <cell r="E384" t="str">
            <v>ドロップイベント2-1（マルチ専用）</v>
          </cell>
          <cell r="F384">
            <v>2</v>
          </cell>
          <cell r="G384" t="str">
            <v>ja</v>
          </cell>
          <cell r="H384" t="str">
            <v xml:space="preserve">【上級】ニンゲンにしてあげる </v>
          </cell>
          <cell r="I384" t="str">
            <v>上級</v>
          </cell>
          <cell r="J384">
            <v>290</v>
          </cell>
          <cell r="K384">
            <v>20</v>
          </cell>
          <cell r="L384">
            <v>2000</v>
          </cell>
          <cell r="M384">
            <v>1</v>
          </cell>
          <cell r="N384">
            <v>1</v>
          </cell>
          <cell r="O384">
            <v>1</v>
          </cell>
          <cell r="P384">
            <v>1</v>
          </cell>
          <cell r="Q384">
            <v>1</v>
          </cell>
          <cell r="R384">
            <v>3</v>
          </cell>
          <cell r="S384" t="str">
            <v>none</v>
          </cell>
          <cell r="T384">
            <v>0</v>
          </cell>
          <cell r="U384" t="str">
            <v>NULL</v>
          </cell>
          <cell r="V384" t="str">
            <v>NULL</v>
          </cell>
          <cell r="W384" t="str">
            <v/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 t="str">
            <v>anytime</v>
          </cell>
          <cell r="AC384">
            <v>11</v>
          </cell>
          <cell r="AD384">
            <v>6</v>
          </cell>
          <cell r="AE384" t="str">
            <v>everyone</v>
          </cell>
        </row>
        <row r="385">
          <cell r="A385" t="str">
            <v>30005_3</v>
          </cell>
          <cell r="B385">
            <v>3</v>
          </cell>
          <cell r="C385">
            <v>30005</v>
          </cell>
          <cell r="D385" t="str">
            <v>ニンゲンにしてあげる☆</v>
          </cell>
          <cell r="E385" t="str">
            <v>ドロップイベント2-1（マルチ専用）</v>
          </cell>
          <cell r="F385">
            <v>3</v>
          </cell>
          <cell r="G385" t="str">
            <v>ja</v>
          </cell>
          <cell r="H385" t="str">
            <v>【超級】ニンゲンにしてあげる</v>
          </cell>
          <cell r="I385" t="str">
            <v>超級</v>
          </cell>
          <cell r="J385">
            <v>291</v>
          </cell>
          <cell r="K385">
            <v>30</v>
          </cell>
          <cell r="L385">
            <v>3300</v>
          </cell>
          <cell r="M385">
            <v>1</v>
          </cell>
          <cell r="N385">
            <v>1</v>
          </cell>
          <cell r="O385">
            <v>1</v>
          </cell>
          <cell r="P385">
            <v>1</v>
          </cell>
          <cell r="Q385">
            <v>1</v>
          </cell>
          <cell r="R385">
            <v>3</v>
          </cell>
          <cell r="S385" t="str">
            <v>polygon</v>
          </cell>
          <cell r="T385">
            <v>1</v>
          </cell>
          <cell r="U385" t="str">
            <v>NULL</v>
          </cell>
          <cell r="V385" t="str">
            <v>NULL</v>
          </cell>
          <cell r="W385" t="str">
            <v/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 t="str">
            <v>anytime</v>
          </cell>
          <cell r="AC385">
            <v>11</v>
          </cell>
          <cell r="AD385">
            <v>6</v>
          </cell>
          <cell r="AE385" t="str">
            <v>everyone</v>
          </cell>
        </row>
        <row r="386">
          <cell r="A386" t="str">
            <v>30006_1</v>
          </cell>
          <cell r="B386">
            <v>3</v>
          </cell>
          <cell r="C386">
            <v>30006</v>
          </cell>
          <cell r="D386" t="str">
            <v>それはお前を食べるためさ</v>
          </cell>
          <cell r="E386" t="str">
            <v>ドロップイベント2-3（マルチ専用）</v>
          </cell>
          <cell r="F386">
            <v>1</v>
          </cell>
          <cell r="G386" t="str">
            <v>ja</v>
          </cell>
          <cell r="H386" t="str">
            <v>【中級】それはお前を食べるためさ</v>
          </cell>
          <cell r="I386" t="str">
            <v>中級</v>
          </cell>
          <cell r="J386">
            <v>294</v>
          </cell>
          <cell r="K386">
            <v>15</v>
          </cell>
          <cell r="L386">
            <v>1200</v>
          </cell>
          <cell r="M386">
            <v>1</v>
          </cell>
          <cell r="N386">
            <v>1</v>
          </cell>
          <cell r="O386">
            <v>1</v>
          </cell>
          <cell r="P386">
            <v>1</v>
          </cell>
          <cell r="Q386">
            <v>1</v>
          </cell>
          <cell r="R386">
            <v>3</v>
          </cell>
          <cell r="S386" t="str">
            <v>none</v>
          </cell>
          <cell r="T386">
            <v>0</v>
          </cell>
          <cell r="U386" t="str">
            <v>NULL</v>
          </cell>
          <cell r="V386" t="str">
            <v>NULL</v>
          </cell>
          <cell r="W386" t="str">
            <v/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 t="str">
            <v>anytime</v>
          </cell>
          <cell r="AC386">
            <v>7</v>
          </cell>
          <cell r="AD386">
            <v>6</v>
          </cell>
          <cell r="AE386" t="str">
            <v>everyone</v>
          </cell>
        </row>
        <row r="387">
          <cell r="A387" t="str">
            <v>30006_2</v>
          </cell>
          <cell r="B387">
            <v>3</v>
          </cell>
          <cell r="C387">
            <v>30006</v>
          </cell>
          <cell r="D387" t="str">
            <v>それはお前を食べるためさ</v>
          </cell>
          <cell r="E387" t="str">
            <v>ドロップイベント2-3（マルチ専用）</v>
          </cell>
          <cell r="F387">
            <v>2</v>
          </cell>
          <cell r="G387" t="str">
            <v>ja</v>
          </cell>
          <cell r="H387" t="str">
            <v>【上級】それはお前を食べるためさ</v>
          </cell>
          <cell r="I387" t="str">
            <v>上級</v>
          </cell>
          <cell r="J387">
            <v>294</v>
          </cell>
          <cell r="K387">
            <v>20</v>
          </cell>
          <cell r="L387">
            <v>2000</v>
          </cell>
          <cell r="M387">
            <v>1</v>
          </cell>
          <cell r="N387">
            <v>1</v>
          </cell>
          <cell r="O387">
            <v>1</v>
          </cell>
          <cell r="P387">
            <v>1</v>
          </cell>
          <cell r="Q387">
            <v>1</v>
          </cell>
          <cell r="R387">
            <v>3</v>
          </cell>
          <cell r="S387" t="str">
            <v>none</v>
          </cell>
          <cell r="T387">
            <v>0</v>
          </cell>
          <cell r="U387" t="str">
            <v>NULL</v>
          </cell>
          <cell r="V387" t="str">
            <v>NULL</v>
          </cell>
          <cell r="W387" t="str">
            <v/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 t="str">
            <v>anytime</v>
          </cell>
          <cell r="AC387">
            <v>7</v>
          </cell>
          <cell r="AD387">
            <v>6</v>
          </cell>
          <cell r="AE387" t="str">
            <v>everyone</v>
          </cell>
        </row>
        <row r="388">
          <cell r="A388" t="str">
            <v>30006_3</v>
          </cell>
          <cell r="B388">
            <v>3</v>
          </cell>
          <cell r="C388">
            <v>30006</v>
          </cell>
          <cell r="D388" t="str">
            <v>それはお前を食べるためさ</v>
          </cell>
          <cell r="E388" t="str">
            <v>ドロップイベント2-3（マルチ専用）</v>
          </cell>
          <cell r="F388">
            <v>3</v>
          </cell>
          <cell r="G388" t="str">
            <v>ja</v>
          </cell>
          <cell r="H388" t="str">
            <v>【超級】それはお前を食べるためさ</v>
          </cell>
          <cell r="I388" t="str">
            <v>超級</v>
          </cell>
          <cell r="J388">
            <v>295</v>
          </cell>
          <cell r="K388">
            <v>30</v>
          </cell>
          <cell r="L388">
            <v>3300</v>
          </cell>
          <cell r="M388">
            <v>1</v>
          </cell>
          <cell r="N388">
            <v>1</v>
          </cell>
          <cell r="O388">
            <v>1</v>
          </cell>
          <cell r="P388">
            <v>1</v>
          </cell>
          <cell r="Q388">
            <v>1</v>
          </cell>
          <cell r="R388">
            <v>3</v>
          </cell>
          <cell r="S388" t="str">
            <v>polygon</v>
          </cell>
          <cell r="T388">
            <v>1</v>
          </cell>
          <cell r="U388" t="str">
            <v>NULL</v>
          </cell>
          <cell r="V388" t="str">
            <v>NULL</v>
          </cell>
          <cell r="W388" t="str">
            <v/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 t="str">
            <v>anytime</v>
          </cell>
          <cell r="AC388">
            <v>7</v>
          </cell>
          <cell r="AD388">
            <v>6</v>
          </cell>
          <cell r="AE388" t="str">
            <v>everyone</v>
          </cell>
        </row>
        <row r="389">
          <cell r="A389" t="str">
            <v>30007_1</v>
          </cell>
          <cell r="B389">
            <v>3</v>
          </cell>
          <cell r="C389">
            <v>30007</v>
          </cell>
          <cell r="D389" t="str">
            <v>ガラスの靴は私のもの</v>
          </cell>
          <cell r="E389" t="str">
            <v>ドロップイベント2-2（マルチ専用）</v>
          </cell>
          <cell r="F389">
            <v>1</v>
          </cell>
          <cell r="G389" t="str">
            <v>ja</v>
          </cell>
          <cell r="H389" t="str">
            <v xml:space="preserve">【中級】ガラスの靴は私のもの </v>
          </cell>
          <cell r="I389" t="str">
            <v>中級</v>
          </cell>
          <cell r="J389">
            <v>292</v>
          </cell>
          <cell r="K389">
            <v>15</v>
          </cell>
          <cell r="L389">
            <v>1200</v>
          </cell>
          <cell r="M389">
            <v>1</v>
          </cell>
          <cell r="N389">
            <v>1</v>
          </cell>
          <cell r="O389">
            <v>1</v>
          </cell>
          <cell r="P389">
            <v>1</v>
          </cell>
          <cell r="Q389">
            <v>1</v>
          </cell>
          <cell r="R389">
            <v>3</v>
          </cell>
          <cell r="S389" t="str">
            <v>none</v>
          </cell>
          <cell r="T389">
            <v>0</v>
          </cell>
          <cell r="U389" t="str">
            <v>NULL</v>
          </cell>
          <cell r="V389" t="str">
            <v>NULL</v>
          </cell>
          <cell r="W389" t="str">
            <v/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 t="str">
            <v>anytime</v>
          </cell>
          <cell r="AC389">
            <v>9</v>
          </cell>
          <cell r="AD389">
            <v>6</v>
          </cell>
          <cell r="AE389" t="str">
            <v>everyone</v>
          </cell>
        </row>
        <row r="390">
          <cell r="A390" t="str">
            <v>30007_2</v>
          </cell>
          <cell r="B390">
            <v>3</v>
          </cell>
          <cell r="C390">
            <v>30007</v>
          </cell>
          <cell r="D390" t="str">
            <v>ガラスの靴は私のもの</v>
          </cell>
          <cell r="E390" t="str">
            <v>ドロップイベント2-2（マルチ専用）</v>
          </cell>
          <cell r="F390">
            <v>2</v>
          </cell>
          <cell r="G390" t="str">
            <v>ja</v>
          </cell>
          <cell r="H390" t="str">
            <v>【上級】ガラスの靴は私のもの</v>
          </cell>
          <cell r="I390" t="str">
            <v>上級</v>
          </cell>
          <cell r="J390">
            <v>292</v>
          </cell>
          <cell r="K390">
            <v>20</v>
          </cell>
          <cell r="L390">
            <v>2000</v>
          </cell>
          <cell r="M390">
            <v>1</v>
          </cell>
          <cell r="N390">
            <v>1</v>
          </cell>
          <cell r="O390">
            <v>1</v>
          </cell>
          <cell r="P390">
            <v>1</v>
          </cell>
          <cell r="Q390">
            <v>1</v>
          </cell>
          <cell r="R390">
            <v>3</v>
          </cell>
          <cell r="S390" t="str">
            <v>none</v>
          </cell>
          <cell r="T390">
            <v>0</v>
          </cell>
          <cell r="U390" t="str">
            <v>NULL</v>
          </cell>
          <cell r="V390" t="str">
            <v>NULL</v>
          </cell>
          <cell r="W390" t="str">
            <v/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 t="str">
            <v>anytime</v>
          </cell>
          <cell r="AC390">
            <v>9</v>
          </cell>
          <cell r="AD390">
            <v>6</v>
          </cell>
          <cell r="AE390" t="str">
            <v>everyone</v>
          </cell>
        </row>
        <row r="391">
          <cell r="A391" t="str">
            <v>30007_3</v>
          </cell>
          <cell r="B391">
            <v>3</v>
          </cell>
          <cell r="C391">
            <v>30007</v>
          </cell>
          <cell r="D391" t="str">
            <v>ガラスの靴は私のもの</v>
          </cell>
          <cell r="E391" t="str">
            <v>ドロップイベント2-2（マルチ専用）</v>
          </cell>
          <cell r="F391">
            <v>3</v>
          </cell>
          <cell r="G391" t="str">
            <v>ja</v>
          </cell>
          <cell r="H391" t="str">
            <v xml:space="preserve">【超級】ガラスの靴は私のもの </v>
          </cell>
          <cell r="I391" t="str">
            <v>超級</v>
          </cell>
          <cell r="J391">
            <v>293</v>
          </cell>
          <cell r="K391">
            <v>30</v>
          </cell>
          <cell r="L391">
            <v>3300</v>
          </cell>
          <cell r="M391">
            <v>1</v>
          </cell>
          <cell r="N391">
            <v>1</v>
          </cell>
          <cell r="O391">
            <v>1</v>
          </cell>
          <cell r="P391">
            <v>1</v>
          </cell>
          <cell r="Q391">
            <v>1</v>
          </cell>
          <cell r="R391">
            <v>3</v>
          </cell>
          <cell r="S391" t="str">
            <v>polygon</v>
          </cell>
          <cell r="T391">
            <v>1</v>
          </cell>
          <cell r="U391" t="str">
            <v>NULL</v>
          </cell>
          <cell r="V391" t="str">
            <v>NULL</v>
          </cell>
          <cell r="W391" t="str">
            <v/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 t="str">
            <v>anytime</v>
          </cell>
          <cell r="AC391">
            <v>9</v>
          </cell>
          <cell r="AD391">
            <v>6</v>
          </cell>
          <cell r="AE391" t="str">
            <v>everyone</v>
          </cell>
        </row>
        <row r="392">
          <cell r="A392" t="str">
            <v>30008_1</v>
          </cell>
          <cell r="B392">
            <v>3</v>
          </cell>
          <cell r="C392">
            <v>30008</v>
          </cell>
          <cell r="D392" t="str">
            <v>わたしの嫁を返してもらおう</v>
          </cell>
          <cell r="E392" t="str">
            <v>ドロップイベント2-4（マルチ専用）</v>
          </cell>
          <cell r="F392">
            <v>1</v>
          </cell>
          <cell r="G392" t="str">
            <v>ja</v>
          </cell>
          <cell r="H392" t="str">
            <v>【中級】わたしの嫁を返してもらおう</v>
          </cell>
          <cell r="I392" t="str">
            <v>中級</v>
          </cell>
          <cell r="J392">
            <v>288</v>
          </cell>
          <cell r="K392">
            <v>15</v>
          </cell>
          <cell r="L392">
            <v>1200</v>
          </cell>
          <cell r="M392">
            <v>1</v>
          </cell>
          <cell r="N392">
            <v>1</v>
          </cell>
          <cell r="O392">
            <v>1</v>
          </cell>
          <cell r="P392">
            <v>1</v>
          </cell>
          <cell r="Q392">
            <v>1</v>
          </cell>
          <cell r="R392">
            <v>3</v>
          </cell>
          <cell r="S392" t="str">
            <v>none</v>
          </cell>
          <cell r="T392">
            <v>0</v>
          </cell>
          <cell r="U392" t="str">
            <v>NULL</v>
          </cell>
          <cell r="V392" t="str">
            <v>NULL</v>
          </cell>
          <cell r="W392" t="str">
            <v/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 t="str">
            <v>anytime</v>
          </cell>
          <cell r="AC392">
            <v>22</v>
          </cell>
          <cell r="AD392">
            <v>6</v>
          </cell>
          <cell r="AE392" t="str">
            <v>everyone</v>
          </cell>
        </row>
        <row r="393">
          <cell r="A393" t="str">
            <v>30008_2</v>
          </cell>
          <cell r="B393">
            <v>3</v>
          </cell>
          <cell r="C393">
            <v>30008</v>
          </cell>
          <cell r="D393" t="str">
            <v>わたしの嫁を返してもらおう</v>
          </cell>
          <cell r="E393" t="str">
            <v>ドロップイベント2-4（マルチ専用）</v>
          </cell>
          <cell r="F393">
            <v>2</v>
          </cell>
          <cell r="G393" t="str">
            <v>ja</v>
          </cell>
          <cell r="H393" t="str">
            <v>【上級】わたしの嫁を返してもらおう</v>
          </cell>
          <cell r="I393" t="str">
            <v>上級</v>
          </cell>
          <cell r="J393">
            <v>288</v>
          </cell>
          <cell r="K393">
            <v>20</v>
          </cell>
          <cell r="L393">
            <v>2000</v>
          </cell>
          <cell r="M393">
            <v>1</v>
          </cell>
          <cell r="N393">
            <v>1</v>
          </cell>
          <cell r="O393">
            <v>1</v>
          </cell>
          <cell r="P393">
            <v>1</v>
          </cell>
          <cell r="Q393">
            <v>1</v>
          </cell>
          <cell r="R393">
            <v>3</v>
          </cell>
          <cell r="S393" t="str">
            <v>none</v>
          </cell>
          <cell r="T393">
            <v>0</v>
          </cell>
          <cell r="U393" t="str">
            <v>NULL</v>
          </cell>
          <cell r="V393" t="str">
            <v>NULL</v>
          </cell>
          <cell r="W393" t="str">
            <v/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 t="str">
            <v>anytime</v>
          </cell>
          <cell r="AC393">
            <v>22</v>
          </cell>
          <cell r="AD393">
            <v>6</v>
          </cell>
          <cell r="AE393" t="str">
            <v>everyone</v>
          </cell>
        </row>
        <row r="394">
          <cell r="A394" t="str">
            <v>30008_3</v>
          </cell>
          <cell r="B394">
            <v>3</v>
          </cell>
          <cell r="C394">
            <v>30008</v>
          </cell>
          <cell r="D394" t="str">
            <v>わたしの嫁を返してもらおう</v>
          </cell>
          <cell r="E394" t="str">
            <v>ドロップイベント2-4（マルチ専用）</v>
          </cell>
          <cell r="F394">
            <v>3</v>
          </cell>
          <cell r="G394" t="str">
            <v>ja</v>
          </cell>
          <cell r="H394" t="str">
            <v>【超級】わたしの嫁を返してもらおう</v>
          </cell>
          <cell r="I394" t="str">
            <v>超級</v>
          </cell>
          <cell r="J394">
            <v>289</v>
          </cell>
          <cell r="K394">
            <v>30</v>
          </cell>
          <cell r="L394">
            <v>3300</v>
          </cell>
          <cell r="M394">
            <v>1</v>
          </cell>
          <cell r="N394">
            <v>1</v>
          </cell>
          <cell r="O394">
            <v>1</v>
          </cell>
          <cell r="P394">
            <v>1</v>
          </cell>
          <cell r="Q394">
            <v>1</v>
          </cell>
          <cell r="R394">
            <v>3</v>
          </cell>
          <cell r="S394" t="str">
            <v>polygon</v>
          </cell>
          <cell r="T394">
            <v>1</v>
          </cell>
          <cell r="U394" t="str">
            <v>NULL</v>
          </cell>
          <cell r="V394" t="str">
            <v>NULL</v>
          </cell>
          <cell r="W394" t="str">
            <v/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 t="str">
            <v>anytime</v>
          </cell>
          <cell r="AC394">
            <v>22</v>
          </cell>
          <cell r="AD394">
            <v>6</v>
          </cell>
          <cell r="AE394" t="str">
            <v>everyone</v>
          </cell>
        </row>
        <row r="395">
          <cell r="A395" t="str">
            <v>30009_3</v>
          </cell>
          <cell r="B395">
            <v>0</v>
          </cell>
          <cell r="C395">
            <v>30009</v>
          </cell>
          <cell r="D395" t="str">
            <v>復活の捕食者</v>
          </cell>
          <cell r="E395" t="str">
            <v>ドロップイベント3（マルチ専用）</v>
          </cell>
          <cell r="F395">
            <v>3</v>
          </cell>
          <cell r="G395" t="str">
            <v>ja</v>
          </cell>
          <cell r="H395" t="str">
            <v>【上級】復活の捕食者</v>
          </cell>
          <cell r="I395" t="str">
            <v>上級</v>
          </cell>
          <cell r="J395">
            <v>312</v>
          </cell>
          <cell r="K395">
            <v>20</v>
          </cell>
          <cell r="L395">
            <v>2000</v>
          </cell>
          <cell r="M395">
            <v>1</v>
          </cell>
          <cell r="N395">
            <v>1</v>
          </cell>
          <cell r="O395">
            <v>1</v>
          </cell>
          <cell r="P395">
            <v>1</v>
          </cell>
          <cell r="Q395">
            <v>1</v>
          </cell>
          <cell r="R395">
            <v>2</v>
          </cell>
          <cell r="S395" t="str">
            <v>none</v>
          </cell>
          <cell r="T395">
            <v>0</v>
          </cell>
          <cell r="U395" t="str">
            <v>NULL</v>
          </cell>
          <cell r="V395" t="str">
            <v>NULL</v>
          </cell>
          <cell r="W395" t="str">
            <v/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 t="str">
            <v>anytime</v>
          </cell>
          <cell r="AC395">
            <v>8</v>
          </cell>
          <cell r="AD395">
            <v>6</v>
          </cell>
          <cell r="AE395" t="str">
            <v>everyone</v>
          </cell>
        </row>
        <row r="396">
          <cell r="A396" t="str">
            <v>30009_1</v>
          </cell>
          <cell r="B396">
            <v>3</v>
          </cell>
          <cell r="C396">
            <v>30009</v>
          </cell>
          <cell r="D396" t="str">
            <v>復活の捕食者</v>
          </cell>
          <cell r="E396" t="str">
            <v>ドロップイベント3（マルチ専用）</v>
          </cell>
          <cell r="F396">
            <v>1</v>
          </cell>
          <cell r="G396" t="str">
            <v>ja</v>
          </cell>
          <cell r="H396" t="str">
            <v>【超級】復活の捕食者</v>
          </cell>
          <cell r="I396" t="str">
            <v>超級</v>
          </cell>
          <cell r="J396">
            <v>312</v>
          </cell>
          <cell r="K396">
            <v>30</v>
          </cell>
          <cell r="L396">
            <v>3300</v>
          </cell>
          <cell r="M396">
            <v>1</v>
          </cell>
          <cell r="N396">
            <v>1</v>
          </cell>
          <cell r="O396">
            <v>1</v>
          </cell>
          <cell r="P396">
            <v>1</v>
          </cell>
          <cell r="Q396">
            <v>1</v>
          </cell>
          <cell r="R396">
            <v>2</v>
          </cell>
          <cell r="S396" t="str">
            <v>none</v>
          </cell>
          <cell r="T396">
            <v>0</v>
          </cell>
          <cell r="U396" t="str">
            <v>NULL</v>
          </cell>
          <cell r="V396" t="str">
            <v>NULL</v>
          </cell>
          <cell r="W396" t="str">
            <v/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 t="str">
            <v>anytime</v>
          </cell>
          <cell r="AC396">
            <v>8</v>
          </cell>
          <cell r="AD396">
            <v>6</v>
          </cell>
          <cell r="AE396" t="str">
            <v>everyone</v>
          </cell>
        </row>
        <row r="397">
          <cell r="A397" t="str">
            <v>30009_2</v>
          </cell>
          <cell r="B397">
            <v>3</v>
          </cell>
          <cell r="C397">
            <v>30009</v>
          </cell>
          <cell r="D397" t="str">
            <v>復活の捕食者</v>
          </cell>
          <cell r="E397" t="str">
            <v>ドロップイベント3（マルチ専用）</v>
          </cell>
          <cell r="F397">
            <v>2</v>
          </cell>
          <cell r="G397" t="str">
            <v>ja</v>
          </cell>
          <cell r="H397" t="str">
            <v>【超絶級】復活の捕食者</v>
          </cell>
          <cell r="I397" t="str">
            <v>超絶級</v>
          </cell>
          <cell r="J397">
            <v>312</v>
          </cell>
          <cell r="K397">
            <v>35</v>
          </cell>
          <cell r="L397">
            <v>4200</v>
          </cell>
          <cell r="M397">
            <v>1</v>
          </cell>
          <cell r="N397">
            <v>1</v>
          </cell>
          <cell r="O397">
            <v>1</v>
          </cell>
          <cell r="P397">
            <v>1</v>
          </cell>
          <cell r="Q397">
            <v>1</v>
          </cell>
          <cell r="R397">
            <v>2</v>
          </cell>
          <cell r="S397" t="str">
            <v>polygon</v>
          </cell>
          <cell r="T397">
            <v>1</v>
          </cell>
          <cell r="U397" t="str">
            <v>NULL</v>
          </cell>
          <cell r="V397" t="str">
            <v>NULL</v>
          </cell>
          <cell r="W397" t="str">
            <v/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 t="str">
            <v>anytime</v>
          </cell>
          <cell r="AC397">
            <v>8</v>
          </cell>
          <cell r="AD397">
            <v>6</v>
          </cell>
          <cell r="AE397" t="str">
            <v>everyone</v>
          </cell>
        </row>
        <row r="398">
          <cell r="A398" t="str">
            <v>30010_1</v>
          </cell>
          <cell r="B398">
            <v>3</v>
          </cell>
          <cell r="C398">
            <v>30010</v>
          </cell>
          <cell r="D398" t="str">
            <v>最大最凶</v>
          </cell>
          <cell r="E398" t="str">
            <v>ドロップイベント3（マルチ専用）</v>
          </cell>
          <cell r="F398">
            <v>1</v>
          </cell>
          <cell r="G398" t="str">
            <v>ja</v>
          </cell>
          <cell r="H398" t="str">
            <v>【上級】最大最凶</v>
          </cell>
          <cell r="I398" t="str">
            <v>上級</v>
          </cell>
          <cell r="J398">
            <v>306</v>
          </cell>
          <cell r="K398">
            <v>20</v>
          </cell>
          <cell r="L398">
            <v>2000</v>
          </cell>
          <cell r="M398">
            <v>1</v>
          </cell>
          <cell r="N398">
            <v>1</v>
          </cell>
          <cell r="O398">
            <v>1</v>
          </cell>
          <cell r="P398">
            <v>1</v>
          </cell>
          <cell r="Q398">
            <v>1</v>
          </cell>
          <cell r="R398">
            <v>3</v>
          </cell>
          <cell r="S398" t="str">
            <v>none</v>
          </cell>
          <cell r="T398">
            <v>0</v>
          </cell>
          <cell r="U398" t="str">
            <v>NULL</v>
          </cell>
          <cell r="V398" t="str">
            <v>NULL</v>
          </cell>
          <cell r="W398" t="str">
            <v/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 t="str">
            <v>anytime</v>
          </cell>
          <cell r="AC398">
            <v>2</v>
          </cell>
          <cell r="AD398">
            <v>7</v>
          </cell>
          <cell r="AE398" t="str">
            <v>everyone</v>
          </cell>
        </row>
        <row r="399">
          <cell r="A399" t="str">
            <v>30010_2</v>
          </cell>
          <cell r="B399">
            <v>3</v>
          </cell>
          <cell r="C399">
            <v>30010</v>
          </cell>
          <cell r="D399" t="str">
            <v>最大最凶</v>
          </cell>
          <cell r="E399" t="str">
            <v>ドロップイベント3（マルチ専用）</v>
          </cell>
          <cell r="F399">
            <v>2</v>
          </cell>
          <cell r="G399" t="str">
            <v>ja</v>
          </cell>
          <cell r="H399" t="str">
            <v>【超級】最大最凶</v>
          </cell>
          <cell r="I399" t="str">
            <v>超級</v>
          </cell>
          <cell r="J399">
            <v>306</v>
          </cell>
          <cell r="K399">
            <v>30</v>
          </cell>
          <cell r="L399">
            <v>3300</v>
          </cell>
          <cell r="M399">
            <v>1</v>
          </cell>
          <cell r="N399">
            <v>1</v>
          </cell>
          <cell r="O399">
            <v>1</v>
          </cell>
          <cell r="P399">
            <v>1</v>
          </cell>
          <cell r="Q399">
            <v>1</v>
          </cell>
          <cell r="R399">
            <v>3</v>
          </cell>
          <cell r="S399" t="str">
            <v>none</v>
          </cell>
          <cell r="T399">
            <v>0</v>
          </cell>
          <cell r="U399" t="str">
            <v>NULL</v>
          </cell>
          <cell r="V399" t="str">
            <v>NULL</v>
          </cell>
          <cell r="W399" t="str">
            <v/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 t="str">
            <v>anytime</v>
          </cell>
          <cell r="AC399">
            <v>2</v>
          </cell>
          <cell r="AD399">
            <v>7</v>
          </cell>
          <cell r="AE399" t="str">
            <v>everyone</v>
          </cell>
        </row>
        <row r="400">
          <cell r="A400" t="str">
            <v>30010_3</v>
          </cell>
          <cell r="B400">
            <v>3</v>
          </cell>
          <cell r="C400">
            <v>30010</v>
          </cell>
          <cell r="D400" t="str">
            <v>最大最凶</v>
          </cell>
          <cell r="E400" t="str">
            <v>ドロップイベント3（マルチ専用）</v>
          </cell>
          <cell r="F400">
            <v>3</v>
          </cell>
          <cell r="G400" t="str">
            <v>ja</v>
          </cell>
          <cell r="H400" t="str">
            <v>【超絶級】最大最凶</v>
          </cell>
          <cell r="I400" t="str">
            <v>超絶級</v>
          </cell>
          <cell r="J400">
            <v>306</v>
          </cell>
          <cell r="K400">
            <v>35</v>
          </cell>
          <cell r="L400">
            <v>4200</v>
          </cell>
          <cell r="M400">
            <v>1</v>
          </cell>
          <cell r="N400">
            <v>1</v>
          </cell>
          <cell r="O400">
            <v>1</v>
          </cell>
          <cell r="P400">
            <v>1</v>
          </cell>
          <cell r="Q400">
            <v>1</v>
          </cell>
          <cell r="R400">
            <v>3</v>
          </cell>
          <cell r="S400" t="str">
            <v>polygon</v>
          </cell>
          <cell r="T400">
            <v>1</v>
          </cell>
          <cell r="U400" t="str">
            <v>NULL</v>
          </cell>
          <cell r="V400" t="str">
            <v>NULL</v>
          </cell>
          <cell r="W400" t="str">
            <v/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 t="str">
            <v>anytime</v>
          </cell>
          <cell r="AC400">
            <v>2</v>
          </cell>
          <cell r="AD400">
            <v>7</v>
          </cell>
          <cell r="AE400" t="str">
            <v>everyone</v>
          </cell>
        </row>
        <row r="401">
          <cell r="A401" t="str">
            <v>30011_1</v>
          </cell>
          <cell r="B401">
            <v>3</v>
          </cell>
          <cell r="C401">
            <v>30011</v>
          </cell>
          <cell r="D401" t="str">
            <v>気怠い巨読者</v>
          </cell>
          <cell r="E401" t="str">
            <v>ドロップイベント3（マルチ専用）</v>
          </cell>
          <cell r="F401">
            <v>1</v>
          </cell>
          <cell r="G401" t="str">
            <v>ja</v>
          </cell>
          <cell r="H401" t="str">
            <v>【上級】気怠い巨読者</v>
          </cell>
          <cell r="I401" t="str">
            <v>上級</v>
          </cell>
          <cell r="J401">
            <v>308</v>
          </cell>
          <cell r="K401">
            <v>20</v>
          </cell>
          <cell r="L401">
            <v>2000</v>
          </cell>
          <cell r="M401">
            <v>1</v>
          </cell>
          <cell r="N401">
            <v>1</v>
          </cell>
          <cell r="O401">
            <v>1</v>
          </cell>
          <cell r="P401">
            <v>1</v>
          </cell>
          <cell r="Q401">
            <v>1</v>
          </cell>
          <cell r="R401">
            <v>2</v>
          </cell>
          <cell r="S401" t="str">
            <v>none</v>
          </cell>
          <cell r="T401">
            <v>0</v>
          </cell>
          <cell r="U401" t="str">
            <v>NULL</v>
          </cell>
          <cell r="V401" t="str">
            <v>NULL</v>
          </cell>
          <cell r="W401" t="str">
            <v/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 t="str">
            <v>anytime</v>
          </cell>
          <cell r="AC401">
            <v>19</v>
          </cell>
          <cell r="AD401">
            <v>6</v>
          </cell>
          <cell r="AE401" t="str">
            <v>everyone</v>
          </cell>
        </row>
        <row r="402">
          <cell r="A402" t="str">
            <v>30011_2</v>
          </cell>
          <cell r="B402">
            <v>3</v>
          </cell>
          <cell r="C402">
            <v>30011</v>
          </cell>
          <cell r="D402" t="str">
            <v>気怠い巨読者</v>
          </cell>
          <cell r="E402" t="str">
            <v>ドロップイベント3（マルチ専用）</v>
          </cell>
          <cell r="F402">
            <v>2</v>
          </cell>
          <cell r="G402" t="str">
            <v>ja</v>
          </cell>
          <cell r="H402" t="str">
            <v>【超級】気怠い巨読者</v>
          </cell>
          <cell r="I402" t="str">
            <v>超級</v>
          </cell>
          <cell r="J402">
            <v>308</v>
          </cell>
          <cell r="K402">
            <v>30</v>
          </cell>
          <cell r="L402">
            <v>3300</v>
          </cell>
          <cell r="M402">
            <v>1</v>
          </cell>
          <cell r="N402">
            <v>1</v>
          </cell>
          <cell r="O402">
            <v>1</v>
          </cell>
          <cell r="P402">
            <v>1</v>
          </cell>
          <cell r="Q402">
            <v>1</v>
          </cell>
          <cell r="R402">
            <v>2</v>
          </cell>
          <cell r="S402" t="str">
            <v>none</v>
          </cell>
          <cell r="T402">
            <v>0</v>
          </cell>
          <cell r="U402" t="str">
            <v>NULL</v>
          </cell>
          <cell r="V402" t="str">
            <v>NULL</v>
          </cell>
          <cell r="W402" t="str">
            <v/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 t="str">
            <v>anytime</v>
          </cell>
          <cell r="AC402">
            <v>19</v>
          </cell>
          <cell r="AD402">
            <v>6</v>
          </cell>
          <cell r="AE402" t="str">
            <v>everyone</v>
          </cell>
        </row>
        <row r="403">
          <cell r="A403" t="str">
            <v>30011_3</v>
          </cell>
          <cell r="B403">
            <v>3</v>
          </cell>
          <cell r="C403">
            <v>30011</v>
          </cell>
          <cell r="D403" t="str">
            <v>気怠い巨読者</v>
          </cell>
          <cell r="E403" t="str">
            <v>ドロップイベント3（マルチ専用）</v>
          </cell>
          <cell r="F403">
            <v>3</v>
          </cell>
          <cell r="G403" t="str">
            <v>ja</v>
          </cell>
          <cell r="H403" t="str">
            <v>【超絶級】気怠い巨読者</v>
          </cell>
          <cell r="I403" t="str">
            <v>超絶級</v>
          </cell>
          <cell r="J403">
            <v>309</v>
          </cell>
          <cell r="K403">
            <v>35</v>
          </cell>
          <cell r="L403">
            <v>4200</v>
          </cell>
          <cell r="M403">
            <v>1</v>
          </cell>
          <cell r="N403">
            <v>1</v>
          </cell>
          <cell r="O403">
            <v>1</v>
          </cell>
          <cell r="P403">
            <v>1</v>
          </cell>
          <cell r="Q403">
            <v>1</v>
          </cell>
          <cell r="R403">
            <v>2</v>
          </cell>
          <cell r="S403" t="str">
            <v>polygon</v>
          </cell>
          <cell r="T403">
            <v>1</v>
          </cell>
          <cell r="U403" t="str">
            <v>NULL</v>
          </cell>
          <cell r="V403" t="str">
            <v>NULL</v>
          </cell>
          <cell r="W403" t="str">
            <v/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 t="str">
            <v>anytime</v>
          </cell>
          <cell r="AC403">
            <v>19</v>
          </cell>
          <cell r="AD403">
            <v>6</v>
          </cell>
          <cell r="AE403" t="str">
            <v>everyone</v>
          </cell>
        </row>
        <row r="404">
          <cell r="A404" t="str">
            <v>30012_1</v>
          </cell>
          <cell r="B404">
            <v>3</v>
          </cell>
          <cell r="C404">
            <v>30012</v>
          </cell>
          <cell r="D404" t="str">
            <v>底なしの胃袋</v>
          </cell>
          <cell r="E404" t="str">
            <v>ドロップイベント3（マルチ専用）</v>
          </cell>
          <cell r="F404">
            <v>1</v>
          </cell>
          <cell r="G404" t="str">
            <v>ja</v>
          </cell>
          <cell r="H404" t="str">
            <v>【上級】底なしの胃袋</v>
          </cell>
          <cell r="I404" t="str">
            <v>上級</v>
          </cell>
          <cell r="J404">
            <v>310</v>
          </cell>
          <cell r="K404">
            <v>20</v>
          </cell>
          <cell r="L404">
            <v>2000</v>
          </cell>
          <cell r="M404">
            <v>1</v>
          </cell>
          <cell r="N404">
            <v>1</v>
          </cell>
          <cell r="O404">
            <v>1</v>
          </cell>
          <cell r="P404">
            <v>1</v>
          </cell>
          <cell r="Q404">
            <v>0</v>
          </cell>
          <cell r="R404">
            <v>3</v>
          </cell>
          <cell r="S404" t="str">
            <v>none</v>
          </cell>
          <cell r="T404">
            <v>0</v>
          </cell>
          <cell r="U404" t="str">
            <v>NULL</v>
          </cell>
          <cell r="V404" t="str">
            <v>NULL</v>
          </cell>
          <cell r="W404" t="str">
            <v/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 t="str">
            <v>anytime</v>
          </cell>
          <cell r="AC404">
            <v>5</v>
          </cell>
          <cell r="AD404">
            <v>6</v>
          </cell>
          <cell r="AE404" t="str">
            <v>everyone</v>
          </cell>
        </row>
        <row r="405">
          <cell r="A405" t="str">
            <v>30012_2</v>
          </cell>
          <cell r="B405">
            <v>3</v>
          </cell>
          <cell r="C405">
            <v>30012</v>
          </cell>
          <cell r="D405" t="str">
            <v>底なしの胃袋</v>
          </cell>
          <cell r="E405" t="str">
            <v>ドロップイベント3（マルチ専用）</v>
          </cell>
          <cell r="F405">
            <v>2</v>
          </cell>
          <cell r="G405" t="str">
            <v>ja</v>
          </cell>
          <cell r="H405" t="str">
            <v>【超級】底なしの胃袋</v>
          </cell>
          <cell r="I405" t="str">
            <v>超級</v>
          </cell>
          <cell r="J405">
            <v>310</v>
          </cell>
          <cell r="K405">
            <v>30</v>
          </cell>
          <cell r="L405">
            <v>3300</v>
          </cell>
          <cell r="M405">
            <v>1</v>
          </cell>
          <cell r="N405">
            <v>1</v>
          </cell>
          <cell r="O405">
            <v>1</v>
          </cell>
          <cell r="P405">
            <v>1</v>
          </cell>
          <cell r="Q405">
            <v>0</v>
          </cell>
          <cell r="R405">
            <v>3</v>
          </cell>
          <cell r="S405" t="str">
            <v>none</v>
          </cell>
          <cell r="T405">
            <v>0</v>
          </cell>
          <cell r="U405" t="str">
            <v>NULL</v>
          </cell>
          <cell r="V405" t="str">
            <v>NULL</v>
          </cell>
          <cell r="W405" t="str">
            <v/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 t="str">
            <v>anytime</v>
          </cell>
          <cell r="AC405">
            <v>5</v>
          </cell>
          <cell r="AD405">
            <v>6</v>
          </cell>
          <cell r="AE405" t="str">
            <v>everyone</v>
          </cell>
        </row>
        <row r="406">
          <cell r="A406" t="str">
            <v>30012_3</v>
          </cell>
          <cell r="B406">
            <v>3</v>
          </cell>
          <cell r="C406">
            <v>30012</v>
          </cell>
          <cell r="D406" t="str">
            <v>底なしの胃袋</v>
          </cell>
          <cell r="E406" t="str">
            <v>ドロップイベント3（マルチ専用）</v>
          </cell>
          <cell r="F406">
            <v>3</v>
          </cell>
          <cell r="G406" t="str">
            <v>ja</v>
          </cell>
          <cell r="H406" t="str">
            <v>【超絶級】底なしの胃袋</v>
          </cell>
          <cell r="I406" t="str">
            <v>超絶級</v>
          </cell>
          <cell r="J406">
            <v>310</v>
          </cell>
          <cell r="K406">
            <v>35</v>
          </cell>
          <cell r="L406">
            <v>4200</v>
          </cell>
          <cell r="M406">
            <v>1</v>
          </cell>
          <cell r="N406">
            <v>1</v>
          </cell>
          <cell r="O406">
            <v>1</v>
          </cell>
          <cell r="P406">
            <v>1</v>
          </cell>
          <cell r="Q406">
            <v>0</v>
          </cell>
          <cell r="R406">
            <v>3</v>
          </cell>
          <cell r="S406" t="str">
            <v>polygon</v>
          </cell>
          <cell r="T406">
            <v>1</v>
          </cell>
          <cell r="U406" t="str">
            <v>NULL</v>
          </cell>
          <cell r="V406" t="str">
            <v>NULL</v>
          </cell>
          <cell r="W406" t="str">
            <v/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 t="str">
            <v>anytime</v>
          </cell>
          <cell r="AC406">
            <v>5</v>
          </cell>
          <cell r="AD406">
            <v>6</v>
          </cell>
          <cell r="AE406" t="str">
            <v>everyone</v>
          </cell>
        </row>
        <row r="407">
          <cell r="A407" t="str">
            <v>30013_1</v>
          </cell>
          <cell r="B407">
            <v>3</v>
          </cell>
          <cell r="C407">
            <v>30013</v>
          </cell>
          <cell r="D407" t="str">
            <v>決戦・竜宮城</v>
          </cell>
          <cell r="E407" t="str">
            <v>ドロップイベント4（マルチ専用）</v>
          </cell>
          <cell r="F407">
            <v>1</v>
          </cell>
          <cell r="G407" t="str">
            <v>ja</v>
          </cell>
          <cell r="H407" t="str">
            <v>【超級】決戦・竜宮城</v>
          </cell>
          <cell r="I407" t="str">
            <v>超級</v>
          </cell>
          <cell r="J407">
            <v>418</v>
          </cell>
          <cell r="K407">
            <v>30</v>
          </cell>
          <cell r="L407">
            <v>3300</v>
          </cell>
          <cell r="M407">
            <v>1</v>
          </cell>
          <cell r="N407">
            <v>1</v>
          </cell>
          <cell r="O407">
            <v>1</v>
          </cell>
          <cell r="P407">
            <v>1</v>
          </cell>
          <cell r="Q407">
            <v>1</v>
          </cell>
          <cell r="R407">
            <v>3</v>
          </cell>
          <cell r="S407" t="str">
            <v>none</v>
          </cell>
          <cell r="T407">
            <v>0</v>
          </cell>
          <cell r="U407" t="str">
            <v>NULL</v>
          </cell>
          <cell r="V407" t="str">
            <v>NULL</v>
          </cell>
          <cell r="W407" t="str">
            <v/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 t="str">
            <v>anytime</v>
          </cell>
          <cell r="AC407">
            <v>17</v>
          </cell>
          <cell r="AD407">
            <v>6</v>
          </cell>
          <cell r="AE407" t="str">
            <v>everyone</v>
          </cell>
        </row>
        <row r="408">
          <cell r="A408" t="str">
            <v>30013_2</v>
          </cell>
          <cell r="B408">
            <v>3</v>
          </cell>
          <cell r="C408">
            <v>30013</v>
          </cell>
          <cell r="D408" t="str">
            <v>決戦・竜宮城</v>
          </cell>
          <cell r="E408" t="str">
            <v>ドロップイベント4（マルチ専用）</v>
          </cell>
          <cell r="F408">
            <v>2</v>
          </cell>
          <cell r="G408" t="str">
            <v>ja</v>
          </cell>
          <cell r="H408" t="str">
            <v>【超絶級】決戦・竜宮城</v>
          </cell>
          <cell r="I408" t="str">
            <v>超絶級</v>
          </cell>
          <cell r="J408">
            <v>419</v>
          </cell>
          <cell r="K408">
            <v>35</v>
          </cell>
          <cell r="L408">
            <v>4200</v>
          </cell>
          <cell r="M408">
            <v>1</v>
          </cell>
          <cell r="N408">
            <v>1</v>
          </cell>
          <cell r="O408">
            <v>1</v>
          </cell>
          <cell r="P408">
            <v>1</v>
          </cell>
          <cell r="Q408">
            <v>1</v>
          </cell>
          <cell r="R408">
            <v>3</v>
          </cell>
          <cell r="S408" t="str">
            <v>polygon</v>
          </cell>
          <cell r="T408">
            <v>1</v>
          </cell>
          <cell r="U408" t="str">
            <v>NULL</v>
          </cell>
          <cell r="V408" t="str">
            <v>NULL</v>
          </cell>
          <cell r="W408" t="str">
            <v/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 t="str">
            <v>anytime</v>
          </cell>
          <cell r="AC408">
            <v>17</v>
          </cell>
          <cell r="AD408">
            <v>6</v>
          </cell>
          <cell r="AE408" t="str">
            <v>everyone</v>
          </cell>
        </row>
        <row r="409">
          <cell r="A409" t="str">
            <v>30014_1</v>
          </cell>
          <cell r="B409">
            <v>3</v>
          </cell>
          <cell r="C409">
            <v>30014</v>
          </cell>
          <cell r="D409" t="str">
            <v>親指を突き立てろ！</v>
          </cell>
          <cell r="E409" t="str">
            <v>ドロップイベント4（マルチ専用）</v>
          </cell>
          <cell r="F409">
            <v>1</v>
          </cell>
          <cell r="G409" t="str">
            <v>ja</v>
          </cell>
          <cell r="H409" t="str">
            <v>【超級】親指を突き立てろ！</v>
          </cell>
          <cell r="I409" t="str">
            <v>超級</v>
          </cell>
          <cell r="J409">
            <v>420</v>
          </cell>
          <cell r="K409">
            <v>30</v>
          </cell>
          <cell r="L409">
            <v>3300</v>
          </cell>
          <cell r="M409">
            <v>1</v>
          </cell>
          <cell r="N409">
            <v>1</v>
          </cell>
          <cell r="O409">
            <v>1</v>
          </cell>
          <cell r="P409">
            <v>1</v>
          </cell>
          <cell r="Q409">
            <v>1</v>
          </cell>
          <cell r="R409">
            <v>3</v>
          </cell>
          <cell r="S409" t="str">
            <v>none</v>
          </cell>
          <cell r="T409">
            <v>0</v>
          </cell>
          <cell r="U409" t="str">
            <v>NULL</v>
          </cell>
          <cell r="V409" t="str">
            <v>NULL</v>
          </cell>
          <cell r="W409" t="str">
            <v/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 t="str">
            <v>anytime</v>
          </cell>
          <cell r="AC409">
            <v>23</v>
          </cell>
          <cell r="AD409">
            <v>5</v>
          </cell>
          <cell r="AE409" t="str">
            <v>everyone</v>
          </cell>
        </row>
        <row r="410">
          <cell r="A410" t="str">
            <v>30014_2</v>
          </cell>
          <cell r="B410">
            <v>3</v>
          </cell>
          <cell r="C410">
            <v>30014</v>
          </cell>
          <cell r="D410" t="str">
            <v>親指を突き立てろ！</v>
          </cell>
          <cell r="E410" t="str">
            <v>ドロップイベント4（マルチ専用）</v>
          </cell>
          <cell r="F410">
            <v>2</v>
          </cell>
          <cell r="G410" t="str">
            <v>ja</v>
          </cell>
          <cell r="H410" t="str">
            <v>【超絶級】親指を突き立てろ！</v>
          </cell>
          <cell r="I410" t="str">
            <v>超絶級</v>
          </cell>
          <cell r="J410">
            <v>421</v>
          </cell>
          <cell r="K410">
            <v>35</v>
          </cell>
          <cell r="L410">
            <v>4200</v>
          </cell>
          <cell r="M410">
            <v>1</v>
          </cell>
          <cell r="N410">
            <v>1</v>
          </cell>
          <cell r="O410">
            <v>1</v>
          </cell>
          <cell r="P410">
            <v>1</v>
          </cell>
          <cell r="Q410">
            <v>1</v>
          </cell>
          <cell r="R410">
            <v>3</v>
          </cell>
          <cell r="S410" t="str">
            <v>polygon</v>
          </cell>
          <cell r="T410">
            <v>1</v>
          </cell>
          <cell r="U410" t="str">
            <v>NULL</v>
          </cell>
          <cell r="V410" t="str">
            <v>NULL</v>
          </cell>
          <cell r="W410" t="str">
            <v/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 t="str">
            <v>anytime</v>
          </cell>
          <cell r="AC410">
            <v>23</v>
          </cell>
          <cell r="AD410">
            <v>5</v>
          </cell>
          <cell r="AE410" t="str">
            <v>everyone</v>
          </cell>
        </row>
        <row r="411">
          <cell r="A411" t="str">
            <v>30015_1</v>
          </cell>
          <cell r="B411">
            <v>3</v>
          </cell>
          <cell r="C411">
            <v>30015</v>
          </cell>
          <cell r="D411" t="str">
            <v>兄妹の大冒険</v>
          </cell>
          <cell r="E411" t="str">
            <v>ドロップイベント4（マルチ専用）</v>
          </cell>
          <cell r="F411">
            <v>1</v>
          </cell>
          <cell r="G411" t="str">
            <v>ja</v>
          </cell>
          <cell r="H411" t="str">
            <v>【超級】兄妹の大冒険</v>
          </cell>
          <cell r="I411" t="str">
            <v>超級</v>
          </cell>
          <cell r="J411">
            <v>422</v>
          </cell>
          <cell r="K411">
            <v>30</v>
          </cell>
          <cell r="L411">
            <v>3300</v>
          </cell>
          <cell r="M411">
            <v>1</v>
          </cell>
          <cell r="N411">
            <v>1</v>
          </cell>
          <cell r="O411">
            <v>1</v>
          </cell>
          <cell r="P411">
            <v>1</v>
          </cell>
          <cell r="Q411">
            <v>1</v>
          </cell>
          <cell r="R411">
            <v>3</v>
          </cell>
          <cell r="S411" t="str">
            <v>none</v>
          </cell>
          <cell r="T411">
            <v>0</v>
          </cell>
          <cell r="U411" t="str">
            <v>NULL</v>
          </cell>
          <cell r="V411" t="str">
            <v>NULL</v>
          </cell>
          <cell r="W411" t="str">
            <v/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 t="str">
            <v>anytime</v>
          </cell>
          <cell r="AC411">
            <v>16</v>
          </cell>
          <cell r="AD411">
            <v>6</v>
          </cell>
          <cell r="AE411" t="str">
            <v>everyone</v>
          </cell>
        </row>
        <row r="412">
          <cell r="A412" t="str">
            <v>30015_2</v>
          </cell>
          <cell r="B412">
            <v>3</v>
          </cell>
          <cell r="C412">
            <v>30015</v>
          </cell>
          <cell r="D412" t="str">
            <v>兄妹の大冒険</v>
          </cell>
          <cell r="E412" t="str">
            <v>ドロップイベント4（マルチ専用）</v>
          </cell>
          <cell r="F412">
            <v>2</v>
          </cell>
          <cell r="G412" t="str">
            <v>ja</v>
          </cell>
          <cell r="H412" t="str">
            <v>【超絶級】兄妹の大冒険</v>
          </cell>
          <cell r="I412" t="str">
            <v>超絶級</v>
          </cell>
          <cell r="J412">
            <v>423</v>
          </cell>
          <cell r="K412">
            <v>35</v>
          </cell>
          <cell r="L412">
            <v>4200</v>
          </cell>
          <cell r="M412">
            <v>1</v>
          </cell>
          <cell r="N412">
            <v>1</v>
          </cell>
          <cell r="O412">
            <v>1</v>
          </cell>
          <cell r="P412">
            <v>1</v>
          </cell>
          <cell r="Q412">
            <v>1</v>
          </cell>
          <cell r="R412">
            <v>3</v>
          </cell>
          <cell r="S412" t="str">
            <v>polygon</v>
          </cell>
          <cell r="T412">
            <v>1</v>
          </cell>
          <cell r="U412" t="str">
            <v>NULL</v>
          </cell>
          <cell r="V412" t="str">
            <v>NULL</v>
          </cell>
          <cell r="W412" t="str">
            <v/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 t="str">
            <v>anytime</v>
          </cell>
          <cell r="AC412">
            <v>16</v>
          </cell>
          <cell r="AD412">
            <v>6</v>
          </cell>
          <cell r="AE412" t="str">
            <v>everyone</v>
          </cell>
        </row>
        <row r="413">
          <cell r="A413" t="str">
            <v>30016_1</v>
          </cell>
          <cell r="B413">
            <v>3</v>
          </cell>
          <cell r="C413">
            <v>30016</v>
          </cell>
          <cell r="D413" t="str">
            <v>私がワニの天敵よ？</v>
          </cell>
          <cell r="E413" t="str">
            <v>ドロップイベント4（マルチ専用）</v>
          </cell>
          <cell r="F413">
            <v>1</v>
          </cell>
          <cell r="G413" t="str">
            <v>ja</v>
          </cell>
          <cell r="H413" t="str">
            <v>【超級】私がワニの天敵よ？</v>
          </cell>
          <cell r="I413" t="str">
            <v>超級</v>
          </cell>
          <cell r="J413">
            <v>424</v>
          </cell>
          <cell r="K413">
            <v>30</v>
          </cell>
          <cell r="L413">
            <v>3300</v>
          </cell>
          <cell r="M413">
            <v>1</v>
          </cell>
          <cell r="N413">
            <v>1</v>
          </cell>
          <cell r="O413">
            <v>1</v>
          </cell>
          <cell r="P413">
            <v>1</v>
          </cell>
          <cell r="Q413">
            <v>1</v>
          </cell>
          <cell r="R413">
            <v>3</v>
          </cell>
          <cell r="S413" t="str">
            <v>none</v>
          </cell>
          <cell r="T413">
            <v>0</v>
          </cell>
          <cell r="U413" t="str">
            <v>NULL</v>
          </cell>
          <cell r="V413" t="str">
            <v>NULL</v>
          </cell>
          <cell r="W413" t="str">
            <v/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 t="str">
            <v>anytime</v>
          </cell>
          <cell r="AC413">
            <v>4</v>
          </cell>
          <cell r="AD413">
            <v>6</v>
          </cell>
          <cell r="AE413" t="str">
            <v>everyone</v>
          </cell>
        </row>
        <row r="414">
          <cell r="A414" t="str">
            <v>30016_2</v>
          </cell>
          <cell r="B414">
            <v>3</v>
          </cell>
          <cell r="C414">
            <v>30016</v>
          </cell>
          <cell r="D414" t="str">
            <v>私がワニの天敵よ？</v>
          </cell>
          <cell r="E414" t="str">
            <v>ドロップイベント4（マルチ専用）</v>
          </cell>
          <cell r="F414">
            <v>2</v>
          </cell>
          <cell r="G414" t="str">
            <v>ja</v>
          </cell>
          <cell r="H414" t="str">
            <v>【超絶級】私がワニの天敵よ？</v>
          </cell>
          <cell r="I414" t="str">
            <v>超絶級</v>
          </cell>
          <cell r="J414">
            <v>425</v>
          </cell>
          <cell r="K414">
            <v>35</v>
          </cell>
          <cell r="L414">
            <v>4200</v>
          </cell>
          <cell r="M414">
            <v>1</v>
          </cell>
          <cell r="N414">
            <v>1</v>
          </cell>
          <cell r="O414">
            <v>1</v>
          </cell>
          <cell r="P414">
            <v>1</v>
          </cell>
          <cell r="Q414">
            <v>1</v>
          </cell>
          <cell r="R414">
            <v>3</v>
          </cell>
          <cell r="S414" t="str">
            <v>polygon</v>
          </cell>
          <cell r="T414">
            <v>1</v>
          </cell>
          <cell r="U414" t="str">
            <v>NULL</v>
          </cell>
          <cell r="V414" t="str">
            <v>NULL</v>
          </cell>
          <cell r="W414" t="str">
            <v/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 t="str">
            <v>anytime</v>
          </cell>
          <cell r="AC414">
            <v>4</v>
          </cell>
          <cell r="AD414">
            <v>6</v>
          </cell>
          <cell r="AE414" t="str">
            <v>everyone</v>
          </cell>
        </row>
        <row r="415">
          <cell r="A415" t="str">
            <v>30017_1</v>
          </cell>
          <cell r="B415">
            <v>3</v>
          </cell>
          <cell r="C415">
            <v>30017</v>
          </cell>
          <cell r="D415" t="str">
            <v>狩人の挽歌</v>
          </cell>
          <cell r="E415" t="str">
            <v>ドロップイベント5（マルチ専用）</v>
          </cell>
          <cell r="F415">
            <v>1</v>
          </cell>
          <cell r="G415" t="str">
            <v>ja</v>
          </cell>
          <cell r="H415" t="str">
            <v>【超級】狩人の挽歌</v>
          </cell>
          <cell r="I415" t="str">
            <v>超級</v>
          </cell>
          <cell r="J415">
            <v>452</v>
          </cell>
          <cell r="K415">
            <v>30</v>
          </cell>
          <cell r="L415">
            <v>3300</v>
          </cell>
          <cell r="M415">
            <v>1</v>
          </cell>
          <cell r="N415">
            <v>1</v>
          </cell>
          <cell r="O415">
            <v>1</v>
          </cell>
          <cell r="P415">
            <v>1</v>
          </cell>
          <cell r="Q415">
            <v>1</v>
          </cell>
          <cell r="R415">
            <v>3</v>
          </cell>
          <cell r="S415" t="str">
            <v>none</v>
          </cell>
          <cell r="T415">
            <v>0</v>
          </cell>
          <cell r="U415" t="str">
            <v>NULL</v>
          </cell>
          <cell r="V415" t="str">
            <v>NULL</v>
          </cell>
          <cell r="W415" t="str">
            <v/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 t="str">
            <v>anytime</v>
          </cell>
          <cell r="AC415">
            <v>20</v>
          </cell>
          <cell r="AD415">
            <v>6</v>
          </cell>
          <cell r="AE415" t="str">
            <v>multionly</v>
          </cell>
        </row>
        <row r="416">
          <cell r="A416" t="str">
            <v>30017_2</v>
          </cell>
          <cell r="B416">
            <v>3</v>
          </cell>
          <cell r="C416">
            <v>30017</v>
          </cell>
          <cell r="D416" t="str">
            <v>狩人の挽歌</v>
          </cell>
          <cell r="E416" t="str">
            <v>ドロップイベント5（マルチ専用）</v>
          </cell>
          <cell r="F416">
            <v>2</v>
          </cell>
          <cell r="G416" t="str">
            <v>ja</v>
          </cell>
          <cell r="H416" t="str">
            <v>【超絶級】狩人の挽歌</v>
          </cell>
          <cell r="I416" t="str">
            <v>超絶級</v>
          </cell>
          <cell r="J416">
            <v>453</v>
          </cell>
          <cell r="K416">
            <v>35</v>
          </cell>
          <cell r="L416">
            <v>4200</v>
          </cell>
          <cell r="M416">
            <v>1</v>
          </cell>
          <cell r="N416">
            <v>1</v>
          </cell>
          <cell r="O416">
            <v>1</v>
          </cell>
          <cell r="P416">
            <v>1</v>
          </cell>
          <cell r="Q416">
            <v>1</v>
          </cell>
          <cell r="R416">
            <v>3</v>
          </cell>
          <cell r="S416" t="str">
            <v>polygon</v>
          </cell>
          <cell r="T416">
            <v>1</v>
          </cell>
          <cell r="U416" t="str">
            <v>NULL</v>
          </cell>
          <cell r="V416" t="str">
            <v>NULL</v>
          </cell>
          <cell r="W416" t="str">
            <v/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 t="str">
            <v>anytime</v>
          </cell>
          <cell r="AC416">
            <v>20</v>
          </cell>
          <cell r="AD416">
            <v>6</v>
          </cell>
          <cell r="AE416" t="str">
            <v>multionly</v>
          </cell>
        </row>
        <row r="417">
          <cell r="A417" t="str">
            <v>30018_1</v>
          </cell>
          <cell r="B417">
            <v>3</v>
          </cell>
          <cell r="C417">
            <v>30018</v>
          </cell>
          <cell r="D417" t="str">
            <v>バックストリートファイト</v>
          </cell>
          <cell r="E417" t="str">
            <v>ドロップイベント5（マルチ専用）</v>
          </cell>
          <cell r="F417">
            <v>1</v>
          </cell>
          <cell r="G417" t="str">
            <v>ja</v>
          </cell>
          <cell r="H417" t="str">
            <v>【超級】バックストリートファイト</v>
          </cell>
          <cell r="I417" t="str">
            <v>超級</v>
          </cell>
          <cell r="J417">
            <v>454</v>
          </cell>
          <cell r="K417">
            <v>30</v>
          </cell>
          <cell r="L417">
            <v>3300</v>
          </cell>
          <cell r="M417">
            <v>1</v>
          </cell>
          <cell r="N417">
            <v>1</v>
          </cell>
          <cell r="O417">
            <v>1</v>
          </cell>
          <cell r="P417">
            <v>1</v>
          </cell>
          <cell r="Q417">
            <v>0</v>
          </cell>
          <cell r="R417">
            <v>3</v>
          </cell>
          <cell r="S417" t="str">
            <v>none</v>
          </cell>
          <cell r="T417">
            <v>0</v>
          </cell>
          <cell r="U417" t="str">
            <v>NULL</v>
          </cell>
          <cell r="V417" t="str">
            <v>NULL</v>
          </cell>
          <cell r="W417" t="str">
            <v/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 t="str">
            <v>anytime</v>
          </cell>
          <cell r="AC417">
            <v>14</v>
          </cell>
          <cell r="AD417">
            <v>6</v>
          </cell>
          <cell r="AE417" t="str">
            <v>everyone</v>
          </cell>
        </row>
        <row r="418">
          <cell r="A418" t="str">
            <v>30018_2</v>
          </cell>
          <cell r="B418">
            <v>3</v>
          </cell>
          <cell r="C418">
            <v>30018</v>
          </cell>
          <cell r="D418" t="str">
            <v>バックストリートファイト</v>
          </cell>
          <cell r="E418" t="str">
            <v>ドロップイベント5（マルチ専用）</v>
          </cell>
          <cell r="F418">
            <v>2</v>
          </cell>
          <cell r="G418" t="str">
            <v>ja</v>
          </cell>
          <cell r="H418" t="str">
            <v>【超絶級】バックストリートファイト</v>
          </cell>
          <cell r="I418" t="str">
            <v>超絶級</v>
          </cell>
          <cell r="J418">
            <v>455</v>
          </cell>
          <cell r="K418">
            <v>35</v>
          </cell>
          <cell r="L418">
            <v>4200</v>
          </cell>
          <cell r="M418">
            <v>1</v>
          </cell>
          <cell r="N418">
            <v>1</v>
          </cell>
          <cell r="O418">
            <v>1</v>
          </cell>
          <cell r="P418">
            <v>1</v>
          </cell>
          <cell r="Q418">
            <v>0</v>
          </cell>
          <cell r="R418">
            <v>3</v>
          </cell>
          <cell r="S418" t="str">
            <v>polygon</v>
          </cell>
          <cell r="T418">
            <v>1</v>
          </cell>
          <cell r="U418" t="str">
            <v>NULL</v>
          </cell>
          <cell r="V418" t="str">
            <v>NULL</v>
          </cell>
          <cell r="W418" t="str">
            <v/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 t="str">
            <v>anytime</v>
          </cell>
          <cell r="AC418">
            <v>14</v>
          </cell>
          <cell r="AD418">
            <v>6</v>
          </cell>
          <cell r="AE418" t="str">
            <v>everyone</v>
          </cell>
        </row>
        <row r="419">
          <cell r="A419" t="str">
            <v>30019_1</v>
          </cell>
          <cell r="B419">
            <v>3</v>
          </cell>
          <cell r="C419">
            <v>30019</v>
          </cell>
          <cell r="D419" t="str">
            <v>狙撃は終わらない</v>
          </cell>
          <cell r="E419" t="str">
            <v>ドロップイベント5（マルチ専用）</v>
          </cell>
          <cell r="F419">
            <v>1</v>
          </cell>
          <cell r="G419" t="str">
            <v>ja</v>
          </cell>
          <cell r="H419" t="str">
            <v>【超級】狙撃は終わらない</v>
          </cell>
          <cell r="I419" t="str">
            <v>超級</v>
          </cell>
          <cell r="J419">
            <v>456</v>
          </cell>
          <cell r="K419">
            <v>30</v>
          </cell>
          <cell r="L419">
            <v>3300</v>
          </cell>
          <cell r="M419">
            <v>1</v>
          </cell>
          <cell r="N419">
            <v>1</v>
          </cell>
          <cell r="O419">
            <v>1</v>
          </cell>
          <cell r="P419">
            <v>1</v>
          </cell>
          <cell r="Q419">
            <v>1</v>
          </cell>
          <cell r="R419">
            <v>3</v>
          </cell>
          <cell r="S419" t="str">
            <v>none</v>
          </cell>
          <cell r="T419">
            <v>0</v>
          </cell>
          <cell r="U419" t="str">
            <v>NULL</v>
          </cell>
          <cell r="V419" t="str">
            <v>NULL</v>
          </cell>
          <cell r="W419" t="str">
            <v/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 t="str">
            <v>anytime</v>
          </cell>
          <cell r="AC419">
            <v>24</v>
          </cell>
          <cell r="AD419">
            <v>6</v>
          </cell>
          <cell r="AE419" t="str">
            <v>multionly</v>
          </cell>
        </row>
        <row r="420">
          <cell r="A420" t="str">
            <v>30019_2</v>
          </cell>
          <cell r="B420">
            <v>3</v>
          </cell>
          <cell r="C420">
            <v>30019</v>
          </cell>
          <cell r="D420" t="str">
            <v>狙撃は終わらない</v>
          </cell>
          <cell r="E420" t="str">
            <v>ドロップイベント5（マルチ専用）</v>
          </cell>
          <cell r="F420">
            <v>2</v>
          </cell>
          <cell r="G420" t="str">
            <v>ja</v>
          </cell>
          <cell r="H420" t="str">
            <v>【超絶級】狙撃は終わらない</v>
          </cell>
          <cell r="I420" t="str">
            <v>超絶級</v>
          </cell>
          <cell r="J420">
            <v>457</v>
          </cell>
          <cell r="K420">
            <v>35</v>
          </cell>
          <cell r="L420">
            <v>4200</v>
          </cell>
          <cell r="M420">
            <v>1</v>
          </cell>
          <cell r="N420">
            <v>1</v>
          </cell>
          <cell r="O420">
            <v>1</v>
          </cell>
          <cell r="P420">
            <v>1</v>
          </cell>
          <cell r="Q420">
            <v>1</v>
          </cell>
          <cell r="R420">
            <v>3</v>
          </cell>
          <cell r="S420" t="str">
            <v>polygon</v>
          </cell>
          <cell r="T420">
            <v>1</v>
          </cell>
          <cell r="U420" t="str">
            <v>NULL</v>
          </cell>
          <cell r="V420" t="str">
            <v>NULL</v>
          </cell>
          <cell r="W420" t="str">
            <v/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 t="str">
            <v>anytime</v>
          </cell>
          <cell r="AC420">
            <v>24</v>
          </cell>
          <cell r="AD420">
            <v>6</v>
          </cell>
          <cell r="AE420" t="str">
            <v>multionly</v>
          </cell>
        </row>
        <row r="421">
          <cell r="A421" t="str">
            <v>30020_1</v>
          </cell>
          <cell r="B421">
            <v>3</v>
          </cell>
          <cell r="C421">
            <v>30020</v>
          </cell>
          <cell r="D421" t="str">
            <v>若造よ、身の程を知れ</v>
          </cell>
          <cell r="E421" t="str">
            <v>ドロップイベント5（マルチ専用）</v>
          </cell>
          <cell r="F421">
            <v>1</v>
          </cell>
          <cell r="G421" t="str">
            <v>ja</v>
          </cell>
          <cell r="H421" t="str">
            <v>【超級】若造よ、身の程を知れ</v>
          </cell>
          <cell r="I421" t="str">
            <v>超級</v>
          </cell>
          <cell r="J421">
            <v>458</v>
          </cell>
          <cell r="K421">
            <v>30</v>
          </cell>
          <cell r="L421">
            <v>3300</v>
          </cell>
          <cell r="M421">
            <v>1</v>
          </cell>
          <cell r="N421">
            <v>1</v>
          </cell>
          <cell r="O421">
            <v>1</v>
          </cell>
          <cell r="P421">
            <v>1</v>
          </cell>
          <cell r="Q421">
            <v>1</v>
          </cell>
          <cell r="R421">
            <v>3</v>
          </cell>
          <cell r="S421" t="str">
            <v>none</v>
          </cell>
          <cell r="T421">
            <v>0</v>
          </cell>
          <cell r="U421" t="str">
            <v>NULL</v>
          </cell>
          <cell r="V421" t="str">
            <v>NULL</v>
          </cell>
          <cell r="W421" t="str">
            <v/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 t="str">
            <v>anytime</v>
          </cell>
          <cell r="AC421">
            <v>13</v>
          </cell>
          <cell r="AD421">
            <v>6</v>
          </cell>
          <cell r="AE421" t="str">
            <v>everyone</v>
          </cell>
        </row>
        <row r="422">
          <cell r="A422" t="str">
            <v>30020_2</v>
          </cell>
          <cell r="B422">
            <v>3</v>
          </cell>
          <cell r="C422">
            <v>30020</v>
          </cell>
          <cell r="D422" t="str">
            <v>若造よ、身の程を知れ</v>
          </cell>
          <cell r="E422" t="str">
            <v>ドロップイベント5（マルチ専用）</v>
          </cell>
          <cell r="F422">
            <v>2</v>
          </cell>
          <cell r="G422" t="str">
            <v>ja</v>
          </cell>
          <cell r="H422" t="str">
            <v>【超絶級】若造よ、身の程を知れ</v>
          </cell>
          <cell r="I422" t="str">
            <v>超絶級</v>
          </cell>
          <cell r="J422">
            <v>459</v>
          </cell>
          <cell r="K422">
            <v>35</v>
          </cell>
          <cell r="L422">
            <v>4200</v>
          </cell>
          <cell r="M422">
            <v>1</v>
          </cell>
          <cell r="N422">
            <v>1</v>
          </cell>
          <cell r="O422">
            <v>1</v>
          </cell>
          <cell r="P422">
            <v>1</v>
          </cell>
          <cell r="Q422">
            <v>1</v>
          </cell>
          <cell r="R422">
            <v>3</v>
          </cell>
          <cell r="S422" t="str">
            <v>polygon</v>
          </cell>
          <cell r="T422">
            <v>1</v>
          </cell>
          <cell r="U422" t="str">
            <v>NULL</v>
          </cell>
          <cell r="V422" t="str">
            <v>NULL</v>
          </cell>
          <cell r="W422" t="str">
            <v/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 t="str">
            <v>anytime</v>
          </cell>
          <cell r="AC422">
            <v>13</v>
          </cell>
          <cell r="AD422">
            <v>6</v>
          </cell>
          <cell r="AE422" t="str">
            <v>everyone</v>
          </cell>
        </row>
        <row r="423">
          <cell r="A423" t="str">
            <v>30021_1</v>
          </cell>
          <cell r="B423">
            <v>3</v>
          </cell>
          <cell r="C423">
            <v>30021</v>
          </cell>
          <cell r="D423" t="str">
            <v>野獣死すべしっ！</v>
          </cell>
          <cell r="E423" t="str">
            <v>ドロップイベント6（マルチ専用）</v>
          </cell>
          <cell r="F423">
            <v>1</v>
          </cell>
          <cell r="G423" t="str">
            <v>ja</v>
          </cell>
          <cell r="H423" t="str">
            <v>【中級】野獣死すべしっ！</v>
          </cell>
          <cell r="I423" t="str">
            <v>中級</v>
          </cell>
          <cell r="J423">
            <v>502</v>
          </cell>
          <cell r="K423">
            <v>15</v>
          </cell>
          <cell r="L423">
            <v>1200</v>
          </cell>
          <cell r="M423">
            <v>1</v>
          </cell>
          <cell r="N423">
            <v>1</v>
          </cell>
          <cell r="O423">
            <v>0</v>
          </cell>
          <cell r="P423">
            <v>1</v>
          </cell>
          <cell r="Q423">
            <v>1</v>
          </cell>
          <cell r="R423">
            <v>3</v>
          </cell>
          <cell r="S423" t="str">
            <v>none</v>
          </cell>
          <cell r="T423">
            <v>0</v>
          </cell>
          <cell r="U423" t="str">
            <v>NULL</v>
          </cell>
          <cell r="V423" t="str">
            <v>NULL</v>
          </cell>
          <cell r="W423" t="str">
            <v/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 t="str">
            <v>anytime</v>
          </cell>
          <cell r="AC423">
            <v>14</v>
          </cell>
          <cell r="AD423">
            <v>6</v>
          </cell>
          <cell r="AE423" t="str">
            <v>everyone</v>
          </cell>
        </row>
        <row r="424">
          <cell r="A424" t="str">
            <v>30021_2</v>
          </cell>
          <cell r="B424">
            <v>3</v>
          </cell>
          <cell r="C424">
            <v>30021</v>
          </cell>
          <cell r="D424" t="str">
            <v>野獣死すべしっ！</v>
          </cell>
          <cell r="E424" t="str">
            <v>ドロップイベント6（マルチ専用）</v>
          </cell>
          <cell r="F424">
            <v>2</v>
          </cell>
          <cell r="G424" t="str">
            <v>ja</v>
          </cell>
          <cell r="H424" t="str">
            <v>【上級】野獣死すべしっ！</v>
          </cell>
          <cell r="I424" t="str">
            <v>上級</v>
          </cell>
          <cell r="J424">
            <v>502</v>
          </cell>
          <cell r="K424">
            <v>20</v>
          </cell>
          <cell r="L424">
            <v>2000</v>
          </cell>
          <cell r="M424">
            <v>1</v>
          </cell>
          <cell r="N424">
            <v>1</v>
          </cell>
          <cell r="O424">
            <v>0</v>
          </cell>
          <cell r="P424">
            <v>1</v>
          </cell>
          <cell r="Q424">
            <v>1</v>
          </cell>
          <cell r="R424">
            <v>3</v>
          </cell>
          <cell r="S424" t="str">
            <v>none</v>
          </cell>
          <cell r="T424">
            <v>0</v>
          </cell>
          <cell r="U424" t="str">
            <v>NULL</v>
          </cell>
          <cell r="V424" t="str">
            <v>NULL</v>
          </cell>
          <cell r="W424" t="str">
            <v/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 t="str">
            <v>anytime</v>
          </cell>
          <cell r="AC424">
            <v>14</v>
          </cell>
          <cell r="AD424">
            <v>6</v>
          </cell>
          <cell r="AE424" t="str">
            <v>everyone</v>
          </cell>
        </row>
        <row r="425">
          <cell r="A425" t="str">
            <v>30021_3</v>
          </cell>
          <cell r="B425">
            <v>3</v>
          </cell>
          <cell r="C425">
            <v>30021</v>
          </cell>
          <cell r="D425" t="str">
            <v>野獣死すべしっ！</v>
          </cell>
          <cell r="E425" t="str">
            <v>ドロップイベント6（マルチ専用）</v>
          </cell>
          <cell r="F425">
            <v>3</v>
          </cell>
          <cell r="G425" t="str">
            <v>ja</v>
          </cell>
          <cell r="H425" t="str">
            <v>【超級】野獣死すべしっ！</v>
          </cell>
          <cell r="I425" t="str">
            <v>超級</v>
          </cell>
          <cell r="J425">
            <v>503</v>
          </cell>
          <cell r="K425">
            <v>30</v>
          </cell>
          <cell r="L425">
            <v>3300</v>
          </cell>
          <cell r="M425">
            <v>1</v>
          </cell>
          <cell r="N425">
            <v>1</v>
          </cell>
          <cell r="O425">
            <v>0</v>
          </cell>
          <cell r="P425">
            <v>1</v>
          </cell>
          <cell r="Q425">
            <v>1</v>
          </cell>
          <cell r="R425">
            <v>3</v>
          </cell>
          <cell r="S425" t="str">
            <v>polygon</v>
          </cell>
          <cell r="T425">
            <v>1</v>
          </cell>
          <cell r="U425" t="str">
            <v>NULL</v>
          </cell>
          <cell r="V425" t="str">
            <v>NULL</v>
          </cell>
          <cell r="W425" t="str">
            <v/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 t="str">
            <v>anytime</v>
          </cell>
          <cell r="AC425">
            <v>14</v>
          </cell>
          <cell r="AD425">
            <v>6</v>
          </cell>
          <cell r="AE425" t="str">
            <v>everyone</v>
          </cell>
        </row>
        <row r="426">
          <cell r="A426" t="str">
            <v>30022_1</v>
          </cell>
          <cell r="B426">
            <v>3</v>
          </cell>
          <cell r="C426">
            <v>30022</v>
          </cell>
          <cell r="D426" t="str">
            <v>凶鼠ネコを咬む</v>
          </cell>
          <cell r="E426" t="str">
            <v>ドロップイベント6（マルチ専用）</v>
          </cell>
          <cell r="F426">
            <v>1</v>
          </cell>
          <cell r="G426" t="str">
            <v>ja</v>
          </cell>
          <cell r="H426" t="str">
            <v>【超級】凶鼠ネコを咬む</v>
          </cell>
          <cell r="I426" t="str">
            <v>超級</v>
          </cell>
          <cell r="J426">
            <v>504</v>
          </cell>
          <cell r="K426">
            <v>30</v>
          </cell>
          <cell r="L426">
            <v>3300</v>
          </cell>
          <cell r="M426">
            <v>1</v>
          </cell>
          <cell r="N426">
            <v>1</v>
          </cell>
          <cell r="O426">
            <v>1</v>
          </cell>
          <cell r="P426">
            <v>1</v>
          </cell>
          <cell r="Q426">
            <v>1</v>
          </cell>
          <cell r="R426">
            <v>3</v>
          </cell>
          <cell r="S426" t="str">
            <v>none</v>
          </cell>
          <cell r="T426">
            <v>0</v>
          </cell>
          <cell r="U426" t="str">
            <v>NULL</v>
          </cell>
          <cell r="V426" t="str">
            <v>NULL</v>
          </cell>
          <cell r="W426" t="str">
            <v/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 t="str">
            <v>anytime</v>
          </cell>
          <cell r="AC426">
            <v>6</v>
          </cell>
          <cell r="AD426">
            <v>6</v>
          </cell>
          <cell r="AE426" t="str">
            <v>everyone</v>
          </cell>
        </row>
        <row r="427">
          <cell r="A427" t="str">
            <v>30022_2</v>
          </cell>
          <cell r="B427">
            <v>3</v>
          </cell>
          <cell r="C427">
            <v>30022</v>
          </cell>
          <cell r="D427" t="str">
            <v>凶鼠ネコを咬む</v>
          </cell>
          <cell r="E427" t="str">
            <v>ドロップイベント6（マルチ専用）</v>
          </cell>
          <cell r="F427">
            <v>2</v>
          </cell>
          <cell r="G427" t="str">
            <v>ja</v>
          </cell>
          <cell r="H427" t="str">
            <v>【超絶級】凶鼠ネコを咬む</v>
          </cell>
          <cell r="I427" t="str">
            <v>超絶級</v>
          </cell>
          <cell r="J427">
            <v>505</v>
          </cell>
          <cell r="K427">
            <v>35</v>
          </cell>
          <cell r="L427">
            <v>4200</v>
          </cell>
          <cell r="M427">
            <v>1</v>
          </cell>
          <cell r="N427">
            <v>1</v>
          </cell>
          <cell r="O427">
            <v>1</v>
          </cell>
          <cell r="P427">
            <v>1</v>
          </cell>
          <cell r="Q427">
            <v>1</v>
          </cell>
          <cell r="R427">
            <v>3</v>
          </cell>
          <cell r="S427" t="str">
            <v>polygon</v>
          </cell>
          <cell r="T427">
            <v>1</v>
          </cell>
          <cell r="U427" t="str">
            <v>NULL</v>
          </cell>
          <cell r="V427" t="str">
            <v>NULL</v>
          </cell>
          <cell r="W427" t="str">
            <v/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 t="str">
            <v>anytime</v>
          </cell>
          <cell r="AC427">
            <v>6</v>
          </cell>
          <cell r="AD427">
            <v>6</v>
          </cell>
          <cell r="AE427" t="str">
            <v>everyone</v>
          </cell>
        </row>
        <row r="428">
          <cell r="A428" t="str">
            <v>30023_1</v>
          </cell>
          <cell r="B428">
            <v>3</v>
          </cell>
          <cell r="C428">
            <v>30023</v>
          </cell>
          <cell r="D428" t="str">
            <v>隔離からのエスケイプ</v>
          </cell>
          <cell r="E428" t="str">
            <v>ドロップイベント6（マルチ専用）</v>
          </cell>
          <cell r="F428">
            <v>1</v>
          </cell>
          <cell r="G428" t="str">
            <v>ja</v>
          </cell>
          <cell r="H428" t="str">
            <v>【中級】隔離からのエスケイプ</v>
          </cell>
          <cell r="I428" t="str">
            <v>中級</v>
          </cell>
          <cell r="J428">
            <v>506</v>
          </cell>
          <cell r="K428">
            <v>15</v>
          </cell>
          <cell r="L428">
            <v>1200</v>
          </cell>
          <cell r="M428">
            <v>1</v>
          </cell>
          <cell r="N428">
            <v>1</v>
          </cell>
          <cell r="O428">
            <v>1</v>
          </cell>
          <cell r="P428">
            <v>1</v>
          </cell>
          <cell r="Q428">
            <v>1</v>
          </cell>
          <cell r="R428">
            <v>3</v>
          </cell>
          <cell r="S428" t="str">
            <v>none</v>
          </cell>
          <cell r="T428">
            <v>0</v>
          </cell>
          <cell r="U428" t="str">
            <v>NULL</v>
          </cell>
          <cell r="V428" t="str">
            <v>NULL</v>
          </cell>
          <cell r="W428" t="str">
            <v/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 t="str">
            <v>anytime</v>
          </cell>
          <cell r="AC428">
            <v>25</v>
          </cell>
          <cell r="AD428">
            <v>6</v>
          </cell>
          <cell r="AE428" t="str">
            <v>everyone</v>
          </cell>
        </row>
        <row r="429">
          <cell r="A429" t="str">
            <v>30023_2</v>
          </cell>
          <cell r="B429">
            <v>3</v>
          </cell>
          <cell r="C429">
            <v>30023</v>
          </cell>
          <cell r="D429" t="str">
            <v>隔離からのエスケイプ</v>
          </cell>
          <cell r="E429" t="str">
            <v>ドロップイベント6（マルチ専用）</v>
          </cell>
          <cell r="F429">
            <v>2</v>
          </cell>
          <cell r="G429" t="str">
            <v>ja</v>
          </cell>
          <cell r="H429" t="str">
            <v>【上級】隔離からのエスケイプ</v>
          </cell>
          <cell r="I429" t="str">
            <v>上級</v>
          </cell>
          <cell r="J429">
            <v>506</v>
          </cell>
          <cell r="K429">
            <v>20</v>
          </cell>
          <cell r="L429">
            <v>2000</v>
          </cell>
          <cell r="M429">
            <v>1</v>
          </cell>
          <cell r="N429">
            <v>1</v>
          </cell>
          <cell r="O429">
            <v>1</v>
          </cell>
          <cell r="P429">
            <v>1</v>
          </cell>
          <cell r="Q429">
            <v>1</v>
          </cell>
          <cell r="R429">
            <v>3</v>
          </cell>
          <cell r="S429" t="str">
            <v>none</v>
          </cell>
          <cell r="T429">
            <v>0</v>
          </cell>
          <cell r="U429" t="str">
            <v>NULL</v>
          </cell>
          <cell r="V429" t="str">
            <v>NULL</v>
          </cell>
          <cell r="W429" t="str">
            <v/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 t="str">
            <v>anytime</v>
          </cell>
          <cell r="AC429">
            <v>25</v>
          </cell>
          <cell r="AD429">
            <v>6</v>
          </cell>
          <cell r="AE429" t="str">
            <v>everyone</v>
          </cell>
        </row>
        <row r="430">
          <cell r="A430" t="str">
            <v>30023_3</v>
          </cell>
          <cell r="B430">
            <v>3</v>
          </cell>
          <cell r="C430">
            <v>30023</v>
          </cell>
          <cell r="D430" t="str">
            <v>隔離からのエスケイプ</v>
          </cell>
          <cell r="E430" t="str">
            <v>ドロップイベント6（マルチ専用）</v>
          </cell>
          <cell r="F430">
            <v>3</v>
          </cell>
          <cell r="G430" t="str">
            <v>ja</v>
          </cell>
          <cell r="H430" t="str">
            <v>【超級】隔離からのエスケイプ</v>
          </cell>
          <cell r="I430" t="str">
            <v>超級</v>
          </cell>
          <cell r="J430">
            <v>507</v>
          </cell>
          <cell r="K430">
            <v>30</v>
          </cell>
          <cell r="L430">
            <v>3300</v>
          </cell>
          <cell r="M430">
            <v>1</v>
          </cell>
          <cell r="N430">
            <v>1</v>
          </cell>
          <cell r="O430">
            <v>1</v>
          </cell>
          <cell r="P430">
            <v>1</v>
          </cell>
          <cell r="Q430">
            <v>1</v>
          </cell>
          <cell r="R430">
            <v>3</v>
          </cell>
          <cell r="S430" t="str">
            <v>polygon</v>
          </cell>
          <cell r="T430">
            <v>1</v>
          </cell>
          <cell r="U430" t="str">
            <v>NULL</v>
          </cell>
          <cell r="V430" t="str">
            <v>NULL</v>
          </cell>
          <cell r="W430" t="str">
            <v/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 t="str">
            <v>anytime</v>
          </cell>
          <cell r="AC430">
            <v>25</v>
          </cell>
          <cell r="AD430">
            <v>6</v>
          </cell>
          <cell r="AE430" t="str">
            <v>everyone</v>
          </cell>
        </row>
        <row r="431">
          <cell r="A431" t="str">
            <v>30024_1</v>
          </cell>
          <cell r="B431">
            <v>3</v>
          </cell>
          <cell r="C431">
            <v>30024</v>
          </cell>
          <cell r="D431" t="str">
            <v>雷鎚の選定</v>
          </cell>
          <cell r="E431" t="str">
            <v>ドロップイベント7（マルチ専用）</v>
          </cell>
          <cell r="F431">
            <v>1</v>
          </cell>
          <cell r="G431" t="str">
            <v>ja</v>
          </cell>
          <cell r="H431" t="str">
            <v>【中級】雷鎚の選定</v>
          </cell>
          <cell r="I431" t="str">
            <v>中級</v>
          </cell>
          <cell r="J431">
            <v>583</v>
          </cell>
          <cell r="K431">
            <v>15</v>
          </cell>
          <cell r="L431">
            <v>1200</v>
          </cell>
          <cell r="M431">
            <v>1</v>
          </cell>
          <cell r="N431">
            <v>1</v>
          </cell>
          <cell r="O431">
            <v>1</v>
          </cell>
          <cell r="P431">
            <v>1</v>
          </cell>
          <cell r="Q431">
            <v>1</v>
          </cell>
          <cell r="R431">
            <v>3</v>
          </cell>
          <cell r="S431" t="str">
            <v>none</v>
          </cell>
          <cell r="T431">
            <v>0</v>
          </cell>
          <cell r="U431" t="str">
            <v>NULL</v>
          </cell>
          <cell r="V431" t="str">
            <v>NULL</v>
          </cell>
          <cell r="W431" t="str">
            <v/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 t="str">
            <v>anytime</v>
          </cell>
          <cell r="AC431">
            <v>20</v>
          </cell>
          <cell r="AD431">
            <v>6</v>
          </cell>
          <cell r="AE431" t="str">
            <v>multionly</v>
          </cell>
        </row>
        <row r="432">
          <cell r="A432" t="str">
            <v>30024_2</v>
          </cell>
          <cell r="B432">
            <v>3</v>
          </cell>
          <cell r="C432">
            <v>30024</v>
          </cell>
          <cell r="D432" t="str">
            <v>雷鎚の選定</v>
          </cell>
          <cell r="E432" t="str">
            <v>ドロップイベント7（マルチ専用）</v>
          </cell>
          <cell r="F432">
            <v>2</v>
          </cell>
          <cell r="G432" t="str">
            <v>ja</v>
          </cell>
          <cell r="H432" t="str">
            <v>【上級】雷鎚の選定</v>
          </cell>
          <cell r="I432" t="str">
            <v>上級</v>
          </cell>
          <cell r="J432">
            <v>583</v>
          </cell>
          <cell r="K432">
            <v>20</v>
          </cell>
          <cell r="L432">
            <v>2000</v>
          </cell>
          <cell r="M432">
            <v>1</v>
          </cell>
          <cell r="N432">
            <v>1</v>
          </cell>
          <cell r="O432">
            <v>1</v>
          </cell>
          <cell r="P432">
            <v>1</v>
          </cell>
          <cell r="Q432">
            <v>1</v>
          </cell>
          <cell r="R432">
            <v>3</v>
          </cell>
          <cell r="S432" t="str">
            <v>none</v>
          </cell>
          <cell r="T432">
            <v>0</v>
          </cell>
          <cell r="U432" t="str">
            <v>NULL</v>
          </cell>
          <cell r="V432" t="str">
            <v>NULL</v>
          </cell>
          <cell r="W432" t="str">
            <v/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 t="str">
            <v>anytime</v>
          </cell>
          <cell r="AC432">
            <v>20</v>
          </cell>
          <cell r="AD432">
            <v>6</v>
          </cell>
          <cell r="AE432" t="str">
            <v>multionly</v>
          </cell>
        </row>
        <row r="433">
          <cell r="A433" t="str">
            <v>30024_3</v>
          </cell>
          <cell r="B433">
            <v>3</v>
          </cell>
          <cell r="C433">
            <v>30024</v>
          </cell>
          <cell r="D433" t="str">
            <v>雷鎚の選定</v>
          </cell>
          <cell r="E433" t="str">
            <v>ドロップイベント7（マルチ専用）</v>
          </cell>
          <cell r="F433">
            <v>3</v>
          </cell>
          <cell r="G433" t="str">
            <v>ja</v>
          </cell>
          <cell r="H433" t="str">
            <v>【超級】雷鎚の選定</v>
          </cell>
          <cell r="I433" t="str">
            <v>超級</v>
          </cell>
          <cell r="J433">
            <v>584</v>
          </cell>
          <cell r="K433">
            <v>30</v>
          </cell>
          <cell r="L433">
            <v>3300</v>
          </cell>
          <cell r="M433">
            <v>1</v>
          </cell>
          <cell r="N433">
            <v>1</v>
          </cell>
          <cell r="O433">
            <v>1</v>
          </cell>
          <cell r="P433">
            <v>1</v>
          </cell>
          <cell r="Q433">
            <v>1</v>
          </cell>
          <cell r="R433">
            <v>3</v>
          </cell>
          <cell r="S433" t="str">
            <v>polygon</v>
          </cell>
          <cell r="T433">
            <v>1</v>
          </cell>
          <cell r="U433" t="str">
            <v>NULL</v>
          </cell>
          <cell r="V433" t="str">
            <v>NULL</v>
          </cell>
          <cell r="W433" t="str">
            <v/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 t="str">
            <v>anytime</v>
          </cell>
          <cell r="AC433">
            <v>20</v>
          </cell>
          <cell r="AD433">
            <v>6</v>
          </cell>
          <cell r="AE433" t="str">
            <v>multionly</v>
          </cell>
        </row>
        <row r="434">
          <cell r="A434" t="str">
            <v>30025_1</v>
          </cell>
          <cell r="B434">
            <v>3</v>
          </cell>
          <cell r="C434">
            <v>30025</v>
          </cell>
          <cell r="D434" t="str">
            <v>真実の探求者</v>
          </cell>
          <cell r="E434" t="str">
            <v>ドロップイベント7（マルチ専用）</v>
          </cell>
          <cell r="F434">
            <v>1</v>
          </cell>
          <cell r="G434" t="str">
            <v>ja</v>
          </cell>
          <cell r="H434" t="str">
            <v>【中級】真実の探求者</v>
          </cell>
          <cell r="I434" t="str">
            <v>中級</v>
          </cell>
          <cell r="J434">
            <v>579</v>
          </cell>
          <cell r="K434">
            <v>15</v>
          </cell>
          <cell r="L434">
            <v>1200</v>
          </cell>
          <cell r="M434">
            <v>1</v>
          </cell>
          <cell r="N434">
            <v>1</v>
          </cell>
          <cell r="O434">
            <v>1</v>
          </cell>
          <cell r="P434">
            <v>1</v>
          </cell>
          <cell r="Q434">
            <v>1</v>
          </cell>
          <cell r="R434">
            <v>3</v>
          </cell>
          <cell r="S434" t="str">
            <v>none</v>
          </cell>
          <cell r="T434">
            <v>0</v>
          </cell>
          <cell r="U434" t="str">
            <v>NULL</v>
          </cell>
          <cell r="V434" t="str">
            <v>NULL</v>
          </cell>
          <cell r="W434" t="str">
            <v/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 t="str">
            <v>anytime</v>
          </cell>
          <cell r="AC434">
            <v>7</v>
          </cell>
          <cell r="AD434">
            <v>6</v>
          </cell>
          <cell r="AE434" t="str">
            <v>everyone</v>
          </cell>
        </row>
        <row r="435">
          <cell r="A435" t="str">
            <v>30025_2</v>
          </cell>
          <cell r="B435">
            <v>3</v>
          </cell>
          <cell r="C435">
            <v>30025</v>
          </cell>
          <cell r="D435" t="str">
            <v>真実の探求者</v>
          </cell>
          <cell r="E435" t="str">
            <v>ドロップイベント7（マルチ専用）</v>
          </cell>
          <cell r="F435">
            <v>2</v>
          </cell>
          <cell r="G435" t="str">
            <v>ja</v>
          </cell>
          <cell r="H435" t="str">
            <v>【上級】真実の探求者</v>
          </cell>
          <cell r="I435" t="str">
            <v>上級</v>
          </cell>
          <cell r="J435">
            <v>579</v>
          </cell>
          <cell r="K435">
            <v>20</v>
          </cell>
          <cell r="L435">
            <v>2000</v>
          </cell>
          <cell r="M435">
            <v>1</v>
          </cell>
          <cell r="N435">
            <v>1</v>
          </cell>
          <cell r="O435">
            <v>1</v>
          </cell>
          <cell r="P435">
            <v>1</v>
          </cell>
          <cell r="Q435">
            <v>1</v>
          </cell>
          <cell r="R435">
            <v>3</v>
          </cell>
          <cell r="S435" t="str">
            <v>none</v>
          </cell>
          <cell r="T435">
            <v>0</v>
          </cell>
          <cell r="U435" t="str">
            <v>NULL</v>
          </cell>
          <cell r="V435" t="str">
            <v>NULL</v>
          </cell>
          <cell r="W435" t="str">
            <v/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 t="str">
            <v>anytime</v>
          </cell>
          <cell r="AC435">
            <v>7</v>
          </cell>
          <cell r="AD435">
            <v>6</v>
          </cell>
          <cell r="AE435" t="str">
            <v>everyone</v>
          </cell>
        </row>
        <row r="436">
          <cell r="A436" t="str">
            <v>30025_3</v>
          </cell>
          <cell r="B436">
            <v>3</v>
          </cell>
          <cell r="C436">
            <v>30025</v>
          </cell>
          <cell r="D436" t="str">
            <v>真実の探求者</v>
          </cell>
          <cell r="E436" t="str">
            <v>ドロップイベント7（マルチ専用）</v>
          </cell>
          <cell r="F436">
            <v>3</v>
          </cell>
          <cell r="G436" t="str">
            <v>ja</v>
          </cell>
          <cell r="H436" t="str">
            <v>【超級】真実の探求者</v>
          </cell>
          <cell r="I436" t="str">
            <v>超級</v>
          </cell>
          <cell r="J436">
            <v>580</v>
          </cell>
          <cell r="K436">
            <v>30</v>
          </cell>
          <cell r="L436">
            <v>3300</v>
          </cell>
          <cell r="M436">
            <v>1</v>
          </cell>
          <cell r="N436">
            <v>1</v>
          </cell>
          <cell r="O436">
            <v>1</v>
          </cell>
          <cell r="P436">
            <v>1</v>
          </cell>
          <cell r="Q436">
            <v>1</v>
          </cell>
          <cell r="R436">
            <v>3</v>
          </cell>
          <cell r="S436" t="str">
            <v>polygon</v>
          </cell>
          <cell r="T436">
            <v>1</v>
          </cell>
          <cell r="U436" t="str">
            <v>NULL</v>
          </cell>
          <cell r="V436" t="str">
            <v>NULL</v>
          </cell>
          <cell r="W436" t="str">
            <v/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 t="str">
            <v>anytime</v>
          </cell>
          <cell r="AC436">
            <v>7</v>
          </cell>
          <cell r="AD436">
            <v>6</v>
          </cell>
          <cell r="AE436" t="str">
            <v>everyone</v>
          </cell>
        </row>
        <row r="437">
          <cell r="A437" t="str">
            <v>30026_1</v>
          </cell>
          <cell r="B437">
            <v>3</v>
          </cell>
          <cell r="C437">
            <v>30026</v>
          </cell>
          <cell r="D437" t="str">
            <v>道を阻む妖精夫婦</v>
          </cell>
          <cell r="E437" t="str">
            <v>ドロップイベント7（マルチ専用）</v>
          </cell>
          <cell r="F437">
            <v>1</v>
          </cell>
          <cell r="G437" t="str">
            <v>ja</v>
          </cell>
          <cell r="H437" t="str">
            <v>【中級】道を阻む妖精夫婦</v>
          </cell>
          <cell r="I437" t="str">
            <v>中級</v>
          </cell>
          <cell r="J437">
            <v>577</v>
          </cell>
          <cell r="K437">
            <v>15</v>
          </cell>
          <cell r="L437">
            <v>1200</v>
          </cell>
          <cell r="M437">
            <v>1</v>
          </cell>
          <cell r="N437">
            <v>1</v>
          </cell>
          <cell r="O437">
            <v>1</v>
          </cell>
          <cell r="P437">
            <v>1</v>
          </cell>
          <cell r="Q437">
            <v>1</v>
          </cell>
          <cell r="R437">
            <v>3</v>
          </cell>
          <cell r="S437" t="str">
            <v>none</v>
          </cell>
          <cell r="T437">
            <v>0</v>
          </cell>
          <cell r="U437" t="str">
            <v>NULL</v>
          </cell>
          <cell r="V437" t="str">
            <v>NULL</v>
          </cell>
          <cell r="W437" t="str">
            <v/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 t="str">
            <v>anytime</v>
          </cell>
          <cell r="AC437">
            <v>21</v>
          </cell>
          <cell r="AD437">
            <v>6</v>
          </cell>
          <cell r="AE437" t="str">
            <v>everyone</v>
          </cell>
        </row>
        <row r="438">
          <cell r="A438" t="str">
            <v>30026_2</v>
          </cell>
          <cell r="B438">
            <v>3</v>
          </cell>
          <cell r="C438">
            <v>30026</v>
          </cell>
          <cell r="D438" t="str">
            <v>道を阻む妖精夫婦</v>
          </cell>
          <cell r="E438" t="str">
            <v>ドロップイベント7（マルチ専用）</v>
          </cell>
          <cell r="F438">
            <v>2</v>
          </cell>
          <cell r="G438" t="str">
            <v>ja</v>
          </cell>
          <cell r="H438" t="str">
            <v>【上級】道を阻む妖精夫婦</v>
          </cell>
          <cell r="I438" t="str">
            <v>上級</v>
          </cell>
          <cell r="J438">
            <v>577</v>
          </cell>
          <cell r="K438">
            <v>20</v>
          </cell>
          <cell r="L438">
            <v>2000</v>
          </cell>
          <cell r="M438">
            <v>1</v>
          </cell>
          <cell r="N438">
            <v>1</v>
          </cell>
          <cell r="O438">
            <v>1</v>
          </cell>
          <cell r="P438">
            <v>1</v>
          </cell>
          <cell r="Q438">
            <v>1</v>
          </cell>
          <cell r="R438">
            <v>3</v>
          </cell>
          <cell r="S438" t="str">
            <v>none</v>
          </cell>
          <cell r="T438">
            <v>0</v>
          </cell>
          <cell r="U438" t="str">
            <v>NULL</v>
          </cell>
          <cell r="V438" t="str">
            <v>NULL</v>
          </cell>
          <cell r="W438" t="str">
            <v/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 t="str">
            <v>anytime</v>
          </cell>
          <cell r="AC438">
            <v>21</v>
          </cell>
          <cell r="AD438">
            <v>6</v>
          </cell>
          <cell r="AE438" t="str">
            <v>everyone</v>
          </cell>
        </row>
        <row r="439">
          <cell r="A439" t="str">
            <v>30026_3</v>
          </cell>
          <cell r="B439">
            <v>3</v>
          </cell>
          <cell r="C439">
            <v>30026</v>
          </cell>
          <cell r="D439" t="str">
            <v>道を阻む妖精夫婦</v>
          </cell>
          <cell r="E439" t="str">
            <v>ドロップイベント7（マルチ専用）</v>
          </cell>
          <cell r="F439">
            <v>3</v>
          </cell>
          <cell r="G439" t="str">
            <v>ja</v>
          </cell>
          <cell r="H439" t="str">
            <v>【超級】道を阻む妖精夫婦</v>
          </cell>
          <cell r="I439" t="str">
            <v>超級</v>
          </cell>
          <cell r="J439">
            <v>578</v>
          </cell>
          <cell r="K439">
            <v>30</v>
          </cell>
          <cell r="L439">
            <v>3300</v>
          </cell>
          <cell r="M439">
            <v>1</v>
          </cell>
          <cell r="N439">
            <v>1</v>
          </cell>
          <cell r="O439">
            <v>1</v>
          </cell>
          <cell r="P439">
            <v>1</v>
          </cell>
          <cell r="Q439">
            <v>1</v>
          </cell>
          <cell r="R439">
            <v>3</v>
          </cell>
          <cell r="S439" t="str">
            <v>polygon</v>
          </cell>
          <cell r="T439">
            <v>1</v>
          </cell>
          <cell r="U439" t="str">
            <v>NULL</v>
          </cell>
          <cell r="V439" t="str">
            <v>NULL</v>
          </cell>
          <cell r="W439" t="str">
            <v/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 t="str">
            <v>anytime</v>
          </cell>
          <cell r="AC439">
            <v>21</v>
          </cell>
          <cell r="AD439">
            <v>6</v>
          </cell>
          <cell r="AE439" t="str">
            <v>everyone</v>
          </cell>
        </row>
        <row r="440">
          <cell r="A440" t="str">
            <v>30027_1</v>
          </cell>
          <cell r="B440">
            <v>3</v>
          </cell>
          <cell r="C440">
            <v>30027</v>
          </cell>
          <cell r="D440" t="str">
            <v>凍りつくまで愛してあげる</v>
          </cell>
          <cell r="E440" t="str">
            <v>ドロップイベント7（マルチ専用）</v>
          </cell>
          <cell r="F440">
            <v>1</v>
          </cell>
          <cell r="G440" t="str">
            <v>ja</v>
          </cell>
          <cell r="H440" t="str">
            <v>【中級】凍りつくまで愛してあげる</v>
          </cell>
          <cell r="I440" t="str">
            <v>中級</v>
          </cell>
          <cell r="J440">
            <v>646</v>
          </cell>
          <cell r="K440">
            <v>15</v>
          </cell>
          <cell r="L440">
            <v>1200</v>
          </cell>
          <cell r="M440">
            <v>0</v>
          </cell>
          <cell r="N440">
            <v>1</v>
          </cell>
          <cell r="O440">
            <v>1</v>
          </cell>
          <cell r="P440">
            <v>1</v>
          </cell>
          <cell r="Q440">
            <v>1</v>
          </cell>
          <cell r="R440">
            <v>3</v>
          </cell>
          <cell r="S440" t="str">
            <v>none</v>
          </cell>
          <cell r="T440">
            <v>0</v>
          </cell>
          <cell r="U440" t="str">
            <v>NULL</v>
          </cell>
          <cell r="V440" t="str">
            <v>NULL</v>
          </cell>
          <cell r="W440" t="str">
            <v/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 t="str">
            <v>anytime</v>
          </cell>
          <cell r="AC440">
            <v>9</v>
          </cell>
          <cell r="AD440">
            <v>6</v>
          </cell>
          <cell r="AE440" t="str">
            <v>everyone</v>
          </cell>
        </row>
        <row r="441">
          <cell r="A441" t="str">
            <v>30027_2</v>
          </cell>
          <cell r="B441">
            <v>3</v>
          </cell>
          <cell r="C441">
            <v>30027</v>
          </cell>
          <cell r="D441" t="str">
            <v>凍りつくまで愛してあげる</v>
          </cell>
          <cell r="E441" t="str">
            <v>ドロップイベント7（マルチ専用）</v>
          </cell>
          <cell r="F441">
            <v>2</v>
          </cell>
          <cell r="G441" t="str">
            <v>ja</v>
          </cell>
          <cell r="H441" t="str">
            <v>【上級】凍りつくまで愛してあげる</v>
          </cell>
          <cell r="I441" t="str">
            <v>上級</v>
          </cell>
          <cell r="J441">
            <v>646</v>
          </cell>
          <cell r="K441">
            <v>20</v>
          </cell>
          <cell r="L441">
            <v>2000</v>
          </cell>
          <cell r="M441">
            <v>0</v>
          </cell>
          <cell r="N441">
            <v>1</v>
          </cell>
          <cell r="O441">
            <v>1</v>
          </cell>
          <cell r="P441">
            <v>1</v>
          </cell>
          <cell r="Q441">
            <v>1</v>
          </cell>
          <cell r="R441">
            <v>3</v>
          </cell>
          <cell r="S441" t="str">
            <v>none</v>
          </cell>
          <cell r="T441">
            <v>0</v>
          </cell>
          <cell r="U441" t="str">
            <v>NULL</v>
          </cell>
          <cell r="V441" t="str">
            <v>NULL</v>
          </cell>
          <cell r="W441" t="str">
            <v/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 t="str">
            <v>anytime</v>
          </cell>
          <cell r="AC441">
            <v>9</v>
          </cell>
          <cell r="AD441">
            <v>6</v>
          </cell>
          <cell r="AE441" t="str">
            <v>everyone</v>
          </cell>
        </row>
        <row r="442">
          <cell r="A442" t="str">
            <v>30027_3</v>
          </cell>
          <cell r="B442">
            <v>3</v>
          </cell>
          <cell r="C442">
            <v>30027</v>
          </cell>
          <cell r="D442" t="str">
            <v>凍りつくまで愛してあげる</v>
          </cell>
          <cell r="E442" t="str">
            <v>ドロップイベント7（マルチ専用）</v>
          </cell>
          <cell r="F442">
            <v>3</v>
          </cell>
          <cell r="G442" t="str">
            <v>ja</v>
          </cell>
          <cell r="H442" t="str">
            <v>【超級】凍りつくまで愛してあげる</v>
          </cell>
          <cell r="I442" t="str">
            <v>超級</v>
          </cell>
          <cell r="J442">
            <v>647</v>
          </cell>
          <cell r="K442">
            <v>30</v>
          </cell>
          <cell r="L442">
            <v>3300</v>
          </cell>
          <cell r="M442">
            <v>0</v>
          </cell>
          <cell r="N442">
            <v>1</v>
          </cell>
          <cell r="O442">
            <v>1</v>
          </cell>
          <cell r="P442">
            <v>1</v>
          </cell>
          <cell r="Q442">
            <v>1</v>
          </cell>
          <cell r="R442">
            <v>3</v>
          </cell>
          <cell r="S442" t="str">
            <v>polygon</v>
          </cell>
          <cell r="T442">
            <v>1</v>
          </cell>
          <cell r="U442" t="str">
            <v>NULL</v>
          </cell>
          <cell r="V442" t="str">
            <v>NULL</v>
          </cell>
          <cell r="W442" t="str">
            <v/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 t="str">
            <v>anytime</v>
          </cell>
          <cell r="AC442">
            <v>9</v>
          </cell>
          <cell r="AD442">
            <v>6</v>
          </cell>
          <cell r="AE442" t="str">
            <v>everyone</v>
          </cell>
        </row>
        <row r="443">
          <cell r="A443" t="str">
            <v>30028_1</v>
          </cell>
          <cell r="B443">
            <v>3</v>
          </cell>
          <cell r="C443">
            <v>30028</v>
          </cell>
          <cell r="D443" t="str">
            <v>最悪の刺客</v>
          </cell>
          <cell r="E443" t="str">
            <v>ドロップイベント8（マルチ専用）</v>
          </cell>
          <cell r="F443">
            <v>1</v>
          </cell>
          <cell r="G443" t="str">
            <v>ja</v>
          </cell>
          <cell r="H443" t="str">
            <v>【中級】最悪の刺客</v>
          </cell>
          <cell r="I443" t="str">
            <v>中級</v>
          </cell>
          <cell r="J443">
            <v>650</v>
          </cell>
          <cell r="K443">
            <v>15</v>
          </cell>
          <cell r="L443">
            <v>1200</v>
          </cell>
          <cell r="M443">
            <v>1</v>
          </cell>
          <cell r="N443">
            <v>1</v>
          </cell>
          <cell r="O443">
            <v>1</v>
          </cell>
          <cell r="P443">
            <v>1</v>
          </cell>
          <cell r="Q443">
            <v>1</v>
          </cell>
          <cell r="R443">
            <v>3</v>
          </cell>
          <cell r="S443" t="str">
            <v>none</v>
          </cell>
          <cell r="T443">
            <v>0</v>
          </cell>
          <cell r="U443" t="str">
            <v>NULL</v>
          </cell>
          <cell r="V443" t="str">
            <v>NULL</v>
          </cell>
          <cell r="W443" t="str">
            <v/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 t="str">
            <v>anytime</v>
          </cell>
          <cell r="AC443">
            <v>2601</v>
          </cell>
          <cell r="AD443">
            <v>6</v>
          </cell>
          <cell r="AE443" t="str">
            <v>everyone</v>
          </cell>
        </row>
        <row r="444">
          <cell r="A444" t="str">
            <v>30028_2</v>
          </cell>
          <cell r="B444">
            <v>3</v>
          </cell>
          <cell r="C444">
            <v>30028</v>
          </cell>
          <cell r="D444" t="str">
            <v>最悪の刺客</v>
          </cell>
          <cell r="E444" t="str">
            <v>ドロップイベント8（マルチ専用）</v>
          </cell>
          <cell r="F444">
            <v>2</v>
          </cell>
          <cell r="G444" t="str">
            <v>ja</v>
          </cell>
          <cell r="H444" t="str">
            <v>【上級】最悪の刺客</v>
          </cell>
          <cell r="I444" t="str">
            <v>上級</v>
          </cell>
          <cell r="J444">
            <v>650</v>
          </cell>
          <cell r="K444">
            <v>20</v>
          </cell>
          <cell r="L444">
            <v>2000</v>
          </cell>
          <cell r="M444">
            <v>1</v>
          </cell>
          <cell r="N444">
            <v>1</v>
          </cell>
          <cell r="O444">
            <v>1</v>
          </cell>
          <cell r="P444">
            <v>1</v>
          </cell>
          <cell r="Q444">
            <v>1</v>
          </cell>
          <cell r="R444">
            <v>3</v>
          </cell>
          <cell r="S444" t="str">
            <v>none</v>
          </cell>
          <cell r="T444">
            <v>0</v>
          </cell>
          <cell r="U444" t="str">
            <v>NULL</v>
          </cell>
          <cell r="V444" t="str">
            <v>NULL</v>
          </cell>
          <cell r="W444" t="str">
            <v/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 t="str">
            <v>anytime</v>
          </cell>
          <cell r="AC444">
            <v>2601</v>
          </cell>
          <cell r="AD444">
            <v>6</v>
          </cell>
          <cell r="AE444" t="str">
            <v>everyone</v>
          </cell>
        </row>
        <row r="445">
          <cell r="A445" t="str">
            <v>30028_3</v>
          </cell>
          <cell r="B445">
            <v>3</v>
          </cell>
          <cell r="C445">
            <v>30028</v>
          </cell>
          <cell r="D445" t="str">
            <v>最悪の刺客</v>
          </cell>
          <cell r="E445" t="str">
            <v>ドロップイベント8（マルチ専用）</v>
          </cell>
          <cell r="F445">
            <v>3</v>
          </cell>
          <cell r="G445" t="str">
            <v>ja</v>
          </cell>
          <cell r="H445" t="str">
            <v>【超級】最悪の刺客</v>
          </cell>
          <cell r="I445" t="str">
            <v>超級</v>
          </cell>
          <cell r="J445">
            <v>651</v>
          </cell>
          <cell r="K445">
            <v>30</v>
          </cell>
          <cell r="L445">
            <v>3300</v>
          </cell>
          <cell r="M445">
            <v>1</v>
          </cell>
          <cell r="N445">
            <v>1</v>
          </cell>
          <cell r="O445">
            <v>1</v>
          </cell>
          <cell r="P445">
            <v>1</v>
          </cell>
          <cell r="Q445">
            <v>1</v>
          </cell>
          <cell r="R445">
            <v>3</v>
          </cell>
          <cell r="S445" t="str">
            <v>polygon</v>
          </cell>
          <cell r="T445">
            <v>1</v>
          </cell>
          <cell r="U445" t="str">
            <v>NULL</v>
          </cell>
          <cell r="V445" t="str">
            <v>NULL</v>
          </cell>
          <cell r="W445" t="str">
            <v/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 t="str">
            <v>anytime</v>
          </cell>
          <cell r="AC445">
            <v>2601</v>
          </cell>
          <cell r="AD445">
            <v>6</v>
          </cell>
          <cell r="AE445" t="str">
            <v>everyone</v>
          </cell>
        </row>
        <row r="446">
          <cell r="A446" t="str">
            <v>30029_1</v>
          </cell>
          <cell r="B446">
            <v>3</v>
          </cell>
          <cell r="C446">
            <v>30029</v>
          </cell>
          <cell r="D446" t="str">
            <v>全ては主のために</v>
          </cell>
          <cell r="E446" t="str">
            <v>ドロップイベント8（マルチ専用）</v>
          </cell>
          <cell r="F446">
            <v>1</v>
          </cell>
          <cell r="G446" t="str">
            <v>ja</v>
          </cell>
          <cell r="H446" t="str">
            <v>【中級】全ては主のために</v>
          </cell>
          <cell r="I446" t="str">
            <v>中級</v>
          </cell>
          <cell r="J446">
            <v>648</v>
          </cell>
          <cell r="K446">
            <v>15</v>
          </cell>
          <cell r="L446">
            <v>1200</v>
          </cell>
          <cell r="M446">
            <v>1</v>
          </cell>
          <cell r="N446">
            <v>1</v>
          </cell>
          <cell r="O446">
            <v>1</v>
          </cell>
          <cell r="P446">
            <v>1</v>
          </cell>
          <cell r="Q446">
            <v>1</v>
          </cell>
          <cell r="R446">
            <v>3</v>
          </cell>
          <cell r="S446" t="str">
            <v>none</v>
          </cell>
          <cell r="T446">
            <v>0</v>
          </cell>
          <cell r="U446" t="str">
            <v>NULL</v>
          </cell>
          <cell r="V446" t="str">
            <v>NULL</v>
          </cell>
          <cell r="W446" t="str">
            <v/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 t="str">
            <v>anytime</v>
          </cell>
          <cell r="AC446">
            <v>5</v>
          </cell>
          <cell r="AD446">
            <v>6</v>
          </cell>
          <cell r="AE446" t="str">
            <v>everyone</v>
          </cell>
        </row>
        <row r="447">
          <cell r="A447" t="str">
            <v>30029_2</v>
          </cell>
          <cell r="B447">
            <v>3</v>
          </cell>
          <cell r="C447">
            <v>30029</v>
          </cell>
          <cell r="D447" t="str">
            <v>全ては主のために</v>
          </cell>
          <cell r="E447" t="str">
            <v>ドロップイベント8（マルチ専用）</v>
          </cell>
          <cell r="F447">
            <v>2</v>
          </cell>
          <cell r="G447" t="str">
            <v>ja</v>
          </cell>
          <cell r="H447" t="str">
            <v>【上級】全ては主のために</v>
          </cell>
          <cell r="I447" t="str">
            <v>上級</v>
          </cell>
          <cell r="J447">
            <v>648</v>
          </cell>
          <cell r="K447">
            <v>20</v>
          </cell>
          <cell r="L447">
            <v>2000</v>
          </cell>
          <cell r="M447">
            <v>1</v>
          </cell>
          <cell r="N447">
            <v>1</v>
          </cell>
          <cell r="O447">
            <v>1</v>
          </cell>
          <cell r="P447">
            <v>1</v>
          </cell>
          <cell r="Q447">
            <v>1</v>
          </cell>
          <cell r="R447">
            <v>3</v>
          </cell>
          <cell r="S447" t="str">
            <v>none</v>
          </cell>
          <cell r="T447">
            <v>0</v>
          </cell>
          <cell r="U447" t="str">
            <v>NULL</v>
          </cell>
          <cell r="V447" t="str">
            <v>NULL</v>
          </cell>
          <cell r="W447" t="str">
            <v/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 t="str">
            <v>anytime</v>
          </cell>
          <cell r="AC447">
            <v>5</v>
          </cell>
          <cell r="AD447">
            <v>6</v>
          </cell>
          <cell r="AE447" t="str">
            <v>everyone</v>
          </cell>
        </row>
        <row r="448">
          <cell r="A448" t="str">
            <v>30029_3</v>
          </cell>
          <cell r="B448">
            <v>3</v>
          </cell>
          <cell r="C448">
            <v>30029</v>
          </cell>
          <cell r="D448" t="str">
            <v>全ては主のために</v>
          </cell>
          <cell r="E448" t="str">
            <v>ドロップイベント8（マルチ専用）</v>
          </cell>
          <cell r="F448">
            <v>3</v>
          </cell>
          <cell r="G448" t="str">
            <v>ja</v>
          </cell>
          <cell r="H448" t="str">
            <v>【超級】全ては主のために</v>
          </cell>
          <cell r="I448" t="str">
            <v>超級</v>
          </cell>
          <cell r="J448">
            <v>648</v>
          </cell>
          <cell r="K448">
            <v>30</v>
          </cell>
          <cell r="L448">
            <v>3300</v>
          </cell>
          <cell r="M448">
            <v>1</v>
          </cell>
          <cell r="N448">
            <v>1</v>
          </cell>
          <cell r="O448">
            <v>1</v>
          </cell>
          <cell r="P448">
            <v>1</v>
          </cell>
          <cell r="Q448">
            <v>1</v>
          </cell>
          <cell r="R448">
            <v>3</v>
          </cell>
          <cell r="S448" t="str">
            <v>polygon</v>
          </cell>
          <cell r="T448">
            <v>1</v>
          </cell>
          <cell r="U448" t="str">
            <v>NULL</v>
          </cell>
          <cell r="V448" t="str">
            <v>NULL</v>
          </cell>
          <cell r="W448" t="str">
            <v/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 t="str">
            <v>anytime</v>
          </cell>
          <cell r="AC448">
            <v>5</v>
          </cell>
          <cell r="AD448">
            <v>6</v>
          </cell>
          <cell r="AE448" t="str">
            <v>everyone</v>
          </cell>
        </row>
        <row r="449">
          <cell r="A449" t="str">
            <v>30030_1</v>
          </cell>
          <cell r="B449">
            <v>3</v>
          </cell>
          <cell r="C449">
            <v>30030</v>
          </cell>
          <cell r="D449" t="str">
            <v>ここは誰の箱庭じゃ？</v>
          </cell>
          <cell r="E449" t="str">
            <v>ドロップイベント9（マルチ専用）</v>
          </cell>
          <cell r="F449">
            <v>1</v>
          </cell>
          <cell r="G449" t="str">
            <v>ja</v>
          </cell>
          <cell r="H449" t="str">
            <v>【中級】ここは誰の箱庭じゃ？</v>
          </cell>
          <cell r="I449" t="str">
            <v>中級</v>
          </cell>
          <cell r="J449">
            <v>652</v>
          </cell>
          <cell r="K449">
            <v>15</v>
          </cell>
          <cell r="L449">
            <v>1200</v>
          </cell>
          <cell r="M449">
            <v>1</v>
          </cell>
          <cell r="N449">
            <v>1</v>
          </cell>
          <cell r="O449">
            <v>1</v>
          </cell>
          <cell r="P449">
            <v>1</v>
          </cell>
          <cell r="Q449">
            <v>1</v>
          </cell>
          <cell r="R449">
            <v>3</v>
          </cell>
          <cell r="S449" t="str">
            <v>none</v>
          </cell>
          <cell r="T449">
            <v>0</v>
          </cell>
          <cell r="U449" t="str">
            <v>NULL</v>
          </cell>
          <cell r="V449" t="str">
            <v>NULL</v>
          </cell>
          <cell r="W449" t="str">
            <v/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 t="str">
            <v>anytime</v>
          </cell>
          <cell r="AC449">
            <v>8</v>
          </cell>
          <cell r="AD449">
            <v>6</v>
          </cell>
          <cell r="AE449" t="str">
            <v>everyone</v>
          </cell>
        </row>
        <row r="450">
          <cell r="A450" t="str">
            <v>30030_2</v>
          </cell>
          <cell r="B450">
            <v>3</v>
          </cell>
          <cell r="C450">
            <v>30030</v>
          </cell>
          <cell r="D450" t="str">
            <v>ここは誰の箱庭じゃ？</v>
          </cell>
          <cell r="E450" t="str">
            <v>ドロップイベント9（マルチ専用）</v>
          </cell>
          <cell r="F450">
            <v>2</v>
          </cell>
          <cell r="G450" t="str">
            <v>ja</v>
          </cell>
          <cell r="H450" t="str">
            <v>【上級】ここは誰の箱庭じゃ？</v>
          </cell>
          <cell r="I450" t="str">
            <v>上級</v>
          </cell>
          <cell r="J450">
            <v>653</v>
          </cell>
          <cell r="K450">
            <v>20</v>
          </cell>
          <cell r="L450">
            <v>2000</v>
          </cell>
          <cell r="M450">
            <v>1</v>
          </cell>
          <cell r="N450">
            <v>1</v>
          </cell>
          <cell r="O450">
            <v>1</v>
          </cell>
          <cell r="P450">
            <v>1</v>
          </cell>
          <cell r="Q450">
            <v>1</v>
          </cell>
          <cell r="R450">
            <v>3</v>
          </cell>
          <cell r="S450" t="str">
            <v>none</v>
          </cell>
          <cell r="T450">
            <v>0</v>
          </cell>
          <cell r="U450" t="str">
            <v>NULL</v>
          </cell>
          <cell r="V450" t="str">
            <v>NULL</v>
          </cell>
          <cell r="W450" t="str">
            <v/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 t="str">
            <v>anytime</v>
          </cell>
          <cell r="AC450">
            <v>8</v>
          </cell>
          <cell r="AD450">
            <v>6</v>
          </cell>
          <cell r="AE450" t="str">
            <v>everyone</v>
          </cell>
        </row>
        <row r="451">
          <cell r="A451" t="str">
            <v>30030_3</v>
          </cell>
          <cell r="B451">
            <v>3</v>
          </cell>
          <cell r="C451">
            <v>30030</v>
          </cell>
          <cell r="D451" t="str">
            <v>ここは誰の箱庭じゃ？</v>
          </cell>
          <cell r="E451" t="str">
            <v>ドロップイベント9（マルチ専用）</v>
          </cell>
          <cell r="F451">
            <v>3</v>
          </cell>
          <cell r="G451" t="str">
            <v>ja</v>
          </cell>
          <cell r="H451" t="str">
            <v>【超級】ここは誰の箱庭じゃ？</v>
          </cell>
          <cell r="I451" t="str">
            <v>超級</v>
          </cell>
          <cell r="J451">
            <v>653</v>
          </cell>
          <cell r="K451">
            <v>30</v>
          </cell>
          <cell r="L451">
            <v>3300</v>
          </cell>
          <cell r="M451">
            <v>1</v>
          </cell>
          <cell r="N451">
            <v>1</v>
          </cell>
          <cell r="O451">
            <v>1</v>
          </cell>
          <cell r="P451">
            <v>1</v>
          </cell>
          <cell r="Q451">
            <v>1</v>
          </cell>
          <cell r="R451">
            <v>3</v>
          </cell>
          <cell r="S451" t="str">
            <v>polygon</v>
          </cell>
          <cell r="T451">
            <v>1</v>
          </cell>
          <cell r="U451" t="str">
            <v>NULL</v>
          </cell>
          <cell r="V451" t="str">
            <v>NULL</v>
          </cell>
          <cell r="W451" t="str">
            <v/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 t="str">
            <v>anytime</v>
          </cell>
          <cell r="AC451">
            <v>8</v>
          </cell>
          <cell r="AD451">
            <v>6</v>
          </cell>
          <cell r="AE451" t="str">
            <v>everyone</v>
          </cell>
        </row>
        <row r="452">
          <cell r="A452" t="str">
            <v>30031_1</v>
          </cell>
          <cell r="B452">
            <v>3</v>
          </cell>
          <cell r="C452">
            <v>30031</v>
          </cell>
          <cell r="D452" t="str">
            <v>力への羨望</v>
          </cell>
          <cell r="E452" t="str">
            <v>ドロップイベント10（マルチ専用）</v>
          </cell>
          <cell r="F452">
            <v>1</v>
          </cell>
          <cell r="G452" t="str">
            <v>ja</v>
          </cell>
          <cell r="H452" t="str">
            <v>【中級】力への羨望</v>
          </cell>
          <cell r="I452" t="str">
            <v>中級</v>
          </cell>
          <cell r="J452">
            <v>764</v>
          </cell>
          <cell r="K452">
            <v>15</v>
          </cell>
          <cell r="L452">
            <v>1200</v>
          </cell>
          <cell r="M452">
            <v>1</v>
          </cell>
          <cell r="N452">
            <v>1</v>
          </cell>
          <cell r="O452">
            <v>1</v>
          </cell>
          <cell r="P452">
            <v>1</v>
          </cell>
          <cell r="Q452">
            <v>1</v>
          </cell>
          <cell r="R452">
            <v>3</v>
          </cell>
          <cell r="S452" t="str">
            <v>none</v>
          </cell>
          <cell r="T452">
            <v>0</v>
          </cell>
          <cell r="U452" t="str">
            <v>NULL</v>
          </cell>
          <cell r="V452" t="str">
            <v>NULL</v>
          </cell>
          <cell r="W452" t="str">
            <v/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 t="str">
            <v>anytime</v>
          </cell>
          <cell r="AC452">
            <v>20</v>
          </cell>
          <cell r="AD452">
            <v>6</v>
          </cell>
          <cell r="AE452" t="str">
            <v>everyone</v>
          </cell>
        </row>
        <row r="453">
          <cell r="A453" t="str">
            <v>30031_2</v>
          </cell>
          <cell r="B453">
            <v>3</v>
          </cell>
          <cell r="C453">
            <v>30031</v>
          </cell>
          <cell r="D453" t="str">
            <v>力への羨望</v>
          </cell>
          <cell r="E453" t="str">
            <v>ドロップイベント10（マルチ専用）</v>
          </cell>
          <cell r="F453">
            <v>2</v>
          </cell>
          <cell r="G453" t="str">
            <v>ja</v>
          </cell>
          <cell r="H453" t="str">
            <v>【上級】力への羨望</v>
          </cell>
          <cell r="I453" t="str">
            <v>上級</v>
          </cell>
          <cell r="J453">
            <v>764</v>
          </cell>
          <cell r="K453">
            <v>20</v>
          </cell>
          <cell r="L453">
            <v>2000</v>
          </cell>
          <cell r="M453">
            <v>1</v>
          </cell>
          <cell r="N453">
            <v>1</v>
          </cell>
          <cell r="O453">
            <v>1</v>
          </cell>
          <cell r="P453">
            <v>1</v>
          </cell>
          <cell r="Q453">
            <v>1</v>
          </cell>
          <cell r="R453">
            <v>3</v>
          </cell>
          <cell r="S453" t="str">
            <v>none</v>
          </cell>
          <cell r="T453">
            <v>0</v>
          </cell>
          <cell r="U453" t="str">
            <v>NULL</v>
          </cell>
          <cell r="V453" t="str">
            <v>NULL</v>
          </cell>
          <cell r="W453" t="str">
            <v/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 t="str">
            <v>anytime</v>
          </cell>
          <cell r="AC453">
            <v>20</v>
          </cell>
          <cell r="AD453">
            <v>6</v>
          </cell>
          <cell r="AE453" t="str">
            <v>everyone</v>
          </cell>
        </row>
        <row r="454">
          <cell r="A454" t="str">
            <v>30031_3</v>
          </cell>
          <cell r="B454">
            <v>3</v>
          </cell>
          <cell r="C454">
            <v>30031</v>
          </cell>
          <cell r="D454" t="str">
            <v>力への羨望</v>
          </cell>
          <cell r="E454" t="str">
            <v>ドロップイベント10（マルチ専用）</v>
          </cell>
          <cell r="F454">
            <v>3</v>
          </cell>
          <cell r="G454" t="str">
            <v>ja</v>
          </cell>
          <cell r="H454" t="str">
            <v>【超級】力への羨望</v>
          </cell>
          <cell r="I454" t="str">
            <v>超級</v>
          </cell>
          <cell r="J454">
            <v>765</v>
          </cell>
          <cell r="K454">
            <v>30</v>
          </cell>
          <cell r="L454">
            <v>3300</v>
          </cell>
          <cell r="M454">
            <v>1</v>
          </cell>
          <cell r="N454">
            <v>1</v>
          </cell>
          <cell r="O454">
            <v>1</v>
          </cell>
          <cell r="P454">
            <v>1</v>
          </cell>
          <cell r="Q454">
            <v>1</v>
          </cell>
          <cell r="R454">
            <v>3</v>
          </cell>
          <cell r="S454" t="str">
            <v>polygon</v>
          </cell>
          <cell r="T454">
            <v>1</v>
          </cell>
          <cell r="U454" t="str">
            <v>NULL</v>
          </cell>
          <cell r="V454" t="str">
            <v>NULL</v>
          </cell>
          <cell r="W454" t="str">
            <v/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 t="str">
            <v>anytime</v>
          </cell>
          <cell r="AC454">
            <v>20</v>
          </cell>
          <cell r="AD454">
            <v>6</v>
          </cell>
          <cell r="AE454" t="str">
            <v>everyone</v>
          </cell>
        </row>
        <row r="455">
          <cell r="A455" t="str">
            <v>30032_1</v>
          </cell>
          <cell r="B455">
            <v>3</v>
          </cell>
          <cell r="C455">
            <v>30032</v>
          </cell>
          <cell r="D455" t="str">
            <v>赤き竜の制裁</v>
          </cell>
          <cell r="E455" t="str">
            <v>円卓2（マルチ専用）</v>
          </cell>
          <cell r="F455">
            <v>1</v>
          </cell>
          <cell r="G455" t="str">
            <v>ja</v>
          </cell>
          <cell r="H455" t="str">
            <v>【中級】赤き竜の制裁</v>
          </cell>
          <cell r="I455" t="str">
            <v>中級</v>
          </cell>
          <cell r="J455">
            <v>767</v>
          </cell>
          <cell r="K455">
            <v>15</v>
          </cell>
          <cell r="L455">
            <v>1200</v>
          </cell>
          <cell r="M455">
            <v>1</v>
          </cell>
          <cell r="N455">
            <v>1</v>
          </cell>
          <cell r="O455">
            <v>1</v>
          </cell>
          <cell r="P455">
            <v>1</v>
          </cell>
          <cell r="Q455">
            <v>1</v>
          </cell>
          <cell r="R455">
            <v>3</v>
          </cell>
          <cell r="S455" t="str">
            <v>none</v>
          </cell>
          <cell r="T455">
            <v>0</v>
          </cell>
          <cell r="U455" t="str">
            <v>NULL</v>
          </cell>
          <cell r="V455" t="str">
            <v>NULL</v>
          </cell>
          <cell r="W455" t="str">
            <v/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 t="str">
            <v>anytime</v>
          </cell>
          <cell r="AC455">
            <v>14</v>
          </cell>
          <cell r="AD455">
            <v>6</v>
          </cell>
          <cell r="AE455" t="str">
            <v>everyone</v>
          </cell>
        </row>
        <row r="456">
          <cell r="A456" t="str">
            <v>30032_2</v>
          </cell>
          <cell r="B456">
            <v>3</v>
          </cell>
          <cell r="C456">
            <v>30032</v>
          </cell>
          <cell r="D456" t="str">
            <v>赤き竜の制裁</v>
          </cell>
          <cell r="E456" t="str">
            <v>円卓2（マルチ専用）</v>
          </cell>
          <cell r="F456">
            <v>2</v>
          </cell>
          <cell r="G456" t="str">
            <v>ja</v>
          </cell>
          <cell r="H456" t="str">
            <v>【上級】赤き竜の制裁</v>
          </cell>
          <cell r="I456" t="str">
            <v>上級</v>
          </cell>
          <cell r="J456">
            <v>767</v>
          </cell>
          <cell r="K456">
            <v>20</v>
          </cell>
          <cell r="L456">
            <v>2000</v>
          </cell>
          <cell r="M456">
            <v>1</v>
          </cell>
          <cell r="N456">
            <v>1</v>
          </cell>
          <cell r="O456">
            <v>1</v>
          </cell>
          <cell r="P456">
            <v>1</v>
          </cell>
          <cell r="Q456">
            <v>1</v>
          </cell>
          <cell r="R456">
            <v>3</v>
          </cell>
          <cell r="S456" t="str">
            <v>none</v>
          </cell>
          <cell r="T456">
            <v>0</v>
          </cell>
          <cell r="U456" t="str">
            <v>NULL</v>
          </cell>
          <cell r="V456" t="str">
            <v>NULL</v>
          </cell>
          <cell r="W456" t="str">
            <v/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 t="str">
            <v>anytime</v>
          </cell>
          <cell r="AC456">
            <v>14</v>
          </cell>
          <cell r="AD456">
            <v>6</v>
          </cell>
          <cell r="AE456" t="str">
            <v>everyone</v>
          </cell>
        </row>
        <row r="457">
          <cell r="A457" t="str">
            <v>30032_3</v>
          </cell>
          <cell r="B457">
            <v>3</v>
          </cell>
          <cell r="C457">
            <v>30032</v>
          </cell>
          <cell r="D457" t="str">
            <v>赤き竜の制裁</v>
          </cell>
          <cell r="E457" t="str">
            <v>円卓2（マルチ専用）</v>
          </cell>
          <cell r="F457">
            <v>3</v>
          </cell>
          <cell r="G457" t="str">
            <v>ja</v>
          </cell>
          <cell r="H457" t="str">
            <v>【超級】赤き竜の制裁</v>
          </cell>
          <cell r="I457" t="str">
            <v>超級</v>
          </cell>
          <cell r="J457">
            <v>767</v>
          </cell>
          <cell r="K457">
            <v>30</v>
          </cell>
          <cell r="L457">
            <v>3300</v>
          </cell>
          <cell r="M457">
            <v>1</v>
          </cell>
          <cell r="N457">
            <v>1</v>
          </cell>
          <cell r="O457">
            <v>1</v>
          </cell>
          <cell r="P457">
            <v>1</v>
          </cell>
          <cell r="Q457">
            <v>1</v>
          </cell>
          <cell r="R457">
            <v>3</v>
          </cell>
          <cell r="S457" t="str">
            <v>polygon</v>
          </cell>
          <cell r="T457">
            <v>1</v>
          </cell>
          <cell r="U457" t="str">
            <v>NULL</v>
          </cell>
          <cell r="V457" t="str">
            <v>NULL</v>
          </cell>
          <cell r="W457" t="str">
            <v/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 t="str">
            <v>anytime</v>
          </cell>
          <cell r="AC457">
            <v>14</v>
          </cell>
          <cell r="AD457">
            <v>6</v>
          </cell>
          <cell r="AE457" t="str">
            <v>everyone</v>
          </cell>
        </row>
        <row r="458">
          <cell r="A458" t="str">
            <v>30033_1</v>
          </cell>
          <cell r="B458">
            <v>1</v>
          </cell>
          <cell r="C458">
            <v>30033</v>
          </cell>
          <cell r="D458" t="str">
            <v>蘭丸</v>
          </cell>
          <cell r="E458" t="str">
            <v>戦国１</v>
          </cell>
          <cell r="F458">
            <v>1</v>
          </cell>
          <cell r="G458" t="str">
            <v>ja</v>
          </cell>
          <cell r="H458" t="str">
            <v>【中級】蘭丸</v>
          </cell>
          <cell r="I458" t="str">
            <v>中級</v>
          </cell>
          <cell r="J458">
            <v>1</v>
          </cell>
          <cell r="K458">
            <v>30</v>
          </cell>
          <cell r="L458">
            <v>3300</v>
          </cell>
          <cell r="M458">
            <v>1</v>
          </cell>
          <cell r="N458">
            <v>1</v>
          </cell>
          <cell r="O458">
            <v>1</v>
          </cell>
          <cell r="P458">
            <v>1</v>
          </cell>
          <cell r="Q458">
            <v>1</v>
          </cell>
          <cell r="R458">
            <v>3</v>
          </cell>
          <cell r="S458" t="str">
            <v>none</v>
          </cell>
          <cell r="T458">
            <v>0</v>
          </cell>
          <cell r="U458" t="str">
            <v>NULL</v>
          </cell>
          <cell r="V458" t="str">
            <v>NULL</v>
          </cell>
          <cell r="W458" t="str">
            <v/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 t="str">
            <v>anytime</v>
          </cell>
          <cell r="AC458">
            <v>14</v>
          </cell>
          <cell r="AD458">
            <v>6</v>
          </cell>
          <cell r="AE458" t="str">
            <v>everyone</v>
          </cell>
        </row>
        <row r="459">
          <cell r="A459" t="str">
            <v>30033_2</v>
          </cell>
          <cell r="B459">
            <v>1</v>
          </cell>
          <cell r="C459">
            <v>30033</v>
          </cell>
          <cell r="D459" t="str">
            <v>蘭丸</v>
          </cell>
          <cell r="E459" t="str">
            <v>戦国１</v>
          </cell>
          <cell r="F459">
            <v>2</v>
          </cell>
          <cell r="G459" t="str">
            <v>ja</v>
          </cell>
          <cell r="H459" t="str">
            <v>【上級】蘭丸</v>
          </cell>
          <cell r="I459" t="str">
            <v>上級</v>
          </cell>
          <cell r="J459">
            <v>1</v>
          </cell>
          <cell r="K459">
            <v>30</v>
          </cell>
          <cell r="L459">
            <v>3300</v>
          </cell>
          <cell r="M459">
            <v>1</v>
          </cell>
          <cell r="N459">
            <v>1</v>
          </cell>
          <cell r="O459">
            <v>1</v>
          </cell>
          <cell r="P459">
            <v>1</v>
          </cell>
          <cell r="Q459">
            <v>1</v>
          </cell>
          <cell r="R459">
            <v>3</v>
          </cell>
          <cell r="S459" t="str">
            <v>none</v>
          </cell>
          <cell r="T459">
            <v>0</v>
          </cell>
          <cell r="U459" t="str">
            <v>NULL</v>
          </cell>
          <cell r="V459" t="str">
            <v>NULL</v>
          </cell>
          <cell r="W459" t="str">
            <v/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 t="str">
            <v>anytime</v>
          </cell>
          <cell r="AC459">
            <v>14</v>
          </cell>
          <cell r="AD459">
            <v>6</v>
          </cell>
          <cell r="AE459" t="str">
            <v>everyone</v>
          </cell>
        </row>
        <row r="460">
          <cell r="A460" t="str">
            <v>30033_3</v>
          </cell>
          <cell r="B460">
            <v>1</v>
          </cell>
          <cell r="C460">
            <v>30033</v>
          </cell>
          <cell r="D460" t="str">
            <v>蘭丸</v>
          </cell>
          <cell r="E460" t="str">
            <v>戦国１</v>
          </cell>
          <cell r="F460">
            <v>3</v>
          </cell>
          <cell r="G460" t="str">
            <v>ja</v>
          </cell>
          <cell r="H460" t="str">
            <v>【超級】蘭丸</v>
          </cell>
          <cell r="I460" t="str">
            <v>超級</v>
          </cell>
          <cell r="J460">
            <v>1</v>
          </cell>
          <cell r="K460">
            <v>30</v>
          </cell>
          <cell r="L460">
            <v>3300</v>
          </cell>
          <cell r="M460">
            <v>1</v>
          </cell>
          <cell r="N460">
            <v>1</v>
          </cell>
          <cell r="O460">
            <v>1</v>
          </cell>
          <cell r="P460">
            <v>1</v>
          </cell>
          <cell r="Q460">
            <v>1</v>
          </cell>
          <cell r="R460">
            <v>3</v>
          </cell>
          <cell r="S460" t="str">
            <v>none</v>
          </cell>
          <cell r="T460">
            <v>0</v>
          </cell>
          <cell r="U460" t="str">
            <v>NULL</v>
          </cell>
          <cell r="V460" t="str">
            <v>NULL</v>
          </cell>
          <cell r="W460" t="str">
            <v/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 t="str">
            <v>anytime</v>
          </cell>
          <cell r="AC460">
            <v>14</v>
          </cell>
          <cell r="AD460">
            <v>6</v>
          </cell>
          <cell r="AE460" t="str">
            <v>everyone</v>
          </cell>
        </row>
        <row r="461">
          <cell r="A461" t="str">
            <v>39001_1</v>
          </cell>
          <cell r="B461">
            <v>3</v>
          </cell>
          <cell r="C461">
            <v>39001</v>
          </cell>
          <cell r="D461" t="str">
            <v>雪の歌姫</v>
          </cell>
          <cell r="E461" t="str">
            <v>コラボクエスト</v>
          </cell>
          <cell r="F461">
            <v>1</v>
          </cell>
          <cell r="G461" t="str">
            <v>ja</v>
          </cell>
          <cell r="H461" t="str">
            <v>【初級】雪の歌姫</v>
          </cell>
          <cell r="I461" t="str">
            <v>初級</v>
          </cell>
          <cell r="J461">
            <v>525</v>
          </cell>
          <cell r="K461">
            <v>8</v>
          </cell>
          <cell r="L461">
            <v>384</v>
          </cell>
          <cell r="M461">
            <v>1</v>
          </cell>
          <cell r="N461">
            <v>1</v>
          </cell>
          <cell r="O461">
            <v>1</v>
          </cell>
          <cell r="P461">
            <v>1</v>
          </cell>
          <cell r="Q461">
            <v>1</v>
          </cell>
          <cell r="R461">
            <v>3</v>
          </cell>
          <cell r="S461" t="str">
            <v>none</v>
          </cell>
          <cell r="T461">
            <v>0</v>
          </cell>
          <cell r="U461" t="str">
            <v>NULL</v>
          </cell>
          <cell r="V461" t="str">
            <v>NULL</v>
          </cell>
          <cell r="W461" t="str">
            <v/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 t="str">
            <v>anytime</v>
          </cell>
          <cell r="AC461">
            <v>909</v>
          </cell>
          <cell r="AD461">
            <v>6</v>
          </cell>
          <cell r="AE461" t="str">
            <v>everyone</v>
          </cell>
        </row>
        <row r="462">
          <cell r="A462" t="str">
            <v>39001_2</v>
          </cell>
          <cell r="B462">
            <v>3</v>
          </cell>
          <cell r="C462">
            <v>39001</v>
          </cell>
          <cell r="D462" t="str">
            <v>雪の歌姫</v>
          </cell>
          <cell r="E462" t="str">
            <v>コラボクエスト</v>
          </cell>
          <cell r="F462">
            <v>2</v>
          </cell>
          <cell r="G462" t="str">
            <v>ja</v>
          </cell>
          <cell r="H462" t="str">
            <v>【中級】雪の歌姫</v>
          </cell>
          <cell r="I462" t="str">
            <v>中級</v>
          </cell>
          <cell r="J462">
            <v>525</v>
          </cell>
          <cell r="K462">
            <v>15</v>
          </cell>
          <cell r="L462">
            <v>1200</v>
          </cell>
          <cell r="M462">
            <v>1</v>
          </cell>
          <cell r="N462">
            <v>1</v>
          </cell>
          <cell r="O462">
            <v>1</v>
          </cell>
          <cell r="P462">
            <v>1</v>
          </cell>
          <cell r="Q462">
            <v>1</v>
          </cell>
          <cell r="R462">
            <v>3</v>
          </cell>
          <cell r="S462" t="str">
            <v>none</v>
          </cell>
          <cell r="T462">
            <v>0</v>
          </cell>
          <cell r="U462" t="str">
            <v>NULL</v>
          </cell>
          <cell r="V462" t="str">
            <v>NULL</v>
          </cell>
          <cell r="W462" t="str">
            <v/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 t="str">
            <v>anytime</v>
          </cell>
          <cell r="AC462">
            <v>909</v>
          </cell>
          <cell r="AD462">
            <v>6</v>
          </cell>
          <cell r="AE462" t="str">
            <v>everyone</v>
          </cell>
        </row>
        <row r="463">
          <cell r="A463" t="str">
            <v>39001_3</v>
          </cell>
          <cell r="B463">
            <v>3</v>
          </cell>
          <cell r="C463">
            <v>39001</v>
          </cell>
          <cell r="D463" t="str">
            <v>雪の歌姫</v>
          </cell>
          <cell r="E463" t="str">
            <v>コラボクエスト</v>
          </cell>
          <cell r="F463">
            <v>3</v>
          </cell>
          <cell r="G463" t="str">
            <v>ja</v>
          </cell>
          <cell r="H463" t="str">
            <v>【上級】雪の歌姫</v>
          </cell>
          <cell r="I463" t="str">
            <v>上級</v>
          </cell>
          <cell r="J463">
            <v>525</v>
          </cell>
          <cell r="K463">
            <v>20</v>
          </cell>
          <cell r="L463">
            <v>2000</v>
          </cell>
          <cell r="M463">
            <v>1</v>
          </cell>
          <cell r="N463">
            <v>1</v>
          </cell>
          <cell r="O463">
            <v>1</v>
          </cell>
          <cell r="P463">
            <v>1</v>
          </cell>
          <cell r="Q463">
            <v>1</v>
          </cell>
          <cell r="R463">
            <v>3</v>
          </cell>
          <cell r="S463" t="str">
            <v>none</v>
          </cell>
          <cell r="T463">
            <v>0</v>
          </cell>
          <cell r="U463" t="str">
            <v>NULL</v>
          </cell>
          <cell r="V463" t="str">
            <v>NULL</v>
          </cell>
          <cell r="W463" t="str">
            <v/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 t="str">
            <v>anytime</v>
          </cell>
          <cell r="AC463">
            <v>909</v>
          </cell>
          <cell r="AD463">
            <v>6</v>
          </cell>
          <cell r="AE463" t="str">
            <v>everyone</v>
          </cell>
        </row>
        <row r="464">
          <cell r="A464" t="str">
            <v>39001_4</v>
          </cell>
          <cell r="B464">
            <v>3</v>
          </cell>
          <cell r="C464">
            <v>39001</v>
          </cell>
          <cell r="D464" t="str">
            <v>雪の歌姫</v>
          </cell>
          <cell r="E464" t="str">
            <v>コラボクエスト</v>
          </cell>
          <cell r="F464">
            <v>4</v>
          </cell>
          <cell r="G464" t="str">
            <v>ja</v>
          </cell>
          <cell r="H464" t="str">
            <v>【超級】雪の歌姫</v>
          </cell>
          <cell r="I464" t="str">
            <v>超級</v>
          </cell>
          <cell r="J464">
            <v>526</v>
          </cell>
          <cell r="K464">
            <v>30</v>
          </cell>
          <cell r="L464">
            <v>3300</v>
          </cell>
          <cell r="M464">
            <v>1</v>
          </cell>
          <cell r="N464">
            <v>1</v>
          </cell>
          <cell r="O464">
            <v>1</v>
          </cell>
          <cell r="P464">
            <v>1</v>
          </cell>
          <cell r="Q464">
            <v>1</v>
          </cell>
          <cell r="R464">
            <v>3</v>
          </cell>
          <cell r="S464" t="str">
            <v>none</v>
          </cell>
          <cell r="T464">
            <v>0</v>
          </cell>
          <cell r="U464" t="str">
            <v>NULL</v>
          </cell>
          <cell r="V464" t="str">
            <v>NULL</v>
          </cell>
          <cell r="W464" t="str">
            <v/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 t="str">
            <v>anytime</v>
          </cell>
          <cell r="AC464">
            <v>909</v>
          </cell>
          <cell r="AD464">
            <v>6</v>
          </cell>
          <cell r="AE464" t="str">
            <v>everyone</v>
          </cell>
        </row>
        <row r="465">
          <cell r="A465" t="str">
            <v>39001_5</v>
          </cell>
          <cell r="B465">
            <v>3</v>
          </cell>
          <cell r="C465">
            <v>39001</v>
          </cell>
          <cell r="D465" t="str">
            <v>雪の歌姫</v>
          </cell>
          <cell r="E465" t="str">
            <v>コラボクエスト</v>
          </cell>
          <cell r="F465">
            <v>5</v>
          </cell>
          <cell r="G465" t="str">
            <v>ja</v>
          </cell>
          <cell r="H465" t="str">
            <v>【超絶級】雪の歌姫</v>
          </cell>
          <cell r="I465" t="str">
            <v>超絶級</v>
          </cell>
          <cell r="J465">
            <v>526</v>
          </cell>
          <cell r="K465">
            <v>35</v>
          </cell>
          <cell r="L465">
            <v>4200</v>
          </cell>
          <cell r="M465">
            <v>1</v>
          </cell>
          <cell r="N465">
            <v>1</v>
          </cell>
          <cell r="O465">
            <v>1</v>
          </cell>
          <cell r="P465">
            <v>1</v>
          </cell>
          <cell r="Q465">
            <v>1</v>
          </cell>
          <cell r="R465">
            <v>3</v>
          </cell>
          <cell r="S465" t="str">
            <v>polygon</v>
          </cell>
          <cell r="T465">
            <v>1</v>
          </cell>
          <cell r="U465" t="str">
            <v>NULL</v>
          </cell>
          <cell r="V465" t="str">
            <v>NULL</v>
          </cell>
          <cell r="W465" t="str">
            <v/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 t="str">
            <v>anytime</v>
          </cell>
          <cell r="AC465">
            <v>909</v>
          </cell>
          <cell r="AD465">
            <v>6</v>
          </cell>
          <cell r="AE465" t="str">
            <v>everyone</v>
          </cell>
        </row>
        <row r="466">
          <cell r="A466" t="str">
            <v>39002_1</v>
          </cell>
          <cell r="B466">
            <v>1</v>
          </cell>
          <cell r="C466">
            <v>39002</v>
          </cell>
          <cell r="D466" t="str">
            <v>Y</v>
          </cell>
          <cell r="E466" t="str">
            <v>コラボクエスト</v>
          </cell>
          <cell r="F466">
            <v>1</v>
          </cell>
          <cell r="G466" t="str">
            <v>ja</v>
          </cell>
          <cell r="H466" t="str">
            <v>【初級】デ黄編</v>
          </cell>
          <cell r="I466" t="str">
            <v>初級</v>
          </cell>
          <cell r="J466">
            <v>1</v>
          </cell>
          <cell r="K466">
            <v>8</v>
          </cell>
          <cell r="L466">
            <v>384</v>
          </cell>
          <cell r="M466">
            <v>1</v>
          </cell>
          <cell r="N466">
            <v>1</v>
          </cell>
          <cell r="O466">
            <v>1</v>
          </cell>
          <cell r="P466">
            <v>1</v>
          </cell>
          <cell r="Q466">
            <v>1</v>
          </cell>
          <cell r="R466">
            <v>3</v>
          </cell>
          <cell r="S466" t="str">
            <v>none</v>
          </cell>
          <cell r="T466">
            <v>0</v>
          </cell>
          <cell r="U466" t="str">
            <v>NULL</v>
          </cell>
          <cell r="V466" t="str">
            <v>NULL</v>
          </cell>
          <cell r="W466" t="str">
            <v/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 t="str">
            <v>anytime</v>
          </cell>
          <cell r="AC466">
            <v>12</v>
          </cell>
          <cell r="AD466">
            <v>6</v>
          </cell>
          <cell r="AE466" t="str">
            <v>everyone</v>
          </cell>
        </row>
        <row r="467">
          <cell r="A467" t="str">
            <v>39002_2</v>
          </cell>
          <cell r="B467">
            <v>1</v>
          </cell>
          <cell r="C467">
            <v>39002</v>
          </cell>
          <cell r="D467" t="str">
            <v>Y</v>
          </cell>
          <cell r="E467" t="str">
            <v>コラボクエスト</v>
          </cell>
          <cell r="F467">
            <v>2</v>
          </cell>
          <cell r="G467" t="str">
            <v>ja</v>
          </cell>
          <cell r="H467" t="str">
            <v>【中級】デ黄編</v>
          </cell>
          <cell r="I467" t="str">
            <v>中級</v>
          </cell>
          <cell r="J467">
            <v>1</v>
          </cell>
          <cell r="K467">
            <v>15</v>
          </cell>
          <cell r="L467">
            <v>1200</v>
          </cell>
          <cell r="M467">
            <v>1</v>
          </cell>
          <cell r="N467">
            <v>1</v>
          </cell>
          <cell r="O467">
            <v>1</v>
          </cell>
          <cell r="P467">
            <v>1</v>
          </cell>
          <cell r="Q467">
            <v>1</v>
          </cell>
          <cell r="R467">
            <v>3</v>
          </cell>
          <cell r="S467" t="str">
            <v>none</v>
          </cell>
          <cell r="T467">
            <v>0</v>
          </cell>
          <cell r="U467" t="str">
            <v>NULL</v>
          </cell>
          <cell r="V467" t="str">
            <v>NULL</v>
          </cell>
          <cell r="W467" t="str">
            <v/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 t="str">
            <v>anytime</v>
          </cell>
          <cell r="AC467">
            <v>12</v>
          </cell>
          <cell r="AD467">
            <v>6</v>
          </cell>
          <cell r="AE467" t="str">
            <v>everyone</v>
          </cell>
        </row>
        <row r="468">
          <cell r="A468" t="str">
            <v>39002_3</v>
          </cell>
          <cell r="B468">
            <v>1</v>
          </cell>
          <cell r="C468">
            <v>39002</v>
          </cell>
          <cell r="D468" t="str">
            <v>Y</v>
          </cell>
          <cell r="E468" t="str">
            <v>コラボクエスト</v>
          </cell>
          <cell r="F468">
            <v>3</v>
          </cell>
          <cell r="G468" t="str">
            <v>ja</v>
          </cell>
          <cell r="H468" t="str">
            <v>【上級】デ黄編</v>
          </cell>
          <cell r="I468" t="str">
            <v>上級</v>
          </cell>
          <cell r="J468">
            <v>1</v>
          </cell>
          <cell r="K468">
            <v>20</v>
          </cell>
          <cell r="L468">
            <v>2000</v>
          </cell>
          <cell r="M468">
            <v>1</v>
          </cell>
          <cell r="N468">
            <v>1</v>
          </cell>
          <cell r="O468">
            <v>1</v>
          </cell>
          <cell r="P468">
            <v>1</v>
          </cell>
          <cell r="Q468">
            <v>1</v>
          </cell>
          <cell r="R468">
            <v>3</v>
          </cell>
          <cell r="S468" t="str">
            <v>none</v>
          </cell>
          <cell r="T468">
            <v>0</v>
          </cell>
          <cell r="U468" t="str">
            <v>NULL</v>
          </cell>
          <cell r="V468" t="str">
            <v>NULL</v>
          </cell>
          <cell r="W468" t="str">
            <v/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 t="str">
            <v>anytime</v>
          </cell>
          <cell r="AC468">
            <v>12</v>
          </cell>
          <cell r="AD468">
            <v>6</v>
          </cell>
          <cell r="AE468" t="str">
            <v>everyone</v>
          </cell>
        </row>
        <row r="469">
          <cell r="A469" t="str">
            <v>39002_4</v>
          </cell>
          <cell r="B469">
            <v>1</v>
          </cell>
          <cell r="C469">
            <v>39002</v>
          </cell>
          <cell r="D469" t="str">
            <v>Y</v>
          </cell>
          <cell r="E469" t="str">
            <v>コラボクエスト</v>
          </cell>
          <cell r="F469">
            <v>4</v>
          </cell>
          <cell r="G469" t="str">
            <v>ja</v>
          </cell>
          <cell r="H469" t="str">
            <v>【超級】デ黄編</v>
          </cell>
          <cell r="I469" t="str">
            <v>超級</v>
          </cell>
          <cell r="J469">
            <v>1</v>
          </cell>
          <cell r="K469">
            <v>30</v>
          </cell>
          <cell r="L469">
            <v>3300</v>
          </cell>
          <cell r="M469">
            <v>1</v>
          </cell>
          <cell r="N469">
            <v>1</v>
          </cell>
          <cell r="O469">
            <v>1</v>
          </cell>
          <cell r="P469">
            <v>1</v>
          </cell>
          <cell r="Q469">
            <v>1</v>
          </cell>
          <cell r="R469">
            <v>3</v>
          </cell>
          <cell r="S469" t="str">
            <v>none</v>
          </cell>
          <cell r="T469">
            <v>0</v>
          </cell>
          <cell r="U469" t="str">
            <v>NULL</v>
          </cell>
          <cell r="V469" t="str">
            <v>NULL</v>
          </cell>
          <cell r="W469" t="str">
            <v/>
          </cell>
          <cell r="X469">
            <v>0</v>
          </cell>
          <cell r="Y469">
            <v>0</v>
          </cell>
          <cell r="Z469">
            <v>0</v>
          </cell>
          <cell r="AA469">
            <v>0</v>
          </cell>
          <cell r="AB469" t="str">
            <v>anytime</v>
          </cell>
          <cell r="AC469">
            <v>12</v>
          </cell>
          <cell r="AD469">
            <v>6</v>
          </cell>
          <cell r="AE469" t="str">
            <v>everyone</v>
          </cell>
        </row>
        <row r="470">
          <cell r="A470" t="str">
            <v>39003_1</v>
          </cell>
          <cell r="B470">
            <v>1</v>
          </cell>
          <cell r="C470">
            <v>39003</v>
          </cell>
          <cell r="D470" t="str">
            <v>B</v>
          </cell>
          <cell r="E470" t="str">
            <v>コラボクエスト</v>
          </cell>
          <cell r="F470">
            <v>1</v>
          </cell>
          <cell r="G470" t="str">
            <v>ja</v>
          </cell>
          <cell r="H470" t="str">
            <v>【初級】デ青編</v>
          </cell>
          <cell r="I470" t="str">
            <v>初級</v>
          </cell>
          <cell r="J470">
            <v>1</v>
          </cell>
          <cell r="K470">
            <v>8</v>
          </cell>
          <cell r="L470">
            <v>384</v>
          </cell>
          <cell r="M470">
            <v>1</v>
          </cell>
          <cell r="N470">
            <v>1</v>
          </cell>
          <cell r="O470">
            <v>1</v>
          </cell>
          <cell r="P470">
            <v>1</v>
          </cell>
          <cell r="Q470">
            <v>1</v>
          </cell>
          <cell r="R470">
            <v>3</v>
          </cell>
          <cell r="S470" t="str">
            <v>none</v>
          </cell>
          <cell r="T470">
            <v>0</v>
          </cell>
          <cell r="U470" t="str">
            <v>NULL</v>
          </cell>
          <cell r="V470" t="str">
            <v>NULL</v>
          </cell>
          <cell r="W470" t="str">
            <v/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 t="str">
            <v>anytime</v>
          </cell>
          <cell r="AC470">
            <v>14</v>
          </cell>
          <cell r="AD470">
            <v>6</v>
          </cell>
          <cell r="AE470" t="str">
            <v>everyone</v>
          </cell>
        </row>
        <row r="471">
          <cell r="A471" t="str">
            <v>39003_2</v>
          </cell>
          <cell r="B471">
            <v>1</v>
          </cell>
          <cell r="C471">
            <v>39003</v>
          </cell>
          <cell r="D471" t="str">
            <v>B</v>
          </cell>
          <cell r="E471" t="str">
            <v>コラボクエスト</v>
          </cell>
          <cell r="F471">
            <v>2</v>
          </cell>
          <cell r="G471" t="str">
            <v>ja</v>
          </cell>
          <cell r="H471" t="str">
            <v>【中級】デ青編</v>
          </cell>
          <cell r="I471" t="str">
            <v>中級</v>
          </cell>
          <cell r="J471">
            <v>1</v>
          </cell>
          <cell r="K471">
            <v>15</v>
          </cell>
          <cell r="L471">
            <v>1200</v>
          </cell>
          <cell r="M471">
            <v>1</v>
          </cell>
          <cell r="N471">
            <v>1</v>
          </cell>
          <cell r="O471">
            <v>1</v>
          </cell>
          <cell r="P471">
            <v>1</v>
          </cell>
          <cell r="Q471">
            <v>1</v>
          </cell>
          <cell r="R471">
            <v>3</v>
          </cell>
          <cell r="S471" t="str">
            <v>none</v>
          </cell>
          <cell r="T471">
            <v>0</v>
          </cell>
          <cell r="U471" t="str">
            <v>NULL</v>
          </cell>
          <cell r="V471" t="str">
            <v>NULL</v>
          </cell>
          <cell r="W471" t="str">
            <v/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 t="str">
            <v>anytime</v>
          </cell>
          <cell r="AC471">
            <v>14</v>
          </cell>
          <cell r="AD471">
            <v>6</v>
          </cell>
          <cell r="AE471" t="str">
            <v>everyone</v>
          </cell>
        </row>
        <row r="472">
          <cell r="A472" t="str">
            <v>39003_3</v>
          </cell>
          <cell r="B472">
            <v>1</v>
          </cell>
          <cell r="C472">
            <v>39003</v>
          </cell>
          <cell r="D472" t="str">
            <v>B</v>
          </cell>
          <cell r="E472" t="str">
            <v>コラボクエスト</v>
          </cell>
          <cell r="F472">
            <v>3</v>
          </cell>
          <cell r="G472" t="str">
            <v>ja</v>
          </cell>
          <cell r="H472" t="str">
            <v>【上級】デ青編</v>
          </cell>
          <cell r="I472" t="str">
            <v>上級</v>
          </cell>
          <cell r="J472">
            <v>1</v>
          </cell>
          <cell r="K472">
            <v>20</v>
          </cell>
          <cell r="L472">
            <v>2000</v>
          </cell>
          <cell r="M472">
            <v>1</v>
          </cell>
          <cell r="N472">
            <v>1</v>
          </cell>
          <cell r="O472">
            <v>1</v>
          </cell>
          <cell r="P472">
            <v>1</v>
          </cell>
          <cell r="Q472">
            <v>1</v>
          </cell>
          <cell r="R472">
            <v>3</v>
          </cell>
          <cell r="S472" t="str">
            <v>none</v>
          </cell>
          <cell r="T472">
            <v>0</v>
          </cell>
          <cell r="U472" t="str">
            <v>NULL</v>
          </cell>
          <cell r="V472" t="str">
            <v>NULL</v>
          </cell>
          <cell r="W472" t="str">
            <v/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 t="str">
            <v>anytime</v>
          </cell>
          <cell r="AC472">
            <v>14</v>
          </cell>
          <cell r="AD472">
            <v>6</v>
          </cell>
          <cell r="AE472" t="str">
            <v>everyone</v>
          </cell>
        </row>
        <row r="473">
          <cell r="A473" t="str">
            <v>39003_4</v>
          </cell>
          <cell r="B473">
            <v>1</v>
          </cell>
          <cell r="C473">
            <v>39003</v>
          </cell>
          <cell r="D473" t="str">
            <v>B</v>
          </cell>
          <cell r="E473" t="str">
            <v>コラボクエスト</v>
          </cell>
          <cell r="F473">
            <v>4</v>
          </cell>
          <cell r="G473" t="str">
            <v>ja</v>
          </cell>
          <cell r="H473" t="str">
            <v>【超級】デ青編</v>
          </cell>
          <cell r="I473" t="str">
            <v>超級</v>
          </cell>
          <cell r="J473">
            <v>1</v>
          </cell>
          <cell r="K473">
            <v>30</v>
          </cell>
          <cell r="L473">
            <v>3300</v>
          </cell>
          <cell r="M473">
            <v>1</v>
          </cell>
          <cell r="N473">
            <v>1</v>
          </cell>
          <cell r="O473">
            <v>1</v>
          </cell>
          <cell r="P473">
            <v>1</v>
          </cell>
          <cell r="Q473">
            <v>1</v>
          </cell>
          <cell r="R473">
            <v>3</v>
          </cell>
          <cell r="S473" t="str">
            <v>none</v>
          </cell>
          <cell r="T473">
            <v>0</v>
          </cell>
          <cell r="U473" t="str">
            <v>NULL</v>
          </cell>
          <cell r="V473" t="str">
            <v>NULL</v>
          </cell>
          <cell r="W473" t="str">
            <v/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 t="str">
            <v>anytime</v>
          </cell>
          <cell r="AC473">
            <v>14</v>
          </cell>
          <cell r="AD473">
            <v>6</v>
          </cell>
          <cell r="AE473" t="str">
            <v>everyone</v>
          </cell>
        </row>
        <row r="474">
          <cell r="A474" t="str">
            <v>40001_1</v>
          </cell>
          <cell r="B474">
            <v>3</v>
          </cell>
          <cell r="C474">
            <v>40001</v>
          </cell>
          <cell r="D474" t="str">
            <v>アマテラス襲来！</v>
          </cell>
          <cell r="E474" t="str">
            <v>降臨1</v>
          </cell>
          <cell r="F474">
            <v>1</v>
          </cell>
          <cell r="G474" t="str">
            <v>ja</v>
          </cell>
          <cell r="H474" t="str">
            <v xml:space="preserve">【ウィザード級】アマテラス襲来 </v>
          </cell>
          <cell r="I474" t="str">
            <v>地獄級</v>
          </cell>
          <cell r="J474">
            <v>278</v>
          </cell>
          <cell r="K474">
            <v>35</v>
          </cell>
          <cell r="L474">
            <v>4200</v>
          </cell>
          <cell r="M474">
            <v>1</v>
          </cell>
          <cell r="N474">
            <v>1</v>
          </cell>
          <cell r="O474">
            <v>1</v>
          </cell>
          <cell r="P474">
            <v>1</v>
          </cell>
          <cell r="Q474">
            <v>1</v>
          </cell>
          <cell r="R474">
            <v>3</v>
          </cell>
          <cell r="S474" t="str">
            <v>none</v>
          </cell>
          <cell r="T474">
            <v>0</v>
          </cell>
          <cell r="U474" t="str">
            <v>NULL</v>
          </cell>
          <cell r="V474" t="str">
            <v>NULL</v>
          </cell>
          <cell r="W474" t="str">
            <v/>
          </cell>
          <cell r="X474">
            <v>0</v>
          </cell>
          <cell r="Y474">
            <v>0</v>
          </cell>
          <cell r="Z474">
            <v>0</v>
          </cell>
          <cell r="AA474">
            <v>0</v>
          </cell>
          <cell r="AB474" t="str">
            <v>anytime</v>
          </cell>
          <cell r="AC474">
            <v>901</v>
          </cell>
          <cell r="AD474">
            <v>6</v>
          </cell>
          <cell r="AE474" t="str">
            <v>everyone</v>
          </cell>
        </row>
        <row r="475">
          <cell r="A475" t="str">
            <v>40001_2</v>
          </cell>
          <cell r="B475">
            <v>1</v>
          </cell>
          <cell r="C475">
            <v>40001</v>
          </cell>
          <cell r="D475" t="str">
            <v>アマテラス襲来！</v>
          </cell>
          <cell r="E475" t="str">
            <v>降臨1</v>
          </cell>
          <cell r="F475">
            <v>2</v>
          </cell>
          <cell r="G475" t="str">
            <v>ja</v>
          </cell>
          <cell r="H475" t="str">
            <v>【ウィザード級】アマテラス襲来【V2】</v>
          </cell>
          <cell r="I475" t="str">
            <v>地獄級</v>
          </cell>
          <cell r="J475">
            <v>278</v>
          </cell>
          <cell r="K475">
            <v>35</v>
          </cell>
          <cell r="L475">
            <v>4200</v>
          </cell>
          <cell r="M475">
            <v>1</v>
          </cell>
          <cell r="N475">
            <v>1</v>
          </cell>
          <cell r="O475">
            <v>1</v>
          </cell>
          <cell r="P475">
            <v>1</v>
          </cell>
          <cell r="Q475">
            <v>1</v>
          </cell>
          <cell r="R475">
            <v>3</v>
          </cell>
          <cell r="S475" t="str">
            <v>none</v>
          </cell>
          <cell r="T475">
            <v>0</v>
          </cell>
          <cell r="U475" t="str">
            <v>NULL</v>
          </cell>
          <cell r="V475" t="str">
            <v>NULL</v>
          </cell>
          <cell r="W475" t="str">
            <v/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 t="str">
            <v>anytime</v>
          </cell>
          <cell r="AC475">
            <v>901</v>
          </cell>
          <cell r="AD475">
            <v>6</v>
          </cell>
          <cell r="AE475" t="str">
            <v>everyone</v>
          </cell>
        </row>
        <row r="476">
          <cell r="A476" t="str">
            <v>40002_1</v>
          </cell>
          <cell r="B476">
            <v>3</v>
          </cell>
          <cell r="C476">
            <v>40002</v>
          </cell>
          <cell r="D476" t="str">
            <v>アザゼル襲来！</v>
          </cell>
          <cell r="E476" t="str">
            <v>降臨2</v>
          </cell>
          <cell r="F476">
            <v>1</v>
          </cell>
          <cell r="G476" t="str">
            <v>ja</v>
          </cell>
          <cell r="H476" t="str">
            <v xml:space="preserve">【超級】アザゼル襲来 </v>
          </cell>
          <cell r="I476" t="str">
            <v>超級</v>
          </cell>
          <cell r="J476">
            <v>296</v>
          </cell>
          <cell r="K476">
            <v>25</v>
          </cell>
          <cell r="L476">
            <v>2000</v>
          </cell>
          <cell r="M476">
            <v>1</v>
          </cell>
          <cell r="N476">
            <v>1</v>
          </cell>
          <cell r="O476">
            <v>1</v>
          </cell>
          <cell r="P476">
            <v>1</v>
          </cell>
          <cell r="Q476">
            <v>1</v>
          </cell>
          <cell r="R476">
            <v>3</v>
          </cell>
          <cell r="S476" t="str">
            <v>none</v>
          </cell>
          <cell r="T476">
            <v>0</v>
          </cell>
          <cell r="U476" t="str">
            <v>NULL</v>
          </cell>
          <cell r="V476" t="str">
            <v>NULL</v>
          </cell>
          <cell r="W476" t="str">
            <v/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 t="str">
            <v>anytime</v>
          </cell>
          <cell r="AC476">
            <v>902</v>
          </cell>
          <cell r="AD476">
            <v>6</v>
          </cell>
          <cell r="AE476" t="str">
            <v>everyone</v>
          </cell>
        </row>
        <row r="477">
          <cell r="A477" t="str">
            <v>40002_2</v>
          </cell>
          <cell r="B477">
            <v>3</v>
          </cell>
          <cell r="C477">
            <v>40002</v>
          </cell>
          <cell r="D477" t="str">
            <v>アザゼル襲来！</v>
          </cell>
          <cell r="E477" t="str">
            <v>降臨2</v>
          </cell>
          <cell r="F477">
            <v>2</v>
          </cell>
          <cell r="G477" t="str">
            <v>ja</v>
          </cell>
          <cell r="H477" t="str">
            <v>【超絶級】アザゼル襲来</v>
          </cell>
          <cell r="I477" t="str">
            <v>超絶級</v>
          </cell>
          <cell r="J477">
            <v>297</v>
          </cell>
          <cell r="K477">
            <v>30</v>
          </cell>
          <cell r="L477">
            <v>3300</v>
          </cell>
          <cell r="M477">
            <v>1</v>
          </cell>
          <cell r="N477">
            <v>1</v>
          </cell>
          <cell r="O477">
            <v>1</v>
          </cell>
          <cell r="P477">
            <v>1</v>
          </cell>
          <cell r="Q477">
            <v>1</v>
          </cell>
          <cell r="R477">
            <v>3</v>
          </cell>
          <cell r="S477" t="str">
            <v>none</v>
          </cell>
          <cell r="T477">
            <v>0</v>
          </cell>
          <cell r="U477" t="str">
            <v>NULL</v>
          </cell>
          <cell r="V477" t="str">
            <v>NULL</v>
          </cell>
          <cell r="W477" t="str">
            <v/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 t="str">
            <v>anytime</v>
          </cell>
          <cell r="AC477">
            <v>902</v>
          </cell>
          <cell r="AD477">
            <v>6</v>
          </cell>
          <cell r="AE477" t="str">
            <v>everyone</v>
          </cell>
        </row>
        <row r="478">
          <cell r="A478" t="str">
            <v>40002_3</v>
          </cell>
          <cell r="B478">
            <v>3</v>
          </cell>
          <cell r="C478">
            <v>40002</v>
          </cell>
          <cell r="D478" t="str">
            <v>アザゼル襲来！</v>
          </cell>
          <cell r="E478" t="str">
            <v>降臨2</v>
          </cell>
          <cell r="F478">
            <v>3</v>
          </cell>
          <cell r="G478" t="str">
            <v>ja</v>
          </cell>
          <cell r="H478" t="str">
            <v xml:space="preserve">【ウィザード級】アザゼル襲来 </v>
          </cell>
          <cell r="I478" t="str">
            <v>地獄級</v>
          </cell>
          <cell r="J478">
            <v>297</v>
          </cell>
          <cell r="K478">
            <v>35</v>
          </cell>
          <cell r="L478">
            <v>4200</v>
          </cell>
          <cell r="M478">
            <v>1</v>
          </cell>
          <cell r="N478">
            <v>1</v>
          </cell>
          <cell r="O478">
            <v>1</v>
          </cell>
          <cell r="P478">
            <v>1</v>
          </cell>
          <cell r="Q478">
            <v>1</v>
          </cell>
          <cell r="R478">
            <v>3</v>
          </cell>
          <cell r="S478" t="str">
            <v>character</v>
          </cell>
          <cell r="T478">
            <v>296</v>
          </cell>
          <cell r="U478" t="str">
            <v>NULL</v>
          </cell>
          <cell r="V478" t="str">
            <v>NULL</v>
          </cell>
          <cell r="W478" t="str">
            <v/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 t="str">
            <v>anytime</v>
          </cell>
          <cell r="AC478">
            <v>902</v>
          </cell>
          <cell r="AD478">
            <v>6</v>
          </cell>
          <cell r="AE478" t="str">
            <v>everyone</v>
          </cell>
        </row>
        <row r="479">
          <cell r="A479" t="str">
            <v>40003_1</v>
          </cell>
          <cell r="B479">
            <v>3</v>
          </cell>
          <cell r="C479">
            <v>40003</v>
          </cell>
          <cell r="D479" t="str">
            <v>ジャンヌ襲来！</v>
          </cell>
          <cell r="E479" t="str">
            <v>降臨3</v>
          </cell>
          <cell r="F479">
            <v>1</v>
          </cell>
          <cell r="G479" t="str">
            <v>ja</v>
          </cell>
          <cell r="H479" t="str">
            <v xml:space="preserve">【ウィザード級】ジャンヌ襲来 </v>
          </cell>
          <cell r="I479" t="str">
            <v>地獄級</v>
          </cell>
          <cell r="J479">
            <v>315</v>
          </cell>
          <cell r="K479">
            <v>35</v>
          </cell>
          <cell r="L479">
            <v>4200</v>
          </cell>
          <cell r="M479">
            <v>1</v>
          </cell>
          <cell r="N479">
            <v>1</v>
          </cell>
          <cell r="O479">
            <v>1</v>
          </cell>
          <cell r="P479">
            <v>1</v>
          </cell>
          <cell r="Q479">
            <v>1</v>
          </cell>
          <cell r="R479">
            <v>3</v>
          </cell>
          <cell r="S479" t="str">
            <v>character</v>
          </cell>
          <cell r="T479">
            <v>314</v>
          </cell>
          <cell r="U479" t="str">
            <v>NULL</v>
          </cell>
          <cell r="V479" t="str">
            <v>NULL</v>
          </cell>
          <cell r="W479" t="str">
            <v/>
          </cell>
          <cell r="X479">
            <v>0</v>
          </cell>
          <cell r="Y479">
            <v>0</v>
          </cell>
          <cell r="Z479">
            <v>0</v>
          </cell>
          <cell r="AA479">
            <v>0</v>
          </cell>
          <cell r="AB479" t="str">
            <v>anytime</v>
          </cell>
          <cell r="AC479">
            <v>903</v>
          </cell>
          <cell r="AD479">
            <v>6</v>
          </cell>
          <cell r="AE479" t="str">
            <v>everyone</v>
          </cell>
        </row>
        <row r="480">
          <cell r="A480" t="str">
            <v>40004_1</v>
          </cell>
          <cell r="B480">
            <v>3</v>
          </cell>
          <cell r="C480">
            <v>40004</v>
          </cell>
          <cell r="D480" t="str">
            <v>宮本武蔵襲来！</v>
          </cell>
          <cell r="E480" t="str">
            <v>降臨4</v>
          </cell>
          <cell r="F480">
            <v>1</v>
          </cell>
          <cell r="G480" t="str">
            <v>ja</v>
          </cell>
          <cell r="H480" t="str">
            <v xml:space="preserve">【ウィザード級】宮本武蔵襲来 </v>
          </cell>
          <cell r="I480" t="str">
            <v>地獄級</v>
          </cell>
          <cell r="J480">
            <v>427</v>
          </cell>
          <cell r="K480">
            <v>35</v>
          </cell>
          <cell r="L480">
            <v>4200</v>
          </cell>
          <cell r="M480">
            <v>1</v>
          </cell>
          <cell r="N480">
            <v>1</v>
          </cell>
          <cell r="O480">
            <v>1</v>
          </cell>
          <cell r="P480">
            <v>1</v>
          </cell>
          <cell r="Q480">
            <v>1</v>
          </cell>
          <cell r="R480">
            <v>3</v>
          </cell>
          <cell r="S480" t="str">
            <v>character</v>
          </cell>
          <cell r="T480">
            <v>426</v>
          </cell>
          <cell r="U480" t="str">
            <v>NULL</v>
          </cell>
          <cell r="V480" t="str">
            <v>NULL</v>
          </cell>
          <cell r="W480" t="str">
            <v/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 t="str">
            <v>anytime</v>
          </cell>
          <cell r="AC480">
            <v>904</v>
          </cell>
          <cell r="AD480">
            <v>6</v>
          </cell>
          <cell r="AE480" t="str">
            <v>everyone</v>
          </cell>
        </row>
        <row r="481">
          <cell r="A481" t="str">
            <v>40005_1</v>
          </cell>
          <cell r="B481">
            <v>3</v>
          </cell>
          <cell r="C481">
            <v>40005</v>
          </cell>
          <cell r="D481" t="str">
            <v>オズ襲来！</v>
          </cell>
          <cell r="E481" t="str">
            <v>降臨5</v>
          </cell>
          <cell r="F481">
            <v>1</v>
          </cell>
          <cell r="G481" t="str">
            <v>ja</v>
          </cell>
          <cell r="H481" t="str">
            <v xml:space="preserve">【ウィザード級】オズ襲来 </v>
          </cell>
          <cell r="I481" t="str">
            <v>地獄級</v>
          </cell>
          <cell r="J481">
            <v>461</v>
          </cell>
          <cell r="K481">
            <v>35</v>
          </cell>
          <cell r="L481">
            <v>4200</v>
          </cell>
          <cell r="M481">
            <v>1</v>
          </cell>
          <cell r="N481">
            <v>1</v>
          </cell>
          <cell r="O481">
            <v>1</v>
          </cell>
          <cell r="P481">
            <v>1</v>
          </cell>
          <cell r="Q481">
            <v>1</v>
          </cell>
          <cell r="R481">
            <v>3</v>
          </cell>
          <cell r="S481" t="str">
            <v>character</v>
          </cell>
          <cell r="T481">
            <v>460</v>
          </cell>
          <cell r="U481" t="str">
            <v>NULL</v>
          </cell>
          <cell r="V481" t="str">
            <v>NULL</v>
          </cell>
          <cell r="W481" t="str">
            <v/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 t="str">
            <v>anytime</v>
          </cell>
          <cell r="AC481">
            <v>906</v>
          </cell>
          <cell r="AD481">
            <v>6</v>
          </cell>
          <cell r="AE481" t="str">
            <v>everyone</v>
          </cell>
        </row>
        <row r="482">
          <cell r="A482" t="str">
            <v>40006_1</v>
          </cell>
          <cell r="B482">
            <v>3</v>
          </cell>
          <cell r="C482">
            <v>40006</v>
          </cell>
          <cell r="D482" t="str">
            <v>アーサー襲来！</v>
          </cell>
          <cell r="E482" t="str">
            <v>降臨6</v>
          </cell>
          <cell r="F482">
            <v>1</v>
          </cell>
          <cell r="G482" t="str">
            <v>ja</v>
          </cell>
          <cell r="H482" t="str">
            <v xml:space="preserve">【ウィザード級】アーサー襲来 </v>
          </cell>
          <cell r="I482" t="str">
            <v>地獄級</v>
          </cell>
          <cell r="J482">
            <v>473</v>
          </cell>
          <cell r="K482">
            <v>35</v>
          </cell>
          <cell r="L482">
            <v>4200</v>
          </cell>
          <cell r="M482">
            <v>1</v>
          </cell>
          <cell r="N482">
            <v>1</v>
          </cell>
          <cell r="O482">
            <v>1</v>
          </cell>
          <cell r="P482">
            <v>1</v>
          </cell>
          <cell r="Q482">
            <v>1</v>
          </cell>
          <cell r="R482">
            <v>3</v>
          </cell>
          <cell r="S482" t="str">
            <v>character</v>
          </cell>
          <cell r="T482">
            <v>472</v>
          </cell>
          <cell r="U482" t="str">
            <v>NULL</v>
          </cell>
          <cell r="V482" t="str">
            <v>NULL</v>
          </cell>
          <cell r="W482" t="str">
            <v/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 t="str">
            <v>anytime</v>
          </cell>
          <cell r="AC482">
            <v>907</v>
          </cell>
          <cell r="AD482">
            <v>6</v>
          </cell>
          <cell r="AE482" t="str">
            <v>everyone</v>
          </cell>
        </row>
        <row r="483">
          <cell r="A483" t="str">
            <v>40007_1</v>
          </cell>
          <cell r="B483">
            <v>3</v>
          </cell>
          <cell r="C483">
            <v>40007</v>
          </cell>
          <cell r="D483" t="str">
            <v>グリム襲来！</v>
          </cell>
          <cell r="E483" t="str">
            <v>降臨7</v>
          </cell>
          <cell r="F483">
            <v>1</v>
          </cell>
          <cell r="G483" t="str">
            <v>ja</v>
          </cell>
          <cell r="H483" t="str">
            <v xml:space="preserve">【ウィザード級】グリム襲来 </v>
          </cell>
          <cell r="I483" t="str">
            <v>地獄級</v>
          </cell>
          <cell r="J483">
            <v>491</v>
          </cell>
          <cell r="K483">
            <v>35</v>
          </cell>
          <cell r="L483">
            <v>4200</v>
          </cell>
          <cell r="M483">
            <v>1</v>
          </cell>
          <cell r="N483">
            <v>1</v>
          </cell>
          <cell r="O483">
            <v>1</v>
          </cell>
          <cell r="P483">
            <v>1</v>
          </cell>
          <cell r="Q483">
            <v>1</v>
          </cell>
          <cell r="R483">
            <v>3</v>
          </cell>
          <cell r="S483" t="str">
            <v>character</v>
          </cell>
          <cell r="T483">
            <v>490</v>
          </cell>
          <cell r="U483" t="str">
            <v>NULL</v>
          </cell>
          <cell r="V483" t="str">
            <v>NULL</v>
          </cell>
          <cell r="W483" t="str">
            <v/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 t="str">
            <v>anytime</v>
          </cell>
          <cell r="AC483">
            <v>908</v>
          </cell>
          <cell r="AD483">
            <v>6</v>
          </cell>
          <cell r="AE483" t="str">
            <v>everyone</v>
          </cell>
        </row>
        <row r="484">
          <cell r="A484" t="str">
            <v>40008_1</v>
          </cell>
          <cell r="B484">
            <v>3</v>
          </cell>
          <cell r="C484">
            <v>40008</v>
          </cell>
          <cell r="D484" t="str">
            <v>Gスター襲来！</v>
          </cell>
          <cell r="E484" t="str">
            <v>降臨8</v>
          </cell>
          <cell r="F484">
            <v>1</v>
          </cell>
          <cell r="G484" t="str">
            <v>ja</v>
          </cell>
          <cell r="H484" t="str">
            <v xml:space="preserve">【ウィザード級】Gスター襲来 </v>
          </cell>
          <cell r="I484" t="str">
            <v>地獄級</v>
          </cell>
          <cell r="J484">
            <v>509</v>
          </cell>
          <cell r="K484">
            <v>35</v>
          </cell>
          <cell r="L484">
            <v>4200</v>
          </cell>
          <cell r="M484">
            <v>1</v>
          </cell>
          <cell r="N484">
            <v>1</v>
          </cell>
          <cell r="O484">
            <v>1</v>
          </cell>
          <cell r="P484">
            <v>1</v>
          </cell>
          <cell r="Q484">
            <v>1</v>
          </cell>
          <cell r="R484">
            <v>3</v>
          </cell>
          <cell r="S484" t="str">
            <v>character</v>
          </cell>
          <cell r="T484">
            <v>508</v>
          </cell>
          <cell r="U484" t="str">
            <v>NULL</v>
          </cell>
          <cell r="V484" t="str">
            <v>NULL</v>
          </cell>
          <cell r="W484" t="str">
            <v/>
          </cell>
          <cell r="X484">
            <v>0</v>
          </cell>
          <cell r="Y484">
            <v>0</v>
          </cell>
          <cell r="Z484">
            <v>0</v>
          </cell>
          <cell r="AA484">
            <v>0</v>
          </cell>
          <cell r="AB484" t="str">
            <v>anytime</v>
          </cell>
          <cell r="AC484">
            <v>2601</v>
          </cell>
          <cell r="AD484">
            <v>6</v>
          </cell>
          <cell r="AE484" t="str">
            <v>everyone</v>
          </cell>
        </row>
        <row r="485">
          <cell r="A485" t="str">
            <v>40009_1</v>
          </cell>
          <cell r="B485">
            <v>3</v>
          </cell>
          <cell r="C485">
            <v>40009</v>
          </cell>
          <cell r="D485" t="str">
            <v>フギンとムニン襲来！</v>
          </cell>
          <cell r="E485" t="str">
            <v>降臨9</v>
          </cell>
          <cell r="F485">
            <v>1</v>
          </cell>
          <cell r="G485" t="str">
            <v>ja</v>
          </cell>
          <cell r="H485" t="str">
            <v xml:space="preserve">【ウィザード級】フギンとムニン襲来 </v>
          </cell>
          <cell r="I485" t="str">
            <v>地獄級</v>
          </cell>
          <cell r="J485">
            <v>582</v>
          </cell>
          <cell r="K485">
            <v>35</v>
          </cell>
          <cell r="L485">
            <v>4200</v>
          </cell>
          <cell r="M485">
            <v>1</v>
          </cell>
          <cell r="N485">
            <v>1</v>
          </cell>
          <cell r="O485">
            <v>1</v>
          </cell>
          <cell r="P485">
            <v>1</v>
          </cell>
          <cell r="Q485">
            <v>1</v>
          </cell>
          <cell r="R485">
            <v>3</v>
          </cell>
          <cell r="S485" t="str">
            <v>character</v>
          </cell>
          <cell r="T485">
            <v>581</v>
          </cell>
          <cell r="U485" t="str">
            <v>NULL</v>
          </cell>
          <cell r="V485" t="str">
            <v>NULL</v>
          </cell>
          <cell r="W485" t="str">
            <v/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 t="str">
            <v>anytime</v>
          </cell>
          <cell r="AC485">
            <v>25</v>
          </cell>
          <cell r="AD485">
            <v>6</v>
          </cell>
          <cell r="AE485" t="str">
            <v>everyone</v>
          </cell>
        </row>
        <row r="486">
          <cell r="A486" t="str">
            <v>40010_1</v>
          </cell>
          <cell r="B486">
            <v>3</v>
          </cell>
          <cell r="C486">
            <v>40010</v>
          </cell>
          <cell r="D486" t="str">
            <v>フレイ襲来！</v>
          </cell>
          <cell r="E486" t="str">
            <v>降臨10</v>
          </cell>
          <cell r="F486">
            <v>1</v>
          </cell>
          <cell r="G486" t="str">
            <v>ja</v>
          </cell>
          <cell r="H486" t="str">
            <v xml:space="preserve">【ウィザード級】フレイ襲来 </v>
          </cell>
          <cell r="I486" t="str">
            <v>地獄級</v>
          </cell>
          <cell r="J486">
            <v>575</v>
          </cell>
          <cell r="K486">
            <v>35</v>
          </cell>
          <cell r="L486">
            <v>4200</v>
          </cell>
          <cell r="M486">
            <v>1</v>
          </cell>
          <cell r="N486">
            <v>1</v>
          </cell>
          <cell r="O486">
            <v>1</v>
          </cell>
          <cell r="P486">
            <v>0</v>
          </cell>
          <cell r="Q486">
            <v>1</v>
          </cell>
          <cell r="R486">
            <v>3</v>
          </cell>
          <cell r="S486" t="str">
            <v>character</v>
          </cell>
          <cell r="T486">
            <v>575</v>
          </cell>
          <cell r="U486" t="str">
            <v>NULL</v>
          </cell>
          <cell r="V486" t="str">
            <v>NULL</v>
          </cell>
          <cell r="W486" t="str">
            <v/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 t="str">
            <v>anytime</v>
          </cell>
          <cell r="AC486">
            <v>912</v>
          </cell>
          <cell r="AD486">
            <v>6</v>
          </cell>
          <cell r="AE486" t="str">
            <v>everyone</v>
          </cell>
        </row>
        <row r="487">
          <cell r="A487" t="str">
            <v>40011_1</v>
          </cell>
          <cell r="B487">
            <v>3</v>
          </cell>
          <cell r="C487">
            <v>40011</v>
          </cell>
          <cell r="D487" t="str">
            <v>ヨミ襲来！</v>
          </cell>
          <cell r="E487" t="str">
            <v>降臨11</v>
          </cell>
          <cell r="F487">
            <v>1</v>
          </cell>
          <cell r="G487" t="str">
            <v>ja</v>
          </cell>
          <cell r="H487" t="str">
            <v xml:space="preserve">【ウィザード級】ヨミ襲来 </v>
          </cell>
          <cell r="I487" t="str">
            <v>地獄級</v>
          </cell>
          <cell r="J487">
            <v>655</v>
          </cell>
          <cell r="K487">
            <v>35</v>
          </cell>
          <cell r="L487">
            <v>4200</v>
          </cell>
          <cell r="M487">
            <v>1</v>
          </cell>
          <cell r="N487">
            <v>1</v>
          </cell>
          <cell r="O487">
            <v>1</v>
          </cell>
          <cell r="P487">
            <v>1</v>
          </cell>
          <cell r="Q487">
            <v>1</v>
          </cell>
          <cell r="R487">
            <v>3</v>
          </cell>
          <cell r="S487" t="str">
            <v>character</v>
          </cell>
          <cell r="T487">
            <v>654</v>
          </cell>
          <cell r="U487" t="str">
            <v>NULL</v>
          </cell>
          <cell r="V487" t="str">
            <v>NULL</v>
          </cell>
          <cell r="W487" t="str">
            <v/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 t="str">
            <v>anytime</v>
          </cell>
          <cell r="AC487">
            <v>913</v>
          </cell>
          <cell r="AD487">
            <v>6</v>
          </cell>
          <cell r="AE487" t="str">
            <v>everyone</v>
          </cell>
        </row>
        <row r="488">
          <cell r="A488" t="str">
            <v>40012_1</v>
          </cell>
          <cell r="B488">
            <v>3</v>
          </cell>
          <cell r="C488">
            <v>40012</v>
          </cell>
          <cell r="D488" t="str">
            <v>ショウキ襲来！</v>
          </cell>
          <cell r="E488" t="str">
            <v>降臨12</v>
          </cell>
          <cell r="F488">
            <v>1</v>
          </cell>
          <cell r="G488" t="str">
            <v>ja</v>
          </cell>
          <cell r="H488" t="str">
            <v xml:space="preserve">【ウィザード級】ショウキ襲来 </v>
          </cell>
          <cell r="I488" t="str">
            <v>地獄級</v>
          </cell>
          <cell r="J488">
            <v>645</v>
          </cell>
          <cell r="K488">
            <v>35</v>
          </cell>
          <cell r="L488">
            <v>4200</v>
          </cell>
          <cell r="M488">
            <v>1</v>
          </cell>
          <cell r="N488">
            <v>1</v>
          </cell>
          <cell r="O488">
            <v>1</v>
          </cell>
          <cell r="P488">
            <v>1</v>
          </cell>
          <cell r="Q488">
            <v>1</v>
          </cell>
          <cell r="R488">
            <v>3</v>
          </cell>
          <cell r="S488" t="str">
            <v>character</v>
          </cell>
          <cell r="T488">
            <v>644</v>
          </cell>
          <cell r="U488" t="str">
            <v>NULL</v>
          </cell>
          <cell r="V488" t="str">
            <v>NULL</v>
          </cell>
          <cell r="W488" t="str">
            <v/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 t="str">
            <v>anytime</v>
          </cell>
          <cell r="AC488">
            <v>915</v>
          </cell>
          <cell r="AD488">
            <v>6</v>
          </cell>
          <cell r="AE488" t="str">
            <v>everyone</v>
          </cell>
        </row>
        <row r="489">
          <cell r="A489" t="str">
            <v>40013_1</v>
          </cell>
          <cell r="B489">
            <v>3</v>
          </cell>
          <cell r="C489">
            <v>40013</v>
          </cell>
          <cell r="D489" t="str">
            <v>カーマ襲来！</v>
          </cell>
          <cell r="E489" t="str">
            <v>降臨13</v>
          </cell>
          <cell r="F489">
            <v>1</v>
          </cell>
          <cell r="G489" t="str">
            <v>ja</v>
          </cell>
          <cell r="H489" t="str">
            <v xml:space="preserve">【ウィザード級】カーマ襲来 </v>
          </cell>
          <cell r="I489" t="str">
            <v>地獄級</v>
          </cell>
          <cell r="J489">
            <v>643</v>
          </cell>
          <cell r="K489">
            <v>35</v>
          </cell>
          <cell r="L489">
            <v>4200</v>
          </cell>
          <cell r="M489">
            <v>1</v>
          </cell>
          <cell r="N489">
            <v>1</v>
          </cell>
          <cell r="O489">
            <v>1</v>
          </cell>
          <cell r="P489">
            <v>1</v>
          </cell>
          <cell r="Q489">
            <v>0</v>
          </cell>
          <cell r="R489">
            <v>3</v>
          </cell>
          <cell r="S489" t="str">
            <v>character</v>
          </cell>
          <cell r="T489">
            <v>642</v>
          </cell>
          <cell r="U489" t="str">
            <v>NULL</v>
          </cell>
          <cell r="V489" t="str">
            <v>NULL</v>
          </cell>
          <cell r="W489" t="str">
            <v/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 t="str">
            <v>anytime</v>
          </cell>
          <cell r="AC489">
            <v>916</v>
          </cell>
          <cell r="AD489">
            <v>6</v>
          </cell>
          <cell r="AE489" t="str">
            <v>everyone</v>
          </cell>
        </row>
        <row r="490">
          <cell r="A490" t="str">
            <v>40014_1</v>
          </cell>
          <cell r="B490">
            <v>3</v>
          </cell>
          <cell r="C490">
            <v>40014</v>
          </cell>
          <cell r="D490" t="str">
            <v>シヴァ襲来！</v>
          </cell>
          <cell r="E490" t="str">
            <v>降臨14</v>
          </cell>
          <cell r="F490">
            <v>1</v>
          </cell>
          <cell r="G490" t="str">
            <v>ja</v>
          </cell>
          <cell r="H490" t="str">
            <v xml:space="preserve">【ウィザード級】シヴァ襲来 </v>
          </cell>
          <cell r="I490" t="str">
            <v>地獄級</v>
          </cell>
          <cell r="J490">
            <v>657</v>
          </cell>
          <cell r="K490">
            <v>35</v>
          </cell>
          <cell r="L490">
            <v>4200</v>
          </cell>
          <cell r="M490">
            <v>1</v>
          </cell>
          <cell r="N490">
            <v>1</v>
          </cell>
          <cell r="O490">
            <v>1</v>
          </cell>
          <cell r="P490">
            <v>1</v>
          </cell>
          <cell r="Q490">
            <v>1</v>
          </cell>
          <cell r="R490">
            <v>3</v>
          </cell>
          <cell r="S490" t="str">
            <v>character</v>
          </cell>
          <cell r="T490">
            <v>656</v>
          </cell>
          <cell r="U490" t="str">
            <v>NULL</v>
          </cell>
          <cell r="V490" t="str">
            <v>NULL</v>
          </cell>
          <cell r="W490" t="str">
            <v/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 t="str">
            <v>anytime</v>
          </cell>
          <cell r="AC490">
            <v>916</v>
          </cell>
          <cell r="AD490">
            <v>6</v>
          </cell>
          <cell r="AE490" t="str">
            <v>everyone</v>
          </cell>
        </row>
        <row r="491">
          <cell r="A491" t="str">
            <v>40015_1</v>
          </cell>
          <cell r="B491">
            <v>3</v>
          </cell>
          <cell r="C491">
            <v>40015</v>
          </cell>
          <cell r="D491" t="str">
            <v>ガレス襲来！</v>
          </cell>
          <cell r="E491" t="str">
            <v>降臨15</v>
          </cell>
          <cell r="F491">
            <v>1</v>
          </cell>
          <cell r="G491" t="str">
            <v>ja</v>
          </cell>
          <cell r="H491" t="str">
            <v xml:space="preserve">【ウィザード級】ガレス襲来 </v>
          </cell>
          <cell r="I491" t="str">
            <v>地獄級</v>
          </cell>
          <cell r="J491">
            <v>769</v>
          </cell>
          <cell r="K491">
            <v>35</v>
          </cell>
          <cell r="L491">
            <v>4200</v>
          </cell>
          <cell r="M491">
            <v>1</v>
          </cell>
          <cell r="N491">
            <v>1</v>
          </cell>
          <cell r="O491">
            <v>1</v>
          </cell>
          <cell r="P491">
            <v>1</v>
          </cell>
          <cell r="Q491">
            <v>1</v>
          </cell>
          <cell r="R491">
            <v>3</v>
          </cell>
          <cell r="S491" t="str">
            <v>character</v>
          </cell>
          <cell r="T491">
            <v>768</v>
          </cell>
          <cell r="U491" t="str">
            <v>NULL</v>
          </cell>
          <cell r="V491" t="str">
            <v>NULL</v>
          </cell>
          <cell r="W491" t="str">
            <v/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 t="str">
            <v>anytime</v>
          </cell>
          <cell r="AC491">
            <v>907</v>
          </cell>
          <cell r="AD491">
            <v>6</v>
          </cell>
          <cell r="AE491" t="str">
            <v>everyone</v>
          </cell>
        </row>
        <row r="492">
          <cell r="A492" t="str">
            <v>40016_1</v>
          </cell>
          <cell r="B492">
            <v>1</v>
          </cell>
          <cell r="C492">
            <v>40016</v>
          </cell>
          <cell r="D492" t="str">
            <v>武田信玄襲来！</v>
          </cell>
          <cell r="E492" t="str">
            <v>降臨16</v>
          </cell>
          <cell r="F492">
            <v>1</v>
          </cell>
          <cell r="G492" t="str">
            <v>ja</v>
          </cell>
          <cell r="H492" t="str">
            <v xml:space="preserve">【ウィザード級】武田信玄襲来 </v>
          </cell>
          <cell r="I492" t="str">
            <v>地獄級</v>
          </cell>
          <cell r="J492">
            <v>1</v>
          </cell>
          <cell r="K492">
            <v>35</v>
          </cell>
          <cell r="L492">
            <v>4200</v>
          </cell>
          <cell r="M492">
            <v>1</v>
          </cell>
          <cell r="N492">
            <v>1</v>
          </cell>
          <cell r="O492">
            <v>1</v>
          </cell>
          <cell r="P492">
            <v>1</v>
          </cell>
          <cell r="Q492">
            <v>1</v>
          </cell>
          <cell r="R492">
            <v>3</v>
          </cell>
          <cell r="S492" t="str">
            <v>character</v>
          </cell>
          <cell r="T492">
            <v>1</v>
          </cell>
          <cell r="U492" t="str">
            <v>NULL</v>
          </cell>
          <cell r="V492" t="str">
            <v>NULL</v>
          </cell>
          <cell r="W492" t="str">
            <v/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 t="str">
            <v>anytime</v>
          </cell>
          <cell r="AC492">
            <v>1</v>
          </cell>
          <cell r="AD492">
            <v>6</v>
          </cell>
          <cell r="AE492" t="str">
            <v>everyone</v>
          </cell>
        </row>
        <row r="493">
          <cell r="A493" t="str">
            <v>49001_1</v>
          </cell>
          <cell r="B493">
            <v>3</v>
          </cell>
          <cell r="C493">
            <v>49001</v>
          </cell>
          <cell r="D493" t="str">
            <v>熱唱！初音ミクV3</v>
          </cell>
          <cell r="E493" t="str">
            <v>コラボ降臨1</v>
          </cell>
          <cell r="F493">
            <v>1</v>
          </cell>
          <cell r="G493" t="str">
            <v>ja</v>
          </cell>
          <cell r="H493" t="str">
            <v>【ウィザード級】熱唱！初音ミクV3</v>
          </cell>
          <cell r="I493" t="str">
            <v>地獄級</v>
          </cell>
          <cell r="J493">
            <v>528</v>
          </cell>
          <cell r="K493">
            <v>35</v>
          </cell>
          <cell r="L493">
            <v>4200</v>
          </cell>
          <cell r="M493">
            <v>1</v>
          </cell>
          <cell r="N493">
            <v>1</v>
          </cell>
          <cell r="O493">
            <v>1</v>
          </cell>
          <cell r="P493">
            <v>1</v>
          </cell>
          <cell r="Q493">
            <v>1</v>
          </cell>
          <cell r="R493">
            <v>3</v>
          </cell>
          <cell r="S493" t="str">
            <v>polygon</v>
          </cell>
          <cell r="T493">
            <v>1</v>
          </cell>
          <cell r="U493" t="str">
            <v>NULL</v>
          </cell>
          <cell r="V493" t="str">
            <v>NULL</v>
          </cell>
          <cell r="W493" t="str">
            <v/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 t="str">
            <v>anytime</v>
          </cell>
          <cell r="AC493">
            <v>910</v>
          </cell>
          <cell r="AD493">
            <v>6</v>
          </cell>
          <cell r="AE493" t="str">
            <v>everyone</v>
          </cell>
        </row>
        <row r="494">
          <cell r="A494" t="str">
            <v>49002_1</v>
          </cell>
          <cell r="B494">
            <v>1</v>
          </cell>
          <cell r="C494">
            <v>49002</v>
          </cell>
          <cell r="D494" t="str">
            <v>K襲来</v>
          </cell>
          <cell r="E494" t="str">
            <v>コラボ降臨2</v>
          </cell>
          <cell r="F494">
            <v>1</v>
          </cell>
          <cell r="G494" t="str">
            <v>ja</v>
          </cell>
          <cell r="H494" t="str">
            <v>【ウィザード級】デsono</v>
          </cell>
          <cell r="I494" t="str">
            <v>地獄級</v>
          </cell>
          <cell r="J494">
            <v>1</v>
          </cell>
          <cell r="K494">
            <v>35</v>
          </cell>
          <cell r="L494">
            <v>4200</v>
          </cell>
          <cell r="M494">
            <v>1</v>
          </cell>
          <cell r="N494">
            <v>1</v>
          </cell>
          <cell r="O494">
            <v>1</v>
          </cell>
          <cell r="P494">
            <v>1</v>
          </cell>
          <cell r="Q494">
            <v>1</v>
          </cell>
          <cell r="R494">
            <v>3</v>
          </cell>
          <cell r="S494" t="str">
            <v>polygon</v>
          </cell>
          <cell r="T494">
            <v>1</v>
          </cell>
          <cell r="U494" t="str">
            <v>NULL</v>
          </cell>
          <cell r="V494" t="str">
            <v>NULL</v>
          </cell>
          <cell r="W494" t="str">
            <v/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 t="str">
            <v>anytime</v>
          </cell>
          <cell r="AC494">
            <v>917</v>
          </cell>
          <cell r="AD494">
            <v>6</v>
          </cell>
          <cell r="AE494" t="str">
            <v>everyone</v>
          </cell>
        </row>
        <row r="495">
          <cell r="A495" t="str">
            <v>49003_1</v>
          </cell>
          <cell r="B495">
            <v>1</v>
          </cell>
          <cell r="C495">
            <v>49003</v>
          </cell>
          <cell r="D495" t="str">
            <v>H襲来</v>
          </cell>
          <cell r="E495" t="str">
            <v>コラボ降臨3</v>
          </cell>
          <cell r="F495">
            <v>1</v>
          </cell>
          <cell r="G495" t="str">
            <v>ja</v>
          </cell>
          <cell r="H495" t="str">
            <v>【ウィザード級】デiza</v>
          </cell>
          <cell r="I495" t="str">
            <v>地獄級</v>
          </cell>
          <cell r="J495">
            <v>701</v>
          </cell>
          <cell r="K495">
            <v>35</v>
          </cell>
          <cell r="L495">
            <v>4200</v>
          </cell>
          <cell r="M495">
            <v>1</v>
          </cell>
          <cell r="N495">
            <v>1</v>
          </cell>
          <cell r="O495">
            <v>1</v>
          </cell>
          <cell r="P495">
            <v>1</v>
          </cell>
          <cell r="Q495">
            <v>1</v>
          </cell>
          <cell r="R495">
            <v>3</v>
          </cell>
          <cell r="S495" t="str">
            <v>character</v>
          </cell>
          <cell r="T495">
            <v>700</v>
          </cell>
          <cell r="U495" t="str">
            <v>NULL</v>
          </cell>
          <cell r="V495" t="str">
            <v>NULL</v>
          </cell>
          <cell r="W495" t="str">
            <v/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 t="str">
            <v>anytime</v>
          </cell>
          <cell r="AC495">
            <v>918</v>
          </cell>
          <cell r="AD495">
            <v>6</v>
          </cell>
          <cell r="AE495" t="str">
            <v>everyone</v>
          </cell>
        </row>
        <row r="496">
          <cell r="A496" t="str">
            <v>50001_1</v>
          </cell>
          <cell r="B496">
            <v>3</v>
          </cell>
          <cell r="C496">
            <v>50001</v>
          </cell>
          <cell r="D496" t="str">
            <v>麒麟襲来！</v>
          </cell>
          <cell r="E496" t="str">
            <v>超降臨1</v>
          </cell>
          <cell r="F496">
            <v>1</v>
          </cell>
          <cell r="G496" t="str">
            <v>ja</v>
          </cell>
          <cell r="H496" t="str">
            <v xml:space="preserve">【超ウィザード級】麒麟襲来 </v>
          </cell>
          <cell r="I496" t="str">
            <v>超地獄級</v>
          </cell>
          <cell r="J496">
            <v>328</v>
          </cell>
          <cell r="K496">
            <v>40</v>
          </cell>
          <cell r="L496">
            <v>5200</v>
          </cell>
          <cell r="M496">
            <v>1</v>
          </cell>
          <cell r="N496">
            <v>1</v>
          </cell>
          <cell r="O496">
            <v>1</v>
          </cell>
          <cell r="P496">
            <v>1</v>
          </cell>
          <cell r="Q496">
            <v>1</v>
          </cell>
          <cell r="R496">
            <v>3</v>
          </cell>
          <cell r="S496" t="str">
            <v>character</v>
          </cell>
          <cell r="T496">
            <v>432</v>
          </cell>
          <cell r="U496" t="str">
            <v>NULL</v>
          </cell>
          <cell r="V496" t="str">
            <v>NULL</v>
          </cell>
          <cell r="W496" t="str">
            <v/>
          </cell>
          <cell r="X496">
            <v>0</v>
          </cell>
          <cell r="Y496">
            <v>0</v>
          </cell>
          <cell r="Z496">
            <v>0</v>
          </cell>
          <cell r="AA496">
            <v>0</v>
          </cell>
          <cell r="AB496" t="str">
            <v>anytime</v>
          </cell>
          <cell r="AC496">
            <v>905</v>
          </cell>
          <cell r="AD496">
            <v>6</v>
          </cell>
          <cell r="AE496" t="str">
            <v>everyone</v>
          </cell>
        </row>
        <row r="497">
          <cell r="A497" t="str">
            <v>50002_1</v>
          </cell>
          <cell r="B497">
            <v>3</v>
          </cell>
          <cell r="C497">
            <v>50002</v>
          </cell>
          <cell r="D497" t="str">
            <v>オーディン襲来！</v>
          </cell>
          <cell r="E497" t="str">
            <v>超降臨2</v>
          </cell>
          <cell r="F497">
            <v>1</v>
          </cell>
          <cell r="G497" t="str">
            <v>ja</v>
          </cell>
          <cell r="H497" t="str">
            <v xml:space="preserve">【超ウィザード級】オーディン襲来 </v>
          </cell>
          <cell r="I497" t="str">
            <v>超地獄級</v>
          </cell>
          <cell r="J497">
            <v>451</v>
          </cell>
          <cell r="K497">
            <v>40</v>
          </cell>
          <cell r="L497">
            <v>5200</v>
          </cell>
          <cell r="M497">
            <v>1</v>
          </cell>
          <cell r="N497">
            <v>1</v>
          </cell>
          <cell r="O497">
            <v>1</v>
          </cell>
          <cell r="P497">
            <v>1</v>
          </cell>
          <cell r="Q497">
            <v>1</v>
          </cell>
          <cell r="R497">
            <v>3</v>
          </cell>
          <cell r="S497" t="str">
            <v>character</v>
          </cell>
          <cell r="T497">
            <v>573</v>
          </cell>
          <cell r="U497" t="str">
            <v>NULL</v>
          </cell>
          <cell r="V497" t="str">
            <v>NULL</v>
          </cell>
          <cell r="W497" t="str">
            <v/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 t="str">
            <v>anytime</v>
          </cell>
          <cell r="AC497">
            <v>911</v>
          </cell>
          <cell r="AD497">
            <v>6</v>
          </cell>
          <cell r="AE497" t="str">
            <v>everyone</v>
          </cell>
        </row>
        <row r="498">
          <cell r="A498" t="str">
            <v>50003_1</v>
          </cell>
          <cell r="B498">
            <v>1</v>
          </cell>
          <cell r="C498">
            <v>50003</v>
          </cell>
          <cell r="D498" t="str">
            <v>織田信長襲来！</v>
          </cell>
          <cell r="E498" t="str">
            <v>超降臨3</v>
          </cell>
          <cell r="F498">
            <v>1</v>
          </cell>
          <cell r="G498" t="str">
            <v>ja</v>
          </cell>
          <cell r="H498" t="str">
            <v xml:space="preserve">【超ウィザード級】織田信長襲来 </v>
          </cell>
          <cell r="I498" t="str">
            <v>超地獄級</v>
          </cell>
          <cell r="J498">
            <v>1</v>
          </cell>
          <cell r="K498">
            <v>40</v>
          </cell>
          <cell r="L498">
            <v>5200</v>
          </cell>
          <cell r="M498">
            <v>1</v>
          </cell>
          <cell r="N498">
            <v>1</v>
          </cell>
          <cell r="O498">
            <v>1</v>
          </cell>
          <cell r="P498">
            <v>1</v>
          </cell>
          <cell r="Q498">
            <v>1</v>
          </cell>
          <cell r="R498">
            <v>3</v>
          </cell>
          <cell r="S498" t="str">
            <v>character</v>
          </cell>
          <cell r="T498">
            <v>1</v>
          </cell>
          <cell r="U498" t="str">
            <v>NULL</v>
          </cell>
          <cell r="V498" t="str">
            <v>NULL</v>
          </cell>
          <cell r="W498" t="str">
            <v/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 t="str">
            <v>anytime</v>
          </cell>
          <cell r="AC498">
            <v>911</v>
          </cell>
          <cell r="AD498">
            <v>6</v>
          </cell>
          <cell r="AE498" t="str">
            <v>everyone</v>
          </cell>
        </row>
        <row r="499">
          <cell r="A499" t="str">
            <v>60001_1</v>
          </cell>
          <cell r="B499">
            <v>3</v>
          </cell>
          <cell r="C499">
            <v>60001</v>
          </cell>
          <cell r="D499" t="str">
            <v>ヘンペルチャレンジ</v>
          </cell>
          <cell r="E499" t="str">
            <v>ランキング1</v>
          </cell>
          <cell r="F499">
            <v>1</v>
          </cell>
          <cell r="G499" t="str">
            <v>ja</v>
          </cell>
          <cell r="H499" t="str">
            <v>[ウィザード] 第一回</v>
          </cell>
          <cell r="I499" t="str">
            <v>ランキング</v>
          </cell>
          <cell r="J499">
            <v>488</v>
          </cell>
          <cell r="K499">
            <v>5</v>
          </cell>
          <cell r="L499">
            <v>0</v>
          </cell>
          <cell r="M499">
            <v>1</v>
          </cell>
          <cell r="N499">
            <v>1</v>
          </cell>
          <cell r="O499">
            <v>1</v>
          </cell>
          <cell r="P499">
            <v>1</v>
          </cell>
          <cell r="Q499">
            <v>1</v>
          </cell>
          <cell r="R499">
            <v>3</v>
          </cell>
          <cell r="S499" t="str">
            <v>none</v>
          </cell>
          <cell r="T499">
            <v>0</v>
          </cell>
          <cell r="U499" t="str">
            <v>NULL</v>
          </cell>
          <cell r="V499" t="str">
            <v>NULL</v>
          </cell>
          <cell r="W499" t="str">
            <v/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 t="str">
            <v>anytime</v>
          </cell>
          <cell r="AC499">
            <v>911</v>
          </cell>
          <cell r="AD499">
            <v>6</v>
          </cell>
          <cell r="AE499" t="str">
            <v>singleonly</v>
          </cell>
        </row>
        <row r="500">
          <cell r="A500" t="str">
            <v>60002_1</v>
          </cell>
          <cell r="B500">
            <v>3</v>
          </cell>
          <cell r="C500">
            <v>60002</v>
          </cell>
          <cell r="D500" t="str">
            <v>ヘンペルチャレンジ</v>
          </cell>
          <cell r="E500" t="str">
            <v>ランキング1</v>
          </cell>
          <cell r="F500">
            <v>1</v>
          </cell>
          <cell r="G500" t="str">
            <v>ja</v>
          </cell>
          <cell r="H500" t="str">
            <v>[超級] 第2回　※Wizと難易度は同じ</v>
          </cell>
          <cell r="I500" t="str">
            <v>ランキング</v>
          </cell>
          <cell r="J500">
            <v>488</v>
          </cell>
          <cell r="K500">
            <v>5</v>
          </cell>
          <cell r="L500">
            <v>0</v>
          </cell>
          <cell r="M500">
            <v>1</v>
          </cell>
          <cell r="N500">
            <v>1</v>
          </cell>
          <cell r="O500">
            <v>1</v>
          </cell>
          <cell r="P500">
            <v>1</v>
          </cell>
          <cell r="Q500">
            <v>1</v>
          </cell>
          <cell r="R500">
            <v>3</v>
          </cell>
          <cell r="S500" t="str">
            <v>none</v>
          </cell>
          <cell r="T500">
            <v>0</v>
          </cell>
          <cell r="U500" t="str">
            <v>NULL</v>
          </cell>
          <cell r="V500" t="str">
            <v>NULL</v>
          </cell>
          <cell r="W500" t="str">
            <v/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 t="str">
            <v>anytime</v>
          </cell>
          <cell r="AC500">
            <v>911</v>
          </cell>
          <cell r="AD500">
            <v>6</v>
          </cell>
          <cell r="AE500" t="str">
            <v>singleonly</v>
          </cell>
        </row>
        <row r="501">
          <cell r="A501" t="str">
            <v>60002_2</v>
          </cell>
          <cell r="B501">
            <v>3</v>
          </cell>
          <cell r="C501">
            <v>60002</v>
          </cell>
          <cell r="D501" t="str">
            <v>ヘンペルチャレンジ</v>
          </cell>
          <cell r="E501" t="str">
            <v>ランキング1</v>
          </cell>
          <cell r="F501">
            <v>2</v>
          </cell>
          <cell r="G501" t="str">
            <v>ja</v>
          </cell>
          <cell r="H501" t="str">
            <v>[ウィザード] 第2回　※Wizと難易度は同じ</v>
          </cell>
          <cell r="I501" t="str">
            <v>ランキング</v>
          </cell>
          <cell r="J501">
            <v>488</v>
          </cell>
          <cell r="K501">
            <v>5</v>
          </cell>
          <cell r="L501">
            <v>0</v>
          </cell>
          <cell r="M501">
            <v>1</v>
          </cell>
          <cell r="N501">
            <v>1</v>
          </cell>
          <cell r="O501">
            <v>1</v>
          </cell>
          <cell r="P501">
            <v>1</v>
          </cell>
          <cell r="Q501">
            <v>1</v>
          </cell>
          <cell r="R501">
            <v>3</v>
          </cell>
          <cell r="S501" t="str">
            <v>none</v>
          </cell>
          <cell r="T501">
            <v>0</v>
          </cell>
          <cell r="U501" t="str">
            <v>NULL</v>
          </cell>
          <cell r="V501" t="str">
            <v>NULL</v>
          </cell>
          <cell r="W501" t="str">
            <v/>
          </cell>
          <cell r="X501">
            <v>0</v>
          </cell>
          <cell r="Y501">
            <v>0</v>
          </cell>
          <cell r="Z501">
            <v>0</v>
          </cell>
          <cell r="AA501">
            <v>0</v>
          </cell>
          <cell r="AB501" t="str">
            <v>anytime</v>
          </cell>
          <cell r="AC501">
            <v>911</v>
          </cell>
          <cell r="AD501">
            <v>6</v>
          </cell>
          <cell r="AE501" t="str">
            <v>singleonly</v>
          </cell>
        </row>
        <row r="502">
          <cell r="A502" t="str">
            <v>60003_1</v>
          </cell>
          <cell r="B502">
            <v>3</v>
          </cell>
          <cell r="C502">
            <v>60003</v>
          </cell>
          <cell r="D502" t="str">
            <v>ヘンペルチャレンジ</v>
          </cell>
          <cell r="E502" t="str">
            <v>ランキング1</v>
          </cell>
          <cell r="F502">
            <v>1</v>
          </cell>
          <cell r="G502" t="str">
            <v>ja</v>
          </cell>
          <cell r="H502" t="str">
            <v>[中級] 第3回　</v>
          </cell>
          <cell r="I502" t="str">
            <v>ランキング</v>
          </cell>
          <cell r="J502">
            <v>488</v>
          </cell>
          <cell r="K502">
            <v>5</v>
          </cell>
          <cell r="L502">
            <v>0</v>
          </cell>
          <cell r="M502">
            <v>1</v>
          </cell>
          <cell r="N502">
            <v>1</v>
          </cell>
          <cell r="O502">
            <v>1</v>
          </cell>
          <cell r="P502">
            <v>1</v>
          </cell>
          <cell r="Q502">
            <v>1</v>
          </cell>
          <cell r="R502">
            <v>3</v>
          </cell>
          <cell r="S502" t="str">
            <v>none</v>
          </cell>
          <cell r="T502">
            <v>0</v>
          </cell>
          <cell r="U502" t="str">
            <v>NULL</v>
          </cell>
          <cell r="V502" t="str">
            <v>NULL</v>
          </cell>
          <cell r="W502" t="str">
            <v/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  <cell r="AB502" t="str">
            <v>anytime</v>
          </cell>
          <cell r="AC502">
            <v>911</v>
          </cell>
          <cell r="AD502">
            <v>6</v>
          </cell>
          <cell r="AE502" t="str">
            <v>singleonly</v>
          </cell>
        </row>
        <row r="503">
          <cell r="A503" t="str">
            <v>60003_2</v>
          </cell>
          <cell r="B503">
            <v>3</v>
          </cell>
          <cell r="C503">
            <v>60003</v>
          </cell>
          <cell r="D503" t="str">
            <v>ヘンペルチャレンジ</v>
          </cell>
          <cell r="E503" t="str">
            <v>ランキング1</v>
          </cell>
          <cell r="F503">
            <v>2</v>
          </cell>
          <cell r="G503" t="str">
            <v>ja</v>
          </cell>
          <cell r="H503" t="str">
            <v>[超級] 第3回　</v>
          </cell>
          <cell r="I503" t="str">
            <v>ランキング</v>
          </cell>
          <cell r="J503">
            <v>488</v>
          </cell>
          <cell r="K503">
            <v>5</v>
          </cell>
          <cell r="L503">
            <v>0</v>
          </cell>
          <cell r="M503">
            <v>1</v>
          </cell>
          <cell r="N503">
            <v>1</v>
          </cell>
          <cell r="O503">
            <v>1</v>
          </cell>
          <cell r="P503">
            <v>1</v>
          </cell>
          <cell r="Q503">
            <v>1</v>
          </cell>
          <cell r="R503">
            <v>3</v>
          </cell>
          <cell r="S503" t="str">
            <v>none</v>
          </cell>
          <cell r="T503">
            <v>0</v>
          </cell>
          <cell r="U503">
            <v>60003</v>
          </cell>
          <cell r="V503">
            <v>1</v>
          </cell>
          <cell r="W503" t="str">
            <v>[中級] 第3回　</v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 t="str">
            <v>anytime</v>
          </cell>
          <cell r="AC503">
            <v>911</v>
          </cell>
          <cell r="AD503">
            <v>6</v>
          </cell>
          <cell r="AE503" t="str">
            <v>singleonly</v>
          </cell>
        </row>
        <row r="504">
          <cell r="A504" t="str">
            <v>60003_3</v>
          </cell>
          <cell r="B504">
            <v>3</v>
          </cell>
          <cell r="C504">
            <v>60003</v>
          </cell>
          <cell r="D504" t="str">
            <v>ヘンペルチャレンジ</v>
          </cell>
          <cell r="E504" t="str">
            <v>ランキング1</v>
          </cell>
          <cell r="F504">
            <v>3</v>
          </cell>
          <cell r="G504" t="str">
            <v>ja</v>
          </cell>
          <cell r="H504" t="str">
            <v>[ウィザード] 第3回　</v>
          </cell>
          <cell r="I504" t="str">
            <v>ランキング</v>
          </cell>
          <cell r="J504">
            <v>488</v>
          </cell>
          <cell r="K504">
            <v>5</v>
          </cell>
          <cell r="L504">
            <v>0</v>
          </cell>
          <cell r="M504">
            <v>1</v>
          </cell>
          <cell r="N504">
            <v>1</v>
          </cell>
          <cell r="O504">
            <v>1</v>
          </cell>
          <cell r="P504">
            <v>1</v>
          </cell>
          <cell r="Q504">
            <v>1</v>
          </cell>
          <cell r="R504">
            <v>3</v>
          </cell>
          <cell r="S504" t="str">
            <v>none</v>
          </cell>
          <cell r="T504">
            <v>0</v>
          </cell>
          <cell r="U504">
            <v>60003</v>
          </cell>
          <cell r="V504">
            <v>2</v>
          </cell>
          <cell r="W504" t="str">
            <v>[超級] 第3回　</v>
          </cell>
          <cell r="X504">
            <v>0</v>
          </cell>
          <cell r="Y504">
            <v>0</v>
          </cell>
          <cell r="Z504">
            <v>0</v>
          </cell>
          <cell r="AA504">
            <v>0</v>
          </cell>
          <cell r="AB504" t="str">
            <v>anytime</v>
          </cell>
          <cell r="AC504">
            <v>911</v>
          </cell>
          <cell r="AD504">
            <v>6</v>
          </cell>
          <cell r="AE504" t="str">
            <v>singleonly</v>
          </cell>
        </row>
        <row r="505">
          <cell r="A505" t="str">
            <v>60004_1</v>
          </cell>
          <cell r="B505">
            <v>3</v>
          </cell>
          <cell r="C505">
            <v>60004</v>
          </cell>
          <cell r="D505" t="str">
            <v>ヘンペルチャレンジ</v>
          </cell>
          <cell r="E505" t="str">
            <v>ランキング1</v>
          </cell>
          <cell r="F505">
            <v>1</v>
          </cell>
          <cell r="G505" t="str">
            <v>ja</v>
          </cell>
          <cell r="H505" t="str">
            <v>[ウィザード] 第4回　</v>
          </cell>
          <cell r="I505" t="str">
            <v>ランキング</v>
          </cell>
          <cell r="J505">
            <v>488</v>
          </cell>
          <cell r="K505">
            <v>5</v>
          </cell>
          <cell r="L505">
            <v>0</v>
          </cell>
          <cell r="M505">
            <v>1</v>
          </cell>
          <cell r="N505">
            <v>1</v>
          </cell>
          <cell r="O505">
            <v>1</v>
          </cell>
          <cell r="P505">
            <v>1</v>
          </cell>
          <cell r="Q505">
            <v>1</v>
          </cell>
          <cell r="R505">
            <v>3</v>
          </cell>
          <cell r="S505" t="str">
            <v>none</v>
          </cell>
          <cell r="T505">
            <v>0</v>
          </cell>
          <cell r="U505" t="str">
            <v>NULL</v>
          </cell>
          <cell r="V505" t="str">
            <v>NULL</v>
          </cell>
          <cell r="W505" t="str">
            <v/>
          </cell>
          <cell r="X505">
            <v>0</v>
          </cell>
          <cell r="Y505">
            <v>0</v>
          </cell>
          <cell r="Z505">
            <v>0</v>
          </cell>
          <cell r="AA505">
            <v>0</v>
          </cell>
          <cell r="AB505" t="str">
            <v>anytime</v>
          </cell>
          <cell r="AC505">
            <v>911</v>
          </cell>
          <cell r="AD505">
            <v>6</v>
          </cell>
          <cell r="AE505" t="str">
            <v>singleonly</v>
          </cell>
        </row>
        <row r="506">
          <cell r="A506" t="str">
            <v>60005_1</v>
          </cell>
          <cell r="B506">
            <v>3</v>
          </cell>
          <cell r="C506">
            <v>60005</v>
          </cell>
          <cell r="D506" t="str">
            <v>オイラーチャレンジ</v>
          </cell>
          <cell r="E506" t="str">
            <v>ランキング1</v>
          </cell>
          <cell r="F506">
            <v>1</v>
          </cell>
          <cell r="G506" t="str">
            <v>ja</v>
          </cell>
          <cell r="H506" t="str">
            <v>[ウィザード] 第5回　</v>
          </cell>
          <cell r="I506" t="str">
            <v>ランキング</v>
          </cell>
          <cell r="J506">
            <v>379</v>
          </cell>
          <cell r="K506">
            <v>5</v>
          </cell>
          <cell r="L506">
            <v>0</v>
          </cell>
          <cell r="M506">
            <v>1</v>
          </cell>
          <cell r="N506">
            <v>1</v>
          </cell>
          <cell r="O506">
            <v>1</v>
          </cell>
          <cell r="P506">
            <v>1</v>
          </cell>
          <cell r="Q506">
            <v>1</v>
          </cell>
          <cell r="R506">
            <v>3</v>
          </cell>
          <cell r="S506" t="str">
            <v>none</v>
          </cell>
          <cell r="T506">
            <v>0</v>
          </cell>
          <cell r="U506" t="str">
            <v>NULL</v>
          </cell>
          <cell r="V506" t="str">
            <v>NULL</v>
          </cell>
          <cell r="W506" t="str">
            <v/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 t="str">
            <v>anytime</v>
          </cell>
          <cell r="AC506">
            <v>923</v>
          </cell>
          <cell r="AD506">
            <v>6</v>
          </cell>
          <cell r="AE506" t="str">
            <v>singleonly</v>
          </cell>
        </row>
        <row r="507">
          <cell r="A507" t="str">
            <v>60006_1</v>
          </cell>
          <cell r="B507">
            <v>1</v>
          </cell>
          <cell r="C507">
            <v>60006</v>
          </cell>
          <cell r="D507" t="str">
            <v>オイラーチャレンジ（本番実装用）</v>
          </cell>
          <cell r="E507" t="str">
            <v>ランキング1（本番実装用）</v>
          </cell>
          <cell r="F507">
            <v>1</v>
          </cell>
          <cell r="G507" t="str">
            <v>ja</v>
          </cell>
          <cell r="H507" t="str">
            <v>【中級】オイラーチャレンジ（本番実装用）</v>
          </cell>
          <cell r="I507" t="str">
            <v>中級</v>
          </cell>
          <cell r="J507">
            <v>379</v>
          </cell>
          <cell r="K507">
            <v>5</v>
          </cell>
          <cell r="L507">
            <v>0</v>
          </cell>
          <cell r="M507">
            <v>1</v>
          </cell>
          <cell r="N507">
            <v>1</v>
          </cell>
          <cell r="O507">
            <v>1</v>
          </cell>
          <cell r="P507">
            <v>1</v>
          </cell>
          <cell r="Q507">
            <v>1</v>
          </cell>
          <cell r="R507">
            <v>3</v>
          </cell>
          <cell r="S507" t="str">
            <v>none</v>
          </cell>
          <cell r="T507">
            <v>0</v>
          </cell>
          <cell r="U507" t="str">
            <v>NULL</v>
          </cell>
          <cell r="V507" t="str">
            <v>NULL</v>
          </cell>
          <cell r="W507" t="str">
            <v/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 t="str">
            <v>anytime</v>
          </cell>
          <cell r="AC507">
            <v>923</v>
          </cell>
          <cell r="AD507">
            <v>6</v>
          </cell>
          <cell r="AE507" t="str">
            <v>singleonly</v>
          </cell>
        </row>
        <row r="508">
          <cell r="A508" t="str">
            <v>60006_2</v>
          </cell>
          <cell r="B508">
            <v>1</v>
          </cell>
          <cell r="C508">
            <v>60006</v>
          </cell>
          <cell r="D508" t="str">
            <v>オイラーチャレンジ（本番実装用）</v>
          </cell>
          <cell r="E508" t="str">
            <v>ランキング1（本番実装用）</v>
          </cell>
          <cell r="F508">
            <v>2</v>
          </cell>
          <cell r="G508" t="str">
            <v>ja</v>
          </cell>
          <cell r="H508" t="str">
            <v>【超級】オイラーチャレンジ（本番実装用）</v>
          </cell>
          <cell r="I508" t="str">
            <v>超級</v>
          </cell>
          <cell r="J508">
            <v>379</v>
          </cell>
          <cell r="K508">
            <v>5</v>
          </cell>
          <cell r="L508">
            <v>0</v>
          </cell>
          <cell r="M508">
            <v>1</v>
          </cell>
          <cell r="N508">
            <v>1</v>
          </cell>
          <cell r="O508">
            <v>1</v>
          </cell>
          <cell r="P508">
            <v>1</v>
          </cell>
          <cell r="Q508">
            <v>1</v>
          </cell>
          <cell r="R508">
            <v>3</v>
          </cell>
          <cell r="S508" t="str">
            <v>none</v>
          </cell>
          <cell r="T508">
            <v>0</v>
          </cell>
          <cell r="U508" t="str">
            <v>NULL</v>
          </cell>
          <cell r="V508" t="str">
            <v>NULL</v>
          </cell>
          <cell r="W508" t="str">
            <v/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 t="str">
            <v>anytime</v>
          </cell>
          <cell r="AC508">
            <v>923</v>
          </cell>
          <cell r="AD508">
            <v>6</v>
          </cell>
          <cell r="AE508" t="str">
            <v>singleonly</v>
          </cell>
        </row>
        <row r="509">
          <cell r="A509" t="str">
            <v>60006_3</v>
          </cell>
          <cell r="B509">
            <v>1</v>
          </cell>
          <cell r="C509">
            <v>60006</v>
          </cell>
          <cell r="D509" t="str">
            <v>オイラーチャレンジ（本番実装用）</v>
          </cell>
          <cell r="E509" t="str">
            <v>ランキング1（本番実装用）</v>
          </cell>
          <cell r="F509">
            <v>3</v>
          </cell>
          <cell r="G509" t="str">
            <v>ja</v>
          </cell>
          <cell r="H509" t="str">
            <v>【ウィザード級】オイラーチャレンジ（本番実装用）</v>
          </cell>
          <cell r="I509" t="str">
            <v>_x0008_ウィザード級</v>
          </cell>
          <cell r="J509">
            <v>379</v>
          </cell>
          <cell r="K509">
            <v>5</v>
          </cell>
          <cell r="L509">
            <v>0</v>
          </cell>
          <cell r="M509">
            <v>1</v>
          </cell>
          <cell r="N509">
            <v>1</v>
          </cell>
          <cell r="O509">
            <v>1</v>
          </cell>
          <cell r="P509">
            <v>1</v>
          </cell>
          <cell r="Q509">
            <v>1</v>
          </cell>
          <cell r="R509">
            <v>3</v>
          </cell>
          <cell r="S509" t="str">
            <v>none</v>
          </cell>
          <cell r="T509">
            <v>0</v>
          </cell>
          <cell r="U509" t="str">
            <v>NULL</v>
          </cell>
          <cell r="V509" t="str">
            <v>NULL</v>
          </cell>
          <cell r="W509" t="str">
            <v/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 t="str">
            <v>anytime</v>
          </cell>
          <cell r="AC509">
            <v>923</v>
          </cell>
          <cell r="AD509">
            <v>6</v>
          </cell>
          <cell r="AE509" t="str">
            <v>singleonly</v>
          </cell>
        </row>
        <row r="510">
          <cell r="A510" t="str">
            <v>65535_1</v>
          </cell>
          <cell r="B510">
            <v>1</v>
          </cell>
          <cell r="C510">
            <v>65535</v>
          </cell>
          <cell r="D510" t="str">
            <v>検証クエスト</v>
          </cell>
          <cell r="E510" t="str">
            <v>検証</v>
          </cell>
          <cell r="F510">
            <v>1</v>
          </cell>
          <cell r="G510" t="str">
            <v>ja</v>
          </cell>
          <cell r="H510" t="str">
            <v>テンプレート</v>
          </cell>
          <cell r="I510" t="str">
            <v>検証</v>
          </cell>
          <cell r="J510" t="str">
            <v>NULL</v>
          </cell>
          <cell r="K510">
            <v>1</v>
          </cell>
          <cell r="L510">
            <v>1</v>
          </cell>
          <cell r="M510">
            <v>1</v>
          </cell>
          <cell r="N510">
            <v>1</v>
          </cell>
          <cell r="O510">
            <v>1</v>
          </cell>
          <cell r="P510">
            <v>1</v>
          </cell>
          <cell r="Q510">
            <v>1</v>
          </cell>
          <cell r="R510">
            <v>3</v>
          </cell>
          <cell r="S510" t="str">
            <v>none</v>
          </cell>
          <cell r="T510">
            <v>0</v>
          </cell>
          <cell r="U510" t="str">
            <v>NULL</v>
          </cell>
          <cell r="V510" t="str">
            <v>NULL</v>
          </cell>
          <cell r="W510" t="str">
            <v/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 t="str">
            <v>anytime</v>
          </cell>
          <cell r="AC510">
            <v>903</v>
          </cell>
          <cell r="AD510">
            <v>6</v>
          </cell>
          <cell r="AE510" t="str">
            <v>everyone</v>
          </cell>
        </row>
        <row r="511">
          <cell r="A511" t="str">
            <v>65535_2</v>
          </cell>
          <cell r="B511">
            <v>1</v>
          </cell>
          <cell r="C511">
            <v>65535</v>
          </cell>
          <cell r="D511" t="str">
            <v>検証クエスト</v>
          </cell>
          <cell r="E511" t="str">
            <v>検証</v>
          </cell>
          <cell r="F511">
            <v>2</v>
          </cell>
          <cell r="G511" t="str">
            <v>ja</v>
          </cell>
          <cell r="H511" t="str">
            <v>ランクアップクエスト</v>
          </cell>
          <cell r="I511" t="str">
            <v>検証</v>
          </cell>
          <cell r="J511" t="str">
            <v>NULL</v>
          </cell>
          <cell r="K511">
            <v>1</v>
          </cell>
          <cell r="L511">
            <v>65535</v>
          </cell>
          <cell r="M511">
            <v>1</v>
          </cell>
          <cell r="N511">
            <v>1</v>
          </cell>
          <cell r="O511">
            <v>1</v>
          </cell>
          <cell r="P511">
            <v>1</v>
          </cell>
          <cell r="Q511">
            <v>1</v>
          </cell>
          <cell r="R511">
            <v>3</v>
          </cell>
          <cell r="S511" t="str">
            <v>none</v>
          </cell>
          <cell r="T511">
            <v>0</v>
          </cell>
          <cell r="U511" t="str">
            <v>NULL</v>
          </cell>
          <cell r="V511" t="str">
            <v>NULL</v>
          </cell>
          <cell r="W511" t="str">
            <v/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 t="str">
            <v>anytime</v>
          </cell>
          <cell r="AC511">
            <v>903</v>
          </cell>
          <cell r="AD511">
            <v>6</v>
          </cell>
          <cell r="AE511" t="str">
            <v>everyone</v>
          </cell>
        </row>
        <row r="512">
          <cell r="A512" t="str">
            <v>65535_3</v>
          </cell>
          <cell r="B512">
            <v>1</v>
          </cell>
          <cell r="C512">
            <v>65535</v>
          </cell>
          <cell r="D512" t="str">
            <v>検証クエスト</v>
          </cell>
          <cell r="E512" t="str">
            <v>検証</v>
          </cell>
          <cell r="F512">
            <v>3</v>
          </cell>
          <cell r="G512" t="str">
            <v>ja</v>
          </cell>
          <cell r="H512" t="str">
            <v>サンドボックス</v>
          </cell>
          <cell r="I512" t="str">
            <v>検証</v>
          </cell>
          <cell r="J512" t="str">
            <v>NULL</v>
          </cell>
          <cell r="K512">
            <v>1</v>
          </cell>
          <cell r="L512">
            <v>1</v>
          </cell>
          <cell r="M512">
            <v>1</v>
          </cell>
          <cell r="N512">
            <v>1</v>
          </cell>
          <cell r="O512">
            <v>1</v>
          </cell>
          <cell r="P512">
            <v>1</v>
          </cell>
          <cell r="Q512">
            <v>1</v>
          </cell>
          <cell r="R512">
            <v>3</v>
          </cell>
          <cell r="S512" t="str">
            <v>none</v>
          </cell>
          <cell r="T512">
            <v>0</v>
          </cell>
          <cell r="U512" t="str">
            <v>NULL</v>
          </cell>
          <cell r="V512" t="str">
            <v>NULL</v>
          </cell>
          <cell r="W512" t="str">
            <v/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 t="str">
            <v>anytime</v>
          </cell>
          <cell r="AC512">
            <v>105</v>
          </cell>
          <cell r="AD512">
            <v>6</v>
          </cell>
          <cell r="AE512" t="str">
            <v>everyone</v>
          </cell>
        </row>
        <row r="513">
          <cell r="A513" t="str">
            <v>60021_3</v>
          </cell>
          <cell r="B513">
            <v>1</v>
          </cell>
          <cell r="C513">
            <v>60021</v>
          </cell>
          <cell r="D513" t="str">
            <v>【月曜限定】 黄の素材verハンプ検証</v>
          </cell>
          <cell r="E513" t="str">
            <v>検証</v>
          </cell>
          <cell r="F513">
            <v>3</v>
          </cell>
          <cell r="G513" t="str">
            <v>ja</v>
          </cell>
          <cell r="H513" t="str">
            <v>【上級】ハンプティ検証</v>
          </cell>
          <cell r="I513" t="str">
            <v>上級</v>
          </cell>
          <cell r="J513">
            <v>84</v>
          </cell>
          <cell r="K513">
            <v>20</v>
          </cell>
          <cell r="L513">
            <v>860</v>
          </cell>
          <cell r="M513">
            <v>1</v>
          </cell>
          <cell r="N513">
            <v>1</v>
          </cell>
          <cell r="O513">
            <v>1</v>
          </cell>
          <cell r="P513">
            <v>1</v>
          </cell>
          <cell r="Q513">
            <v>1</v>
          </cell>
          <cell r="R513">
            <v>3</v>
          </cell>
          <cell r="S513" t="str">
            <v>none</v>
          </cell>
          <cell r="T513">
            <v>0</v>
          </cell>
          <cell r="U513" t="str">
            <v>NULL</v>
          </cell>
          <cell r="V513" t="str">
            <v>NULL</v>
          </cell>
          <cell r="W513" t="str">
            <v/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 t="str">
            <v>anytime</v>
          </cell>
          <cell r="AC513">
            <v>101</v>
          </cell>
          <cell r="AD513">
            <v>6</v>
          </cell>
          <cell r="AE513" t="str">
            <v>everyone</v>
          </cell>
        </row>
        <row r="514">
          <cell r="A514" t="str">
            <v>60022_3</v>
          </cell>
          <cell r="B514">
            <v>1</v>
          </cell>
          <cell r="C514">
            <v>60022</v>
          </cell>
          <cell r="D514" t="str">
            <v>【火曜限定】 赤の素材verハンプ検証</v>
          </cell>
          <cell r="E514" t="str">
            <v>検証</v>
          </cell>
          <cell r="F514">
            <v>3</v>
          </cell>
          <cell r="G514" t="str">
            <v>ja</v>
          </cell>
          <cell r="H514" t="str">
            <v>【上級】ハンプティ検証</v>
          </cell>
          <cell r="I514" t="str">
            <v>上級</v>
          </cell>
          <cell r="J514">
            <v>84</v>
          </cell>
          <cell r="K514">
            <v>20</v>
          </cell>
          <cell r="L514">
            <v>860</v>
          </cell>
          <cell r="M514">
            <v>1</v>
          </cell>
          <cell r="N514">
            <v>1</v>
          </cell>
          <cell r="O514">
            <v>1</v>
          </cell>
          <cell r="P514">
            <v>1</v>
          </cell>
          <cell r="Q514">
            <v>1</v>
          </cell>
          <cell r="R514">
            <v>3</v>
          </cell>
          <cell r="S514" t="str">
            <v>none</v>
          </cell>
          <cell r="T514">
            <v>0</v>
          </cell>
          <cell r="U514" t="str">
            <v>NULL</v>
          </cell>
          <cell r="V514" t="str">
            <v>NULL</v>
          </cell>
          <cell r="W514" t="str">
            <v/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 t="str">
            <v>anytime</v>
          </cell>
          <cell r="AC514">
            <v>101</v>
          </cell>
          <cell r="AD514">
            <v>6</v>
          </cell>
          <cell r="AE514" t="str">
            <v>everyone</v>
          </cell>
        </row>
        <row r="515">
          <cell r="A515" t="str">
            <v>60023_3</v>
          </cell>
          <cell r="B515">
            <v>1</v>
          </cell>
          <cell r="C515">
            <v>60023</v>
          </cell>
          <cell r="D515" t="str">
            <v>【水曜限定】 青の素材verハンプ検証</v>
          </cell>
          <cell r="E515" t="str">
            <v>検証</v>
          </cell>
          <cell r="F515">
            <v>3</v>
          </cell>
          <cell r="G515" t="str">
            <v>ja</v>
          </cell>
          <cell r="H515" t="str">
            <v>【上級】ハンプティ検証</v>
          </cell>
          <cell r="I515" t="str">
            <v>上級</v>
          </cell>
          <cell r="J515">
            <v>84</v>
          </cell>
          <cell r="K515">
            <v>20</v>
          </cell>
          <cell r="L515">
            <v>860</v>
          </cell>
          <cell r="M515">
            <v>1</v>
          </cell>
          <cell r="N515">
            <v>1</v>
          </cell>
          <cell r="O515">
            <v>1</v>
          </cell>
          <cell r="P515">
            <v>1</v>
          </cell>
          <cell r="Q515">
            <v>1</v>
          </cell>
          <cell r="R515">
            <v>3</v>
          </cell>
          <cell r="S515" t="str">
            <v>none</v>
          </cell>
          <cell r="T515">
            <v>0</v>
          </cell>
          <cell r="U515" t="str">
            <v>NULL</v>
          </cell>
          <cell r="V515" t="str">
            <v>NULL</v>
          </cell>
          <cell r="W515" t="str">
            <v/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  <cell r="AB515" t="str">
            <v>anytime</v>
          </cell>
          <cell r="AC515">
            <v>101</v>
          </cell>
          <cell r="AD515">
            <v>6</v>
          </cell>
          <cell r="AE515" t="str">
            <v>everyone</v>
          </cell>
        </row>
        <row r="516">
          <cell r="A516" t="str">
            <v>60024_3</v>
          </cell>
          <cell r="B516">
            <v>1</v>
          </cell>
          <cell r="C516">
            <v>60024</v>
          </cell>
          <cell r="D516" t="str">
            <v>【木曜限定】 緑の素材verハンプ検証</v>
          </cell>
          <cell r="E516" t="str">
            <v>検証</v>
          </cell>
          <cell r="F516">
            <v>3</v>
          </cell>
          <cell r="G516" t="str">
            <v>ja</v>
          </cell>
          <cell r="H516" t="str">
            <v>【上級】ハンプティ検証</v>
          </cell>
          <cell r="I516" t="str">
            <v>上級</v>
          </cell>
          <cell r="J516">
            <v>84</v>
          </cell>
          <cell r="K516">
            <v>20</v>
          </cell>
          <cell r="L516">
            <v>860</v>
          </cell>
          <cell r="M516">
            <v>1</v>
          </cell>
          <cell r="N516">
            <v>1</v>
          </cell>
          <cell r="O516">
            <v>1</v>
          </cell>
          <cell r="P516">
            <v>1</v>
          </cell>
          <cell r="Q516">
            <v>1</v>
          </cell>
          <cell r="R516">
            <v>3</v>
          </cell>
          <cell r="S516" t="str">
            <v>none</v>
          </cell>
          <cell r="T516">
            <v>0</v>
          </cell>
          <cell r="U516" t="str">
            <v>NULL</v>
          </cell>
          <cell r="V516" t="str">
            <v>NULL</v>
          </cell>
          <cell r="W516" t="str">
            <v/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  <cell r="AB516" t="str">
            <v>anytime</v>
          </cell>
          <cell r="AC516">
            <v>101</v>
          </cell>
          <cell r="AD516">
            <v>6</v>
          </cell>
          <cell r="AE516" t="str">
            <v>everyone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1040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D12"/>
  <sheetViews>
    <sheetView workbookViewId="0">
      <selection activeCell="C20" sqref="C20"/>
    </sheetView>
  </sheetViews>
  <sheetFormatPr baseColWidth="12" defaultRowHeight="18" x14ac:dyDescent="0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>
      <c r="A1" s="59" t="s">
        <v>129</v>
      </c>
      <c r="B1" s="54" t="s">
        <v>99</v>
      </c>
      <c r="C1" s="54" t="s">
        <v>100</v>
      </c>
      <c r="D1" s="54" t="s">
        <v>101</v>
      </c>
      <c r="E1" s="54" t="s">
        <v>102</v>
      </c>
      <c r="F1" s="54" t="s">
        <v>103</v>
      </c>
      <c r="G1" s="54" t="s">
        <v>104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</row>
    <row r="2" spans="1:30">
      <c r="A2" s="60" t="s">
        <v>212</v>
      </c>
      <c r="B2" s="56" t="s">
        <v>105</v>
      </c>
      <c r="C2" s="95">
        <v>49003</v>
      </c>
      <c r="D2" s="56" t="s">
        <v>106</v>
      </c>
      <c r="E2" s="55" t="str">
        <f>B2&amp;C2&amp;D2</f>
        <v>floors_49003.tmp</v>
      </c>
      <c r="F2" s="56" t="s">
        <v>107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</row>
    <row r="3" spans="1:30">
      <c r="A3" s="60" t="s">
        <v>212</v>
      </c>
      <c r="B3" s="56" t="s">
        <v>108</v>
      </c>
      <c r="C3" s="95">
        <v>49003</v>
      </c>
      <c r="D3" s="56" t="s">
        <v>106</v>
      </c>
      <c r="E3" s="55" t="str">
        <f>B3&amp;C3&amp;D3</f>
        <v>enemy_habitats_49003.tmp</v>
      </c>
      <c r="F3" s="56" t="s">
        <v>109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54</v>
      </c>
      <c r="AD3" s="57" t="s">
        <v>177</v>
      </c>
    </row>
    <row r="4" spans="1:30">
      <c r="A4" s="60" t="s">
        <v>212</v>
      </c>
      <c r="B4" s="56" t="s">
        <v>110</v>
      </c>
      <c r="C4" s="95">
        <v>49003</v>
      </c>
      <c r="D4" s="56" t="s">
        <v>106</v>
      </c>
      <c r="E4" s="55" t="str">
        <f>B4&amp;C4&amp;D4</f>
        <v>enemy_habitat_S_49003.tmp</v>
      </c>
      <c r="F4" s="56" t="s">
        <v>111</v>
      </c>
      <c r="G4" s="57" t="s">
        <v>0</v>
      </c>
      <c r="H4" s="57" t="s">
        <v>1</v>
      </c>
      <c r="I4" s="57" t="s">
        <v>13</v>
      </c>
      <c r="J4" s="57" t="s">
        <v>54</v>
      </c>
      <c r="K4" s="57" t="s">
        <v>55</v>
      </c>
      <c r="L4" s="57" t="s">
        <v>56</v>
      </c>
      <c r="M4" s="57" t="s">
        <v>57</v>
      </c>
      <c r="N4" s="57" t="s">
        <v>58</v>
      </c>
      <c r="O4" s="57" t="s">
        <v>59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</row>
    <row r="5" spans="1:30">
      <c r="A5" s="60" t="s">
        <v>212</v>
      </c>
      <c r="B5" s="56" t="s">
        <v>112</v>
      </c>
      <c r="C5" s="95">
        <v>49003</v>
      </c>
      <c r="D5" s="56" t="s">
        <v>106</v>
      </c>
      <c r="E5" s="55" t="str">
        <f>B5&amp;C5&amp;D5</f>
        <v>enemy_skill_sets_49003.tmp</v>
      </c>
      <c r="F5" s="56" t="s">
        <v>113</v>
      </c>
      <c r="G5" s="58" t="s">
        <v>22</v>
      </c>
      <c r="H5" s="58" t="s">
        <v>98</v>
      </c>
      <c r="I5" s="58" t="s">
        <v>93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</row>
    <row r="6" spans="1:30">
      <c r="A6" s="60" t="s">
        <v>212</v>
      </c>
      <c r="B6" s="56" t="s">
        <v>114</v>
      </c>
      <c r="C6" s="95">
        <v>49003</v>
      </c>
      <c r="D6" s="56" t="s">
        <v>115</v>
      </c>
      <c r="E6" s="55" t="str">
        <f t="shared" ref="E6:E10" si="0">B6&amp;C6&amp;D6</f>
        <v>enemy_skills_tmp_49003.tmp</v>
      </c>
      <c r="F6" s="56" t="s">
        <v>89</v>
      </c>
      <c r="G6" s="57" t="s">
        <v>79</v>
      </c>
      <c r="H6" s="57" t="s">
        <v>80</v>
      </c>
      <c r="I6" s="57" t="s">
        <v>81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</row>
    <row r="7" spans="1:30">
      <c r="A7" s="60" t="s">
        <v>212</v>
      </c>
      <c r="B7" s="56" t="s">
        <v>116</v>
      </c>
      <c r="C7" s="95">
        <v>49003</v>
      </c>
      <c r="D7" s="56" t="s">
        <v>106</v>
      </c>
      <c r="E7" s="55" t="str">
        <f>B7&amp;C7&amp;D7</f>
        <v>enemy_skills_i18n_49003.tmp</v>
      </c>
      <c r="F7" s="56" t="s">
        <v>117</v>
      </c>
      <c r="G7" s="57" t="s">
        <v>79</v>
      </c>
      <c r="H7" s="57" t="s">
        <v>90</v>
      </c>
      <c r="I7" s="57" t="s">
        <v>91</v>
      </c>
      <c r="J7" s="57" t="s">
        <v>92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</row>
    <row r="8" spans="1:30">
      <c r="A8" s="60" t="s">
        <v>212</v>
      </c>
      <c r="B8" s="56" t="s">
        <v>118</v>
      </c>
      <c r="C8" s="95">
        <v>49003</v>
      </c>
      <c r="D8" s="56" t="s">
        <v>119</v>
      </c>
      <c r="E8" s="55" t="str">
        <f t="shared" si="0"/>
        <v>enemy_skill_triggers_49003.tmp</v>
      </c>
      <c r="F8" s="56" t="s">
        <v>120</v>
      </c>
      <c r="G8" s="57" t="s">
        <v>93</v>
      </c>
      <c r="H8" s="57" t="s">
        <v>94</v>
      </c>
      <c r="I8" s="57" t="s">
        <v>95</v>
      </c>
      <c r="J8" s="57" t="s">
        <v>96</v>
      </c>
      <c r="K8" s="57" t="s">
        <v>121</v>
      </c>
      <c r="L8" s="57" t="s">
        <v>97</v>
      </c>
      <c r="M8" s="57" t="s">
        <v>122</v>
      </c>
      <c r="N8" s="57" t="s">
        <v>123</v>
      </c>
      <c r="O8" s="57" t="s">
        <v>124</v>
      </c>
      <c r="P8" s="57" t="s">
        <v>67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</row>
    <row r="9" spans="1:30">
      <c r="A9" s="60" t="s">
        <v>212</v>
      </c>
      <c r="B9" s="65" t="s">
        <v>176</v>
      </c>
      <c r="C9" s="95">
        <v>49003</v>
      </c>
      <c r="D9" s="65" t="s">
        <v>170</v>
      </c>
      <c r="E9" s="66" t="str">
        <f t="shared" si="0"/>
        <v>stage_bug_bonuses_49003.tmp</v>
      </c>
      <c r="F9" s="65" t="s">
        <v>171</v>
      </c>
      <c r="G9" s="62" t="s">
        <v>149</v>
      </c>
      <c r="H9" s="62" t="s">
        <v>172</v>
      </c>
      <c r="I9" s="62" t="s">
        <v>173</v>
      </c>
      <c r="J9" s="64" t="s">
        <v>174</v>
      </c>
      <c r="K9" s="62" t="s">
        <v>175</v>
      </c>
      <c r="L9" s="62" t="s">
        <v>155</v>
      </c>
      <c r="M9" s="62" t="s">
        <v>156</v>
      </c>
      <c r="N9" s="62" t="s">
        <v>157</v>
      </c>
      <c r="O9" s="62" t="s">
        <v>158</v>
      </c>
      <c r="P9" s="62" t="s">
        <v>159</v>
      </c>
      <c r="Q9" s="62" t="s">
        <v>160</v>
      </c>
      <c r="R9" s="62" t="s">
        <v>161</v>
      </c>
      <c r="S9" s="62" t="s">
        <v>162</v>
      </c>
      <c r="T9" s="62" t="s">
        <v>163</v>
      </c>
      <c r="U9" s="62" t="s">
        <v>164</v>
      </c>
      <c r="V9" s="62" t="s">
        <v>165</v>
      </c>
      <c r="W9" s="62" t="s">
        <v>166</v>
      </c>
    </row>
    <row r="10" spans="1:30" s="73" customFormat="1">
      <c r="A10" s="60" t="s">
        <v>212</v>
      </c>
      <c r="B10" s="65" t="s">
        <v>200</v>
      </c>
      <c r="C10" s="95">
        <v>49003</v>
      </c>
      <c r="D10" s="65" t="s">
        <v>179</v>
      </c>
      <c r="E10" s="66" t="str">
        <f t="shared" si="0"/>
        <v>stage_hints_data_c_49003.tmp</v>
      </c>
      <c r="F10" s="65" t="s">
        <v>208</v>
      </c>
      <c r="G10" s="70" t="s">
        <v>180</v>
      </c>
      <c r="H10" s="70" t="s">
        <v>172</v>
      </c>
      <c r="I10" s="71" t="s">
        <v>181</v>
      </c>
      <c r="J10" s="64" t="s">
        <v>182</v>
      </c>
      <c r="K10" s="72" t="s">
        <v>183</v>
      </c>
    </row>
    <row r="11" spans="1:30" s="73" customFormat="1">
      <c r="A11" s="60" t="s">
        <v>212</v>
      </c>
      <c r="B11" s="65" t="s">
        <v>201</v>
      </c>
      <c r="C11" s="95">
        <v>49003</v>
      </c>
      <c r="D11" s="65" t="s">
        <v>170</v>
      </c>
      <c r="E11" s="66" t="str">
        <f t="shared" ref="E11:E12" si="1">B11&amp;C11&amp;D11</f>
        <v>stage_hints_data_f_49003.tmp</v>
      </c>
      <c r="F11" s="65" t="s">
        <v>210</v>
      </c>
      <c r="G11" s="70" t="s">
        <v>180</v>
      </c>
      <c r="H11" s="70" t="s">
        <v>172</v>
      </c>
      <c r="I11" s="71" t="s">
        <v>181</v>
      </c>
      <c r="J11" s="64" t="s">
        <v>182</v>
      </c>
      <c r="K11" s="72" t="s">
        <v>183</v>
      </c>
    </row>
    <row r="12" spans="1:30" s="73" customFormat="1">
      <c r="A12" s="60" t="s">
        <v>212</v>
      </c>
      <c r="B12" s="65" t="s">
        <v>202</v>
      </c>
      <c r="C12" s="95">
        <v>49003</v>
      </c>
      <c r="D12" s="65" t="s">
        <v>170</v>
      </c>
      <c r="E12" s="66" t="str">
        <f t="shared" si="1"/>
        <v>stage_hints_i18n_49003.tmp</v>
      </c>
      <c r="F12" s="65" t="s">
        <v>211</v>
      </c>
      <c r="G12" s="71" t="s">
        <v>203</v>
      </c>
      <c r="H12" s="93" t="s">
        <v>204</v>
      </c>
      <c r="I12" s="70" t="s">
        <v>205</v>
      </c>
      <c r="J12" s="94" t="s">
        <v>206</v>
      </c>
      <c r="K12" s="72" t="s">
        <v>207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K5"/>
  <sheetViews>
    <sheetView showGridLines="0" workbookViewId="0">
      <pane ySplit="1" topLeftCell="A2" activePane="bottomLeft" state="frozen"/>
      <selection activeCell="V2" sqref="V2:X34"/>
      <selection pane="bottomLeft" activeCell="C5" sqref="C5"/>
    </sheetView>
  </sheetViews>
  <sheetFormatPr baseColWidth="12" defaultColWidth="13" defaultRowHeight="21" customHeight="1" outlineLevelCol="1" x14ac:dyDescent="0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2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>
      <c r="A2" s="16" t="str">
        <f>G2&amp;"-"&amp;I2</f>
        <v>49003_1-1</v>
      </c>
      <c r="B2" s="16" t="str">
        <f>IF(COUNTIF(enemy_habitats!$H:$H,A2),"OK","NG")</f>
        <v>OK</v>
      </c>
      <c r="C2" s="96">
        <v>49003</v>
      </c>
      <c r="D2" s="11" t="str">
        <f ca="1">VLOOKUP($C2,OFFSET([2]quests!$A$1,0,0,COUNTA([2]quests!$A:$A),MATCH(D$1,[2]quests!$1:$1,0)-MATCH($C$1,[2]quests!$1:$1,0)+1),MATCH(D$1,[2]quests!$1:$1,0)-MATCH($C$1,[2]quests!$1:$1,0)+1,FALSE)</f>
        <v>H襲来</v>
      </c>
      <c r="E2" s="18" t="str">
        <f ca="1">VLOOKUP($C2,OFFSET([2]quests!$A$1,0,0,COUNTA([2]quests!$A:$A),MATCH(E$1,[2]quests!$1:$1,0)-MATCH($C$1,[2]quests!$1:$1,0)+1),MATCH(E$1,[2]quests!$1:$1,0)-MATCH($C$1,[2]quests!$1:$1,0)+1,FALSE)</f>
        <v>コラボ降臨3</v>
      </c>
      <c r="F2" s="21">
        <v>1</v>
      </c>
      <c r="G2" s="22" t="str">
        <f>C2&amp;"_"&amp;F2</f>
        <v>49003_1</v>
      </c>
      <c r="H2" s="15" t="str">
        <f ca="1">VLOOKUP($G2,OFFSET([2]stages!$A$1,0,0,COUNTA([2]stages!$A:$A),MATCH(H$1,[2]stages!$2:$2,0)-MATCH($G$1,[2]stages!$2:$2,0)+1),MATCH(H$1,[2]stages!$2:$2,0)-MATCH($G$1,[2]stages!$2:$2,0)+1,FALSE)</f>
        <v>【ウィザード級】デiza</v>
      </c>
      <c r="I2" s="21">
        <v>1</v>
      </c>
      <c r="J2" s="12">
        <v>60</v>
      </c>
      <c r="K2" s="12">
        <v>60</v>
      </c>
    </row>
    <row r="3" spans="1:11" ht="21" customHeight="1">
      <c r="A3" s="16" t="str">
        <f t="shared" ref="A3:A5" si="0">G3&amp;"-"&amp;I3</f>
        <v>49003_1-2</v>
      </c>
      <c r="B3" s="16" t="str">
        <f>IF(COUNTIF(enemy_habitats!$H:$H,A3),"OK","NG")</f>
        <v>OK</v>
      </c>
      <c r="C3" s="96">
        <v>49003</v>
      </c>
      <c r="D3" s="11" t="str">
        <f ca="1">VLOOKUP($C3,OFFSET([2]quests!$A$1,0,0,COUNTA([2]quests!$A:$A),MATCH(D$1,[2]quests!$1:$1,0)-MATCH($C$1,[2]quests!$1:$1,0)+1),MATCH(D$1,[2]quests!$1:$1,0)-MATCH($C$1,[2]quests!$1:$1,0)+1,FALSE)</f>
        <v>H襲来</v>
      </c>
      <c r="E3" s="18" t="str">
        <f ca="1">VLOOKUP($C3,OFFSET([2]quests!$A$1,0,0,COUNTA([2]quests!$A:$A),MATCH(E$1,[2]quests!$1:$1,0)-MATCH($C$1,[2]quests!$1:$1,0)+1),MATCH(E$1,[2]quests!$1:$1,0)-MATCH($C$1,[2]quests!$1:$1,0)+1,FALSE)</f>
        <v>コラボ降臨3</v>
      </c>
      <c r="F3" s="21">
        <v>1</v>
      </c>
      <c r="G3" s="22" t="str">
        <f t="shared" ref="G3:G5" si="1">C3&amp;"_"&amp;F3</f>
        <v>49003_1</v>
      </c>
      <c r="H3" s="15" t="str">
        <f ca="1">VLOOKUP($G3,OFFSET([2]stages!$A$1,0,0,COUNTA([2]stages!$A:$A),MATCH(H$1,[2]stages!$2:$2,0)-MATCH($G$1,[2]stages!$2:$2,0)+1),MATCH(H$1,[2]stages!$2:$2,0)-MATCH($G$1,[2]stages!$2:$2,0)+1,FALSE)</f>
        <v>【ウィザード級】デiza</v>
      </c>
      <c r="I3" s="21">
        <v>2</v>
      </c>
      <c r="J3" s="12">
        <v>60</v>
      </c>
      <c r="K3" s="12">
        <v>60</v>
      </c>
    </row>
    <row r="4" spans="1:11" ht="21" customHeight="1">
      <c r="A4" s="16" t="str">
        <f t="shared" si="0"/>
        <v>49003_1-3</v>
      </c>
      <c r="B4" s="16" t="str">
        <f>IF(COUNTIF(enemy_habitats!$H:$H,A4),"OK","NG")</f>
        <v>OK</v>
      </c>
      <c r="C4" s="96">
        <v>49003</v>
      </c>
      <c r="D4" s="11" t="str">
        <f ca="1">VLOOKUP($C4,OFFSET([2]quests!$A$1,0,0,COUNTA([2]quests!$A:$A),MATCH(D$1,[2]quests!$1:$1,0)-MATCH($C$1,[2]quests!$1:$1,0)+1),MATCH(D$1,[2]quests!$1:$1,0)-MATCH($C$1,[2]quests!$1:$1,0)+1,FALSE)</f>
        <v>H襲来</v>
      </c>
      <c r="E4" s="18" t="str">
        <f ca="1">VLOOKUP($C4,OFFSET([2]quests!$A$1,0,0,COUNTA([2]quests!$A:$A),MATCH(E$1,[2]quests!$1:$1,0)-MATCH($C$1,[2]quests!$1:$1,0)+1),MATCH(E$1,[2]quests!$1:$1,0)-MATCH($C$1,[2]quests!$1:$1,0)+1,FALSE)</f>
        <v>コラボ降臨3</v>
      </c>
      <c r="F4" s="21">
        <v>1</v>
      </c>
      <c r="G4" s="22" t="str">
        <f t="shared" si="1"/>
        <v>49003_1</v>
      </c>
      <c r="H4" s="15" t="str">
        <f ca="1">VLOOKUP($G4,OFFSET([2]stages!$A$1,0,0,COUNTA([2]stages!$A:$A),MATCH(H$1,[2]stages!$2:$2,0)-MATCH($G$1,[2]stages!$2:$2,0)+1),MATCH(H$1,[2]stages!$2:$2,0)-MATCH($G$1,[2]stages!$2:$2,0)+1,FALSE)</f>
        <v>【ウィザード級】デiza</v>
      </c>
      <c r="I4" s="21">
        <v>3</v>
      </c>
      <c r="J4" s="12">
        <v>60</v>
      </c>
      <c r="K4" s="12">
        <v>60</v>
      </c>
    </row>
    <row r="5" spans="1:11" ht="21" customHeight="1">
      <c r="A5" s="16" t="str">
        <f t="shared" si="0"/>
        <v>49003_1-4</v>
      </c>
      <c r="B5" s="16" t="str">
        <f>IF(COUNTIF(enemy_habitats!$H:$H,A5),"OK","NG")</f>
        <v>OK</v>
      </c>
      <c r="C5" s="96">
        <v>49003</v>
      </c>
      <c r="D5" s="11" t="str">
        <f ca="1">VLOOKUP($C5,OFFSET([2]quests!$A$1,0,0,COUNTA([2]quests!$A:$A),MATCH(D$1,[2]quests!$1:$1,0)-MATCH($C$1,[2]quests!$1:$1,0)+1),MATCH(D$1,[2]quests!$1:$1,0)-MATCH($C$1,[2]quests!$1:$1,0)+1,FALSE)</f>
        <v>H襲来</v>
      </c>
      <c r="E5" s="18" t="str">
        <f ca="1">VLOOKUP($C5,OFFSET([2]quests!$A$1,0,0,COUNTA([2]quests!$A:$A),MATCH(E$1,[2]quests!$1:$1,0)-MATCH($C$1,[2]quests!$1:$1,0)+1),MATCH(E$1,[2]quests!$1:$1,0)-MATCH($C$1,[2]quests!$1:$1,0)+1,FALSE)</f>
        <v>コラボ降臨3</v>
      </c>
      <c r="F5" s="21">
        <v>1</v>
      </c>
      <c r="G5" s="22" t="str">
        <f t="shared" si="1"/>
        <v>49003_1</v>
      </c>
      <c r="H5" s="15" t="str">
        <f ca="1">VLOOKUP($G5,OFFSET([2]stages!$A$1,0,0,COUNTA([2]stages!$A:$A),MATCH(H$1,[2]stages!$2:$2,0)-MATCH($G$1,[2]stages!$2:$2,0)+1),MATCH(H$1,[2]stages!$2:$2,0)-MATCH($G$1,[2]stages!$2:$2,0)+1,FALSE)</f>
        <v>【ウィザード級】デiza</v>
      </c>
      <c r="I5" s="21">
        <v>4</v>
      </c>
      <c r="J5" s="12">
        <v>60</v>
      </c>
      <c r="K5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N5"/>
  <sheetViews>
    <sheetView showGridLines="0" workbookViewId="0">
      <pane xSplit="17" ySplit="1" topLeftCell="U2" activePane="bottomRight" state="frozen"/>
      <selection pane="topRight" activeCell="N1" sqref="N1"/>
      <selection pane="bottomLeft" activeCell="A2" sqref="A2"/>
      <selection pane="bottomRight" activeCell="B2" sqref="B2"/>
    </sheetView>
  </sheetViews>
  <sheetFormatPr baseColWidth="12" defaultColWidth="13" defaultRowHeight="21" customHeight="1" outlineLevelCol="1" x14ac:dyDescent="0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4" customFormat="1" ht="21" customHeight="1">
      <c r="A1" s="26" t="s">
        <v>29</v>
      </c>
      <c r="B1" s="27" t="s">
        <v>0</v>
      </c>
      <c r="C1" s="27" t="s">
        <v>1</v>
      </c>
      <c r="D1" s="28" t="s">
        <v>28</v>
      </c>
      <c r="E1" s="29" t="s">
        <v>20</v>
      </c>
      <c r="F1" s="29" t="s">
        <v>20</v>
      </c>
      <c r="G1" s="27" t="s">
        <v>19</v>
      </c>
      <c r="H1" s="28" t="s">
        <v>35</v>
      </c>
      <c r="I1" s="28" t="s">
        <v>14</v>
      </c>
      <c r="J1" s="28" t="s">
        <v>15</v>
      </c>
      <c r="K1" s="35" t="s">
        <v>54</v>
      </c>
      <c r="L1" s="36" t="s">
        <v>2</v>
      </c>
      <c r="M1" s="30" t="s">
        <v>21</v>
      </c>
      <c r="N1" s="28" t="s">
        <v>24</v>
      </c>
      <c r="O1" s="28" t="s">
        <v>23</v>
      </c>
      <c r="P1" s="31" t="s">
        <v>26</v>
      </c>
      <c r="Q1" s="29" t="s">
        <v>25</v>
      </c>
      <c r="R1" s="27" t="s">
        <v>3</v>
      </c>
      <c r="S1" s="25" t="s">
        <v>48</v>
      </c>
      <c r="T1" s="25" t="s">
        <v>50</v>
      </c>
      <c r="U1" s="25" t="s">
        <v>52</v>
      </c>
      <c r="V1" s="28" t="s">
        <v>31</v>
      </c>
      <c r="W1" s="27" t="s">
        <v>4</v>
      </c>
      <c r="X1" s="27" t="s">
        <v>5</v>
      </c>
      <c r="Y1" s="27" t="s">
        <v>6</v>
      </c>
      <c r="Z1" s="27" t="s">
        <v>7</v>
      </c>
      <c r="AA1" s="27" t="s">
        <v>8</v>
      </c>
      <c r="AB1" s="32" t="s">
        <v>9</v>
      </c>
      <c r="AC1" s="33" t="s">
        <v>16</v>
      </c>
      <c r="AD1" s="33" t="s">
        <v>17</v>
      </c>
      <c r="AE1" s="33" t="s">
        <v>27</v>
      </c>
      <c r="AF1" s="32" t="s">
        <v>10</v>
      </c>
      <c r="AG1" s="27" t="s">
        <v>11</v>
      </c>
      <c r="AH1" s="27" t="s">
        <v>12</v>
      </c>
      <c r="AI1" s="27" t="s">
        <v>38</v>
      </c>
      <c r="AJ1" s="27" t="s">
        <v>40</v>
      </c>
      <c r="AK1" s="27" t="s">
        <v>42</v>
      </c>
      <c r="AL1" s="27" t="s">
        <v>44</v>
      </c>
      <c r="AM1" s="27" t="s">
        <v>46</v>
      </c>
      <c r="AN1" s="35" t="s">
        <v>178</v>
      </c>
    </row>
    <row r="2" spans="1:40" ht="21" customHeight="1">
      <c r="A2" s="16" t="str">
        <f>B2&amp;"_"&amp;C2&amp;"-"&amp;G2&amp;"/"&amp;L2&amp;"&lt;lv"&amp;R2&amp;"&gt;s"&amp;AA2</f>
        <v>49003_1-1/697&lt;lv75&gt;s1</v>
      </c>
      <c r="B2" s="96">
        <v>49003</v>
      </c>
      <c r="C2" s="21">
        <v>1</v>
      </c>
      <c r="D2" s="2" t="str">
        <f>B2&amp;"_"&amp;C2</f>
        <v>49003_1</v>
      </c>
      <c r="E2" s="4" t="str">
        <f ca="1">VLOOKUP($B2,OFFSET([2]quests!$A$1,0,0,COUNTA([2]quests!$A:$A),MATCH(E$1,[2]quests!$1:$1,0)-MATCH($B$1,[2]quests!$1:$1,0)+1),MATCH(E$1,[2]quests!$1:$1,0)-MATCH($B$1,[2]quests!$1:$1,0)+1,FALSE)</f>
        <v>H襲来</v>
      </c>
      <c r="F2" s="4" t="str">
        <f ca="1">VLOOKUP($D2,OFFSET([2]stages!$A$1,0,0,COUNTA([2]stages!$A:$A),MATCH(F$1,[2]stages!$2:$2,0)-MATCH($D$1,[2]stages!$2:$2,0)+1),MATCH(F$1,[2]stages!$2:$2,0)-MATCH($D$1,[2]stages!$2:$2,0)+1,FALSE)</f>
        <v>【ウィザード級】デiza</v>
      </c>
      <c r="G2" s="21">
        <v>1</v>
      </c>
      <c r="H2" s="15" t="str">
        <f>B2&amp;"_"&amp;C2&amp;"-"&amp;G2</f>
        <v>49003_1-1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 t="s">
        <v>53</v>
      </c>
      <c r="L2" s="20">
        <v>697</v>
      </c>
      <c r="M2" s="17" t="str">
        <f ca="1">VLOOKUP($L2,OFFSET([3]enemies!$A$1,0,0,COUNTA([3]enemies!$A:$A),MATCH(M$1,[3]enemies!$1:$1,0)-MATCH($L$1,[3]enemies!$1:$1,0)+1),MATCH(M$1,[3]enemies!$1:$1,0)-MATCH($L$1,[3]enemies!$1:$1,0)+1,FALSE)</f>
        <v>黒影の首なしライダー　セルティ</v>
      </c>
      <c r="N2" s="17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Drop2N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60</v>
      </c>
      <c r="R2" s="5">
        <v>75</v>
      </c>
      <c r="S2" s="24">
        <v>1</v>
      </c>
      <c r="T2" s="24">
        <v>0.6</v>
      </c>
      <c r="U2" s="5">
        <v>0</v>
      </c>
      <c r="V2" s="4" t="str">
        <f ca="1">VLOOKUP($W2,OFFSET(enemy_skill_sets!$B$1,0,0,COUNTA(enemy_skill_sets!$B:$B),MATCH(M$1,enemy_skill_sets!$1:$1,0)-MATCH($W$1,enemy_skill_sets!$1:$1,0)+2),MATCH(M$1,enemy_skill_sets!$1:$1,0)-MATCH($W$1,enemy_skill_sets!$1:$1,0)+2,FALSE)</f>
        <v>『静雄、お前なぜ私に向かって来るんだ・・・？』</v>
      </c>
      <c r="W2" s="96">
        <v>49003001</v>
      </c>
      <c r="X2" s="6">
        <v>1</v>
      </c>
      <c r="Y2" s="6">
        <v>100</v>
      </c>
      <c r="Z2" s="6">
        <v>1</v>
      </c>
      <c r="AA2" s="17">
        <v>1</v>
      </c>
      <c r="AB2" s="23">
        <f>L2</f>
        <v>697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黒影の首なしライダー　セルティ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5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Drop2N</v>
      </c>
      <c r="AF2" s="7">
        <v>1</v>
      </c>
      <c r="AG2" s="23">
        <f ca="1">AD2</f>
        <v>5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7">
        <v>1</v>
      </c>
    </row>
    <row r="3" spans="1:40" ht="21" customHeight="1">
      <c r="A3" s="16" t="str">
        <f>B3&amp;"_"&amp;C3&amp;"-"&amp;G3&amp;"/"&amp;L3&amp;"&lt;lv"&amp;R3&amp;"&gt;s"&amp;AA3</f>
        <v>49003_1-2/718&lt;lv75&gt;s2</v>
      </c>
      <c r="B3" s="96">
        <v>49003</v>
      </c>
      <c r="C3" s="21">
        <v>1</v>
      </c>
      <c r="D3" s="2" t="str">
        <f>B3&amp;"_"&amp;C3</f>
        <v>49003_1</v>
      </c>
      <c r="E3" s="4" t="str">
        <f ca="1">VLOOKUP($B3,OFFSET([2]quests!$A$1,0,0,COUNTA([2]quests!$A:$A),MATCH(E$1,[2]quests!$1:$1,0)-MATCH($B$1,[2]quests!$1:$1,0)+1),MATCH(E$1,[2]quests!$1:$1,0)-MATCH($B$1,[2]quests!$1:$1,0)+1,FALSE)</f>
        <v>H襲来</v>
      </c>
      <c r="F3" s="4" t="str">
        <f ca="1">VLOOKUP($D3,OFFSET([2]stages!$A$1,0,0,COUNTA([2]stages!$A:$A),MATCH(F$1,[2]stages!$2:$2,0)-MATCH($D$1,[2]stages!$2:$2,0)+1),MATCH(F$1,[2]stages!$2:$2,0)-MATCH($D$1,[2]stages!$2:$2,0)+1,FALSE)</f>
        <v>【ウィザード級】デiza</v>
      </c>
      <c r="G3" s="21">
        <v>2</v>
      </c>
      <c r="H3" s="15" t="str">
        <f>B3&amp;"_"&amp;C3&amp;"-"&amp;G3</f>
        <v>49003_1-2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>
        <v>1</v>
      </c>
      <c r="L3" s="20">
        <v>718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ヴァローナ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75</v>
      </c>
      <c r="S3" s="24">
        <v>1.6</v>
      </c>
      <c r="T3" s="24">
        <v>0.7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状態異常無効</v>
      </c>
      <c r="W3" s="96">
        <v>49003002</v>
      </c>
      <c r="X3" s="6">
        <v>1</v>
      </c>
      <c r="Y3" s="6">
        <v>100</v>
      </c>
      <c r="Z3" s="6">
        <v>1</v>
      </c>
      <c r="AA3" s="17">
        <v>2</v>
      </c>
      <c r="AB3" s="23">
        <f>L3</f>
        <v>718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ヴァローナ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4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3" s="7">
        <v>1</v>
      </c>
      <c r="AG3" s="23">
        <f ca="1">AD3</f>
        <v>4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7">
        <v>1</v>
      </c>
    </row>
    <row r="4" spans="1:40" ht="21" customHeight="1">
      <c r="A4" s="16" t="str">
        <f>B4&amp;"_"&amp;C4&amp;"-"&amp;G4&amp;"/"&amp;L4&amp;"&lt;lv"&amp;R4&amp;"&gt;s"&amp;AA4</f>
        <v>49003_1-3/702&lt;lv75&gt;s2</v>
      </c>
      <c r="B4" s="96">
        <v>49003</v>
      </c>
      <c r="C4" s="21">
        <v>1</v>
      </c>
      <c r="D4" s="2" t="str">
        <f>B4&amp;"_"&amp;C4</f>
        <v>49003_1</v>
      </c>
      <c r="E4" s="4" t="str">
        <f ca="1">VLOOKUP($B4,OFFSET([2]quests!$A$1,0,0,COUNTA([2]quests!$A:$A),MATCH(E$1,[2]quests!$1:$1,0)-MATCH($B$1,[2]quests!$1:$1,0)+1),MATCH(E$1,[2]quests!$1:$1,0)-MATCH($B$1,[2]quests!$1:$1,0)+1,FALSE)</f>
        <v>H襲来</v>
      </c>
      <c r="F4" s="4" t="str">
        <f ca="1">VLOOKUP($D4,OFFSET([2]stages!$A$1,0,0,COUNTA([2]stages!$A:$A),MATCH(F$1,[2]stages!$2:$2,0)-MATCH($D$1,[2]stages!$2:$2,0)+1),MATCH(F$1,[2]stages!$2:$2,0)-MATCH($D$1,[2]stages!$2:$2,0)+1,FALSE)</f>
        <v>【ウィザード級】デiza</v>
      </c>
      <c r="G4" s="21">
        <v>3</v>
      </c>
      <c r="H4" s="15" t="str">
        <f>B4&amp;"_"&amp;C4&amp;"-"&amp;G4</f>
        <v>49003_1-3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>
        <v>2</v>
      </c>
      <c r="L4" s="20">
        <v>702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サイモン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75</v>
      </c>
      <c r="S4" s="24">
        <v>1.6</v>
      </c>
      <c r="T4" s="24">
        <v>0.6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1ターン攻撃力0＋ハートパネル生成</v>
      </c>
      <c r="W4" s="96">
        <v>49003004</v>
      </c>
      <c r="X4" s="6">
        <v>1</v>
      </c>
      <c r="Y4" s="6">
        <v>100</v>
      </c>
      <c r="Z4" s="6">
        <v>1</v>
      </c>
      <c r="AA4" s="17">
        <v>2</v>
      </c>
      <c r="AB4" s="23">
        <f>L4</f>
        <v>702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サイモン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4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4" s="7">
        <v>1</v>
      </c>
      <c r="AG4" s="23">
        <f ca="1">AD4</f>
        <v>4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7">
        <v>1</v>
      </c>
    </row>
    <row r="5" spans="1:40" ht="21" customHeight="1">
      <c r="A5" s="16" t="str">
        <f>B5&amp;"_"&amp;C5&amp;"-"&amp;G5&amp;"/"&amp;L5&amp;"&lt;lv"&amp;R5&amp;"&gt;s"&amp;AA5</f>
        <v>49003_1-4/700&lt;lv75&gt;s1</v>
      </c>
      <c r="B5" s="96">
        <v>49003</v>
      </c>
      <c r="C5" s="21">
        <v>1</v>
      </c>
      <c r="D5" s="2" t="str">
        <f>B5&amp;"_"&amp;C5</f>
        <v>49003_1</v>
      </c>
      <c r="E5" s="4" t="str">
        <f ca="1">VLOOKUP($B5,OFFSET([2]quests!$A$1,0,0,COUNTA([2]quests!$A:$A),MATCH(E$1,[2]quests!$1:$1,0)-MATCH($B$1,[2]quests!$1:$1,0)+1),MATCH(E$1,[2]quests!$1:$1,0)-MATCH($B$1,[2]quests!$1:$1,0)+1,FALSE)</f>
        <v>H襲来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【ウィザード級】デiza</v>
      </c>
      <c r="G5" s="21">
        <v>4</v>
      </c>
      <c r="H5" s="15" t="str">
        <f>B5&amp;"_"&amp;C5&amp;"-"&amp;G5</f>
        <v>49003_1-4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7">
        <v>3</v>
      </c>
      <c r="L5" s="20">
        <v>700</v>
      </c>
      <c r="M5" s="17" t="str">
        <f ca="1">VLOOKUP($L5,OFFSET([3]enemies!$A$1,0,0,COUNTA([3]enemies!$A:$A),MATCH(M$1,[3]enemies!$1:$1,0)-MATCH($L$1,[3]enemies!$1:$1,0)+1),MATCH(M$1,[3]enemies!$1:$1,0)-MATCH($L$1,[3]enemies!$1:$1,0)+1,FALSE)</f>
        <v>折原臨也</v>
      </c>
      <c r="N5" s="17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DropWizS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60</v>
      </c>
      <c r="R5" s="5">
        <v>75</v>
      </c>
      <c r="S5" s="24">
        <v>1.6</v>
      </c>
      <c r="T5" s="24">
        <v>0.6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種族ヒューマン以外に大ダメージ！</v>
      </c>
      <c r="W5" s="96">
        <v>49003006</v>
      </c>
      <c r="X5" s="6">
        <v>1</v>
      </c>
      <c r="Y5" s="6">
        <v>100</v>
      </c>
      <c r="Z5" s="6">
        <v>1</v>
      </c>
      <c r="AA5" s="17">
        <v>1</v>
      </c>
      <c r="AB5" s="23">
        <f>L5</f>
        <v>700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折原臨也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5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5" s="7">
        <v>1</v>
      </c>
      <c r="AG5" s="23">
        <f ca="1">AD5</f>
        <v>5</v>
      </c>
      <c r="AH5" s="8">
        <v>30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7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  <outlinePr summaryBelow="0" summaryRight="0"/>
  </sheetPr>
  <dimension ref="A1:Y5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Q16" sqref="Q16"/>
    </sheetView>
  </sheetViews>
  <sheetFormatPr baseColWidth="12" defaultColWidth="13" defaultRowHeight="21" customHeight="1" outlineLevelCol="1" x14ac:dyDescent="0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4" customFormat="1" ht="21" customHeight="1">
      <c r="A1" s="26" t="s">
        <v>29</v>
      </c>
      <c r="B1" s="27" t="s">
        <v>0</v>
      </c>
      <c r="C1" s="27" t="s">
        <v>1</v>
      </c>
      <c r="D1" s="28" t="s">
        <v>28</v>
      </c>
      <c r="E1" s="29" t="s">
        <v>16</v>
      </c>
      <c r="F1" s="29" t="s">
        <v>16</v>
      </c>
      <c r="G1" s="27" t="s">
        <v>19</v>
      </c>
      <c r="H1" s="28" t="s">
        <v>30</v>
      </c>
      <c r="I1" s="28" t="s">
        <v>14</v>
      </c>
      <c r="J1" s="28" t="s">
        <v>15</v>
      </c>
      <c r="K1" s="35" t="s">
        <v>54</v>
      </c>
      <c r="L1" s="35" t="s">
        <v>55</v>
      </c>
      <c r="M1" s="36" t="s">
        <v>2</v>
      </c>
      <c r="N1" s="30" t="s">
        <v>16</v>
      </c>
      <c r="O1" s="28" t="s">
        <v>24</v>
      </c>
      <c r="P1" s="28" t="s">
        <v>23</v>
      </c>
      <c r="Q1" s="31" t="s">
        <v>26</v>
      </c>
      <c r="R1" s="29" t="s">
        <v>25</v>
      </c>
      <c r="S1" s="27" t="s">
        <v>3</v>
      </c>
      <c r="T1" s="25" t="s">
        <v>48</v>
      </c>
      <c r="U1" s="25" t="s">
        <v>50</v>
      </c>
      <c r="V1" s="25" t="s">
        <v>52</v>
      </c>
      <c r="W1" s="27" t="s">
        <v>128</v>
      </c>
      <c r="X1" s="28" t="s">
        <v>127</v>
      </c>
      <c r="Y1" s="27" t="s">
        <v>8</v>
      </c>
    </row>
    <row r="2" spans="1:25" ht="21" customHeight="1">
      <c r="A2" s="16" t="str">
        <f>B2&amp;"_"&amp;C2&amp;"-"&amp;G2&amp;"/"&amp;M2&amp;"&lt;lv"&amp;S2&amp;"&gt;sq"&amp;K2&amp;"st"&amp;L2</f>
        <v>49003_1-2/719&lt;lv75&gt;sq1st2</v>
      </c>
      <c r="B2" s="96">
        <v>49003</v>
      </c>
      <c r="C2" s="21">
        <v>1</v>
      </c>
      <c r="D2" s="2" t="str">
        <f>B2&amp;"_"&amp;C2</f>
        <v>49003_1</v>
      </c>
      <c r="E2" s="4" t="str">
        <f ca="1">VLOOKUP($B2,OFFSET([2]quests!$A$1,0,0,COUNTA([2]quests!$A:$A),MATCH(E$1,[2]quests!$1:$1,0)-MATCH($B$1,[2]quests!$1:$1,0)+1),MATCH(E$1,[2]quests!$1:$1,0)-MATCH($B$1,[2]quests!$1:$1,0)+1,FALSE)</f>
        <v>H襲来</v>
      </c>
      <c r="F2" s="4" t="str">
        <f ca="1">VLOOKUP($D2,OFFSET([2]stages!$A$1,0,0,COUNTA([2]stages!$A:$A),MATCH(F$1,[2]stages!$2:$2,0)-MATCH($D$1,[2]stages!$2:$2,0)+1),MATCH(F$1,[2]stages!$2:$2,0)-MATCH($D$1,[2]stages!$2:$2,0)+1,FALSE)</f>
        <v>【ウィザード級】デiza</v>
      </c>
      <c r="G2" s="21">
        <v>2</v>
      </c>
      <c r="H2" s="15" t="str">
        <f>B2&amp;"_"&amp;C2&amp;"-"&amp;G2</f>
        <v>49003_1-2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>
        <v>1</v>
      </c>
      <c r="L2" s="37">
        <v>2</v>
      </c>
      <c r="M2" s="20">
        <v>719</v>
      </c>
      <c r="N2" s="17" t="str">
        <f ca="1">VLOOKUP($M2,OFFSET([3]enemies!$A$1,0,0,COUNTA([3]enemies!$A:$A),MATCH(N$1,[3]enemies!$1:$1,0)-MATCH($M$1,[3]enemies!$1:$1,0)+1),MATCH(N$1,[3]enemies!$1:$1,0)-MATCH($M$1,[3]enemies!$1:$1,0)+1,FALSE)</f>
        <v>聡明な戦狂女　ヴァローナ</v>
      </c>
      <c r="O2" s="17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75</v>
      </c>
      <c r="T2" s="24">
        <v>1.2</v>
      </c>
      <c r="U2" s="24">
        <v>0.7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96">
        <v>49003003</v>
      </c>
      <c r="Y2" s="68">
        <v>1</v>
      </c>
    </row>
    <row r="3" spans="1:25" ht="21" customHeight="1">
      <c r="A3" s="16" t="str">
        <f t="shared" ref="A3:A4" si="0">B3&amp;"_"&amp;C3&amp;"-"&amp;G3&amp;"/"&amp;M3&amp;"&lt;lv"&amp;S3&amp;"&gt;sq"&amp;K3&amp;"st"&amp;L3</f>
        <v>49003_1-3/703&lt;lv75&gt;sq2st2</v>
      </c>
      <c r="B3" s="96">
        <v>49003</v>
      </c>
      <c r="C3" s="21">
        <v>1</v>
      </c>
      <c r="D3" s="2" t="str">
        <f t="shared" ref="D3:D4" si="1">B3&amp;"_"&amp;C3</f>
        <v>49003_1</v>
      </c>
      <c r="E3" s="4" t="str">
        <f ca="1">VLOOKUP($B3,OFFSET([2]quests!$A$1,0,0,COUNTA([2]quests!$A:$A),MATCH(E$1,[2]quests!$1:$1,0)-MATCH($B$1,[2]quests!$1:$1,0)+1),MATCH(E$1,[2]quests!$1:$1,0)-MATCH($B$1,[2]quests!$1:$1,0)+1,FALSE)</f>
        <v>H襲来</v>
      </c>
      <c r="F3" s="4" t="str">
        <f ca="1">VLOOKUP($D3,OFFSET([2]stages!$A$1,0,0,COUNTA([2]stages!$A:$A),MATCH(F$1,[2]stages!$2:$2,0)-MATCH($D$1,[2]stages!$2:$2,0)+1),MATCH(F$1,[2]stages!$2:$2,0)-MATCH($D$1,[2]stages!$2:$2,0)+1,FALSE)</f>
        <v>【ウィザード級】デiza</v>
      </c>
      <c r="G3" s="21">
        <v>3</v>
      </c>
      <c r="H3" s="15" t="str">
        <f t="shared" ref="H3:H4" si="2">B3&amp;"_"&amp;C3&amp;"-"&amp;G3</f>
        <v>49003_1-3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>
        <v>2</v>
      </c>
      <c r="L3" s="37">
        <v>2</v>
      </c>
      <c r="M3" s="20">
        <v>703</v>
      </c>
      <c r="N3" s="17" t="str">
        <f ca="1">VLOOKUP($M3,OFFSET([3]enemies!$A$1,0,0,COUNTA([3]enemies!$A:$A),MATCH(N$1,[3]enemies!$1:$1,0)-MATCH($M$1,[3]enemies!$1:$1,0)+1),MATCH(N$1,[3]enemies!$1:$1,0)-MATCH($M$1,[3]enemies!$1:$1,0)+1,FALSE)</f>
        <v>豪腕静穏な寿司屋　サイモン</v>
      </c>
      <c r="O3" s="17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75</v>
      </c>
      <c r="T3" s="24">
        <v>1.6</v>
      </c>
      <c r="U3" s="24">
        <v>0.7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96">
        <v>49003005</v>
      </c>
      <c r="Y3" s="68">
        <v>1</v>
      </c>
    </row>
    <row r="4" spans="1:25" ht="21" customHeight="1">
      <c r="A4" s="16" t="str">
        <f t="shared" si="0"/>
        <v>49003_1-4/701&lt;lv75&gt;sq3st2</v>
      </c>
      <c r="B4" s="96">
        <v>49003</v>
      </c>
      <c r="C4" s="21">
        <v>1</v>
      </c>
      <c r="D4" s="2" t="str">
        <f t="shared" si="1"/>
        <v>49003_1</v>
      </c>
      <c r="E4" s="4" t="str">
        <f ca="1">VLOOKUP($B4,OFFSET([2]quests!$A$1,0,0,COUNTA([2]quests!$A:$A),MATCH(E$1,[2]quests!$1:$1,0)-MATCH($B$1,[2]quests!$1:$1,0)+1),MATCH(E$1,[2]quests!$1:$1,0)-MATCH($B$1,[2]quests!$1:$1,0)+1,FALSE)</f>
        <v>H襲来</v>
      </c>
      <c r="F4" s="4" t="str">
        <f ca="1">VLOOKUP($D4,OFFSET([2]stages!$A$1,0,0,COUNTA([2]stages!$A:$A),MATCH(F$1,[2]stages!$2:$2,0)-MATCH($D$1,[2]stages!$2:$2,0)+1),MATCH(F$1,[2]stages!$2:$2,0)-MATCH($D$1,[2]stages!$2:$2,0)+1,FALSE)</f>
        <v>【ウィザード級】デiza</v>
      </c>
      <c r="G4" s="21">
        <v>4</v>
      </c>
      <c r="H4" s="15" t="str">
        <f t="shared" si="2"/>
        <v>49003_1-4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>
        <v>3</v>
      </c>
      <c r="L4" s="37">
        <v>2</v>
      </c>
      <c r="M4" s="20">
        <v>701</v>
      </c>
      <c r="N4" s="17" t="str">
        <f ca="1">VLOOKUP($M4,OFFSET([3]enemies!$A$1,0,0,COUNTA([3]enemies!$A:$A),MATCH(N$1,[3]enemies!$1:$1,0)-MATCH($M$1,[3]enemies!$1:$1,0)+1),MATCH(N$1,[3]enemies!$1:$1,0)-MATCH($M$1,[3]enemies!$1:$1,0)+1,FALSE)</f>
        <v>謀略の情報屋 折原臨也</v>
      </c>
      <c r="O4" s="17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75</v>
      </c>
      <c r="T4" s="24">
        <v>2.4</v>
      </c>
      <c r="U4" s="24">
        <v>0.6</v>
      </c>
      <c r="V4" s="5">
        <v>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96">
        <v>49003007</v>
      </c>
      <c r="Y4" s="68">
        <v>2</v>
      </c>
    </row>
    <row r="5" spans="1:25" ht="21" customHeight="1">
      <c r="A5" s="16" t="str">
        <f t="shared" ref="A5" si="3">B5&amp;"_"&amp;C5&amp;"-"&amp;G5&amp;"/"&amp;M5&amp;"&lt;lv"&amp;S5&amp;"&gt;sq"&amp;K5&amp;"st"&amp;L5</f>
        <v>49003_1-4/701&lt;lv75&gt;sq3st3</v>
      </c>
      <c r="B5" s="96">
        <v>49003</v>
      </c>
      <c r="C5" s="21">
        <v>1</v>
      </c>
      <c r="D5" s="2" t="str">
        <f t="shared" ref="D5" si="4">B5&amp;"_"&amp;C5</f>
        <v>49003_1</v>
      </c>
      <c r="E5" s="4" t="str">
        <f ca="1">VLOOKUP($B5,OFFSET([2]quests!$A$1,0,0,COUNTA([2]quests!$A:$A),MATCH(E$1,[2]quests!$1:$1,0)-MATCH($B$1,[2]quests!$1:$1,0)+1),MATCH(E$1,[2]quests!$1:$1,0)-MATCH($B$1,[2]quests!$1:$1,0)+1,FALSE)</f>
        <v>H襲来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【ウィザード級】デiza</v>
      </c>
      <c r="G5" s="21">
        <v>4</v>
      </c>
      <c r="H5" s="15" t="str">
        <f t="shared" ref="H5" si="5">B5&amp;"_"&amp;C5&amp;"-"&amp;G5</f>
        <v>49003_1-4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7">
        <v>3</v>
      </c>
      <c r="L5" s="37">
        <v>3</v>
      </c>
      <c r="M5" s="20">
        <v>701</v>
      </c>
      <c r="N5" s="17" t="str">
        <f ca="1">VLOOKUP($M5,OFFSET([3]enemies!$A$1,0,0,COUNTA([3]enemies!$A:$A),MATCH(N$1,[3]enemies!$1:$1,0)-MATCH($M$1,[3]enemies!$1:$1,0)+1),MATCH(N$1,[3]enemies!$1:$1,0)-MATCH($M$1,[3]enemies!$1:$1,0)+1,FALSE)</f>
        <v>謀略の情報屋 折原臨也</v>
      </c>
      <c r="O5" s="17" t="str">
        <f ca="1">VLOOKUP($M5,OFFSET([3]enemies!$A$1,0,0,COUNTA([3]enemies!$A:$A),MATCH(O$1,[3]enemies!$1:$1,0)-MATCH($M$1,[3]enemies!$1:$1,0)+1),MATCH(O$1,[3]enemies!$1:$1,0)-MATCH($M$1,[3]enemies!$1:$1,0)+1,FALSE)</f>
        <v>blue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75</v>
      </c>
      <c r="T5" s="24">
        <v>2.2000000000000002</v>
      </c>
      <c r="U5" s="24">
        <v>0.6</v>
      </c>
      <c r="V5" s="5">
        <v>0</v>
      </c>
      <c r="W5" s="4" t="e">
        <f ca="1">VLOOKUP($X5,OFFSET([5]enemy_skill_sets!$B$1,0,0,COUNTA([5]enemy_skill_sets!$B:$B),MATCH(N$1,[5]enemy_skill_sets!$1:$1,0)-MATCH($X$1,[5]enemy_skill_sets!$1:$1,0)+2),MATCH(N$1,[5]enemy_skill_sets!$1:$1,0)-MATCH($X$1,[5]enemy_skill_sets!$1:$1,0)+2,FALSE)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5" s="96">
        <v>49003008</v>
      </c>
      <c r="Y5" s="68">
        <v>1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R54"/>
  <sheetViews>
    <sheetView showGridLines="0" workbookViewId="0">
      <pane xSplit="5" ySplit="1" topLeftCell="F22" activePane="bottomRight" state="frozen"/>
      <selection pane="topRight"/>
      <selection pane="bottomLeft"/>
      <selection pane="bottomRight" activeCell="F39" sqref="F39"/>
    </sheetView>
  </sheetViews>
  <sheetFormatPr baseColWidth="12" defaultColWidth="12.83203125" defaultRowHeight="21" customHeight="1" outlineLevelCol="1" x14ac:dyDescent="0"/>
  <cols>
    <col min="1" max="1" width="11.33203125" style="38" bestFit="1" customWidth="1"/>
    <col min="2" max="2" width="10.5" style="48" bestFit="1" customWidth="1"/>
    <col min="3" max="3" width="9.6640625" style="48" customWidth="1"/>
    <col min="4" max="4" width="18.5" style="48" customWidth="1" outlineLevel="1"/>
    <col min="5" max="5" width="44.1640625" style="48" bestFit="1" customWidth="1" outlineLevel="1"/>
    <col min="6" max="6" width="10.83203125" style="48" bestFit="1" customWidth="1"/>
    <col min="7" max="7" width="8.33203125" style="48" bestFit="1" customWidth="1" outlineLevel="1"/>
    <col min="8" max="9" width="12.83203125" style="48" outlineLevel="1"/>
    <col min="10" max="10" width="17.6640625" style="48" bestFit="1" customWidth="1" outlineLevel="1"/>
    <col min="11" max="15" width="12.83203125" style="48" outlineLevel="1"/>
    <col min="16" max="16" width="8.33203125" style="44" bestFit="1" customWidth="1"/>
    <col min="17" max="17" width="9.6640625" style="44" customWidth="1"/>
    <col min="18" max="18" width="56.5" style="44" bestFit="1" customWidth="1"/>
    <col min="19" max="16384" width="12.83203125" style="44"/>
  </cols>
  <sheetData>
    <row r="1" spans="1:18" ht="21" customHeight="1">
      <c r="A1" s="38" t="s">
        <v>60</v>
      </c>
      <c r="B1" s="39" t="s">
        <v>61</v>
      </c>
      <c r="C1" s="39" t="s">
        <v>62</v>
      </c>
      <c r="D1" s="40" t="s">
        <v>63</v>
      </c>
      <c r="E1" s="40" t="s">
        <v>64</v>
      </c>
      <c r="F1" s="41" t="s">
        <v>65</v>
      </c>
      <c r="G1" s="42" t="s">
        <v>66</v>
      </c>
      <c r="H1" s="42" t="s">
        <v>68</v>
      </c>
      <c r="I1" s="42" t="s">
        <v>69</v>
      </c>
      <c r="J1" s="42" t="s">
        <v>70</v>
      </c>
      <c r="K1" s="43" t="s">
        <v>71</v>
      </c>
      <c r="L1" s="43" t="s">
        <v>72</v>
      </c>
      <c r="M1" s="42" t="s">
        <v>73</v>
      </c>
      <c r="N1" s="42" t="s">
        <v>74</v>
      </c>
      <c r="O1" s="42" t="s">
        <v>75</v>
      </c>
      <c r="P1" s="40" t="s">
        <v>76</v>
      </c>
      <c r="Q1" s="40" t="s">
        <v>77</v>
      </c>
      <c r="R1" s="40" t="s">
        <v>78</v>
      </c>
    </row>
    <row r="2" spans="1:18" ht="21" customHeight="1">
      <c r="A2" s="38" t="str">
        <f t="shared" ref="A2" si="0">B2&amp;"_"&amp;C2</f>
        <v>49003001_49003050</v>
      </c>
      <c r="B2" s="96">
        <v>49003001</v>
      </c>
      <c r="C2" s="96">
        <v>49003050</v>
      </c>
      <c r="D2" s="45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・・・・・・・・・・？</v>
      </c>
      <c r="E2" s="45" t="str">
        <f ca="1">VLOOKUP($C2,OFFSET(enemy_skills!$A$1,0,0,COUNTA(enemy_skills!$A:$A),MATCH(E$1,enemy_skills!$1:$1,0)-MATCH("enemy_skill_id",enemy_skills!$1:$1,0)+1),MATCH(E$1,enemy_skills!$1:$1,0)-MATCH("enemy_skill_id",enemy_skills!$1:$1,0)+1,FALSE)</f>
        <v>『静雄、お前なぜ私に向かって来るんだ・・・？』</v>
      </c>
      <c r="F2" s="96">
        <v>49003050</v>
      </c>
      <c r="G2" s="47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7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7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7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7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7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7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7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716</v>
      </c>
      <c r="O2" s="47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6" t="s">
        <v>259</v>
      </c>
      <c r="Q2" s="114">
        <v>42454</v>
      </c>
      <c r="R2" s="46"/>
    </row>
    <row r="3" spans="1:18" ht="21" customHeight="1">
      <c r="A3" s="38" t="str">
        <f t="shared" ref="A3" si="1">B3&amp;"_"&amp;C3</f>
        <v>49003001_49003050</v>
      </c>
      <c r="B3" s="96">
        <v>49003001</v>
      </c>
      <c r="C3" s="96">
        <v>49003050</v>
      </c>
      <c r="D3" s="45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・・・・・・・・・・？</v>
      </c>
      <c r="E3" s="45" t="str">
        <f ca="1">VLOOKUP($C3,OFFSET(enemy_skills!$A$1,0,0,COUNTA(enemy_skills!$A:$A),MATCH(E$1,enemy_skills!$1:$1,0)-MATCH("enemy_skill_id",enemy_skills!$1:$1,0)+1),MATCH(E$1,enemy_skills!$1:$1,0)-MATCH("enemy_skill_id",enemy_skills!$1:$1,0)+1,FALSE)</f>
        <v>『静雄、お前なぜ私に向かって来るんだ・・・？』</v>
      </c>
      <c r="F3" s="96">
        <v>49003051</v>
      </c>
      <c r="G3" s="47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7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" s="47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7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7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7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7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7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717</v>
      </c>
      <c r="O3" s="47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104</v>
      </c>
      <c r="P3" s="46" t="s">
        <v>259</v>
      </c>
      <c r="Q3" s="114">
        <v>42454</v>
      </c>
      <c r="R3" s="46"/>
    </row>
    <row r="4" spans="1:18" ht="21" customHeight="1">
      <c r="A4" s="38" t="str">
        <f t="shared" ref="A4" si="2">B4&amp;"_"&amp;C4</f>
        <v>49003001_49003001</v>
      </c>
      <c r="B4" s="96">
        <v>49003001</v>
      </c>
      <c r="C4" s="96">
        <v>49003001</v>
      </c>
      <c r="D4" s="45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・・・・・・・・・・？</v>
      </c>
      <c r="E4" s="45" t="str">
        <f ca="1">VLOOKUP($C4,OFFSET(enemy_skills!$A$1,0,0,COUNTA(enemy_skills!$A:$A),MATCH(E$1,enemy_skills!$1:$1,0)-MATCH("enemy_skill_id",enemy_skills!$1:$1,0)+1),MATCH(E$1,enemy_skills!$1:$1,0)-MATCH("enemy_skill_id",enemy_skills!$1:$1,0)+1,FALSE)</f>
        <v>『静雄、お前なぜ私に向かって来るんだ・・・？』</v>
      </c>
      <c r="F4" s="96">
        <v>49003001</v>
      </c>
      <c r="G4" s="4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7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" s="4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7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7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7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7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7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6" t="s">
        <v>259</v>
      </c>
      <c r="Q4" s="114">
        <v>42454</v>
      </c>
      <c r="R4" s="46"/>
    </row>
    <row r="5" spans="1:18" ht="21" customHeight="1">
      <c r="A5" s="38" t="str">
        <f t="shared" ref="A5:A53" si="3">B5&amp;"_"&amp;C5</f>
        <v>49003001_49003002</v>
      </c>
      <c r="B5" s="96">
        <v>49003001</v>
      </c>
      <c r="C5" s="96">
        <v>49003002</v>
      </c>
      <c r="D5" s="45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・・・・・・・・・・。</v>
      </c>
      <c r="E5" s="45" t="str">
        <f ca="1">VLOOKUP($C5,OFFSET(enemy_skills!$A$1,0,0,COUNTA(enemy_skills!$A:$A),MATCH(E$1,enemy_skills!$1:$1,0)-MATCH("enemy_skill_id",enemy_skills!$1:$1,0)+1),MATCH(E$1,enemy_skills!$1:$1,0)-MATCH("enemy_skill_id",enemy_skills!$1:$1,0)+1,FALSE)</f>
        <v>『お前の心臓を縛ってやる。』</v>
      </c>
      <c r="F5" s="96">
        <v>49003002</v>
      </c>
      <c r="G5" s="47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7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5" s="47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7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7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7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7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" s="47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7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6" t="s">
        <v>259</v>
      </c>
      <c r="Q5" s="114">
        <v>42454</v>
      </c>
      <c r="R5" s="46"/>
    </row>
    <row r="6" spans="1:18" ht="21" customHeight="1">
      <c r="A6" s="38" t="str">
        <f t="shared" si="3"/>
        <v>49003001_49003003</v>
      </c>
      <c r="B6" s="96">
        <v>49003001</v>
      </c>
      <c r="C6" s="96">
        <v>49003003</v>
      </c>
      <c r="D6" s="45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・・・・・・・・・・。</v>
      </c>
      <c r="E6" s="45" t="str">
        <f ca="1">VLOOKUP($C6,OFFSET(enemy_skills!$A$1,0,0,COUNTA(enemy_skills!$A:$A),MATCH(E$1,enemy_skills!$1:$1,0)-MATCH("enemy_skill_id",enemy_skills!$1:$1,0)+1),MATCH(E$1,enemy_skills!$1:$1,0)-MATCH("enemy_skill_id",enemy_skills!$1:$1,0)+1,FALSE)</f>
        <v>『この赤を縛ってやろう。』</v>
      </c>
      <c r="F6" s="96">
        <v>49003003</v>
      </c>
      <c r="G6" s="47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7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6" s="47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7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7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7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7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" s="47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7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6" t="s">
        <v>259</v>
      </c>
      <c r="Q6" s="114">
        <v>42454</v>
      </c>
      <c r="R6" s="46"/>
    </row>
    <row r="7" spans="1:18" ht="21" customHeight="1">
      <c r="A7" s="38" t="str">
        <f t="shared" si="3"/>
        <v>49003001_49003005</v>
      </c>
      <c r="B7" s="96">
        <v>49003001</v>
      </c>
      <c r="C7" s="96">
        <v>49003005</v>
      </c>
      <c r="D7" s="45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・・・・・・・・・・？</v>
      </c>
      <c r="E7" s="45" t="str">
        <f ca="1">VLOOKUP($C7,OFFSET(enemy_skills!$A$1,0,0,COUNTA(enemy_skills!$A:$A),MATCH(E$1,enemy_skills!$1:$1,0)-MATCH("enemy_skill_id",enemy_skills!$1:$1,0)+1),MATCH(E$1,enemy_skills!$1:$1,0)-MATCH("enemy_skill_id",enemy_skills!$1:$1,0)+1,FALSE)</f>
        <v>『緑はいらないだろ？』</v>
      </c>
      <c r="F7" s="96">
        <v>49003005</v>
      </c>
      <c r="G7" s="47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7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7" s="47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7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7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7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7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" s="47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7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6" t="s">
        <v>259</v>
      </c>
      <c r="Q7" s="114">
        <v>42454</v>
      </c>
      <c r="R7" s="46"/>
    </row>
    <row r="8" spans="1:18" ht="21" customHeight="1">
      <c r="A8" s="38" t="str">
        <f t="shared" si="3"/>
        <v>49003001_49003007</v>
      </c>
      <c r="B8" s="96">
        <v>49003001</v>
      </c>
      <c r="C8" s="96">
        <v>49003007</v>
      </c>
      <c r="D8" s="45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・・・・・・・・・・！</v>
      </c>
      <c r="E8" s="45" t="str">
        <f ca="1">VLOOKUP($C8,OFFSET(enemy_skills!$A$1,0,0,COUNTA(enemy_skills!$A:$A),MATCH(E$1,enemy_skills!$1:$1,0)-MATCH("enemy_skill_id",enemy_skills!$1:$1,0)+1),MATCH(E$1,enemy_skills!$1:$1,0)-MATCH("enemy_skill_id",enemy_skills!$1:$1,0)+1,FALSE)</f>
        <v>『この鎌で全員裂いてやる！』</v>
      </c>
      <c r="F8" s="96">
        <v>49003007</v>
      </c>
      <c r="G8" s="47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7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8" s="47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7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7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7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7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" s="47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7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6" t="s">
        <v>259</v>
      </c>
      <c r="Q8" s="114">
        <v>42454</v>
      </c>
      <c r="R8" s="46"/>
    </row>
    <row r="9" spans="1:18" ht="21" customHeight="1">
      <c r="A9" s="38" t="str">
        <f t="shared" si="3"/>
        <v>49003001_49003008</v>
      </c>
      <c r="B9" s="96">
        <v>49003001</v>
      </c>
      <c r="C9" s="96">
        <v>49003008</v>
      </c>
      <c r="D9" s="45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・・・・・・・・・・。</v>
      </c>
      <c r="E9" s="45" t="str">
        <f ca="1">VLOOKUP($C9,OFFSET(enemy_skills!$A$1,0,0,COUNTA(enemy_skills!$A:$A),MATCH(E$1,enemy_skills!$1:$1,0)-MATCH("enemy_skill_id",enemy_skills!$1:$1,0)+1),MATCH(E$1,enemy_skills!$1:$1,0)-MATCH("enemy_skill_id",enemy_skills!$1:$1,0)+1,FALSE)</f>
        <v>『お前だ。』</v>
      </c>
      <c r="F9" s="96">
        <v>49003008</v>
      </c>
      <c r="G9" s="4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7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9" s="4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9" s="47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7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7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" s="47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9" s="46" t="s">
        <v>259</v>
      </c>
      <c r="Q9" s="114">
        <v>42454</v>
      </c>
      <c r="R9" s="46"/>
    </row>
    <row r="10" spans="1:18" s="128" customFormat="1" ht="21" customHeight="1" thickBot="1">
      <c r="A10" s="120" t="str">
        <f t="shared" si="3"/>
        <v>49003001_49003009</v>
      </c>
      <c r="B10" s="121">
        <v>49003001</v>
      </c>
      <c r="C10" s="121">
        <v>49003009</v>
      </c>
      <c r="D10" s="122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・・・・・・・・・・。</v>
      </c>
      <c r="E10" s="122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『私の影に呑まれろ。』</v>
      </c>
      <c r="F10" s="121">
        <v>49003009</v>
      </c>
      <c r="G10" s="125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125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10" s="125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0" s="125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125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125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125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125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125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0" s="126" t="s">
        <v>259</v>
      </c>
      <c r="Q10" s="127">
        <v>42454</v>
      </c>
      <c r="R10" s="126"/>
    </row>
    <row r="11" spans="1:18" ht="21" customHeight="1" thickTop="1">
      <c r="A11" s="38" t="str">
        <f t="shared" si="3"/>
        <v>49003002_49003051</v>
      </c>
      <c r="B11" s="104">
        <v>49003002</v>
      </c>
      <c r="C11" s="104">
        <v>49003051</v>
      </c>
      <c r="D11" s="117" t="str">
        <f ca="1">VLOOKUP($C11,OFFSET(enemy_skills!$A$1,0,0,COUNTA(enemy_skills!$A:$A),MATCH(D$1,enemy_skills!$1:$1,0)-MATCH("enemy_skill_id",enemy_skills!$1:$1,0)+1),MATCH(D$1,enemy_skills!$1:$1,0)-MATCH("enemy_skill_id",enemy_skills!$1:$1,0)+1,FALSE)</f>
        <v>先輩、私をもっと強くしてください。</v>
      </c>
      <c r="E11" s="117" t="str">
        <f ca="1">VLOOKUP($C11,OFFSET(enemy_skills!$A$1,0,0,COUNTA(enemy_skills!$A:$A),MATCH(E$1,enemy_skills!$1:$1,0)-MATCH("enemy_skill_id",enemy_skills!$1:$1,0)+1),MATCH(E$1,enemy_skills!$1:$1,0)-MATCH("enemy_skill_id",enemy_skills!$1:$1,0)+1,FALSE)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11" s="96">
        <v>49003050</v>
      </c>
      <c r="G11" s="116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116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1" s="116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105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105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105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105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105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716</v>
      </c>
      <c r="O11" s="105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118" t="s">
        <v>259</v>
      </c>
      <c r="Q11" s="119">
        <v>42454</v>
      </c>
      <c r="R11" s="118"/>
    </row>
    <row r="12" spans="1:18" ht="21" customHeight="1">
      <c r="A12" s="38" t="str">
        <f t="shared" ref="A12" si="4">B12&amp;"_"&amp;C12</f>
        <v>49003002_49003051</v>
      </c>
      <c r="B12" s="104">
        <v>49003002</v>
      </c>
      <c r="C12" s="104">
        <v>49003051</v>
      </c>
      <c r="D12" s="117" t="str">
        <f ca="1">VLOOKUP($C12,OFFSET(enemy_skills!$A$1,0,0,COUNTA(enemy_skills!$A:$A),MATCH(D$1,enemy_skills!$1:$1,0)-MATCH("enemy_skill_id",enemy_skills!$1:$1,0)+1),MATCH(D$1,enemy_skills!$1:$1,0)-MATCH("enemy_skill_id",enemy_skills!$1:$1,0)+1,FALSE)</f>
        <v>先輩、私をもっと強くしてください。</v>
      </c>
      <c r="E12" s="117" t="str">
        <f ca="1">VLOOKUP($C12,OFFSET(enemy_skills!$A$1,0,0,COUNTA(enemy_skills!$A:$A),MATCH(E$1,enemy_skills!$1:$1,0)-MATCH("enemy_skill_id",enemy_skills!$1:$1,0)+1),MATCH(E$1,enemy_skills!$1:$1,0)-MATCH("enemy_skill_id",enemy_skills!$1:$1,0)+1,FALSE)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12" s="96">
        <v>49003051</v>
      </c>
      <c r="G12" s="116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116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" s="116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105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105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105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105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105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717</v>
      </c>
      <c r="O12" s="105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104</v>
      </c>
      <c r="P12" s="118" t="s">
        <v>259</v>
      </c>
      <c r="Q12" s="119">
        <v>42454</v>
      </c>
      <c r="R12" s="118"/>
    </row>
    <row r="13" spans="1:18" ht="21" customHeight="1" thickBot="1">
      <c r="A13" s="38" t="str">
        <f t="shared" si="3"/>
        <v>49003002_49003010</v>
      </c>
      <c r="B13" s="104">
        <v>49003002</v>
      </c>
      <c r="C13" s="104">
        <v>49003010</v>
      </c>
      <c r="D13" s="117" t="str">
        <f ca="1">VLOOKUP($C13,OFFSET(enemy_skills!$A$1,0,0,COUNTA(enemy_skills!$A:$A),MATCH(D$1,enemy_skills!$1:$1,0)-MATCH("enemy_skill_id",enemy_skills!$1:$1,0)+1),MATCH(D$1,enemy_skills!$1:$1,0)-MATCH("enemy_skill_id",enemy_skills!$1:$1,0)+1,FALSE)</f>
        <v>先輩、私をもっと強くしてください。</v>
      </c>
      <c r="E13" s="117" t="str">
        <f ca="1">VLOOKUP($C13,OFFSET(enemy_skills!$A$1,0,0,COUNTA(enemy_skills!$A:$A),MATCH(E$1,enemy_skills!$1:$1,0)-MATCH("enemy_skill_id",enemy_skills!$1:$1,0)+1),MATCH(E$1,enemy_skills!$1:$1,0)-MATCH("enemy_skill_id",enemy_skills!$1:$1,0)+1,FALSE)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13" s="115">
        <v>49003010</v>
      </c>
      <c r="G13" s="116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116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3" s="116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105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105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105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105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105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105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118" t="s">
        <v>259</v>
      </c>
      <c r="Q13" s="119">
        <v>42454</v>
      </c>
      <c r="R13" s="118"/>
    </row>
    <row r="14" spans="1:18" ht="21" customHeight="1">
      <c r="A14" s="38" t="str">
        <f t="shared" si="3"/>
        <v>49003002_49003011</v>
      </c>
      <c r="B14" s="96">
        <v>49003002</v>
      </c>
      <c r="C14" s="96">
        <v>49003011</v>
      </c>
      <c r="D14" s="45" t="str">
        <f ca="1">VLOOKUP($C14,OFFSET(enemy_skills!$A$1,0,0,COUNTA(enemy_skills!$A:$A),MATCH(D$1,enemy_skills!$1:$1,0)-MATCH("enemy_skill_id",enemy_skills!$1:$1,0)+1),MATCH(D$1,enemy_skills!$1:$1,0)-MATCH("enemy_skill_id",enemy_skills!$1:$1,0)+1,FALSE)</f>
        <v>退屈です。</v>
      </c>
      <c r="E14" s="102" t="str">
        <f ca="1">VLOOKUP($C14,OFFSET(enemy_skills!$A$1,0,0,COUNTA(enemy_skills!$A:$A),MATCH(E$1,enemy_skills!$1:$1,0)-MATCH("enemy_skill_id",enemy_skills!$1:$1,0)+1),MATCH(E$1,enemy_skills!$1:$1,0)-MATCH("enemy_skill_id",enemy_skills!$1:$1,0)+1,FALSE)</f>
        <v>3連続攻撃</v>
      </c>
      <c r="F14" s="106">
        <v>49003011</v>
      </c>
      <c r="G14" s="107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107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4" s="10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14" s="103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7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7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7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7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7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14" s="46" t="s">
        <v>259</v>
      </c>
      <c r="Q14" s="114">
        <v>42454</v>
      </c>
      <c r="R14" s="46"/>
    </row>
    <row r="15" spans="1:18" ht="21" customHeight="1">
      <c r="A15" s="38" t="str">
        <f t="shared" si="3"/>
        <v>49003002_49003012</v>
      </c>
      <c r="B15" s="96">
        <v>49003002</v>
      </c>
      <c r="C15" s="96">
        <v>49003012</v>
      </c>
      <c r="D15" s="45" t="str">
        <f ca="1">VLOOKUP($C15,OFFSET(enemy_skills!$A$1,0,0,COUNTA(enemy_skills!$A:$A),MATCH(D$1,enemy_skills!$1:$1,0)-MATCH("enemy_skill_id",enemy_skills!$1:$1,0)+1),MATCH(D$1,enemy_skills!$1:$1,0)-MATCH("enemy_skill_id",enemy_skills!$1:$1,0)+1,FALSE)</f>
        <v>全員撃破します。</v>
      </c>
      <c r="E15" s="102" t="str">
        <f ca="1">VLOOKUP($C15,OFFSET(enemy_skills!$A$1,0,0,COUNTA(enemy_skills!$A:$A),MATCH(E$1,enemy_skills!$1:$1,0)-MATCH("enemy_skill_id",enemy_skills!$1:$1,0)+1),MATCH(E$1,enemy_skills!$1:$1,0)-MATCH("enemy_skill_id",enemy_skills!$1:$1,0)+1,FALSE)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5" s="109">
        <v>49003012</v>
      </c>
      <c r="G15" s="4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7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5" s="110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5" s="103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7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7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7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5" s="46" t="s">
        <v>259</v>
      </c>
      <c r="Q15" s="114">
        <v>42454</v>
      </c>
      <c r="R15" s="46"/>
    </row>
    <row r="16" spans="1:18" s="128" customFormat="1" ht="21" customHeight="1" thickBot="1">
      <c r="A16" s="120" t="str">
        <f t="shared" si="3"/>
        <v>49003002_49003013</v>
      </c>
      <c r="B16" s="121">
        <v>49003002</v>
      </c>
      <c r="C16" s="121">
        <v>49003013</v>
      </c>
      <c r="D16" s="122" t="str">
        <f ca="1">VLOOKUP($C16,OFFSET(enemy_skills!$A$1,0,0,COUNTA(enemy_skills!$A:$A),MATCH(D$1,enemy_skills!$1:$1,0)-MATCH("enemy_skill_id",enemy_skills!$1:$1,0)+1),MATCH(D$1,enemy_skills!$1:$1,0)-MATCH("enemy_skill_id",enemy_skills!$1:$1,0)+1,FALSE)</f>
        <v>弱小すぎです。</v>
      </c>
      <c r="E16" s="129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6" s="130">
        <v>49003013</v>
      </c>
      <c r="G16" s="125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125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16" s="131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132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125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125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125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125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125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126" t="s">
        <v>259</v>
      </c>
      <c r="Q16" s="127">
        <v>42454</v>
      </c>
      <c r="R16" s="126"/>
    </row>
    <row r="17" spans="1:18" ht="21" customHeight="1" thickTop="1" thickBot="1">
      <c r="A17" s="38" t="str">
        <f t="shared" si="3"/>
        <v>49003003_49003014</v>
      </c>
      <c r="B17" s="104">
        <v>49003003</v>
      </c>
      <c r="C17" s="104">
        <v>49003014</v>
      </c>
      <c r="D17" s="117" t="str">
        <f ca="1">VLOOKUP($C17,OFFSET(enemy_skills!$A$1,0,0,COUNTA(enemy_skills!$A:$A),MATCH(D$1,enemy_skills!$1:$1,0)-MATCH("enemy_skill_id",enemy_skills!$1:$1,0)+1),MATCH(D$1,enemy_skills!$1:$1,0)-MATCH("enemy_skill_id",enemy_skills!$1:$1,0)+1,FALSE)</f>
        <v>危険危険危険危険！</v>
      </c>
      <c r="E17" s="117" t="str">
        <f ca="1">VLOOKUP($C17,OFFSET(enemy_skills!$A$1,0,0,COUNTA(enemy_skills!$A:$A),MATCH(E$1,enemy_skills!$1:$1,0)-MATCH("enemy_skill_id",enemy_skills!$1:$1,0)+1),MATCH(E$1,enemy_skills!$1:$1,0)-MATCH("enemy_skill_id",enemy_skills!$1:$1,0)+1,FALSE)</f>
        <v>攻撃力UP＋先制攻撃</v>
      </c>
      <c r="F17" s="115">
        <v>49003014</v>
      </c>
      <c r="G17" s="116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116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7" s="116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105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105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105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105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105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105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118" t="s">
        <v>259</v>
      </c>
      <c r="Q17" s="119">
        <v>42454</v>
      </c>
      <c r="R17" s="118"/>
    </row>
    <row r="18" spans="1:18" ht="21" customHeight="1">
      <c r="A18" s="38" t="str">
        <f t="shared" si="3"/>
        <v>49003003_49003015</v>
      </c>
      <c r="B18" s="96">
        <v>49003003</v>
      </c>
      <c r="C18" s="96">
        <v>49003015</v>
      </c>
      <c r="D18" s="45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あなたの強さを確かめます。</v>
      </c>
      <c r="E18" s="102" t="str">
        <f ca="1">VLOOKUP($C18,OFFSET(enemy_skills!$A$1,0,0,COUNTA(enemy_skills!$A:$A),MATCH(E$1,enemy_skills!$1:$1,0)-MATCH("enemy_skill_id",enemy_skills!$1:$1,0)+1),MATCH(E$1,enemy_skills!$1:$1,0)-MATCH("enemy_skill_id",enemy_skills!$1:$1,0)+1,FALSE)</f>
        <v>3連続攻撃</v>
      </c>
      <c r="F18" s="106">
        <v>49003015</v>
      </c>
      <c r="G18" s="10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107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8" s="10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18" s="103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7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7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7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7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7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18" s="46" t="s">
        <v>259</v>
      </c>
      <c r="Q18" s="114">
        <v>42454</v>
      </c>
      <c r="R18" s="46"/>
    </row>
    <row r="19" spans="1:18" ht="21" customHeight="1">
      <c r="A19" s="38" t="str">
        <f t="shared" si="3"/>
        <v>49003003_49003016</v>
      </c>
      <c r="B19" s="96">
        <v>49003003</v>
      </c>
      <c r="C19" s="96">
        <v>49003016</v>
      </c>
      <c r="D19" s="45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・・・否定します。</v>
      </c>
      <c r="E19" s="102" t="str">
        <f ca="1">VLOOKUP($C19,OFFSET(enemy_skills!$A$1,0,0,COUNTA(enemy_skills!$A:$A),MATCH(E$1,enemy_skills!$1:$1,0)-MATCH("enemy_skill_id",enemy_skills!$1:$1,0)+1),MATCH(E$1,enemy_skills!$1:$1,0)-MATCH("enemy_skill_id",enemy_skills!$1:$1,0)+1,FALSE)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9" s="109">
        <v>49003016</v>
      </c>
      <c r="G19" s="47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7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9" s="110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9" s="103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7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7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7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7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7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9" s="46" t="s">
        <v>259</v>
      </c>
      <c r="Q19" s="114">
        <v>42454</v>
      </c>
      <c r="R19" s="46"/>
    </row>
    <row r="20" spans="1:18" s="128" customFormat="1" ht="21" customHeight="1" thickBot="1">
      <c r="A20" s="120" t="str">
        <f t="shared" si="3"/>
        <v>49003003_49003017</v>
      </c>
      <c r="B20" s="121">
        <v>49003003</v>
      </c>
      <c r="C20" s="121">
        <v>49003017</v>
      </c>
      <c r="D20" s="122" t="str">
        <f ca="1">VLOOKUP($C20,OFFSET(enemy_skills!$A$1,0,0,COUNTA(enemy_skills!$A:$A),MATCH(D$1,enemy_skills!$1:$1,0)-MATCH("enemy_skill_id",enemy_skills!$1:$1,0)+1),MATCH(D$1,enemy_skills!$1:$1,0)-MATCH("enemy_skill_id",enemy_skills!$1:$1,0)+1,FALSE)</f>
        <v>沈黙してください。</v>
      </c>
      <c r="E20" s="129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0" s="130">
        <v>49003017</v>
      </c>
      <c r="G20" s="125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125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20" s="131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132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125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125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125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125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125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126" t="s">
        <v>259</v>
      </c>
      <c r="Q20" s="127">
        <v>42454</v>
      </c>
      <c r="R20" s="126"/>
    </row>
    <row r="21" spans="1:18" ht="21" customHeight="1" thickTop="1">
      <c r="A21" s="38" t="str">
        <f t="shared" si="3"/>
        <v>49003004_49003052</v>
      </c>
      <c r="B21" s="104">
        <v>49003004</v>
      </c>
      <c r="C21" s="104">
        <v>49003052</v>
      </c>
      <c r="D21" s="117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シズオ、カルシウム不足ネ！</v>
      </c>
      <c r="E21" s="117" t="str">
        <f ca="1">VLOOKUP($C21,OFFSET(enemy_skills!$A$1,0,0,COUNTA(enemy_skills!$A:$A),MATCH(E$1,enemy_skills!$1:$1,0)-MATCH("enemy_skill_id",enemy_skills!$1:$1,0)+1),MATCH(E$1,enemy_skills!$1:$1,0)-MATCH("enemy_skill_id",enemy_skills!$1:$1,0)+1,FALSE)</f>
        <v>1ターン攻撃力0＋ハートパネル生成</v>
      </c>
      <c r="F21" s="96">
        <v>49003050</v>
      </c>
      <c r="G21" s="116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116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1" s="116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105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105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105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105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105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716</v>
      </c>
      <c r="O21" s="105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118" t="s">
        <v>259</v>
      </c>
      <c r="Q21" s="119">
        <v>42454</v>
      </c>
      <c r="R21" s="118"/>
    </row>
    <row r="22" spans="1:18" ht="21" customHeight="1">
      <c r="A22" s="38" t="str">
        <f t="shared" ref="A22" si="5">B22&amp;"_"&amp;C22</f>
        <v>49003004_49003052</v>
      </c>
      <c r="B22" s="104">
        <v>49003004</v>
      </c>
      <c r="C22" s="104">
        <v>49003052</v>
      </c>
      <c r="D22" s="117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シズオ、カルシウム不足ネ！</v>
      </c>
      <c r="E22" s="117" t="str">
        <f ca="1">VLOOKUP($C22,OFFSET(enemy_skills!$A$1,0,0,COUNTA(enemy_skills!$A:$A),MATCH(E$1,enemy_skills!$1:$1,0)-MATCH("enemy_skill_id",enemy_skills!$1:$1,0)+1),MATCH(E$1,enemy_skills!$1:$1,0)-MATCH("enemy_skill_id",enemy_skills!$1:$1,0)+1,FALSE)</f>
        <v>1ターン攻撃力0＋ハートパネル生成</v>
      </c>
      <c r="F22" s="96">
        <v>49003051</v>
      </c>
      <c r="G22" s="116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116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2" s="116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105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105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105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105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105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717</v>
      </c>
      <c r="O22" s="105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104</v>
      </c>
      <c r="P22" s="118" t="s">
        <v>259</v>
      </c>
      <c r="Q22" s="119">
        <v>42454</v>
      </c>
      <c r="R22" s="118"/>
    </row>
    <row r="23" spans="1:18" ht="21" customHeight="1" thickBot="1">
      <c r="A23" s="38" t="str">
        <f t="shared" si="3"/>
        <v>49003004_49003018</v>
      </c>
      <c r="B23" s="104">
        <v>49003004</v>
      </c>
      <c r="C23" s="104">
        <v>49003018</v>
      </c>
      <c r="D23" s="117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シズオ、喧嘩ヨクナイヨ</v>
      </c>
      <c r="E23" s="117" t="str">
        <f ca="1">VLOOKUP($C23,OFFSET(enemy_skills!$A$1,0,0,COUNTA(enemy_skills!$A:$A),MATCH(E$1,enemy_skills!$1:$1,0)-MATCH("enemy_skill_id",enemy_skills!$1:$1,0)+1),MATCH(E$1,enemy_skills!$1:$1,0)-MATCH("enemy_skill_id",enemy_skills!$1:$1,0)+1,FALSE)</f>
        <v>1ターン攻撃力0＋ハートパネル生成</v>
      </c>
      <c r="F23" s="115">
        <v>49003018</v>
      </c>
      <c r="G23" s="116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116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3" s="116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105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105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105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105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105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105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118" t="s">
        <v>259</v>
      </c>
      <c r="Q23" s="119">
        <v>42454</v>
      </c>
      <c r="R23" s="118"/>
    </row>
    <row r="24" spans="1:18" ht="21" customHeight="1">
      <c r="A24" s="38" t="str">
        <f t="shared" si="3"/>
        <v>49003004_49003047</v>
      </c>
      <c r="B24" s="96">
        <v>49003004</v>
      </c>
      <c r="C24" s="96">
        <v>49003047</v>
      </c>
      <c r="D24" s="45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ヘイ！サーモン一丁！</v>
      </c>
      <c r="E24" s="102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サーモンを突き出された！</v>
      </c>
      <c r="F24" s="106">
        <v>49003047</v>
      </c>
      <c r="G24" s="107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107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4" s="10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24" s="103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7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7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7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7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7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24" s="46" t="s">
        <v>259</v>
      </c>
      <c r="Q24" s="114">
        <v>42454</v>
      </c>
      <c r="R24" s="46"/>
    </row>
    <row r="25" spans="1:18" ht="21" customHeight="1">
      <c r="A25" s="38" t="str">
        <f t="shared" ref="A25" si="6">B25&amp;"_"&amp;C25</f>
        <v>49003004_49003048</v>
      </c>
      <c r="B25" s="96">
        <v>49003004</v>
      </c>
      <c r="C25" s="96">
        <v>49003048</v>
      </c>
      <c r="D25" s="45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ヘイ！イクラ一丁！</v>
      </c>
      <c r="E25" s="102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イクラを突き出された！</v>
      </c>
      <c r="F25" s="109">
        <v>49003048</v>
      </c>
      <c r="G25" s="47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7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5" s="110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25" s="103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7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7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7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7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7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25" s="46" t="s">
        <v>259</v>
      </c>
      <c r="Q25" s="114">
        <v>42454</v>
      </c>
      <c r="R25" s="46"/>
    </row>
    <row r="26" spans="1:18" ht="21" customHeight="1">
      <c r="A26" s="38" t="str">
        <f t="shared" ref="A26" si="7">B26&amp;"_"&amp;C26</f>
        <v>49003004_49003049</v>
      </c>
      <c r="B26" s="96">
        <v>49003004</v>
      </c>
      <c r="C26" s="96">
        <v>49003049</v>
      </c>
      <c r="D26" s="45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ヘイ！コハダ一丁！</v>
      </c>
      <c r="E26" s="102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コハダを突き出された！</v>
      </c>
      <c r="F26" s="109">
        <v>49003049</v>
      </c>
      <c r="G26" s="47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7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6" s="110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6" s="103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7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7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7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7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7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6" s="46" t="s">
        <v>259</v>
      </c>
      <c r="Q26" s="114">
        <v>42454</v>
      </c>
      <c r="R26" s="46"/>
    </row>
    <row r="27" spans="1:18" ht="21" customHeight="1" thickBot="1">
      <c r="A27" s="38" t="str">
        <f t="shared" si="3"/>
        <v>49003004_49003020</v>
      </c>
      <c r="B27" s="96">
        <v>49003004</v>
      </c>
      <c r="C27" s="96">
        <v>49003020</v>
      </c>
      <c r="D27" s="45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ヘイ！大トロ一丁！</v>
      </c>
      <c r="E27" s="102" t="str">
        <f ca="1">VLOOKUP($C27,OFFSET(enemy_skills!$A$1,0,0,COUNTA(enemy_skills!$A:$A),MATCH(E$1,enemy_skills!$1:$1,0)-MATCH("enemy_skill_id",enemy_skills!$1:$1,0)+1),MATCH(E$1,enemy_skills!$1:$1,0)-MATCH("enemy_skill_id",enemy_skills!$1:$1,0)+1,FALSE)</f>
        <v>大トロを突き出された！</v>
      </c>
      <c r="F27" s="111">
        <v>49003020</v>
      </c>
      <c r="G27" s="112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112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7" s="113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103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7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7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7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7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7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6" t="s">
        <v>259</v>
      </c>
      <c r="Q27" s="114">
        <v>42454</v>
      </c>
      <c r="R27" s="46"/>
    </row>
    <row r="28" spans="1:18" s="128" customFormat="1" ht="21" customHeight="1" thickBot="1">
      <c r="A28" s="120" t="str">
        <f t="shared" si="3"/>
        <v>49003004_49003021</v>
      </c>
      <c r="B28" s="121">
        <v>49003004</v>
      </c>
      <c r="C28" s="121">
        <v>49003021</v>
      </c>
      <c r="D28" s="122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ハラショー！！</v>
      </c>
      <c r="E28" s="122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8" s="123">
        <v>49003021</v>
      </c>
      <c r="G28" s="124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124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28" s="124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28" s="125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125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125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8" s="125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125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125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28" s="126" t="s">
        <v>259</v>
      </c>
      <c r="Q28" s="127">
        <v>42454</v>
      </c>
      <c r="R28" s="126"/>
    </row>
    <row r="29" spans="1:18" ht="21" customHeight="1" thickTop="1" thickBot="1">
      <c r="A29" s="38" t="str">
        <f t="shared" si="3"/>
        <v>49003005_49003022</v>
      </c>
      <c r="B29" s="104">
        <v>49003005</v>
      </c>
      <c r="C29" s="104">
        <v>49003022</v>
      </c>
      <c r="D29" s="117" t="str">
        <f ca="1">VLOOKUP($C29,OFFSET(enemy_skills!$A$1,0,0,COUNTA(enemy_skills!$A:$A),MATCH(D$1,enemy_skills!$1:$1,0)-MATCH("enemy_skill_id",enemy_skills!$1:$1,0)+1),MATCH(D$1,enemy_skills!$1:$1,0)-MATCH("enemy_skill_id",enemy_skills!$1:$1,0)+1,FALSE)</f>
        <v>暴力ヨクナイヨ！</v>
      </c>
      <c r="E29" s="117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このバトル中は常にカウンター状態！[効果小]</v>
      </c>
      <c r="F29" s="115">
        <v>49003022</v>
      </c>
      <c r="G29" s="116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116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9" s="116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105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105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105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105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105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105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118" t="s">
        <v>259</v>
      </c>
      <c r="Q29" s="119">
        <v>42454</v>
      </c>
      <c r="R29" s="118"/>
    </row>
    <row r="30" spans="1:18" ht="21" customHeight="1">
      <c r="A30" s="38" t="str">
        <f t="shared" si="3"/>
        <v>49003005_49003023</v>
      </c>
      <c r="B30" s="96">
        <v>49003005</v>
      </c>
      <c r="C30" s="96">
        <v>49003023</v>
      </c>
      <c r="D30" s="45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サービスしとくヨ</v>
      </c>
      <c r="E30" s="102" t="str">
        <f ca="1">VLOOKUP($C30,OFFSET(enemy_skills!$A$1,0,0,COUNTA(enemy_skills!$A:$A),MATCH(E$1,enemy_skills!$1:$1,0)-MATCH("enemy_skill_id",enemy_skills!$1:$1,0)+1),MATCH(E$1,enemy_skills!$1:$1,0)-MATCH("enemy_skill_id",enemy_skills!$1:$1,0)+1,FALSE)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0" s="106">
        <v>49003023</v>
      </c>
      <c r="G30" s="107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107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0" s="10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0" s="103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7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7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7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7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7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0" s="46" t="s">
        <v>259</v>
      </c>
      <c r="Q30" s="114">
        <v>42454</v>
      </c>
      <c r="R30" s="46"/>
    </row>
    <row r="31" spans="1:18" ht="21" customHeight="1" thickBot="1">
      <c r="A31" s="38" t="str">
        <f t="shared" si="3"/>
        <v>49003005_49003024</v>
      </c>
      <c r="B31" s="96">
        <v>49003005</v>
      </c>
      <c r="C31" s="96">
        <v>49003024</v>
      </c>
      <c r="D31" s="45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もうイッチョいくヨ！</v>
      </c>
      <c r="E31" s="102" t="str">
        <f ca="1">VLOOKUP($C31,OFFSET(enemy_skills!$A$1,0,0,COUNTA(enemy_skills!$A:$A),MATCH(E$1,enemy_skills!$1:$1,0)-MATCH("enemy_skill_id",enemy_skills!$1:$1,0)+1),MATCH(E$1,enemy_skills!$1:$1,0)-MATCH("enemy_skill_id",enemy_skills!$1:$1,0)+1,FALSE)</f>
        <v>あがりを突き出された！</v>
      </c>
      <c r="F31" s="111">
        <v>49003024</v>
      </c>
      <c r="G31" s="112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112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31" s="113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103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7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7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7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7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7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6" t="s">
        <v>259</v>
      </c>
      <c r="Q31" s="114">
        <v>42454</v>
      </c>
      <c r="R31" s="46"/>
    </row>
    <row r="32" spans="1:18" ht="21" customHeight="1">
      <c r="A32" s="38" t="str">
        <f t="shared" si="3"/>
        <v>49003005_49003025</v>
      </c>
      <c r="B32" s="96">
        <v>49003005</v>
      </c>
      <c r="C32" s="96">
        <v>49003025</v>
      </c>
      <c r="D32" s="45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お腹空いてるカ？</v>
      </c>
      <c r="E32" s="45" t="str">
        <f ca="1">VLOOKUP($C32,OFFSET(enemy_skills!$A$1,0,0,COUNTA(enemy_skills!$A:$A),MATCH(E$1,enemy_skills!$1:$1,0)-MATCH("enemy_skill_id",enemy_skills!$1:$1,0)+1),MATCH(E$1,enemy_skills!$1:$1,0)-MATCH("enemy_skill_id",enemy_skills!$1:$1,0)+1,FALSE)</f>
        <v>攻撃力UP＋2ターン後に強力な攻撃！</v>
      </c>
      <c r="F32" s="104">
        <v>49003025</v>
      </c>
      <c r="G32" s="105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105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32" s="105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7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2" s="47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7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7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7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7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6" t="s">
        <v>259</v>
      </c>
      <c r="Q32" s="114">
        <v>42454</v>
      </c>
      <c r="R32" s="46"/>
    </row>
    <row r="33" spans="1:18" s="128" customFormat="1" ht="21" customHeight="1" thickBot="1">
      <c r="A33" s="120" t="str">
        <f t="shared" si="3"/>
        <v>49003005_49003026</v>
      </c>
      <c r="B33" s="121">
        <v>49003005</v>
      </c>
      <c r="C33" s="121">
        <v>49003026</v>
      </c>
      <c r="D33" s="122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お腹一杯ナッタ？</v>
      </c>
      <c r="E33" s="122" t="str">
        <f ca="1">VLOOKUP($C33,OFFSET(enemy_skills!$A$1,0,0,COUNTA(enemy_skills!$A:$A),MATCH(E$1,enemy_skills!$1:$1,0)-MATCH("enemy_skill_id",enemy_skills!$1:$1,0)+1),MATCH(E$1,enemy_skills!$1:$1,0)-MATCH("enemy_skill_id",enemy_skills!$1:$1,0)+1,FALSE)</f>
        <v>強力な攻撃！</v>
      </c>
      <c r="F33" s="121">
        <v>49003026</v>
      </c>
      <c r="G33" s="125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125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33" s="125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125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3" s="125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125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125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125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125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126" t="s">
        <v>259</v>
      </c>
      <c r="Q33" s="127">
        <v>42454</v>
      </c>
      <c r="R33" s="126"/>
    </row>
    <row r="34" spans="1:18" ht="21" customHeight="1" thickTop="1">
      <c r="A34" s="38" t="str">
        <f t="shared" si="3"/>
        <v>49003006_49003053</v>
      </c>
      <c r="B34" s="104">
        <v>49003006</v>
      </c>
      <c r="C34" s="104">
        <v>49003053</v>
      </c>
      <c r="D34" s="117" t="str">
        <f ca="1">VLOOKUP($C34,OFFSET(enemy_skills!$A$1,0,0,COUNTA(enemy_skills!$A:$A),MATCH(D$1,enemy_skills!$1:$1,0)-MATCH("enemy_skill_id",enemy_skills!$1:$1,0)+1),MATCH(D$1,enemy_skills!$1:$1,0)-MATCH("enemy_skill_id",enemy_skills!$1:$1,0)+1,FALSE)</f>
        <v>困ったなぁ、見逃してよシズちゃん</v>
      </c>
      <c r="E34" s="117" t="str">
        <f ca="1">VLOOKUP($C34,OFFSET(enemy_skills!$A$1,0,0,COUNTA(enemy_skills!$A:$A),MATCH(E$1,enemy_skills!$1:$1,0)-MATCH("enemy_skill_id",enemy_skills!$1:$1,0)+1),MATCH(E$1,enemy_skills!$1:$1,0)-MATCH("enemy_skill_id",enemy_skills!$1:$1,0)+1,FALSE)</f>
        <v>種族ヒューマン以外に大ダメージ！</v>
      </c>
      <c r="F34" s="96">
        <v>49003050</v>
      </c>
      <c r="G34" s="116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116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4" s="116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105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105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105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105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105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716</v>
      </c>
      <c r="O34" s="105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118" t="s">
        <v>259</v>
      </c>
      <c r="Q34" s="119">
        <v>42454</v>
      </c>
      <c r="R34" s="118" t="s">
        <v>260</v>
      </c>
    </row>
    <row r="35" spans="1:18" ht="21" customHeight="1">
      <c r="A35" s="38" t="str">
        <f t="shared" ref="A35" si="8">B35&amp;"_"&amp;C35</f>
        <v>49003006_49003053</v>
      </c>
      <c r="B35" s="104">
        <v>49003006</v>
      </c>
      <c r="C35" s="104">
        <v>49003053</v>
      </c>
      <c r="D35" s="117" t="str">
        <f ca="1">VLOOKUP($C35,OFFSET(enemy_skills!$A$1,0,0,COUNTA(enemy_skills!$A:$A),MATCH(D$1,enemy_skills!$1:$1,0)-MATCH("enemy_skill_id",enemy_skills!$1:$1,0)+1),MATCH(D$1,enemy_skills!$1:$1,0)-MATCH("enemy_skill_id",enemy_skills!$1:$1,0)+1,FALSE)</f>
        <v>困ったなぁ、見逃してよシズちゃん</v>
      </c>
      <c r="E35" s="117" t="str">
        <f ca="1">VLOOKUP($C35,OFFSET(enemy_skills!$A$1,0,0,COUNTA(enemy_skills!$A:$A),MATCH(E$1,enemy_skills!$1:$1,0)-MATCH("enemy_skill_id",enemy_skills!$1:$1,0)+1),MATCH(E$1,enemy_skills!$1:$1,0)-MATCH("enemy_skill_id",enemy_skills!$1:$1,0)+1,FALSE)</f>
        <v>種族ヒューマン以外に大ダメージ！</v>
      </c>
      <c r="F35" s="96">
        <v>49003051</v>
      </c>
      <c r="G35" s="116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116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5" s="116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105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105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105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105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105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717</v>
      </c>
      <c r="O35" s="105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104</v>
      </c>
      <c r="P35" s="118" t="s">
        <v>259</v>
      </c>
      <c r="Q35" s="119">
        <v>42454</v>
      </c>
      <c r="R35" s="118" t="s">
        <v>260</v>
      </c>
    </row>
    <row r="36" spans="1:18" ht="21" customHeight="1" thickBot="1">
      <c r="A36" s="38" t="str">
        <f t="shared" si="3"/>
        <v>49003006_49003028</v>
      </c>
      <c r="B36" s="104">
        <v>49003006</v>
      </c>
      <c r="C36" s="104">
        <v>49003028</v>
      </c>
      <c r="D36" s="117" t="str">
        <f ca="1">VLOOKUP($C36,OFFSET(enemy_skills!$A$1,0,0,COUNTA(enemy_skills!$A:$A),MATCH(D$1,enemy_skills!$1:$1,0)-MATCH("enemy_skill_id",enemy_skills!$1:$1,0)+1),MATCH(D$1,enemy_skills!$1:$1,0)-MATCH("enemy_skill_id",enemy_skills!$1:$1,0)+1,FALSE)</f>
        <v>困ったなぁ、見逃してよシズちゃん</v>
      </c>
      <c r="E36" s="117" t="str">
        <f ca="1">VLOOKUP($C36,OFFSET(enemy_skills!$A$1,0,0,COUNTA(enemy_skills!$A:$A),MATCH(E$1,enemy_skills!$1:$1,0)-MATCH("enemy_skill_id",enemy_skills!$1:$1,0)+1),MATCH(E$1,enemy_skills!$1:$1,0)-MATCH("enemy_skill_id",enemy_skills!$1:$1,0)+1,FALSE)</f>
        <v>種族ヒューマン以外に大ダメージ！</v>
      </c>
      <c r="F36" s="115">
        <v>49003028</v>
      </c>
      <c r="G36" s="116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116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6" s="116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105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105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105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105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105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105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118" t="s">
        <v>259</v>
      </c>
      <c r="Q36" s="119">
        <v>42454</v>
      </c>
      <c r="R36" s="118" t="s">
        <v>260</v>
      </c>
    </row>
    <row r="37" spans="1:18" ht="21" customHeight="1">
      <c r="A37" s="38" t="str">
        <f t="shared" si="3"/>
        <v>49003006_49003029</v>
      </c>
      <c r="B37" s="96">
        <v>49003006</v>
      </c>
      <c r="C37" s="96">
        <v>49003029</v>
      </c>
      <c r="D37" s="45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こんなのでやられないよね？</v>
      </c>
      <c r="E37" s="102" t="str">
        <f ca="1">VLOOKUP($C37,OFFSET(enemy_skills!$A$1,0,0,COUNTA(enemy_skills!$A:$A),MATCH(E$1,enemy_skills!$1:$1,0)-MATCH("enemy_skill_id",enemy_skills!$1:$1,0)+1),MATCH(E$1,enemy_skills!$1:$1,0)-MATCH("enemy_skill_id",enemy_skills!$1:$1,0)+1,FALSE)</f>
        <v>楽しそうだ</v>
      </c>
      <c r="F37" s="106">
        <v>49003029</v>
      </c>
      <c r="G37" s="107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107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37" s="10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103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7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7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7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7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7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6" t="s">
        <v>259</v>
      </c>
      <c r="Q37" s="114">
        <v>42454</v>
      </c>
      <c r="R37" s="118" t="s">
        <v>260</v>
      </c>
    </row>
    <row r="38" spans="1:18" ht="21" customHeight="1">
      <c r="A38" s="38" t="str">
        <f t="shared" si="3"/>
        <v>49003006_49003031</v>
      </c>
      <c r="B38" s="96">
        <v>49003006</v>
      </c>
      <c r="C38" s="96">
        <v>49003031</v>
      </c>
      <c r="D38" s="45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どーぞお好きに回復すれば？</v>
      </c>
      <c r="E38" s="102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ハートパネル以外をプロテクト</v>
      </c>
      <c r="F38" s="109">
        <v>49003030</v>
      </c>
      <c r="G38" s="47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7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8" s="110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8" s="103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7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7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7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7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7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8" s="46" t="s">
        <v>259</v>
      </c>
      <c r="Q38" s="114">
        <v>42454</v>
      </c>
      <c r="R38" s="118" t="s">
        <v>260</v>
      </c>
    </row>
    <row r="39" spans="1:18" ht="21" customHeight="1">
      <c r="A39" s="38" t="str">
        <f>B39&amp;"_"&amp;C39</f>
        <v>49003006_49003030</v>
      </c>
      <c r="B39" s="96">
        <v>49003006</v>
      </c>
      <c r="C39" s="96">
        <v>49003030</v>
      </c>
      <c r="D39" s="45" t="str">
        <f ca="1">VLOOKUP($C39,OFFSET(enemy_skills!$A$1,0,0,COUNTA(enemy_skills!$A:$A),MATCH(D$1,enemy_skills!$1:$1,0)-MATCH("enemy_skill_id",enemy_skills!$1:$1,0)+1),MATCH(D$1,enemy_skills!$1:$1,0)-MATCH("enemy_skill_id",enemy_skills!$1:$1,0)+1,FALSE)</f>
        <v>要らないからあげるよ</v>
      </c>
      <c r="E39" s="102" t="str">
        <f ca="1">VLOOKUP($C39,OFFSET(enemy_skills!$A$1,0,0,COUNTA(enemy_skills!$A:$A),MATCH(E$1,enemy_skills!$1:$1,0)-MATCH("enemy_skill_id",enemy_skills!$1:$1,0)+1),MATCH(E$1,enemy_skills!$1:$1,0)-MATCH("enemy_skill_id",enemy_skills!$1:$1,0)+1,FALSE)</f>
        <v>ランダムで時限式ダメージパネルに変換</v>
      </c>
      <c r="F39" s="109">
        <v>49003031</v>
      </c>
      <c r="G39" s="47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7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9" s="110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39" s="103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7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7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7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7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7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39" s="46" t="s">
        <v>259</v>
      </c>
      <c r="Q39" s="114">
        <v>42454</v>
      </c>
      <c r="R39" s="118" t="s">
        <v>260</v>
      </c>
    </row>
    <row r="40" spans="1:18" s="128" customFormat="1" ht="21" customHeight="1" thickBot="1">
      <c r="A40" s="120" t="str">
        <f t="shared" si="3"/>
        <v>49003006_49003032</v>
      </c>
      <c r="B40" s="121">
        <v>49003006</v>
      </c>
      <c r="C40" s="121">
        <v>49003032</v>
      </c>
      <c r="D40" s="122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アハハハハハハハ！！！</v>
      </c>
      <c r="E40" s="129" t="str">
        <f ca="1">VLOOKUP($C40,OFFSET(enemy_skills!$A$1,0,0,COUNTA(enemy_skills!$A:$A),MATCH(E$1,enemy_skills!$1:$1,0)-MATCH("enemy_skill_id",enemy_skills!$1:$1,0)+1),MATCH(E$1,enemy_skills!$1:$1,0)-MATCH("enemy_skill_id",enemy_skills!$1:$1,0)+1,FALSE)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40" s="130">
        <v>49003032</v>
      </c>
      <c r="G40" s="125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125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0" s="131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40" s="132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125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125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125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125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125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40" s="126" t="s">
        <v>259</v>
      </c>
      <c r="Q40" s="127">
        <v>42454</v>
      </c>
      <c r="R40" s="126" t="s">
        <v>260</v>
      </c>
    </row>
    <row r="41" spans="1:18" ht="21" customHeight="1" thickTop="1" thickBot="1">
      <c r="A41" s="38" t="str">
        <f t="shared" si="3"/>
        <v>49003007_49003033</v>
      </c>
      <c r="B41" s="104">
        <v>49003007</v>
      </c>
      <c r="C41" s="104">
        <v>49003033</v>
      </c>
      <c r="D41" s="117" t="str">
        <f ca="1">VLOOKUP($C41,OFFSET(enemy_skills!$A$1,0,0,COUNTA(enemy_skills!$A:$A),MATCH(D$1,enemy_skills!$1:$1,0)-MATCH("enemy_skill_id",enemy_skills!$1:$1,0)+1),MATCH(D$1,enemy_skills!$1:$1,0)-MATCH("enemy_skill_id",enemy_skills!$1:$1,0)+1,FALSE)</f>
        <v>相変わらず馬鹿力だね〜、シズちゃん</v>
      </c>
      <c r="E41" s="117" t="str">
        <f ca="1">VLOOKUP($C41,OFFSET(enemy_skills!$A$1,0,0,COUNTA(enemy_skills!$A:$A),MATCH(E$1,enemy_skills!$1:$1,0)-MATCH("enemy_skill_id",enemy_skills!$1:$1,0)+1),MATCH(E$1,enemy_skills!$1:$1,0)-MATCH("enemy_skill_id",enemy_skills!$1:$1,0)+1,FALSE)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41" s="115">
        <v>49003033</v>
      </c>
      <c r="G41" s="116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116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1" s="116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105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105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105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105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105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105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118" t="s">
        <v>259</v>
      </c>
      <c r="Q41" s="119">
        <v>42454</v>
      </c>
      <c r="R41" s="118" t="s">
        <v>261</v>
      </c>
    </row>
    <row r="42" spans="1:18" ht="21" customHeight="1">
      <c r="A42" s="38" t="str">
        <f t="shared" si="3"/>
        <v>49003007_49003034</v>
      </c>
      <c r="B42" s="96">
        <v>49003007</v>
      </c>
      <c r="C42" s="96">
        <v>49003034</v>
      </c>
      <c r="D42" s="45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うーん、微妙！</v>
      </c>
      <c r="E42" s="102" t="str">
        <f ca="1">VLOOKUP($C42,OFFSET(enemy_skills!$A$1,0,0,COUNTA(enemy_skills!$A:$A),MATCH(E$1,enemy_skills!$1:$1,0)-MATCH("enemy_skill_id",enemy_skills!$1:$1,0)+1),MATCH(E$1,enemy_skills!$1:$1,0)-MATCH("enemy_skill_id",enemy_skills!$1:$1,0)+1,FALSE)</f>
        <v>鼻で笑っている！</v>
      </c>
      <c r="F42" s="106">
        <v>49003034</v>
      </c>
      <c r="G42" s="107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107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42" s="10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103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7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7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7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7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7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6" t="s">
        <v>259</v>
      </c>
      <c r="Q42" s="114">
        <v>42454</v>
      </c>
      <c r="R42" s="46"/>
    </row>
    <row r="43" spans="1:18" ht="21" customHeight="1">
      <c r="A43" s="38" t="str">
        <f>B43&amp;"_"&amp;C43</f>
        <v>49003007_49003035</v>
      </c>
      <c r="B43" s="96">
        <v>49003007</v>
      </c>
      <c r="C43" s="96">
        <v>49003035</v>
      </c>
      <c r="D43" s="45" t="str">
        <f ca="1">VLOOKUP($C43,OFFSET(enemy_skills!$A$1,0,0,COUNTA(enemy_skills!$A:$A),MATCH(D$1,enemy_skills!$1:$1,0)-MATCH("enemy_skill_id",enemy_skills!$1:$1,0)+1),MATCH(D$1,enemy_skills!$1:$1,0)-MATCH("enemy_skill_id",enemy_skills!$1:$1,0)+1,FALSE)</f>
        <v>良くないねぇ実に良くない</v>
      </c>
      <c r="E43" s="102" t="str">
        <f ca="1">VLOOKUP($C43,OFFSET(enemy_skills!$A$1,0,0,COUNTA(enemy_skills!$A:$A),MATCH(E$1,enemy_skills!$1:$1,0)-MATCH("enemy_skill_id",enemy_skills!$1:$1,0)+1),MATCH(E$1,enemy_skills!$1:$1,0)-MATCH("enemy_skill_id",enemy_skills!$1:$1,0)+1,FALSE)</f>
        <v>ランダムでお邪魔パネルに変換</v>
      </c>
      <c r="F43" s="109">
        <v>49003035</v>
      </c>
      <c r="G43" s="47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7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43" s="110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3" s="103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7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7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47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7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7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3" s="46" t="s">
        <v>259</v>
      </c>
      <c r="Q43" s="114">
        <v>42454</v>
      </c>
      <c r="R43" s="46"/>
    </row>
    <row r="44" spans="1:18" ht="21" customHeight="1">
      <c r="A44" s="38" t="str">
        <f t="shared" ref="A44" si="9">B44&amp;"_"&amp;C44</f>
        <v>49003007_49003036</v>
      </c>
      <c r="B44" s="96">
        <v>49003007</v>
      </c>
      <c r="C44" s="96">
        <v>49003036</v>
      </c>
      <c r="D44" s="45" t="str">
        <f ca="1">VLOOKUP($C44,OFFSET(enemy_skills!$A$1,0,0,COUNTA(enemy_skills!$A:$A),MATCH(D$1,enemy_skills!$1:$1,0)-MATCH("enemy_skill_id",enemy_skills!$1:$1,0)+1),MATCH(D$1,enemy_skills!$1:$1,0)-MATCH("enemy_skill_id",enemy_skills!$1:$1,0)+1,FALSE)</f>
        <v>手加減してあげるよ</v>
      </c>
      <c r="E44" s="102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ハート以外プロテクト</v>
      </c>
      <c r="F44" s="109">
        <v>49003036</v>
      </c>
      <c r="G44" s="47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7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4" s="110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44" s="103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7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7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47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7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7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44" s="46" t="s">
        <v>259</v>
      </c>
      <c r="Q44" s="114">
        <v>42454</v>
      </c>
      <c r="R44" s="46"/>
    </row>
    <row r="45" spans="1:18" ht="21" customHeight="1" thickBot="1">
      <c r="A45" s="38" t="str">
        <f t="shared" si="3"/>
        <v>49003007_49003037</v>
      </c>
      <c r="B45" s="96">
        <v>49003007</v>
      </c>
      <c r="C45" s="96">
        <v>49003037</v>
      </c>
      <c r="D45" s="45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いいねいいねぇ！</v>
      </c>
      <c r="E45" s="102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クリティカル</v>
      </c>
      <c r="F45" s="111">
        <v>49003037</v>
      </c>
      <c r="G45" s="112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112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5" s="113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45" s="103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7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7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47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7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7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45" s="46" t="s">
        <v>259</v>
      </c>
      <c r="Q45" s="114">
        <v>42454</v>
      </c>
      <c r="R45" s="46"/>
    </row>
    <row r="46" spans="1:18" s="128" customFormat="1" ht="21" customHeight="1" thickBot="1">
      <c r="A46" s="120" t="str">
        <f t="shared" si="3"/>
        <v>49003007_49003038</v>
      </c>
      <c r="B46" s="121">
        <v>49003007</v>
      </c>
      <c r="C46" s="121">
        <v>49003038</v>
      </c>
      <c r="D46" s="122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はいっ王手</v>
      </c>
      <c r="E46" s="122" t="str">
        <f ca="1">VLOOKUP($C46,OFFSET(enemy_skills!$A$1,0,0,COUNTA(enemy_skills!$A:$A),MATCH(E$1,enemy_skills!$1:$1,0)-MATCH("enemy_skill_id",enemy_skills!$1:$1,0)+1),MATCH(E$1,enemy_skills!$1:$1,0)-MATCH("enemy_skill_id",enemy_skills!$1:$1,0)+1,FALSE)</f>
        <v>お邪魔パネル＆時限式ダメージパネルに_x000D_大量変換！</v>
      </c>
      <c r="F46" s="123">
        <v>49003038</v>
      </c>
      <c r="G46" s="124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124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46" s="124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125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46" s="125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125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125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6" s="125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125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126" t="s">
        <v>259</v>
      </c>
      <c r="Q46" s="127">
        <v>42454</v>
      </c>
      <c r="R46" s="126"/>
    </row>
    <row r="47" spans="1:18" ht="21" customHeight="1" thickTop="1" thickBot="1">
      <c r="A47" s="38" t="str">
        <f t="shared" si="3"/>
        <v>49003008_49003039</v>
      </c>
      <c r="B47" s="104">
        <v>49003008</v>
      </c>
      <c r="C47" s="104">
        <v>49003039</v>
      </c>
      <c r="D47" s="117" t="str">
        <f ca="1">VLOOKUP($C47,OFFSET(enemy_skills!$A$1,0,0,COUNTA(enemy_skills!$A:$A),MATCH(D$1,enemy_skills!$1:$1,0)-MATCH("enemy_skill_id",enemy_skills!$1:$1,0)+1),MATCH(D$1,enemy_skills!$1:$1,0)-MATCH("enemy_skill_id",enemy_skills!$1:$1,0)+1,FALSE)</f>
        <v>君に罪をなすりつけた事、_x000D_まだ怒ってるのかな？</v>
      </c>
      <c r="E47" s="117" t="str">
        <f ca="1">VLOOKUP($C47,OFFSET(enemy_skills!$A$1,0,0,COUNTA(enemy_skills!$A:$A),MATCH(E$1,enemy_skills!$1:$1,0)-MATCH("enemy_skill_id",enemy_skills!$1:$1,0)+1),MATCH(E$1,enemy_skills!$1:$1,0)-MATCH("enemy_skill_id",enemy_skills!$1:$1,0)+1,FALSE)</f>
        <v>状態異常無効＋フィーバーゲージ減少！</v>
      </c>
      <c r="F47" s="115">
        <v>49003039</v>
      </c>
      <c r="G47" s="116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116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7" s="116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105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105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105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105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105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105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118" t="s">
        <v>259</v>
      </c>
      <c r="Q47" s="119">
        <v>42454</v>
      </c>
      <c r="R47" s="118"/>
    </row>
    <row r="48" spans="1:18" ht="21" customHeight="1">
      <c r="A48" s="38" t="str">
        <f t="shared" si="3"/>
        <v>49003008_49003040</v>
      </c>
      <c r="B48" s="96">
        <v>49003008</v>
      </c>
      <c r="C48" s="96">
        <v>49003040</v>
      </c>
      <c r="D48" s="45" t="str">
        <f ca="1">VLOOKUP($C48,OFFSET(enemy_skills!$A$1,0,0,COUNTA(enemy_skills!$A:$A),MATCH(D$1,enemy_skills!$1:$1,0)-MATCH("enemy_skill_id",enemy_skills!$1:$1,0)+1),MATCH(D$1,enemy_skills!$1:$1,0)-MATCH("enemy_skill_id",enemy_skills!$1:$1,0)+1,FALSE)</f>
        <v>痛いかな？痛いよね〜</v>
      </c>
      <c r="E48" s="102" t="str">
        <f ca="1">VLOOKUP($C48,OFFSET(enemy_skills!$A$1,0,0,COUNTA(enemy_skills!$A:$A),MATCH(E$1,enemy_skills!$1:$1,0)-MATCH("enemy_skill_id",enemy_skills!$1:$1,0)+1),MATCH(E$1,enemy_skills!$1:$1,0)-MATCH("enemy_skill_id",enemy_skills!$1:$1,0)+1,FALSE)</f>
        <v>嘲笑している！</v>
      </c>
      <c r="F48" s="106">
        <v>49003040</v>
      </c>
      <c r="G48" s="107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107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8" s="10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103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7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7" t="str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" s="47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7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7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6" t="s">
        <v>259</v>
      </c>
      <c r="Q48" s="114">
        <v>42454</v>
      </c>
      <c r="R48" s="46"/>
    </row>
    <row r="49" spans="1:18" ht="21" customHeight="1">
      <c r="A49" s="38" t="str">
        <f t="shared" si="3"/>
        <v>49003008_49003041</v>
      </c>
      <c r="B49" s="96">
        <v>49003008</v>
      </c>
      <c r="C49" s="96">
        <v>49003041</v>
      </c>
      <c r="D49" s="45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ご苦労様だねぇ</v>
      </c>
      <c r="E49" s="102" t="str">
        <f ca="1">VLOOKUP($C49,OFFSET(enemy_skills!$A$1,0,0,COUNTA(enemy_skills!$A:$A),MATCH(E$1,enemy_skills!$1:$1,0)-MATCH("enemy_skill_id",enemy_skills!$1:$1,0)+1),MATCH(E$1,enemy_skills!$1:$1,0)-MATCH("enemy_skill_id",enemy_skills!$1:$1,0)+1,FALSE)</f>
        <v>ランダムでお邪魔パネルに変換</v>
      </c>
      <c r="F49" s="109">
        <v>49003041</v>
      </c>
      <c r="G49" s="47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7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49" s="110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9" s="103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7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7" t="str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9" s="47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7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7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9" s="46" t="s">
        <v>259</v>
      </c>
      <c r="Q49" s="114">
        <v>42454</v>
      </c>
      <c r="R49" s="46"/>
    </row>
    <row r="50" spans="1:18" ht="21" customHeight="1">
      <c r="A50" s="38" t="str">
        <f t="shared" si="3"/>
        <v>49003008_49003042</v>
      </c>
      <c r="B50" s="96">
        <v>49003008</v>
      </c>
      <c r="C50" s="96">
        <v>49003042</v>
      </c>
      <c r="D50" s="45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まぁ頑張ってよ</v>
      </c>
      <c r="E50" s="102" t="str">
        <f ca="1">VLOOKUP($C50,OFFSET(enemy_skills!$A$1,0,0,COUNTA(enemy_skills!$A:$A),MATCH(E$1,enemy_skills!$1:$1,0)-MATCH("enemy_skill_id",enemy_skills!$1:$1,0)+1),MATCH(E$1,enemy_skills!$1:$1,0)-MATCH("enemy_skill_id",enemy_skills!$1:$1,0)+1,FALSE)</f>
        <v>ランダムで時限式ダメージパネルに変換</v>
      </c>
      <c r="F50" s="109">
        <v>49003042</v>
      </c>
      <c r="G50" s="47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7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50" s="110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50" s="103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7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7" t="str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0" s="47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7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7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50" s="46" t="s">
        <v>259</v>
      </c>
      <c r="Q50" s="114">
        <v>42454</v>
      </c>
      <c r="R50" s="46"/>
    </row>
    <row r="51" spans="1:18" ht="21" customHeight="1">
      <c r="A51" s="38" t="str">
        <f t="shared" si="3"/>
        <v>49003008_49003044</v>
      </c>
      <c r="B51" s="96">
        <v>49003008</v>
      </c>
      <c r="C51" s="96">
        <v>49003044</v>
      </c>
      <c r="D51" s="45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はい、パーンッ！！！</v>
      </c>
      <c r="E51" s="102" t="str">
        <f ca="1">VLOOKUP($C51,OFFSET(enemy_skills!$A$1,0,0,COUNTA(enemy_skills!$A:$A),MATCH(E$1,enemy_skills!$1:$1,0)-MATCH("enemy_skill_id",enemy_skills!$1:$1,0)+1),MATCH(E$1,enemy_skills!$1:$1,0)-MATCH("enemy_skill_id",enemy_skills!$1:$1,0)+1,FALSE)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51" s="109">
        <v>49003043</v>
      </c>
      <c r="G51" s="47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7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1" s="110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51" s="103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7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7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47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7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7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51" s="46" t="s">
        <v>259</v>
      </c>
      <c r="Q51" s="114">
        <v>42454</v>
      </c>
      <c r="R51" s="46"/>
    </row>
    <row r="52" spans="1:18" ht="21" customHeight="1" thickBot="1">
      <c r="A52" s="38" t="str">
        <f>B52&amp;"_"&amp;C52</f>
        <v>49003008_49003043</v>
      </c>
      <c r="B52" s="96">
        <v>49003008</v>
      </c>
      <c r="C52" s="96">
        <v>49003043</v>
      </c>
      <c r="D52" s="45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まったく、やだなぁ</v>
      </c>
      <c r="E52" s="102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ハートパネル以外をプロテクト</v>
      </c>
      <c r="F52" s="111">
        <v>49003044</v>
      </c>
      <c r="G52" s="112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112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2" s="113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52" s="103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7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7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5</v>
      </c>
      <c r="M52" s="47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7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7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52" s="46" t="s">
        <v>259</v>
      </c>
      <c r="Q52" s="114">
        <v>42454</v>
      </c>
      <c r="R52" s="46"/>
    </row>
    <row r="53" spans="1:18" ht="21" customHeight="1">
      <c r="A53" s="38" t="str">
        <f t="shared" si="3"/>
        <v>49003008_49003045</v>
      </c>
      <c r="B53" s="96">
        <v>49003008</v>
      </c>
      <c r="C53" s="96">
        <v>49003045</v>
      </c>
      <c r="D53" s="45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いいねぇ実にいい！！！</v>
      </c>
      <c r="E53" s="45" t="str">
        <f ca="1">VLOOKUP($C53,OFFSET(enemy_skills!$A$1,0,0,COUNTA(enemy_skills!$A:$A),MATCH(E$1,enemy_skills!$1:$1,0)-MATCH("enemy_skill_id",enemy_skills!$1:$1,0)+1),MATCH(E$1,enemy_skills!$1:$1,0)-MATCH("enemy_skill_id",enemy_skills!$1:$1,0)+1,FALSE)</f>
        <v>種族ヒューマン以外に大ダメージ！</v>
      </c>
      <c r="F53" s="104">
        <v>49003045</v>
      </c>
      <c r="G53" s="105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105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53" s="105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7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3" s="47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7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7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7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7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6" t="s">
        <v>259</v>
      </c>
      <c r="Q53" s="114">
        <v>42454</v>
      </c>
      <c r="R53" s="46"/>
    </row>
    <row r="54" spans="1:18" ht="21" customHeight="1">
      <c r="A54" s="38" t="str">
        <f t="shared" ref="A54" si="10">B54&amp;"_"&amp;C54</f>
        <v>49003008_49003046</v>
      </c>
      <c r="B54" s="96">
        <v>49003008</v>
      </c>
      <c r="C54" s="96">
        <v>49003046</v>
      </c>
      <c r="D54" s="45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まったく…単細胞の癖に_x000D_どうしてあんなに鋭いんだろうねぇ</v>
      </c>
      <c r="E54" s="45" t="str">
        <f ca="1">VLOOKUP($C54,OFFSET(enemy_skills!$A$1,0,0,COUNTA(enemy_skills!$A:$A),MATCH(E$1,enemy_skills!$1:$1,0)-MATCH("enemy_skill_id",enemy_skills!$1:$1,0)+1),MATCH(E$1,enemy_skills!$1:$1,0)-MATCH("enemy_skill_id",enemy_skills!$1:$1,0)+1,FALSE)</f>
        <v>これだから俺はｼｽﾞちゃんのこと、大嫌いなんだよ</v>
      </c>
      <c r="F54" s="96">
        <v>49003046</v>
      </c>
      <c r="G54" s="47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7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54" s="47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7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7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7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4" s="47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7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4" s="47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6" t="s">
        <v>259</v>
      </c>
      <c r="Q54" s="114">
        <v>42454</v>
      </c>
      <c r="R54" s="46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AB50"/>
  <sheetViews>
    <sheetView showGridLines="0" tabSelected="1" zoomScale="125" zoomScaleNormal="125" zoomScalePageLayoutView="125" workbookViewId="0">
      <pane ySplit="1" topLeftCell="A2" activePane="bottomLeft" state="frozenSplit"/>
      <selection pane="bottomLeft" activeCell="B3" sqref="B3"/>
    </sheetView>
  </sheetViews>
  <sheetFormatPr baseColWidth="12" defaultColWidth="12.83203125" defaultRowHeight="21" customHeight="1" outlineLevelCol="1" x14ac:dyDescent="0"/>
  <cols>
    <col min="1" max="1" width="12.83203125" style="48"/>
    <col min="2" max="2" width="67.1640625" style="48" customWidth="1"/>
    <col min="3" max="4" width="12.83203125" style="48"/>
    <col min="5" max="5" width="23.6640625" style="48" bestFit="1" customWidth="1"/>
    <col min="6" max="6" width="44.1640625" style="48" bestFit="1" customWidth="1"/>
    <col min="7" max="7" width="52" style="48" hidden="1" customWidth="1" outlineLevel="1"/>
    <col min="8" max="8" width="18.33203125" style="48" hidden="1" customWidth="1" outlineLevel="1"/>
    <col min="9" max="11" width="18.6640625" style="48" hidden="1" customWidth="1" outlineLevel="1"/>
    <col min="12" max="12" width="23.6640625" style="48" customWidth="1" collapsed="1"/>
    <col min="13" max="18" width="23.6640625" style="48" hidden="1" customWidth="1" outlineLevel="1"/>
    <col min="19" max="19" width="23.6640625" style="48" customWidth="1" collapsed="1"/>
    <col min="20" max="24" width="23.6640625" style="48" hidden="1" customWidth="1" outlineLevel="1"/>
    <col min="25" max="25" width="23.6640625" style="48" customWidth="1" collapsed="1"/>
    <col min="26" max="27" width="12.83203125" style="48"/>
    <col min="28" max="28" width="44.5" style="48" customWidth="1"/>
    <col min="29" max="16384" width="12.83203125" style="48"/>
  </cols>
  <sheetData>
    <row r="1" spans="1:28" ht="21" customHeight="1">
      <c r="A1" s="39" t="s">
        <v>79</v>
      </c>
      <c r="B1" s="39" t="s">
        <v>80</v>
      </c>
      <c r="C1" s="39" t="s">
        <v>81</v>
      </c>
      <c r="D1" s="39" t="s">
        <v>125</v>
      </c>
      <c r="E1" s="39" t="s">
        <v>82</v>
      </c>
      <c r="F1" s="39" t="s">
        <v>83</v>
      </c>
      <c r="G1" s="40" t="s">
        <v>131</v>
      </c>
      <c r="H1" s="40" t="s">
        <v>137</v>
      </c>
      <c r="I1" s="40" t="s">
        <v>139</v>
      </c>
      <c r="J1" s="40" t="s">
        <v>138</v>
      </c>
      <c r="K1" s="40" t="s">
        <v>140</v>
      </c>
      <c r="L1" s="40" t="s">
        <v>132</v>
      </c>
      <c r="M1" s="40" t="s">
        <v>130</v>
      </c>
      <c r="N1" s="40" t="s">
        <v>133</v>
      </c>
      <c r="O1" s="40" t="s">
        <v>141</v>
      </c>
      <c r="P1" s="40" t="s">
        <v>142</v>
      </c>
      <c r="Q1" s="40" t="s">
        <v>143</v>
      </c>
      <c r="R1" s="40" t="s">
        <v>144</v>
      </c>
      <c r="S1" s="40" t="s">
        <v>134</v>
      </c>
      <c r="T1" s="40" t="s">
        <v>135</v>
      </c>
      <c r="U1" s="40" t="s">
        <v>145</v>
      </c>
      <c r="V1" s="40" t="s">
        <v>146</v>
      </c>
      <c r="W1" s="40" t="s">
        <v>147</v>
      </c>
      <c r="X1" s="40" t="s">
        <v>148</v>
      </c>
      <c r="Y1" s="40" t="s">
        <v>136</v>
      </c>
      <c r="Z1" s="40" t="s">
        <v>76</v>
      </c>
      <c r="AA1" s="40" t="s">
        <v>77</v>
      </c>
      <c r="AB1" s="40" t="s">
        <v>78</v>
      </c>
    </row>
    <row r="2" spans="1:28" ht="21" customHeight="1">
      <c r="A2" s="96">
        <v>49003001</v>
      </c>
      <c r="B2" s="46" t="s">
        <v>363</v>
      </c>
      <c r="C2" s="49">
        <v>1</v>
      </c>
      <c r="D2" s="49" t="s">
        <v>126</v>
      </c>
      <c r="E2" s="50" t="s">
        <v>343</v>
      </c>
      <c r="F2" s="50" t="s">
        <v>356</v>
      </c>
      <c r="G2" s="61" t="str">
        <f>IFERROR(LEFT(B2,FIND("],",B2)),B2)</f>
        <v>[effect:dark, target:unit_all, turn:1, animation:enemy_dark]</v>
      </c>
      <c r="H2" s="61">
        <f>FIND("effect:",G2)+7</f>
        <v>9</v>
      </c>
      <c r="I2" s="61">
        <f>IFERROR(FIND(",",G2),LEN(G2))</f>
        <v>13</v>
      </c>
      <c r="J2" s="61">
        <f>FIND("target:",G2)+7</f>
        <v>22</v>
      </c>
      <c r="K2" s="61">
        <f>FIND(",",G2,I2+1)</f>
        <v>30</v>
      </c>
      <c r="L2" s="61" t="str">
        <f>IFERROR(VLOOKUP(MID(G2,J2,K2-J2),[6]skilldef!$C:$D,2,FALSE),"-") &amp; " / " &amp; IFERROR(VLOOKUP(MID(G2,H2,I2-H2),[6]skilldef!$A:$B,2,FALSE),"-")</f>
        <v>味方全体に / 暗黒</v>
      </c>
      <c r="M2" s="61" t="str">
        <f>IFERROR(RIGHT(B2,LEN(B2)-FIND("],",B2)-1),"none")</f>
        <v>[effect:enemy_message, val1:3, val2:3]</v>
      </c>
      <c r="N2" s="47" t="str">
        <f>IFERROR(LEFT(M2,FIND("],",M2)+S10),M2)</f>
        <v>[effect:enemy_message, val1:3, val2:3]</v>
      </c>
      <c r="O2" s="61">
        <f>FIND("effect:",N2)+7</f>
        <v>9</v>
      </c>
      <c r="P2" s="61">
        <f>IFERROR(FIND(",",N2),LEN(N2))</f>
        <v>22</v>
      </c>
      <c r="Q2" s="61" t="e">
        <f>FIND("target:",N2)+7</f>
        <v>#VALUE!</v>
      </c>
      <c r="R2" s="61">
        <f>FIND(",",N2,P2+1)</f>
        <v>30</v>
      </c>
      <c r="S2" s="61" t="str">
        <f>IFERROR(VLOOKUP(MID(N2,Q2,R2-Q2),[6]skilldef!$C:$D,2,FALSE),"-") &amp; " / " &amp; IFERROR(VLOOKUP(MID(N2,O2,P2-O2),[6]skilldef!$A:$B,2,FALSE),"-")</f>
        <v>- / -</v>
      </c>
      <c r="T2" s="47" t="str">
        <f>IFERROR(RIGHT(M2,LEN(M2)-FIND("],",M2)-1),"none")</f>
        <v>none</v>
      </c>
      <c r="U2" s="61" t="e">
        <f>FIND("effect:",T2)+7</f>
        <v>#VALUE!</v>
      </c>
      <c r="V2" s="61">
        <f>IFERROR(FIND(",",T2),LEN(T2))</f>
        <v>4</v>
      </c>
      <c r="W2" s="61" t="e">
        <f>FIND("target:",T2)+7</f>
        <v>#VALUE!</v>
      </c>
      <c r="X2" s="61" t="e">
        <f>FIND(",",T2,V2+1)</f>
        <v>#VALUE!</v>
      </c>
      <c r="Y2" s="61" t="str">
        <f>IFERROR(VLOOKUP(MID(T2,W2,X2-W2),[6]skilldef!$C:$D,2,FALSE),"-") &amp; " / " &amp; IFERROR(VLOOKUP(MID(T2,U2,V2-U2),[6]skilldef!$A:$B,2,FALSE),"-")</f>
        <v>- / -</v>
      </c>
      <c r="Z2" s="49"/>
      <c r="AA2" s="51"/>
      <c r="AB2" s="49"/>
    </row>
    <row r="3" spans="1:28" ht="21" customHeight="1">
      <c r="A3" s="96">
        <v>49003002</v>
      </c>
      <c r="B3" s="46" t="s">
        <v>218</v>
      </c>
      <c r="C3" s="49">
        <v>1</v>
      </c>
      <c r="D3" s="49" t="s">
        <v>126</v>
      </c>
      <c r="E3" s="50" t="s">
        <v>344</v>
      </c>
      <c r="F3" s="50" t="s">
        <v>305</v>
      </c>
      <c r="G3" s="61" t="str">
        <f t="shared" ref="G3:G4" si="0">IFERROR(LEFT(B3,FIND("],",B3)),B3)</f>
        <v>[effect:dis_heart, turn:1, animation:enemy_dis_heart]</v>
      </c>
      <c r="H3" s="61">
        <f t="shared" ref="H3:H8" si="1">FIND("effect:",G3)+7</f>
        <v>9</v>
      </c>
      <c r="I3" s="61">
        <f t="shared" ref="I3:I4" si="2">IFERROR(FIND(",",G3),LEN(G3))</f>
        <v>18</v>
      </c>
      <c r="J3" s="61" t="e">
        <f t="shared" ref="J3:J4" si="3">FIND("target:",G3)+7</f>
        <v>#VALUE!</v>
      </c>
      <c r="K3" s="61">
        <f t="shared" ref="K3:K4" si="4">FIND(",",G3,I3+1)</f>
        <v>26</v>
      </c>
      <c r="L3" s="61" t="str">
        <f>IFERROR(VLOOKUP(MID(G3,J3,K3-J3),[6]skilldef!$C:$D,2,FALSE),"-") &amp; " / " &amp; IFERROR(VLOOKUP(MID(G3,H3,I3-H3),[6]skilldef!$A:$B,2,FALSE),"-")</f>
        <v>- / ディスハート</v>
      </c>
      <c r="M3" s="61" t="str">
        <f t="shared" ref="M3:M4" si="5">IFERROR(RIGHT(B3,LEN(B3)-FIND("],",B3)-1),"none")</f>
        <v>none</v>
      </c>
      <c r="N3" s="47" t="str">
        <f>IFERROR(LEFT(M3,FIND("],",M3)+S11),M3)</f>
        <v>none</v>
      </c>
      <c r="O3" s="61" t="e">
        <f t="shared" ref="O3:O8" si="6">FIND("effect:",N3)+7</f>
        <v>#VALUE!</v>
      </c>
      <c r="P3" s="61">
        <f t="shared" ref="P3:P4" si="7">IFERROR(FIND(",",N3),LEN(N3))</f>
        <v>4</v>
      </c>
      <c r="Q3" s="61" t="e">
        <f t="shared" ref="Q3:Q4" si="8">FIND("target:",N3)+7</f>
        <v>#VALUE!</v>
      </c>
      <c r="R3" s="61" t="e">
        <f t="shared" ref="R3:R4" si="9">FIND(",",N3,P3+1)</f>
        <v>#VALUE!</v>
      </c>
      <c r="S3" s="61" t="str">
        <f>IFERROR(VLOOKUP(MID(N3,Q3,R3-Q3),[6]skilldef!$C:$D,2,FALSE),"-") &amp; " / " &amp; IFERROR(VLOOKUP(MID(N3,O3,P3-O3),[6]skilldef!$A:$B,2,FALSE),"-")</f>
        <v>- / -</v>
      </c>
      <c r="T3" s="47" t="str">
        <f t="shared" ref="T3:T4" si="10">IFERROR(RIGHT(M3,LEN(M3)-FIND("],",M3)-1),"none")</f>
        <v>none</v>
      </c>
      <c r="U3" s="61" t="e">
        <f t="shared" ref="U3:U8" si="11">FIND("effect:",T3)+7</f>
        <v>#VALUE!</v>
      </c>
      <c r="V3" s="61">
        <f t="shared" ref="V3:V4" si="12">IFERROR(FIND(",",T3),LEN(T3))</f>
        <v>4</v>
      </c>
      <c r="W3" s="61" t="e">
        <f t="shared" ref="W3:W4" si="13">FIND("target:",T3)+7</f>
        <v>#VALUE!</v>
      </c>
      <c r="X3" s="61" t="e">
        <f t="shared" ref="X3:X4" si="14">FIND(",",T3,V3+1)</f>
        <v>#VALUE!</v>
      </c>
      <c r="Y3" s="61" t="str">
        <f>IFERROR(VLOOKUP(MID(T3,W3,X3-W3),[6]skilldef!$C:$D,2,FALSE),"-") &amp; " / " &amp; IFERROR(VLOOKUP(MID(T3,U3,V3-U3),[6]skilldef!$A:$B,2,FALSE),"-")</f>
        <v>- / -</v>
      </c>
      <c r="Z3" s="49"/>
      <c r="AA3" s="51"/>
      <c r="AB3" s="49"/>
    </row>
    <row r="4" spans="1:28" ht="21" customHeight="1">
      <c r="A4" s="96">
        <v>49003003</v>
      </c>
      <c r="B4" s="46" t="s">
        <v>250</v>
      </c>
      <c r="C4" s="49">
        <v>1</v>
      </c>
      <c r="D4" s="49" t="s">
        <v>126</v>
      </c>
      <c r="E4" s="50" t="s">
        <v>345</v>
      </c>
      <c r="F4" s="138" t="s">
        <v>337</v>
      </c>
      <c r="G4" s="61" t="str">
        <f t="shared" si="0"/>
        <v>[effect:dis_panel, target:block_red, turn:1]</v>
      </c>
      <c r="H4" s="61">
        <f t="shared" si="1"/>
        <v>9</v>
      </c>
      <c r="I4" s="61">
        <f t="shared" si="2"/>
        <v>18</v>
      </c>
      <c r="J4" s="61">
        <f t="shared" si="3"/>
        <v>27</v>
      </c>
      <c r="K4" s="61">
        <f t="shared" si="4"/>
        <v>36</v>
      </c>
      <c r="L4" s="61" t="str">
        <f>IFERROR(VLOOKUP(MID(G4,J4,K4-J4),[6]skilldef!$C:$D,2,FALSE),"-") &amp; " / " &amp; IFERROR(VLOOKUP(MID(G4,H4,I4-H4),[6]skilldef!$A:$B,2,FALSE),"-")</f>
        <v>赤パネルを / ディスパネル</v>
      </c>
      <c r="M4" s="61" t="str">
        <f t="shared" si="5"/>
        <v>[effect:dis_panel, target:block_yellow, turn:1]</v>
      </c>
      <c r="N4" s="47" t="str">
        <f>IFERROR(LEFT(M4,FIND("],",M4)+S12),M4)</f>
        <v>[effect:dis_panel, target:block_yellow, turn:1]</v>
      </c>
      <c r="O4" s="61">
        <f t="shared" si="6"/>
        <v>9</v>
      </c>
      <c r="P4" s="61">
        <f t="shared" si="7"/>
        <v>18</v>
      </c>
      <c r="Q4" s="61">
        <f t="shared" si="8"/>
        <v>27</v>
      </c>
      <c r="R4" s="61">
        <f t="shared" si="9"/>
        <v>39</v>
      </c>
      <c r="S4" s="61" t="str">
        <f>IFERROR(VLOOKUP(MID(N4,Q4,R4-Q4),[6]skilldef!$C:$D,2,FALSE),"-") &amp; " / " &amp; IFERROR(VLOOKUP(MID(N4,O4,P4-O4),[6]skilldef!$A:$B,2,FALSE),"-")</f>
        <v>黄色パネルを / ディスパネル</v>
      </c>
      <c r="T4" s="47" t="str">
        <f t="shared" si="10"/>
        <v>none</v>
      </c>
      <c r="U4" s="61" t="e">
        <f t="shared" si="11"/>
        <v>#VALUE!</v>
      </c>
      <c r="V4" s="61">
        <f t="shared" si="12"/>
        <v>4</v>
      </c>
      <c r="W4" s="61" t="e">
        <f t="shared" si="13"/>
        <v>#VALUE!</v>
      </c>
      <c r="X4" s="61" t="e">
        <f t="shared" si="14"/>
        <v>#VALUE!</v>
      </c>
      <c r="Y4" s="61" t="str">
        <f>IFERROR(VLOOKUP(MID(T4,W4,X4-W4),[6]skilldef!$C:$D,2,FALSE),"-") &amp; " / " &amp; IFERROR(VLOOKUP(MID(T4,U4,V4-U4),[6]skilldef!$A:$B,2,FALSE),"-")</f>
        <v>- / -</v>
      </c>
      <c r="Z4" s="49"/>
      <c r="AA4" s="51"/>
      <c r="AB4" s="49"/>
    </row>
    <row r="5" spans="1:28" ht="21" customHeight="1">
      <c r="A5" s="96">
        <v>49003005</v>
      </c>
      <c r="B5" s="46" t="s">
        <v>251</v>
      </c>
      <c r="C5" s="49">
        <v>1</v>
      </c>
      <c r="D5" s="49" t="s">
        <v>126</v>
      </c>
      <c r="E5" s="50" t="s">
        <v>346</v>
      </c>
      <c r="F5" s="138" t="s">
        <v>338</v>
      </c>
      <c r="G5" s="61" t="str">
        <f t="shared" ref="G5" si="15">IFERROR(LEFT(B5,FIND("],",B5)),B5)</f>
        <v>[effect:dis_panel, target:block_green, turn:1]</v>
      </c>
      <c r="H5" s="61">
        <f t="shared" si="1"/>
        <v>9</v>
      </c>
      <c r="I5" s="61">
        <f t="shared" ref="I5" si="16">IFERROR(FIND(",",G5),LEN(G5))</f>
        <v>18</v>
      </c>
      <c r="J5" s="61">
        <f t="shared" ref="J5" si="17">FIND("target:",G5)+7</f>
        <v>27</v>
      </c>
      <c r="K5" s="61">
        <f t="shared" ref="K5" si="18">FIND(",",G5,I5+1)</f>
        <v>38</v>
      </c>
      <c r="L5" s="61" t="str">
        <f>IFERROR(VLOOKUP(MID(G5,J5,K5-J5),[6]skilldef!$C:$D,2,FALSE),"-") &amp; " / " &amp; IFERROR(VLOOKUP(MID(G5,H5,I5-H5),[6]skilldef!$A:$B,2,FALSE),"-")</f>
        <v>緑パネルを / ディスパネル</v>
      </c>
      <c r="M5" s="61" t="str">
        <f t="shared" ref="M5" si="19">IFERROR(RIGHT(B5,LEN(B5)-FIND("],",B5)-1),"none")</f>
        <v>[effect:dis_panel, target:block_blue, turn:1]</v>
      </c>
      <c r="N5" s="47" t="str">
        <f>IFERROR(LEFT(M5,FIND("],",M5)+S14),M5)</f>
        <v>[effect:dis_panel, target:block_blue, turn:1]</v>
      </c>
      <c r="O5" s="61">
        <f t="shared" si="6"/>
        <v>9</v>
      </c>
      <c r="P5" s="61">
        <f t="shared" ref="P5" si="20">IFERROR(FIND(",",N5),LEN(N5))</f>
        <v>18</v>
      </c>
      <c r="Q5" s="61">
        <f t="shared" ref="Q5" si="21">FIND("target:",N5)+7</f>
        <v>27</v>
      </c>
      <c r="R5" s="61">
        <f t="shared" ref="R5" si="22">FIND(",",N5,P5+1)</f>
        <v>37</v>
      </c>
      <c r="S5" s="61" t="str">
        <f>IFERROR(VLOOKUP(MID(N5,Q5,R5-Q5),[6]skilldef!$C:$D,2,FALSE),"-") &amp; " / " &amp; IFERROR(VLOOKUP(MID(N5,O5,P5-O5),[6]skilldef!$A:$B,2,FALSE),"-")</f>
        <v>青パネルを / ディスパネル</v>
      </c>
      <c r="T5" s="47" t="str">
        <f t="shared" ref="T5" si="23">IFERROR(RIGHT(M5,LEN(M5)-FIND("],",M5)-1),"none")</f>
        <v>none</v>
      </c>
      <c r="U5" s="61" t="e">
        <f t="shared" si="11"/>
        <v>#VALUE!</v>
      </c>
      <c r="V5" s="61">
        <f t="shared" ref="V5" si="24">IFERROR(FIND(",",T5),LEN(T5))</f>
        <v>4</v>
      </c>
      <c r="W5" s="61" t="e">
        <f t="shared" ref="W5" si="25">FIND("target:",T5)+7</f>
        <v>#VALUE!</v>
      </c>
      <c r="X5" s="61" t="e">
        <f t="shared" ref="X5" si="26">FIND(",",T5,V5+1)</f>
        <v>#VALUE!</v>
      </c>
      <c r="Y5" s="61" t="str">
        <f>IFERROR(VLOOKUP(MID(T5,W5,X5-W5),[6]skilldef!$C:$D,2,FALSE),"-") &amp; " / " &amp; IFERROR(VLOOKUP(MID(T5,U5,V5-U5),[6]skilldef!$A:$B,2,FALSE),"-")</f>
        <v>- / -</v>
      </c>
      <c r="Z5" s="49"/>
      <c r="AA5" s="51"/>
      <c r="AB5" s="49"/>
    </row>
    <row r="6" spans="1:28" ht="21" customHeight="1">
      <c r="A6" s="96">
        <v>49003007</v>
      </c>
      <c r="B6" s="46" t="s">
        <v>232</v>
      </c>
      <c r="C6" s="49">
        <v>1</v>
      </c>
      <c r="D6" s="49" t="s">
        <v>126</v>
      </c>
      <c r="E6" s="50" t="s">
        <v>347</v>
      </c>
      <c r="F6" s="138" t="s">
        <v>339</v>
      </c>
      <c r="G6" s="61" t="str">
        <f t="shared" ref="G6:G7" si="27">IFERROR(LEFT(B6,FIND("],",B6)),B6)</f>
        <v>[effect:spread, val:0.25]</v>
      </c>
      <c r="H6" s="61">
        <f t="shared" si="1"/>
        <v>9</v>
      </c>
      <c r="I6" s="61">
        <f t="shared" ref="I6:I7" si="28">IFERROR(FIND(",",G6),LEN(G6))</f>
        <v>15</v>
      </c>
      <c r="J6" s="61" t="e">
        <f t="shared" ref="J6:J7" si="29">FIND("target:",G6)+7</f>
        <v>#VALUE!</v>
      </c>
      <c r="K6" s="61" t="e">
        <f t="shared" ref="K6:K7" si="30">FIND(",",G6,I6+1)</f>
        <v>#VALUE!</v>
      </c>
      <c r="L6" s="61" t="str">
        <f>IFERROR(VLOOKUP(MID(G6,J6,K6-J6),[6]skilldef!$C:$D,2,FALSE),"-") &amp; " / " &amp; IFERROR(VLOOKUP(MID(G6,H6,I6-H6),[6]skilldef!$A:$B,2,FALSE),"-")</f>
        <v>- / 全体攻撃</v>
      </c>
      <c r="M6" s="61" t="str">
        <f t="shared" ref="M6:M7" si="31">IFERROR(RIGHT(B6,LEN(B6)-FIND("],",B6)-1),"none")</f>
        <v>none</v>
      </c>
      <c r="N6" s="47" t="str">
        <f t="shared" ref="N6:N7" si="32">IFERROR(LEFT(M6,FIND("],",M6)+S16),M6)</f>
        <v>none</v>
      </c>
      <c r="O6" s="61" t="e">
        <f t="shared" si="6"/>
        <v>#VALUE!</v>
      </c>
      <c r="P6" s="61">
        <f t="shared" ref="P6:P7" si="33">IFERROR(FIND(",",N6),LEN(N6))</f>
        <v>4</v>
      </c>
      <c r="Q6" s="61" t="e">
        <f t="shared" ref="Q6:Q7" si="34">FIND("target:",N6)+7</f>
        <v>#VALUE!</v>
      </c>
      <c r="R6" s="61" t="e">
        <f t="shared" ref="R6:R7" si="35">FIND(",",N6,P6+1)</f>
        <v>#VALUE!</v>
      </c>
      <c r="S6" s="61" t="str">
        <f>IFERROR(VLOOKUP(MID(N6,Q6,R6-Q6),[6]skilldef!$C:$D,2,FALSE),"-") &amp; " / " &amp; IFERROR(VLOOKUP(MID(N6,O6,P6-O6),[6]skilldef!$A:$B,2,FALSE),"-")</f>
        <v>- / -</v>
      </c>
      <c r="T6" s="47" t="str">
        <f t="shared" ref="T6:T7" si="36">IFERROR(RIGHT(M6,LEN(M6)-FIND("],",M6)-1),"none")</f>
        <v>none</v>
      </c>
      <c r="U6" s="61" t="e">
        <f t="shared" si="11"/>
        <v>#VALUE!</v>
      </c>
      <c r="V6" s="61">
        <f t="shared" ref="V6:V7" si="37">IFERROR(FIND(",",T6),LEN(T6))</f>
        <v>4</v>
      </c>
      <c r="W6" s="61" t="e">
        <f t="shared" ref="W6:W7" si="38">FIND("target:",T6)+7</f>
        <v>#VALUE!</v>
      </c>
      <c r="X6" s="61" t="e">
        <f t="shared" ref="X6:X7" si="39">FIND(",",T6,V6+1)</f>
        <v>#VALUE!</v>
      </c>
      <c r="Y6" s="61" t="str">
        <f>IFERROR(VLOOKUP(MID(T6,W6,X6-W6),[6]skilldef!$C:$D,2,FALSE),"-") &amp; " / " &amp; IFERROR(VLOOKUP(MID(T6,U6,V6-U6),[6]skilldef!$A:$B,2,FALSE),"-")</f>
        <v>- / -</v>
      </c>
      <c r="Z6" s="49"/>
      <c r="AA6" s="51"/>
      <c r="AB6" s="49"/>
    </row>
    <row r="7" spans="1:28" ht="21" customHeight="1">
      <c r="A7" s="96">
        <v>49003008</v>
      </c>
      <c r="B7" s="46" t="s">
        <v>233</v>
      </c>
      <c r="C7" s="49">
        <v>1</v>
      </c>
      <c r="D7" s="49" t="s">
        <v>126</v>
      </c>
      <c r="E7" s="50" t="s">
        <v>345</v>
      </c>
      <c r="F7" s="50" t="s">
        <v>306</v>
      </c>
      <c r="G7" s="61" t="str">
        <f t="shared" si="27"/>
        <v>[effect:hungup, target:unit_one, turn:1, rate:1, animation:hungup01]</v>
      </c>
      <c r="H7" s="61">
        <f t="shared" si="1"/>
        <v>9</v>
      </c>
      <c r="I7" s="61">
        <f t="shared" si="28"/>
        <v>15</v>
      </c>
      <c r="J7" s="61">
        <f t="shared" si="29"/>
        <v>24</v>
      </c>
      <c r="K7" s="61">
        <f t="shared" si="30"/>
        <v>32</v>
      </c>
      <c r="L7" s="61" t="str">
        <f>IFERROR(VLOOKUP(MID(G7,J7,K7-J7),[6]skilldef!$C:$D,2,FALSE),"-") &amp; " / " &amp; IFERROR(VLOOKUP(MID(G7,H7,I7-H7),[6]skilldef!$A:$B,2,FALSE),"-")</f>
        <v>味方単体に / ハングアップ</v>
      </c>
      <c r="M7" s="61" t="str">
        <f t="shared" si="31"/>
        <v>[effect:rush, count:1, val:0.8]</v>
      </c>
      <c r="N7" s="47" t="str">
        <f t="shared" si="32"/>
        <v>[effect:rush, count:1, val:0.8]</v>
      </c>
      <c r="O7" s="61">
        <f t="shared" si="6"/>
        <v>9</v>
      </c>
      <c r="P7" s="61">
        <f t="shared" si="33"/>
        <v>13</v>
      </c>
      <c r="Q7" s="61" t="e">
        <f t="shared" si="34"/>
        <v>#VALUE!</v>
      </c>
      <c r="R7" s="61">
        <f t="shared" si="35"/>
        <v>22</v>
      </c>
      <c r="S7" s="61" t="str">
        <f>IFERROR(VLOOKUP(MID(N7,Q7,R7-Q7),[6]skilldef!$C:$D,2,FALSE),"-") &amp; " / " &amp; IFERROR(VLOOKUP(MID(N7,O7,P7-O7),[6]skilldef!$A:$B,2,FALSE),"-")</f>
        <v>- / 連続攻撃</v>
      </c>
      <c r="T7" s="47" t="str">
        <f t="shared" si="36"/>
        <v>none</v>
      </c>
      <c r="U7" s="61" t="e">
        <f t="shared" si="11"/>
        <v>#VALUE!</v>
      </c>
      <c r="V7" s="61">
        <f t="shared" si="37"/>
        <v>4</v>
      </c>
      <c r="W7" s="61" t="e">
        <f t="shared" si="38"/>
        <v>#VALUE!</v>
      </c>
      <c r="X7" s="61" t="e">
        <f t="shared" si="39"/>
        <v>#VALUE!</v>
      </c>
      <c r="Y7" s="61" t="str">
        <f>IFERROR(VLOOKUP(MID(T7,W7,X7-W7),[6]skilldef!$C:$D,2,FALSE),"-") &amp; " / " &amp; IFERROR(VLOOKUP(MID(T7,U7,V7-U7),[6]skilldef!$A:$B,2,FALSE),"-")</f>
        <v>- / -</v>
      </c>
      <c r="Z7" s="49"/>
      <c r="AA7" s="51"/>
      <c r="AB7" s="49"/>
    </row>
    <row r="8" spans="1:28" ht="21" customHeight="1">
      <c r="A8" s="96">
        <v>49003009</v>
      </c>
      <c r="B8" s="46" t="s">
        <v>226</v>
      </c>
      <c r="C8" s="49">
        <v>1</v>
      </c>
      <c r="D8" s="49" t="s">
        <v>126</v>
      </c>
      <c r="E8" s="50" t="s">
        <v>344</v>
      </c>
      <c r="F8" s="50" t="s">
        <v>307</v>
      </c>
      <c r="G8" s="61" t="str">
        <f t="shared" ref="G8" si="40">IFERROR(LEFT(B8,FIND("],",B8)),B8)</f>
        <v>[effect:dark, target:unit_all, turn:1, animation:enemy_dark]</v>
      </c>
      <c r="H8" s="61">
        <f t="shared" si="1"/>
        <v>9</v>
      </c>
      <c r="I8" s="61">
        <f t="shared" ref="I8" si="41">IFERROR(FIND(",",G8),LEN(G8))</f>
        <v>13</v>
      </c>
      <c r="J8" s="61">
        <f t="shared" ref="J8" si="42">FIND("target:",G8)+7</f>
        <v>22</v>
      </c>
      <c r="K8" s="61">
        <f t="shared" ref="K8" si="43">FIND(",",G8,I8+1)</f>
        <v>30</v>
      </c>
      <c r="L8" s="61" t="str">
        <f>IFERROR(VLOOKUP(MID(G8,J8,K8-J8),[6]skilldef!$C:$D,2,FALSE),"-") &amp; " / " &amp; IFERROR(VLOOKUP(MID(G8,H8,I8-H8),[6]skilldef!$A:$B,2,FALSE),"-")</f>
        <v>味方全体に / 暗黒</v>
      </c>
      <c r="M8" s="61" t="str">
        <f t="shared" ref="M8" si="44">IFERROR(RIGHT(B8,LEN(B8)-FIND("],",B8)-1),"none")</f>
        <v>none</v>
      </c>
      <c r="N8" s="47" t="str">
        <f>IFERROR(LEFT(M8,FIND("],",M8)+#REF!),M8)</f>
        <v>none</v>
      </c>
      <c r="O8" s="61" t="e">
        <f t="shared" si="6"/>
        <v>#VALUE!</v>
      </c>
      <c r="P8" s="61">
        <f t="shared" ref="P8" si="45">IFERROR(FIND(",",N8),LEN(N8))</f>
        <v>4</v>
      </c>
      <c r="Q8" s="61" t="e">
        <f t="shared" ref="Q8" si="46">FIND("target:",N8)+7</f>
        <v>#VALUE!</v>
      </c>
      <c r="R8" s="61" t="e">
        <f t="shared" ref="R8" si="47">FIND(",",N8,P8+1)</f>
        <v>#VALUE!</v>
      </c>
      <c r="S8" s="61" t="str">
        <f>IFERROR(VLOOKUP(MID(N8,Q8,R8-Q8),[6]skilldef!$C:$D,2,FALSE),"-") &amp; " / " &amp; IFERROR(VLOOKUP(MID(N8,O8,P8-O8),[6]skilldef!$A:$B,2,FALSE),"-")</f>
        <v>- / -</v>
      </c>
      <c r="T8" s="47" t="str">
        <f t="shared" ref="T8" si="48">IFERROR(RIGHT(M8,LEN(M8)-FIND("],",M8)-1),"none")</f>
        <v>none</v>
      </c>
      <c r="U8" s="61" t="e">
        <f t="shared" si="11"/>
        <v>#VALUE!</v>
      </c>
      <c r="V8" s="61">
        <f t="shared" ref="V8" si="49">IFERROR(FIND(",",T8),LEN(T8))</f>
        <v>4</v>
      </c>
      <c r="W8" s="61" t="e">
        <f t="shared" ref="W8" si="50">FIND("target:",T8)+7</f>
        <v>#VALUE!</v>
      </c>
      <c r="X8" s="61" t="e">
        <f t="shared" ref="X8" si="51">FIND(",",T8,V8+1)</f>
        <v>#VALUE!</v>
      </c>
      <c r="Y8" s="61" t="str">
        <f>IFERROR(VLOOKUP(MID(T8,W8,X8-W8),[6]skilldef!$C:$D,2,FALSE),"-") &amp; " / " &amp; IFERROR(VLOOKUP(MID(T8,U8,V8-U8),[6]skilldef!$A:$B,2,FALSE),"-")</f>
        <v>- / -</v>
      </c>
      <c r="Z8" s="49"/>
      <c r="AA8" s="51"/>
      <c r="AB8" s="49"/>
    </row>
    <row r="9" spans="1:28" ht="21" customHeight="1">
      <c r="A9" s="96">
        <v>49003010</v>
      </c>
      <c r="B9" s="46" t="s">
        <v>249</v>
      </c>
      <c r="C9" s="49">
        <v>1</v>
      </c>
      <c r="D9" s="49" t="s">
        <v>126</v>
      </c>
      <c r="E9" s="50" t="s">
        <v>357</v>
      </c>
      <c r="F9" s="50" t="s">
        <v>255</v>
      </c>
      <c r="G9" s="61" t="str">
        <f t="shared" ref="G9:G16" si="52">IFERROR(LEFT(B9,FIND("],",B9)),B9)</f>
        <v>[effect:tolerance, target:myself, turn:-1, tolerance_effect:all, count:-1, animation:enemy_tolerance]</v>
      </c>
      <c r="H9" s="61">
        <f t="shared" ref="H9:H16" si="53">FIND("effect:",G9)+7</f>
        <v>9</v>
      </c>
      <c r="I9" s="61">
        <f t="shared" ref="I9:I16" si="54">IFERROR(FIND(",",G9),LEN(G9))</f>
        <v>18</v>
      </c>
      <c r="J9" s="61">
        <f t="shared" ref="J9:J16" si="55">FIND("target:",G9)+7</f>
        <v>27</v>
      </c>
      <c r="K9" s="61">
        <f t="shared" ref="K9:K16" si="56">FIND(",",G9,I9+1)</f>
        <v>33</v>
      </c>
      <c r="L9" s="61" t="str">
        <f>IFERROR(VLOOKUP(MID(G9,J9,K9-J9),[6]skilldef!$C:$D,2,FALSE),"-") &amp; " / " &amp; IFERROR(VLOOKUP(MID(G9,H9,I9-H9),[6]skilldef!$A:$B,2,FALSE),"-")</f>
        <v>自分自身に / 状態異常耐性</v>
      </c>
      <c r="M9" s="61" t="str">
        <f t="shared" ref="M9:M16" si="57">IFERROR(RIGHT(B9,LEN(B9)-FIND("],",B9)-1),"none")</f>
        <v xml:space="preserve">[effect:fix_speed, target:myself, turn:2]    </v>
      </c>
      <c r="N9" s="47" t="str">
        <f t="shared" ref="N9:N15" si="58">IFERROR(LEFT(M9,FIND("],",M9)+S21),M9)</f>
        <v xml:space="preserve">[effect:fix_speed, target:myself, turn:2]    </v>
      </c>
      <c r="O9" s="61">
        <f t="shared" ref="O9:O16" si="59">FIND("effect:",N9)+7</f>
        <v>9</v>
      </c>
      <c r="P9" s="61">
        <f t="shared" ref="P9:P16" si="60">IFERROR(FIND(",",N9),LEN(N9))</f>
        <v>18</v>
      </c>
      <c r="Q9" s="61">
        <f t="shared" ref="Q9:Q16" si="61">FIND("target:",N9)+7</f>
        <v>27</v>
      </c>
      <c r="R9" s="61">
        <f t="shared" ref="R9:R16" si="62">FIND(",",N9,P9+1)</f>
        <v>33</v>
      </c>
      <c r="S9" s="61" t="str">
        <f>IFERROR(VLOOKUP(MID(N9,Q9,R9-Q9),[6]skilldef!$C:$D,2,FALSE),"-") &amp; " / " &amp; IFERROR(VLOOKUP(MID(N9,O9,P9-O9),[6]skilldef!$A:$B,2,FALSE),"-")</f>
        <v>自分自身に / 行動値設定</v>
      </c>
      <c r="T9" s="47" t="str">
        <f t="shared" ref="T9:T16" si="63">IFERROR(RIGHT(M9,LEN(M9)-FIND("],",M9)-1),"none")</f>
        <v>none</v>
      </c>
      <c r="U9" s="61" t="e">
        <f t="shared" ref="U9:U16" si="64">FIND("effect:",T9)+7</f>
        <v>#VALUE!</v>
      </c>
      <c r="V9" s="61">
        <f t="shared" ref="V9:V16" si="65">IFERROR(FIND(",",T9),LEN(T9))</f>
        <v>4</v>
      </c>
      <c r="W9" s="61" t="e">
        <f t="shared" ref="W9:W16" si="66">FIND("target:",T9)+7</f>
        <v>#VALUE!</v>
      </c>
      <c r="X9" s="61" t="e">
        <f t="shared" ref="X9:X16" si="67">FIND(",",T9,V9+1)</f>
        <v>#VALUE!</v>
      </c>
      <c r="Y9" s="61" t="str">
        <f>IFERROR(VLOOKUP(MID(T9,W9,X9-W9),[6]skilldef!$C:$D,2,FALSE),"-") &amp; " / " &amp; IFERROR(VLOOKUP(MID(T9,U9,V9-U9),[6]skilldef!$A:$B,2,FALSE),"-")</f>
        <v>- / -</v>
      </c>
      <c r="Z9" s="49"/>
      <c r="AA9" s="51"/>
      <c r="AB9" s="49"/>
    </row>
    <row r="10" spans="1:28" ht="21" customHeight="1">
      <c r="A10" s="96">
        <v>49003011</v>
      </c>
      <c r="B10" s="46" t="s">
        <v>220</v>
      </c>
      <c r="C10" s="49">
        <v>1</v>
      </c>
      <c r="D10" s="49" t="s">
        <v>126</v>
      </c>
      <c r="E10" s="50" t="s">
        <v>262</v>
      </c>
      <c r="F10" s="50" t="s">
        <v>256</v>
      </c>
      <c r="G10" s="61" t="str">
        <f t="shared" si="52"/>
        <v>[effect:rush, count:3, val:0.4]</v>
      </c>
      <c r="H10" s="61">
        <f t="shared" si="53"/>
        <v>9</v>
      </c>
      <c r="I10" s="61">
        <f t="shared" si="54"/>
        <v>13</v>
      </c>
      <c r="J10" s="61" t="e">
        <f t="shared" si="55"/>
        <v>#VALUE!</v>
      </c>
      <c r="K10" s="61">
        <f t="shared" si="56"/>
        <v>22</v>
      </c>
      <c r="L10" s="61" t="str">
        <f>IFERROR(VLOOKUP(MID(G10,J10,K10-J10),[6]skilldef!$C:$D,2,FALSE),"-") &amp; " / " &amp; IFERROR(VLOOKUP(MID(G10,H10,I10-H10),[6]skilldef!$A:$B,2,FALSE),"-")</f>
        <v>- / 連続攻撃</v>
      </c>
      <c r="M10" s="61" t="str">
        <f t="shared" si="57"/>
        <v>none</v>
      </c>
      <c r="N10" s="47" t="str">
        <f t="shared" si="58"/>
        <v>none</v>
      </c>
      <c r="O10" s="61" t="e">
        <f t="shared" si="59"/>
        <v>#VALUE!</v>
      </c>
      <c r="P10" s="61">
        <f t="shared" si="60"/>
        <v>4</v>
      </c>
      <c r="Q10" s="61" t="e">
        <f t="shared" si="61"/>
        <v>#VALUE!</v>
      </c>
      <c r="R10" s="61" t="e">
        <f t="shared" si="62"/>
        <v>#VALUE!</v>
      </c>
      <c r="S10" s="61" t="str">
        <f>IFERROR(VLOOKUP(MID(N10,Q10,R10-Q10),[6]skilldef!$C:$D,2,FALSE),"-") &amp; " / " &amp; IFERROR(VLOOKUP(MID(N10,O10,P10-O10),[6]skilldef!$A:$B,2,FALSE),"-")</f>
        <v>- / -</v>
      </c>
      <c r="T10" s="47" t="str">
        <f t="shared" si="63"/>
        <v>none</v>
      </c>
      <c r="U10" s="61" t="e">
        <f t="shared" si="64"/>
        <v>#VALUE!</v>
      </c>
      <c r="V10" s="61">
        <f t="shared" si="65"/>
        <v>4</v>
      </c>
      <c r="W10" s="61" t="e">
        <f t="shared" si="66"/>
        <v>#VALUE!</v>
      </c>
      <c r="X10" s="61" t="e">
        <f t="shared" si="67"/>
        <v>#VALUE!</v>
      </c>
      <c r="Y10" s="61" t="str">
        <f>IFERROR(VLOOKUP(MID(T10,W10,X10-W10),[6]skilldef!$C:$D,2,FALSE),"-") &amp; " / " &amp; IFERROR(VLOOKUP(MID(T10,U10,V10-U10),[6]skilldef!$A:$B,2,FALSE),"-")</f>
        <v>- / -</v>
      </c>
      <c r="Z10" s="49"/>
      <c r="AA10" s="51"/>
      <c r="AB10" s="49"/>
    </row>
    <row r="11" spans="1:28" ht="21" customHeight="1">
      <c r="A11" s="96">
        <v>49003012</v>
      </c>
      <c r="B11" s="46" t="s">
        <v>219</v>
      </c>
      <c r="C11" s="49">
        <v>1</v>
      </c>
      <c r="D11" s="49" t="s">
        <v>126</v>
      </c>
      <c r="E11" s="137" t="s">
        <v>335</v>
      </c>
      <c r="F11" s="50" t="s">
        <v>213</v>
      </c>
      <c r="G11" s="61" t="str">
        <f t="shared" si="52"/>
        <v>[effect:spread, val:0.3]</v>
      </c>
      <c r="H11" s="61">
        <f t="shared" si="53"/>
        <v>9</v>
      </c>
      <c r="I11" s="61">
        <f t="shared" si="54"/>
        <v>15</v>
      </c>
      <c r="J11" s="61" t="e">
        <f t="shared" si="55"/>
        <v>#VALUE!</v>
      </c>
      <c r="K11" s="61" t="e">
        <f t="shared" si="56"/>
        <v>#VALUE!</v>
      </c>
      <c r="L11" s="61" t="str">
        <f>IFERROR(VLOOKUP(MID(G11,J11,K11-J11),[6]skilldef!$C:$D,2,FALSE),"-") &amp; " / " &amp; IFERROR(VLOOKUP(MID(G11,H11,I11-H11),[6]skilldef!$A:$B,2,FALSE),"-")</f>
        <v>- / 全体攻撃</v>
      </c>
      <c r="M11" s="61" t="str">
        <f t="shared" si="57"/>
        <v>none</v>
      </c>
      <c r="N11" s="47" t="str">
        <f t="shared" si="58"/>
        <v>none</v>
      </c>
      <c r="O11" s="61" t="e">
        <f t="shared" si="59"/>
        <v>#VALUE!</v>
      </c>
      <c r="P11" s="61">
        <f t="shared" si="60"/>
        <v>4</v>
      </c>
      <c r="Q11" s="61" t="e">
        <f t="shared" si="61"/>
        <v>#VALUE!</v>
      </c>
      <c r="R11" s="61" t="e">
        <f t="shared" si="62"/>
        <v>#VALUE!</v>
      </c>
      <c r="S11" s="61" t="str">
        <f>IFERROR(VLOOKUP(MID(N11,Q11,R11-Q11),[6]skilldef!$C:$D,2,FALSE),"-") &amp; " / " &amp; IFERROR(VLOOKUP(MID(N11,O11,P11-O11),[6]skilldef!$A:$B,2,FALSE),"-")</f>
        <v>- / -</v>
      </c>
      <c r="T11" s="47" t="str">
        <f t="shared" si="63"/>
        <v>none</v>
      </c>
      <c r="U11" s="61" t="e">
        <f t="shared" si="64"/>
        <v>#VALUE!</v>
      </c>
      <c r="V11" s="61">
        <f t="shared" si="65"/>
        <v>4</v>
      </c>
      <c r="W11" s="61" t="e">
        <f t="shared" si="66"/>
        <v>#VALUE!</v>
      </c>
      <c r="X11" s="61" t="e">
        <f t="shared" si="67"/>
        <v>#VALUE!</v>
      </c>
      <c r="Y11" s="61" t="str">
        <f>IFERROR(VLOOKUP(MID(T11,W11,X11-W11),[6]skilldef!$C:$D,2,FALSE),"-") &amp; " / " &amp; IFERROR(VLOOKUP(MID(T11,U11,V11-U11),[6]skilldef!$A:$B,2,FALSE),"-")</f>
        <v>- / -</v>
      </c>
      <c r="Z11" s="49"/>
      <c r="AA11" s="51"/>
      <c r="AB11" s="49"/>
    </row>
    <row r="12" spans="1:28" ht="21" customHeight="1">
      <c r="A12" s="96">
        <v>49003013</v>
      </c>
      <c r="B12" s="46" t="s">
        <v>242</v>
      </c>
      <c r="C12" s="49">
        <v>1</v>
      </c>
      <c r="D12" s="49" t="s">
        <v>126</v>
      </c>
      <c r="E12" s="50" t="s">
        <v>263</v>
      </c>
      <c r="F12" s="50" t="s">
        <v>257</v>
      </c>
      <c r="G12" s="61" t="str">
        <f t="shared" si="52"/>
        <v>[effect:critical, val:1.3]</v>
      </c>
      <c r="H12" s="61">
        <f t="shared" si="53"/>
        <v>9</v>
      </c>
      <c r="I12" s="61">
        <f t="shared" si="54"/>
        <v>17</v>
      </c>
      <c r="J12" s="61" t="e">
        <f t="shared" si="55"/>
        <v>#VALUE!</v>
      </c>
      <c r="K12" s="61" t="e">
        <f t="shared" si="56"/>
        <v>#VALUE!</v>
      </c>
      <c r="L12" s="61" t="str">
        <f>IFERROR(VLOOKUP(MID(G12,J12,K12-J12),[6]skilldef!$C:$D,2,FALSE),"-") &amp; " / " &amp; IFERROR(VLOOKUP(MID(G12,H12,I12-H12),[6]skilldef!$A:$B,2,FALSE),"-")</f>
        <v>- / 大攻撃</v>
      </c>
      <c r="M12" s="61" t="str">
        <f t="shared" si="57"/>
        <v>none</v>
      </c>
      <c r="N12" s="47" t="str">
        <f t="shared" si="58"/>
        <v>none</v>
      </c>
      <c r="O12" s="61" t="e">
        <f t="shared" si="59"/>
        <v>#VALUE!</v>
      </c>
      <c r="P12" s="61">
        <f t="shared" si="60"/>
        <v>4</v>
      </c>
      <c r="Q12" s="61" t="e">
        <f t="shared" si="61"/>
        <v>#VALUE!</v>
      </c>
      <c r="R12" s="61" t="e">
        <f t="shared" si="62"/>
        <v>#VALUE!</v>
      </c>
      <c r="S12" s="61" t="str">
        <f>IFERROR(VLOOKUP(MID(N12,Q12,R12-Q12),[6]skilldef!$C:$D,2,FALSE),"-") &amp; " / " &amp; IFERROR(VLOOKUP(MID(N12,O12,P12-O12),[6]skilldef!$A:$B,2,FALSE),"-")</f>
        <v>- / -</v>
      </c>
      <c r="T12" s="47" t="str">
        <f t="shared" si="63"/>
        <v>none</v>
      </c>
      <c r="U12" s="61" t="e">
        <f t="shared" si="64"/>
        <v>#VALUE!</v>
      </c>
      <c r="V12" s="61">
        <f t="shared" si="65"/>
        <v>4</v>
      </c>
      <c r="W12" s="61" t="e">
        <f t="shared" si="66"/>
        <v>#VALUE!</v>
      </c>
      <c r="X12" s="61" t="e">
        <f t="shared" si="67"/>
        <v>#VALUE!</v>
      </c>
      <c r="Y12" s="61" t="str">
        <f>IFERROR(VLOOKUP(MID(T12,W12,X12-W12),[6]skilldef!$C:$D,2,FALSE),"-") &amp; " / " &amp; IFERROR(VLOOKUP(MID(T12,U12,V12-U12),[6]skilldef!$A:$B,2,FALSE),"-")</f>
        <v>- / -</v>
      </c>
      <c r="Z12" s="49"/>
      <c r="AA12" s="51"/>
      <c r="AB12" s="49"/>
    </row>
    <row r="13" spans="1:28" ht="21" customHeight="1">
      <c r="A13" s="96">
        <v>49003014</v>
      </c>
      <c r="B13" s="46" t="s">
        <v>248</v>
      </c>
      <c r="C13" s="49">
        <v>1</v>
      </c>
      <c r="D13" s="49" t="s">
        <v>126</v>
      </c>
      <c r="E13" s="50" t="s">
        <v>264</v>
      </c>
      <c r="F13" s="50" t="s">
        <v>258</v>
      </c>
      <c r="G13" s="61" t="str">
        <f t="shared" si="52"/>
        <v>[effect:spread, val:0.1]</v>
      </c>
      <c r="H13" s="61">
        <f t="shared" si="53"/>
        <v>9</v>
      </c>
      <c r="I13" s="61">
        <f t="shared" si="54"/>
        <v>15</v>
      </c>
      <c r="J13" s="61" t="e">
        <f t="shared" si="55"/>
        <v>#VALUE!</v>
      </c>
      <c r="K13" s="61" t="e">
        <f t="shared" si="56"/>
        <v>#VALUE!</v>
      </c>
      <c r="L13" s="61" t="str">
        <f>IFERROR(VLOOKUP(MID(G13,J13,K13-J13),[6]skilldef!$C:$D,2,FALSE),"-") &amp; " / " &amp; IFERROR(VLOOKUP(MID(G13,H13,I13-H13),[6]skilldef!$A:$B,2,FALSE),"-")</f>
        <v>- / 全体攻撃</v>
      </c>
      <c r="M13" s="61" t="str">
        <f t="shared" si="57"/>
        <v xml:space="preserve">[effect:enhance_enemy, target:enemy_all, turn:-1, status:attack, val:1, calc:add, animation:enemy_enhance_attack],,[effect:fix_speed, target:myself, turn:2]    </v>
      </c>
      <c r="N13" s="47" t="str">
        <f t="shared" si="58"/>
        <v xml:space="preserve">[effect:enhance_enemy, target:enemy_all, turn:-1, status:attack, val:1, calc:add, animation:enemy_enhance_attack],,[effect:fix_speed, target:myself, turn:2]    </v>
      </c>
      <c r="O13" s="61">
        <f t="shared" si="59"/>
        <v>9</v>
      </c>
      <c r="P13" s="61">
        <f t="shared" si="60"/>
        <v>22</v>
      </c>
      <c r="Q13" s="61">
        <f t="shared" si="61"/>
        <v>31</v>
      </c>
      <c r="R13" s="61">
        <f t="shared" si="62"/>
        <v>40</v>
      </c>
      <c r="S13" s="61" t="str">
        <f>IFERROR(VLOOKUP(MID(N13,Q13,R13-Q13),[6]skilldef!$C:$D,2,FALSE),"-") &amp; " / " &amp; IFERROR(VLOOKUP(MID(N13,O13,P13-O13),[6]skilldef!$A:$B,2,FALSE),"-")</f>
        <v>敵全体に / ステータス強化</v>
      </c>
      <c r="T13" s="47" t="str">
        <f t="shared" si="63"/>
        <v xml:space="preserve">,[effect:fix_speed, target:myself, turn:2]    </v>
      </c>
      <c r="U13" s="61">
        <f t="shared" si="64"/>
        <v>10</v>
      </c>
      <c r="V13" s="61">
        <f t="shared" si="65"/>
        <v>1</v>
      </c>
      <c r="W13" s="61">
        <f t="shared" si="66"/>
        <v>28</v>
      </c>
      <c r="X13" s="61">
        <f t="shared" si="67"/>
        <v>19</v>
      </c>
      <c r="Y13" s="61" t="str">
        <f>IFERROR(VLOOKUP(MID(T13,W13,X13-W13),[6]skilldef!$C:$D,2,FALSE),"-") &amp; " / " &amp; IFERROR(VLOOKUP(MID(T13,U13,V13-U13),[6]skilldef!$A:$B,2,FALSE),"-")</f>
        <v>- / -</v>
      </c>
      <c r="Z13" s="49"/>
      <c r="AA13" s="51"/>
      <c r="AB13" s="49"/>
    </row>
    <row r="14" spans="1:28" ht="21" customHeight="1">
      <c r="A14" s="96">
        <v>49003015</v>
      </c>
      <c r="B14" s="46" t="s">
        <v>220</v>
      </c>
      <c r="C14" s="49">
        <v>1</v>
      </c>
      <c r="D14" s="49" t="s">
        <v>126</v>
      </c>
      <c r="E14" s="50" t="s">
        <v>265</v>
      </c>
      <c r="F14" s="50" t="s">
        <v>256</v>
      </c>
      <c r="G14" s="61" t="str">
        <f t="shared" si="52"/>
        <v>[effect:rush, count:3, val:0.4]</v>
      </c>
      <c r="H14" s="61">
        <f t="shared" si="53"/>
        <v>9</v>
      </c>
      <c r="I14" s="61">
        <f t="shared" si="54"/>
        <v>13</v>
      </c>
      <c r="J14" s="61" t="e">
        <f t="shared" si="55"/>
        <v>#VALUE!</v>
      </c>
      <c r="K14" s="61">
        <f t="shared" si="56"/>
        <v>22</v>
      </c>
      <c r="L14" s="61" t="str">
        <f>IFERROR(VLOOKUP(MID(G14,J14,K14-J14),[6]skilldef!$C:$D,2,FALSE),"-") &amp; " / " &amp; IFERROR(VLOOKUP(MID(G14,H14,I14-H14),[6]skilldef!$A:$B,2,FALSE),"-")</f>
        <v>- / 連続攻撃</v>
      </c>
      <c r="M14" s="61" t="str">
        <f t="shared" si="57"/>
        <v>none</v>
      </c>
      <c r="N14" s="47" t="str">
        <f t="shared" si="58"/>
        <v>none</v>
      </c>
      <c r="O14" s="61" t="e">
        <f t="shared" si="59"/>
        <v>#VALUE!</v>
      </c>
      <c r="P14" s="61">
        <f t="shared" si="60"/>
        <v>4</v>
      </c>
      <c r="Q14" s="61" t="e">
        <f t="shared" si="61"/>
        <v>#VALUE!</v>
      </c>
      <c r="R14" s="61" t="e">
        <f t="shared" si="62"/>
        <v>#VALUE!</v>
      </c>
      <c r="S14" s="61" t="str">
        <f>IFERROR(VLOOKUP(MID(N14,Q14,R14-Q14),[6]skilldef!$C:$D,2,FALSE),"-") &amp; " / " &amp; IFERROR(VLOOKUP(MID(N14,O14,P14-O14),[6]skilldef!$A:$B,2,FALSE),"-")</f>
        <v>- / -</v>
      </c>
      <c r="T14" s="47" t="str">
        <f t="shared" si="63"/>
        <v>none</v>
      </c>
      <c r="U14" s="61" t="e">
        <f t="shared" si="64"/>
        <v>#VALUE!</v>
      </c>
      <c r="V14" s="61">
        <f t="shared" si="65"/>
        <v>4</v>
      </c>
      <c r="W14" s="61" t="e">
        <f t="shared" si="66"/>
        <v>#VALUE!</v>
      </c>
      <c r="X14" s="61" t="e">
        <f t="shared" si="67"/>
        <v>#VALUE!</v>
      </c>
      <c r="Y14" s="61" t="str">
        <f>IFERROR(VLOOKUP(MID(T14,W14,X14-W14),[6]skilldef!$C:$D,2,FALSE),"-") &amp; " / " &amp; IFERROR(VLOOKUP(MID(T14,U14,V14-U14),[6]skilldef!$A:$B,2,FALSE),"-")</f>
        <v>- / -</v>
      </c>
      <c r="Z14" s="49"/>
      <c r="AA14" s="51"/>
      <c r="AB14" s="49"/>
    </row>
    <row r="15" spans="1:28" ht="21" customHeight="1">
      <c r="A15" s="96">
        <v>49003016</v>
      </c>
      <c r="B15" s="46" t="s">
        <v>219</v>
      </c>
      <c r="C15" s="49">
        <v>1</v>
      </c>
      <c r="D15" s="49" t="s">
        <v>126</v>
      </c>
      <c r="E15" s="50" t="s">
        <v>266</v>
      </c>
      <c r="F15" s="50" t="s">
        <v>213</v>
      </c>
      <c r="G15" s="61" t="str">
        <f t="shared" si="52"/>
        <v>[effect:spread, val:0.3]</v>
      </c>
      <c r="H15" s="61">
        <f t="shared" si="53"/>
        <v>9</v>
      </c>
      <c r="I15" s="61">
        <f t="shared" si="54"/>
        <v>15</v>
      </c>
      <c r="J15" s="61" t="e">
        <f t="shared" si="55"/>
        <v>#VALUE!</v>
      </c>
      <c r="K15" s="61" t="e">
        <f t="shared" si="56"/>
        <v>#VALUE!</v>
      </c>
      <c r="L15" s="61" t="str">
        <f>IFERROR(VLOOKUP(MID(G15,J15,K15-J15),[6]skilldef!$C:$D,2,FALSE),"-") &amp; " / " &amp; IFERROR(VLOOKUP(MID(G15,H15,I15-H15),[6]skilldef!$A:$B,2,FALSE),"-")</f>
        <v>- / 全体攻撃</v>
      </c>
      <c r="M15" s="61" t="str">
        <f t="shared" si="57"/>
        <v>none</v>
      </c>
      <c r="N15" s="47" t="str">
        <f t="shared" si="58"/>
        <v>none</v>
      </c>
      <c r="O15" s="61" t="e">
        <f t="shared" si="59"/>
        <v>#VALUE!</v>
      </c>
      <c r="P15" s="61">
        <f t="shared" si="60"/>
        <v>4</v>
      </c>
      <c r="Q15" s="61" t="e">
        <f t="shared" si="61"/>
        <v>#VALUE!</v>
      </c>
      <c r="R15" s="61" t="e">
        <f t="shared" si="62"/>
        <v>#VALUE!</v>
      </c>
      <c r="S15" s="61" t="str">
        <f>IFERROR(VLOOKUP(MID(N15,Q15,R15-Q15),[6]skilldef!$C:$D,2,FALSE),"-") &amp; " / " &amp; IFERROR(VLOOKUP(MID(N15,O15,P15-O15),[6]skilldef!$A:$B,2,FALSE),"-")</f>
        <v>- / -</v>
      </c>
      <c r="T15" s="47" t="str">
        <f t="shared" si="63"/>
        <v>none</v>
      </c>
      <c r="U15" s="61" t="e">
        <f t="shared" si="64"/>
        <v>#VALUE!</v>
      </c>
      <c r="V15" s="61">
        <f t="shared" si="65"/>
        <v>4</v>
      </c>
      <c r="W15" s="61" t="e">
        <f t="shared" si="66"/>
        <v>#VALUE!</v>
      </c>
      <c r="X15" s="61" t="e">
        <f t="shared" si="67"/>
        <v>#VALUE!</v>
      </c>
      <c r="Y15" s="61" t="str">
        <f>IFERROR(VLOOKUP(MID(T15,W15,X15-W15),[6]skilldef!$C:$D,2,FALSE),"-") &amp; " / " &amp; IFERROR(VLOOKUP(MID(T15,U15,V15-U15),[6]skilldef!$A:$B,2,FALSE),"-")</f>
        <v>- / -</v>
      </c>
      <c r="Z15" s="49"/>
      <c r="AA15" s="51"/>
      <c r="AB15" s="49"/>
    </row>
    <row r="16" spans="1:28" ht="21" customHeight="1">
      <c r="A16" s="96">
        <v>49003017</v>
      </c>
      <c r="B16" s="46" t="s">
        <v>242</v>
      </c>
      <c r="C16" s="49">
        <v>1</v>
      </c>
      <c r="D16" s="49" t="s">
        <v>126</v>
      </c>
      <c r="E16" s="50" t="s">
        <v>267</v>
      </c>
      <c r="F16" s="50" t="s">
        <v>328</v>
      </c>
      <c r="G16" s="61" t="str">
        <f t="shared" si="52"/>
        <v>[effect:critical, val:1.3]</v>
      </c>
      <c r="H16" s="61">
        <f t="shared" si="53"/>
        <v>9</v>
      </c>
      <c r="I16" s="61">
        <f t="shared" si="54"/>
        <v>17</v>
      </c>
      <c r="J16" s="61" t="e">
        <f t="shared" si="55"/>
        <v>#VALUE!</v>
      </c>
      <c r="K16" s="61" t="e">
        <f t="shared" si="56"/>
        <v>#VALUE!</v>
      </c>
      <c r="L16" s="61" t="str">
        <f>IFERROR(VLOOKUP(MID(G16,J16,K16-J16),[6]skilldef!$C:$D,2,FALSE),"-") &amp; " / " &amp; IFERROR(VLOOKUP(MID(G16,H16,I16-H16),[6]skilldef!$A:$B,2,FALSE),"-")</f>
        <v>- / 大攻撃</v>
      </c>
      <c r="M16" s="61" t="str">
        <f t="shared" si="57"/>
        <v>none</v>
      </c>
      <c r="N16" s="47" t="str">
        <f>IFERROR(LEFT(M16,FIND("],",M16)+#REF!),M16)</f>
        <v>none</v>
      </c>
      <c r="O16" s="61" t="e">
        <f t="shared" si="59"/>
        <v>#VALUE!</v>
      </c>
      <c r="P16" s="61">
        <f t="shared" si="60"/>
        <v>4</v>
      </c>
      <c r="Q16" s="61" t="e">
        <f t="shared" si="61"/>
        <v>#VALUE!</v>
      </c>
      <c r="R16" s="61" t="e">
        <f t="shared" si="62"/>
        <v>#VALUE!</v>
      </c>
      <c r="S16" s="61" t="str">
        <f>IFERROR(VLOOKUP(MID(N16,Q16,R16-Q16),[6]skilldef!$C:$D,2,FALSE),"-") &amp; " / " &amp; IFERROR(VLOOKUP(MID(N16,O16,P16-O16),[6]skilldef!$A:$B,2,FALSE),"-")</f>
        <v>- / -</v>
      </c>
      <c r="T16" s="47" t="str">
        <f t="shared" si="63"/>
        <v>none</v>
      </c>
      <c r="U16" s="61" t="e">
        <f t="shared" si="64"/>
        <v>#VALUE!</v>
      </c>
      <c r="V16" s="61">
        <f t="shared" si="65"/>
        <v>4</v>
      </c>
      <c r="W16" s="61" t="e">
        <f t="shared" si="66"/>
        <v>#VALUE!</v>
      </c>
      <c r="X16" s="61" t="e">
        <f t="shared" si="67"/>
        <v>#VALUE!</v>
      </c>
      <c r="Y16" s="61" t="str">
        <f>IFERROR(VLOOKUP(MID(T16,W16,X16-W16),[6]skilldef!$C:$D,2,FALSE),"-") &amp; " / " &amp; IFERROR(VLOOKUP(MID(T16,U16,V16-U16),[6]skilldef!$A:$B,2,FALSE),"-")</f>
        <v>- / -</v>
      </c>
      <c r="Z16" s="49"/>
      <c r="AA16" s="51"/>
      <c r="AB16" s="49"/>
    </row>
    <row r="17" spans="1:28" ht="21" customHeight="1">
      <c r="A17" s="96">
        <v>49003018</v>
      </c>
      <c r="B17" s="46" t="s">
        <v>230</v>
      </c>
      <c r="C17" s="49">
        <v>1</v>
      </c>
      <c r="D17" s="49" t="s">
        <v>126</v>
      </c>
      <c r="E17" s="50" t="s">
        <v>351</v>
      </c>
      <c r="F17" s="50" t="s">
        <v>313</v>
      </c>
      <c r="G17" s="61" t="str">
        <f t="shared" ref="G17:G22" si="68">IFERROR(LEFT(B17,FIND("],",B17)),B17)</f>
        <v>[effect:degrade_unit, target:unit_all, turn:1, status:attack, val:1, calc:mul]</v>
      </c>
      <c r="H17" s="61">
        <f t="shared" ref="H17:H22" si="69">FIND("effect:",G17)+7</f>
        <v>9</v>
      </c>
      <c r="I17" s="61">
        <f t="shared" ref="I17:I22" si="70">IFERROR(FIND(",",G17),LEN(G17))</f>
        <v>21</v>
      </c>
      <c r="J17" s="61">
        <f t="shared" ref="J17:J22" si="71">FIND("target:",G17)+7</f>
        <v>30</v>
      </c>
      <c r="K17" s="61">
        <f t="shared" ref="K17:K22" si="72">FIND(",",G17,I17+1)</f>
        <v>38</v>
      </c>
      <c r="L17" s="61" t="str">
        <f>IFERROR(VLOOKUP(MID(G17,J17,K17-J17),[6]skilldef!$C:$D,2,FALSE),"-") &amp; " / " &amp; IFERROR(VLOOKUP(MID(G17,H17,I17-H17),[6]skilldef!$A:$B,2,FALSE),"-")</f>
        <v>味方全体に / ステータスDOWN</v>
      </c>
      <c r="M17" s="61" t="str">
        <f t="shared" ref="M17:M22" si="73">IFERROR(RIGHT(B17,LEN(B17)-FIND("],",B17)-1),"none")</f>
        <v>[effect:change_block, new_block:block_heart, target:block_red, count:5, val:0, animation:change_block],[effect:change_block, new_block:block_heart, target:block_green, count:5, val:0, animation:change_block],[effect:change_block, new_block:block_heart, target:block_blue, count:5, val:0, animation:change_block],[effect:change_block, new_block:block_heart, target:block_yellow, count:5, val:0, animation:change_block]</v>
      </c>
      <c r="N17" s="47" t="str">
        <f>IFERROR(LEFT(M17,FIND("],",M17)+S28),M17)</f>
        <v>[effect:change_block, new_block:block_heart, target:block_red, count:5, val:0, animation:change_block],[effect:change_block, new_block:block_heart, target:block_green, count:5, val:0, animation:change_block],[effect:change_block, new_block:block_heart, target:block_blue, count:5, val:0, animation:change_block],[effect:change_block, new_block:block_heart, target:block_yellow, count:5, val:0, animation:change_block]</v>
      </c>
      <c r="O17" s="61">
        <f t="shared" ref="O17:O22" si="74">FIND("effect:",N17)+7</f>
        <v>9</v>
      </c>
      <c r="P17" s="61">
        <f t="shared" ref="P17:P22" si="75">IFERROR(FIND(",",N17),LEN(N17))</f>
        <v>21</v>
      </c>
      <c r="Q17" s="61">
        <f t="shared" ref="Q17:Q22" si="76">FIND("target:",N17)+7</f>
        <v>53</v>
      </c>
      <c r="R17" s="61">
        <f t="shared" ref="R17:R22" si="77">FIND(",",N17,P17+1)</f>
        <v>44</v>
      </c>
      <c r="S17" s="61" t="str">
        <f>IFERROR(VLOOKUP(MID(N17,Q17,R17-Q17),[6]skilldef!$C:$D,2,FALSE),"-") &amp; " / " &amp; IFERROR(VLOOKUP(MID(N17,O17,P17-O17),[6]skilldef!$A:$B,2,FALSE),"-")</f>
        <v>- / ブロック変換</v>
      </c>
      <c r="T17" s="47" t="str">
        <f t="shared" ref="T17:T22" si="78">IFERROR(RIGHT(M17,LEN(M17)-FIND("],",M17)-1),"none")</f>
        <v>[effect:change_block, new_block:block_heart, target:block_green, count:5, val:0, animation:change_block],[effect:change_block, new_block:block_heart, target:block_blue, count:5, val:0, animation:change_block],[effect:change_block, new_block:block_heart, target:block_yellow, count:5, val:0, animation:change_block]</v>
      </c>
      <c r="U17" s="61">
        <f t="shared" ref="U17:U22" si="79">FIND("effect:",T17)+7</f>
        <v>9</v>
      </c>
      <c r="V17" s="61">
        <f t="shared" ref="V17:V22" si="80">IFERROR(FIND(",",T17),LEN(T17))</f>
        <v>21</v>
      </c>
      <c r="W17" s="61">
        <f t="shared" ref="W17:W22" si="81">FIND("target:",T17)+7</f>
        <v>53</v>
      </c>
      <c r="X17" s="61">
        <f t="shared" ref="X17:X22" si="82">FIND(",",T17,V17+1)</f>
        <v>44</v>
      </c>
      <c r="Y17" s="61" t="str">
        <f>IFERROR(VLOOKUP(MID(T17,W17,X17-W17),[6]skilldef!$C:$D,2,FALSE),"-") &amp; " / " &amp; IFERROR(VLOOKUP(MID(T17,U17,V17-U17),[6]skilldef!$A:$B,2,FALSE),"-")</f>
        <v>- / ブロック変換</v>
      </c>
      <c r="Z17" s="49"/>
      <c r="AA17" s="51"/>
      <c r="AB17" s="49"/>
    </row>
    <row r="18" spans="1:28" ht="21" customHeight="1">
      <c r="A18" s="101">
        <v>49003047</v>
      </c>
      <c r="B18" s="46" t="s">
        <v>221</v>
      </c>
      <c r="C18" s="49">
        <v>1</v>
      </c>
      <c r="D18" s="49" t="s">
        <v>126</v>
      </c>
      <c r="E18" s="50" t="s">
        <v>268</v>
      </c>
      <c r="F18" s="133" t="s">
        <v>329</v>
      </c>
      <c r="G18" s="61" t="str">
        <f t="shared" si="68"/>
        <v>[effect:rush, count:1, val:1]</v>
      </c>
      <c r="H18" s="61">
        <f t="shared" si="69"/>
        <v>9</v>
      </c>
      <c r="I18" s="61">
        <f t="shared" si="70"/>
        <v>13</v>
      </c>
      <c r="J18" s="61" t="e">
        <f t="shared" si="71"/>
        <v>#VALUE!</v>
      </c>
      <c r="K18" s="61">
        <f t="shared" si="72"/>
        <v>22</v>
      </c>
      <c r="L18" s="61" t="str">
        <f>IFERROR(VLOOKUP(MID(G18,J18,K18-J18),[6]skilldef!$C:$D,2,FALSE),"-") &amp; " / " &amp; IFERROR(VLOOKUP(MID(G18,H18,I18-H18),[6]skilldef!$A:$B,2,FALSE),"-")</f>
        <v>- / 連続攻撃</v>
      </c>
      <c r="M18" s="61" t="str">
        <f t="shared" si="73"/>
        <v>none</v>
      </c>
      <c r="N18" s="47" t="str">
        <f>IFERROR(LEFT(M18,FIND("],",M18)+S28),M18)</f>
        <v>none</v>
      </c>
      <c r="O18" s="61" t="e">
        <f t="shared" si="74"/>
        <v>#VALUE!</v>
      </c>
      <c r="P18" s="61">
        <f t="shared" si="75"/>
        <v>4</v>
      </c>
      <c r="Q18" s="61" t="e">
        <f t="shared" si="76"/>
        <v>#VALUE!</v>
      </c>
      <c r="R18" s="61" t="e">
        <f t="shared" si="77"/>
        <v>#VALUE!</v>
      </c>
      <c r="S18" s="61" t="str">
        <f>IFERROR(VLOOKUP(MID(N18,Q18,R18-Q18),[6]skilldef!$C:$D,2,FALSE),"-") &amp; " / " &amp; IFERROR(VLOOKUP(MID(N18,O18,P18-O18),[6]skilldef!$A:$B,2,FALSE),"-")</f>
        <v>- / -</v>
      </c>
      <c r="T18" s="47" t="str">
        <f t="shared" si="78"/>
        <v>none</v>
      </c>
      <c r="U18" s="61" t="e">
        <f t="shared" si="79"/>
        <v>#VALUE!</v>
      </c>
      <c r="V18" s="61">
        <f t="shared" si="80"/>
        <v>4</v>
      </c>
      <c r="W18" s="61" t="e">
        <f t="shared" si="81"/>
        <v>#VALUE!</v>
      </c>
      <c r="X18" s="61" t="e">
        <f t="shared" si="82"/>
        <v>#VALUE!</v>
      </c>
      <c r="Y18" s="61" t="str">
        <f>IFERROR(VLOOKUP(MID(T18,W18,X18-W18),[6]skilldef!$C:$D,2,FALSE),"-") &amp; " / " &amp; IFERROR(VLOOKUP(MID(T18,U18,V18-U18),[6]skilldef!$A:$B,2,FALSE),"-")</f>
        <v>- / -</v>
      </c>
      <c r="Z18" s="49"/>
      <c r="AA18" s="51"/>
      <c r="AB18" s="49"/>
    </row>
    <row r="19" spans="1:28" ht="21" customHeight="1">
      <c r="A19" s="101">
        <v>49003048</v>
      </c>
      <c r="B19" s="46" t="s">
        <v>241</v>
      </c>
      <c r="C19" s="49">
        <v>1</v>
      </c>
      <c r="D19" s="49" t="s">
        <v>126</v>
      </c>
      <c r="E19" s="50" t="s">
        <v>269</v>
      </c>
      <c r="F19" s="133" t="s">
        <v>330</v>
      </c>
      <c r="G19" s="61" t="str">
        <f t="shared" ref="G19:G20" si="83">IFERROR(LEFT(B19,FIND("],",B19)),B19)</f>
        <v>[effect:rush, count:1, val:1]</v>
      </c>
      <c r="H19" s="61">
        <f t="shared" ref="H19:H20" si="84">FIND("effect:",G19)+7</f>
        <v>9</v>
      </c>
      <c r="I19" s="61">
        <f t="shared" ref="I19:I20" si="85">IFERROR(FIND(",",G19),LEN(G19))</f>
        <v>13</v>
      </c>
      <c r="J19" s="61" t="e">
        <f t="shared" ref="J19:J20" si="86">FIND("target:",G19)+7</f>
        <v>#VALUE!</v>
      </c>
      <c r="K19" s="61">
        <f t="shared" ref="K19:K20" si="87">FIND(",",G19,I19+1)</f>
        <v>22</v>
      </c>
      <c r="L19" s="61" t="str">
        <f>IFERROR(VLOOKUP(MID(G19,J19,K19-J19),[6]skilldef!$C:$D,2,FALSE),"-") &amp; " / " &amp; IFERROR(VLOOKUP(MID(G19,H19,I19-H19),[6]skilldef!$A:$B,2,FALSE),"-")</f>
        <v>- / 連続攻撃</v>
      </c>
      <c r="M19" s="61" t="str">
        <f t="shared" ref="M19:M20" si="88">IFERROR(RIGHT(B19,LEN(B19)-FIND("],",B19)-1),"none")</f>
        <v>none</v>
      </c>
      <c r="N19" s="47" t="str">
        <f>IFERROR(LEFT(M19,FIND("],",M19)+S29),M19)</f>
        <v>none</v>
      </c>
      <c r="O19" s="61" t="e">
        <f t="shared" ref="O19:O20" si="89">FIND("effect:",N19)+7</f>
        <v>#VALUE!</v>
      </c>
      <c r="P19" s="61">
        <f t="shared" ref="P19:P20" si="90">IFERROR(FIND(",",N19),LEN(N19))</f>
        <v>4</v>
      </c>
      <c r="Q19" s="61" t="e">
        <f t="shared" ref="Q19:Q20" si="91">FIND("target:",N19)+7</f>
        <v>#VALUE!</v>
      </c>
      <c r="R19" s="61" t="e">
        <f t="shared" ref="R19:R20" si="92">FIND(",",N19,P19+1)</f>
        <v>#VALUE!</v>
      </c>
      <c r="S19" s="61" t="str">
        <f>IFERROR(VLOOKUP(MID(N19,Q19,R19-Q19),[6]skilldef!$C:$D,2,FALSE),"-") &amp; " / " &amp; IFERROR(VLOOKUP(MID(N19,O19,P19-O19),[6]skilldef!$A:$B,2,FALSE),"-")</f>
        <v>- / -</v>
      </c>
      <c r="T19" s="47" t="str">
        <f t="shared" ref="T19:T20" si="93">IFERROR(RIGHT(M19,LEN(M19)-FIND("],",M19)-1),"none")</f>
        <v>none</v>
      </c>
      <c r="U19" s="61" t="e">
        <f t="shared" ref="U19:U20" si="94">FIND("effect:",T19)+7</f>
        <v>#VALUE!</v>
      </c>
      <c r="V19" s="61">
        <f t="shared" ref="V19:V20" si="95">IFERROR(FIND(",",T19),LEN(T19))</f>
        <v>4</v>
      </c>
      <c r="W19" s="61" t="e">
        <f t="shared" ref="W19:W20" si="96">FIND("target:",T19)+7</f>
        <v>#VALUE!</v>
      </c>
      <c r="X19" s="61" t="e">
        <f t="shared" ref="X19:X20" si="97">FIND(",",T19,V19+1)</f>
        <v>#VALUE!</v>
      </c>
      <c r="Y19" s="61" t="str">
        <f>IFERROR(VLOOKUP(MID(T19,W19,X19-W19),[6]skilldef!$C:$D,2,FALSE),"-") &amp; " / " &amp; IFERROR(VLOOKUP(MID(T19,U19,V19-U19),[6]skilldef!$A:$B,2,FALSE),"-")</f>
        <v>- / -</v>
      </c>
      <c r="Z19" s="49"/>
      <c r="AA19" s="51"/>
      <c r="AB19" s="49"/>
    </row>
    <row r="20" spans="1:28" ht="21" customHeight="1">
      <c r="A20" s="101">
        <v>49003049</v>
      </c>
      <c r="B20" s="46" t="s">
        <v>241</v>
      </c>
      <c r="C20" s="49">
        <v>1</v>
      </c>
      <c r="D20" s="49" t="s">
        <v>126</v>
      </c>
      <c r="E20" s="50" t="s">
        <v>270</v>
      </c>
      <c r="F20" s="133" t="s">
        <v>331</v>
      </c>
      <c r="G20" s="61" t="str">
        <f t="shared" si="83"/>
        <v>[effect:rush, count:1, val:1]</v>
      </c>
      <c r="H20" s="61">
        <f t="shared" si="84"/>
        <v>9</v>
      </c>
      <c r="I20" s="61">
        <f t="shared" si="85"/>
        <v>13</v>
      </c>
      <c r="J20" s="61" t="e">
        <f t="shared" si="86"/>
        <v>#VALUE!</v>
      </c>
      <c r="K20" s="61">
        <f t="shared" si="87"/>
        <v>22</v>
      </c>
      <c r="L20" s="61" t="str">
        <f>IFERROR(VLOOKUP(MID(G20,J20,K20-J20),[6]skilldef!$C:$D,2,FALSE),"-") &amp; " / " &amp; IFERROR(VLOOKUP(MID(G20,H20,I20-H20),[6]skilldef!$A:$B,2,FALSE),"-")</f>
        <v>- / 連続攻撃</v>
      </c>
      <c r="M20" s="61" t="str">
        <f t="shared" si="88"/>
        <v>none</v>
      </c>
      <c r="N20" s="47" t="str">
        <f t="shared" ref="N20:N27" si="98">IFERROR(LEFT(M20,FIND("],",M20)+S29),M20)</f>
        <v>none</v>
      </c>
      <c r="O20" s="61" t="e">
        <f t="shared" si="89"/>
        <v>#VALUE!</v>
      </c>
      <c r="P20" s="61">
        <f t="shared" si="90"/>
        <v>4</v>
      </c>
      <c r="Q20" s="61" t="e">
        <f t="shared" si="91"/>
        <v>#VALUE!</v>
      </c>
      <c r="R20" s="61" t="e">
        <f t="shared" si="92"/>
        <v>#VALUE!</v>
      </c>
      <c r="S20" s="61" t="str">
        <f>IFERROR(VLOOKUP(MID(N20,Q20,R20-Q20),[6]skilldef!$C:$D,2,FALSE),"-") &amp; " / " &amp; IFERROR(VLOOKUP(MID(N20,O20,P20-O20),[6]skilldef!$A:$B,2,FALSE),"-")</f>
        <v>- / -</v>
      </c>
      <c r="T20" s="47" t="str">
        <f t="shared" si="93"/>
        <v>none</v>
      </c>
      <c r="U20" s="61" t="e">
        <f t="shared" si="94"/>
        <v>#VALUE!</v>
      </c>
      <c r="V20" s="61">
        <f t="shared" si="95"/>
        <v>4</v>
      </c>
      <c r="W20" s="61" t="e">
        <f t="shared" si="96"/>
        <v>#VALUE!</v>
      </c>
      <c r="X20" s="61" t="e">
        <f t="shared" si="97"/>
        <v>#VALUE!</v>
      </c>
      <c r="Y20" s="61" t="str">
        <f>IFERROR(VLOOKUP(MID(T20,W20,X20-W20),[6]skilldef!$C:$D,2,FALSE),"-") &amp; " / " &amp; IFERROR(VLOOKUP(MID(T20,U20,V20-U20),[6]skilldef!$A:$B,2,FALSE),"-")</f>
        <v>- / -</v>
      </c>
      <c r="Z20" s="49"/>
      <c r="AA20" s="51"/>
      <c r="AB20" s="49"/>
    </row>
    <row r="21" spans="1:28" ht="21" customHeight="1">
      <c r="A21" s="96">
        <v>49003020</v>
      </c>
      <c r="B21" s="46" t="s">
        <v>221</v>
      </c>
      <c r="C21" s="49">
        <v>1</v>
      </c>
      <c r="D21" s="49" t="s">
        <v>126</v>
      </c>
      <c r="E21" s="50" t="s">
        <v>271</v>
      </c>
      <c r="F21" s="133" t="s">
        <v>332</v>
      </c>
      <c r="G21" s="61" t="str">
        <f t="shared" si="68"/>
        <v>[effect:rush, count:1, val:1]</v>
      </c>
      <c r="H21" s="61">
        <f t="shared" si="69"/>
        <v>9</v>
      </c>
      <c r="I21" s="61">
        <f t="shared" si="70"/>
        <v>13</v>
      </c>
      <c r="J21" s="61" t="e">
        <f t="shared" si="71"/>
        <v>#VALUE!</v>
      </c>
      <c r="K21" s="61">
        <f t="shared" si="72"/>
        <v>22</v>
      </c>
      <c r="L21" s="61" t="str">
        <f>IFERROR(VLOOKUP(MID(G21,J21,K21-J21),[6]skilldef!$C:$D,2,FALSE),"-") &amp; " / " &amp; IFERROR(VLOOKUP(MID(G21,H21,I21-H21),[6]skilldef!$A:$B,2,FALSE),"-")</f>
        <v>- / 連続攻撃</v>
      </c>
      <c r="M21" s="61" t="str">
        <f t="shared" si="73"/>
        <v>none</v>
      </c>
      <c r="N21" s="47" t="str">
        <f t="shared" si="98"/>
        <v>none</v>
      </c>
      <c r="O21" s="61" t="e">
        <f t="shared" si="74"/>
        <v>#VALUE!</v>
      </c>
      <c r="P21" s="61">
        <f t="shared" si="75"/>
        <v>4</v>
      </c>
      <c r="Q21" s="61" t="e">
        <f t="shared" si="76"/>
        <v>#VALUE!</v>
      </c>
      <c r="R21" s="61" t="e">
        <f t="shared" si="77"/>
        <v>#VALUE!</v>
      </c>
      <c r="S21" s="61" t="str">
        <f>IFERROR(VLOOKUP(MID(N21,Q21,R21-Q21),[6]skilldef!$C:$D,2,FALSE),"-") &amp; " / " &amp; IFERROR(VLOOKUP(MID(N21,O21,P21-O21),[6]skilldef!$A:$B,2,FALSE),"-")</f>
        <v>- / -</v>
      </c>
      <c r="T21" s="47" t="str">
        <f t="shared" si="78"/>
        <v>none</v>
      </c>
      <c r="U21" s="61" t="e">
        <f t="shared" si="79"/>
        <v>#VALUE!</v>
      </c>
      <c r="V21" s="61">
        <f t="shared" si="80"/>
        <v>4</v>
      </c>
      <c r="W21" s="61" t="e">
        <f t="shared" si="81"/>
        <v>#VALUE!</v>
      </c>
      <c r="X21" s="61" t="e">
        <f t="shared" si="82"/>
        <v>#VALUE!</v>
      </c>
      <c r="Y21" s="61" t="str">
        <f>IFERROR(VLOOKUP(MID(T21,W21,X21-W21),[6]skilldef!$C:$D,2,FALSE),"-") &amp; " / " &amp; IFERROR(VLOOKUP(MID(T21,U21,V21-U21),[6]skilldef!$A:$B,2,FALSE),"-")</f>
        <v>- / -</v>
      </c>
      <c r="Z21" s="49"/>
      <c r="AA21" s="51"/>
      <c r="AB21" s="49"/>
    </row>
    <row r="22" spans="1:28" ht="21" customHeight="1">
      <c r="A22" s="96">
        <v>49003021</v>
      </c>
      <c r="B22" s="46" t="s">
        <v>227</v>
      </c>
      <c r="C22" s="49">
        <v>1</v>
      </c>
      <c r="D22" s="49" t="s">
        <v>231</v>
      </c>
      <c r="E22" s="50" t="s">
        <v>272</v>
      </c>
      <c r="F22" s="50" t="s">
        <v>293</v>
      </c>
      <c r="G22" s="61" t="str">
        <f t="shared" si="68"/>
        <v>[effect:critical, val:1.4]</v>
      </c>
      <c r="H22" s="61">
        <f t="shared" si="69"/>
        <v>9</v>
      </c>
      <c r="I22" s="61">
        <f t="shared" si="70"/>
        <v>17</v>
      </c>
      <c r="J22" s="61" t="e">
        <f t="shared" si="71"/>
        <v>#VALUE!</v>
      </c>
      <c r="K22" s="61" t="e">
        <f t="shared" si="72"/>
        <v>#VALUE!</v>
      </c>
      <c r="L22" s="61" t="str">
        <f>IFERROR(VLOOKUP(MID(G22,J22,K22-J22),[6]skilldef!$C:$D,2,FALSE),"-") &amp; " / " &amp; IFERROR(VLOOKUP(MID(G22,H22,I22-H22),[6]skilldef!$A:$B,2,FALSE),"-")</f>
        <v>- / 大攻撃</v>
      </c>
      <c r="M22" s="61" t="str">
        <f t="shared" si="73"/>
        <v>none</v>
      </c>
      <c r="N22" s="47" t="str">
        <f t="shared" si="98"/>
        <v>none</v>
      </c>
      <c r="O22" s="61" t="e">
        <f t="shared" si="74"/>
        <v>#VALUE!</v>
      </c>
      <c r="P22" s="61">
        <f t="shared" si="75"/>
        <v>4</v>
      </c>
      <c r="Q22" s="61" t="e">
        <f t="shared" si="76"/>
        <v>#VALUE!</v>
      </c>
      <c r="R22" s="61" t="e">
        <f t="shared" si="77"/>
        <v>#VALUE!</v>
      </c>
      <c r="S22" s="61" t="str">
        <f>IFERROR(VLOOKUP(MID(N22,Q22,R22-Q22),[6]skilldef!$C:$D,2,FALSE),"-") &amp; " / " &amp; IFERROR(VLOOKUP(MID(N22,O22,P22-O22),[6]skilldef!$A:$B,2,FALSE),"-")</f>
        <v>- / -</v>
      </c>
      <c r="T22" s="47" t="str">
        <f t="shared" si="78"/>
        <v>none</v>
      </c>
      <c r="U22" s="61" t="e">
        <f t="shared" si="79"/>
        <v>#VALUE!</v>
      </c>
      <c r="V22" s="61">
        <f t="shared" si="80"/>
        <v>4</v>
      </c>
      <c r="W22" s="61" t="e">
        <f t="shared" si="81"/>
        <v>#VALUE!</v>
      </c>
      <c r="X22" s="61" t="e">
        <f t="shared" si="82"/>
        <v>#VALUE!</v>
      </c>
      <c r="Y22" s="61" t="str">
        <f>IFERROR(VLOOKUP(MID(T22,W22,X22-W22),[6]skilldef!$C:$D,2,FALSE),"-") &amp; " / " &amp; IFERROR(VLOOKUP(MID(T22,U22,V22-U22),[6]skilldef!$A:$B,2,FALSE),"-")</f>
        <v>- / -</v>
      </c>
      <c r="Z22" s="49"/>
      <c r="AA22" s="51"/>
      <c r="AB22" s="49"/>
    </row>
    <row r="23" spans="1:28" ht="21" customHeight="1">
      <c r="A23" s="96">
        <v>49003022</v>
      </c>
      <c r="B23" s="46" t="s">
        <v>247</v>
      </c>
      <c r="C23" s="49">
        <v>1</v>
      </c>
      <c r="D23" s="49" t="s">
        <v>126</v>
      </c>
      <c r="E23" s="50" t="s">
        <v>273</v>
      </c>
      <c r="F23" s="50" t="s">
        <v>314</v>
      </c>
      <c r="G23" s="61" t="str">
        <f t="shared" ref="G23:G27" si="99">IFERROR(LEFT(B23,FIND("],",B23)),B23)</f>
        <v>[effect:enemy_counter, target:myself, invoke_condition:unit_all, counter_target:attacker, turn:-1, val:0.1, animation:enemy_counter]</v>
      </c>
      <c r="H23" s="61">
        <f t="shared" ref="H23:H27" si="100">FIND("effect:",G23)+7</f>
        <v>9</v>
      </c>
      <c r="I23" s="61">
        <f t="shared" ref="I23:I27" si="101">IFERROR(FIND(",",G23),LEN(G23))</f>
        <v>22</v>
      </c>
      <c r="J23" s="61">
        <f t="shared" ref="J23:J27" si="102">FIND("target:",G23)+7</f>
        <v>31</v>
      </c>
      <c r="K23" s="61">
        <f t="shared" ref="K23:K27" si="103">FIND(",",G23,I23+1)</f>
        <v>37</v>
      </c>
      <c r="L23" s="61" t="str">
        <f>IFERROR(VLOOKUP(MID(G23,J23,K23-J23),[6]skilldef!$C:$D,2,FALSE),"-") &amp; " / " &amp; IFERROR(VLOOKUP(MID(G23,H23,I23-H23),[6]skilldef!$A:$B,2,FALSE),"-")</f>
        <v>自分自身に / カウンター</v>
      </c>
      <c r="M23" s="61" t="str">
        <f t="shared" ref="M23:M27" si="104">IFERROR(RIGHT(B23,LEN(B23)-FIND("],",B23)-1),"none")</f>
        <v>[effect:fix_speed, target:myself, turn:1]</v>
      </c>
      <c r="N23" s="47" t="str">
        <f t="shared" si="98"/>
        <v>[effect:fix_speed, target:myself, turn:1]</v>
      </c>
      <c r="O23" s="61">
        <f t="shared" ref="O23:O27" si="105">FIND("effect:",N23)+7</f>
        <v>9</v>
      </c>
      <c r="P23" s="61">
        <f t="shared" ref="P23:P27" si="106">IFERROR(FIND(",",N23),LEN(N23))</f>
        <v>18</v>
      </c>
      <c r="Q23" s="61">
        <f t="shared" ref="Q23:Q27" si="107">FIND("target:",N23)+7</f>
        <v>27</v>
      </c>
      <c r="R23" s="61">
        <f t="shared" ref="R23:R27" si="108">FIND(",",N23,P23+1)</f>
        <v>33</v>
      </c>
      <c r="S23" s="61" t="str">
        <f>IFERROR(VLOOKUP(MID(N23,Q23,R23-Q23),[6]skilldef!$C:$D,2,FALSE),"-") &amp; " / " &amp; IFERROR(VLOOKUP(MID(N23,O23,P23-O23),[6]skilldef!$A:$B,2,FALSE),"-")</f>
        <v>自分自身に / 行動値設定</v>
      </c>
      <c r="T23" s="47" t="str">
        <f t="shared" ref="T23:T27" si="109">IFERROR(RIGHT(M23,LEN(M23)-FIND("],",M23)-1),"none")</f>
        <v>none</v>
      </c>
      <c r="U23" s="61" t="e">
        <f t="shared" ref="U23:U27" si="110">FIND("effect:",T23)+7</f>
        <v>#VALUE!</v>
      </c>
      <c r="V23" s="61">
        <f t="shared" ref="V23:V27" si="111">IFERROR(FIND(",",T23),LEN(T23))</f>
        <v>4</v>
      </c>
      <c r="W23" s="61" t="e">
        <f t="shared" ref="W23:W27" si="112">FIND("target:",T23)+7</f>
        <v>#VALUE!</v>
      </c>
      <c r="X23" s="61" t="e">
        <f t="shared" ref="X23:X27" si="113">FIND(",",T23,V23+1)</f>
        <v>#VALUE!</v>
      </c>
      <c r="Y23" s="61" t="str">
        <f>IFERROR(VLOOKUP(MID(T23,W23,X23-W23),[6]skilldef!$C:$D,2,FALSE),"-") &amp; " / " &amp; IFERROR(VLOOKUP(MID(T23,U23,V23-U23),[6]skilldef!$A:$B,2,FALSE),"-")</f>
        <v>- / -</v>
      </c>
      <c r="Z23" s="49"/>
      <c r="AA23" s="51"/>
      <c r="AB23" s="49"/>
    </row>
    <row r="24" spans="1:28" ht="21" customHeight="1">
      <c r="A24" s="96">
        <v>49003023</v>
      </c>
      <c r="B24" s="46" t="s">
        <v>229</v>
      </c>
      <c r="C24" s="49">
        <v>1</v>
      </c>
      <c r="D24" s="49" t="s">
        <v>126</v>
      </c>
      <c r="E24" s="50" t="s">
        <v>274</v>
      </c>
      <c r="F24" s="50" t="s">
        <v>213</v>
      </c>
      <c r="G24" s="61" t="str">
        <f t="shared" si="99"/>
        <v>[effect:spread, val:0.3]</v>
      </c>
      <c r="H24" s="61">
        <f t="shared" si="100"/>
        <v>9</v>
      </c>
      <c r="I24" s="61">
        <f t="shared" si="101"/>
        <v>15</v>
      </c>
      <c r="J24" s="61" t="e">
        <f t="shared" si="102"/>
        <v>#VALUE!</v>
      </c>
      <c r="K24" s="61" t="e">
        <f t="shared" si="103"/>
        <v>#VALUE!</v>
      </c>
      <c r="L24" s="61" t="str">
        <f>IFERROR(VLOOKUP(MID(G24,J24,K24-J24),[6]skilldef!$C:$D,2,FALSE),"-") &amp; " / " &amp; IFERROR(VLOOKUP(MID(G24,H24,I24-H24),[6]skilldef!$A:$B,2,FALSE),"-")</f>
        <v>- / 全体攻撃</v>
      </c>
      <c r="M24" s="61" t="str">
        <f t="shared" si="104"/>
        <v>none</v>
      </c>
      <c r="N24" s="47" t="str">
        <f t="shared" si="98"/>
        <v>none</v>
      </c>
      <c r="O24" s="61" t="e">
        <f t="shared" si="105"/>
        <v>#VALUE!</v>
      </c>
      <c r="P24" s="61">
        <f t="shared" si="106"/>
        <v>4</v>
      </c>
      <c r="Q24" s="61" t="e">
        <f t="shared" si="107"/>
        <v>#VALUE!</v>
      </c>
      <c r="R24" s="61" t="e">
        <f t="shared" si="108"/>
        <v>#VALUE!</v>
      </c>
      <c r="S24" s="61" t="str">
        <f>IFERROR(VLOOKUP(MID(N24,Q24,R24-Q24),[6]skilldef!$C:$D,2,FALSE),"-") &amp; " / " &amp; IFERROR(VLOOKUP(MID(N24,O24,P24-O24),[6]skilldef!$A:$B,2,FALSE),"-")</f>
        <v>- / -</v>
      </c>
      <c r="T24" s="47" t="str">
        <f t="shared" si="109"/>
        <v>none</v>
      </c>
      <c r="U24" s="61" t="e">
        <f t="shared" si="110"/>
        <v>#VALUE!</v>
      </c>
      <c r="V24" s="61">
        <f t="shared" si="111"/>
        <v>4</v>
      </c>
      <c r="W24" s="61" t="e">
        <f t="shared" si="112"/>
        <v>#VALUE!</v>
      </c>
      <c r="X24" s="61" t="e">
        <f t="shared" si="113"/>
        <v>#VALUE!</v>
      </c>
      <c r="Y24" s="61" t="str">
        <f>IFERROR(VLOOKUP(MID(T24,W24,X24-W24),[6]skilldef!$C:$D,2,FALSE),"-") &amp; " / " &amp; IFERROR(VLOOKUP(MID(T24,U24,V24-U24),[6]skilldef!$A:$B,2,FALSE),"-")</f>
        <v>- / -</v>
      </c>
      <c r="Z24" s="49"/>
      <c r="AA24" s="51"/>
      <c r="AB24" s="49"/>
    </row>
    <row r="25" spans="1:28" ht="21" customHeight="1">
      <c r="A25" s="96">
        <v>49003024</v>
      </c>
      <c r="B25" s="46" t="s">
        <v>228</v>
      </c>
      <c r="C25" s="49">
        <v>1</v>
      </c>
      <c r="D25" s="49" t="s">
        <v>126</v>
      </c>
      <c r="E25" s="50" t="s">
        <v>275</v>
      </c>
      <c r="F25" s="133" t="s">
        <v>336</v>
      </c>
      <c r="G25" s="61" t="str">
        <f t="shared" si="99"/>
        <v>[effect:rush, count:1, val:1]</v>
      </c>
      <c r="H25" s="61">
        <f t="shared" si="100"/>
        <v>9</v>
      </c>
      <c r="I25" s="61">
        <f t="shared" si="101"/>
        <v>13</v>
      </c>
      <c r="J25" s="61" t="e">
        <f t="shared" si="102"/>
        <v>#VALUE!</v>
      </c>
      <c r="K25" s="61">
        <f t="shared" si="103"/>
        <v>22</v>
      </c>
      <c r="L25" s="61" t="str">
        <f>IFERROR(VLOOKUP(MID(G25,J25,K25-J25),[6]skilldef!$C:$D,2,FALSE),"-") &amp; " / " &amp; IFERROR(VLOOKUP(MID(G25,H25,I25-H25),[6]skilldef!$A:$B,2,FALSE),"-")</f>
        <v>- / 連続攻撃</v>
      </c>
      <c r="M25" s="61" t="str">
        <f t="shared" si="104"/>
        <v>none</v>
      </c>
      <c r="N25" s="47" t="str">
        <f t="shared" si="98"/>
        <v>none</v>
      </c>
      <c r="O25" s="61" t="e">
        <f t="shared" si="105"/>
        <v>#VALUE!</v>
      </c>
      <c r="P25" s="61">
        <f t="shared" si="106"/>
        <v>4</v>
      </c>
      <c r="Q25" s="61" t="e">
        <f t="shared" si="107"/>
        <v>#VALUE!</v>
      </c>
      <c r="R25" s="61" t="e">
        <f t="shared" si="108"/>
        <v>#VALUE!</v>
      </c>
      <c r="S25" s="61" t="str">
        <f>IFERROR(VLOOKUP(MID(N25,Q25,R25-Q25),[6]skilldef!$C:$D,2,FALSE),"-") &amp; " / " &amp; IFERROR(VLOOKUP(MID(N25,O25,P25-O25),[6]skilldef!$A:$B,2,FALSE),"-")</f>
        <v>- / -</v>
      </c>
      <c r="T25" s="47" t="str">
        <f t="shared" si="109"/>
        <v>none</v>
      </c>
      <c r="U25" s="61" t="e">
        <f t="shared" si="110"/>
        <v>#VALUE!</v>
      </c>
      <c r="V25" s="61">
        <f t="shared" si="111"/>
        <v>4</v>
      </c>
      <c r="W25" s="61" t="e">
        <f t="shared" si="112"/>
        <v>#VALUE!</v>
      </c>
      <c r="X25" s="61" t="e">
        <f t="shared" si="113"/>
        <v>#VALUE!</v>
      </c>
      <c r="Y25" s="61" t="str">
        <f>IFERROR(VLOOKUP(MID(T25,W25,X25-W25),[6]skilldef!$C:$D,2,FALSE),"-") &amp; " / " &amp; IFERROR(VLOOKUP(MID(T25,U25,V25-U25),[6]skilldef!$A:$B,2,FALSE),"-")</f>
        <v>- / -</v>
      </c>
      <c r="Z25" s="49"/>
      <c r="AA25" s="51"/>
      <c r="AB25" s="49"/>
    </row>
    <row r="26" spans="1:28" ht="21" customHeight="1">
      <c r="A26" s="96">
        <v>49003025</v>
      </c>
      <c r="B26" s="46" t="s">
        <v>243</v>
      </c>
      <c r="C26" s="49">
        <v>1</v>
      </c>
      <c r="D26" s="49" t="s">
        <v>126</v>
      </c>
      <c r="E26" s="50" t="s">
        <v>276</v>
      </c>
      <c r="F26" s="50" t="s">
        <v>315</v>
      </c>
      <c r="G26" s="61" t="str">
        <f t="shared" si="99"/>
        <v>[effect:enhance_enemy, target:enemy_all, turn:-1, status:attack, val:0.2, calc:mul, animation:enemy_enhance_attack]</v>
      </c>
      <c r="H26" s="61">
        <f t="shared" si="100"/>
        <v>9</v>
      </c>
      <c r="I26" s="61">
        <f t="shared" si="101"/>
        <v>22</v>
      </c>
      <c r="J26" s="61">
        <f t="shared" si="102"/>
        <v>31</v>
      </c>
      <c r="K26" s="61">
        <f t="shared" si="103"/>
        <v>40</v>
      </c>
      <c r="L26" s="61" t="str">
        <f>IFERROR(VLOOKUP(MID(G26,J26,K26-J26),[6]skilldef!$C:$D,2,FALSE),"-") &amp; " / " &amp; IFERROR(VLOOKUP(MID(G26,H26,I26-H26),[6]skilldef!$A:$B,2,FALSE),"-")</f>
        <v>敵全体に / ステータス強化</v>
      </c>
      <c r="M26" s="61" t="str">
        <f t="shared" si="104"/>
        <v xml:space="preserve">[effect:fix_speed, target:myself, turn:2]    </v>
      </c>
      <c r="N26" s="47" t="str">
        <f t="shared" si="98"/>
        <v xml:space="preserve">[effect:fix_speed, target:myself, turn:2]    </v>
      </c>
      <c r="O26" s="61">
        <f t="shared" si="105"/>
        <v>9</v>
      </c>
      <c r="P26" s="61">
        <f t="shared" si="106"/>
        <v>18</v>
      </c>
      <c r="Q26" s="61">
        <f t="shared" si="107"/>
        <v>27</v>
      </c>
      <c r="R26" s="61">
        <f t="shared" si="108"/>
        <v>33</v>
      </c>
      <c r="S26" s="61" t="str">
        <f>IFERROR(VLOOKUP(MID(N26,Q26,R26-Q26),[6]skilldef!$C:$D,2,FALSE),"-") &amp; " / " &amp; IFERROR(VLOOKUP(MID(N26,O26,P26-O26),[6]skilldef!$A:$B,2,FALSE),"-")</f>
        <v>自分自身に / 行動値設定</v>
      </c>
      <c r="T26" s="47" t="str">
        <f t="shared" si="109"/>
        <v>none</v>
      </c>
      <c r="U26" s="61" t="e">
        <f t="shared" si="110"/>
        <v>#VALUE!</v>
      </c>
      <c r="V26" s="61">
        <f t="shared" si="111"/>
        <v>4</v>
      </c>
      <c r="W26" s="61" t="e">
        <f t="shared" si="112"/>
        <v>#VALUE!</v>
      </c>
      <c r="X26" s="61" t="e">
        <f t="shared" si="113"/>
        <v>#VALUE!</v>
      </c>
      <c r="Y26" s="61" t="str">
        <f>IFERROR(VLOOKUP(MID(T26,W26,X26-W26),[6]skilldef!$C:$D,2,FALSE),"-") &amp; " / " &amp; IFERROR(VLOOKUP(MID(T26,U26,V26-U26),[6]skilldef!$A:$B,2,FALSE),"-")</f>
        <v>- / -</v>
      </c>
      <c r="Z26" s="49"/>
      <c r="AA26" s="51"/>
      <c r="AB26" s="49"/>
    </row>
    <row r="27" spans="1:28" ht="21" customHeight="1">
      <c r="A27" s="96">
        <v>49003026</v>
      </c>
      <c r="B27" s="46" t="s">
        <v>244</v>
      </c>
      <c r="C27" s="49">
        <v>1</v>
      </c>
      <c r="D27" s="49" t="s">
        <v>126</v>
      </c>
      <c r="E27" s="50" t="s">
        <v>277</v>
      </c>
      <c r="F27" s="50" t="s">
        <v>316</v>
      </c>
      <c r="G27" s="61" t="str">
        <f t="shared" si="99"/>
        <v>[effect:critical, val:1.3]</v>
      </c>
      <c r="H27" s="61">
        <f t="shared" si="100"/>
        <v>9</v>
      </c>
      <c r="I27" s="61">
        <f t="shared" si="101"/>
        <v>17</v>
      </c>
      <c r="J27" s="61" t="e">
        <f t="shared" si="102"/>
        <v>#VALUE!</v>
      </c>
      <c r="K27" s="61" t="e">
        <f t="shared" si="103"/>
        <v>#VALUE!</v>
      </c>
      <c r="L27" s="61" t="str">
        <f>IFERROR(VLOOKUP(MID(G27,J27,K27-J27),[6]skilldef!$C:$D,2,FALSE),"-") &amp; " / " &amp; IFERROR(VLOOKUP(MID(G27,H27,I27-H27),[6]skilldef!$A:$B,2,FALSE),"-")</f>
        <v>- / 大攻撃</v>
      </c>
      <c r="M27" s="61" t="str">
        <f t="shared" si="104"/>
        <v xml:space="preserve">[effect:fix_speed, target:myself, turn:1]    </v>
      </c>
      <c r="N27" s="47" t="str">
        <f t="shared" si="98"/>
        <v xml:space="preserve">[effect:fix_speed, target:myself, turn:1]    </v>
      </c>
      <c r="O27" s="61">
        <f t="shared" si="105"/>
        <v>9</v>
      </c>
      <c r="P27" s="61">
        <f t="shared" si="106"/>
        <v>18</v>
      </c>
      <c r="Q27" s="61">
        <f t="shared" si="107"/>
        <v>27</v>
      </c>
      <c r="R27" s="61">
        <f t="shared" si="108"/>
        <v>33</v>
      </c>
      <c r="S27" s="61" t="str">
        <f>IFERROR(VLOOKUP(MID(N27,Q27,R27-Q27),[6]skilldef!$C:$D,2,FALSE),"-") &amp; " / " &amp; IFERROR(VLOOKUP(MID(N27,O27,P27-O27),[6]skilldef!$A:$B,2,FALSE),"-")</f>
        <v>自分自身に / 行動値設定</v>
      </c>
      <c r="T27" s="47" t="str">
        <f t="shared" si="109"/>
        <v>none</v>
      </c>
      <c r="U27" s="61" t="e">
        <f t="shared" si="110"/>
        <v>#VALUE!</v>
      </c>
      <c r="V27" s="61">
        <f t="shared" si="111"/>
        <v>4</v>
      </c>
      <c r="W27" s="61" t="e">
        <f t="shared" si="112"/>
        <v>#VALUE!</v>
      </c>
      <c r="X27" s="61" t="e">
        <f t="shared" si="113"/>
        <v>#VALUE!</v>
      </c>
      <c r="Y27" s="61" t="str">
        <f>IFERROR(VLOOKUP(MID(T27,W27,X27-W27),[6]skilldef!$C:$D,2,FALSE),"-") &amp; " / " &amp; IFERROR(VLOOKUP(MID(T27,U27,V27-U27),[6]skilldef!$A:$B,2,FALSE),"-")</f>
        <v>- / -</v>
      </c>
      <c r="Z27" s="49"/>
      <c r="AA27" s="51"/>
      <c r="AB27" s="49"/>
    </row>
    <row r="28" spans="1:28" ht="21" customHeight="1">
      <c r="A28" s="96">
        <v>49003028</v>
      </c>
      <c r="B28" s="46" t="s">
        <v>319</v>
      </c>
      <c r="C28" s="49">
        <v>1</v>
      </c>
      <c r="D28" s="49" t="s">
        <v>126</v>
      </c>
      <c r="E28" s="50" t="s">
        <v>358</v>
      </c>
      <c r="F28" s="50" t="s">
        <v>317</v>
      </c>
      <c r="G28" s="61" t="str">
        <f t="shared" ref="G28:G32" si="114">IFERROR(LEFT(B28,FIND("],",B28)),B28)</f>
        <v>[effect:damage_anti_tribe, target:unit_all, tribe:human, val1:0.1, val2:0.9]</v>
      </c>
      <c r="H28" s="61">
        <f t="shared" ref="H28:H32" si="115">FIND("effect:",G28)+7</f>
        <v>9</v>
      </c>
      <c r="I28" s="61">
        <f t="shared" ref="I28:I32" si="116">IFERROR(FIND(",",G28),LEN(G28))</f>
        <v>26</v>
      </c>
      <c r="J28" s="61">
        <f t="shared" ref="J28:J32" si="117">FIND("target:",G28)+7</f>
        <v>35</v>
      </c>
      <c r="K28" s="61">
        <f t="shared" ref="K28:K32" si="118">FIND(",",G28,I28+1)</f>
        <v>43</v>
      </c>
      <c r="L28" s="61" t="str">
        <f>IFERROR(VLOOKUP(MID(G28,J28,K28-J28),[6]skilldef!$C:$D,2,FALSE),"-") &amp; " / " &amp; IFERROR(VLOOKUP(MID(G28,H28,I28-H28),[6]skilldef!$A:$B,2,FALSE),"-")</f>
        <v>味方全体に / 種族キラー</v>
      </c>
      <c r="M28" s="61" t="str">
        <f t="shared" ref="M28:M32" si="119">IFERROR(RIGHT(B28,LEN(B28)-FIND("],",B28)-1),"none")</f>
        <v xml:space="preserve">[effect:fix_speed, target:myself, turn:1]    </v>
      </c>
      <c r="N28" s="47" t="str">
        <f t="shared" ref="N28:N32" si="120">IFERROR(LEFT(M28,FIND("],",M28)+S38),M28)</f>
        <v xml:space="preserve">[effect:fix_speed, target:myself, turn:1]    </v>
      </c>
      <c r="O28" s="61">
        <f t="shared" ref="O28:O32" si="121">FIND("effect:",N28)+7</f>
        <v>9</v>
      </c>
      <c r="P28" s="61">
        <f t="shared" ref="P28:P32" si="122">IFERROR(FIND(",",N28),LEN(N28))</f>
        <v>18</v>
      </c>
      <c r="Q28" s="61">
        <f t="shared" ref="Q28:Q32" si="123">FIND("target:",N28)+7</f>
        <v>27</v>
      </c>
      <c r="R28" s="61">
        <f t="shared" ref="R28:R32" si="124">FIND(",",N28,P28+1)</f>
        <v>33</v>
      </c>
      <c r="S28" s="61" t="str">
        <f>IFERROR(VLOOKUP(MID(N28,Q28,R28-Q28),[6]skilldef!$C:$D,2,FALSE),"-") &amp; " / " &amp; IFERROR(VLOOKUP(MID(N28,O28,P28-O28),[6]skilldef!$A:$B,2,FALSE),"-")</f>
        <v>自分自身に / 行動値設定</v>
      </c>
      <c r="T28" s="47" t="str">
        <f t="shared" ref="T28:T32" si="125">IFERROR(RIGHT(M28,LEN(M28)-FIND("],",M28)-1),"none")</f>
        <v>none</v>
      </c>
      <c r="U28" s="61" t="e">
        <f t="shared" ref="U28:U32" si="126">FIND("effect:",T28)+7</f>
        <v>#VALUE!</v>
      </c>
      <c r="V28" s="61">
        <f t="shared" ref="V28:V32" si="127">IFERROR(FIND(",",T28),LEN(T28))</f>
        <v>4</v>
      </c>
      <c r="W28" s="61" t="e">
        <f t="shared" ref="W28:W32" si="128">FIND("target:",T28)+7</f>
        <v>#VALUE!</v>
      </c>
      <c r="X28" s="61" t="e">
        <f t="shared" ref="X28:X32" si="129">FIND(",",T28,V28+1)</f>
        <v>#VALUE!</v>
      </c>
      <c r="Y28" s="61" t="str">
        <f>IFERROR(VLOOKUP(MID(T28,W28,X28-W28),[6]skilldef!$C:$D,2,FALSE),"-") &amp; " / " &amp; IFERROR(VLOOKUP(MID(T28,U28,V28-U28),[6]skilldef!$A:$B,2,FALSE),"-")</f>
        <v>- / -</v>
      </c>
      <c r="Z28" s="49"/>
      <c r="AA28" s="51"/>
      <c r="AB28" s="49"/>
    </row>
    <row r="29" spans="1:28" ht="21" customHeight="1">
      <c r="A29" s="96">
        <v>49003029</v>
      </c>
      <c r="B29" s="46" t="s">
        <v>318</v>
      </c>
      <c r="C29" s="49">
        <v>1</v>
      </c>
      <c r="D29" s="49" t="s">
        <v>126</v>
      </c>
      <c r="E29" s="50" t="s">
        <v>278</v>
      </c>
      <c r="F29" s="137" t="s">
        <v>342</v>
      </c>
      <c r="G29" s="61" t="str">
        <f t="shared" si="114"/>
        <v>[effect:rush, count:1, val:1]</v>
      </c>
      <c r="H29" s="61">
        <f t="shared" si="115"/>
        <v>9</v>
      </c>
      <c r="I29" s="61">
        <f t="shared" si="116"/>
        <v>13</v>
      </c>
      <c r="J29" s="61" t="e">
        <f t="shared" si="117"/>
        <v>#VALUE!</v>
      </c>
      <c r="K29" s="61">
        <f t="shared" si="118"/>
        <v>22</v>
      </c>
      <c r="L29" s="61" t="str">
        <f>IFERROR(VLOOKUP(MID(G29,J29,K29-J29),[6]skilldef!$C:$D,2,FALSE),"-") &amp; " / " &amp; IFERROR(VLOOKUP(MID(G29,H29,I29-H29),[6]skilldef!$A:$B,2,FALSE),"-")</f>
        <v>- / 連続攻撃</v>
      </c>
      <c r="M29" s="61" t="str">
        <f t="shared" si="119"/>
        <v>none</v>
      </c>
      <c r="N29" s="47" t="str">
        <f t="shared" si="120"/>
        <v>none</v>
      </c>
      <c r="O29" s="61" t="e">
        <f t="shared" si="121"/>
        <v>#VALUE!</v>
      </c>
      <c r="P29" s="61">
        <f t="shared" si="122"/>
        <v>4</v>
      </c>
      <c r="Q29" s="61" t="e">
        <f t="shared" si="123"/>
        <v>#VALUE!</v>
      </c>
      <c r="R29" s="61" t="e">
        <f t="shared" si="124"/>
        <v>#VALUE!</v>
      </c>
      <c r="S29" s="61" t="str">
        <f>IFERROR(VLOOKUP(MID(N29,Q29,R29-Q29),[6]skilldef!$C:$D,2,FALSE),"-") &amp; " / " &amp; IFERROR(VLOOKUP(MID(N29,O29,P29-O29),[6]skilldef!$A:$B,2,FALSE),"-")</f>
        <v>- / -</v>
      </c>
      <c r="T29" s="47" t="str">
        <f t="shared" si="125"/>
        <v>none</v>
      </c>
      <c r="U29" s="61" t="e">
        <f t="shared" si="126"/>
        <v>#VALUE!</v>
      </c>
      <c r="V29" s="61">
        <f t="shared" si="127"/>
        <v>4</v>
      </c>
      <c r="W29" s="61" t="e">
        <f t="shared" si="128"/>
        <v>#VALUE!</v>
      </c>
      <c r="X29" s="61" t="e">
        <f t="shared" si="129"/>
        <v>#VALUE!</v>
      </c>
      <c r="Y29" s="61" t="str">
        <f>IFERROR(VLOOKUP(MID(T29,W29,X29-W29),[6]skilldef!$C:$D,2,FALSE),"-") &amp; " / " &amp; IFERROR(VLOOKUP(MID(T29,U29,V29-U29),[6]skilldef!$A:$B,2,FALSE),"-")</f>
        <v>- / -</v>
      </c>
      <c r="Z29" s="49"/>
      <c r="AA29" s="51"/>
      <c r="AB29" s="49"/>
    </row>
    <row r="30" spans="1:28" ht="21" customHeight="1">
      <c r="A30" s="96">
        <v>49003030</v>
      </c>
      <c r="B30" s="46" t="s">
        <v>253</v>
      </c>
      <c r="C30" s="49">
        <v>1</v>
      </c>
      <c r="D30" s="49" t="s">
        <v>126</v>
      </c>
      <c r="E30" s="50" t="s">
        <v>279</v>
      </c>
      <c r="F30" s="50" t="s">
        <v>324</v>
      </c>
      <c r="G30" s="61" t="str">
        <f t="shared" si="114"/>
        <v>[effect:change_block, new_block:time_bomb, target:block_all, count:3, val:0.2, min_time_count:1, max_time_count:1, animation:change_block]</v>
      </c>
      <c r="H30" s="61">
        <f t="shared" si="115"/>
        <v>9</v>
      </c>
      <c r="I30" s="61">
        <f t="shared" si="116"/>
        <v>21</v>
      </c>
      <c r="J30" s="61">
        <f t="shared" si="117"/>
        <v>51</v>
      </c>
      <c r="K30" s="61">
        <f t="shared" si="118"/>
        <v>42</v>
      </c>
      <c r="L30" s="61" t="str">
        <f>IFERROR(VLOOKUP(MID(G30,J30,K30-J30),[6]skilldef!$C:$D,2,FALSE),"-") &amp; " / " &amp; IFERROR(VLOOKUP(MID(G30,H30,I30-H30),[6]skilldef!$A:$B,2,FALSE),"-")</f>
        <v>- / ブロック変換</v>
      </c>
      <c r="M30" s="61" t="str">
        <f t="shared" si="119"/>
        <v>[effect:rush, count:1, val:1]</v>
      </c>
      <c r="N30" s="47" t="str">
        <f t="shared" si="120"/>
        <v>[effect:rush, count:1, val:1]</v>
      </c>
      <c r="O30" s="61">
        <f t="shared" si="121"/>
        <v>9</v>
      </c>
      <c r="P30" s="61">
        <f t="shared" si="122"/>
        <v>13</v>
      </c>
      <c r="Q30" s="61" t="e">
        <f t="shared" si="123"/>
        <v>#VALUE!</v>
      </c>
      <c r="R30" s="61">
        <f t="shared" si="124"/>
        <v>22</v>
      </c>
      <c r="S30" s="61" t="str">
        <f>IFERROR(VLOOKUP(MID(N30,Q30,R30-Q30),[6]skilldef!$C:$D,2,FALSE),"-") &amp; " / " &amp; IFERROR(VLOOKUP(MID(N30,O30,P30-O30),[6]skilldef!$A:$B,2,FALSE),"-")</f>
        <v>- / 連続攻撃</v>
      </c>
      <c r="T30" s="47" t="str">
        <f t="shared" si="125"/>
        <v>none</v>
      </c>
      <c r="U30" s="61" t="e">
        <f t="shared" si="126"/>
        <v>#VALUE!</v>
      </c>
      <c r="V30" s="61">
        <f t="shared" si="127"/>
        <v>4</v>
      </c>
      <c r="W30" s="61" t="e">
        <f t="shared" si="128"/>
        <v>#VALUE!</v>
      </c>
      <c r="X30" s="61" t="e">
        <f t="shared" si="129"/>
        <v>#VALUE!</v>
      </c>
      <c r="Y30" s="61" t="str">
        <f>IFERROR(VLOOKUP(MID(T30,W30,X30-W30),[6]skilldef!$C:$D,2,FALSE),"-") &amp; " / " &amp; IFERROR(VLOOKUP(MID(T30,U30,V30-U30),[6]skilldef!$A:$B,2,FALSE),"-")</f>
        <v>- / -</v>
      </c>
      <c r="Z30" s="49"/>
      <c r="AA30" s="51"/>
      <c r="AB30" s="49"/>
    </row>
    <row r="31" spans="1:28" ht="21" customHeight="1">
      <c r="A31" s="96">
        <v>49003031</v>
      </c>
      <c r="B31" s="46" t="s">
        <v>294</v>
      </c>
      <c r="C31" s="49">
        <v>1</v>
      </c>
      <c r="D31" s="49" t="s">
        <v>126</v>
      </c>
      <c r="E31" s="50" t="s">
        <v>304</v>
      </c>
      <c r="F31" s="50" t="s">
        <v>320</v>
      </c>
      <c r="G31" s="61" t="str">
        <f t="shared" si="114"/>
        <v>[effect:panel_freeze, target:block_red,count:1, break_count:1]</v>
      </c>
      <c r="H31" s="61">
        <f t="shared" si="115"/>
        <v>9</v>
      </c>
      <c r="I31" s="61">
        <f t="shared" si="116"/>
        <v>21</v>
      </c>
      <c r="J31" s="61">
        <f t="shared" si="117"/>
        <v>30</v>
      </c>
      <c r="K31" s="61">
        <f t="shared" si="118"/>
        <v>39</v>
      </c>
      <c r="L31" s="61" t="str">
        <f>IFERROR(VLOOKUP(MID(G31,J31,K31-J31),[6]skilldef!$C:$D,2,FALSE),"-") &amp; " / " &amp; IFERROR(VLOOKUP(MID(G31,H31,I31-H31),[6]skilldef!$A:$B,2,FALSE),"-")</f>
        <v>赤パネルを / -</v>
      </c>
      <c r="M31" s="61" t="str">
        <f t="shared" si="119"/>
        <v>[effect:panel_freeze, target:block_green,count:1, break_count:1],[effect:panel_freeze, target:block_yellow,count:1, break_count:1],[effect:panel_freeze, target:block_blue,count:1, break_count:1],[effect:rush, count:1, val:1]</v>
      </c>
      <c r="N31" s="47" t="str">
        <f t="shared" si="120"/>
        <v>[effect:panel_freeze, target:block_green,count:1, break_count:1],[effect:panel_freeze, target:block_yellow,count:1, break_count:1],[effect:panel_freeze, target:block_blue,count:1, break_count:1],[effect:rush, count:1, val:1]</v>
      </c>
      <c r="O31" s="61">
        <f t="shared" si="121"/>
        <v>9</v>
      </c>
      <c r="P31" s="61">
        <f t="shared" si="122"/>
        <v>21</v>
      </c>
      <c r="Q31" s="61">
        <f t="shared" si="123"/>
        <v>30</v>
      </c>
      <c r="R31" s="61">
        <f t="shared" si="124"/>
        <v>41</v>
      </c>
      <c r="S31" s="61" t="str">
        <f>IFERROR(VLOOKUP(MID(N31,Q31,R31-Q31),[6]skilldef!$C:$D,2,FALSE),"-") &amp; " / " &amp; IFERROR(VLOOKUP(MID(N31,O31,P31-O31),[6]skilldef!$A:$B,2,FALSE),"-")</f>
        <v>緑パネルを / -</v>
      </c>
      <c r="T31" s="47" t="str">
        <f t="shared" si="125"/>
        <v>[effect:panel_freeze, target:block_yellow,count:1, break_count:1],[effect:panel_freeze, target:block_blue,count:1, break_count:1],[effect:rush, count:1, val:1]</v>
      </c>
      <c r="U31" s="61">
        <f t="shared" si="126"/>
        <v>9</v>
      </c>
      <c r="V31" s="61">
        <f t="shared" si="127"/>
        <v>21</v>
      </c>
      <c r="W31" s="61">
        <f t="shared" si="128"/>
        <v>30</v>
      </c>
      <c r="X31" s="61">
        <f t="shared" si="129"/>
        <v>42</v>
      </c>
      <c r="Y31" s="61" t="str">
        <f>IFERROR(VLOOKUP(MID(T31,W31,X31-W31),[6]skilldef!$C:$D,2,FALSE),"-") &amp; " / " &amp; IFERROR(VLOOKUP(MID(T31,U31,V31-U31),[6]skilldef!$A:$B,2,FALSE),"-")</f>
        <v>黄色パネルを / -</v>
      </c>
      <c r="Z31" s="49"/>
      <c r="AA31" s="51"/>
      <c r="AB31" s="49"/>
    </row>
    <row r="32" spans="1:28" ht="21" customHeight="1">
      <c r="A32" s="96">
        <v>49003032</v>
      </c>
      <c r="B32" s="96" t="s">
        <v>238</v>
      </c>
      <c r="C32" s="49">
        <v>1</v>
      </c>
      <c r="D32" s="49" t="s">
        <v>126</v>
      </c>
      <c r="E32" s="50" t="s">
        <v>352</v>
      </c>
      <c r="F32" s="50" t="s">
        <v>321</v>
      </c>
      <c r="G32" s="61" t="str">
        <f t="shared" si="114"/>
        <v>[effect:critical, val:1.6]</v>
      </c>
      <c r="H32" s="61">
        <f t="shared" si="115"/>
        <v>9</v>
      </c>
      <c r="I32" s="61">
        <f t="shared" si="116"/>
        <v>17</v>
      </c>
      <c r="J32" s="61" t="e">
        <f t="shared" si="117"/>
        <v>#VALUE!</v>
      </c>
      <c r="K32" s="61" t="e">
        <f t="shared" si="118"/>
        <v>#VALUE!</v>
      </c>
      <c r="L32" s="61" t="str">
        <f>IFERROR(VLOOKUP(MID(G32,J32,K32-J32),[6]skilldef!$C:$D,2,FALSE),"-") &amp; " / " &amp; IFERROR(VLOOKUP(MID(G32,H32,I32-H32),[6]skilldef!$A:$B,2,FALSE),"-")</f>
        <v>- / 大攻撃</v>
      </c>
      <c r="M32" s="61" t="str">
        <f t="shared" si="119"/>
        <v>none</v>
      </c>
      <c r="N32" s="47" t="str">
        <f t="shared" si="120"/>
        <v>none</v>
      </c>
      <c r="O32" s="61" t="e">
        <f t="shared" si="121"/>
        <v>#VALUE!</v>
      </c>
      <c r="P32" s="61">
        <f t="shared" si="122"/>
        <v>4</v>
      </c>
      <c r="Q32" s="61" t="e">
        <f t="shared" si="123"/>
        <v>#VALUE!</v>
      </c>
      <c r="R32" s="61" t="e">
        <f t="shared" si="124"/>
        <v>#VALUE!</v>
      </c>
      <c r="S32" s="61" t="str">
        <f>IFERROR(VLOOKUP(MID(N32,Q32,R32-Q32),[6]skilldef!$C:$D,2,FALSE),"-") &amp; " / " &amp; IFERROR(VLOOKUP(MID(N32,O32,P32-O32),[6]skilldef!$A:$B,2,FALSE),"-")</f>
        <v>- / -</v>
      </c>
      <c r="T32" s="47" t="str">
        <f t="shared" si="125"/>
        <v>none</v>
      </c>
      <c r="U32" s="61" t="e">
        <f t="shared" si="126"/>
        <v>#VALUE!</v>
      </c>
      <c r="V32" s="61">
        <f t="shared" si="127"/>
        <v>4</v>
      </c>
      <c r="W32" s="61" t="e">
        <f t="shared" si="128"/>
        <v>#VALUE!</v>
      </c>
      <c r="X32" s="61" t="e">
        <f t="shared" si="129"/>
        <v>#VALUE!</v>
      </c>
      <c r="Y32" s="61" t="str">
        <f>IFERROR(VLOOKUP(MID(T32,W32,X32-W32),[6]skilldef!$C:$D,2,FALSE),"-") &amp; " / " &amp; IFERROR(VLOOKUP(MID(T32,U32,V32-U32),[6]skilldef!$A:$B,2,FALSE),"-")</f>
        <v>- / -</v>
      </c>
      <c r="Z32" s="49"/>
      <c r="AA32" s="51"/>
      <c r="AB32" s="49"/>
    </row>
    <row r="33" spans="1:28" ht="21" customHeight="1">
      <c r="A33" s="96">
        <v>49003033</v>
      </c>
      <c r="B33" s="46" t="s">
        <v>362</v>
      </c>
      <c r="C33" s="49">
        <v>1</v>
      </c>
      <c r="D33" s="49" t="s">
        <v>126</v>
      </c>
      <c r="E33" s="50" t="s">
        <v>359</v>
      </c>
      <c r="F33" s="50" t="s">
        <v>322</v>
      </c>
      <c r="G33" s="61" t="str">
        <f t="shared" ref="G33:G36" si="130">IFERROR(LEFT(B33,FIND("],",B33)),B33)</f>
        <v>[effect:tolerance, target:myself, turn:-1, tolerance_effect:all, count:-1, animation:enemy_tolerance]</v>
      </c>
      <c r="H33" s="61">
        <f t="shared" ref="H33:H36" si="131">FIND("effect:",G33)+7</f>
        <v>9</v>
      </c>
      <c r="I33" s="61">
        <f t="shared" ref="I33:I36" si="132">IFERROR(FIND(",",G33),LEN(G33))</f>
        <v>18</v>
      </c>
      <c r="J33" s="61">
        <f t="shared" ref="J33:J36" si="133">FIND("target:",G33)+7</f>
        <v>27</v>
      </c>
      <c r="K33" s="61">
        <f t="shared" ref="K33:K36" si="134">FIND(",",G33,I33+1)</f>
        <v>33</v>
      </c>
      <c r="L33" s="61" t="str">
        <f>IFERROR(VLOOKUP(MID(G33,J33,K33-J33),[6]skilldef!$C:$D,2,FALSE),"-") &amp; " / " &amp; IFERROR(VLOOKUP(MID(G33,H33,I33-H33),[6]skilldef!$A:$B,2,FALSE),"-")</f>
        <v>自分自身に / 状態異常耐性</v>
      </c>
      <c r="M33" s="61" t="str">
        <f t="shared" ref="M33:M36" si="135">IFERROR(RIGHT(B33,LEN(B33)-FIND("],",B33)-1),"none")</f>
        <v xml:space="preserve">[effect:fix_speed, target:myself, turn:2],[effect:enemy_message, val1:3, val2:3]   </v>
      </c>
      <c r="N33" s="47" t="str">
        <f t="shared" ref="N33:N36" si="136">IFERROR(LEFT(M33,FIND("],",M33)+S43),M33)</f>
        <v xml:space="preserve">[effect:fix_speed, target:myself, turn:2],[effect:enemy_message, val1:3, val2:3]   </v>
      </c>
      <c r="O33" s="61">
        <f t="shared" ref="O33:O36" si="137">FIND("effect:",N33)+7</f>
        <v>9</v>
      </c>
      <c r="P33" s="61">
        <f t="shared" ref="P33:P36" si="138">IFERROR(FIND(",",N33),LEN(N33))</f>
        <v>18</v>
      </c>
      <c r="Q33" s="61">
        <f t="shared" ref="Q33:Q36" si="139">FIND("target:",N33)+7</f>
        <v>27</v>
      </c>
      <c r="R33" s="61">
        <f t="shared" ref="R33:R36" si="140">FIND(",",N33,P33+1)</f>
        <v>33</v>
      </c>
      <c r="S33" s="61" t="str">
        <f>IFERROR(VLOOKUP(MID(N33,Q33,R33-Q33),[6]skilldef!$C:$D,2,FALSE),"-") &amp; " / " &amp; IFERROR(VLOOKUP(MID(N33,O33,P33-O33),[6]skilldef!$A:$B,2,FALSE),"-")</f>
        <v>自分自身に / 行動値設定</v>
      </c>
      <c r="T33" s="47" t="str">
        <f t="shared" ref="T33:T36" si="141">IFERROR(RIGHT(M33,LEN(M33)-FIND("],",M33)-1),"none")</f>
        <v xml:space="preserve">[effect:enemy_message, val1:3, val2:3]   </v>
      </c>
      <c r="U33" s="61">
        <f t="shared" ref="U33:U36" si="142">FIND("effect:",T33)+7</f>
        <v>9</v>
      </c>
      <c r="V33" s="61">
        <f t="shared" ref="V33:V36" si="143">IFERROR(FIND(",",T33),LEN(T33))</f>
        <v>22</v>
      </c>
      <c r="W33" s="61" t="e">
        <f t="shared" ref="W33:W36" si="144">FIND("target:",T33)+7</f>
        <v>#VALUE!</v>
      </c>
      <c r="X33" s="61">
        <f t="shared" ref="X33:X36" si="145">FIND(",",T33,V33+1)</f>
        <v>30</v>
      </c>
      <c r="Y33" s="61" t="str">
        <f>IFERROR(VLOOKUP(MID(T33,W33,X33-W33),[6]skilldef!$C:$D,2,FALSE),"-") &amp; " / " &amp; IFERROR(VLOOKUP(MID(T33,U33,V33-U33),[6]skilldef!$A:$B,2,FALSE),"-")</f>
        <v>- / -</v>
      </c>
      <c r="Z33" s="49"/>
      <c r="AA33" s="51"/>
      <c r="AB33" s="49"/>
    </row>
    <row r="34" spans="1:28" ht="21" customHeight="1">
      <c r="A34" s="96">
        <v>49003034</v>
      </c>
      <c r="B34" s="46" t="s">
        <v>223</v>
      </c>
      <c r="C34" s="49">
        <v>1</v>
      </c>
      <c r="D34" s="49" t="s">
        <v>126</v>
      </c>
      <c r="E34" s="50" t="s">
        <v>280</v>
      </c>
      <c r="F34" s="137" t="s">
        <v>341</v>
      </c>
      <c r="G34" s="61" t="str">
        <f t="shared" si="130"/>
        <v>[effect:rush, count:1, val:1]</v>
      </c>
      <c r="H34" s="61">
        <f t="shared" si="131"/>
        <v>9</v>
      </c>
      <c r="I34" s="61">
        <f t="shared" si="132"/>
        <v>13</v>
      </c>
      <c r="J34" s="61" t="e">
        <f t="shared" si="133"/>
        <v>#VALUE!</v>
      </c>
      <c r="K34" s="61">
        <f t="shared" si="134"/>
        <v>22</v>
      </c>
      <c r="L34" s="61" t="str">
        <f>IFERROR(VLOOKUP(MID(G34,J34,K34-J34),[6]skilldef!$C:$D,2,FALSE),"-") &amp; " / " &amp; IFERROR(VLOOKUP(MID(G34,H34,I34-H34),[6]skilldef!$A:$B,2,FALSE),"-")</f>
        <v>- / 連続攻撃</v>
      </c>
      <c r="M34" s="61" t="str">
        <f t="shared" si="135"/>
        <v>none</v>
      </c>
      <c r="N34" s="47" t="str">
        <f t="shared" si="136"/>
        <v>none</v>
      </c>
      <c r="O34" s="61" t="e">
        <f t="shared" si="137"/>
        <v>#VALUE!</v>
      </c>
      <c r="P34" s="61">
        <f t="shared" si="138"/>
        <v>4</v>
      </c>
      <c r="Q34" s="61" t="e">
        <f t="shared" si="139"/>
        <v>#VALUE!</v>
      </c>
      <c r="R34" s="61" t="e">
        <f t="shared" si="140"/>
        <v>#VALUE!</v>
      </c>
      <c r="S34" s="61" t="str">
        <f>IFERROR(VLOOKUP(MID(N34,Q34,R34-Q34),[6]skilldef!$C:$D,2,FALSE),"-") &amp; " / " &amp; IFERROR(VLOOKUP(MID(N34,O34,P34-O34),[6]skilldef!$A:$B,2,FALSE),"-")</f>
        <v>- / -</v>
      </c>
      <c r="T34" s="47" t="str">
        <f t="shared" si="141"/>
        <v>none</v>
      </c>
      <c r="U34" s="61" t="e">
        <f t="shared" si="142"/>
        <v>#VALUE!</v>
      </c>
      <c r="V34" s="61">
        <f t="shared" si="143"/>
        <v>4</v>
      </c>
      <c r="W34" s="61" t="e">
        <f t="shared" si="144"/>
        <v>#VALUE!</v>
      </c>
      <c r="X34" s="61" t="e">
        <f t="shared" si="145"/>
        <v>#VALUE!</v>
      </c>
      <c r="Y34" s="61" t="str">
        <f>IFERROR(VLOOKUP(MID(T34,W34,X34-W34),[6]skilldef!$C:$D,2,FALSE),"-") &amp; " / " &amp; IFERROR(VLOOKUP(MID(T34,U34,V34-U34),[6]skilldef!$A:$B,2,FALSE),"-")</f>
        <v>- / -</v>
      </c>
      <c r="Z34" s="49"/>
      <c r="AA34" s="51"/>
      <c r="AB34" s="49"/>
    </row>
    <row r="35" spans="1:28" ht="21" customHeight="1">
      <c r="A35" s="96">
        <v>49003035</v>
      </c>
      <c r="B35" s="46" t="s">
        <v>225</v>
      </c>
      <c r="C35" s="49">
        <v>1</v>
      </c>
      <c r="D35" s="49" t="s">
        <v>126</v>
      </c>
      <c r="E35" s="50" t="s">
        <v>281</v>
      </c>
      <c r="F35" s="50" t="s">
        <v>323</v>
      </c>
      <c r="G35" s="61" t="str">
        <f t="shared" si="130"/>
        <v>[effect:change_block, new_block:jammer, target:block_all, count:3, val:0, animation:change_block]</v>
      </c>
      <c r="H35" s="61">
        <f t="shared" si="131"/>
        <v>9</v>
      </c>
      <c r="I35" s="61">
        <f t="shared" si="132"/>
        <v>21</v>
      </c>
      <c r="J35" s="61">
        <f t="shared" si="133"/>
        <v>48</v>
      </c>
      <c r="K35" s="61">
        <f t="shared" si="134"/>
        <v>39</v>
      </c>
      <c r="L35" s="61" t="str">
        <f>IFERROR(VLOOKUP(MID(G35,J35,K35-J35),[6]skilldef!$C:$D,2,FALSE),"-") &amp; " / " &amp; IFERROR(VLOOKUP(MID(G35,H35,I35-H35),[6]skilldef!$A:$B,2,FALSE),"-")</f>
        <v>- / ブロック変換</v>
      </c>
      <c r="M35" s="61" t="str">
        <f t="shared" si="135"/>
        <v>[effect:rush, count:1, val:1]</v>
      </c>
      <c r="N35" s="47" t="str">
        <f t="shared" si="136"/>
        <v>[effect:rush, count:1, val:1]</v>
      </c>
      <c r="O35" s="61">
        <f t="shared" si="137"/>
        <v>9</v>
      </c>
      <c r="P35" s="61">
        <f t="shared" si="138"/>
        <v>13</v>
      </c>
      <c r="Q35" s="61" t="e">
        <f t="shared" si="139"/>
        <v>#VALUE!</v>
      </c>
      <c r="R35" s="61">
        <f t="shared" si="140"/>
        <v>22</v>
      </c>
      <c r="S35" s="61" t="str">
        <f>IFERROR(VLOOKUP(MID(N35,Q35,R35-Q35),[6]skilldef!$C:$D,2,FALSE),"-") &amp; " / " &amp; IFERROR(VLOOKUP(MID(N35,O35,P35-O35),[6]skilldef!$A:$B,2,FALSE),"-")</f>
        <v>- / 連続攻撃</v>
      </c>
      <c r="T35" s="47" t="str">
        <f t="shared" si="141"/>
        <v>none</v>
      </c>
      <c r="U35" s="61" t="e">
        <f t="shared" si="142"/>
        <v>#VALUE!</v>
      </c>
      <c r="V35" s="61">
        <f t="shared" si="143"/>
        <v>4</v>
      </c>
      <c r="W35" s="61" t="e">
        <f t="shared" si="144"/>
        <v>#VALUE!</v>
      </c>
      <c r="X35" s="61" t="e">
        <f t="shared" si="145"/>
        <v>#VALUE!</v>
      </c>
      <c r="Y35" s="61" t="str">
        <f>IFERROR(VLOOKUP(MID(T35,W35,X35-W35),[6]skilldef!$C:$D,2,FALSE),"-") &amp; " / " &amp; IFERROR(VLOOKUP(MID(T35,U35,V35-U35),[6]skilldef!$A:$B,2,FALSE),"-")</f>
        <v>- / -</v>
      </c>
      <c r="Z35" s="49"/>
      <c r="AA35" s="51"/>
      <c r="AB35" s="49"/>
    </row>
    <row r="36" spans="1:28" ht="21" customHeight="1">
      <c r="A36" s="96">
        <v>49003036</v>
      </c>
      <c r="B36" s="46" t="s">
        <v>294</v>
      </c>
      <c r="C36" s="49">
        <v>1</v>
      </c>
      <c r="D36" s="49" t="s">
        <v>126</v>
      </c>
      <c r="E36" s="50" t="s">
        <v>282</v>
      </c>
      <c r="F36" s="50" t="s">
        <v>214</v>
      </c>
      <c r="G36" s="61" t="str">
        <f t="shared" si="130"/>
        <v>[effect:panel_freeze, target:block_red,count:1, break_count:1]</v>
      </c>
      <c r="H36" s="61">
        <f t="shared" si="131"/>
        <v>9</v>
      </c>
      <c r="I36" s="61">
        <f t="shared" si="132"/>
        <v>21</v>
      </c>
      <c r="J36" s="61">
        <f t="shared" si="133"/>
        <v>30</v>
      </c>
      <c r="K36" s="61">
        <f t="shared" si="134"/>
        <v>39</v>
      </c>
      <c r="L36" s="61" t="str">
        <f>IFERROR(VLOOKUP(MID(G36,J36,K36-J36),[6]skilldef!$C:$D,2,FALSE),"-") &amp; " / " &amp; IFERROR(VLOOKUP(MID(G36,H36,I36-H36),[6]skilldef!$A:$B,2,FALSE),"-")</f>
        <v>赤パネルを / -</v>
      </c>
      <c r="M36" s="61" t="str">
        <f t="shared" si="135"/>
        <v>[effect:panel_freeze, target:block_green,count:1, break_count:1],[effect:panel_freeze, target:block_yellow,count:1, break_count:1],[effect:panel_freeze, target:block_blue,count:1, break_count:1],[effect:rush, count:1, val:1]</v>
      </c>
      <c r="N36" s="47" t="str">
        <f t="shared" si="136"/>
        <v>[effect:panel_freeze, target:block_green,count:1, break_count:1],[effect:panel_freeze, target:block_yellow,count:1, break_count:1],[effect:panel_freeze, target:block_blue,count:1, break_count:1],[effect:rush, count:1, val:1]</v>
      </c>
      <c r="O36" s="61">
        <f t="shared" si="137"/>
        <v>9</v>
      </c>
      <c r="P36" s="61">
        <f t="shared" si="138"/>
        <v>21</v>
      </c>
      <c r="Q36" s="61">
        <f t="shared" si="139"/>
        <v>30</v>
      </c>
      <c r="R36" s="61">
        <f t="shared" si="140"/>
        <v>41</v>
      </c>
      <c r="S36" s="61" t="str">
        <f>IFERROR(VLOOKUP(MID(N36,Q36,R36-Q36),[6]skilldef!$C:$D,2,FALSE),"-") &amp; " / " &amp; IFERROR(VLOOKUP(MID(N36,O36,P36-O36),[6]skilldef!$A:$B,2,FALSE),"-")</f>
        <v>緑パネルを / -</v>
      </c>
      <c r="T36" s="47" t="str">
        <f t="shared" si="141"/>
        <v>[effect:panel_freeze, target:block_yellow,count:1, break_count:1],[effect:panel_freeze, target:block_blue,count:1, break_count:1],[effect:rush, count:1, val:1]</v>
      </c>
      <c r="U36" s="61">
        <f t="shared" si="142"/>
        <v>9</v>
      </c>
      <c r="V36" s="61">
        <f t="shared" si="143"/>
        <v>21</v>
      </c>
      <c r="W36" s="61">
        <f t="shared" si="144"/>
        <v>30</v>
      </c>
      <c r="X36" s="61">
        <f t="shared" si="145"/>
        <v>42</v>
      </c>
      <c r="Y36" s="61" t="str">
        <f>IFERROR(VLOOKUP(MID(T36,W36,X36-W36),[6]skilldef!$C:$D,2,FALSE),"-") &amp; " / " &amp; IFERROR(VLOOKUP(MID(T36,U36,V36-U36),[6]skilldef!$A:$B,2,FALSE),"-")</f>
        <v>黄色パネルを / -</v>
      </c>
      <c r="Z36" s="49"/>
      <c r="AA36" s="51"/>
      <c r="AB36" s="49"/>
    </row>
    <row r="37" spans="1:28" ht="21" customHeight="1">
      <c r="A37" s="96">
        <v>49003037</v>
      </c>
      <c r="B37" s="46" t="s">
        <v>239</v>
      </c>
      <c r="C37" s="49">
        <v>1</v>
      </c>
      <c r="D37" s="49" t="s">
        <v>126</v>
      </c>
      <c r="E37" s="50" t="s">
        <v>283</v>
      </c>
      <c r="F37" s="50" t="s">
        <v>215</v>
      </c>
      <c r="G37" s="61" t="str">
        <f t="shared" ref="G37:G44" si="146">IFERROR(LEFT(B37,FIND("],",B37)),B37)</f>
        <v>[effect:critical, val:1.6]</v>
      </c>
      <c r="H37" s="61">
        <f t="shared" ref="H37:H44" si="147">FIND("effect:",G37)+7</f>
        <v>9</v>
      </c>
      <c r="I37" s="61">
        <f t="shared" ref="I37:I44" si="148">IFERROR(FIND(",",G37),LEN(G37))</f>
        <v>17</v>
      </c>
      <c r="J37" s="61" t="e">
        <f t="shared" ref="J37:J44" si="149">FIND("target:",G37)+7</f>
        <v>#VALUE!</v>
      </c>
      <c r="K37" s="61" t="e">
        <f t="shared" ref="K37:K44" si="150">FIND(",",G37,I37+1)</f>
        <v>#VALUE!</v>
      </c>
      <c r="L37" s="61" t="str">
        <f>IFERROR(VLOOKUP(MID(G37,J37,K37-J37),[6]skilldef!$C:$D,2,FALSE),"-") &amp; " / " &amp; IFERROR(VLOOKUP(MID(G37,H37,I37-H37),[6]skilldef!$A:$B,2,FALSE),"-")</f>
        <v>- / 大攻撃</v>
      </c>
      <c r="M37" s="61" t="str">
        <f t="shared" ref="M37:M44" si="151">IFERROR(RIGHT(B37,LEN(B37)-FIND("],",B37)-1),"none")</f>
        <v>none</v>
      </c>
      <c r="N37" s="47" t="str">
        <f t="shared" ref="N37:N44" si="152">IFERROR(LEFT(M37,FIND("],",M37)+S47),M37)</f>
        <v>none</v>
      </c>
      <c r="O37" s="61" t="e">
        <f t="shared" ref="O37:O44" si="153">FIND("effect:",N37)+7</f>
        <v>#VALUE!</v>
      </c>
      <c r="P37" s="61">
        <f t="shared" ref="P37:P44" si="154">IFERROR(FIND(",",N37),LEN(N37))</f>
        <v>4</v>
      </c>
      <c r="Q37" s="61" t="e">
        <f t="shared" ref="Q37:Q44" si="155">FIND("target:",N37)+7</f>
        <v>#VALUE!</v>
      </c>
      <c r="R37" s="61" t="e">
        <f t="shared" ref="R37:R44" si="156">FIND(",",N37,P37+1)</f>
        <v>#VALUE!</v>
      </c>
      <c r="S37" s="61" t="str">
        <f>IFERROR(VLOOKUP(MID(N37,Q37,R37-Q37),[6]skilldef!$C:$D,2,FALSE),"-") &amp; " / " &amp; IFERROR(VLOOKUP(MID(N37,O37,P37-O37),[6]skilldef!$A:$B,2,FALSE),"-")</f>
        <v>- / -</v>
      </c>
      <c r="T37" s="47" t="str">
        <f t="shared" ref="T37:T44" si="157">IFERROR(RIGHT(M37,LEN(M37)-FIND("],",M37)-1),"none")</f>
        <v>none</v>
      </c>
      <c r="U37" s="61" t="e">
        <f t="shared" ref="U37:U44" si="158">FIND("effect:",T37)+7</f>
        <v>#VALUE!</v>
      </c>
      <c r="V37" s="61">
        <f t="shared" ref="V37:V44" si="159">IFERROR(FIND(",",T37),LEN(T37))</f>
        <v>4</v>
      </c>
      <c r="W37" s="61" t="e">
        <f t="shared" ref="W37:W44" si="160">FIND("target:",T37)+7</f>
        <v>#VALUE!</v>
      </c>
      <c r="X37" s="61" t="e">
        <f t="shared" ref="X37:X44" si="161">FIND(",",T37,V37+1)</f>
        <v>#VALUE!</v>
      </c>
      <c r="Y37" s="61" t="str">
        <f>IFERROR(VLOOKUP(MID(T37,W37,X37-W37),[6]skilldef!$C:$D,2,FALSE),"-") &amp; " / " &amp; IFERROR(VLOOKUP(MID(T37,U37,V37-U37),[6]skilldef!$A:$B,2,FALSE),"-")</f>
        <v>- / -</v>
      </c>
      <c r="Z37" s="49"/>
      <c r="AA37" s="51"/>
      <c r="AB37" s="49"/>
    </row>
    <row r="38" spans="1:28" ht="21" customHeight="1">
      <c r="A38" s="96">
        <v>49003038</v>
      </c>
      <c r="B38" s="46" t="s">
        <v>246</v>
      </c>
      <c r="C38" s="49">
        <v>1</v>
      </c>
      <c r="D38" s="49" t="s">
        <v>126</v>
      </c>
      <c r="E38" s="50" t="s">
        <v>292</v>
      </c>
      <c r="F38" s="50" t="s">
        <v>327</v>
      </c>
      <c r="G38" s="61" t="str">
        <f t="shared" si="146"/>
        <v>[effect:change_block, new_block:jammer, target:block_red, count:5, val:0, animation:change_block]</v>
      </c>
      <c r="H38" s="61">
        <f t="shared" si="147"/>
        <v>9</v>
      </c>
      <c r="I38" s="61">
        <f t="shared" si="148"/>
        <v>21</v>
      </c>
      <c r="J38" s="61">
        <f t="shared" si="149"/>
        <v>48</v>
      </c>
      <c r="K38" s="61">
        <f t="shared" si="150"/>
        <v>39</v>
      </c>
      <c r="L38" s="61" t="str">
        <f>IFERROR(VLOOKUP(MID(G38,J38,K38-J38),[6]skilldef!$C:$D,2,FALSE),"-") &amp; " / " &amp; IFERROR(VLOOKUP(MID(G38,H38,I38-H38),[6]skilldef!$A:$B,2,FALSE),"-")</f>
        <v>- / ブロック変換</v>
      </c>
      <c r="M38" s="61" t="str">
        <f t="shared" si="151"/>
        <v>[effect:change_block, new_block:jammer, target:block_yellow, count:5, val:0, animation:change_block],[effect:change_block, new_block:time_bomb, target:block_green, count:5, val:0.2, animation:change_block],[effect:change_block, new_block:time_bomb, target:block_blue, count:5, val:0.2, animation:change_block]</v>
      </c>
      <c r="N38" s="47" t="str">
        <f t="shared" si="152"/>
        <v>[effect:change_block, new_block:jammer, target:block_yellow, count:5, val:0, animation:change_block],[effect:change_block, new_block:time_bomb, target:block_green, count:5, val:0.2, animation:change_block],[effect:change_block, new_block:time_bomb, target:block_blue, count:5, val:0.2, animation:change_block]</v>
      </c>
      <c r="O38" s="61">
        <f t="shared" si="153"/>
        <v>9</v>
      </c>
      <c r="P38" s="61">
        <f t="shared" si="154"/>
        <v>21</v>
      </c>
      <c r="Q38" s="61">
        <f t="shared" si="155"/>
        <v>48</v>
      </c>
      <c r="R38" s="61">
        <f t="shared" si="156"/>
        <v>39</v>
      </c>
      <c r="S38" s="61" t="str">
        <f>IFERROR(VLOOKUP(MID(N38,Q38,R38-Q38),[6]skilldef!$C:$D,2,FALSE),"-") &amp; " / " &amp; IFERROR(VLOOKUP(MID(N38,O38,P38-O38),[6]skilldef!$A:$B,2,FALSE),"-")</f>
        <v>- / ブロック変換</v>
      </c>
      <c r="T38" s="47" t="str">
        <f t="shared" si="157"/>
        <v>[effect:change_block, new_block:time_bomb, target:block_green, count:5, val:0.2, animation:change_block],[effect:change_block, new_block:time_bomb, target:block_blue, count:5, val:0.2, animation:change_block]</v>
      </c>
      <c r="U38" s="61">
        <f t="shared" si="158"/>
        <v>9</v>
      </c>
      <c r="V38" s="61">
        <f t="shared" si="159"/>
        <v>21</v>
      </c>
      <c r="W38" s="61">
        <f t="shared" si="160"/>
        <v>51</v>
      </c>
      <c r="X38" s="61">
        <f t="shared" si="161"/>
        <v>42</v>
      </c>
      <c r="Y38" s="61" t="str">
        <f>IFERROR(VLOOKUP(MID(T38,W38,X38-W38),[6]skilldef!$C:$D,2,FALSE),"-") &amp; " / " &amp; IFERROR(VLOOKUP(MID(T38,U38,V38-U38),[6]skilldef!$A:$B,2,FALSE),"-")</f>
        <v>- / ブロック変換</v>
      </c>
      <c r="Z38" s="49"/>
      <c r="AA38" s="51"/>
      <c r="AB38" s="49"/>
    </row>
    <row r="39" spans="1:28" ht="21" customHeight="1">
      <c r="A39" s="96">
        <v>49003039</v>
      </c>
      <c r="B39" s="46" t="s">
        <v>361</v>
      </c>
      <c r="C39" s="49">
        <v>1</v>
      </c>
      <c r="D39" s="49" t="s">
        <v>126</v>
      </c>
      <c r="E39" s="50" t="s">
        <v>353</v>
      </c>
      <c r="F39" s="50" t="s">
        <v>325</v>
      </c>
      <c r="G39" s="61" t="str">
        <f t="shared" si="146"/>
        <v>[effect:tolerance, target:myself, turn:-1, tolerance_effect:all, count:-1, animation:enemy_tolerance]</v>
      </c>
      <c r="H39" s="61">
        <f t="shared" si="147"/>
        <v>9</v>
      </c>
      <c r="I39" s="61">
        <f t="shared" si="148"/>
        <v>18</v>
      </c>
      <c r="J39" s="61">
        <f t="shared" si="149"/>
        <v>27</v>
      </c>
      <c r="K39" s="61">
        <f t="shared" si="150"/>
        <v>33</v>
      </c>
      <c r="L39" s="61" t="str">
        <f>IFERROR(VLOOKUP(MID(G39,J39,K39-J39),[6]skilldef!$C:$D,2,FALSE),"-") &amp; " / " &amp; IFERROR(VLOOKUP(MID(G39,H39,I39-H39),[6]skilldef!$A:$B,2,FALSE),"-")</f>
        <v>自分自身に / 状態異常耐性</v>
      </c>
      <c r="M39" s="61" t="str">
        <f t="shared" si="151"/>
        <v>[effect:degrade_fever, val:1000, animation:fevergauge_down],[effect:freq_turn, target:myself, turn:-1, val:1, animation:enemy_freq_turn],[effect:enemy_message, val1:3, val2:3]</v>
      </c>
      <c r="N39" s="47" t="str">
        <f t="shared" si="152"/>
        <v>[effect:degrade_fever, val:1000, animation:fevergauge_down],[effect:freq_turn, target:myself, turn:-1, val:1, animation:enemy_freq_turn],[effect:enemy_message, val1:3, val2:3]</v>
      </c>
      <c r="O39" s="61">
        <f t="shared" si="153"/>
        <v>9</v>
      </c>
      <c r="P39" s="61">
        <f t="shared" si="154"/>
        <v>22</v>
      </c>
      <c r="Q39" s="61">
        <f t="shared" si="155"/>
        <v>87</v>
      </c>
      <c r="R39" s="61">
        <f t="shared" si="156"/>
        <v>32</v>
      </c>
      <c r="S39" s="61" t="str">
        <f>IFERROR(VLOOKUP(MID(N39,Q39,R39-Q39),[6]skilldef!$C:$D,2,FALSE),"-") &amp; " / " &amp; IFERROR(VLOOKUP(MID(N39,O39,P39-O39),[6]skilldef!$A:$B,2,FALSE),"-")</f>
        <v>- / フィーバーゲージ減少</v>
      </c>
      <c r="T39" s="47" t="str">
        <f t="shared" si="157"/>
        <v>[effect:freq_turn, target:myself, turn:-1, val:1, animation:enemy_freq_turn],[effect:enemy_message, val1:3, val2:3]</v>
      </c>
      <c r="U39" s="61">
        <f t="shared" si="158"/>
        <v>9</v>
      </c>
      <c r="V39" s="61">
        <f t="shared" si="159"/>
        <v>18</v>
      </c>
      <c r="W39" s="61">
        <f t="shared" si="160"/>
        <v>27</v>
      </c>
      <c r="X39" s="61">
        <f t="shared" si="161"/>
        <v>33</v>
      </c>
      <c r="Y39" s="61" t="str">
        <f>IFERROR(VLOOKUP(MID(T39,W39,X39-W39),[6]skilldef!$C:$D,2,FALSE),"-") &amp; " / " &amp; IFERROR(VLOOKUP(MID(T39,U39,V39-U39),[6]skilldef!$A:$B,2,FALSE),"-")</f>
        <v>自分自身に / 攻撃頻度がUP</v>
      </c>
      <c r="Z39" s="49"/>
      <c r="AA39" s="51"/>
      <c r="AB39" s="49"/>
    </row>
    <row r="40" spans="1:28" ht="21" customHeight="1">
      <c r="A40" s="96">
        <v>49003040</v>
      </c>
      <c r="B40" s="46" t="s">
        <v>222</v>
      </c>
      <c r="C40" s="49">
        <v>1</v>
      </c>
      <c r="D40" s="49" t="s">
        <v>126</v>
      </c>
      <c r="E40" s="50" t="s">
        <v>284</v>
      </c>
      <c r="F40" s="137" t="s">
        <v>340</v>
      </c>
      <c r="G40" s="61" t="str">
        <f t="shared" si="146"/>
        <v>[effect:rush, count:1, val:1]</v>
      </c>
      <c r="H40" s="61">
        <f t="shared" si="147"/>
        <v>9</v>
      </c>
      <c r="I40" s="61">
        <f t="shared" si="148"/>
        <v>13</v>
      </c>
      <c r="J40" s="61" t="e">
        <f t="shared" si="149"/>
        <v>#VALUE!</v>
      </c>
      <c r="K40" s="61">
        <f t="shared" si="150"/>
        <v>22</v>
      </c>
      <c r="L40" s="61" t="str">
        <f>IFERROR(VLOOKUP(MID(G40,J40,K40-J40),[6]skilldef!$C:$D,2,FALSE),"-") &amp; " / " &amp; IFERROR(VLOOKUP(MID(G40,H40,I40-H40),[6]skilldef!$A:$B,2,FALSE),"-")</f>
        <v>- / 連続攻撃</v>
      </c>
      <c r="M40" s="61" t="str">
        <f t="shared" si="151"/>
        <v>none</v>
      </c>
      <c r="N40" s="47" t="str">
        <f t="shared" si="152"/>
        <v>none</v>
      </c>
      <c r="O40" s="61" t="e">
        <f t="shared" si="153"/>
        <v>#VALUE!</v>
      </c>
      <c r="P40" s="61">
        <f t="shared" si="154"/>
        <v>4</v>
      </c>
      <c r="Q40" s="61" t="e">
        <f t="shared" si="155"/>
        <v>#VALUE!</v>
      </c>
      <c r="R40" s="61" t="e">
        <f t="shared" si="156"/>
        <v>#VALUE!</v>
      </c>
      <c r="S40" s="61" t="str">
        <f>IFERROR(VLOOKUP(MID(N40,Q40,R40-Q40),[6]skilldef!$C:$D,2,FALSE),"-") &amp; " / " &amp; IFERROR(VLOOKUP(MID(N40,O40,P40-O40),[6]skilldef!$A:$B,2,FALSE),"-")</f>
        <v>- / -</v>
      </c>
      <c r="T40" s="47" t="str">
        <f t="shared" si="157"/>
        <v>none</v>
      </c>
      <c r="U40" s="61" t="e">
        <f t="shared" si="158"/>
        <v>#VALUE!</v>
      </c>
      <c r="V40" s="61">
        <f t="shared" si="159"/>
        <v>4</v>
      </c>
      <c r="W40" s="61" t="e">
        <f t="shared" si="160"/>
        <v>#VALUE!</v>
      </c>
      <c r="X40" s="61" t="e">
        <f t="shared" si="161"/>
        <v>#VALUE!</v>
      </c>
      <c r="Y40" s="61" t="str">
        <f>IFERROR(VLOOKUP(MID(T40,W40,X40-W40),[6]skilldef!$C:$D,2,FALSE),"-") &amp; " / " &amp; IFERROR(VLOOKUP(MID(T40,U40,V40-U40),[6]skilldef!$A:$B,2,FALSE),"-")</f>
        <v>- / -</v>
      </c>
      <c r="Z40" s="49"/>
      <c r="AA40" s="51"/>
      <c r="AB40" s="49"/>
    </row>
    <row r="41" spans="1:28" ht="21" customHeight="1">
      <c r="A41" s="96">
        <v>49003041</v>
      </c>
      <c r="B41" s="46" t="s">
        <v>224</v>
      </c>
      <c r="C41" s="49">
        <v>1</v>
      </c>
      <c r="D41" s="49" t="s">
        <v>126</v>
      </c>
      <c r="E41" s="50" t="s">
        <v>285</v>
      </c>
      <c r="F41" s="50" t="s">
        <v>323</v>
      </c>
      <c r="G41" s="61" t="str">
        <f t="shared" si="146"/>
        <v>[effect:change_block, new_block:jammer, target:block_all, count:5, val:0, animation:change_block]</v>
      </c>
      <c r="H41" s="61">
        <f t="shared" si="147"/>
        <v>9</v>
      </c>
      <c r="I41" s="61">
        <f t="shared" si="148"/>
        <v>21</v>
      </c>
      <c r="J41" s="61">
        <f t="shared" si="149"/>
        <v>48</v>
      </c>
      <c r="K41" s="61">
        <f t="shared" si="150"/>
        <v>39</v>
      </c>
      <c r="L41" s="61" t="str">
        <f>IFERROR(VLOOKUP(MID(G41,J41,K41-J41),[6]skilldef!$C:$D,2,FALSE),"-") &amp; " / " &amp; IFERROR(VLOOKUP(MID(G41,H41,I41-H41),[6]skilldef!$A:$B,2,FALSE),"-")</f>
        <v>- / ブロック変換</v>
      </c>
      <c r="M41" s="61" t="str">
        <f t="shared" si="151"/>
        <v>[effect:rush, count:1, val:1]</v>
      </c>
      <c r="N41" s="47" t="str">
        <f t="shared" si="152"/>
        <v>[effect:rush, count:1, val:1]</v>
      </c>
      <c r="O41" s="61">
        <f t="shared" si="153"/>
        <v>9</v>
      </c>
      <c r="P41" s="61">
        <f t="shared" si="154"/>
        <v>13</v>
      </c>
      <c r="Q41" s="61" t="e">
        <f t="shared" si="155"/>
        <v>#VALUE!</v>
      </c>
      <c r="R41" s="61">
        <f t="shared" si="156"/>
        <v>22</v>
      </c>
      <c r="S41" s="61" t="str">
        <f>IFERROR(VLOOKUP(MID(N41,Q41,R41-Q41),[6]skilldef!$C:$D,2,FALSE),"-") &amp; " / " &amp; IFERROR(VLOOKUP(MID(N41,O41,P41-O41),[6]skilldef!$A:$B,2,FALSE),"-")</f>
        <v>- / 連続攻撃</v>
      </c>
      <c r="T41" s="47" t="str">
        <f t="shared" si="157"/>
        <v>none</v>
      </c>
      <c r="U41" s="61" t="e">
        <f t="shared" si="158"/>
        <v>#VALUE!</v>
      </c>
      <c r="V41" s="61">
        <f t="shared" si="159"/>
        <v>4</v>
      </c>
      <c r="W41" s="61" t="e">
        <f t="shared" si="160"/>
        <v>#VALUE!</v>
      </c>
      <c r="X41" s="61" t="e">
        <f t="shared" si="161"/>
        <v>#VALUE!</v>
      </c>
      <c r="Y41" s="61" t="str">
        <f>IFERROR(VLOOKUP(MID(T41,W41,X41-W41),[6]skilldef!$C:$D,2,FALSE),"-") &amp; " / " &amp; IFERROR(VLOOKUP(MID(T41,U41,V41-U41),[6]skilldef!$A:$B,2,FALSE),"-")</f>
        <v>- / -</v>
      </c>
      <c r="Z41" s="49"/>
      <c r="AA41" s="51"/>
      <c r="AB41" s="49"/>
    </row>
    <row r="42" spans="1:28" ht="21" customHeight="1">
      <c r="A42" s="96">
        <v>49003042</v>
      </c>
      <c r="B42" s="46" t="s">
        <v>240</v>
      </c>
      <c r="C42" s="49">
        <v>1</v>
      </c>
      <c r="D42" s="49" t="s">
        <v>126</v>
      </c>
      <c r="E42" s="50" t="s">
        <v>286</v>
      </c>
      <c r="F42" s="50" t="s">
        <v>324</v>
      </c>
      <c r="G42" s="61" t="str">
        <f t="shared" si="146"/>
        <v>[effect:change_block, new_block:time_bomb, target:block_all, count:5, val:0.2, min_time_count:1, max_time_count:1, animation:change_block]</v>
      </c>
      <c r="H42" s="61">
        <f t="shared" si="147"/>
        <v>9</v>
      </c>
      <c r="I42" s="61">
        <f t="shared" si="148"/>
        <v>21</v>
      </c>
      <c r="J42" s="61">
        <f t="shared" si="149"/>
        <v>51</v>
      </c>
      <c r="K42" s="61">
        <f t="shared" si="150"/>
        <v>42</v>
      </c>
      <c r="L42" s="61" t="str">
        <f>IFERROR(VLOOKUP(MID(G42,J42,K42-J42),[6]skilldef!$C:$D,2,FALSE),"-") &amp; " / " &amp; IFERROR(VLOOKUP(MID(G42,H42,I42-H42),[6]skilldef!$A:$B,2,FALSE),"-")</f>
        <v>- / ブロック変換</v>
      </c>
      <c r="M42" s="61" t="str">
        <f t="shared" si="151"/>
        <v>[effect:rush, count:1, val:1]</v>
      </c>
      <c r="N42" s="47" t="str">
        <f t="shared" si="152"/>
        <v>[effect:rush, count:1, val:1]</v>
      </c>
      <c r="O42" s="61">
        <f t="shared" si="153"/>
        <v>9</v>
      </c>
      <c r="P42" s="61">
        <f t="shared" si="154"/>
        <v>13</v>
      </c>
      <c r="Q42" s="61" t="e">
        <f t="shared" si="155"/>
        <v>#VALUE!</v>
      </c>
      <c r="R42" s="61">
        <f t="shared" si="156"/>
        <v>22</v>
      </c>
      <c r="S42" s="61" t="str">
        <f>IFERROR(VLOOKUP(MID(N42,Q42,R42-Q42),[6]skilldef!$C:$D,2,FALSE),"-") &amp; " / " &amp; IFERROR(VLOOKUP(MID(N42,O42,P42-O42),[6]skilldef!$A:$B,2,FALSE),"-")</f>
        <v>- / 連続攻撃</v>
      </c>
      <c r="T42" s="47" t="str">
        <f t="shared" si="157"/>
        <v>none</v>
      </c>
      <c r="U42" s="61" t="e">
        <f t="shared" si="158"/>
        <v>#VALUE!</v>
      </c>
      <c r="V42" s="61">
        <f t="shared" si="159"/>
        <v>4</v>
      </c>
      <c r="W42" s="61" t="e">
        <f t="shared" si="160"/>
        <v>#VALUE!</v>
      </c>
      <c r="X42" s="61" t="e">
        <f t="shared" si="161"/>
        <v>#VALUE!</v>
      </c>
      <c r="Y42" s="61" t="str">
        <f>IFERROR(VLOOKUP(MID(T42,W42,X42-W42),[6]skilldef!$C:$D,2,FALSE),"-") &amp; " / " &amp; IFERROR(VLOOKUP(MID(T42,U42,V42-U42),[6]skilldef!$A:$B,2,FALSE),"-")</f>
        <v>- / -</v>
      </c>
      <c r="Z42" s="49"/>
      <c r="AA42" s="51"/>
      <c r="AB42" s="49"/>
    </row>
    <row r="43" spans="1:28" ht="21" customHeight="1">
      <c r="A43" s="96">
        <v>49003043</v>
      </c>
      <c r="B43" s="46" t="s">
        <v>299</v>
      </c>
      <c r="C43" s="49">
        <v>1</v>
      </c>
      <c r="D43" s="49" t="s">
        <v>126</v>
      </c>
      <c r="E43" s="50" t="s">
        <v>287</v>
      </c>
      <c r="F43" s="50" t="s">
        <v>320</v>
      </c>
      <c r="G43" s="61" t="str">
        <f t="shared" si="146"/>
        <v>[effect:panel_freeze, target:block_red,count:1, break_count:1]</v>
      </c>
      <c r="H43" s="61">
        <f t="shared" si="147"/>
        <v>9</v>
      </c>
      <c r="I43" s="61">
        <f t="shared" si="148"/>
        <v>21</v>
      </c>
      <c r="J43" s="61">
        <f t="shared" si="149"/>
        <v>30</v>
      </c>
      <c r="K43" s="61">
        <f t="shared" si="150"/>
        <v>39</v>
      </c>
      <c r="L43" s="61" t="str">
        <f>IFERROR(VLOOKUP(MID(G43,J43,K43-J43),[6]skilldef!$C:$D,2,FALSE),"-") &amp; " / " &amp; IFERROR(VLOOKUP(MID(G43,H43,I43-H43),[6]skilldef!$A:$B,2,FALSE),"-")</f>
        <v>赤パネルを / -</v>
      </c>
      <c r="M43" s="61" t="str">
        <f t="shared" si="151"/>
        <v>[effect:panel_freeze, target:block_green,count:1, break_count:1],[effect:panel_freeze, target:block_yellow,count:1, break_count:1],[effect:panel_freeze, target:block_blue,count:1, break_count:1],[effect:rush, count:1, val:1]</v>
      </c>
      <c r="N43" s="47" t="str">
        <f t="shared" si="152"/>
        <v>[effect:panel_freeze, target:block_green,count:1, break_count:1]</v>
      </c>
      <c r="O43" s="61">
        <f t="shared" si="153"/>
        <v>9</v>
      </c>
      <c r="P43" s="61">
        <f t="shared" si="154"/>
        <v>21</v>
      </c>
      <c r="Q43" s="61">
        <f t="shared" si="155"/>
        <v>30</v>
      </c>
      <c r="R43" s="61">
        <f t="shared" si="156"/>
        <v>41</v>
      </c>
      <c r="S43" s="61" t="str">
        <f>IFERROR(VLOOKUP(MID(N43,Q43,R43-Q43),[6]skilldef!$C:$D,2,FALSE),"-") &amp; " / " &amp; IFERROR(VLOOKUP(MID(N43,O43,P43-O43),[6]skilldef!$A:$B,2,FALSE),"-")</f>
        <v>緑パネルを / -</v>
      </c>
      <c r="T43" s="47" t="str">
        <f t="shared" si="157"/>
        <v>[effect:panel_freeze, target:block_yellow,count:1, break_count:1],[effect:panel_freeze, target:block_blue,count:1, break_count:1],[effect:rush, count:1, val:1]</v>
      </c>
      <c r="U43" s="61">
        <f t="shared" si="158"/>
        <v>9</v>
      </c>
      <c r="V43" s="61">
        <f t="shared" si="159"/>
        <v>21</v>
      </c>
      <c r="W43" s="61">
        <f t="shared" si="160"/>
        <v>30</v>
      </c>
      <c r="X43" s="61">
        <f t="shared" si="161"/>
        <v>42</v>
      </c>
      <c r="Y43" s="61" t="str">
        <f>IFERROR(VLOOKUP(MID(T43,W43,X43-W43),[6]skilldef!$C:$D,2,FALSE),"-") &amp; " / " &amp; IFERROR(VLOOKUP(MID(T43,U43,V43-U43),[6]skilldef!$A:$B,2,FALSE),"-")</f>
        <v>黄色パネルを / -</v>
      </c>
      <c r="Z43" s="49"/>
      <c r="AA43" s="51"/>
      <c r="AB43" s="49"/>
    </row>
    <row r="44" spans="1:28" ht="21" customHeight="1">
      <c r="A44" s="96">
        <v>49003044</v>
      </c>
      <c r="B44" s="46" t="s">
        <v>254</v>
      </c>
      <c r="C44" s="49">
        <v>1</v>
      </c>
      <c r="D44" s="49" t="s">
        <v>126</v>
      </c>
      <c r="E44" s="50" t="s">
        <v>288</v>
      </c>
      <c r="F44" s="50" t="s">
        <v>326</v>
      </c>
      <c r="G44" s="61" t="str">
        <f t="shared" si="146"/>
        <v>[effect:critical, val:1.6]</v>
      </c>
      <c r="H44" s="61">
        <f t="shared" si="147"/>
        <v>9</v>
      </c>
      <c r="I44" s="61">
        <f t="shared" si="148"/>
        <v>17</v>
      </c>
      <c r="J44" s="61" t="e">
        <f t="shared" si="149"/>
        <v>#VALUE!</v>
      </c>
      <c r="K44" s="61" t="e">
        <f t="shared" si="150"/>
        <v>#VALUE!</v>
      </c>
      <c r="L44" s="61" t="str">
        <f>IFERROR(VLOOKUP(MID(G44,J44,K44-J44),[6]skilldef!$C:$D,2,FALSE),"-") &amp; " / " &amp; IFERROR(VLOOKUP(MID(G44,H44,I44-H44),[6]skilldef!$A:$B,2,FALSE),"-")</f>
        <v>- / 大攻撃</v>
      </c>
      <c r="M44" s="61" t="str">
        <f t="shared" si="151"/>
        <v>none</v>
      </c>
      <c r="N44" s="47" t="str">
        <f t="shared" si="152"/>
        <v>none</v>
      </c>
      <c r="O44" s="61" t="e">
        <f t="shared" si="153"/>
        <v>#VALUE!</v>
      </c>
      <c r="P44" s="61">
        <f t="shared" si="154"/>
        <v>4</v>
      </c>
      <c r="Q44" s="61" t="e">
        <f t="shared" si="155"/>
        <v>#VALUE!</v>
      </c>
      <c r="R44" s="61" t="e">
        <f t="shared" si="156"/>
        <v>#VALUE!</v>
      </c>
      <c r="S44" s="61" t="str">
        <f>IFERROR(VLOOKUP(MID(N44,Q44,R44-Q44),[6]skilldef!$C:$D,2,FALSE),"-") &amp; " / " &amp; IFERROR(VLOOKUP(MID(N44,O44,P44-O44),[6]skilldef!$A:$B,2,FALSE),"-")</f>
        <v>- / -</v>
      </c>
      <c r="T44" s="47" t="str">
        <f t="shared" si="157"/>
        <v>none</v>
      </c>
      <c r="U44" s="61" t="e">
        <f t="shared" si="158"/>
        <v>#VALUE!</v>
      </c>
      <c r="V44" s="61">
        <f t="shared" si="159"/>
        <v>4</v>
      </c>
      <c r="W44" s="61" t="e">
        <f t="shared" si="160"/>
        <v>#VALUE!</v>
      </c>
      <c r="X44" s="61" t="e">
        <f t="shared" si="161"/>
        <v>#VALUE!</v>
      </c>
      <c r="Y44" s="61" t="str">
        <f>IFERROR(VLOOKUP(MID(T44,W44,X44-W44),[6]skilldef!$C:$D,2,FALSE),"-") &amp; " / " &amp; IFERROR(VLOOKUP(MID(T44,U44,V44-U44),[6]skilldef!$A:$B,2,FALSE),"-")</f>
        <v>- / -</v>
      </c>
      <c r="Z44" s="49"/>
      <c r="AA44" s="51"/>
      <c r="AB44" s="49"/>
    </row>
    <row r="45" spans="1:28" ht="21" customHeight="1">
      <c r="A45" s="96">
        <v>49003045</v>
      </c>
      <c r="B45" s="46" t="s">
        <v>245</v>
      </c>
      <c r="C45" s="49">
        <v>1</v>
      </c>
      <c r="D45" s="49" t="s">
        <v>290</v>
      </c>
      <c r="E45" s="50" t="s">
        <v>289</v>
      </c>
      <c r="F45" s="50" t="s">
        <v>317</v>
      </c>
      <c r="G45" s="61" t="str">
        <f t="shared" ref="G45:G46" si="162">IFERROR(LEFT(B45,FIND("],",B45)),B45)</f>
        <v>[effect:damage_anti_tribe, target:unit_all, tribe:human, val1:0.2, val2:1.5]</v>
      </c>
      <c r="H45" s="61">
        <f t="shared" ref="H45:H46" si="163">FIND("effect:",G45)+7</f>
        <v>9</v>
      </c>
      <c r="I45" s="61">
        <f t="shared" ref="I45:I46" si="164">IFERROR(FIND(",",G45),LEN(G45))</f>
        <v>26</v>
      </c>
      <c r="J45" s="61">
        <f t="shared" ref="J45:J46" si="165">FIND("target:",G45)+7</f>
        <v>35</v>
      </c>
      <c r="K45" s="61">
        <f t="shared" ref="K45:K46" si="166">FIND(",",G45,I45+1)</f>
        <v>43</v>
      </c>
      <c r="L45" s="61" t="str">
        <f>IFERROR(VLOOKUP(MID(G45,J45,K45-J45),[6]skilldef!$C:$D,2,FALSE),"-") &amp; " / " &amp; IFERROR(VLOOKUP(MID(G45,H45,I45-H45),[6]skilldef!$A:$B,2,FALSE),"-")</f>
        <v>味方全体に / 種族キラー</v>
      </c>
      <c r="M45" s="61" t="str">
        <f t="shared" ref="M45:M46" si="167">IFERROR(RIGHT(B45,LEN(B45)-FIND("],",B45)-1),"none")</f>
        <v>none</v>
      </c>
      <c r="N45" s="47" t="str">
        <f t="shared" ref="N45:N46" si="168">IFERROR(LEFT(M45,FIND("],",M45)+S55),M45)</f>
        <v>none</v>
      </c>
      <c r="O45" s="61" t="e">
        <f t="shared" ref="O45:O46" si="169">FIND("effect:",N45)+7</f>
        <v>#VALUE!</v>
      </c>
      <c r="P45" s="61">
        <f t="shared" ref="P45:P46" si="170">IFERROR(FIND(",",N45),LEN(N45))</f>
        <v>4</v>
      </c>
      <c r="Q45" s="61" t="e">
        <f t="shared" ref="Q45:Q46" si="171">FIND("target:",N45)+7</f>
        <v>#VALUE!</v>
      </c>
      <c r="R45" s="61" t="e">
        <f t="shared" ref="R45:R46" si="172">FIND(",",N45,P45+1)</f>
        <v>#VALUE!</v>
      </c>
      <c r="S45" s="61" t="str">
        <f>IFERROR(VLOOKUP(MID(N45,Q45,R45-Q45),[6]skilldef!$C:$D,2,FALSE),"-") &amp; " / " &amp; IFERROR(VLOOKUP(MID(N45,O45,P45-O45),[6]skilldef!$A:$B,2,FALSE),"-")</f>
        <v>- / -</v>
      </c>
      <c r="T45" s="47" t="str">
        <f t="shared" ref="T45:T46" si="173">IFERROR(RIGHT(M45,LEN(M45)-FIND("],",M45)-1),"none")</f>
        <v>none</v>
      </c>
      <c r="U45" s="61" t="e">
        <f t="shared" ref="U45:U46" si="174">FIND("effect:",T45)+7</f>
        <v>#VALUE!</v>
      </c>
      <c r="V45" s="61">
        <f t="shared" ref="V45:V46" si="175">IFERROR(FIND(",",T45),LEN(T45))</f>
        <v>4</v>
      </c>
      <c r="W45" s="61" t="e">
        <f t="shared" ref="W45:W46" si="176">FIND("target:",T45)+7</f>
        <v>#VALUE!</v>
      </c>
      <c r="X45" s="61" t="e">
        <f t="shared" ref="X45:X46" si="177">FIND(",",T45,V45+1)</f>
        <v>#VALUE!</v>
      </c>
      <c r="Y45" s="61" t="str">
        <f>IFERROR(VLOOKUP(MID(T45,W45,X45-W45),[6]skilldef!$C:$D,2,FALSE),"-") &amp; " / " &amp; IFERROR(VLOOKUP(MID(T45,U45,V45-U45),[6]skilldef!$A:$B,2,FALSE),"-")</f>
        <v>- / -</v>
      </c>
      <c r="Z45" s="49"/>
      <c r="AA45" s="51"/>
      <c r="AB45" s="49"/>
    </row>
    <row r="46" spans="1:28" ht="21" customHeight="1">
      <c r="A46" s="96">
        <v>49003046</v>
      </c>
      <c r="B46" s="46" t="s">
        <v>360</v>
      </c>
      <c r="C46" s="49">
        <v>1</v>
      </c>
      <c r="D46" s="49" t="s">
        <v>126</v>
      </c>
      <c r="E46" s="50" t="s">
        <v>354</v>
      </c>
      <c r="F46" s="50" t="s">
        <v>355</v>
      </c>
      <c r="G46" s="61" t="str">
        <f t="shared" si="162"/>
        <v>[effect:enemy_message, val1:3, val2:3, dead_type:suicide]</v>
      </c>
      <c r="H46" s="61">
        <f t="shared" si="163"/>
        <v>9</v>
      </c>
      <c r="I46" s="61">
        <f t="shared" si="164"/>
        <v>22</v>
      </c>
      <c r="J46" s="61" t="e">
        <f t="shared" si="165"/>
        <v>#VALUE!</v>
      </c>
      <c r="K46" s="61">
        <f t="shared" si="166"/>
        <v>30</v>
      </c>
      <c r="L46" s="61" t="str">
        <f>IFERROR(VLOOKUP(MID(G46,J46,K46-J46),[6]skilldef!$C:$D,2,FALSE),"-") &amp; " / " &amp; IFERROR(VLOOKUP(MID(G46,H46,I46-H46),[6]skilldef!$A:$B,2,FALSE),"-")</f>
        <v>- / -</v>
      </c>
      <c r="M46" s="61" t="str">
        <f t="shared" si="167"/>
        <v>none</v>
      </c>
      <c r="N46" s="47" t="str">
        <f t="shared" si="168"/>
        <v>none</v>
      </c>
      <c r="O46" s="61" t="e">
        <f t="shared" si="169"/>
        <v>#VALUE!</v>
      </c>
      <c r="P46" s="61">
        <f t="shared" si="170"/>
        <v>4</v>
      </c>
      <c r="Q46" s="61" t="e">
        <f t="shared" si="171"/>
        <v>#VALUE!</v>
      </c>
      <c r="R46" s="61" t="e">
        <f t="shared" si="172"/>
        <v>#VALUE!</v>
      </c>
      <c r="S46" s="61" t="str">
        <f>IFERROR(VLOOKUP(MID(N46,Q46,R46-Q46),[6]skilldef!$C:$D,2,FALSE),"-") &amp; " / " &amp; IFERROR(VLOOKUP(MID(N46,O46,P46-O46),[6]skilldef!$A:$B,2,FALSE),"-")</f>
        <v>- / -</v>
      </c>
      <c r="T46" s="47" t="str">
        <f t="shared" si="173"/>
        <v>none</v>
      </c>
      <c r="U46" s="61" t="e">
        <f t="shared" si="174"/>
        <v>#VALUE!</v>
      </c>
      <c r="V46" s="61">
        <f t="shared" si="175"/>
        <v>4</v>
      </c>
      <c r="W46" s="61" t="e">
        <f t="shared" si="176"/>
        <v>#VALUE!</v>
      </c>
      <c r="X46" s="61" t="e">
        <f t="shared" si="177"/>
        <v>#VALUE!</v>
      </c>
      <c r="Y46" s="61" t="str">
        <f>IFERROR(VLOOKUP(MID(T46,W46,X46-W46),[6]skilldef!$C:$D,2,FALSE),"-") &amp; " / " &amp; IFERROR(VLOOKUP(MID(T46,U46,V46-U46),[6]skilldef!$A:$B,2,FALSE),"-")</f>
        <v>- / -</v>
      </c>
      <c r="Z46" s="49"/>
      <c r="AA46" s="51"/>
      <c r="AB46" s="49"/>
    </row>
    <row r="47" spans="1:28" ht="21" customHeight="1">
      <c r="A47" s="96">
        <v>49003050</v>
      </c>
      <c r="B47" s="46" t="s">
        <v>217</v>
      </c>
      <c r="C47" s="49">
        <v>1</v>
      </c>
      <c r="D47" s="49" t="s">
        <v>126</v>
      </c>
      <c r="E47" s="50" t="s">
        <v>334</v>
      </c>
      <c r="F47" s="133" t="s">
        <v>348</v>
      </c>
      <c r="G47" s="61" t="str">
        <f t="shared" ref="G47:G50" si="178">IFERROR(LEFT(B47,FIND("],",B47)),B47)</f>
        <v>[effect:dark, target:unit_all, turn:1, animation:enemy_dark]</v>
      </c>
      <c r="H47" s="61">
        <f t="shared" ref="H47:H50" si="179">FIND("effect:",G47)+7</f>
        <v>9</v>
      </c>
      <c r="I47" s="61">
        <f t="shared" ref="I47:I50" si="180">IFERROR(FIND(",",G47),LEN(G47))</f>
        <v>13</v>
      </c>
      <c r="J47" s="61">
        <f t="shared" ref="J47:J50" si="181">FIND("target:",G47)+7</f>
        <v>22</v>
      </c>
      <c r="K47" s="61">
        <f t="shared" ref="K47:K50" si="182">FIND(",",G47,I47+1)</f>
        <v>30</v>
      </c>
      <c r="L47" s="61" t="str">
        <f>IFERROR(VLOOKUP(MID(G47,J47,K47-J47),[6]skilldef!$C:$D,2,FALSE),"-") &amp; " / " &amp; IFERROR(VLOOKUP(MID(G47,H47,I47-H47),[6]skilldef!$A:$B,2,FALSE),"-")</f>
        <v>味方全体に / 暗黒</v>
      </c>
      <c r="M47" s="61" t="str">
        <f t="shared" ref="M47:M50" si="183">IFERROR(RIGHT(B47,LEN(B47)-FIND("],",B47)-1),"none")</f>
        <v>none</v>
      </c>
      <c r="N47" s="47" t="str">
        <f t="shared" ref="N47:N50" si="184">IFERROR(LEFT(M47,FIND("],",M47)+S57),M47)</f>
        <v>none</v>
      </c>
      <c r="O47" s="61" t="e">
        <f t="shared" ref="O47:O50" si="185">FIND("effect:",N47)+7</f>
        <v>#VALUE!</v>
      </c>
      <c r="P47" s="61">
        <f t="shared" ref="P47:P50" si="186">IFERROR(FIND(",",N47),LEN(N47))</f>
        <v>4</v>
      </c>
      <c r="Q47" s="61" t="e">
        <f t="shared" ref="Q47:Q50" si="187">FIND("target:",N47)+7</f>
        <v>#VALUE!</v>
      </c>
      <c r="R47" s="61" t="e">
        <f t="shared" ref="R47:R50" si="188">FIND(",",N47,P47+1)</f>
        <v>#VALUE!</v>
      </c>
      <c r="S47" s="61" t="str">
        <f>IFERROR(VLOOKUP(MID(N47,Q47,R47-Q47),[6]skilldef!$C:$D,2,FALSE),"-") &amp; " / " &amp; IFERROR(VLOOKUP(MID(N47,O47,P47-O47),[6]skilldef!$A:$B,2,FALSE),"-")</f>
        <v>- / -</v>
      </c>
      <c r="T47" s="47" t="str">
        <f t="shared" ref="T47:T50" si="189">IFERROR(RIGHT(M47,LEN(M47)-FIND("],",M47)-1),"none")</f>
        <v>none</v>
      </c>
      <c r="U47" s="61" t="e">
        <f t="shared" ref="U47:U50" si="190">FIND("effect:",T47)+7</f>
        <v>#VALUE!</v>
      </c>
      <c r="V47" s="61">
        <f t="shared" ref="V47:V50" si="191">IFERROR(FIND(",",T47),LEN(T47))</f>
        <v>4</v>
      </c>
      <c r="W47" s="61" t="e">
        <f t="shared" ref="W47:W50" si="192">FIND("target:",T47)+7</f>
        <v>#VALUE!</v>
      </c>
      <c r="X47" s="61" t="e">
        <f t="shared" ref="X47:X50" si="193">FIND(",",T47,V47+1)</f>
        <v>#VALUE!</v>
      </c>
      <c r="Y47" s="61" t="str">
        <f>IFERROR(VLOOKUP(MID(T47,W47,X47-W47),[6]skilldef!$C:$D,2,FALSE),"-") &amp; " / " &amp; IFERROR(VLOOKUP(MID(T47,U47,V47-U47),[6]skilldef!$A:$B,2,FALSE),"-")</f>
        <v>- / -</v>
      </c>
      <c r="Z47" s="49"/>
      <c r="AA47" s="51"/>
      <c r="AB47" s="49"/>
    </row>
    <row r="48" spans="1:28" ht="21" customHeight="1">
      <c r="A48" s="96">
        <v>49003051</v>
      </c>
      <c r="B48" s="46" t="s">
        <v>249</v>
      </c>
      <c r="C48" s="49">
        <v>1</v>
      </c>
      <c r="D48" s="49" t="s">
        <v>126</v>
      </c>
      <c r="E48" s="133" t="s">
        <v>349</v>
      </c>
      <c r="F48" s="50" t="s">
        <v>255</v>
      </c>
      <c r="G48" s="61" t="str">
        <f t="shared" si="178"/>
        <v>[effect:tolerance, target:myself, turn:-1, tolerance_effect:all, count:-1, animation:enemy_tolerance]</v>
      </c>
      <c r="H48" s="61">
        <f t="shared" si="179"/>
        <v>9</v>
      </c>
      <c r="I48" s="61">
        <f t="shared" si="180"/>
        <v>18</v>
      </c>
      <c r="J48" s="61">
        <f t="shared" si="181"/>
        <v>27</v>
      </c>
      <c r="K48" s="61">
        <f t="shared" si="182"/>
        <v>33</v>
      </c>
      <c r="L48" s="61" t="str">
        <f>IFERROR(VLOOKUP(MID(G48,J48,K48-J48),[6]skilldef!$C:$D,2,FALSE),"-") &amp; " / " &amp; IFERROR(VLOOKUP(MID(G48,H48,I48-H48),[6]skilldef!$A:$B,2,FALSE),"-")</f>
        <v>自分自身に / 状態異常耐性</v>
      </c>
      <c r="M48" s="61" t="str">
        <f t="shared" si="183"/>
        <v xml:space="preserve">[effect:fix_speed, target:myself, turn:2]    </v>
      </c>
      <c r="N48" s="47" t="str">
        <f t="shared" si="184"/>
        <v xml:space="preserve">[effect:fix_speed, target:myself, turn:2]    </v>
      </c>
      <c r="O48" s="61">
        <f t="shared" si="185"/>
        <v>9</v>
      </c>
      <c r="P48" s="61">
        <f t="shared" si="186"/>
        <v>18</v>
      </c>
      <c r="Q48" s="61">
        <f t="shared" si="187"/>
        <v>27</v>
      </c>
      <c r="R48" s="61">
        <f t="shared" si="188"/>
        <v>33</v>
      </c>
      <c r="S48" s="61" t="str">
        <f>IFERROR(VLOOKUP(MID(N48,Q48,R48-Q48),[6]skilldef!$C:$D,2,FALSE),"-") &amp; " / " &amp; IFERROR(VLOOKUP(MID(N48,O48,P48-O48),[6]skilldef!$A:$B,2,FALSE),"-")</f>
        <v>自分自身に / 行動値設定</v>
      </c>
      <c r="T48" s="47" t="str">
        <f t="shared" si="189"/>
        <v>none</v>
      </c>
      <c r="U48" s="61" t="e">
        <f t="shared" si="190"/>
        <v>#VALUE!</v>
      </c>
      <c r="V48" s="61">
        <f t="shared" si="191"/>
        <v>4</v>
      </c>
      <c r="W48" s="61" t="e">
        <f t="shared" si="192"/>
        <v>#VALUE!</v>
      </c>
      <c r="X48" s="61" t="e">
        <f t="shared" si="193"/>
        <v>#VALUE!</v>
      </c>
      <c r="Y48" s="61" t="str">
        <f>IFERROR(VLOOKUP(MID(T48,W48,X48-W48),[6]skilldef!$C:$D,2,FALSE),"-") &amp; " / " &amp; IFERROR(VLOOKUP(MID(T48,U48,V48-U48),[6]skilldef!$A:$B,2,FALSE),"-")</f>
        <v>- / -</v>
      </c>
      <c r="Z48" s="49"/>
      <c r="AA48" s="51"/>
      <c r="AB48" s="49"/>
    </row>
    <row r="49" spans="1:28" ht="21" customHeight="1">
      <c r="A49" s="96">
        <v>49003052</v>
      </c>
      <c r="B49" s="46" t="s">
        <v>230</v>
      </c>
      <c r="C49" s="49">
        <v>1</v>
      </c>
      <c r="D49" s="49" t="s">
        <v>126</v>
      </c>
      <c r="E49" s="133" t="s">
        <v>350</v>
      </c>
      <c r="F49" s="50" t="s">
        <v>313</v>
      </c>
      <c r="G49" s="61" t="str">
        <f t="shared" si="178"/>
        <v>[effect:degrade_unit, target:unit_all, turn:1, status:attack, val:1, calc:mul]</v>
      </c>
      <c r="H49" s="61">
        <f t="shared" si="179"/>
        <v>9</v>
      </c>
      <c r="I49" s="61">
        <f t="shared" si="180"/>
        <v>21</v>
      </c>
      <c r="J49" s="61">
        <f t="shared" si="181"/>
        <v>30</v>
      </c>
      <c r="K49" s="61">
        <f t="shared" si="182"/>
        <v>38</v>
      </c>
      <c r="L49" s="61" t="str">
        <f>IFERROR(VLOOKUP(MID(G49,J49,K49-J49),[6]skilldef!$C:$D,2,FALSE),"-") &amp; " / " &amp; IFERROR(VLOOKUP(MID(G49,H49,I49-H49),[6]skilldef!$A:$B,2,FALSE),"-")</f>
        <v>味方全体に / ステータスDOWN</v>
      </c>
      <c r="M49" s="61" t="str">
        <f t="shared" si="183"/>
        <v>[effect:change_block, new_block:block_heart, target:block_red, count:5, val:0, animation:change_block],[effect:change_block, new_block:block_heart, target:block_green, count:5, val:0, animation:change_block],[effect:change_block, new_block:block_heart, target:block_blue, count:5, val:0, animation:change_block],[effect:change_block, new_block:block_heart, target:block_yellow, count:5, val:0, animation:change_block]</v>
      </c>
      <c r="N49" s="47" t="str">
        <f t="shared" si="184"/>
        <v>[effect:change_block, new_block:block_heart, target:block_red, count:5, val:0, animation:change_block]</v>
      </c>
      <c r="O49" s="61">
        <f t="shared" si="185"/>
        <v>9</v>
      </c>
      <c r="P49" s="61">
        <f t="shared" si="186"/>
        <v>21</v>
      </c>
      <c r="Q49" s="61">
        <f t="shared" si="187"/>
        <v>53</v>
      </c>
      <c r="R49" s="61">
        <f t="shared" si="188"/>
        <v>44</v>
      </c>
      <c r="S49" s="61" t="str">
        <f>IFERROR(VLOOKUP(MID(N49,Q49,R49-Q49),[6]skilldef!$C:$D,2,FALSE),"-") &amp; " / " &amp; IFERROR(VLOOKUP(MID(N49,O49,P49-O49),[6]skilldef!$A:$B,2,FALSE),"-")</f>
        <v>- / ブロック変換</v>
      </c>
      <c r="T49" s="47" t="str">
        <f t="shared" si="189"/>
        <v>[effect:change_block, new_block:block_heart, target:block_green, count:5, val:0, animation:change_block],[effect:change_block, new_block:block_heart, target:block_blue, count:5, val:0, animation:change_block],[effect:change_block, new_block:block_heart, target:block_yellow, count:5, val:0, animation:change_block]</v>
      </c>
      <c r="U49" s="61">
        <f t="shared" si="190"/>
        <v>9</v>
      </c>
      <c r="V49" s="61">
        <f t="shared" si="191"/>
        <v>21</v>
      </c>
      <c r="W49" s="61">
        <f t="shared" si="192"/>
        <v>53</v>
      </c>
      <c r="X49" s="61">
        <f t="shared" si="193"/>
        <v>44</v>
      </c>
      <c r="Y49" s="61" t="str">
        <f>IFERROR(VLOOKUP(MID(T49,W49,X49-W49),[6]skilldef!$C:$D,2,FALSE),"-") &amp; " / " &amp; IFERROR(VLOOKUP(MID(T49,U49,V49-U49),[6]skilldef!$A:$B,2,FALSE),"-")</f>
        <v>- / ブロック変換</v>
      </c>
      <c r="Z49" s="49"/>
      <c r="AA49" s="51"/>
      <c r="AB49" s="49"/>
    </row>
    <row r="50" spans="1:28" ht="21" customHeight="1">
      <c r="A50" s="96">
        <v>49003053</v>
      </c>
      <c r="B50" s="46" t="s">
        <v>252</v>
      </c>
      <c r="C50" s="49">
        <v>1</v>
      </c>
      <c r="D50" s="49" t="s">
        <v>126</v>
      </c>
      <c r="E50" s="133" t="s">
        <v>333</v>
      </c>
      <c r="F50" s="50" t="s">
        <v>317</v>
      </c>
      <c r="G50" s="61" t="str">
        <f t="shared" si="178"/>
        <v>[effect:damage_anti_tribe, target:unit_all, tribe:human, val1:0.1, val2:0.9]</v>
      </c>
      <c r="H50" s="61">
        <f t="shared" si="179"/>
        <v>9</v>
      </c>
      <c r="I50" s="61">
        <f t="shared" si="180"/>
        <v>26</v>
      </c>
      <c r="J50" s="61">
        <f t="shared" si="181"/>
        <v>35</v>
      </c>
      <c r="K50" s="61">
        <f t="shared" si="182"/>
        <v>43</v>
      </c>
      <c r="L50" s="61" t="str">
        <f>IFERROR(VLOOKUP(MID(G50,J50,K50-J50),[6]skilldef!$C:$D,2,FALSE),"-") &amp; " / " &amp; IFERROR(VLOOKUP(MID(G50,H50,I50-H50),[6]skilldef!$A:$B,2,FALSE),"-")</f>
        <v>味方全体に / 種族キラー</v>
      </c>
      <c r="M50" s="61" t="str">
        <f t="shared" si="183"/>
        <v>none</v>
      </c>
      <c r="N50" s="47" t="str">
        <f t="shared" si="184"/>
        <v>none</v>
      </c>
      <c r="O50" s="61" t="e">
        <f t="shared" si="185"/>
        <v>#VALUE!</v>
      </c>
      <c r="P50" s="61">
        <f t="shared" si="186"/>
        <v>4</v>
      </c>
      <c r="Q50" s="61" t="e">
        <f t="shared" si="187"/>
        <v>#VALUE!</v>
      </c>
      <c r="R50" s="61" t="e">
        <f t="shared" si="188"/>
        <v>#VALUE!</v>
      </c>
      <c r="S50" s="61" t="str">
        <f>IFERROR(VLOOKUP(MID(N50,Q50,R50-Q50),[6]skilldef!$C:$D,2,FALSE),"-") &amp; " / " &amp; IFERROR(VLOOKUP(MID(N50,O50,P50-O50),[6]skilldef!$A:$B,2,FALSE),"-")</f>
        <v>- / -</v>
      </c>
      <c r="T50" s="47" t="str">
        <f t="shared" si="189"/>
        <v>none</v>
      </c>
      <c r="U50" s="61" t="e">
        <f t="shared" si="190"/>
        <v>#VALUE!</v>
      </c>
      <c r="V50" s="61">
        <f t="shared" si="191"/>
        <v>4</v>
      </c>
      <c r="W50" s="61" t="e">
        <f t="shared" si="192"/>
        <v>#VALUE!</v>
      </c>
      <c r="X50" s="61" t="e">
        <f t="shared" si="193"/>
        <v>#VALUE!</v>
      </c>
      <c r="Y50" s="61" t="str">
        <f>IFERROR(VLOOKUP(MID(T50,W50,X50-W50),[6]skilldef!$C:$D,2,FALSE),"-") &amp; " / " &amp; IFERROR(VLOOKUP(MID(T50,U50,V50-U50),[6]skilldef!$A:$B,2,FALSE),"-")</f>
        <v>- / -</v>
      </c>
      <c r="Z50" s="49"/>
      <c r="AA50" s="51"/>
      <c r="AB50" s="49"/>
    </row>
  </sheetData>
  <autoFilter ref="A1:AB1"/>
  <phoneticPr fontId="5"/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</sheetPr>
  <dimension ref="A1:K48"/>
  <sheetViews>
    <sheetView showGridLines="0" workbookViewId="0">
      <pane ySplit="1" topLeftCell="A36" activePane="bottomLeft" state="frozenSplit"/>
      <selection pane="bottomLeft" activeCell="C52" sqref="C52"/>
    </sheetView>
  </sheetViews>
  <sheetFormatPr baseColWidth="12" defaultColWidth="12.83203125" defaultRowHeight="21" customHeight="1" x14ac:dyDescent="0"/>
  <cols>
    <col min="1" max="1" width="16.1640625" style="48" bestFit="1" customWidth="1"/>
    <col min="2" max="2" width="13.33203125" style="48" bestFit="1" customWidth="1"/>
    <col min="3" max="3" width="11.83203125" style="48" bestFit="1" customWidth="1"/>
    <col min="4" max="4" width="14.6640625" style="48" bestFit="1" customWidth="1"/>
    <col min="5" max="5" width="15.6640625" style="48" bestFit="1" customWidth="1"/>
    <col min="6" max="6" width="17" style="48" bestFit="1" customWidth="1"/>
    <col min="7" max="7" width="15.6640625" style="48" bestFit="1" customWidth="1"/>
    <col min="8" max="9" width="14.6640625" style="48" customWidth="1"/>
    <col min="10" max="10" width="14.6640625" style="48" bestFit="1" customWidth="1"/>
    <col min="11" max="11" width="22.83203125" style="38" bestFit="1" customWidth="1"/>
    <col min="12" max="16384" width="12.83203125" style="44"/>
  </cols>
  <sheetData>
    <row r="1" spans="1:11" ht="21" customHeight="1">
      <c r="A1" s="41" t="s">
        <v>84</v>
      </c>
      <c r="B1" s="41" t="s">
        <v>85</v>
      </c>
      <c r="C1" s="41" t="s">
        <v>86</v>
      </c>
      <c r="D1" s="41" t="s">
        <v>87</v>
      </c>
      <c r="E1" s="41" t="s">
        <v>70</v>
      </c>
      <c r="F1" s="52" t="s">
        <v>71</v>
      </c>
      <c r="G1" s="52" t="s">
        <v>72</v>
      </c>
      <c r="H1" s="41" t="s">
        <v>73</v>
      </c>
      <c r="I1" s="41" t="s">
        <v>74</v>
      </c>
      <c r="J1" s="41" t="s">
        <v>75</v>
      </c>
      <c r="K1" s="53" t="s">
        <v>88</v>
      </c>
    </row>
    <row r="2" spans="1:11" ht="21" customHeight="1">
      <c r="A2" s="96">
        <v>49003001</v>
      </c>
      <c r="B2" s="46">
        <v>1</v>
      </c>
      <c r="C2" s="46">
        <v>100</v>
      </c>
      <c r="D2" s="46">
        <v>100</v>
      </c>
      <c r="E2" s="46" t="s">
        <v>216</v>
      </c>
      <c r="F2" s="46" t="s">
        <v>216</v>
      </c>
      <c r="G2" s="46">
        <v>1</v>
      </c>
      <c r="H2" s="46" t="s">
        <v>216</v>
      </c>
      <c r="I2" s="46" t="s">
        <v>216</v>
      </c>
      <c r="J2" s="47">
        <f t="shared" ref="J2" si="0">D2</f>
        <v>100</v>
      </c>
    </row>
    <row r="3" spans="1:11" ht="21" customHeight="1">
      <c r="A3" s="96">
        <v>49003002</v>
      </c>
      <c r="B3" s="47">
        <v>0</v>
      </c>
      <c r="C3" s="47">
        <v>50</v>
      </c>
      <c r="D3" s="47">
        <v>100</v>
      </c>
      <c r="E3" s="47" t="s">
        <v>216</v>
      </c>
      <c r="F3" s="47" t="s">
        <v>216</v>
      </c>
      <c r="G3" s="47">
        <v>1</v>
      </c>
      <c r="H3" s="47">
        <v>1</v>
      </c>
      <c r="I3" s="47" t="s">
        <v>216</v>
      </c>
      <c r="J3" s="47">
        <f t="shared" ref="J3:J43" si="1">D3</f>
        <v>100</v>
      </c>
    </row>
    <row r="4" spans="1:11" ht="21" customHeight="1">
      <c r="A4" s="96">
        <v>49003003</v>
      </c>
      <c r="B4" s="47">
        <v>0</v>
      </c>
      <c r="C4" s="47">
        <v>40</v>
      </c>
      <c r="D4" s="47">
        <v>100</v>
      </c>
      <c r="E4" s="47" t="s">
        <v>216</v>
      </c>
      <c r="F4" s="47" t="s">
        <v>216</v>
      </c>
      <c r="G4" s="47">
        <v>1</v>
      </c>
      <c r="H4" s="47">
        <v>1</v>
      </c>
      <c r="I4" s="47" t="s">
        <v>216</v>
      </c>
      <c r="J4" s="47">
        <f t="shared" si="1"/>
        <v>100</v>
      </c>
    </row>
    <row r="5" spans="1:11" ht="21" customHeight="1">
      <c r="A5" s="96">
        <v>49003005</v>
      </c>
      <c r="B5" s="47">
        <v>0</v>
      </c>
      <c r="C5" s="47">
        <v>20</v>
      </c>
      <c r="D5" s="47">
        <v>100</v>
      </c>
      <c r="E5" s="47" t="s">
        <v>216</v>
      </c>
      <c r="F5" s="47" t="s">
        <v>216</v>
      </c>
      <c r="G5" s="47">
        <v>1</v>
      </c>
      <c r="H5" s="47">
        <v>1</v>
      </c>
      <c r="I5" s="47" t="s">
        <v>216</v>
      </c>
      <c r="J5" s="47">
        <f t="shared" si="1"/>
        <v>100</v>
      </c>
    </row>
    <row r="6" spans="1:11" ht="21" customHeight="1">
      <c r="A6" s="96">
        <v>49003007</v>
      </c>
      <c r="B6" s="47">
        <v>0</v>
      </c>
      <c r="C6" s="47">
        <v>5</v>
      </c>
      <c r="D6" s="47">
        <v>100</v>
      </c>
      <c r="E6" s="47" t="s">
        <v>216</v>
      </c>
      <c r="F6" s="47" t="s">
        <v>216</v>
      </c>
      <c r="G6" s="47" t="s">
        <v>216</v>
      </c>
      <c r="H6" s="47">
        <v>1</v>
      </c>
      <c r="I6" s="47" t="s">
        <v>216</v>
      </c>
      <c r="J6" s="47">
        <f t="shared" si="1"/>
        <v>100</v>
      </c>
    </row>
    <row r="7" spans="1:11" ht="21" customHeight="1">
      <c r="A7" s="96">
        <v>49003008</v>
      </c>
      <c r="B7" s="47">
        <v>0</v>
      </c>
      <c r="C7" s="47">
        <v>8</v>
      </c>
      <c r="D7" s="47">
        <v>60</v>
      </c>
      <c r="E7" s="47" t="s">
        <v>216</v>
      </c>
      <c r="F7" s="47" t="s">
        <v>216</v>
      </c>
      <c r="G7" s="47" t="s">
        <v>216</v>
      </c>
      <c r="H7" s="47">
        <v>1</v>
      </c>
      <c r="I7" s="47" t="s">
        <v>216</v>
      </c>
      <c r="J7" s="47">
        <f t="shared" si="1"/>
        <v>60</v>
      </c>
    </row>
    <row r="8" spans="1:11" ht="21" customHeight="1">
      <c r="A8" s="96">
        <v>49003009</v>
      </c>
      <c r="B8" s="47">
        <v>0</v>
      </c>
      <c r="C8" s="47">
        <v>9</v>
      </c>
      <c r="D8" s="47">
        <v>30</v>
      </c>
      <c r="E8" s="47" t="s">
        <v>216</v>
      </c>
      <c r="F8" s="47" t="s">
        <v>216</v>
      </c>
      <c r="G8" s="47">
        <v>1</v>
      </c>
      <c r="H8" s="47">
        <v>1</v>
      </c>
      <c r="I8" s="47" t="s">
        <v>216</v>
      </c>
      <c r="J8" s="47">
        <f t="shared" si="1"/>
        <v>30</v>
      </c>
    </row>
    <row r="9" spans="1:11" ht="21" customHeight="1">
      <c r="A9" s="96">
        <v>49003010</v>
      </c>
      <c r="B9" s="47">
        <v>1</v>
      </c>
      <c r="C9" s="47">
        <v>100</v>
      </c>
      <c r="D9" s="47">
        <v>100</v>
      </c>
      <c r="E9" s="47" t="s">
        <v>216</v>
      </c>
      <c r="F9" s="47" t="s">
        <v>216</v>
      </c>
      <c r="G9" s="47">
        <v>1</v>
      </c>
      <c r="H9" s="47" t="s">
        <v>216</v>
      </c>
      <c r="I9" s="47" t="s">
        <v>216</v>
      </c>
      <c r="J9" s="47">
        <f t="shared" si="1"/>
        <v>100</v>
      </c>
    </row>
    <row r="10" spans="1:11" ht="21" customHeight="1">
      <c r="A10" s="96">
        <v>49003011</v>
      </c>
      <c r="B10" s="47">
        <v>0</v>
      </c>
      <c r="C10" s="47">
        <v>99</v>
      </c>
      <c r="D10" s="47">
        <v>33</v>
      </c>
      <c r="E10" s="47" t="s">
        <v>216</v>
      </c>
      <c r="F10" s="47" t="s">
        <v>216</v>
      </c>
      <c r="G10" s="47" t="s">
        <v>216</v>
      </c>
      <c r="H10" s="47" t="s">
        <v>216</v>
      </c>
      <c r="I10" s="47" t="s">
        <v>216</v>
      </c>
      <c r="J10" s="47">
        <f t="shared" si="1"/>
        <v>33</v>
      </c>
    </row>
    <row r="11" spans="1:11" ht="21" customHeight="1">
      <c r="A11" s="96">
        <v>49003012</v>
      </c>
      <c r="B11" s="47">
        <v>0</v>
      </c>
      <c r="C11" s="47">
        <v>50</v>
      </c>
      <c r="D11" s="47">
        <v>50</v>
      </c>
      <c r="E11" s="47" t="s">
        <v>216</v>
      </c>
      <c r="F11" s="47" t="s">
        <v>216</v>
      </c>
      <c r="G11" s="47" t="s">
        <v>216</v>
      </c>
      <c r="H11" s="47" t="s">
        <v>216</v>
      </c>
      <c r="I11" s="47" t="s">
        <v>216</v>
      </c>
      <c r="J11" s="47">
        <f t="shared" si="1"/>
        <v>50</v>
      </c>
    </row>
    <row r="12" spans="1:11" ht="21" customHeight="1">
      <c r="A12" s="96">
        <v>49003013</v>
      </c>
      <c r="B12" s="47">
        <v>0</v>
      </c>
      <c r="C12" s="47">
        <v>25</v>
      </c>
      <c r="D12" s="47">
        <v>100</v>
      </c>
      <c r="E12" s="47" t="s">
        <v>216</v>
      </c>
      <c r="F12" s="47" t="s">
        <v>216</v>
      </c>
      <c r="G12" s="47" t="s">
        <v>216</v>
      </c>
      <c r="H12" s="47" t="s">
        <v>216</v>
      </c>
      <c r="I12" s="47" t="s">
        <v>216</v>
      </c>
      <c r="J12" s="47">
        <f t="shared" si="1"/>
        <v>100</v>
      </c>
    </row>
    <row r="13" spans="1:11" ht="21" customHeight="1">
      <c r="A13" s="96">
        <v>49003014</v>
      </c>
      <c r="B13" s="47">
        <v>1</v>
      </c>
      <c r="C13" s="47">
        <v>100</v>
      </c>
      <c r="D13" s="47">
        <v>100</v>
      </c>
      <c r="E13" s="47" t="s">
        <v>216</v>
      </c>
      <c r="F13" s="47" t="s">
        <v>216</v>
      </c>
      <c r="G13" s="47">
        <v>1</v>
      </c>
      <c r="H13" s="47" t="s">
        <v>216</v>
      </c>
      <c r="I13" s="47" t="s">
        <v>216</v>
      </c>
      <c r="J13" s="47">
        <f t="shared" si="1"/>
        <v>100</v>
      </c>
    </row>
    <row r="14" spans="1:11" ht="21" customHeight="1">
      <c r="A14" s="96">
        <v>49003015</v>
      </c>
      <c r="B14" s="47">
        <v>0</v>
      </c>
      <c r="C14" s="47">
        <v>99</v>
      </c>
      <c r="D14" s="47">
        <v>33</v>
      </c>
      <c r="E14" s="47" t="s">
        <v>216</v>
      </c>
      <c r="F14" s="47" t="s">
        <v>216</v>
      </c>
      <c r="G14" s="47" t="s">
        <v>216</v>
      </c>
      <c r="H14" s="47" t="s">
        <v>216</v>
      </c>
      <c r="I14" s="47" t="s">
        <v>216</v>
      </c>
      <c r="J14" s="47">
        <f t="shared" si="1"/>
        <v>33</v>
      </c>
    </row>
    <row r="15" spans="1:11" ht="21" customHeight="1">
      <c r="A15" s="96">
        <v>49003016</v>
      </c>
      <c r="B15" s="47">
        <v>0</v>
      </c>
      <c r="C15" s="47">
        <v>50</v>
      </c>
      <c r="D15" s="47">
        <v>50</v>
      </c>
      <c r="E15" s="47" t="s">
        <v>216</v>
      </c>
      <c r="F15" s="47" t="s">
        <v>216</v>
      </c>
      <c r="G15" s="47" t="s">
        <v>216</v>
      </c>
      <c r="H15" s="47" t="s">
        <v>216</v>
      </c>
      <c r="I15" s="47" t="s">
        <v>216</v>
      </c>
      <c r="J15" s="47">
        <f t="shared" si="1"/>
        <v>50</v>
      </c>
    </row>
    <row r="16" spans="1:11" ht="21" customHeight="1">
      <c r="A16" s="96">
        <v>49003017</v>
      </c>
      <c r="B16" s="47">
        <v>0</v>
      </c>
      <c r="C16" s="47">
        <v>25</v>
      </c>
      <c r="D16" s="47">
        <v>100</v>
      </c>
      <c r="E16" s="47" t="s">
        <v>216</v>
      </c>
      <c r="F16" s="47" t="s">
        <v>216</v>
      </c>
      <c r="G16" s="47" t="s">
        <v>216</v>
      </c>
      <c r="H16" s="47" t="s">
        <v>216</v>
      </c>
      <c r="I16" s="47" t="s">
        <v>216</v>
      </c>
      <c r="J16" s="47">
        <f t="shared" si="1"/>
        <v>100</v>
      </c>
    </row>
    <row r="17" spans="1:10" ht="21" customHeight="1">
      <c r="A17" s="96">
        <v>49003018</v>
      </c>
      <c r="B17" s="47">
        <v>1</v>
      </c>
      <c r="C17" s="47">
        <v>100</v>
      </c>
      <c r="D17" s="47">
        <v>100</v>
      </c>
      <c r="E17" s="47" t="s">
        <v>216</v>
      </c>
      <c r="F17" s="47" t="s">
        <v>216</v>
      </c>
      <c r="G17" s="47">
        <v>1</v>
      </c>
      <c r="H17" s="47" t="s">
        <v>216</v>
      </c>
      <c r="I17" s="47" t="s">
        <v>216</v>
      </c>
      <c r="J17" s="47">
        <f t="shared" si="1"/>
        <v>100</v>
      </c>
    </row>
    <row r="18" spans="1:10" ht="21" customHeight="1">
      <c r="A18" s="96">
        <v>49003020</v>
      </c>
      <c r="B18" s="47">
        <v>0</v>
      </c>
      <c r="C18" s="47">
        <v>50</v>
      </c>
      <c r="D18" s="47">
        <v>100</v>
      </c>
      <c r="E18" s="47" t="s">
        <v>235</v>
      </c>
      <c r="F18" s="47" t="s">
        <v>235</v>
      </c>
      <c r="G18" s="47" t="s">
        <v>236</v>
      </c>
      <c r="H18" s="47" t="s">
        <v>236</v>
      </c>
      <c r="I18" s="47" t="s">
        <v>236</v>
      </c>
      <c r="J18" s="47">
        <f t="shared" si="1"/>
        <v>100</v>
      </c>
    </row>
    <row r="19" spans="1:10" ht="21" customHeight="1">
      <c r="A19" s="96">
        <v>49003021</v>
      </c>
      <c r="B19" s="47">
        <v>0</v>
      </c>
      <c r="C19" s="47">
        <v>150</v>
      </c>
      <c r="D19" s="47">
        <v>25</v>
      </c>
      <c r="E19" s="47" t="s">
        <v>234</v>
      </c>
      <c r="F19" s="47" t="s">
        <v>235</v>
      </c>
      <c r="G19" s="47">
        <v>2</v>
      </c>
      <c r="H19" s="47" t="s">
        <v>236</v>
      </c>
      <c r="I19" s="47" t="s">
        <v>236</v>
      </c>
      <c r="J19" s="47">
        <f t="shared" si="1"/>
        <v>25</v>
      </c>
    </row>
    <row r="20" spans="1:10" ht="21" customHeight="1">
      <c r="A20" s="96">
        <v>49003022</v>
      </c>
      <c r="B20" s="47">
        <v>1</v>
      </c>
      <c r="C20" s="47">
        <v>100</v>
      </c>
      <c r="D20" s="47">
        <v>100</v>
      </c>
      <c r="E20" s="47" t="s">
        <v>216</v>
      </c>
      <c r="F20" s="47" t="s">
        <v>216</v>
      </c>
      <c r="G20" s="47">
        <v>1</v>
      </c>
      <c r="H20" s="47" t="s">
        <v>216</v>
      </c>
      <c r="I20" s="47" t="s">
        <v>216</v>
      </c>
      <c r="J20" s="47">
        <f t="shared" si="1"/>
        <v>100</v>
      </c>
    </row>
    <row r="21" spans="1:10" ht="21" customHeight="1">
      <c r="A21" s="96">
        <v>49003023</v>
      </c>
      <c r="B21" s="47">
        <v>0</v>
      </c>
      <c r="C21" s="47">
        <v>50</v>
      </c>
      <c r="D21" s="47">
        <v>50</v>
      </c>
      <c r="E21" s="47" t="s">
        <v>216</v>
      </c>
      <c r="F21" s="47" t="s">
        <v>216</v>
      </c>
      <c r="G21" s="47" t="s">
        <v>216</v>
      </c>
      <c r="H21" s="47" t="s">
        <v>216</v>
      </c>
      <c r="I21" s="47" t="s">
        <v>216</v>
      </c>
      <c r="J21" s="47">
        <f t="shared" si="1"/>
        <v>50</v>
      </c>
    </row>
    <row r="22" spans="1:10" ht="21" customHeight="1">
      <c r="A22" s="96">
        <v>49003024</v>
      </c>
      <c r="B22" s="47">
        <v>0</v>
      </c>
      <c r="C22" s="47">
        <v>25</v>
      </c>
      <c r="D22" s="47">
        <v>100</v>
      </c>
      <c r="E22" s="47" t="s">
        <v>216</v>
      </c>
      <c r="F22" s="47" t="s">
        <v>216</v>
      </c>
      <c r="G22" s="47" t="s">
        <v>216</v>
      </c>
      <c r="H22" s="47" t="s">
        <v>216</v>
      </c>
      <c r="I22" s="47" t="s">
        <v>216</v>
      </c>
      <c r="J22" s="47">
        <f t="shared" si="1"/>
        <v>100</v>
      </c>
    </row>
    <row r="23" spans="1:10" ht="21" customHeight="1">
      <c r="A23" s="96">
        <v>49003025</v>
      </c>
      <c r="B23" s="47">
        <v>0</v>
      </c>
      <c r="C23" s="47">
        <v>150</v>
      </c>
      <c r="D23" s="47">
        <v>100</v>
      </c>
      <c r="E23" s="47">
        <v>50</v>
      </c>
      <c r="F23" s="47" t="s">
        <v>216</v>
      </c>
      <c r="G23" s="47">
        <v>1</v>
      </c>
      <c r="H23" s="47" t="s">
        <v>216</v>
      </c>
      <c r="I23" s="47" t="s">
        <v>216</v>
      </c>
      <c r="J23" s="47">
        <f t="shared" si="1"/>
        <v>100</v>
      </c>
    </row>
    <row r="24" spans="1:10" ht="21" customHeight="1">
      <c r="A24" s="96">
        <v>49003026</v>
      </c>
      <c r="B24" s="97">
        <v>0</v>
      </c>
      <c r="C24" s="98">
        <v>120</v>
      </c>
      <c r="D24" s="98">
        <v>100</v>
      </c>
      <c r="E24" s="98">
        <v>50</v>
      </c>
      <c r="F24" s="98" t="s">
        <v>216</v>
      </c>
      <c r="G24" s="98">
        <v>1</v>
      </c>
      <c r="H24" s="98" t="s">
        <v>216</v>
      </c>
      <c r="I24" s="98" t="s">
        <v>216</v>
      </c>
      <c r="J24" s="47">
        <f t="shared" si="1"/>
        <v>100</v>
      </c>
    </row>
    <row r="25" spans="1:10" ht="21" customHeight="1">
      <c r="A25" s="96">
        <v>49003028</v>
      </c>
      <c r="B25" s="99">
        <v>1</v>
      </c>
      <c r="C25" s="100">
        <v>100</v>
      </c>
      <c r="D25" s="100">
        <v>100</v>
      </c>
      <c r="E25" s="100" t="s">
        <v>216</v>
      </c>
      <c r="F25" s="100" t="s">
        <v>216</v>
      </c>
      <c r="G25" s="100">
        <v>1</v>
      </c>
      <c r="H25" s="100" t="s">
        <v>216</v>
      </c>
      <c r="I25" s="100" t="s">
        <v>216</v>
      </c>
      <c r="J25" s="47">
        <f t="shared" si="1"/>
        <v>100</v>
      </c>
    </row>
    <row r="26" spans="1:10" ht="21" customHeight="1">
      <c r="A26" s="96">
        <v>49003029</v>
      </c>
      <c r="B26" s="47">
        <v>0</v>
      </c>
      <c r="C26" s="47">
        <v>60</v>
      </c>
      <c r="D26" s="47">
        <v>100</v>
      </c>
      <c r="E26" s="47" t="s">
        <v>216</v>
      </c>
      <c r="F26" s="47" t="s">
        <v>216</v>
      </c>
      <c r="G26" s="47" t="s">
        <v>216</v>
      </c>
      <c r="H26" s="47" t="s">
        <v>216</v>
      </c>
      <c r="I26" s="47" t="s">
        <v>216</v>
      </c>
      <c r="J26" s="47">
        <f t="shared" si="1"/>
        <v>100</v>
      </c>
    </row>
    <row r="27" spans="1:10" ht="21" customHeight="1">
      <c r="A27" s="96">
        <v>49003030</v>
      </c>
      <c r="B27" s="47">
        <v>0</v>
      </c>
      <c r="C27" s="47">
        <v>70</v>
      </c>
      <c r="D27" s="47">
        <v>50</v>
      </c>
      <c r="E27" s="47" t="s">
        <v>216</v>
      </c>
      <c r="F27" s="47" t="s">
        <v>216</v>
      </c>
      <c r="G27" s="47" t="s">
        <v>216</v>
      </c>
      <c r="H27" s="47" t="s">
        <v>216</v>
      </c>
      <c r="I27" s="47" t="s">
        <v>216</v>
      </c>
      <c r="J27" s="47">
        <f t="shared" si="1"/>
        <v>50</v>
      </c>
    </row>
    <row r="28" spans="1:10" ht="21" customHeight="1">
      <c r="A28" s="96">
        <v>49003031</v>
      </c>
      <c r="B28" s="97">
        <v>0</v>
      </c>
      <c r="C28" s="98">
        <v>80</v>
      </c>
      <c r="D28" s="98">
        <v>33</v>
      </c>
      <c r="E28" s="98" t="s">
        <v>216</v>
      </c>
      <c r="F28" s="98" t="s">
        <v>216</v>
      </c>
      <c r="G28" s="98" t="s">
        <v>216</v>
      </c>
      <c r="H28" s="98" t="s">
        <v>216</v>
      </c>
      <c r="I28" s="98" t="s">
        <v>216</v>
      </c>
      <c r="J28" s="47">
        <f t="shared" si="1"/>
        <v>33</v>
      </c>
    </row>
    <row r="29" spans="1:10" ht="21" customHeight="1">
      <c r="A29" s="96">
        <v>49003032</v>
      </c>
      <c r="B29" s="47">
        <v>0</v>
      </c>
      <c r="C29" s="47">
        <v>90</v>
      </c>
      <c r="D29" s="47">
        <v>25</v>
      </c>
      <c r="E29" s="47" t="s">
        <v>216</v>
      </c>
      <c r="F29" s="47" t="s">
        <v>216</v>
      </c>
      <c r="G29" s="47" t="s">
        <v>216</v>
      </c>
      <c r="H29" s="47" t="s">
        <v>216</v>
      </c>
      <c r="I29" s="47" t="s">
        <v>216</v>
      </c>
      <c r="J29" s="47">
        <f t="shared" si="1"/>
        <v>25</v>
      </c>
    </row>
    <row r="30" spans="1:10" ht="21" customHeight="1">
      <c r="A30" s="96">
        <v>49003033</v>
      </c>
      <c r="B30" s="47">
        <v>1</v>
      </c>
      <c r="C30" s="47">
        <v>100</v>
      </c>
      <c r="D30" s="47">
        <v>100</v>
      </c>
      <c r="E30" s="47" t="s">
        <v>216</v>
      </c>
      <c r="F30" s="47" t="s">
        <v>216</v>
      </c>
      <c r="G30" s="47">
        <v>1</v>
      </c>
      <c r="H30" s="47" t="s">
        <v>216</v>
      </c>
      <c r="I30" s="47" t="s">
        <v>216</v>
      </c>
      <c r="J30" s="47">
        <f t="shared" si="1"/>
        <v>100</v>
      </c>
    </row>
    <row r="31" spans="1:10" ht="21" customHeight="1">
      <c r="A31" s="96">
        <v>49003034</v>
      </c>
      <c r="B31" s="47">
        <v>0</v>
      </c>
      <c r="C31" s="47">
        <v>60</v>
      </c>
      <c r="D31" s="47">
        <v>100</v>
      </c>
      <c r="E31" s="47" t="s">
        <v>216</v>
      </c>
      <c r="F31" s="47" t="s">
        <v>216</v>
      </c>
      <c r="G31" s="47" t="s">
        <v>216</v>
      </c>
      <c r="H31" s="47" t="s">
        <v>216</v>
      </c>
      <c r="I31" s="47" t="s">
        <v>216</v>
      </c>
      <c r="J31" s="47">
        <f t="shared" si="1"/>
        <v>100</v>
      </c>
    </row>
    <row r="32" spans="1:10" ht="21" customHeight="1">
      <c r="A32" s="96">
        <v>49003035</v>
      </c>
      <c r="B32" s="47">
        <v>0</v>
      </c>
      <c r="C32" s="47">
        <v>70</v>
      </c>
      <c r="D32" s="47">
        <v>50</v>
      </c>
      <c r="E32" s="47" t="s">
        <v>216</v>
      </c>
      <c r="F32" s="47" t="s">
        <v>216</v>
      </c>
      <c r="G32" s="47" t="s">
        <v>216</v>
      </c>
      <c r="H32" s="47" t="s">
        <v>216</v>
      </c>
      <c r="I32" s="47" t="s">
        <v>216</v>
      </c>
      <c r="J32" s="47">
        <f t="shared" si="1"/>
        <v>50</v>
      </c>
    </row>
    <row r="33" spans="1:10" ht="21" customHeight="1">
      <c r="A33" s="96">
        <v>49003036</v>
      </c>
      <c r="B33" s="97">
        <v>0</v>
      </c>
      <c r="C33" s="98">
        <v>80</v>
      </c>
      <c r="D33" s="98">
        <v>33</v>
      </c>
      <c r="E33" s="98" t="s">
        <v>216</v>
      </c>
      <c r="F33" s="98" t="s">
        <v>216</v>
      </c>
      <c r="G33" s="98" t="s">
        <v>216</v>
      </c>
      <c r="H33" s="98" t="s">
        <v>216</v>
      </c>
      <c r="I33" s="98" t="s">
        <v>216</v>
      </c>
      <c r="J33" s="47">
        <f t="shared" si="1"/>
        <v>33</v>
      </c>
    </row>
    <row r="34" spans="1:10" ht="21" customHeight="1">
      <c r="A34" s="96">
        <v>49003037</v>
      </c>
      <c r="B34" s="47">
        <v>0</v>
      </c>
      <c r="C34" s="47">
        <v>90</v>
      </c>
      <c r="D34" s="47">
        <v>25</v>
      </c>
      <c r="E34" s="47" t="s">
        <v>216</v>
      </c>
      <c r="F34" s="47" t="s">
        <v>216</v>
      </c>
      <c r="G34" s="47" t="s">
        <v>216</v>
      </c>
      <c r="H34" s="47" t="s">
        <v>216</v>
      </c>
      <c r="I34" s="47" t="s">
        <v>216</v>
      </c>
      <c r="J34" s="47">
        <f t="shared" si="1"/>
        <v>25</v>
      </c>
    </row>
    <row r="35" spans="1:10" ht="21" customHeight="1">
      <c r="A35" s="96">
        <v>49003038</v>
      </c>
      <c r="B35" s="47">
        <v>0</v>
      </c>
      <c r="C35" s="47">
        <v>120</v>
      </c>
      <c r="D35" s="47">
        <v>100</v>
      </c>
      <c r="E35" s="47">
        <v>30</v>
      </c>
      <c r="F35" s="47" t="s">
        <v>216</v>
      </c>
      <c r="G35" s="47">
        <v>1</v>
      </c>
      <c r="H35" s="47">
        <v>1</v>
      </c>
      <c r="I35" s="47" t="s">
        <v>216</v>
      </c>
      <c r="J35" s="47">
        <f t="shared" si="1"/>
        <v>100</v>
      </c>
    </row>
    <row r="36" spans="1:10" ht="21" customHeight="1">
      <c r="A36" s="96">
        <v>49003039</v>
      </c>
      <c r="B36" s="47">
        <v>1</v>
      </c>
      <c r="C36" s="47">
        <v>100</v>
      </c>
      <c r="D36" s="47">
        <v>100</v>
      </c>
      <c r="E36" s="47" t="s">
        <v>216</v>
      </c>
      <c r="F36" s="47" t="s">
        <v>216</v>
      </c>
      <c r="G36" s="47">
        <v>1</v>
      </c>
      <c r="H36" s="47" t="s">
        <v>216</v>
      </c>
      <c r="I36" s="47" t="s">
        <v>216</v>
      </c>
      <c r="J36" s="47">
        <f t="shared" si="1"/>
        <v>100</v>
      </c>
    </row>
    <row r="37" spans="1:10" ht="21" customHeight="1">
      <c r="A37" s="96">
        <v>49003040</v>
      </c>
      <c r="B37" s="47">
        <v>0</v>
      </c>
      <c r="C37" s="47">
        <v>50</v>
      </c>
      <c r="D37" s="47">
        <v>100</v>
      </c>
      <c r="E37" s="47" t="s">
        <v>216</v>
      </c>
      <c r="F37" s="47" t="s">
        <v>216</v>
      </c>
      <c r="G37" s="47" t="s">
        <v>216</v>
      </c>
      <c r="H37" s="47" t="s">
        <v>216</v>
      </c>
      <c r="I37" s="47" t="s">
        <v>216</v>
      </c>
      <c r="J37" s="47">
        <f t="shared" si="1"/>
        <v>100</v>
      </c>
    </row>
    <row r="38" spans="1:10" ht="21" customHeight="1">
      <c r="A38" s="96">
        <v>49003041</v>
      </c>
      <c r="B38" s="47">
        <v>0</v>
      </c>
      <c r="C38" s="47">
        <v>60</v>
      </c>
      <c r="D38" s="47">
        <v>50</v>
      </c>
      <c r="E38" s="47" t="s">
        <v>216</v>
      </c>
      <c r="F38" s="47" t="s">
        <v>216</v>
      </c>
      <c r="G38" s="47" t="s">
        <v>216</v>
      </c>
      <c r="H38" s="47" t="s">
        <v>216</v>
      </c>
      <c r="I38" s="47" t="s">
        <v>216</v>
      </c>
      <c r="J38" s="47">
        <f t="shared" si="1"/>
        <v>50</v>
      </c>
    </row>
    <row r="39" spans="1:10" ht="21" customHeight="1">
      <c r="A39" s="96">
        <v>49003042</v>
      </c>
      <c r="B39" s="97">
        <v>0</v>
      </c>
      <c r="C39" s="98">
        <v>70</v>
      </c>
      <c r="D39" s="98">
        <v>33</v>
      </c>
      <c r="E39" s="98" t="s">
        <v>216</v>
      </c>
      <c r="F39" s="98" t="s">
        <v>216</v>
      </c>
      <c r="G39" s="98" t="s">
        <v>216</v>
      </c>
      <c r="H39" s="98" t="s">
        <v>216</v>
      </c>
      <c r="I39" s="98" t="s">
        <v>216</v>
      </c>
      <c r="J39" s="47">
        <f t="shared" si="1"/>
        <v>33</v>
      </c>
    </row>
    <row r="40" spans="1:10" ht="21" customHeight="1">
      <c r="A40" s="96">
        <v>49003043</v>
      </c>
      <c r="B40" s="47">
        <v>0</v>
      </c>
      <c r="C40" s="47">
        <v>80</v>
      </c>
      <c r="D40" s="47">
        <v>25</v>
      </c>
      <c r="E40" s="47" t="s">
        <v>216</v>
      </c>
      <c r="F40" s="47" t="s">
        <v>216</v>
      </c>
      <c r="G40" s="47" t="s">
        <v>216</v>
      </c>
      <c r="H40" s="47" t="s">
        <v>216</v>
      </c>
      <c r="I40" s="47" t="s">
        <v>216</v>
      </c>
      <c r="J40" s="47">
        <f t="shared" si="1"/>
        <v>25</v>
      </c>
    </row>
    <row r="41" spans="1:10" ht="21" customHeight="1">
      <c r="A41" s="96">
        <v>49003044</v>
      </c>
      <c r="B41" s="47">
        <v>0</v>
      </c>
      <c r="C41" s="47">
        <v>90</v>
      </c>
      <c r="D41" s="47">
        <v>20</v>
      </c>
      <c r="E41" s="47" t="s">
        <v>216</v>
      </c>
      <c r="F41" s="47" t="s">
        <v>216</v>
      </c>
      <c r="G41" s="47">
        <v>5</v>
      </c>
      <c r="H41" s="47" t="s">
        <v>216</v>
      </c>
      <c r="I41" s="47" t="s">
        <v>216</v>
      </c>
      <c r="J41" s="47">
        <f t="shared" si="1"/>
        <v>20</v>
      </c>
    </row>
    <row r="42" spans="1:10" ht="21" customHeight="1">
      <c r="A42" s="96">
        <v>49003045</v>
      </c>
      <c r="B42" s="47">
        <v>0</v>
      </c>
      <c r="C42" s="47">
        <v>120</v>
      </c>
      <c r="D42" s="47">
        <v>100</v>
      </c>
      <c r="E42" s="47">
        <v>30</v>
      </c>
      <c r="F42" s="47" t="s">
        <v>216</v>
      </c>
      <c r="G42" s="47">
        <v>1</v>
      </c>
      <c r="H42" s="47" t="s">
        <v>216</v>
      </c>
      <c r="I42" s="47" t="s">
        <v>216</v>
      </c>
      <c r="J42" s="47">
        <f t="shared" si="1"/>
        <v>100</v>
      </c>
    </row>
    <row r="43" spans="1:10" ht="21" customHeight="1">
      <c r="A43" s="96">
        <v>49003046</v>
      </c>
      <c r="B43" s="47">
        <v>0</v>
      </c>
      <c r="C43" s="47">
        <v>120</v>
      </c>
      <c r="D43" s="47">
        <v>100</v>
      </c>
      <c r="E43" s="47" t="s">
        <v>291</v>
      </c>
      <c r="F43" s="47" t="s">
        <v>216</v>
      </c>
      <c r="G43" s="47">
        <v>0</v>
      </c>
      <c r="H43" s="47" t="s">
        <v>216</v>
      </c>
      <c r="I43" s="47">
        <v>0</v>
      </c>
      <c r="J43" s="47">
        <f t="shared" si="1"/>
        <v>100</v>
      </c>
    </row>
    <row r="44" spans="1:10" ht="21" customHeight="1">
      <c r="A44" s="96">
        <v>49003047</v>
      </c>
      <c r="B44" s="47">
        <v>0</v>
      </c>
      <c r="C44" s="47">
        <v>80</v>
      </c>
      <c r="D44" s="47">
        <v>25</v>
      </c>
      <c r="E44" s="47" t="s">
        <v>234</v>
      </c>
      <c r="F44" s="47" t="s">
        <v>235</v>
      </c>
      <c r="G44" s="47" t="s">
        <v>236</v>
      </c>
      <c r="H44" s="47" t="s">
        <v>236</v>
      </c>
      <c r="I44" s="47" t="s">
        <v>236</v>
      </c>
      <c r="J44" s="47">
        <f t="shared" ref="J44:J47" si="2">D44</f>
        <v>25</v>
      </c>
    </row>
    <row r="45" spans="1:10" ht="21" customHeight="1">
      <c r="A45" s="96">
        <v>49003048</v>
      </c>
      <c r="B45" s="47">
        <v>0</v>
      </c>
      <c r="C45" s="47">
        <v>70</v>
      </c>
      <c r="D45" s="47">
        <v>33</v>
      </c>
      <c r="E45" s="47" t="s">
        <v>235</v>
      </c>
      <c r="F45" s="47" t="s">
        <v>235</v>
      </c>
      <c r="G45" s="47" t="s">
        <v>236</v>
      </c>
      <c r="H45" s="47" t="s">
        <v>236</v>
      </c>
      <c r="I45" s="47" t="s">
        <v>236</v>
      </c>
      <c r="J45" s="47">
        <f t="shared" si="2"/>
        <v>33</v>
      </c>
    </row>
    <row r="46" spans="1:10" ht="21" customHeight="1">
      <c r="A46" s="96">
        <v>49003049</v>
      </c>
      <c r="B46" s="47">
        <v>0</v>
      </c>
      <c r="C46" s="47">
        <v>60</v>
      </c>
      <c r="D46" s="47">
        <v>50</v>
      </c>
      <c r="E46" s="47" t="s">
        <v>235</v>
      </c>
      <c r="F46" s="47" t="s">
        <v>237</v>
      </c>
      <c r="G46" s="47" t="s">
        <v>236</v>
      </c>
      <c r="H46" s="47" t="s">
        <v>236</v>
      </c>
      <c r="I46" s="47" t="s">
        <v>236</v>
      </c>
      <c r="J46" s="47">
        <f t="shared" si="2"/>
        <v>50</v>
      </c>
    </row>
    <row r="47" spans="1:10" ht="21" customHeight="1">
      <c r="A47" s="96">
        <v>49003050</v>
      </c>
      <c r="B47" s="47">
        <v>1</v>
      </c>
      <c r="C47" s="47">
        <v>100</v>
      </c>
      <c r="D47" s="47">
        <v>100</v>
      </c>
      <c r="E47" s="47" t="s">
        <v>216</v>
      </c>
      <c r="F47" s="47" t="s">
        <v>216</v>
      </c>
      <c r="G47" s="47">
        <v>1</v>
      </c>
      <c r="H47" s="47" t="s">
        <v>216</v>
      </c>
      <c r="I47" s="47">
        <v>716</v>
      </c>
      <c r="J47" s="47">
        <f t="shared" si="2"/>
        <v>100</v>
      </c>
    </row>
    <row r="48" spans="1:10" ht="21" customHeight="1">
      <c r="A48" s="96">
        <v>49003051</v>
      </c>
      <c r="B48" s="97">
        <v>1</v>
      </c>
      <c r="C48" s="98">
        <v>100</v>
      </c>
      <c r="D48" s="98">
        <v>100</v>
      </c>
      <c r="E48" s="98" t="s">
        <v>216</v>
      </c>
      <c r="F48" s="98" t="s">
        <v>216</v>
      </c>
      <c r="G48" s="98">
        <v>1</v>
      </c>
      <c r="H48" s="98" t="s">
        <v>216</v>
      </c>
      <c r="I48" s="98">
        <v>717</v>
      </c>
      <c r="J48" s="98">
        <v>104</v>
      </c>
    </row>
  </sheetData>
  <autoFilter ref="A1:G1"/>
  <phoneticPr fontId="5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R11"/>
  <sheetViews>
    <sheetView workbookViewId="0">
      <selection activeCell="H23" sqref="H23"/>
    </sheetView>
  </sheetViews>
  <sheetFormatPr baseColWidth="12" defaultRowHeight="18" x14ac:dyDescent="0"/>
  <cols>
    <col min="17" max="18" width="19" bestFit="1" customWidth="1"/>
  </cols>
  <sheetData>
    <row r="1" spans="1:18">
      <c r="A1" s="62" t="s">
        <v>149</v>
      </c>
      <c r="B1" s="62" t="s">
        <v>150</v>
      </c>
      <c r="C1" s="63" t="s">
        <v>151</v>
      </c>
      <c r="D1" s="69" t="s">
        <v>152</v>
      </c>
      <c r="E1" s="64" t="s">
        <v>153</v>
      </c>
      <c r="F1" s="62" t="s">
        <v>154</v>
      </c>
      <c r="G1" s="62" t="s">
        <v>155</v>
      </c>
      <c r="H1" s="62" t="s">
        <v>156</v>
      </c>
      <c r="I1" s="62" t="s">
        <v>157</v>
      </c>
      <c r="J1" s="62" t="s">
        <v>158</v>
      </c>
      <c r="K1" s="62" t="s">
        <v>159</v>
      </c>
      <c r="L1" s="62" t="s">
        <v>160</v>
      </c>
      <c r="M1" s="62" t="s">
        <v>161</v>
      </c>
      <c r="N1" s="62" t="s">
        <v>162</v>
      </c>
      <c r="O1" s="62" t="s">
        <v>163</v>
      </c>
      <c r="P1" s="62" t="s">
        <v>164</v>
      </c>
      <c r="Q1" s="62" t="s">
        <v>165</v>
      </c>
      <c r="R1" s="62" t="s">
        <v>166</v>
      </c>
    </row>
    <row r="2" spans="1:18">
      <c r="A2" s="135">
        <v>49003</v>
      </c>
      <c r="B2" s="135">
        <v>1</v>
      </c>
      <c r="C2" s="136" t="str">
        <f t="shared" ref="C2:C11" si="0">A2&amp; "_"&amp;B2</f>
        <v>49003_1</v>
      </c>
      <c r="D2" s="136" t="str">
        <f>VLOOKUP(C2,[2]stages!$A:$AE,31,FALSE)</f>
        <v>everyone</v>
      </c>
      <c r="E2" s="135">
        <v>1</v>
      </c>
      <c r="F2" s="135" t="s">
        <v>167</v>
      </c>
      <c r="G2" s="135">
        <v>40000</v>
      </c>
      <c r="H2" s="135" t="s">
        <v>53</v>
      </c>
      <c r="I2" s="135">
        <v>1</v>
      </c>
      <c r="J2" s="135">
        <v>1</v>
      </c>
      <c r="K2" s="135">
        <v>0</v>
      </c>
      <c r="L2" s="135">
        <v>0</v>
      </c>
      <c r="M2" s="135">
        <v>0</v>
      </c>
      <c r="N2" s="135">
        <v>0</v>
      </c>
      <c r="O2" s="135">
        <v>1</v>
      </c>
      <c r="P2" s="135">
        <v>150</v>
      </c>
      <c r="Q2" s="135" t="s">
        <v>168</v>
      </c>
      <c r="R2" s="135" t="s">
        <v>169</v>
      </c>
    </row>
    <row r="3" spans="1:18">
      <c r="A3" s="135">
        <v>49003</v>
      </c>
      <c r="B3" s="135">
        <v>1</v>
      </c>
      <c r="C3" s="136" t="str">
        <f t="shared" si="0"/>
        <v>49003_1</v>
      </c>
      <c r="D3" s="136" t="str">
        <f>VLOOKUP(C3,[2]stages!$A:$AE,31,FALSE)</f>
        <v>everyone</v>
      </c>
      <c r="E3" s="135">
        <v>2</v>
      </c>
      <c r="F3" s="135" t="s">
        <v>308</v>
      </c>
      <c r="G3" s="135">
        <v>30</v>
      </c>
      <c r="H3" s="135" t="s">
        <v>309</v>
      </c>
      <c r="I3" s="135">
        <v>1</v>
      </c>
      <c r="J3" s="135">
        <v>1</v>
      </c>
      <c r="K3" s="135">
        <v>0</v>
      </c>
      <c r="L3" s="135">
        <v>0</v>
      </c>
      <c r="M3" s="135">
        <v>0</v>
      </c>
      <c r="N3" s="135">
        <v>0</v>
      </c>
      <c r="O3" s="135">
        <v>1</v>
      </c>
      <c r="P3" s="135">
        <v>150</v>
      </c>
      <c r="Q3" s="135" t="s">
        <v>168</v>
      </c>
      <c r="R3" s="135" t="s">
        <v>169</v>
      </c>
    </row>
    <row r="4" spans="1:18">
      <c r="A4" s="135">
        <v>49003</v>
      </c>
      <c r="B4" s="135">
        <v>1</v>
      </c>
      <c r="C4" s="136" t="str">
        <f t="shared" si="0"/>
        <v>49003_1</v>
      </c>
      <c r="D4" s="136" t="str">
        <f>VLOOKUP(C4,[2]stages!$A:$AE,31,FALSE)</f>
        <v>everyone</v>
      </c>
      <c r="E4" s="135">
        <v>3</v>
      </c>
      <c r="F4" s="135" t="s">
        <v>310</v>
      </c>
      <c r="G4" s="135">
        <v>341</v>
      </c>
      <c r="H4" s="135">
        <v>1</v>
      </c>
      <c r="I4" s="135">
        <v>1</v>
      </c>
      <c r="J4" s="135">
        <v>1</v>
      </c>
      <c r="K4" s="135">
        <v>0</v>
      </c>
      <c r="L4" s="135">
        <v>0</v>
      </c>
      <c r="M4" s="135">
        <v>0</v>
      </c>
      <c r="N4" s="135">
        <v>0</v>
      </c>
      <c r="O4" s="135">
        <v>1</v>
      </c>
      <c r="P4" s="135">
        <v>28</v>
      </c>
      <c r="Q4" s="135" t="s">
        <v>168</v>
      </c>
      <c r="R4" s="135" t="s">
        <v>169</v>
      </c>
    </row>
    <row r="5" spans="1:18">
      <c r="A5" s="135">
        <v>49003</v>
      </c>
      <c r="B5" s="135">
        <v>1</v>
      </c>
      <c r="C5" s="136" t="str">
        <f t="shared" si="0"/>
        <v>49003_1</v>
      </c>
      <c r="D5" s="136" t="str">
        <f>VLOOKUP(C5,[2]stages!$A:$AE,31,FALSE)</f>
        <v>everyone</v>
      </c>
      <c r="E5" s="135">
        <v>4</v>
      </c>
      <c r="F5" s="135" t="s">
        <v>311</v>
      </c>
      <c r="G5" s="135">
        <v>342</v>
      </c>
      <c r="H5" s="135">
        <v>1</v>
      </c>
      <c r="I5" s="135">
        <v>1</v>
      </c>
      <c r="J5" s="135">
        <v>1</v>
      </c>
      <c r="K5" s="135">
        <v>0</v>
      </c>
      <c r="L5" s="135">
        <v>0</v>
      </c>
      <c r="M5" s="135">
        <v>0</v>
      </c>
      <c r="N5" s="135">
        <v>0</v>
      </c>
      <c r="O5" s="135">
        <v>1</v>
      </c>
      <c r="P5" s="135">
        <v>112</v>
      </c>
      <c r="Q5" s="135" t="s">
        <v>168</v>
      </c>
      <c r="R5" s="135" t="s">
        <v>169</v>
      </c>
    </row>
    <row r="6" spans="1:18">
      <c r="A6" s="135">
        <v>49003</v>
      </c>
      <c r="B6" s="135">
        <v>1</v>
      </c>
      <c r="C6" s="136" t="str">
        <f t="shared" si="0"/>
        <v>49003_1</v>
      </c>
      <c r="D6" s="136" t="str">
        <f>VLOOKUP(C6,[2]stages!$A:$AE,31,FALSE)</f>
        <v>everyone</v>
      </c>
      <c r="E6" s="135">
        <v>5</v>
      </c>
      <c r="F6" s="135" t="s">
        <v>311</v>
      </c>
      <c r="G6" s="135">
        <v>121</v>
      </c>
      <c r="H6" s="135">
        <v>1</v>
      </c>
      <c r="I6" s="135">
        <v>1</v>
      </c>
      <c r="J6" s="135">
        <v>1</v>
      </c>
      <c r="K6" s="135">
        <v>0</v>
      </c>
      <c r="L6" s="135">
        <v>0</v>
      </c>
      <c r="M6" s="135">
        <v>0</v>
      </c>
      <c r="N6" s="135">
        <v>0</v>
      </c>
      <c r="O6" s="135">
        <v>1</v>
      </c>
      <c r="P6" s="135">
        <v>50</v>
      </c>
      <c r="Q6" s="135" t="s">
        <v>168</v>
      </c>
      <c r="R6" s="135" t="s">
        <v>169</v>
      </c>
    </row>
    <row r="7" spans="1:18">
      <c r="A7" s="135">
        <v>49003</v>
      </c>
      <c r="B7" s="135">
        <v>1</v>
      </c>
      <c r="C7" s="136" t="str">
        <f t="shared" si="0"/>
        <v>49003_1</v>
      </c>
      <c r="D7" s="136" t="str">
        <f>VLOOKUP(C7,[2]stages!$A:$AE,31,FALSE)</f>
        <v>everyone</v>
      </c>
      <c r="E7" s="135">
        <v>6</v>
      </c>
      <c r="F7" s="135" t="s">
        <v>312</v>
      </c>
      <c r="G7" s="135">
        <v>122</v>
      </c>
      <c r="H7" s="135">
        <v>1</v>
      </c>
      <c r="I7" s="135">
        <v>1</v>
      </c>
      <c r="J7" s="135">
        <v>1</v>
      </c>
      <c r="K7" s="135">
        <v>0</v>
      </c>
      <c r="L7" s="135">
        <v>0</v>
      </c>
      <c r="M7" s="135">
        <v>0</v>
      </c>
      <c r="N7" s="135">
        <v>0</v>
      </c>
      <c r="O7" s="135">
        <v>1</v>
      </c>
      <c r="P7" s="135">
        <v>50</v>
      </c>
      <c r="Q7" s="135" t="s">
        <v>168</v>
      </c>
      <c r="R7" s="135" t="s">
        <v>169</v>
      </c>
    </row>
    <row r="8" spans="1:18">
      <c r="A8" s="135">
        <v>49003</v>
      </c>
      <c r="B8" s="135">
        <v>1</v>
      </c>
      <c r="C8" s="136" t="str">
        <f t="shared" si="0"/>
        <v>49003_1</v>
      </c>
      <c r="D8" s="136" t="str">
        <f>VLOOKUP(C8,[2]stages!$A:$AE,31,FALSE)</f>
        <v>everyone</v>
      </c>
      <c r="E8" s="135">
        <v>7</v>
      </c>
      <c r="F8" s="135" t="s">
        <v>312</v>
      </c>
      <c r="G8" s="135">
        <v>123</v>
      </c>
      <c r="H8" s="135">
        <v>1</v>
      </c>
      <c r="I8" s="135">
        <v>1</v>
      </c>
      <c r="J8" s="135">
        <v>1</v>
      </c>
      <c r="K8" s="135">
        <v>0</v>
      </c>
      <c r="L8" s="135">
        <v>0</v>
      </c>
      <c r="M8" s="135">
        <v>0</v>
      </c>
      <c r="N8" s="135">
        <v>0</v>
      </c>
      <c r="O8" s="135">
        <v>1</v>
      </c>
      <c r="P8" s="135">
        <v>50</v>
      </c>
      <c r="Q8" s="135" t="s">
        <v>168</v>
      </c>
      <c r="R8" s="135" t="s">
        <v>169</v>
      </c>
    </row>
    <row r="9" spans="1:18">
      <c r="A9" s="135">
        <v>49003</v>
      </c>
      <c r="B9" s="135">
        <v>1</v>
      </c>
      <c r="C9" s="136" t="str">
        <f t="shared" si="0"/>
        <v>49003_1</v>
      </c>
      <c r="D9" s="136" t="str">
        <f>VLOOKUP(C9,[2]stages!$A:$AE,31,FALSE)</f>
        <v>everyone</v>
      </c>
      <c r="E9" s="135">
        <v>8</v>
      </c>
      <c r="F9" s="135" t="s">
        <v>311</v>
      </c>
      <c r="G9" s="135">
        <v>125</v>
      </c>
      <c r="H9" s="135">
        <v>1</v>
      </c>
      <c r="I9" s="135">
        <v>1</v>
      </c>
      <c r="J9" s="135">
        <v>1</v>
      </c>
      <c r="K9" s="135">
        <v>0</v>
      </c>
      <c r="L9" s="135">
        <v>0</v>
      </c>
      <c r="M9" s="135">
        <v>0</v>
      </c>
      <c r="N9" s="135">
        <v>0</v>
      </c>
      <c r="O9" s="135">
        <v>1</v>
      </c>
      <c r="P9" s="135">
        <v>10</v>
      </c>
      <c r="Q9" s="135" t="s">
        <v>168</v>
      </c>
      <c r="R9" s="135" t="s">
        <v>169</v>
      </c>
    </row>
    <row r="10" spans="1:18">
      <c r="A10" s="135">
        <v>49003</v>
      </c>
      <c r="B10" s="135">
        <v>1</v>
      </c>
      <c r="C10" s="136" t="str">
        <f t="shared" si="0"/>
        <v>49003_1</v>
      </c>
      <c r="D10" s="136" t="str">
        <f>VLOOKUP(C10,[2]stages!$A:$AE,31,FALSE)</f>
        <v>everyone</v>
      </c>
      <c r="E10" s="135">
        <v>9</v>
      </c>
      <c r="F10" s="135" t="s">
        <v>311</v>
      </c>
      <c r="G10" s="135">
        <v>700</v>
      </c>
      <c r="H10" s="135">
        <v>1</v>
      </c>
      <c r="I10" s="135">
        <v>1</v>
      </c>
      <c r="J10" s="135">
        <v>1</v>
      </c>
      <c r="K10" s="135">
        <v>0</v>
      </c>
      <c r="L10" s="135">
        <v>0</v>
      </c>
      <c r="M10" s="135">
        <v>0</v>
      </c>
      <c r="N10" s="135">
        <v>0</v>
      </c>
      <c r="O10" s="135">
        <v>1</v>
      </c>
      <c r="P10" s="135">
        <v>250</v>
      </c>
      <c r="Q10" s="135" t="s">
        <v>168</v>
      </c>
      <c r="R10" s="135" t="s">
        <v>169</v>
      </c>
    </row>
    <row r="11" spans="1:18">
      <c r="A11" s="135">
        <v>49003</v>
      </c>
      <c r="B11" s="135">
        <v>1</v>
      </c>
      <c r="C11" s="136" t="str">
        <f t="shared" si="0"/>
        <v>49003_1</v>
      </c>
      <c r="D11" s="136" t="str">
        <f>VLOOKUP(C11,[2]stages!$A:$AE,31,FALSE)</f>
        <v>everyone</v>
      </c>
      <c r="E11" s="135">
        <v>10</v>
      </c>
      <c r="F11" s="135" t="s">
        <v>312</v>
      </c>
      <c r="G11" s="135">
        <v>352</v>
      </c>
      <c r="H11" s="135">
        <v>1</v>
      </c>
      <c r="I11" s="135">
        <v>1</v>
      </c>
      <c r="J11" s="135">
        <v>1</v>
      </c>
      <c r="K11" s="135">
        <v>0</v>
      </c>
      <c r="L11" s="135">
        <v>0</v>
      </c>
      <c r="M11" s="135">
        <v>0</v>
      </c>
      <c r="N11" s="135">
        <v>0</v>
      </c>
      <c r="O11" s="135">
        <v>1</v>
      </c>
      <c r="P11" s="135">
        <v>150</v>
      </c>
      <c r="Q11" s="135" t="s">
        <v>168</v>
      </c>
      <c r="R11" s="135" t="s">
        <v>169</v>
      </c>
    </row>
  </sheetData>
  <phoneticPr fontId="5"/>
  <dataValidations disablePrompts="1" count="1">
    <dataValidation type="list" allowBlank="1" showInputMessage="1" showErrorMessage="1" sqref="F2:F11">
      <formula1>"bit,link,polygon,unit"</formula1>
    </dataValidation>
  </dataValidations>
  <pageMargins left="0.7" right="0.7" top="0.75" bottom="0.75" header="0.3" footer="0.3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  <outlinePr summaryBelow="0" summaryRight="0"/>
  </sheetPr>
  <dimension ref="A1:M14"/>
  <sheetViews>
    <sheetView showGridLines="0" workbookViewId="0">
      <pane ySplit="1" topLeftCell="A2" activePane="bottomLeft" state="frozen"/>
      <selection pane="bottomLeft" activeCell="E17" sqref="E17"/>
    </sheetView>
  </sheetViews>
  <sheetFormatPr baseColWidth="12" defaultColWidth="13" defaultRowHeight="18" outlineLevelCol="1" x14ac:dyDescent="0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>
      <c r="A1" s="74" t="s">
        <v>186</v>
      </c>
      <c r="B1" s="70" t="s">
        <v>187</v>
      </c>
      <c r="C1" s="75" t="s">
        <v>188</v>
      </c>
      <c r="D1" s="75" t="s">
        <v>33</v>
      </c>
      <c r="E1" s="70" t="s">
        <v>189</v>
      </c>
      <c r="F1" s="75" t="s">
        <v>190</v>
      </c>
      <c r="G1" s="75" t="s">
        <v>33</v>
      </c>
      <c r="H1" s="70" t="s">
        <v>191</v>
      </c>
      <c r="I1" s="89" t="s">
        <v>193</v>
      </c>
      <c r="J1" s="77" t="s">
        <v>125</v>
      </c>
      <c r="K1" s="76" t="s">
        <v>185</v>
      </c>
      <c r="L1" s="90" t="s">
        <v>184</v>
      </c>
      <c r="M1" s="78" t="s">
        <v>194</v>
      </c>
    </row>
    <row r="2" spans="1:13">
      <c r="A2" s="79" t="s">
        <v>199</v>
      </c>
      <c r="B2" s="80">
        <f>floors!$C$2</f>
        <v>49003</v>
      </c>
      <c r="C2" s="81" t="str">
        <f ca="1">VLOOKUP($B2,OFFSET([2]quests!$A$1,0,0,COUNTA([2]quests!$A:$A),MATCH(C$1,[2]quests!$1:$1,0)-MATCH($B$1,[2]quests!$1:$1,0)+1),MATCH(C$1,[2]quests!$1:$1,0)-MATCH($B$1,[2]quests!$1:$1,0)+1,FALSE)</f>
        <v>H襲来</v>
      </c>
      <c r="D2" s="81" t="str">
        <f ca="1">VLOOKUP($B2,OFFSET([2]quests!$A$1,0,0,COUNTA([2]quests!$A:$A),MATCH(D$1,[2]quests!$1:$1,0)-MATCH($B$1,[2]quests!$1:$1,0)+1),MATCH(D$1,[2]quests!$1:$1,0)-MATCH($B$1,[2]quests!$1:$1,0)+1,FALSE)</f>
        <v>コラボ降臨3</v>
      </c>
      <c r="E2" s="85">
        <v>1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【ウィザード級】デiza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コラボ降臨3</v>
      </c>
      <c r="H2" s="83">
        <v>0</v>
      </c>
      <c r="I2">
        <v>12</v>
      </c>
      <c r="J2" s="82" t="s">
        <v>196</v>
      </c>
      <c r="K2" s="91" t="str">
        <f>VLOOKUP(I2,[7]stage_hints!$A:$C,3,FALSE)</f>
        <v>ユニットのお気に入り登録</v>
      </c>
      <c r="L2" s="92" t="str">
        <f>VLOOKUP(I2,[7]stage_hints!$A:$D,4,FALSE)</f>
        <v>大事なユニットを誤って消さないように_x000D_フォルダから「お気に入り登録」しましょう</v>
      </c>
      <c r="M2" s="56" t="s">
        <v>209</v>
      </c>
    </row>
    <row r="3" spans="1:13">
      <c r="A3" s="79" t="s">
        <v>199</v>
      </c>
      <c r="B3" s="80">
        <f>floors!$C$2</f>
        <v>49003</v>
      </c>
      <c r="C3" s="81" t="str">
        <f ca="1">VLOOKUP($B3,OFFSET([2]quests!$A$1,0,0,COUNTA([2]quests!$A:$A),MATCH(C$1,[2]quests!$1:$1,0)-MATCH($B$1,[2]quests!$1:$1,0)+1),MATCH(C$1,[2]quests!$1:$1,0)-MATCH($B$1,[2]quests!$1:$1,0)+1,FALSE)</f>
        <v>H襲来</v>
      </c>
      <c r="D3" s="81" t="str">
        <f ca="1">VLOOKUP($B3,OFFSET([2]quests!$A$1,0,0,COUNTA([2]quests!$A:$A),MATCH(D$1,[2]quests!$1:$1,0)-MATCH($B$1,[2]quests!$1:$1,0)+1),MATCH(D$1,[2]quests!$1:$1,0)-MATCH($B$1,[2]quests!$1:$1,0)+1,FALSE)</f>
        <v>コラボ降臨3</v>
      </c>
      <c r="E3" s="85">
        <v>1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【ウィザード級】デiza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コラボ降臨3</v>
      </c>
      <c r="H3" s="83">
        <v>0</v>
      </c>
      <c r="I3">
        <v>17</v>
      </c>
      <c r="J3" s="82" t="s">
        <v>196</v>
      </c>
      <c r="K3" s="91" t="str">
        <f>VLOOKUP(I3,[7]stage_hints!$A:$C,3,FALSE)</f>
        <v>リンクガチャ</v>
      </c>
      <c r="L3" s="92" t="str">
        <f>VLOOKUP(I3,[7]stage_hints!$A:$D,4,FALSE)</f>
        <v>無料のリンクガチャを回して_x000D_経験値素材や売却素材を獲得しましょう</v>
      </c>
      <c r="M3" s="56" t="s">
        <v>209</v>
      </c>
    </row>
    <row r="4" spans="1:13">
      <c r="A4" s="79" t="s">
        <v>199</v>
      </c>
      <c r="B4" s="80">
        <f>floors!$C$2</f>
        <v>49003</v>
      </c>
      <c r="C4" s="81" t="str">
        <f ca="1">VLOOKUP($B4,OFFSET([2]quests!$A$1,0,0,COUNTA([2]quests!$A:$A),MATCH(C$1,[2]quests!$1:$1,0)-MATCH($B$1,[2]quests!$1:$1,0)+1),MATCH(C$1,[2]quests!$1:$1,0)-MATCH($B$1,[2]quests!$1:$1,0)+1,FALSE)</f>
        <v>H襲来</v>
      </c>
      <c r="D4" s="81" t="str">
        <f ca="1">VLOOKUP($B4,OFFSET([2]quests!$A$1,0,0,COUNTA([2]quests!$A:$A),MATCH(D$1,[2]quests!$1:$1,0)-MATCH($B$1,[2]quests!$1:$1,0)+1),MATCH(D$1,[2]quests!$1:$1,0)-MATCH($B$1,[2]quests!$1:$1,0)+1,FALSE)</f>
        <v>コラボ降臨3</v>
      </c>
      <c r="E4" s="85">
        <v>1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【ウィザード級】デiza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コラボ降臨3</v>
      </c>
      <c r="H4" s="83">
        <v>0</v>
      </c>
      <c r="I4">
        <v>19</v>
      </c>
      <c r="J4" s="82" t="s">
        <v>196</v>
      </c>
      <c r="K4" s="91" t="str">
        <f>VLOOKUP(I4,[7]stage_hints!$A:$C,3,FALSE)</f>
        <v>ソロ専用チャレンジタワー</v>
      </c>
      <c r="L4" s="92" t="str">
        <f>VLOOKUP(I4,[7]stage_hints!$A:$D,4,FALSE)</f>
        <v>ソロ専用の「チャレンジタワー」では_x000D_各フロアごとにクリア報酬がもらえます</v>
      </c>
      <c r="M4" s="56" t="s">
        <v>209</v>
      </c>
    </row>
    <row r="5" spans="1:13">
      <c r="A5" s="79" t="s">
        <v>199</v>
      </c>
      <c r="B5" s="80">
        <f>floors!$C$2</f>
        <v>49003</v>
      </c>
      <c r="C5" s="81" t="str">
        <f ca="1">VLOOKUP($B5,OFFSET([2]quests!$A$1,0,0,COUNTA([2]quests!$A:$A),MATCH(C$1,[2]quests!$1:$1,0)-MATCH($B$1,[2]quests!$1:$1,0)+1),MATCH(C$1,[2]quests!$1:$1,0)-MATCH($B$1,[2]quests!$1:$1,0)+1,FALSE)</f>
        <v>H襲来</v>
      </c>
      <c r="D5" s="81" t="str">
        <f ca="1">VLOOKUP($B5,OFFSET([2]quests!$A$1,0,0,COUNTA([2]quests!$A:$A),MATCH(D$1,[2]quests!$1:$1,0)-MATCH($B$1,[2]quests!$1:$1,0)+1),MATCH(D$1,[2]quests!$1:$1,0)-MATCH($B$1,[2]quests!$1:$1,0)+1,FALSE)</f>
        <v>コラボ降臨3</v>
      </c>
      <c r="E5" s="85">
        <v>1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>【ウィザード級】デiza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コラボ降臨3</v>
      </c>
      <c r="H5" s="83">
        <v>0</v>
      </c>
      <c r="I5">
        <v>21</v>
      </c>
      <c r="J5" s="82" t="s">
        <v>196</v>
      </c>
      <c r="K5" s="91" t="str">
        <f>VLOOKUP(I5,[7]stage_hints!$A:$C,3,FALSE)</f>
        <v>スキルを有効に</v>
      </c>
      <c r="L5" s="92" t="str">
        <f>VLOOKUP(I5,[7]stage_hints!$A:$D,4,FALSE)</f>
        <v>ターン経過でユニットのスキルが使えます_x000D_強力スキルでバトルを有利に進めましょう</v>
      </c>
      <c r="M5" s="56" t="s">
        <v>209</v>
      </c>
    </row>
    <row r="6" spans="1:13">
      <c r="A6" s="79" t="s">
        <v>199</v>
      </c>
      <c r="B6" s="80">
        <f>floors!$C$2</f>
        <v>49003</v>
      </c>
      <c r="C6" s="81" t="str">
        <f ca="1">VLOOKUP($B6,OFFSET([2]quests!$A$1,0,0,COUNTA([2]quests!$A:$A),MATCH(C$1,[2]quests!$1:$1,0)-MATCH($B$1,[2]quests!$1:$1,0)+1),MATCH(C$1,[2]quests!$1:$1,0)-MATCH($B$1,[2]quests!$1:$1,0)+1,FALSE)</f>
        <v>H襲来</v>
      </c>
      <c r="D6" s="81" t="str">
        <f ca="1">VLOOKUP($B6,OFFSET([2]quests!$A$1,0,0,COUNTA([2]quests!$A:$A),MATCH(D$1,[2]quests!$1:$1,0)-MATCH($B$1,[2]quests!$1:$1,0)+1),MATCH(D$1,[2]quests!$1:$1,0)-MATCH($B$1,[2]quests!$1:$1,0)+1,FALSE)</f>
        <v>コラボ降臨3</v>
      </c>
      <c r="E6" s="85">
        <v>1</v>
      </c>
      <c r="F6" s="81" t="str">
        <f ca="1">VLOOKUP($B6&amp;"_"&amp;$E6,OFFSET([2]stages!$A$1,0,0,COUNTA([2]stages!$A:$A),MATCH(F$1,[2]stages!$2:$2,0)-MATCH("temp_stage",[2]stages!$2:$2,0)+1),MATCH(F$1,[2]stages!$2:$2,0)-MATCH("temp_stage",[2]stages!$2:$2,0)+1,FALSE)</f>
        <v>【ウィザード級】デiza</v>
      </c>
      <c r="G6" s="81" t="str">
        <f ca="1">VLOOKUP($B6&amp;"_"&amp;$E6,OFFSET([2]stages!$A$1,0,0,COUNTA([2]stages!$A:$A),MATCH(G$1,[2]stages!$2:$2,0)-MATCH("temp_stage",[2]stages!$2:$2,0)+1),MATCH(G$1,[2]stages!$2:$2,0)-MATCH("temp_stage",[2]stages!$2:$2,0)+1,FALSE)</f>
        <v>コラボ降臨3</v>
      </c>
      <c r="H6" s="83">
        <v>0</v>
      </c>
      <c r="I6">
        <v>29</v>
      </c>
      <c r="J6" s="82" t="s">
        <v>196</v>
      </c>
      <c r="K6" s="91" t="str">
        <f>VLOOKUP(I6,[7]stage_hints!$A:$C,3,FALSE)</f>
        <v>「バグ」のメリット</v>
      </c>
      <c r="L6" s="92" t="str">
        <f>VLOOKUP(I6,[7]stage_hints!$A:$D,4,FALSE)</f>
        <v>ユニットの「バグ」を増やすと_x000D_報酬をもらえる確率がアップします</v>
      </c>
      <c r="M6" s="56" t="s">
        <v>209</v>
      </c>
    </row>
    <row r="7" spans="1:13">
      <c r="A7" s="79" t="s">
        <v>199</v>
      </c>
      <c r="B7" s="80">
        <f>floors!$C$2</f>
        <v>49003</v>
      </c>
      <c r="C7" s="81" t="str">
        <f ca="1">VLOOKUP($B7,OFFSET([2]quests!$A$1,0,0,COUNTA([2]quests!$A:$A),MATCH(C$1,[2]quests!$1:$1,0)-MATCH($B$1,[2]quests!$1:$1,0)+1),MATCH(C$1,[2]quests!$1:$1,0)-MATCH($B$1,[2]quests!$1:$1,0)+1,FALSE)</f>
        <v>H襲来</v>
      </c>
      <c r="D7" s="81" t="str">
        <f ca="1">VLOOKUP($B7,OFFSET([2]quests!$A$1,0,0,COUNTA([2]quests!$A:$A),MATCH(D$1,[2]quests!$1:$1,0)-MATCH($B$1,[2]quests!$1:$1,0)+1),MATCH(D$1,[2]quests!$1:$1,0)-MATCH($B$1,[2]quests!$1:$1,0)+1,FALSE)</f>
        <v>コラボ降臨3</v>
      </c>
      <c r="E7" s="85">
        <v>1</v>
      </c>
      <c r="F7" s="81" t="str">
        <f ca="1">VLOOKUP($B7&amp;"_"&amp;$E7,OFFSET([2]stages!$A$1,0,0,COUNTA([2]stages!$A:$A),MATCH(F$1,[2]stages!$2:$2,0)-MATCH("temp_stage",[2]stages!$2:$2,0)+1),MATCH(F$1,[2]stages!$2:$2,0)-MATCH("temp_stage",[2]stages!$2:$2,0)+1,FALSE)</f>
        <v>【ウィザード級】デiza</v>
      </c>
      <c r="G7" s="81" t="str">
        <f ca="1">VLOOKUP($B7&amp;"_"&amp;$E7,OFFSET([2]stages!$A$1,0,0,COUNTA([2]stages!$A:$A),MATCH(G$1,[2]stages!$2:$2,0)-MATCH("temp_stage",[2]stages!$2:$2,0)+1),MATCH(G$1,[2]stages!$2:$2,0)-MATCH("temp_stage",[2]stages!$2:$2,0)+1,FALSE)</f>
        <v>コラボ降臨3</v>
      </c>
      <c r="H7" s="83">
        <v>0</v>
      </c>
      <c r="I7">
        <v>30</v>
      </c>
      <c r="J7" s="82" t="s">
        <v>196</v>
      </c>
      <c r="K7" s="91" t="str">
        <f>VLOOKUP(I7,[7]stage_hints!$A:$C,3,FALSE)</f>
        <v>「バグ」の増やし方</v>
      </c>
      <c r="L7" s="92" t="str">
        <f>VLOOKUP(I7,[7]stage_hints!$A:$D,4,FALSE)</f>
        <v>同じユニット同士を強化で合成すると_x000D_「バグ」を増やすことができます</v>
      </c>
      <c r="M7" s="56" t="s">
        <v>209</v>
      </c>
    </row>
    <row r="8" spans="1:13">
      <c r="A8" s="79" t="s">
        <v>199</v>
      </c>
      <c r="B8" s="80">
        <f>floors!$C$2</f>
        <v>49003</v>
      </c>
      <c r="C8" s="81" t="str">
        <f ca="1">VLOOKUP($B8,OFFSET([2]quests!$A$1,0,0,COUNTA([2]quests!$A:$A),MATCH(C$1,[2]quests!$1:$1,0)-MATCH($B$1,[2]quests!$1:$1,0)+1),MATCH(C$1,[2]quests!$1:$1,0)-MATCH($B$1,[2]quests!$1:$1,0)+1,FALSE)</f>
        <v>H襲来</v>
      </c>
      <c r="D8" s="81" t="str">
        <f ca="1">VLOOKUP($B8,OFFSET([2]quests!$A$1,0,0,COUNTA([2]quests!$A:$A),MATCH(D$1,[2]quests!$1:$1,0)-MATCH($B$1,[2]quests!$1:$1,0)+1),MATCH(D$1,[2]quests!$1:$1,0)-MATCH($B$1,[2]quests!$1:$1,0)+1,FALSE)</f>
        <v>コラボ降臨3</v>
      </c>
      <c r="E8" s="85">
        <v>1</v>
      </c>
      <c r="F8" s="81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【ウィザード級】デiza</v>
      </c>
      <c r="G8" s="81" t="str">
        <f ca="1">VLOOKUP($B8&amp;"_"&amp;$E8,OFFSET([2]stages!$A$1,0,0,COUNTA([2]stages!$A:$A),MATCH(G$1,[2]stages!$2:$2,0)-MATCH("temp_stage",[2]stages!$2:$2,0)+1),MATCH(G$1,[2]stages!$2:$2,0)-MATCH("temp_stage",[2]stages!$2:$2,0)+1,FALSE)</f>
        <v>コラボ降臨3</v>
      </c>
      <c r="H8" s="83">
        <v>0</v>
      </c>
      <c r="I8">
        <v>32</v>
      </c>
      <c r="J8" s="82" t="s">
        <v>196</v>
      </c>
      <c r="K8" s="91" t="str">
        <f>VLOOKUP(I8,[7]stage_hints!$A:$C,3,FALSE)</f>
        <v>敵の連続攻撃には</v>
      </c>
      <c r="L8" s="92" t="str">
        <f>VLOOKUP(I8,[7]stage_hints!$A:$D,4,FALSE)</f>
        <v>カウンタースキルを持つユニットがいれば_x000D_ダメージ回数分の反撃ができます</v>
      </c>
      <c r="M8" s="56" t="s">
        <v>209</v>
      </c>
    </row>
    <row r="9" spans="1:13">
      <c r="A9" s="79" t="s">
        <v>199</v>
      </c>
      <c r="B9" s="80">
        <f>floors!$C$2</f>
        <v>49003</v>
      </c>
      <c r="C9" s="81" t="str">
        <f ca="1">VLOOKUP($B9,OFFSET([2]quests!$A$1,0,0,COUNTA([2]quests!$A:$A),MATCH(C$1,[2]quests!$1:$1,0)-MATCH($B$1,[2]quests!$1:$1,0)+1),MATCH(C$1,[2]quests!$1:$1,0)-MATCH($B$1,[2]quests!$1:$1,0)+1,FALSE)</f>
        <v>H襲来</v>
      </c>
      <c r="D9" s="81" t="str">
        <f ca="1">VLOOKUP($B9,OFFSET([2]quests!$A$1,0,0,COUNTA([2]quests!$A:$A),MATCH(D$1,[2]quests!$1:$1,0)-MATCH($B$1,[2]quests!$1:$1,0)+1),MATCH(D$1,[2]quests!$1:$1,0)-MATCH($B$1,[2]quests!$1:$1,0)+1,FALSE)</f>
        <v>コラボ降臨3</v>
      </c>
      <c r="E9" s="85">
        <v>1</v>
      </c>
      <c r="F9" s="81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【ウィザード級】デiza</v>
      </c>
      <c r="G9" s="81" t="str">
        <f ca="1">VLOOKUP($B9&amp;"_"&amp;$E9,OFFSET([2]stages!$A$1,0,0,COUNTA([2]stages!$A:$A),MATCH(G$1,[2]stages!$2:$2,0)-MATCH("temp_stage",[2]stages!$2:$2,0)+1),MATCH(G$1,[2]stages!$2:$2,0)-MATCH("temp_stage",[2]stages!$2:$2,0)+1,FALSE)</f>
        <v>コラボ降臨3</v>
      </c>
      <c r="H9" s="83">
        <v>0</v>
      </c>
      <c r="I9">
        <v>33</v>
      </c>
      <c r="J9" s="82" t="s">
        <v>196</v>
      </c>
      <c r="K9" s="91" t="str">
        <f>VLOOKUP(I9,[7]stage_hints!$A:$C,3,FALSE)</f>
        <v>敵のカウンター攻撃には</v>
      </c>
      <c r="L9" s="92" t="str">
        <f>VLOOKUP(I9,[7]stage_hints!$A:$D,4,FALSE)</f>
        <v>カウンターブレイクスキルを持っていれば_x000D_敵のカウンターを解除して攻撃ができます</v>
      </c>
      <c r="M9" s="56" t="s">
        <v>209</v>
      </c>
    </row>
    <row r="10" spans="1:13">
      <c r="A10" s="79" t="s">
        <v>199</v>
      </c>
      <c r="B10" s="80">
        <f>floors!$C$2</f>
        <v>49003</v>
      </c>
      <c r="C10" s="81" t="str">
        <f ca="1">VLOOKUP($B10,OFFSET([2]quests!$A$1,0,0,COUNTA([2]quests!$A:$A),MATCH(C$1,[2]quests!$1:$1,0)-MATCH($B$1,[2]quests!$1:$1,0)+1),MATCH(C$1,[2]quests!$1:$1,0)-MATCH($B$1,[2]quests!$1:$1,0)+1,FALSE)</f>
        <v>H襲来</v>
      </c>
      <c r="D10" s="81" t="str">
        <f ca="1">VLOOKUP($B10,OFFSET([2]quests!$A$1,0,0,COUNTA([2]quests!$A:$A),MATCH(D$1,[2]quests!$1:$1,0)-MATCH($B$1,[2]quests!$1:$1,0)+1),MATCH(D$1,[2]quests!$1:$1,0)-MATCH($B$1,[2]quests!$1:$1,0)+1,FALSE)</f>
        <v>コラボ降臨3</v>
      </c>
      <c r="E10" s="85">
        <v>1</v>
      </c>
      <c r="F10" s="81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【ウィザード級】デiza</v>
      </c>
      <c r="G10" s="81" t="str">
        <f ca="1">VLOOKUP($B10&amp;"_"&amp;$E10,OFFSET([2]stages!$A$1,0,0,COUNTA([2]stages!$A:$A),MATCH(G$1,[2]stages!$2:$2,0)-MATCH("temp_stage",[2]stages!$2:$2,0)+1),MATCH(G$1,[2]stages!$2:$2,0)-MATCH("temp_stage",[2]stages!$2:$2,0)+1,FALSE)</f>
        <v>コラボ降臨3</v>
      </c>
      <c r="H10" s="83">
        <v>0</v>
      </c>
      <c r="I10">
        <v>34</v>
      </c>
      <c r="J10" s="82" t="s">
        <v>196</v>
      </c>
      <c r="K10" s="91" t="str">
        <f>VLOOKUP(I10,[7]stage_hints!$A:$C,3,FALSE)</f>
        <v>ステータスをスキルで下げられたら</v>
      </c>
      <c r="L10" s="92" t="str">
        <f>VLOOKUP(I10,[7]stage_hints!$A:$D,4,FALSE)</f>
        <v>ステータスダウンのスキルを受けたら_x000D_ステータスアップスキルで上書きしましょう</v>
      </c>
      <c r="M10" s="56" t="s">
        <v>209</v>
      </c>
    </row>
    <row r="11" spans="1:13">
      <c r="A11" s="79" t="s">
        <v>199</v>
      </c>
      <c r="B11" s="80">
        <f>floors!$C$2</f>
        <v>49003</v>
      </c>
      <c r="C11" s="81" t="str">
        <f ca="1">VLOOKUP($B11,OFFSET([2]quests!$A$1,0,0,COUNTA([2]quests!$A:$A),MATCH(C$1,[2]quests!$1:$1,0)-MATCH($B$1,[2]quests!$1:$1,0)+1),MATCH(C$1,[2]quests!$1:$1,0)-MATCH($B$1,[2]quests!$1:$1,0)+1,FALSE)</f>
        <v>H襲来</v>
      </c>
      <c r="D11" s="81" t="str">
        <f ca="1">VLOOKUP($B11,OFFSET([2]quests!$A$1,0,0,COUNTA([2]quests!$A:$A),MATCH(D$1,[2]quests!$1:$1,0)-MATCH($B$1,[2]quests!$1:$1,0)+1),MATCH(D$1,[2]quests!$1:$1,0)-MATCH($B$1,[2]quests!$1:$1,0)+1,FALSE)</f>
        <v>コラボ降臨3</v>
      </c>
      <c r="E11" s="85">
        <v>1</v>
      </c>
      <c r="F11" s="81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【ウィザード級】デiza</v>
      </c>
      <c r="G11" s="81" t="str">
        <f ca="1">VLOOKUP($B11&amp;"_"&amp;$E11,OFFSET([2]stages!$A$1,0,0,COUNTA([2]stages!$A:$A),MATCH(G$1,[2]stages!$2:$2,0)-MATCH("temp_stage",[2]stages!$2:$2,0)+1),MATCH(G$1,[2]stages!$2:$2,0)-MATCH("temp_stage",[2]stages!$2:$2,0)+1,FALSE)</f>
        <v>コラボ降臨3</v>
      </c>
      <c r="H11" s="83">
        <v>0</v>
      </c>
      <c r="I11">
        <v>35</v>
      </c>
      <c r="J11" s="82" t="s">
        <v>196</v>
      </c>
      <c r="K11" s="91" t="str">
        <f>VLOOKUP(I11,[7]stage_hints!$A:$C,3,FALSE)</f>
        <v>敵のステータスがスキルで上がったら</v>
      </c>
      <c r="L11" s="92" t="str">
        <f>VLOOKUP(I11,[7]stage_hints!$A:$D,4,FALSE)</f>
        <v>敵のステータスがスキルでアップしたときは_x000D_ステータスダウンスキルで上書きしましょう</v>
      </c>
      <c r="M11" s="56" t="s">
        <v>209</v>
      </c>
    </row>
    <row r="12" spans="1:13">
      <c r="A12" s="79" t="s">
        <v>199</v>
      </c>
      <c r="B12" s="80">
        <f>floors!$C$2</f>
        <v>49003</v>
      </c>
      <c r="C12" s="81" t="str">
        <f ca="1">VLOOKUP($B12,OFFSET([2]quests!$A$1,0,0,COUNTA([2]quests!$A:$A),MATCH(C$1,[2]quests!$1:$1,0)-MATCH($B$1,[2]quests!$1:$1,0)+1),MATCH(C$1,[2]quests!$1:$1,0)-MATCH($B$1,[2]quests!$1:$1,0)+1,FALSE)</f>
        <v>H襲来</v>
      </c>
      <c r="D12" s="81" t="str">
        <f ca="1">VLOOKUP($B12,OFFSET([2]quests!$A$1,0,0,COUNTA([2]quests!$A:$A),MATCH(D$1,[2]quests!$1:$1,0)-MATCH($B$1,[2]quests!$1:$1,0)+1),MATCH(D$1,[2]quests!$1:$1,0)-MATCH($B$1,[2]quests!$1:$1,0)+1,FALSE)</f>
        <v>コラボ降臨3</v>
      </c>
      <c r="E12" s="85">
        <v>1</v>
      </c>
      <c r="F12" s="81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【ウィザード級】デiza</v>
      </c>
      <c r="G12" s="81" t="str">
        <f ca="1">VLOOKUP($B12&amp;"_"&amp;$E12,OFFSET([2]stages!$A$1,0,0,COUNTA([2]stages!$A:$A),MATCH(G$1,[2]stages!$2:$2,0)-MATCH("temp_stage",[2]stages!$2:$2,0)+1),MATCH(G$1,[2]stages!$2:$2,0)-MATCH("temp_stage",[2]stages!$2:$2,0)+1,FALSE)</f>
        <v>コラボ降臨3</v>
      </c>
      <c r="H12" s="83">
        <v>0</v>
      </c>
      <c r="I12">
        <v>36</v>
      </c>
      <c r="J12" s="82" t="s">
        <v>196</v>
      </c>
      <c r="K12" s="91" t="str">
        <f>VLOOKUP(I12,[7]stage_hints!$A:$C,3,FALSE)</f>
        <v>チャレンジタワーのボス</v>
      </c>
      <c r="L12" s="92" t="str">
        <f>VLOOKUP(I12,[7]stage_hints!$A:$D,4,FALSE)</f>
        <v>チャレンジタワーでのみ登場するボスは_x000D_一定確率で獲得することができます</v>
      </c>
      <c r="M12" s="56" t="s">
        <v>209</v>
      </c>
    </row>
    <row r="13" spans="1:13">
      <c r="A13" s="79" t="s">
        <v>199</v>
      </c>
      <c r="B13" s="80">
        <f>floors!$C$2</f>
        <v>49003</v>
      </c>
      <c r="C13" s="81" t="str">
        <f ca="1">VLOOKUP($B13,OFFSET([2]quests!$A$1,0,0,COUNTA([2]quests!$A:$A),MATCH(C$1,[2]quests!$1:$1,0)-MATCH($B$1,[2]quests!$1:$1,0)+1),MATCH(C$1,[2]quests!$1:$1,0)-MATCH($B$1,[2]quests!$1:$1,0)+1,FALSE)</f>
        <v>H襲来</v>
      </c>
      <c r="D13" s="81" t="str">
        <f ca="1">VLOOKUP($B13,OFFSET([2]quests!$A$1,0,0,COUNTA([2]quests!$A:$A),MATCH(D$1,[2]quests!$1:$1,0)-MATCH($B$1,[2]quests!$1:$1,0)+1),MATCH(D$1,[2]quests!$1:$1,0)-MATCH($B$1,[2]quests!$1:$1,0)+1,FALSE)</f>
        <v>コラボ降臨3</v>
      </c>
      <c r="E13" s="85">
        <v>1</v>
      </c>
      <c r="F13" s="81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【ウィザード級】デiza</v>
      </c>
      <c r="G13" s="81" t="str">
        <f ca="1">VLOOKUP($B13&amp;"_"&amp;$E13,OFFSET([2]stages!$A$1,0,0,COUNTA([2]stages!$A:$A),MATCH(G$1,[2]stages!$2:$2,0)-MATCH("temp_stage",[2]stages!$2:$2,0)+1),MATCH(G$1,[2]stages!$2:$2,0)-MATCH("temp_stage",[2]stages!$2:$2,0)+1,FALSE)</f>
        <v>コラボ降臨3</v>
      </c>
      <c r="H13" s="83">
        <v>0</v>
      </c>
      <c r="I13">
        <v>37</v>
      </c>
      <c r="J13" s="82" t="s">
        <v>196</v>
      </c>
      <c r="K13" s="91" t="str">
        <f>VLOOKUP(I13,[7]stage_hints!$A:$C,3,FALSE)</f>
        <v>限界突破値の引き継ぎ</v>
      </c>
      <c r="L13" s="92" t="str">
        <f>VLOOKUP(I13,[7]stage_hints!$A:$D,4,FALSE)</f>
        <v>同じユニットを強化で合成すると_x000D_限界突破値を引き継げます（覚醒前後も可）</v>
      </c>
      <c r="M13" s="56" t="s">
        <v>209</v>
      </c>
    </row>
    <row r="14" spans="1:13">
      <c r="A14" s="79" t="s">
        <v>199</v>
      </c>
      <c r="B14" s="80">
        <f>floors!$C$2</f>
        <v>49003</v>
      </c>
      <c r="C14" s="81" t="str">
        <f ca="1">VLOOKUP($B14,OFFSET([2]quests!$A$1,0,0,COUNTA([2]quests!$A:$A),MATCH(C$1,[2]quests!$1:$1,0)-MATCH($B$1,[2]quests!$1:$1,0)+1),MATCH(C$1,[2]quests!$1:$1,0)-MATCH($B$1,[2]quests!$1:$1,0)+1,FALSE)</f>
        <v>H襲来</v>
      </c>
      <c r="D14" s="81" t="str">
        <f ca="1">VLOOKUP($B14,OFFSET([2]quests!$A$1,0,0,COUNTA([2]quests!$A:$A),MATCH(D$1,[2]quests!$1:$1,0)-MATCH($B$1,[2]quests!$1:$1,0)+1),MATCH(D$1,[2]quests!$1:$1,0)-MATCH($B$1,[2]quests!$1:$1,0)+1,FALSE)</f>
        <v>コラボ降臨3</v>
      </c>
      <c r="E14" s="85">
        <v>1</v>
      </c>
      <c r="F14" s="81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【ウィザード級】デiza</v>
      </c>
      <c r="G14" s="81" t="str">
        <f ca="1">VLOOKUP($B14&amp;"_"&amp;$E14,OFFSET([2]stages!$A$1,0,0,COUNTA([2]stages!$A:$A),MATCH(G$1,[2]stages!$2:$2,0)-MATCH("temp_stage",[2]stages!$2:$2,0)+1),MATCH(G$1,[2]stages!$2:$2,0)-MATCH("temp_stage",[2]stages!$2:$2,0)+1,FALSE)</f>
        <v>コラボ降臨3</v>
      </c>
      <c r="H14" s="83">
        <v>0</v>
      </c>
      <c r="I14">
        <v>39</v>
      </c>
      <c r="J14" s="82" t="s">
        <v>196</v>
      </c>
      <c r="K14" s="91" t="str">
        <f>VLOOKUP(I14,[7]stage_hints!$A:$C,3,FALSE)</f>
        <v>システム適合者を確認</v>
      </c>
      <c r="L14" s="92" t="str">
        <f>VLOOKUP(I14,[7]stage_hints!$A:$D,4,FALSE)</f>
        <v>ALICEが「アナタ」を呼んでいます</v>
      </c>
      <c r="M14" s="56" t="s">
        <v>209</v>
      </c>
    </row>
  </sheetData>
  <phoneticPr fontId="5"/>
  <dataValidations count="1">
    <dataValidation type="list" allowBlank="1" showInputMessage="1" showErrorMessage="1" sqref="A2:A1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N9"/>
  <sheetViews>
    <sheetView showGridLines="0" zoomScale="125" zoomScaleNormal="125" zoomScalePageLayoutView="125" workbookViewId="0">
      <pane ySplit="1" topLeftCell="A2" activePane="bottomLeft" state="frozen"/>
      <selection pane="bottomLeft" activeCell="K5" sqref="K5"/>
    </sheetView>
  </sheetViews>
  <sheetFormatPr baseColWidth="12" defaultColWidth="13" defaultRowHeight="18" outlineLevelCol="1" x14ac:dyDescent="0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>
      <c r="A1" s="74" t="s">
        <v>186</v>
      </c>
      <c r="B1" s="70" t="s">
        <v>149</v>
      </c>
      <c r="C1" s="75" t="s">
        <v>188</v>
      </c>
      <c r="D1" s="75" t="s">
        <v>33</v>
      </c>
      <c r="E1" s="70" t="s">
        <v>189</v>
      </c>
      <c r="F1" s="75" t="s">
        <v>18</v>
      </c>
      <c r="G1" s="75" t="s">
        <v>33</v>
      </c>
      <c r="H1" s="70" t="s">
        <v>191</v>
      </c>
      <c r="I1" s="87" t="s">
        <v>192</v>
      </c>
      <c r="J1" s="89" t="s">
        <v>193</v>
      </c>
      <c r="K1" s="77" t="s">
        <v>125</v>
      </c>
      <c r="L1" s="76" t="s">
        <v>185</v>
      </c>
      <c r="M1" s="90" t="s">
        <v>184</v>
      </c>
      <c r="N1" s="78" t="s">
        <v>194</v>
      </c>
    </row>
    <row r="2" spans="1:14" ht="42">
      <c r="A2" s="79" t="s">
        <v>195</v>
      </c>
      <c r="B2" s="80">
        <f>floors!$C$2</f>
        <v>49003</v>
      </c>
      <c r="C2" s="81" t="str">
        <f ca="1">VLOOKUP($B2,OFFSET([2]quests!$A$1,0,0,COUNTA([2]quests!$A:$A),MATCH(C$1,[2]quests!$1:$1,0)-MATCH($B$1,[2]quests!$1:$1,0)+1),MATCH(C$1,[2]quests!$1:$1,0)-MATCH($B$1,[2]quests!$1:$1,0)+1,FALSE)</f>
        <v>H襲来</v>
      </c>
      <c r="D2" s="81" t="str">
        <f ca="1">VLOOKUP($B2,OFFSET([2]quests!$A$1,0,0,COUNTA([2]quests!$A:$A),MATCH(D$1,[2]quests!$1:$1,0)-MATCH($B$1,[2]quests!$1:$1,0)+1),MATCH(D$1,[2]quests!$1:$1,0)-MATCH($B$1,[2]quests!$1:$1,0)+1,FALSE)</f>
        <v>コラボ降臨3</v>
      </c>
      <c r="E2" s="82">
        <v>1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【ウィザード級】デiza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コラボ降臨3</v>
      </c>
      <c r="H2" s="83">
        <v>1</v>
      </c>
      <c r="I2" s="88">
        <f>ROW()-1</f>
        <v>1</v>
      </c>
      <c r="J2" s="84" t="str">
        <f>B2&amp;TEXT(I2,"00")</f>
        <v>4900301</v>
      </c>
      <c r="K2" s="82" t="s">
        <v>196</v>
      </c>
      <c r="L2" s="85" t="s">
        <v>197</v>
      </c>
      <c r="M2" s="134" t="s">
        <v>295</v>
      </c>
      <c r="N2" s="56" t="s">
        <v>198</v>
      </c>
    </row>
    <row r="3" spans="1:14" ht="42">
      <c r="A3" s="79" t="s">
        <v>195</v>
      </c>
      <c r="B3" s="80">
        <f>floors!$C$2</f>
        <v>49003</v>
      </c>
      <c r="C3" s="81" t="str">
        <f ca="1">VLOOKUP($B3,OFFSET([2]quests!$A$1,0,0,COUNTA([2]quests!$A:$A),MATCH(C$1,[2]quests!$1:$1,0)-MATCH($B$1,[2]quests!$1:$1,0)+1),MATCH(C$1,[2]quests!$1:$1,0)-MATCH($B$1,[2]quests!$1:$1,0)+1,FALSE)</f>
        <v>H襲来</v>
      </c>
      <c r="D3" s="81" t="str">
        <f ca="1">VLOOKUP($B3,OFFSET([2]quests!$A$1,0,0,COUNTA([2]quests!$A:$A),MATCH(D$1,[2]quests!$1:$1,0)-MATCH($B$1,[2]quests!$1:$1,0)+1),MATCH(D$1,[2]quests!$1:$1,0)-MATCH($B$1,[2]quests!$1:$1,0)+1,FALSE)</f>
        <v>コラボ降臨3</v>
      </c>
      <c r="E3" s="82">
        <v>2</v>
      </c>
      <c r="F3" s="81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81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83">
        <v>2</v>
      </c>
      <c r="I3" s="88">
        <f t="shared" ref="I3:I9" si="0">ROW()-1</f>
        <v>2</v>
      </c>
      <c r="J3" s="84" t="str">
        <f t="shared" ref="J3:J7" si="1">B3&amp;TEXT(I3,"00")</f>
        <v>4900302</v>
      </c>
      <c r="K3" s="82" t="s">
        <v>196</v>
      </c>
      <c r="L3" s="85" t="s">
        <v>197</v>
      </c>
      <c r="M3" s="134" t="s">
        <v>296</v>
      </c>
      <c r="N3" s="56" t="s">
        <v>198</v>
      </c>
    </row>
    <row r="4" spans="1:14" ht="28">
      <c r="A4" s="79" t="s">
        <v>195</v>
      </c>
      <c r="B4" s="80">
        <f>floors!$C$2</f>
        <v>49003</v>
      </c>
      <c r="C4" s="81" t="str">
        <f ca="1">VLOOKUP($B4,OFFSET([2]quests!$A$1,0,0,COUNTA([2]quests!$A:$A),MATCH(C$1,[2]quests!$1:$1,0)-MATCH($B$1,[2]quests!$1:$1,0)+1),MATCH(C$1,[2]quests!$1:$1,0)-MATCH($B$1,[2]quests!$1:$1,0)+1,FALSE)</f>
        <v>H襲来</v>
      </c>
      <c r="D4" s="81" t="str">
        <f ca="1">VLOOKUP($B4,OFFSET([2]quests!$A$1,0,0,COUNTA([2]quests!$A:$A),MATCH(D$1,[2]quests!$1:$1,0)-MATCH($B$1,[2]quests!$1:$1,0)+1),MATCH(D$1,[2]quests!$1:$1,0)-MATCH($B$1,[2]quests!$1:$1,0)+1,FALSE)</f>
        <v>コラボ降臨3</v>
      </c>
      <c r="E4" s="82">
        <v>3</v>
      </c>
      <c r="F4" s="81" t="e">
        <f ca="1">VLOOKUP($B4&amp;"_"&amp;$E4,OFFSET([2]stages!$A$1,0,0,COUNTA([2]stages!$A:$A),MATCH(F$1,[2]stages!$2:$2,0)-MATCH("temp_stage",[2]stages!$2:$2,0)+1),MATCH(F$1,[2]stages!$2:$2,0)-MATCH("temp_stage",[2]stages!$2:$2,0)+1,FALSE)</f>
        <v>#N/A</v>
      </c>
      <c r="G4" s="81" t="e">
        <f ca="1">VLOOKUP($B4&amp;"_"&amp;$E4,OFFSET([2]stages!$A$1,0,0,COUNTA([2]stages!$A:$A),MATCH(G$1,[2]stages!$2:$2,0)-MATCH("temp_stage",[2]stages!$2:$2,0)+1),MATCH(G$1,[2]stages!$2:$2,0)-MATCH("temp_stage",[2]stages!$2:$2,0)+1,FALSE)</f>
        <v>#N/A</v>
      </c>
      <c r="H4" s="83">
        <v>3</v>
      </c>
      <c r="I4" s="88">
        <f t="shared" si="0"/>
        <v>3</v>
      </c>
      <c r="J4" s="84" t="str">
        <f t="shared" si="1"/>
        <v>4900303</v>
      </c>
      <c r="K4" s="82" t="s">
        <v>196</v>
      </c>
      <c r="L4" s="85" t="s">
        <v>197</v>
      </c>
      <c r="M4" s="134" t="s">
        <v>297</v>
      </c>
      <c r="N4" s="56" t="s">
        <v>198</v>
      </c>
    </row>
    <row r="5" spans="1:14" ht="42">
      <c r="A5" s="79" t="s">
        <v>195</v>
      </c>
      <c r="B5" s="80">
        <f>floors!$C$2</f>
        <v>49003</v>
      </c>
      <c r="C5" s="81" t="str">
        <f ca="1">VLOOKUP($B5,OFFSET([2]quests!$A$1,0,0,COUNTA([2]quests!$A:$A),MATCH(C$1,[2]quests!$1:$1,0)-MATCH($B$1,[2]quests!$1:$1,0)+1),MATCH(C$1,[2]quests!$1:$1,0)-MATCH($B$1,[2]quests!$1:$1,0)+1,FALSE)</f>
        <v>H襲来</v>
      </c>
      <c r="D5" s="81" t="str">
        <f ca="1">VLOOKUP($B5,OFFSET([2]quests!$A$1,0,0,COUNTA([2]quests!$A:$A),MATCH(D$1,[2]quests!$1:$1,0)-MATCH($B$1,[2]quests!$1:$1,0)+1),MATCH(D$1,[2]quests!$1:$1,0)-MATCH($B$1,[2]quests!$1:$1,0)+1,FALSE)</f>
        <v>コラボ降臨3</v>
      </c>
      <c r="E5" s="82">
        <v>4</v>
      </c>
      <c r="F5" s="81" t="e">
        <f ca="1">VLOOKUP($B5&amp;"_"&amp;$E5,OFFSET([2]stages!$A$1,0,0,COUNTA([2]stages!$A:$A),MATCH(F$1,[2]stages!$2:$2,0)-MATCH("temp_stage",[2]stages!$2:$2,0)+1),MATCH(F$1,[2]stages!$2:$2,0)-MATCH("temp_stage",[2]stages!$2:$2,0)+1,FALSE)</f>
        <v>#N/A</v>
      </c>
      <c r="G5" s="81" t="e">
        <f ca="1">VLOOKUP($B5&amp;"_"&amp;$E5,OFFSET([2]stages!$A$1,0,0,COUNTA([2]stages!$A:$A),MATCH(G$1,[2]stages!$2:$2,0)-MATCH("temp_stage",[2]stages!$2:$2,0)+1),MATCH(G$1,[2]stages!$2:$2,0)-MATCH("temp_stage",[2]stages!$2:$2,0)+1,FALSE)</f>
        <v>#N/A</v>
      </c>
      <c r="H5" s="83">
        <v>3</v>
      </c>
      <c r="I5" s="88">
        <f t="shared" si="0"/>
        <v>4</v>
      </c>
      <c r="J5" s="84" t="str">
        <f t="shared" si="1"/>
        <v>4900304</v>
      </c>
      <c r="K5" s="82" t="s">
        <v>196</v>
      </c>
      <c r="L5" s="85" t="s">
        <v>197</v>
      </c>
      <c r="M5" s="134" t="s">
        <v>298</v>
      </c>
      <c r="N5" s="56" t="s">
        <v>198</v>
      </c>
    </row>
    <row r="6" spans="1:14" ht="28">
      <c r="A6" s="79" t="s">
        <v>195</v>
      </c>
      <c r="B6" s="80">
        <f>floors!$C$2</f>
        <v>49003</v>
      </c>
      <c r="C6" s="81" t="str">
        <f ca="1">VLOOKUP($B6,OFFSET([2]quests!$A$1,0,0,COUNTA([2]quests!$A:$A),MATCH(C$1,[2]quests!$1:$1,0)-MATCH($B$1,[2]quests!$1:$1,0)+1),MATCH(C$1,[2]quests!$1:$1,0)-MATCH($B$1,[2]quests!$1:$1,0)+1,FALSE)</f>
        <v>H襲来</v>
      </c>
      <c r="D6" s="81" t="str">
        <f ca="1">VLOOKUP($B6,OFFSET([2]quests!$A$1,0,0,COUNTA([2]quests!$A:$A),MATCH(D$1,[2]quests!$1:$1,0)-MATCH($B$1,[2]quests!$1:$1,0)+1),MATCH(D$1,[2]quests!$1:$1,0)-MATCH($B$1,[2]quests!$1:$1,0)+1,FALSE)</f>
        <v>コラボ降臨3</v>
      </c>
      <c r="E6" s="82">
        <v>5</v>
      </c>
      <c r="F6" s="81" t="e">
        <f ca="1">VLOOKUP($B6&amp;"_"&amp;$E6,OFFSET([2]stages!$A$1,0,0,COUNTA([2]stages!$A:$A),MATCH(F$1,[2]stages!$2:$2,0)-MATCH("temp_stage",[2]stages!$2:$2,0)+1),MATCH(F$1,[2]stages!$2:$2,0)-MATCH("temp_stage",[2]stages!$2:$2,0)+1,FALSE)</f>
        <v>#N/A</v>
      </c>
      <c r="G6" s="81" t="e">
        <f ca="1">VLOOKUP($B6&amp;"_"&amp;$E6,OFFSET([2]stages!$A$1,0,0,COUNTA([2]stages!$A:$A),MATCH(G$1,[2]stages!$2:$2,0)-MATCH("temp_stage",[2]stages!$2:$2,0)+1),MATCH(G$1,[2]stages!$2:$2,0)-MATCH("temp_stage",[2]stages!$2:$2,0)+1,FALSE)</f>
        <v>#N/A</v>
      </c>
      <c r="H6" s="83">
        <v>4</v>
      </c>
      <c r="I6" s="88">
        <f t="shared" si="0"/>
        <v>5</v>
      </c>
      <c r="J6" s="84" t="str">
        <f t="shared" si="1"/>
        <v>4900305</v>
      </c>
      <c r="K6" s="82" t="s">
        <v>196</v>
      </c>
      <c r="L6" s="85" t="s">
        <v>197</v>
      </c>
      <c r="M6" s="134" t="s">
        <v>300</v>
      </c>
      <c r="N6" s="56" t="s">
        <v>198</v>
      </c>
    </row>
    <row r="7" spans="1:14" ht="42">
      <c r="A7" s="79" t="s">
        <v>195</v>
      </c>
      <c r="B7" s="80">
        <f>floors!$C$2</f>
        <v>49003</v>
      </c>
      <c r="C7" s="81" t="str">
        <f ca="1">VLOOKUP($B7,OFFSET([2]quests!$A$1,0,0,COUNTA([2]quests!$A:$A),MATCH(C$1,[2]quests!$1:$1,0)-MATCH($B$1,[2]quests!$1:$1,0)+1),MATCH(C$1,[2]quests!$1:$1,0)-MATCH($B$1,[2]quests!$1:$1,0)+1,FALSE)</f>
        <v>H襲来</v>
      </c>
      <c r="D7" s="81" t="str">
        <f ca="1">VLOOKUP($B7,OFFSET([2]quests!$A$1,0,0,COUNTA([2]quests!$A:$A),MATCH(D$1,[2]quests!$1:$1,0)-MATCH($B$1,[2]quests!$1:$1,0)+1),MATCH(D$1,[2]quests!$1:$1,0)-MATCH($B$1,[2]quests!$1:$1,0)+1,FALSE)</f>
        <v>コラボ降臨3</v>
      </c>
      <c r="E7" s="82">
        <v>6</v>
      </c>
      <c r="F7" s="81" t="e">
        <f ca="1">VLOOKUP($B7&amp;"_"&amp;$E7,OFFSET([2]stages!$A$1,0,0,COUNTA([2]stages!$A:$A),MATCH(F$1,[2]stages!$2:$2,0)-MATCH("temp_stage",[2]stages!$2:$2,0)+1),MATCH(F$1,[2]stages!$2:$2,0)-MATCH("temp_stage",[2]stages!$2:$2,0)+1,FALSE)</f>
        <v>#N/A</v>
      </c>
      <c r="G7" s="81" t="e">
        <f ca="1">VLOOKUP($B7&amp;"_"&amp;$E7,OFFSET([2]stages!$A$1,0,0,COUNTA([2]stages!$A:$A),MATCH(G$1,[2]stages!$2:$2,0)-MATCH("temp_stage",[2]stages!$2:$2,0)+1),MATCH(G$1,[2]stages!$2:$2,0)-MATCH("temp_stage",[2]stages!$2:$2,0)+1,FALSE)</f>
        <v>#N/A</v>
      </c>
      <c r="H7" s="83">
        <v>4</v>
      </c>
      <c r="I7" s="88">
        <f t="shared" si="0"/>
        <v>6</v>
      </c>
      <c r="J7" s="84" t="str">
        <f t="shared" si="1"/>
        <v>4900306</v>
      </c>
      <c r="K7" s="82" t="s">
        <v>196</v>
      </c>
      <c r="L7" s="85" t="s">
        <v>197</v>
      </c>
      <c r="M7" s="134" t="s">
        <v>301</v>
      </c>
      <c r="N7" s="56" t="s">
        <v>198</v>
      </c>
    </row>
    <row r="8" spans="1:14" ht="42">
      <c r="A8" s="79" t="s">
        <v>195</v>
      </c>
      <c r="B8" s="80">
        <f>floors!$C$2</f>
        <v>49003</v>
      </c>
      <c r="C8" s="81" t="str">
        <f ca="1">VLOOKUP($B8,OFFSET([2]quests!$A$1,0,0,COUNTA([2]quests!$A:$A),MATCH(C$1,[2]quests!$1:$1,0)-MATCH($B$1,[2]quests!$1:$1,0)+1),MATCH(C$1,[2]quests!$1:$1,0)-MATCH($B$1,[2]quests!$1:$1,0)+1,FALSE)</f>
        <v>H襲来</v>
      </c>
      <c r="D8" s="81" t="str">
        <f ca="1">VLOOKUP($B8,OFFSET([2]quests!$A$1,0,0,COUNTA([2]quests!$A:$A),MATCH(D$1,[2]quests!$1:$1,0)-MATCH($B$1,[2]quests!$1:$1,0)+1),MATCH(D$1,[2]quests!$1:$1,0)-MATCH($B$1,[2]quests!$1:$1,0)+1,FALSE)</f>
        <v>コラボ降臨3</v>
      </c>
      <c r="E8" s="82">
        <v>7</v>
      </c>
      <c r="F8" s="81" t="e">
        <f ca="1">VLOOKUP($B8&amp;"_"&amp;$E8,OFFSET([2]stages!$A$1,0,0,COUNTA([2]stages!$A:$A),MATCH(F$1,[2]stages!$2:$2,0)-MATCH("temp_stage",[2]stages!$2:$2,0)+1),MATCH(F$1,[2]stages!$2:$2,0)-MATCH("temp_stage",[2]stages!$2:$2,0)+1,FALSE)</f>
        <v>#N/A</v>
      </c>
      <c r="G8" s="81" t="e">
        <f ca="1">VLOOKUP($B8&amp;"_"&amp;$E8,OFFSET([2]stages!$A$1,0,0,COUNTA([2]stages!$A:$A),MATCH(G$1,[2]stages!$2:$2,0)-MATCH("temp_stage",[2]stages!$2:$2,0)+1),MATCH(G$1,[2]stages!$2:$2,0)-MATCH("temp_stage",[2]stages!$2:$2,0)+1,FALSE)</f>
        <v>#N/A</v>
      </c>
      <c r="H8" s="83">
        <v>5</v>
      </c>
      <c r="I8" s="88">
        <f t="shared" si="0"/>
        <v>7</v>
      </c>
      <c r="J8" s="84" t="str">
        <f t="shared" ref="J8" si="2">B8&amp;TEXT(I8,"00")</f>
        <v>4900307</v>
      </c>
      <c r="K8" s="82" t="s">
        <v>196</v>
      </c>
      <c r="L8" s="85" t="s">
        <v>197</v>
      </c>
      <c r="M8" s="134" t="s">
        <v>302</v>
      </c>
      <c r="N8" s="56" t="s">
        <v>198</v>
      </c>
    </row>
    <row r="9" spans="1:14" ht="28">
      <c r="A9" s="79" t="s">
        <v>195</v>
      </c>
      <c r="B9" s="80">
        <f>floors!$C$2</f>
        <v>49003</v>
      </c>
      <c r="C9" s="81" t="str">
        <f ca="1">VLOOKUP($B9,OFFSET([2]quests!$A$1,0,0,COUNTA([2]quests!$A:$A),MATCH(C$1,[2]quests!$1:$1,0)-MATCH($B$1,[2]quests!$1:$1,0)+1),MATCH(C$1,[2]quests!$1:$1,0)-MATCH($B$1,[2]quests!$1:$1,0)+1,FALSE)</f>
        <v>H襲来</v>
      </c>
      <c r="D9" s="81" t="str">
        <f ca="1">VLOOKUP($B9,OFFSET([2]quests!$A$1,0,0,COUNTA([2]quests!$A:$A),MATCH(D$1,[2]quests!$1:$1,0)-MATCH($B$1,[2]quests!$1:$1,0)+1),MATCH(D$1,[2]quests!$1:$1,0)-MATCH($B$1,[2]quests!$1:$1,0)+1,FALSE)</f>
        <v>コラボ降臨3</v>
      </c>
      <c r="E9" s="82">
        <v>7</v>
      </c>
      <c r="F9" s="81" t="e">
        <f ca="1">VLOOKUP($B9&amp;"_"&amp;$E9,OFFSET([2]stages!$A$1,0,0,COUNTA([2]stages!$A:$A),MATCH(F$1,[2]stages!$2:$2,0)-MATCH("temp_stage",[2]stages!$2:$2,0)+1),MATCH(F$1,[2]stages!$2:$2,0)-MATCH("temp_stage",[2]stages!$2:$2,0)+1,FALSE)</f>
        <v>#N/A</v>
      </c>
      <c r="G9" s="81" t="e">
        <f ca="1">VLOOKUP($B9&amp;"_"&amp;$E9,OFFSET([2]stages!$A$1,0,0,COUNTA([2]stages!$A:$A),MATCH(G$1,[2]stages!$2:$2,0)-MATCH("temp_stage",[2]stages!$2:$2,0)+1),MATCH(G$1,[2]stages!$2:$2,0)-MATCH("temp_stage",[2]stages!$2:$2,0)+1,FALSE)</f>
        <v>#N/A</v>
      </c>
      <c r="H9" s="83">
        <v>5</v>
      </c>
      <c r="I9" s="88">
        <f t="shared" si="0"/>
        <v>8</v>
      </c>
      <c r="J9" s="84" t="str">
        <f t="shared" ref="J9" si="3">B9&amp;TEXT(I9,"00")</f>
        <v>4900308</v>
      </c>
      <c r="K9" s="82" t="s">
        <v>196</v>
      </c>
      <c r="L9" s="85" t="s">
        <v>197</v>
      </c>
      <c r="M9" s="134" t="s">
        <v>303</v>
      </c>
      <c r="N9" s="56" t="s">
        <v>198</v>
      </c>
    </row>
  </sheetData>
  <phoneticPr fontId="5"/>
  <dataValidations count="1">
    <dataValidation type="list" allowBlank="1" showInputMessage="1" showErrorMessage="1" sqref="A2:A9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pm</cp:lastModifiedBy>
  <dcterms:created xsi:type="dcterms:W3CDTF">2015-01-30T13:36:44Z</dcterms:created>
  <dcterms:modified xsi:type="dcterms:W3CDTF">2016-04-08T06:43:33Z</dcterms:modified>
</cp:coreProperties>
</file>