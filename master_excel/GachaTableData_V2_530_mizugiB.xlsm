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7"/>
  </bookViews>
  <sheets>
    <sheet name="確率の考え方" sheetId="110" r:id="rId1"/>
    <sheet name="Sheet1" sheetId="107" r:id="rId2"/>
    <sheet name="output" sheetId="103" r:id="rId3"/>
    <sheet name="input_530010" sheetId="157" r:id="rId4"/>
    <sheet name="tables_530010" sheetId="158" r:id="rId5"/>
    <sheet name="input_530100" sheetId="153" r:id="rId6"/>
    <sheet name="tables_530100" sheetId="154" r:id="rId7"/>
    <sheet name="input_settle_530100" sheetId="160" r:id="rId8"/>
    <sheet name="tables_settle_530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tables_530010!$A$1:$V$346</definedName>
    <definedName name="_xlnm._FilterDatabase" localSheetId="6" hidden="1">tables_530100!$A$1:$V$294</definedName>
    <definedName name="_xlnm._FilterDatabase" localSheetId="8" hidden="1">tables_settle_530100!$A$1:$V$294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3" i="160" l="1"/>
  <c r="E32" i="160"/>
  <c r="E31" i="160"/>
  <c r="E30" i="160"/>
  <c r="E29" i="160"/>
  <c r="E28" i="160"/>
  <c r="E27" i="160"/>
  <c r="E26" i="160"/>
  <c r="E25" i="160"/>
  <c r="E24" i="160"/>
  <c r="E23" i="160"/>
  <c r="E22" i="160"/>
  <c r="E21" i="160"/>
  <c r="E20" i="160"/>
  <c r="E19" i="160"/>
  <c r="E18" i="160"/>
  <c r="E17" i="160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46" i="161"/>
  <c r="D346" i="161"/>
  <c r="J346" i="161"/>
  <c r="E346" i="161"/>
  <c r="F346" i="161"/>
  <c r="C346" i="161"/>
  <c r="Q3" i="160"/>
  <c r="I347" i="161"/>
  <c r="D347" i="161"/>
  <c r="J347" i="161"/>
  <c r="E347" i="161"/>
  <c r="F347" i="161"/>
  <c r="C347" i="161"/>
  <c r="Q4" i="160"/>
  <c r="I348" i="161"/>
  <c r="D348" i="161"/>
  <c r="J348" i="161"/>
  <c r="E348" i="161"/>
  <c r="F348" i="161"/>
  <c r="C348" i="161"/>
  <c r="Q5" i="160"/>
  <c r="I349" i="161"/>
  <c r="D349" i="161"/>
  <c r="J349" i="161"/>
  <c r="E349" i="161"/>
  <c r="F349" i="161"/>
  <c r="C349" i="161"/>
  <c r="Q6" i="160"/>
  <c r="I350" i="161"/>
  <c r="D350" i="161"/>
  <c r="J350" i="161"/>
  <c r="E350" i="161"/>
  <c r="F350" i="161"/>
  <c r="C350" i="161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F6" i="160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F5" i="160"/>
  <c r="E5" i="160"/>
  <c r="A2" i="160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2" i="161"/>
  <c r="J2" i="161"/>
  <c r="D2" i="161"/>
  <c r="E2" i="161"/>
  <c r="F2" i="161"/>
  <c r="C2" i="161"/>
  <c r="A38" i="160"/>
  <c r="B19" i="160"/>
  <c r="B24" i="160"/>
  <c r="B17" i="160"/>
  <c r="G17" i="160"/>
  <c r="H17" i="160"/>
  <c r="O2" i="161"/>
  <c r="G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B25" i="160"/>
  <c r="G25" i="160"/>
  <c r="H25" i="160"/>
  <c r="O43" i="161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B23" i="160"/>
  <c r="B28" i="160"/>
  <c r="B29" i="160"/>
  <c r="B30" i="160"/>
  <c r="B21" i="160"/>
  <c r="G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B27" i="160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H22" i="160"/>
  <c r="O262" i="161"/>
  <c r="O263" i="161"/>
  <c r="O264" i="161"/>
  <c r="O265" i="161"/>
  <c r="G30" i="160"/>
  <c r="H30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R3" i="160"/>
  <c r="O346" i="161"/>
  <c r="R4" i="160"/>
  <c r="O347" i="161"/>
  <c r="R5" i="160"/>
  <c r="O348" i="161"/>
  <c r="R6" i="160"/>
  <c r="O349" i="161"/>
  <c r="R7" i="160"/>
  <c r="O350" i="161"/>
  <c r="P350" i="161"/>
  <c r="N350" i="161"/>
  <c r="M350" i="161"/>
  <c r="L350" i="161"/>
  <c r="K350" i="161"/>
  <c r="H350" i="161"/>
  <c r="P349" i="161"/>
  <c r="N349" i="161"/>
  <c r="M349" i="161"/>
  <c r="L349" i="161"/>
  <c r="K349" i="161"/>
  <c r="H349" i="161"/>
  <c r="P348" i="161"/>
  <c r="N348" i="161"/>
  <c r="M348" i="161"/>
  <c r="L348" i="161"/>
  <c r="K348" i="161"/>
  <c r="H348" i="161"/>
  <c r="P347" i="161"/>
  <c r="N347" i="161"/>
  <c r="M347" i="161"/>
  <c r="L347" i="161"/>
  <c r="K347" i="161"/>
  <c r="H347" i="161"/>
  <c r="P346" i="161"/>
  <c r="N346" i="161"/>
  <c r="M346" i="161"/>
  <c r="L346" i="161"/>
  <c r="K346" i="161"/>
  <c r="H346" i="161"/>
  <c r="P345" i="161"/>
  <c r="N345" i="161"/>
  <c r="M345" i="161"/>
  <c r="L345" i="161"/>
  <c r="K345" i="161"/>
  <c r="H345" i="161"/>
  <c r="P344" i="161"/>
  <c r="N344" i="161"/>
  <c r="M344" i="161"/>
  <c r="L344" i="161"/>
  <c r="K344" i="161"/>
  <c r="H344" i="161"/>
  <c r="P343" i="161"/>
  <c r="N343" i="161"/>
  <c r="M343" i="161"/>
  <c r="L343" i="161"/>
  <c r="K343" i="161"/>
  <c r="H343" i="161"/>
  <c r="P342" i="161"/>
  <c r="N342" i="161"/>
  <c r="M342" i="161"/>
  <c r="L342" i="161"/>
  <c r="K342" i="161"/>
  <c r="H342" i="161"/>
  <c r="P341" i="161"/>
  <c r="N341" i="161"/>
  <c r="M341" i="161"/>
  <c r="L341" i="161"/>
  <c r="K341" i="161"/>
  <c r="H341" i="161"/>
  <c r="P340" i="161"/>
  <c r="N340" i="161"/>
  <c r="M340" i="161"/>
  <c r="L340" i="161"/>
  <c r="K340" i="161"/>
  <c r="H340" i="161"/>
  <c r="P339" i="161"/>
  <c r="N339" i="161"/>
  <c r="M339" i="161"/>
  <c r="L339" i="161"/>
  <c r="K339" i="161"/>
  <c r="H339" i="161"/>
  <c r="P338" i="161"/>
  <c r="N338" i="161"/>
  <c r="M338" i="161"/>
  <c r="L338" i="161"/>
  <c r="K338" i="161"/>
  <c r="H338" i="161"/>
  <c r="P337" i="161"/>
  <c r="N337" i="161"/>
  <c r="M337" i="161"/>
  <c r="L337" i="161"/>
  <c r="K337" i="161"/>
  <c r="H337" i="161"/>
  <c r="P336" i="161"/>
  <c r="N336" i="161"/>
  <c r="M336" i="161"/>
  <c r="L336" i="161"/>
  <c r="K336" i="161"/>
  <c r="H336" i="161"/>
  <c r="P335" i="161"/>
  <c r="N335" i="161"/>
  <c r="M335" i="161"/>
  <c r="L335" i="161"/>
  <c r="K335" i="161"/>
  <c r="H335" i="161"/>
  <c r="P334" i="161"/>
  <c r="N334" i="161"/>
  <c r="M334" i="161"/>
  <c r="L334" i="161"/>
  <c r="K334" i="161"/>
  <c r="H334" i="161"/>
  <c r="P333" i="161"/>
  <c r="N333" i="161"/>
  <c r="M333" i="161"/>
  <c r="L333" i="161"/>
  <c r="K333" i="161"/>
  <c r="H333" i="161"/>
  <c r="P332" i="161"/>
  <c r="N332" i="161"/>
  <c r="M332" i="161"/>
  <c r="L332" i="161"/>
  <c r="K332" i="161"/>
  <c r="H332" i="161"/>
  <c r="P331" i="161"/>
  <c r="N331" i="161"/>
  <c r="M331" i="161"/>
  <c r="L331" i="161"/>
  <c r="K331" i="161"/>
  <c r="H331" i="161"/>
  <c r="P330" i="161"/>
  <c r="N330" i="161"/>
  <c r="M330" i="161"/>
  <c r="L330" i="161"/>
  <c r="K330" i="161"/>
  <c r="H330" i="161"/>
  <c r="P329" i="161"/>
  <c r="N329" i="161"/>
  <c r="M329" i="161"/>
  <c r="L329" i="161"/>
  <c r="K329" i="161"/>
  <c r="H329" i="161"/>
  <c r="P328" i="161"/>
  <c r="N328" i="161"/>
  <c r="M328" i="161"/>
  <c r="L328" i="161"/>
  <c r="K328" i="161"/>
  <c r="H328" i="161"/>
  <c r="P327" i="161"/>
  <c r="N327" i="161"/>
  <c r="M327" i="161"/>
  <c r="L327" i="161"/>
  <c r="K327" i="161"/>
  <c r="H327" i="161"/>
  <c r="P326" i="161"/>
  <c r="N326" i="161"/>
  <c r="M326" i="161"/>
  <c r="L326" i="161"/>
  <c r="K326" i="161"/>
  <c r="H326" i="161"/>
  <c r="P325" i="161"/>
  <c r="N325" i="161"/>
  <c r="M325" i="161"/>
  <c r="L325" i="161"/>
  <c r="K325" i="161"/>
  <c r="H325" i="161"/>
  <c r="P324" i="161"/>
  <c r="N324" i="161"/>
  <c r="M324" i="161"/>
  <c r="L324" i="161"/>
  <c r="K324" i="161"/>
  <c r="H324" i="161"/>
  <c r="P323" i="161"/>
  <c r="N323" i="161"/>
  <c r="M323" i="161"/>
  <c r="L323" i="161"/>
  <c r="K323" i="161"/>
  <c r="H323" i="161"/>
  <c r="P322" i="161"/>
  <c r="N322" i="161"/>
  <c r="M322" i="161"/>
  <c r="L322" i="161"/>
  <c r="K322" i="161"/>
  <c r="H322" i="161"/>
  <c r="P321" i="161"/>
  <c r="N321" i="161"/>
  <c r="M321" i="161"/>
  <c r="L321" i="161"/>
  <c r="K321" i="161"/>
  <c r="H321" i="161"/>
  <c r="P320" i="161"/>
  <c r="N320" i="161"/>
  <c r="M320" i="161"/>
  <c r="L320" i="161"/>
  <c r="K320" i="161"/>
  <c r="H320" i="161"/>
  <c r="P319" i="161"/>
  <c r="N319" i="161"/>
  <c r="M319" i="161"/>
  <c r="L319" i="161"/>
  <c r="K319" i="161"/>
  <c r="H319" i="161"/>
  <c r="P318" i="161"/>
  <c r="N318" i="161"/>
  <c r="M318" i="161"/>
  <c r="L318" i="161"/>
  <c r="K318" i="161"/>
  <c r="H318" i="161"/>
  <c r="P317" i="161"/>
  <c r="N317" i="161"/>
  <c r="M317" i="161"/>
  <c r="L317" i="161"/>
  <c r="K317" i="161"/>
  <c r="H317" i="161"/>
  <c r="P316" i="161"/>
  <c r="N316" i="161"/>
  <c r="M316" i="161"/>
  <c r="L316" i="161"/>
  <c r="K316" i="161"/>
  <c r="H316" i="161"/>
  <c r="P315" i="161"/>
  <c r="N315" i="161"/>
  <c r="M315" i="161"/>
  <c r="L315" i="161"/>
  <c r="K315" i="161"/>
  <c r="H315" i="161"/>
  <c r="P314" i="161"/>
  <c r="N314" i="161"/>
  <c r="M314" i="161"/>
  <c r="L314" i="161"/>
  <c r="K314" i="161"/>
  <c r="H314" i="161"/>
  <c r="P313" i="161"/>
  <c r="N313" i="161"/>
  <c r="M313" i="161"/>
  <c r="L313" i="161"/>
  <c r="K313" i="161"/>
  <c r="H313" i="161"/>
  <c r="P312" i="161"/>
  <c r="N312" i="161"/>
  <c r="M312" i="161"/>
  <c r="L312" i="161"/>
  <c r="K312" i="161"/>
  <c r="H312" i="161"/>
  <c r="P311" i="161"/>
  <c r="N311" i="161"/>
  <c r="M311" i="161"/>
  <c r="L311" i="161"/>
  <c r="K311" i="161"/>
  <c r="H311" i="161"/>
  <c r="P310" i="161"/>
  <c r="N310" i="161"/>
  <c r="M310" i="161"/>
  <c r="L310" i="161"/>
  <c r="K310" i="161"/>
  <c r="H310" i="161"/>
  <c r="P309" i="161"/>
  <c r="N309" i="161"/>
  <c r="M309" i="161"/>
  <c r="L309" i="161"/>
  <c r="K309" i="161"/>
  <c r="H309" i="161"/>
  <c r="P308" i="161"/>
  <c r="N308" i="161"/>
  <c r="M308" i="161"/>
  <c r="L308" i="161"/>
  <c r="K308" i="161"/>
  <c r="H308" i="161"/>
  <c r="P307" i="161"/>
  <c r="N307" i="161"/>
  <c r="M307" i="161"/>
  <c r="L307" i="161"/>
  <c r="K307" i="161"/>
  <c r="H307" i="161"/>
  <c r="P306" i="161"/>
  <c r="N306" i="161"/>
  <c r="M306" i="161"/>
  <c r="L306" i="161"/>
  <c r="K306" i="161"/>
  <c r="H306" i="161"/>
  <c r="P305" i="161"/>
  <c r="N305" i="161"/>
  <c r="M305" i="161"/>
  <c r="L305" i="161"/>
  <c r="K305" i="161"/>
  <c r="H305" i="161"/>
  <c r="P304" i="161"/>
  <c r="N304" i="161"/>
  <c r="M304" i="161"/>
  <c r="L304" i="161"/>
  <c r="K304" i="161"/>
  <c r="H304" i="161"/>
  <c r="P303" i="161"/>
  <c r="N303" i="161"/>
  <c r="M303" i="161"/>
  <c r="L303" i="161"/>
  <c r="K303" i="161"/>
  <c r="H303" i="161"/>
  <c r="P302" i="161"/>
  <c r="N302" i="161"/>
  <c r="M302" i="161"/>
  <c r="L302" i="161"/>
  <c r="K302" i="161"/>
  <c r="H302" i="161"/>
  <c r="P301" i="161"/>
  <c r="N301" i="161"/>
  <c r="M301" i="161"/>
  <c r="L301" i="161"/>
  <c r="K301" i="161"/>
  <c r="H301" i="161"/>
  <c r="P300" i="161"/>
  <c r="N300" i="161"/>
  <c r="M300" i="161"/>
  <c r="L300" i="161"/>
  <c r="K300" i="161"/>
  <c r="H300" i="161"/>
  <c r="P299" i="161"/>
  <c r="N299" i="161"/>
  <c r="M299" i="161"/>
  <c r="L299" i="161"/>
  <c r="K299" i="161"/>
  <c r="H299" i="161"/>
  <c r="P298" i="161"/>
  <c r="N298" i="161"/>
  <c r="M298" i="161"/>
  <c r="L298" i="161"/>
  <c r="K298" i="161"/>
  <c r="H298" i="161"/>
  <c r="P297" i="161"/>
  <c r="N297" i="161"/>
  <c r="M297" i="161"/>
  <c r="L297" i="161"/>
  <c r="K297" i="161"/>
  <c r="H297" i="161"/>
  <c r="P296" i="161"/>
  <c r="N296" i="161"/>
  <c r="M296" i="161"/>
  <c r="L296" i="161"/>
  <c r="K296" i="161"/>
  <c r="H296" i="161"/>
  <c r="P295" i="161"/>
  <c r="N295" i="161"/>
  <c r="M295" i="161"/>
  <c r="L295" i="161"/>
  <c r="K295" i="161"/>
  <c r="H295" i="161"/>
  <c r="P294" i="161"/>
  <c r="N294" i="161"/>
  <c r="M294" i="161"/>
  <c r="L294" i="161"/>
  <c r="K294" i="161"/>
  <c r="H294" i="161"/>
  <c r="P293" i="161"/>
  <c r="N293" i="161"/>
  <c r="M293" i="161"/>
  <c r="L293" i="161"/>
  <c r="K293" i="161"/>
  <c r="H293" i="161"/>
  <c r="P292" i="161"/>
  <c r="N292" i="161"/>
  <c r="M292" i="161"/>
  <c r="L292" i="161"/>
  <c r="K292" i="161"/>
  <c r="H292" i="161"/>
  <c r="P291" i="161"/>
  <c r="N291" i="161"/>
  <c r="M291" i="161"/>
  <c r="L291" i="161"/>
  <c r="K291" i="161"/>
  <c r="H291" i="161"/>
  <c r="P290" i="161"/>
  <c r="N290" i="161"/>
  <c r="M290" i="161"/>
  <c r="L290" i="161"/>
  <c r="K290" i="161"/>
  <c r="H290" i="161"/>
  <c r="P289" i="161"/>
  <c r="N289" i="161"/>
  <c r="M289" i="161"/>
  <c r="L289" i="161"/>
  <c r="K289" i="161"/>
  <c r="H289" i="161"/>
  <c r="P288" i="161"/>
  <c r="N288" i="161"/>
  <c r="M288" i="161"/>
  <c r="L288" i="161"/>
  <c r="K288" i="161"/>
  <c r="H288" i="161"/>
  <c r="P287" i="161"/>
  <c r="N287" i="161"/>
  <c r="M287" i="161"/>
  <c r="L287" i="161"/>
  <c r="K287" i="161"/>
  <c r="H287" i="161"/>
  <c r="P286" i="161"/>
  <c r="N286" i="161"/>
  <c r="M286" i="161"/>
  <c r="L286" i="161"/>
  <c r="K286" i="161"/>
  <c r="H286" i="161"/>
  <c r="P285" i="161"/>
  <c r="N285" i="161"/>
  <c r="M285" i="161"/>
  <c r="L285" i="161"/>
  <c r="K285" i="161"/>
  <c r="H285" i="161"/>
  <c r="P284" i="161"/>
  <c r="N284" i="161"/>
  <c r="M284" i="161"/>
  <c r="L284" i="161"/>
  <c r="K284" i="161"/>
  <c r="H284" i="161"/>
  <c r="P283" i="161"/>
  <c r="N283" i="161"/>
  <c r="M283" i="161"/>
  <c r="L283" i="161"/>
  <c r="K283" i="161"/>
  <c r="H283" i="161"/>
  <c r="P282" i="161"/>
  <c r="N282" i="161"/>
  <c r="M282" i="161"/>
  <c r="L282" i="161"/>
  <c r="K282" i="161"/>
  <c r="H282" i="161"/>
  <c r="P281" i="161"/>
  <c r="N281" i="161"/>
  <c r="M281" i="161"/>
  <c r="L281" i="161"/>
  <c r="K281" i="161"/>
  <c r="H281" i="161"/>
  <c r="P280" i="161"/>
  <c r="N280" i="161"/>
  <c r="M280" i="161"/>
  <c r="L280" i="161"/>
  <c r="K280" i="161"/>
  <c r="H280" i="161"/>
  <c r="P279" i="161"/>
  <c r="N279" i="161"/>
  <c r="M279" i="161"/>
  <c r="L279" i="161"/>
  <c r="K279" i="161"/>
  <c r="H279" i="161"/>
  <c r="P278" i="161"/>
  <c r="N278" i="161"/>
  <c r="M278" i="161"/>
  <c r="L278" i="161"/>
  <c r="K278" i="161"/>
  <c r="H278" i="161"/>
  <c r="P277" i="161"/>
  <c r="N277" i="161"/>
  <c r="M277" i="161"/>
  <c r="L277" i="161"/>
  <c r="K277" i="161"/>
  <c r="H277" i="161"/>
  <c r="P276" i="161"/>
  <c r="N276" i="161"/>
  <c r="M276" i="161"/>
  <c r="L276" i="161"/>
  <c r="K276" i="161"/>
  <c r="H276" i="161"/>
  <c r="P275" i="161"/>
  <c r="N275" i="161"/>
  <c r="M275" i="161"/>
  <c r="L275" i="161"/>
  <c r="K275" i="161"/>
  <c r="H275" i="161"/>
  <c r="P274" i="161"/>
  <c r="N274" i="161"/>
  <c r="M274" i="161"/>
  <c r="L274" i="161"/>
  <c r="K274" i="161"/>
  <c r="H274" i="161"/>
  <c r="P273" i="161"/>
  <c r="N273" i="161"/>
  <c r="M273" i="161"/>
  <c r="L273" i="161"/>
  <c r="K273" i="161"/>
  <c r="H273" i="161"/>
  <c r="P272" i="161"/>
  <c r="N272" i="161"/>
  <c r="M272" i="161"/>
  <c r="L272" i="161"/>
  <c r="K272" i="161"/>
  <c r="H272" i="161"/>
  <c r="P271" i="161"/>
  <c r="N271" i="161"/>
  <c r="M271" i="161"/>
  <c r="L271" i="161"/>
  <c r="K271" i="161"/>
  <c r="H271" i="161"/>
  <c r="P270" i="161"/>
  <c r="N270" i="161"/>
  <c r="M270" i="161"/>
  <c r="L270" i="161"/>
  <c r="K270" i="161"/>
  <c r="H270" i="161"/>
  <c r="P269" i="161"/>
  <c r="N269" i="161"/>
  <c r="M269" i="161"/>
  <c r="L269" i="161"/>
  <c r="K269" i="161"/>
  <c r="H269" i="161"/>
  <c r="P268" i="161"/>
  <c r="N268" i="161"/>
  <c r="M268" i="161"/>
  <c r="L268" i="161"/>
  <c r="K268" i="161"/>
  <c r="H268" i="161"/>
  <c r="P267" i="161"/>
  <c r="N267" i="161"/>
  <c r="M267" i="161"/>
  <c r="L267" i="161"/>
  <c r="K267" i="161"/>
  <c r="H267" i="161"/>
  <c r="P266" i="161"/>
  <c r="N266" i="161"/>
  <c r="M266" i="161"/>
  <c r="L266" i="161"/>
  <c r="K266" i="161"/>
  <c r="H266" i="161"/>
  <c r="P265" i="161"/>
  <c r="N265" i="161"/>
  <c r="M265" i="161"/>
  <c r="L265" i="161"/>
  <c r="K265" i="161"/>
  <c r="H265" i="161"/>
  <c r="P264" i="161"/>
  <c r="N264" i="161"/>
  <c r="M264" i="161"/>
  <c r="L264" i="161"/>
  <c r="K264" i="161"/>
  <c r="H264" i="161"/>
  <c r="P263" i="161"/>
  <c r="N263" i="161"/>
  <c r="M263" i="161"/>
  <c r="L263" i="161"/>
  <c r="K263" i="161"/>
  <c r="H263" i="161"/>
  <c r="P262" i="161"/>
  <c r="N262" i="161"/>
  <c r="M262" i="161"/>
  <c r="L262" i="161"/>
  <c r="K262" i="161"/>
  <c r="H262" i="161"/>
  <c r="P261" i="161"/>
  <c r="N261" i="161"/>
  <c r="M261" i="161"/>
  <c r="L261" i="161"/>
  <c r="K261" i="161"/>
  <c r="H261" i="161"/>
  <c r="P260" i="161"/>
  <c r="N260" i="161"/>
  <c r="M260" i="161"/>
  <c r="L260" i="161"/>
  <c r="K260" i="161"/>
  <c r="H260" i="161"/>
  <c r="P259" i="161"/>
  <c r="N259" i="161"/>
  <c r="M259" i="161"/>
  <c r="L259" i="161"/>
  <c r="K259" i="161"/>
  <c r="H259" i="161"/>
  <c r="P258" i="161"/>
  <c r="N258" i="161"/>
  <c r="M258" i="161"/>
  <c r="L258" i="161"/>
  <c r="K258" i="161"/>
  <c r="H258" i="161"/>
  <c r="P257" i="161"/>
  <c r="N257" i="161"/>
  <c r="M257" i="161"/>
  <c r="L257" i="161"/>
  <c r="K257" i="161"/>
  <c r="H257" i="161"/>
  <c r="P256" i="161"/>
  <c r="N256" i="161"/>
  <c r="M256" i="161"/>
  <c r="L256" i="161"/>
  <c r="K256" i="161"/>
  <c r="H256" i="161"/>
  <c r="P255" i="161"/>
  <c r="N255" i="161"/>
  <c r="M255" i="161"/>
  <c r="L255" i="161"/>
  <c r="K255" i="161"/>
  <c r="H255" i="161"/>
  <c r="P254" i="161"/>
  <c r="N254" i="161"/>
  <c r="M254" i="161"/>
  <c r="L254" i="161"/>
  <c r="K254" i="161"/>
  <c r="H254" i="161"/>
  <c r="P253" i="161"/>
  <c r="N253" i="161"/>
  <c r="M253" i="161"/>
  <c r="L253" i="161"/>
  <c r="K253" i="161"/>
  <c r="H253" i="161"/>
  <c r="P252" i="161"/>
  <c r="N252" i="161"/>
  <c r="M252" i="161"/>
  <c r="L252" i="161"/>
  <c r="K252" i="161"/>
  <c r="H252" i="161"/>
  <c r="P251" i="161"/>
  <c r="N251" i="161"/>
  <c r="M251" i="161"/>
  <c r="L251" i="161"/>
  <c r="K251" i="161"/>
  <c r="H251" i="161"/>
  <c r="P250" i="161"/>
  <c r="N250" i="161"/>
  <c r="M250" i="161"/>
  <c r="L250" i="161"/>
  <c r="K250" i="161"/>
  <c r="H250" i="161"/>
  <c r="P249" i="161"/>
  <c r="N249" i="161"/>
  <c r="M249" i="161"/>
  <c r="L249" i="161"/>
  <c r="K249" i="161"/>
  <c r="H249" i="161"/>
  <c r="P248" i="161"/>
  <c r="N248" i="161"/>
  <c r="M248" i="161"/>
  <c r="L248" i="161"/>
  <c r="K248" i="161"/>
  <c r="H248" i="161"/>
  <c r="P247" i="161"/>
  <c r="N247" i="161"/>
  <c r="M247" i="161"/>
  <c r="L247" i="161"/>
  <c r="K247" i="161"/>
  <c r="H247" i="161"/>
  <c r="P246" i="161"/>
  <c r="N246" i="161"/>
  <c r="M246" i="161"/>
  <c r="L246" i="161"/>
  <c r="K246" i="161"/>
  <c r="H246" i="161"/>
  <c r="P245" i="161"/>
  <c r="N245" i="161"/>
  <c r="M245" i="161"/>
  <c r="L245" i="161"/>
  <c r="K245" i="161"/>
  <c r="H245" i="161"/>
  <c r="P244" i="161"/>
  <c r="N244" i="161"/>
  <c r="M244" i="161"/>
  <c r="L244" i="161"/>
  <c r="K244" i="161"/>
  <c r="H244" i="161"/>
  <c r="P243" i="161"/>
  <c r="N243" i="161"/>
  <c r="M243" i="161"/>
  <c r="L243" i="161"/>
  <c r="K243" i="161"/>
  <c r="H243" i="161"/>
  <c r="P242" i="161"/>
  <c r="N242" i="161"/>
  <c r="M242" i="161"/>
  <c r="L242" i="161"/>
  <c r="K242" i="161"/>
  <c r="H242" i="161"/>
  <c r="P241" i="161"/>
  <c r="N241" i="161"/>
  <c r="M241" i="161"/>
  <c r="L241" i="161"/>
  <c r="K241" i="161"/>
  <c r="H241" i="161"/>
  <c r="P240" i="161"/>
  <c r="N240" i="161"/>
  <c r="M240" i="161"/>
  <c r="L240" i="161"/>
  <c r="K240" i="161"/>
  <c r="H240" i="161"/>
  <c r="P239" i="161"/>
  <c r="N239" i="161"/>
  <c r="M239" i="161"/>
  <c r="L239" i="161"/>
  <c r="K239" i="161"/>
  <c r="H239" i="161"/>
  <c r="P238" i="161"/>
  <c r="N238" i="161"/>
  <c r="M238" i="161"/>
  <c r="L238" i="161"/>
  <c r="K238" i="161"/>
  <c r="H238" i="161"/>
  <c r="P237" i="161"/>
  <c r="N237" i="161"/>
  <c r="M237" i="161"/>
  <c r="L237" i="161"/>
  <c r="K237" i="161"/>
  <c r="H237" i="161"/>
  <c r="P236" i="161"/>
  <c r="N236" i="161"/>
  <c r="M236" i="161"/>
  <c r="L236" i="161"/>
  <c r="K236" i="161"/>
  <c r="H236" i="161"/>
  <c r="P235" i="161"/>
  <c r="N235" i="161"/>
  <c r="M235" i="161"/>
  <c r="L235" i="161"/>
  <c r="K235" i="161"/>
  <c r="H235" i="161"/>
  <c r="P234" i="161"/>
  <c r="N234" i="161"/>
  <c r="M234" i="161"/>
  <c r="L234" i="161"/>
  <c r="K234" i="161"/>
  <c r="H234" i="161"/>
  <c r="P233" i="161"/>
  <c r="N233" i="161"/>
  <c r="M233" i="161"/>
  <c r="L233" i="161"/>
  <c r="K233" i="161"/>
  <c r="H233" i="161"/>
  <c r="P232" i="161"/>
  <c r="N232" i="161"/>
  <c r="M232" i="161"/>
  <c r="L232" i="161"/>
  <c r="K232" i="161"/>
  <c r="H232" i="161"/>
  <c r="P231" i="161"/>
  <c r="N231" i="161"/>
  <c r="M231" i="161"/>
  <c r="L231" i="161"/>
  <c r="K231" i="161"/>
  <c r="H231" i="161"/>
  <c r="P230" i="161"/>
  <c r="N230" i="161"/>
  <c r="M230" i="161"/>
  <c r="L230" i="161"/>
  <c r="K230" i="161"/>
  <c r="H230" i="161"/>
  <c r="P229" i="161"/>
  <c r="N229" i="161"/>
  <c r="M229" i="161"/>
  <c r="L229" i="161"/>
  <c r="K229" i="161"/>
  <c r="H229" i="161"/>
  <c r="P228" i="161"/>
  <c r="N228" i="161"/>
  <c r="M228" i="161"/>
  <c r="L228" i="161"/>
  <c r="K228" i="161"/>
  <c r="H228" i="161"/>
  <c r="P227" i="161"/>
  <c r="N227" i="161"/>
  <c r="M227" i="161"/>
  <c r="L227" i="161"/>
  <c r="K227" i="161"/>
  <c r="H227" i="161"/>
  <c r="P226" i="161"/>
  <c r="N226" i="161"/>
  <c r="M226" i="161"/>
  <c r="L226" i="161"/>
  <c r="K226" i="161"/>
  <c r="H226" i="161"/>
  <c r="P225" i="161"/>
  <c r="N225" i="161"/>
  <c r="M225" i="161"/>
  <c r="L225" i="161"/>
  <c r="K225" i="161"/>
  <c r="H225" i="161"/>
  <c r="P224" i="161"/>
  <c r="N224" i="161"/>
  <c r="M224" i="161"/>
  <c r="L224" i="161"/>
  <c r="K224" i="161"/>
  <c r="H224" i="161"/>
  <c r="P223" i="161"/>
  <c r="N223" i="161"/>
  <c r="M223" i="161"/>
  <c r="L223" i="161"/>
  <c r="K223" i="161"/>
  <c r="H223" i="161"/>
  <c r="P222" i="161"/>
  <c r="N222" i="161"/>
  <c r="M222" i="161"/>
  <c r="L222" i="161"/>
  <c r="K222" i="161"/>
  <c r="H222" i="161"/>
  <c r="P221" i="161"/>
  <c r="N221" i="161"/>
  <c r="M221" i="161"/>
  <c r="L221" i="161"/>
  <c r="K221" i="161"/>
  <c r="H221" i="161"/>
  <c r="P220" i="161"/>
  <c r="N220" i="161"/>
  <c r="M220" i="161"/>
  <c r="L220" i="161"/>
  <c r="K220" i="161"/>
  <c r="H220" i="161"/>
  <c r="P219" i="161"/>
  <c r="N219" i="161"/>
  <c r="M219" i="161"/>
  <c r="L219" i="161"/>
  <c r="K219" i="161"/>
  <c r="H219" i="161"/>
  <c r="P218" i="161"/>
  <c r="N218" i="161"/>
  <c r="M218" i="161"/>
  <c r="L218" i="161"/>
  <c r="K218" i="161"/>
  <c r="H218" i="161"/>
  <c r="P217" i="161"/>
  <c r="N217" i="161"/>
  <c r="M217" i="161"/>
  <c r="L217" i="161"/>
  <c r="K217" i="161"/>
  <c r="H217" i="161"/>
  <c r="P216" i="161"/>
  <c r="N216" i="161"/>
  <c r="M216" i="161"/>
  <c r="L216" i="161"/>
  <c r="K216" i="161"/>
  <c r="H216" i="161"/>
  <c r="P215" i="161"/>
  <c r="N215" i="161"/>
  <c r="M215" i="161"/>
  <c r="L215" i="161"/>
  <c r="K215" i="161"/>
  <c r="H215" i="161"/>
  <c r="P214" i="161"/>
  <c r="N214" i="161"/>
  <c r="M214" i="161"/>
  <c r="L214" i="161"/>
  <c r="K214" i="161"/>
  <c r="H214" i="161"/>
  <c r="P213" i="161"/>
  <c r="N213" i="161"/>
  <c r="M213" i="161"/>
  <c r="L213" i="161"/>
  <c r="K213" i="161"/>
  <c r="H213" i="161"/>
  <c r="P212" i="161"/>
  <c r="N212" i="161"/>
  <c r="M212" i="161"/>
  <c r="L212" i="161"/>
  <c r="K212" i="161"/>
  <c r="H212" i="161"/>
  <c r="P211" i="161"/>
  <c r="N211" i="161"/>
  <c r="M211" i="161"/>
  <c r="L211" i="161"/>
  <c r="K211" i="161"/>
  <c r="H211" i="161"/>
  <c r="P210" i="161"/>
  <c r="N210" i="161"/>
  <c r="M210" i="161"/>
  <c r="L210" i="161"/>
  <c r="K210" i="161"/>
  <c r="H210" i="161"/>
  <c r="P209" i="161"/>
  <c r="N209" i="161"/>
  <c r="M209" i="161"/>
  <c r="L209" i="161"/>
  <c r="K209" i="161"/>
  <c r="H209" i="161"/>
  <c r="P208" i="161"/>
  <c r="N208" i="161"/>
  <c r="M208" i="161"/>
  <c r="L208" i="161"/>
  <c r="K208" i="161"/>
  <c r="H208" i="161"/>
  <c r="P207" i="161"/>
  <c r="N207" i="161"/>
  <c r="M207" i="161"/>
  <c r="L207" i="161"/>
  <c r="K207" i="161"/>
  <c r="H207" i="161"/>
  <c r="P206" i="161"/>
  <c r="N206" i="161"/>
  <c r="M206" i="161"/>
  <c r="L206" i="161"/>
  <c r="K206" i="161"/>
  <c r="H206" i="161"/>
  <c r="P205" i="161"/>
  <c r="N205" i="161"/>
  <c r="M205" i="161"/>
  <c r="L205" i="161"/>
  <c r="K205" i="161"/>
  <c r="H205" i="161"/>
  <c r="P204" i="161"/>
  <c r="N204" i="161"/>
  <c r="M204" i="161"/>
  <c r="L204" i="161"/>
  <c r="K204" i="161"/>
  <c r="H204" i="161"/>
  <c r="P203" i="161"/>
  <c r="N203" i="161"/>
  <c r="M203" i="161"/>
  <c r="L203" i="161"/>
  <c r="K203" i="161"/>
  <c r="H203" i="161"/>
  <c r="P202" i="161"/>
  <c r="N202" i="161"/>
  <c r="M202" i="161"/>
  <c r="L202" i="161"/>
  <c r="K202" i="161"/>
  <c r="H202" i="161"/>
  <c r="P201" i="161"/>
  <c r="N201" i="161"/>
  <c r="M201" i="161"/>
  <c r="L201" i="161"/>
  <c r="K201" i="161"/>
  <c r="H201" i="161"/>
  <c r="P200" i="161"/>
  <c r="N200" i="161"/>
  <c r="M200" i="161"/>
  <c r="L200" i="161"/>
  <c r="K200" i="161"/>
  <c r="H200" i="161"/>
  <c r="P199" i="161"/>
  <c r="N199" i="161"/>
  <c r="M199" i="161"/>
  <c r="L199" i="161"/>
  <c r="K199" i="161"/>
  <c r="H199" i="161"/>
  <c r="P198" i="161"/>
  <c r="N198" i="161"/>
  <c r="M198" i="161"/>
  <c r="L198" i="161"/>
  <c r="K198" i="161"/>
  <c r="H198" i="161"/>
  <c r="P197" i="161"/>
  <c r="N197" i="161"/>
  <c r="M197" i="161"/>
  <c r="L197" i="161"/>
  <c r="K197" i="161"/>
  <c r="H197" i="161"/>
  <c r="P196" i="161"/>
  <c r="N196" i="161"/>
  <c r="M196" i="161"/>
  <c r="L196" i="161"/>
  <c r="K196" i="161"/>
  <c r="H196" i="161"/>
  <c r="P195" i="161"/>
  <c r="N195" i="161"/>
  <c r="M195" i="161"/>
  <c r="L195" i="161"/>
  <c r="K195" i="161"/>
  <c r="H195" i="161"/>
  <c r="P194" i="161"/>
  <c r="N194" i="161"/>
  <c r="M194" i="161"/>
  <c r="L194" i="161"/>
  <c r="K194" i="161"/>
  <c r="H194" i="161"/>
  <c r="P193" i="161"/>
  <c r="N193" i="161"/>
  <c r="M193" i="161"/>
  <c r="L193" i="161"/>
  <c r="K193" i="161"/>
  <c r="H193" i="161"/>
  <c r="P192" i="161"/>
  <c r="N192" i="161"/>
  <c r="M192" i="161"/>
  <c r="L192" i="161"/>
  <c r="K192" i="161"/>
  <c r="H192" i="161"/>
  <c r="P191" i="161"/>
  <c r="N191" i="161"/>
  <c r="M191" i="161"/>
  <c r="L191" i="161"/>
  <c r="K191" i="161"/>
  <c r="H191" i="161"/>
  <c r="P190" i="161"/>
  <c r="N190" i="161"/>
  <c r="M190" i="161"/>
  <c r="L190" i="161"/>
  <c r="K190" i="161"/>
  <c r="H190" i="161"/>
  <c r="P189" i="161"/>
  <c r="N189" i="161"/>
  <c r="M189" i="161"/>
  <c r="L189" i="161"/>
  <c r="K189" i="161"/>
  <c r="H189" i="161"/>
  <c r="P188" i="161"/>
  <c r="N188" i="161"/>
  <c r="M188" i="161"/>
  <c r="L188" i="161"/>
  <c r="K188" i="161"/>
  <c r="H188" i="161"/>
  <c r="P187" i="161"/>
  <c r="N187" i="161"/>
  <c r="M187" i="161"/>
  <c r="L187" i="161"/>
  <c r="K187" i="161"/>
  <c r="H187" i="161"/>
  <c r="P186" i="161"/>
  <c r="N186" i="161"/>
  <c r="M186" i="161"/>
  <c r="L186" i="161"/>
  <c r="K186" i="161"/>
  <c r="H186" i="161"/>
  <c r="P185" i="161"/>
  <c r="N185" i="161"/>
  <c r="M185" i="161"/>
  <c r="L185" i="161"/>
  <c r="K185" i="161"/>
  <c r="H185" i="161"/>
  <c r="P184" i="161"/>
  <c r="N184" i="161"/>
  <c r="M184" i="161"/>
  <c r="L184" i="161"/>
  <c r="K184" i="161"/>
  <c r="H184" i="161"/>
  <c r="P183" i="161"/>
  <c r="N183" i="161"/>
  <c r="M183" i="161"/>
  <c r="L183" i="161"/>
  <c r="K183" i="161"/>
  <c r="H183" i="161"/>
  <c r="P182" i="161"/>
  <c r="N182" i="161"/>
  <c r="M182" i="161"/>
  <c r="L182" i="161"/>
  <c r="K182" i="161"/>
  <c r="H182" i="161"/>
  <c r="P181" i="161"/>
  <c r="N181" i="161"/>
  <c r="M181" i="161"/>
  <c r="L181" i="161"/>
  <c r="K181" i="161"/>
  <c r="H181" i="161"/>
  <c r="P180" i="161"/>
  <c r="N180" i="161"/>
  <c r="M180" i="161"/>
  <c r="L180" i="161"/>
  <c r="K180" i="161"/>
  <c r="H180" i="161"/>
  <c r="P179" i="161"/>
  <c r="N179" i="161"/>
  <c r="M179" i="161"/>
  <c r="L179" i="161"/>
  <c r="K179" i="161"/>
  <c r="H179" i="161"/>
  <c r="P178" i="161"/>
  <c r="N178" i="161"/>
  <c r="M178" i="161"/>
  <c r="L178" i="161"/>
  <c r="K178" i="161"/>
  <c r="H178" i="161"/>
  <c r="P177" i="161"/>
  <c r="N177" i="161"/>
  <c r="M177" i="161"/>
  <c r="L177" i="161"/>
  <c r="K177" i="161"/>
  <c r="H177" i="161"/>
  <c r="P176" i="161"/>
  <c r="N176" i="161"/>
  <c r="M176" i="161"/>
  <c r="L176" i="161"/>
  <c r="K176" i="161"/>
  <c r="H176" i="161"/>
  <c r="P175" i="161"/>
  <c r="N175" i="161"/>
  <c r="M175" i="161"/>
  <c r="L175" i="161"/>
  <c r="K175" i="161"/>
  <c r="H175" i="161"/>
  <c r="P174" i="161"/>
  <c r="N174" i="161"/>
  <c r="M174" i="161"/>
  <c r="L174" i="161"/>
  <c r="K174" i="161"/>
  <c r="H174" i="161"/>
  <c r="P173" i="161"/>
  <c r="N173" i="161"/>
  <c r="M173" i="161"/>
  <c r="L173" i="161"/>
  <c r="K173" i="161"/>
  <c r="H173" i="161"/>
  <c r="P172" i="161"/>
  <c r="N172" i="161"/>
  <c r="M172" i="161"/>
  <c r="L172" i="161"/>
  <c r="K172" i="161"/>
  <c r="H172" i="161"/>
  <c r="P171" i="161"/>
  <c r="N171" i="161"/>
  <c r="M171" i="161"/>
  <c r="L171" i="161"/>
  <c r="K171" i="161"/>
  <c r="H171" i="161"/>
  <c r="P170" i="161"/>
  <c r="N170" i="161"/>
  <c r="M170" i="161"/>
  <c r="L170" i="161"/>
  <c r="K170" i="161"/>
  <c r="H170" i="161"/>
  <c r="P169" i="161"/>
  <c r="N169" i="161"/>
  <c r="M169" i="161"/>
  <c r="L169" i="161"/>
  <c r="K169" i="161"/>
  <c r="H169" i="161"/>
  <c r="P168" i="161"/>
  <c r="N168" i="161"/>
  <c r="M168" i="161"/>
  <c r="L168" i="161"/>
  <c r="K168" i="161"/>
  <c r="H168" i="161"/>
  <c r="P167" i="161"/>
  <c r="N167" i="161"/>
  <c r="M167" i="161"/>
  <c r="L167" i="161"/>
  <c r="K167" i="161"/>
  <c r="H167" i="161"/>
  <c r="P166" i="161"/>
  <c r="N166" i="161"/>
  <c r="M166" i="161"/>
  <c r="L166" i="161"/>
  <c r="K166" i="161"/>
  <c r="H166" i="161"/>
  <c r="P165" i="161"/>
  <c r="N165" i="161"/>
  <c r="M165" i="161"/>
  <c r="L165" i="161"/>
  <c r="K165" i="161"/>
  <c r="H165" i="161"/>
  <c r="P164" i="161"/>
  <c r="N164" i="161"/>
  <c r="M164" i="161"/>
  <c r="L164" i="161"/>
  <c r="K164" i="161"/>
  <c r="H164" i="161"/>
  <c r="P163" i="161"/>
  <c r="N163" i="161"/>
  <c r="M163" i="161"/>
  <c r="L163" i="161"/>
  <c r="K163" i="161"/>
  <c r="H163" i="161"/>
  <c r="P162" i="161"/>
  <c r="N162" i="161"/>
  <c r="M162" i="161"/>
  <c r="L162" i="161"/>
  <c r="K162" i="161"/>
  <c r="H162" i="161"/>
  <c r="P161" i="161"/>
  <c r="N161" i="161"/>
  <c r="M161" i="161"/>
  <c r="L161" i="161"/>
  <c r="K161" i="161"/>
  <c r="H161" i="161"/>
  <c r="P160" i="161"/>
  <c r="N160" i="161"/>
  <c r="M160" i="161"/>
  <c r="L160" i="161"/>
  <c r="K160" i="161"/>
  <c r="H160" i="161"/>
  <c r="P159" i="161"/>
  <c r="N159" i="161"/>
  <c r="M159" i="161"/>
  <c r="L159" i="161"/>
  <c r="K159" i="161"/>
  <c r="H159" i="161"/>
  <c r="P158" i="161"/>
  <c r="N158" i="161"/>
  <c r="M158" i="161"/>
  <c r="L158" i="161"/>
  <c r="K158" i="161"/>
  <c r="H158" i="161"/>
  <c r="P157" i="161"/>
  <c r="N157" i="161"/>
  <c r="M157" i="161"/>
  <c r="L157" i="161"/>
  <c r="K157" i="161"/>
  <c r="H157" i="161"/>
  <c r="P156" i="161"/>
  <c r="N156" i="161"/>
  <c r="M156" i="161"/>
  <c r="L156" i="161"/>
  <c r="K156" i="161"/>
  <c r="H156" i="161"/>
  <c r="P155" i="161"/>
  <c r="N155" i="161"/>
  <c r="M155" i="161"/>
  <c r="L155" i="161"/>
  <c r="K155" i="161"/>
  <c r="H155" i="161"/>
  <c r="P154" i="161"/>
  <c r="N154" i="161"/>
  <c r="M154" i="161"/>
  <c r="L154" i="161"/>
  <c r="K154" i="161"/>
  <c r="H154" i="161"/>
  <c r="P153" i="161"/>
  <c r="N153" i="161"/>
  <c r="M153" i="161"/>
  <c r="L153" i="161"/>
  <c r="K153" i="161"/>
  <c r="H153" i="161"/>
  <c r="P152" i="161"/>
  <c r="N152" i="161"/>
  <c r="M152" i="161"/>
  <c r="L152" i="161"/>
  <c r="K152" i="161"/>
  <c r="H152" i="161"/>
  <c r="P151" i="161"/>
  <c r="N151" i="161"/>
  <c r="M151" i="161"/>
  <c r="L151" i="161"/>
  <c r="K151" i="161"/>
  <c r="H151" i="161"/>
  <c r="P150" i="161"/>
  <c r="N150" i="161"/>
  <c r="M150" i="161"/>
  <c r="L150" i="161"/>
  <c r="K150" i="161"/>
  <c r="H150" i="161"/>
  <c r="P149" i="161"/>
  <c r="N149" i="161"/>
  <c r="M149" i="161"/>
  <c r="L149" i="161"/>
  <c r="K149" i="161"/>
  <c r="H149" i="161"/>
  <c r="P148" i="161"/>
  <c r="N148" i="161"/>
  <c r="M148" i="161"/>
  <c r="L148" i="161"/>
  <c r="K148" i="161"/>
  <c r="H148" i="161"/>
  <c r="P147" i="161"/>
  <c r="N147" i="161"/>
  <c r="M147" i="161"/>
  <c r="L147" i="161"/>
  <c r="K147" i="161"/>
  <c r="H147" i="161"/>
  <c r="P146" i="161"/>
  <c r="N146" i="161"/>
  <c r="M146" i="161"/>
  <c r="L146" i="161"/>
  <c r="K146" i="161"/>
  <c r="H146" i="161"/>
  <c r="P145" i="161"/>
  <c r="N145" i="161"/>
  <c r="M145" i="161"/>
  <c r="L145" i="161"/>
  <c r="K145" i="161"/>
  <c r="H145" i="161"/>
  <c r="P144" i="161"/>
  <c r="N144" i="161"/>
  <c r="M144" i="161"/>
  <c r="L144" i="161"/>
  <c r="K144" i="161"/>
  <c r="H144" i="161"/>
  <c r="P143" i="161"/>
  <c r="N143" i="161"/>
  <c r="M143" i="161"/>
  <c r="L143" i="161"/>
  <c r="K143" i="161"/>
  <c r="H143" i="161"/>
  <c r="P142" i="161"/>
  <c r="N142" i="161"/>
  <c r="M142" i="161"/>
  <c r="L142" i="161"/>
  <c r="K142" i="161"/>
  <c r="H142" i="161"/>
  <c r="P141" i="161"/>
  <c r="N141" i="161"/>
  <c r="M141" i="161"/>
  <c r="L141" i="161"/>
  <c r="K141" i="161"/>
  <c r="H141" i="161"/>
  <c r="P140" i="161"/>
  <c r="N140" i="161"/>
  <c r="M140" i="161"/>
  <c r="L140" i="161"/>
  <c r="K140" i="161"/>
  <c r="H140" i="161"/>
  <c r="P139" i="161"/>
  <c r="N139" i="161"/>
  <c r="M139" i="161"/>
  <c r="L139" i="161"/>
  <c r="K139" i="161"/>
  <c r="H139" i="161"/>
  <c r="P138" i="161"/>
  <c r="N138" i="161"/>
  <c r="M138" i="161"/>
  <c r="L138" i="161"/>
  <c r="K138" i="161"/>
  <c r="H138" i="161"/>
  <c r="P137" i="161"/>
  <c r="N137" i="161"/>
  <c r="M137" i="161"/>
  <c r="L137" i="161"/>
  <c r="K137" i="161"/>
  <c r="H137" i="161"/>
  <c r="P136" i="161"/>
  <c r="N136" i="161"/>
  <c r="M136" i="161"/>
  <c r="L136" i="161"/>
  <c r="K136" i="161"/>
  <c r="H136" i="161"/>
  <c r="P135" i="161"/>
  <c r="N135" i="161"/>
  <c r="M135" i="161"/>
  <c r="L135" i="161"/>
  <c r="K135" i="161"/>
  <c r="H135" i="161"/>
  <c r="P134" i="161"/>
  <c r="N134" i="161"/>
  <c r="M134" i="161"/>
  <c r="L134" i="161"/>
  <c r="K134" i="161"/>
  <c r="H134" i="161"/>
  <c r="P133" i="161"/>
  <c r="N133" i="161"/>
  <c r="M133" i="161"/>
  <c r="L133" i="161"/>
  <c r="K133" i="161"/>
  <c r="H133" i="161"/>
  <c r="P132" i="161"/>
  <c r="N132" i="161"/>
  <c r="M132" i="161"/>
  <c r="L132" i="161"/>
  <c r="K132" i="161"/>
  <c r="H132" i="161"/>
  <c r="P131" i="161"/>
  <c r="N131" i="161"/>
  <c r="M131" i="161"/>
  <c r="L131" i="161"/>
  <c r="K131" i="161"/>
  <c r="H131" i="161"/>
  <c r="P130" i="161"/>
  <c r="N130" i="161"/>
  <c r="M130" i="161"/>
  <c r="L130" i="161"/>
  <c r="K130" i="161"/>
  <c r="H130" i="161"/>
  <c r="P129" i="161"/>
  <c r="N129" i="161"/>
  <c r="M129" i="161"/>
  <c r="L129" i="161"/>
  <c r="K129" i="161"/>
  <c r="H129" i="161"/>
  <c r="P128" i="161"/>
  <c r="N128" i="161"/>
  <c r="M128" i="161"/>
  <c r="L128" i="161"/>
  <c r="K128" i="161"/>
  <c r="H128" i="161"/>
  <c r="P127" i="161"/>
  <c r="N127" i="161"/>
  <c r="M127" i="161"/>
  <c r="L127" i="161"/>
  <c r="K127" i="161"/>
  <c r="H127" i="161"/>
  <c r="P126" i="161"/>
  <c r="N126" i="161"/>
  <c r="M126" i="161"/>
  <c r="L126" i="161"/>
  <c r="K126" i="161"/>
  <c r="H126" i="161"/>
  <c r="P125" i="161"/>
  <c r="N125" i="161"/>
  <c r="M125" i="161"/>
  <c r="L125" i="161"/>
  <c r="K125" i="161"/>
  <c r="H125" i="161"/>
  <c r="P124" i="161"/>
  <c r="N124" i="161"/>
  <c r="M124" i="161"/>
  <c r="L124" i="161"/>
  <c r="K124" i="161"/>
  <c r="H124" i="161"/>
  <c r="P123" i="161"/>
  <c r="N123" i="161"/>
  <c r="M123" i="161"/>
  <c r="L123" i="161"/>
  <c r="K123" i="161"/>
  <c r="H123" i="161"/>
  <c r="P122" i="161"/>
  <c r="N122" i="161"/>
  <c r="M122" i="161"/>
  <c r="L122" i="161"/>
  <c r="K122" i="161"/>
  <c r="H122" i="161"/>
  <c r="P121" i="161"/>
  <c r="N121" i="161"/>
  <c r="M121" i="161"/>
  <c r="L121" i="161"/>
  <c r="K121" i="161"/>
  <c r="H121" i="161"/>
  <c r="P120" i="161"/>
  <c r="N120" i="161"/>
  <c r="M120" i="161"/>
  <c r="L120" i="161"/>
  <c r="K120" i="161"/>
  <c r="H120" i="161"/>
  <c r="P119" i="161"/>
  <c r="N119" i="161"/>
  <c r="M119" i="161"/>
  <c r="L119" i="161"/>
  <c r="K119" i="161"/>
  <c r="H119" i="161"/>
  <c r="P118" i="161"/>
  <c r="N118" i="161"/>
  <c r="M118" i="161"/>
  <c r="L118" i="161"/>
  <c r="K118" i="161"/>
  <c r="H118" i="161"/>
  <c r="P117" i="161"/>
  <c r="N117" i="161"/>
  <c r="M117" i="161"/>
  <c r="L117" i="161"/>
  <c r="K117" i="161"/>
  <c r="H117" i="161"/>
  <c r="P116" i="161"/>
  <c r="N116" i="161"/>
  <c r="M116" i="161"/>
  <c r="L116" i="161"/>
  <c r="K116" i="161"/>
  <c r="H116" i="161"/>
  <c r="P115" i="161"/>
  <c r="N115" i="161"/>
  <c r="M115" i="161"/>
  <c r="L115" i="161"/>
  <c r="K115" i="161"/>
  <c r="H115" i="161"/>
  <c r="P114" i="161"/>
  <c r="N114" i="161"/>
  <c r="M114" i="161"/>
  <c r="L114" i="161"/>
  <c r="K114" i="161"/>
  <c r="H114" i="161"/>
  <c r="P113" i="161"/>
  <c r="N113" i="161"/>
  <c r="M113" i="161"/>
  <c r="L113" i="161"/>
  <c r="K113" i="161"/>
  <c r="H113" i="161"/>
  <c r="P112" i="161"/>
  <c r="N112" i="161"/>
  <c r="M112" i="161"/>
  <c r="L112" i="161"/>
  <c r="K112" i="161"/>
  <c r="H112" i="161"/>
  <c r="P111" i="161"/>
  <c r="N111" i="161"/>
  <c r="M111" i="161"/>
  <c r="L111" i="161"/>
  <c r="K111" i="161"/>
  <c r="H111" i="161"/>
  <c r="P110" i="161"/>
  <c r="N110" i="161"/>
  <c r="M110" i="161"/>
  <c r="L110" i="161"/>
  <c r="K110" i="161"/>
  <c r="H110" i="161"/>
  <c r="P109" i="161"/>
  <c r="N109" i="161"/>
  <c r="M109" i="161"/>
  <c r="L109" i="161"/>
  <c r="K109" i="161"/>
  <c r="H109" i="161"/>
  <c r="P108" i="161"/>
  <c r="N108" i="161"/>
  <c r="M108" i="161"/>
  <c r="L108" i="161"/>
  <c r="K108" i="161"/>
  <c r="H108" i="161"/>
  <c r="P107" i="161"/>
  <c r="N107" i="161"/>
  <c r="M107" i="161"/>
  <c r="L107" i="161"/>
  <c r="K107" i="161"/>
  <c r="H107" i="161"/>
  <c r="P106" i="161"/>
  <c r="N106" i="161"/>
  <c r="M106" i="161"/>
  <c r="L106" i="161"/>
  <c r="K106" i="161"/>
  <c r="H106" i="161"/>
  <c r="P105" i="161"/>
  <c r="N105" i="161"/>
  <c r="M105" i="161"/>
  <c r="L105" i="161"/>
  <c r="K105" i="161"/>
  <c r="H105" i="161"/>
  <c r="P104" i="161"/>
  <c r="N104" i="161"/>
  <c r="M104" i="161"/>
  <c r="L104" i="161"/>
  <c r="K104" i="161"/>
  <c r="H104" i="161"/>
  <c r="P103" i="161"/>
  <c r="N103" i="161"/>
  <c r="M103" i="161"/>
  <c r="L103" i="161"/>
  <c r="K103" i="161"/>
  <c r="H103" i="161"/>
  <c r="P102" i="161"/>
  <c r="N102" i="161"/>
  <c r="M102" i="161"/>
  <c r="L102" i="161"/>
  <c r="K102" i="161"/>
  <c r="H102" i="161"/>
  <c r="P101" i="161"/>
  <c r="N101" i="161"/>
  <c r="M101" i="161"/>
  <c r="L101" i="161"/>
  <c r="K101" i="161"/>
  <c r="H101" i="161"/>
  <c r="P100" i="161"/>
  <c r="N100" i="161"/>
  <c r="M100" i="161"/>
  <c r="L100" i="161"/>
  <c r="K100" i="161"/>
  <c r="H100" i="161"/>
  <c r="P99" i="161"/>
  <c r="N99" i="161"/>
  <c r="M99" i="161"/>
  <c r="L99" i="161"/>
  <c r="K99" i="161"/>
  <c r="H99" i="161"/>
  <c r="P98" i="161"/>
  <c r="N98" i="161"/>
  <c r="M98" i="161"/>
  <c r="L98" i="161"/>
  <c r="K98" i="161"/>
  <c r="H98" i="161"/>
  <c r="P97" i="161"/>
  <c r="N97" i="161"/>
  <c r="M97" i="161"/>
  <c r="L97" i="161"/>
  <c r="K97" i="161"/>
  <c r="H97" i="161"/>
  <c r="P96" i="161"/>
  <c r="N96" i="161"/>
  <c r="M96" i="161"/>
  <c r="L96" i="161"/>
  <c r="K96" i="161"/>
  <c r="H96" i="161"/>
  <c r="P95" i="161"/>
  <c r="N95" i="161"/>
  <c r="M95" i="161"/>
  <c r="L95" i="161"/>
  <c r="K95" i="161"/>
  <c r="H95" i="161"/>
  <c r="P94" i="161"/>
  <c r="N94" i="161"/>
  <c r="M94" i="161"/>
  <c r="L94" i="161"/>
  <c r="K94" i="161"/>
  <c r="H94" i="161"/>
  <c r="P93" i="161"/>
  <c r="N93" i="161"/>
  <c r="M93" i="161"/>
  <c r="L93" i="161"/>
  <c r="K93" i="161"/>
  <c r="H93" i="161"/>
  <c r="P92" i="161"/>
  <c r="N92" i="161"/>
  <c r="M92" i="161"/>
  <c r="L92" i="161"/>
  <c r="K92" i="161"/>
  <c r="H92" i="161"/>
  <c r="P91" i="161"/>
  <c r="N91" i="161"/>
  <c r="M91" i="161"/>
  <c r="L91" i="161"/>
  <c r="K91" i="161"/>
  <c r="H91" i="161"/>
  <c r="P90" i="161"/>
  <c r="N90" i="161"/>
  <c r="M90" i="161"/>
  <c r="L90" i="161"/>
  <c r="K90" i="161"/>
  <c r="H90" i="161"/>
  <c r="P89" i="161"/>
  <c r="N89" i="161"/>
  <c r="M89" i="161"/>
  <c r="L89" i="161"/>
  <c r="K89" i="161"/>
  <c r="H89" i="161"/>
  <c r="P88" i="161"/>
  <c r="N88" i="161"/>
  <c r="M88" i="161"/>
  <c r="L88" i="161"/>
  <c r="K88" i="161"/>
  <c r="H88" i="161"/>
  <c r="P87" i="161"/>
  <c r="N87" i="161"/>
  <c r="M87" i="161"/>
  <c r="L87" i="161"/>
  <c r="K87" i="161"/>
  <c r="H87" i="161"/>
  <c r="P86" i="161"/>
  <c r="N86" i="161"/>
  <c r="M86" i="161"/>
  <c r="L86" i="161"/>
  <c r="K86" i="161"/>
  <c r="H86" i="161"/>
  <c r="P85" i="161"/>
  <c r="N85" i="161"/>
  <c r="M85" i="161"/>
  <c r="L85" i="161"/>
  <c r="K85" i="161"/>
  <c r="H85" i="161"/>
  <c r="P84" i="161"/>
  <c r="N84" i="161"/>
  <c r="M84" i="161"/>
  <c r="L84" i="161"/>
  <c r="K84" i="161"/>
  <c r="H84" i="161"/>
  <c r="P83" i="161"/>
  <c r="N83" i="161"/>
  <c r="M83" i="161"/>
  <c r="L83" i="161"/>
  <c r="K83" i="161"/>
  <c r="H83" i="161"/>
  <c r="P82" i="161"/>
  <c r="N82" i="161"/>
  <c r="M82" i="161"/>
  <c r="L82" i="161"/>
  <c r="K82" i="161"/>
  <c r="H82" i="161"/>
  <c r="P81" i="161"/>
  <c r="N81" i="161"/>
  <c r="M81" i="161"/>
  <c r="L81" i="161"/>
  <c r="K81" i="161"/>
  <c r="H81" i="161"/>
  <c r="P80" i="161"/>
  <c r="N80" i="161"/>
  <c r="M80" i="161"/>
  <c r="L80" i="161"/>
  <c r="K80" i="161"/>
  <c r="H80" i="161"/>
  <c r="P79" i="161"/>
  <c r="N79" i="161"/>
  <c r="M79" i="161"/>
  <c r="L79" i="161"/>
  <c r="K79" i="161"/>
  <c r="H79" i="161"/>
  <c r="P78" i="161"/>
  <c r="N78" i="161"/>
  <c r="M78" i="161"/>
  <c r="L78" i="161"/>
  <c r="K78" i="161"/>
  <c r="H78" i="161"/>
  <c r="P77" i="161"/>
  <c r="N77" i="161"/>
  <c r="M77" i="161"/>
  <c r="L77" i="161"/>
  <c r="K77" i="161"/>
  <c r="H77" i="161"/>
  <c r="P76" i="161"/>
  <c r="N76" i="161"/>
  <c r="M76" i="161"/>
  <c r="L76" i="161"/>
  <c r="K76" i="161"/>
  <c r="H76" i="161"/>
  <c r="P75" i="161"/>
  <c r="N75" i="161"/>
  <c r="M75" i="161"/>
  <c r="L75" i="161"/>
  <c r="K75" i="161"/>
  <c r="H75" i="161"/>
  <c r="P74" i="161"/>
  <c r="N74" i="161"/>
  <c r="M74" i="161"/>
  <c r="L74" i="161"/>
  <c r="K74" i="161"/>
  <c r="H74" i="161"/>
  <c r="P73" i="161"/>
  <c r="N73" i="161"/>
  <c r="M73" i="161"/>
  <c r="L73" i="161"/>
  <c r="K73" i="161"/>
  <c r="H73" i="161"/>
  <c r="P72" i="161"/>
  <c r="N72" i="161"/>
  <c r="M72" i="161"/>
  <c r="L72" i="161"/>
  <c r="K72" i="161"/>
  <c r="H72" i="161"/>
  <c r="P71" i="161"/>
  <c r="N71" i="161"/>
  <c r="M71" i="161"/>
  <c r="L71" i="161"/>
  <c r="K71" i="161"/>
  <c r="H71" i="161"/>
  <c r="P70" i="161"/>
  <c r="N70" i="161"/>
  <c r="M70" i="161"/>
  <c r="L70" i="161"/>
  <c r="K70" i="161"/>
  <c r="H70" i="161"/>
  <c r="P69" i="161"/>
  <c r="N69" i="161"/>
  <c r="M69" i="161"/>
  <c r="L69" i="161"/>
  <c r="K69" i="161"/>
  <c r="H69" i="161"/>
  <c r="P68" i="161"/>
  <c r="N68" i="161"/>
  <c r="M68" i="161"/>
  <c r="L68" i="161"/>
  <c r="K68" i="161"/>
  <c r="H68" i="161"/>
  <c r="P67" i="161"/>
  <c r="N67" i="161"/>
  <c r="M67" i="161"/>
  <c r="L67" i="161"/>
  <c r="K67" i="161"/>
  <c r="H67" i="161"/>
  <c r="P66" i="161"/>
  <c r="N66" i="161"/>
  <c r="M66" i="161"/>
  <c r="L66" i="161"/>
  <c r="K66" i="161"/>
  <c r="H66" i="161"/>
  <c r="P65" i="161"/>
  <c r="N65" i="161"/>
  <c r="M65" i="161"/>
  <c r="L65" i="161"/>
  <c r="K65" i="161"/>
  <c r="H65" i="161"/>
  <c r="P64" i="161"/>
  <c r="N64" i="161"/>
  <c r="M64" i="161"/>
  <c r="L64" i="161"/>
  <c r="K64" i="161"/>
  <c r="H64" i="161"/>
  <c r="P63" i="161"/>
  <c r="N63" i="161"/>
  <c r="M63" i="161"/>
  <c r="L63" i="161"/>
  <c r="K63" i="161"/>
  <c r="H63" i="161"/>
  <c r="P62" i="161"/>
  <c r="N62" i="161"/>
  <c r="M62" i="161"/>
  <c r="L62" i="161"/>
  <c r="K62" i="161"/>
  <c r="H62" i="161"/>
  <c r="P61" i="161"/>
  <c r="N61" i="161"/>
  <c r="M61" i="161"/>
  <c r="L61" i="161"/>
  <c r="K61" i="161"/>
  <c r="H61" i="161"/>
  <c r="P60" i="161"/>
  <c r="N60" i="161"/>
  <c r="M60" i="161"/>
  <c r="L60" i="161"/>
  <c r="K60" i="161"/>
  <c r="H60" i="161"/>
  <c r="P59" i="161"/>
  <c r="N59" i="161"/>
  <c r="M59" i="161"/>
  <c r="L59" i="161"/>
  <c r="K59" i="161"/>
  <c r="H59" i="161"/>
  <c r="P58" i="161"/>
  <c r="N58" i="161"/>
  <c r="M58" i="161"/>
  <c r="L58" i="161"/>
  <c r="K58" i="161"/>
  <c r="H58" i="161"/>
  <c r="P57" i="161"/>
  <c r="N57" i="161"/>
  <c r="M57" i="161"/>
  <c r="L57" i="161"/>
  <c r="K57" i="161"/>
  <c r="H57" i="161"/>
  <c r="P56" i="161"/>
  <c r="N56" i="161"/>
  <c r="M56" i="161"/>
  <c r="L56" i="161"/>
  <c r="K56" i="161"/>
  <c r="H56" i="161"/>
  <c r="P55" i="161"/>
  <c r="N55" i="161"/>
  <c r="M55" i="161"/>
  <c r="L55" i="161"/>
  <c r="K55" i="161"/>
  <c r="H55" i="161"/>
  <c r="P54" i="161"/>
  <c r="N54" i="161"/>
  <c r="M54" i="161"/>
  <c r="L54" i="161"/>
  <c r="K54" i="161"/>
  <c r="H54" i="161"/>
  <c r="P53" i="161"/>
  <c r="N53" i="161"/>
  <c r="M53" i="161"/>
  <c r="L53" i="161"/>
  <c r="K53" i="161"/>
  <c r="H53" i="161"/>
  <c r="P52" i="161"/>
  <c r="N52" i="161"/>
  <c r="M52" i="161"/>
  <c r="L52" i="161"/>
  <c r="K52" i="161"/>
  <c r="H52" i="161"/>
  <c r="P51" i="161"/>
  <c r="N51" i="161"/>
  <c r="M51" i="161"/>
  <c r="L51" i="161"/>
  <c r="K51" i="161"/>
  <c r="H51" i="161"/>
  <c r="P50" i="161"/>
  <c r="N50" i="161"/>
  <c r="M50" i="161"/>
  <c r="L50" i="161"/>
  <c r="K50" i="161"/>
  <c r="H50" i="161"/>
  <c r="P49" i="161"/>
  <c r="N49" i="161"/>
  <c r="M49" i="161"/>
  <c r="L49" i="161"/>
  <c r="K49" i="161"/>
  <c r="H49" i="161"/>
  <c r="P48" i="161"/>
  <c r="N48" i="161"/>
  <c r="M48" i="161"/>
  <c r="L48" i="161"/>
  <c r="K48" i="161"/>
  <c r="H48" i="161"/>
  <c r="P47" i="161"/>
  <c r="N47" i="161"/>
  <c r="M47" i="161"/>
  <c r="L47" i="161"/>
  <c r="K47" i="161"/>
  <c r="H47" i="161"/>
  <c r="P46" i="161"/>
  <c r="N46" i="161"/>
  <c r="M46" i="161"/>
  <c r="L46" i="161"/>
  <c r="K46" i="161"/>
  <c r="H46" i="161"/>
  <c r="P45" i="161"/>
  <c r="N45" i="161"/>
  <c r="M45" i="161"/>
  <c r="L45" i="161"/>
  <c r="K45" i="161"/>
  <c r="H45" i="161"/>
  <c r="P44" i="161"/>
  <c r="N44" i="161"/>
  <c r="M44" i="161"/>
  <c r="L44" i="161"/>
  <c r="K44" i="161"/>
  <c r="H44" i="161"/>
  <c r="P43" i="161"/>
  <c r="N43" i="161"/>
  <c r="M43" i="161"/>
  <c r="L43" i="161"/>
  <c r="K43" i="161"/>
  <c r="H43" i="161"/>
  <c r="P42" i="161"/>
  <c r="N42" i="161"/>
  <c r="M42" i="161"/>
  <c r="L42" i="161"/>
  <c r="K42" i="161"/>
  <c r="H42" i="161"/>
  <c r="P41" i="161"/>
  <c r="N41" i="161"/>
  <c r="M41" i="161"/>
  <c r="L41" i="161"/>
  <c r="K41" i="161"/>
  <c r="H41" i="161"/>
  <c r="P40" i="161"/>
  <c r="N40" i="161"/>
  <c r="M40" i="161"/>
  <c r="L40" i="161"/>
  <c r="K40" i="161"/>
  <c r="H40" i="161"/>
  <c r="P39" i="161"/>
  <c r="N39" i="161"/>
  <c r="M39" i="161"/>
  <c r="L39" i="161"/>
  <c r="K39" i="161"/>
  <c r="H39" i="161"/>
  <c r="P38" i="161"/>
  <c r="N38" i="161"/>
  <c r="M38" i="161"/>
  <c r="L38" i="161"/>
  <c r="K38" i="161"/>
  <c r="H38" i="161"/>
  <c r="P37" i="161"/>
  <c r="N37" i="161"/>
  <c r="M37" i="161"/>
  <c r="L37" i="161"/>
  <c r="K37" i="161"/>
  <c r="H37" i="161"/>
  <c r="P36" i="161"/>
  <c r="N36" i="161"/>
  <c r="M36" i="161"/>
  <c r="L36" i="161"/>
  <c r="K36" i="161"/>
  <c r="H36" i="161"/>
  <c r="P35" i="161"/>
  <c r="N35" i="161"/>
  <c r="M35" i="161"/>
  <c r="L35" i="161"/>
  <c r="K35" i="161"/>
  <c r="H35" i="161"/>
  <c r="P34" i="161"/>
  <c r="N34" i="161"/>
  <c r="M34" i="161"/>
  <c r="L34" i="161"/>
  <c r="K34" i="161"/>
  <c r="H34" i="161"/>
  <c r="P33" i="161"/>
  <c r="N33" i="161"/>
  <c r="M33" i="161"/>
  <c r="L33" i="161"/>
  <c r="K33" i="161"/>
  <c r="H33" i="161"/>
  <c r="P32" i="161"/>
  <c r="N32" i="161"/>
  <c r="M32" i="161"/>
  <c r="L32" i="161"/>
  <c r="K32" i="161"/>
  <c r="H32" i="161"/>
  <c r="P31" i="161"/>
  <c r="N31" i="161"/>
  <c r="M31" i="161"/>
  <c r="L31" i="161"/>
  <c r="K31" i="161"/>
  <c r="H31" i="161"/>
  <c r="P30" i="161"/>
  <c r="N30" i="161"/>
  <c r="M30" i="161"/>
  <c r="L30" i="161"/>
  <c r="K30" i="161"/>
  <c r="H30" i="161"/>
  <c r="P29" i="161"/>
  <c r="N29" i="161"/>
  <c r="M29" i="161"/>
  <c r="L29" i="161"/>
  <c r="K29" i="161"/>
  <c r="H29" i="161"/>
  <c r="P28" i="161"/>
  <c r="N28" i="161"/>
  <c r="M28" i="161"/>
  <c r="L28" i="161"/>
  <c r="K28" i="161"/>
  <c r="H28" i="161"/>
  <c r="P27" i="161"/>
  <c r="N27" i="161"/>
  <c r="M27" i="161"/>
  <c r="L27" i="161"/>
  <c r="K27" i="161"/>
  <c r="H27" i="161"/>
  <c r="P26" i="161"/>
  <c r="N26" i="161"/>
  <c r="M26" i="161"/>
  <c r="L26" i="161"/>
  <c r="K26" i="161"/>
  <c r="H26" i="161"/>
  <c r="P25" i="161"/>
  <c r="N25" i="161"/>
  <c r="M25" i="161"/>
  <c r="L25" i="161"/>
  <c r="K25" i="161"/>
  <c r="H25" i="161"/>
  <c r="P24" i="161"/>
  <c r="N24" i="161"/>
  <c r="M24" i="161"/>
  <c r="L24" i="161"/>
  <c r="K24" i="161"/>
  <c r="H24" i="161"/>
  <c r="P23" i="161"/>
  <c r="N23" i="161"/>
  <c r="M23" i="161"/>
  <c r="L23" i="161"/>
  <c r="K23" i="161"/>
  <c r="H23" i="161"/>
  <c r="P22" i="161"/>
  <c r="N22" i="161"/>
  <c r="M22" i="161"/>
  <c r="L22" i="161"/>
  <c r="K22" i="161"/>
  <c r="H22" i="161"/>
  <c r="P21" i="161"/>
  <c r="N21" i="161"/>
  <c r="M21" i="161"/>
  <c r="L21" i="161"/>
  <c r="K21" i="161"/>
  <c r="H21" i="161"/>
  <c r="P20" i="161"/>
  <c r="N20" i="161"/>
  <c r="M20" i="161"/>
  <c r="L20" i="161"/>
  <c r="K20" i="161"/>
  <c r="H20" i="161"/>
  <c r="P19" i="161"/>
  <c r="N19" i="161"/>
  <c r="M19" i="161"/>
  <c r="L19" i="161"/>
  <c r="K19" i="161"/>
  <c r="H19" i="161"/>
  <c r="P18" i="161"/>
  <c r="N18" i="161"/>
  <c r="M18" i="161"/>
  <c r="L18" i="161"/>
  <c r="K18" i="161"/>
  <c r="H18" i="161"/>
  <c r="P17" i="161"/>
  <c r="N17" i="161"/>
  <c r="M17" i="161"/>
  <c r="L17" i="161"/>
  <c r="K17" i="161"/>
  <c r="H17" i="161"/>
  <c r="P16" i="161"/>
  <c r="N16" i="161"/>
  <c r="M16" i="161"/>
  <c r="L16" i="161"/>
  <c r="K16" i="161"/>
  <c r="H16" i="161"/>
  <c r="P15" i="161"/>
  <c r="N15" i="161"/>
  <c r="M15" i="161"/>
  <c r="L15" i="161"/>
  <c r="K15" i="161"/>
  <c r="H15" i="161"/>
  <c r="P14" i="161"/>
  <c r="N14" i="161"/>
  <c r="M14" i="161"/>
  <c r="L14" i="161"/>
  <c r="K14" i="161"/>
  <c r="H14" i="161"/>
  <c r="P13" i="161"/>
  <c r="N13" i="161"/>
  <c r="M13" i="161"/>
  <c r="L13" i="161"/>
  <c r="K13" i="161"/>
  <c r="H13" i="161"/>
  <c r="P12" i="161"/>
  <c r="N12" i="161"/>
  <c r="M12" i="161"/>
  <c r="L12" i="161"/>
  <c r="K12" i="161"/>
  <c r="H12" i="161"/>
  <c r="P11" i="161"/>
  <c r="N11" i="161"/>
  <c r="M11" i="161"/>
  <c r="L11" i="161"/>
  <c r="K11" i="161"/>
  <c r="H11" i="161"/>
  <c r="P10" i="161"/>
  <c r="N10" i="161"/>
  <c r="M10" i="161"/>
  <c r="L10" i="161"/>
  <c r="K10" i="161"/>
  <c r="H10" i="161"/>
  <c r="P9" i="161"/>
  <c r="N9" i="161"/>
  <c r="M9" i="161"/>
  <c r="L9" i="161"/>
  <c r="K9" i="161"/>
  <c r="H9" i="161"/>
  <c r="P8" i="161"/>
  <c r="N8" i="161"/>
  <c r="M8" i="161"/>
  <c r="L8" i="161"/>
  <c r="K8" i="161"/>
  <c r="H8" i="161"/>
  <c r="P7" i="161"/>
  <c r="N7" i="161"/>
  <c r="M7" i="161"/>
  <c r="L7" i="161"/>
  <c r="K7" i="161"/>
  <c r="H7" i="161"/>
  <c r="P6" i="161"/>
  <c r="N6" i="161"/>
  <c r="M6" i="161"/>
  <c r="L6" i="161"/>
  <c r="K6" i="161"/>
  <c r="H6" i="161"/>
  <c r="P5" i="161"/>
  <c r="N5" i="161"/>
  <c r="M5" i="161"/>
  <c r="L5" i="161"/>
  <c r="K5" i="161"/>
  <c r="H5" i="161"/>
  <c r="P4" i="161"/>
  <c r="N4" i="161"/>
  <c r="M4" i="161"/>
  <c r="L4" i="161"/>
  <c r="K4" i="161"/>
  <c r="H4" i="161"/>
  <c r="P3" i="161"/>
  <c r="N3" i="161"/>
  <c r="M3" i="161"/>
  <c r="L3" i="161"/>
  <c r="K3" i="161"/>
  <c r="H3" i="161"/>
  <c r="A2" i="153"/>
  <c r="P2" i="161"/>
  <c r="N2" i="161"/>
  <c r="M2" i="161"/>
  <c r="L2" i="161"/>
  <c r="K2" i="161"/>
  <c r="H2" i="161"/>
  <c r="A350" i="161"/>
  <c r="A349" i="161"/>
  <c r="A348" i="161"/>
  <c r="A347" i="161"/>
  <c r="A346" i="161"/>
  <c r="A345" i="161"/>
  <c r="A344" i="161"/>
  <c r="A343" i="161"/>
  <c r="A342" i="161"/>
  <c r="A341" i="161"/>
  <c r="A340" i="161"/>
  <c r="A339" i="161"/>
  <c r="A338" i="161"/>
  <c r="A337" i="161"/>
  <c r="A336" i="161"/>
  <c r="A335" i="161"/>
  <c r="A334" i="161"/>
  <c r="A333" i="161"/>
  <c r="A332" i="161"/>
  <c r="A331" i="161"/>
  <c r="A330" i="161"/>
  <c r="A329" i="161"/>
  <c r="A328" i="161"/>
  <c r="A327" i="161"/>
  <c r="A326" i="161"/>
  <c r="A325" i="161"/>
  <c r="A324" i="161"/>
  <c r="A323" i="161"/>
  <c r="A322" i="161"/>
  <c r="A321" i="161"/>
  <c r="A320" i="161"/>
  <c r="A319" i="161"/>
  <c r="A318" i="161"/>
  <c r="A317" i="161"/>
  <c r="A316" i="161"/>
  <c r="A315" i="161"/>
  <c r="A314" i="161"/>
  <c r="A313" i="161"/>
  <c r="A312" i="161"/>
  <c r="A311" i="161"/>
  <c r="A310" i="161"/>
  <c r="A309" i="161"/>
  <c r="A308" i="161"/>
  <c r="A307" i="161"/>
  <c r="A306" i="161"/>
  <c r="A305" i="161"/>
  <c r="A304" i="161"/>
  <c r="A303" i="161"/>
  <c r="A302" i="161"/>
  <c r="A301" i="161"/>
  <c r="A300" i="161"/>
  <c r="A299" i="161"/>
  <c r="A298" i="161"/>
  <c r="A297" i="161"/>
  <c r="A296" i="161"/>
  <c r="A295" i="161"/>
  <c r="A294" i="161"/>
  <c r="A293" i="161"/>
  <c r="A292" i="161"/>
  <c r="A291" i="161"/>
  <c r="A290" i="161"/>
  <c r="A289" i="161"/>
  <c r="A288" i="161"/>
  <c r="A287" i="161"/>
  <c r="A286" i="161"/>
  <c r="A285" i="161"/>
  <c r="A284" i="161"/>
  <c r="A283" i="161"/>
  <c r="A282" i="161"/>
  <c r="A281" i="161"/>
  <c r="A280" i="161"/>
  <c r="A279" i="161"/>
  <c r="A278" i="161"/>
  <c r="A277" i="161"/>
  <c r="A276" i="161"/>
  <c r="A275" i="161"/>
  <c r="A274" i="161"/>
  <c r="A273" i="161"/>
  <c r="A272" i="161"/>
  <c r="A271" i="161"/>
  <c r="A270" i="161"/>
  <c r="A269" i="161"/>
  <c r="A268" i="161"/>
  <c r="A267" i="161"/>
  <c r="A266" i="161"/>
  <c r="A265" i="161"/>
  <c r="A264" i="161"/>
  <c r="A263" i="161"/>
  <c r="A262" i="161"/>
  <c r="A261" i="161"/>
  <c r="A260" i="161"/>
  <c r="A259" i="161"/>
  <c r="A258" i="161"/>
  <c r="A257" i="161"/>
  <c r="A256" i="161"/>
  <c r="A255" i="161"/>
  <c r="A254" i="161"/>
  <c r="A253" i="161"/>
  <c r="A252" i="161"/>
  <c r="A251" i="161"/>
  <c r="A250" i="161"/>
  <c r="A249" i="161"/>
  <c r="A248" i="161"/>
  <c r="A247" i="161"/>
  <c r="A246" i="161"/>
  <c r="A245" i="161"/>
  <c r="A244" i="161"/>
  <c r="A243" i="161"/>
  <c r="A242" i="161"/>
  <c r="A241" i="161"/>
  <c r="A240" i="161"/>
  <c r="A239" i="161"/>
  <c r="A238" i="161"/>
  <c r="A237" i="161"/>
  <c r="A236" i="161"/>
  <c r="A235" i="161"/>
  <c r="A234" i="161"/>
  <c r="A233" i="161"/>
  <c r="A232" i="161"/>
  <c r="A231" i="161"/>
  <c r="A230" i="161"/>
  <c r="A229" i="161"/>
  <c r="A228" i="161"/>
  <c r="A227" i="161"/>
  <c r="A226" i="161"/>
  <c r="A225" i="161"/>
  <c r="A224" i="161"/>
  <c r="A223" i="161"/>
  <c r="A222" i="161"/>
  <c r="A221" i="161"/>
  <c r="A220" i="161"/>
  <c r="A219" i="161"/>
  <c r="A218" i="161"/>
  <c r="A217" i="161"/>
  <c r="A216" i="161"/>
  <c r="A215" i="161"/>
  <c r="A214" i="161"/>
  <c r="A213" i="161"/>
  <c r="A212" i="161"/>
  <c r="A211" i="161"/>
  <c r="A210" i="161"/>
  <c r="A209" i="161"/>
  <c r="A208" i="161"/>
  <c r="A207" i="161"/>
  <c r="A206" i="161"/>
  <c r="A205" i="161"/>
  <c r="A204" i="161"/>
  <c r="A203" i="161"/>
  <c r="A202" i="161"/>
  <c r="A201" i="161"/>
  <c r="A200" i="161"/>
  <c r="A199" i="161"/>
  <c r="A198" i="161"/>
  <c r="A197" i="161"/>
  <c r="A196" i="161"/>
  <c r="A195" i="161"/>
  <c r="A194" i="161"/>
  <c r="A193" i="161"/>
  <c r="A192" i="161"/>
  <c r="A191" i="161"/>
  <c r="A190" i="161"/>
  <c r="A189" i="161"/>
  <c r="A188" i="161"/>
  <c r="A187" i="161"/>
  <c r="A186" i="161"/>
  <c r="A185" i="161"/>
  <c r="A184" i="161"/>
  <c r="A183" i="161"/>
  <c r="A182" i="161"/>
  <c r="A181" i="161"/>
  <c r="A180" i="161"/>
  <c r="A179" i="161"/>
  <c r="A178" i="161"/>
  <c r="A177" i="161"/>
  <c r="A176" i="161"/>
  <c r="A175" i="161"/>
  <c r="A174" i="161"/>
  <c r="A173" i="161"/>
  <c r="A172" i="161"/>
  <c r="A171" i="161"/>
  <c r="A170" i="161"/>
  <c r="A169" i="161"/>
  <c r="A168" i="161"/>
  <c r="A167" i="161"/>
  <c r="A166" i="161"/>
  <c r="A165" i="161"/>
  <c r="A164" i="161"/>
  <c r="A163" i="161"/>
  <c r="A162" i="161"/>
  <c r="A161" i="161"/>
  <c r="A160" i="161"/>
  <c r="A159" i="161"/>
  <c r="A158" i="161"/>
  <c r="A157" i="161"/>
  <c r="A156" i="161"/>
  <c r="A155" i="161"/>
  <c r="A154" i="161"/>
  <c r="A153" i="161"/>
  <c r="A152" i="161"/>
  <c r="A151" i="161"/>
  <c r="A150" i="161"/>
  <c r="A149" i="161"/>
  <c r="A148" i="161"/>
  <c r="A147" i="161"/>
  <c r="A146" i="161"/>
  <c r="A145" i="161"/>
  <c r="A144" i="161"/>
  <c r="A143" i="161"/>
  <c r="A142" i="161"/>
  <c r="A141" i="161"/>
  <c r="A140" i="161"/>
  <c r="A139" i="161"/>
  <c r="A138" i="161"/>
  <c r="A137" i="161"/>
  <c r="A136" i="161"/>
  <c r="A135" i="161"/>
  <c r="A134" i="161"/>
  <c r="A133" i="161"/>
  <c r="A132" i="161"/>
  <c r="A131" i="161"/>
  <c r="A130" i="161"/>
  <c r="A129" i="161"/>
  <c r="A128" i="161"/>
  <c r="A127" i="161"/>
  <c r="A126" i="161"/>
  <c r="A125" i="161"/>
  <c r="A124" i="161"/>
  <c r="A123" i="161"/>
  <c r="A122" i="161"/>
  <c r="A121" i="161"/>
  <c r="A120" i="161"/>
  <c r="A119" i="161"/>
  <c r="A118" i="161"/>
  <c r="A117" i="161"/>
  <c r="A116" i="161"/>
  <c r="A115" i="161"/>
  <c r="A114" i="161"/>
  <c r="A113" i="161"/>
  <c r="A112" i="161"/>
  <c r="A111" i="161"/>
  <c r="A110" i="161"/>
  <c r="A109" i="161"/>
  <c r="A108" i="161"/>
  <c r="A107" i="161"/>
  <c r="A106" i="161"/>
  <c r="A105" i="161"/>
  <c r="A104" i="161"/>
  <c r="A103" i="161"/>
  <c r="A102" i="161"/>
  <c r="A101" i="161"/>
  <c r="A100" i="161"/>
  <c r="A99" i="161"/>
  <c r="A98" i="161"/>
  <c r="A97" i="161"/>
  <c r="A96" i="161"/>
  <c r="A95" i="161"/>
  <c r="A94" i="161"/>
  <c r="A93" i="161"/>
  <c r="A92" i="161"/>
  <c r="A91" i="161"/>
  <c r="A90" i="161"/>
  <c r="A89" i="161"/>
  <c r="A88" i="161"/>
  <c r="A87" i="161"/>
  <c r="A86" i="161"/>
  <c r="A85" i="161"/>
  <c r="A84" i="161"/>
  <c r="A83" i="161"/>
  <c r="A82" i="161"/>
  <c r="A81" i="161"/>
  <c r="A80" i="161"/>
  <c r="A79" i="161"/>
  <c r="A78" i="161"/>
  <c r="A77" i="161"/>
  <c r="A76" i="161"/>
  <c r="A75" i="161"/>
  <c r="A74" i="161"/>
  <c r="A73" i="161"/>
  <c r="A72" i="161"/>
  <c r="A71" i="161"/>
  <c r="A70" i="161"/>
  <c r="A69" i="161"/>
  <c r="A68" i="161"/>
  <c r="A67" i="161"/>
  <c r="A66" i="161"/>
  <c r="A65" i="161"/>
  <c r="A64" i="161"/>
  <c r="A63" i="161"/>
  <c r="A62" i="161"/>
  <c r="A61" i="161"/>
  <c r="A60" i="161"/>
  <c r="A59" i="161"/>
  <c r="A58" i="161"/>
  <c r="A57" i="161"/>
  <c r="A56" i="161"/>
  <c r="A55" i="161"/>
  <c r="A54" i="161"/>
  <c r="A53" i="161"/>
  <c r="A52" i="161"/>
  <c r="A51" i="161"/>
  <c r="A50" i="161"/>
  <c r="A49" i="161"/>
  <c r="A48" i="161"/>
  <c r="A47" i="161"/>
  <c r="A46" i="161"/>
  <c r="A45" i="161"/>
  <c r="A44" i="161"/>
  <c r="A43" i="161"/>
  <c r="A42" i="161"/>
  <c r="A41" i="161"/>
  <c r="A40" i="161"/>
  <c r="A39" i="161"/>
  <c r="A38" i="161"/>
  <c r="A37" i="161"/>
  <c r="A36" i="161"/>
  <c r="A35" i="161"/>
  <c r="A34" i="161"/>
  <c r="A33" i="161"/>
  <c r="A32" i="161"/>
  <c r="A31" i="161"/>
  <c r="A30" i="161"/>
  <c r="A29" i="161"/>
  <c r="A28" i="161"/>
  <c r="A27" i="161"/>
  <c r="A26" i="161"/>
  <c r="A25" i="161"/>
  <c r="A24" i="161"/>
  <c r="A23" i="161"/>
  <c r="A22" i="161"/>
  <c r="A21" i="161"/>
  <c r="A20" i="161"/>
  <c r="A19" i="161"/>
  <c r="A18" i="161"/>
  <c r="A17" i="161"/>
  <c r="A16" i="161"/>
  <c r="A15" i="161"/>
  <c r="A14" i="161"/>
  <c r="A13" i="161"/>
  <c r="A12" i="161"/>
  <c r="A11" i="161"/>
  <c r="A10" i="161"/>
  <c r="A9" i="161"/>
  <c r="A8" i="161"/>
  <c r="A7" i="161"/>
  <c r="A6" i="161"/>
  <c r="A5" i="161"/>
  <c r="A4" i="161"/>
  <c r="A3" i="161"/>
  <c r="A2" i="161"/>
  <c r="B31" i="160"/>
  <c r="B33" i="160"/>
  <c r="B34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C33" i="160"/>
  <c r="C34" i="160"/>
  <c r="D34" i="160"/>
  <c r="G33" i="160"/>
  <c r="H33" i="160"/>
  <c r="I33" i="160"/>
  <c r="J33" i="160"/>
  <c r="F33" i="160"/>
  <c r="D33" i="160"/>
  <c r="G32" i="160"/>
  <c r="H32" i="160"/>
  <c r="I32" i="160"/>
  <c r="J32" i="160"/>
  <c r="F32" i="160"/>
  <c r="D32" i="160"/>
  <c r="G31" i="160"/>
  <c r="H31" i="160"/>
  <c r="I31" i="160"/>
  <c r="J31" i="160"/>
  <c r="F31" i="160"/>
  <c r="D31" i="160"/>
  <c r="I30" i="160"/>
  <c r="J30" i="160"/>
  <c r="F30" i="160"/>
  <c r="D30" i="160"/>
  <c r="G29" i="160"/>
  <c r="H29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I20" i="160"/>
  <c r="J20" i="160"/>
  <c r="F20" i="160"/>
  <c r="D20" i="160"/>
  <c r="I19" i="160"/>
  <c r="J19" i="160"/>
  <c r="F19" i="160"/>
  <c r="D19" i="160"/>
  <c r="I18" i="160"/>
  <c r="J18" i="160"/>
  <c r="F18" i="160"/>
  <c r="C18" i="160"/>
  <c r="D18" i="160"/>
  <c r="I17" i="160"/>
  <c r="J17" i="160"/>
  <c r="F17" i="160"/>
  <c r="C17" i="160"/>
  <c r="D17" i="160"/>
  <c r="F5" i="153"/>
  <c r="E5" i="153"/>
  <c r="E33" i="153"/>
  <c r="B33" i="153"/>
  <c r="B31" i="153"/>
  <c r="E30" i="153"/>
  <c r="B30" i="153"/>
  <c r="E29" i="153"/>
  <c r="B29" i="153"/>
  <c r="E28" i="153"/>
  <c r="B28" i="153"/>
  <c r="B6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I350" i="158"/>
  <c r="D350" i="158"/>
  <c r="J350" i="158"/>
  <c r="E350" i="158"/>
  <c r="F350" i="158"/>
  <c r="C350" i="158"/>
  <c r="Q7" i="157"/>
  <c r="I349" i="158"/>
  <c r="D349" i="158"/>
  <c r="J349" i="158"/>
  <c r="E349" i="158"/>
  <c r="F349" i="158"/>
  <c r="C349" i="158"/>
  <c r="Q6" i="157"/>
  <c r="I348" i="158"/>
  <c r="D348" i="158"/>
  <c r="J348" i="158"/>
  <c r="E348" i="158"/>
  <c r="F348" i="158"/>
  <c r="C348" i="158"/>
  <c r="Q5" i="157"/>
  <c r="I347" i="158"/>
  <c r="D347" i="158"/>
  <c r="J347" i="158"/>
  <c r="E347" i="158"/>
  <c r="F347" i="158"/>
  <c r="C347" i="158"/>
  <c r="Q4" i="157"/>
  <c r="M7" i="157"/>
  <c r="M6" i="157"/>
  <c r="M5" i="157"/>
  <c r="M4" i="157"/>
  <c r="M3" i="157"/>
  <c r="F5" i="157"/>
  <c r="E5" i="157"/>
  <c r="I346" i="158"/>
  <c r="D346" i="158"/>
  <c r="J346" i="158"/>
  <c r="E346" i="158"/>
  <c r="F346" i="158"/>
  <c r="C346" i="158"/>
  <c r="Q3" i="157"/>
  <c r="Q8" i="157"/>
  <c r="Q9" i="157"/>
  <c r="Q10" i="157"/>
  <c r="Q11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Q12" i="157"/>
  <c r="Q13" i="157"/>
  <c r="Q14" i="157"/>
  <c r="Q15" i="157"/>
  <c r="Q16" i="157"/>
  <c r="Q17" i="157"/>
  <c r="Q18" i="157"/>
  <c r="Q19" i="157"/>
  <c r="Q20" i="157"/>
  <c r="E33" i="157"/>
  <c r="B33" i="157"/>
  <c r="E32" i="157"/>
  <c r="B32" i="157"/>
  <c r="E31" i="157"/>
  <c r="B31" i="157"/>
  <c r="E30" i="157"/>
  <c r="B30" i="157"/>
  <c r="E29" i="157"/>
  <c r="B29" i="157"/>
  <c r="E28" i="157"/>
  <c r="B28" i="157"/>
  <c r="E27" i="157"/>
  <c r="B27" i="157"/>
  <c r="F6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19" i="157"/>
  <c r="B19" i="157"/>
  <c r="E20" i="157"/>
  <c r="B20" i="157"/>
  <c r="E18" i="157"/>
  <c r="B18" i="157"/>
  <c r="E17" i="157"/>
  <c r="B17" i="157"/>
  <c r="C29" i="157"/>
  <c r="C30" i="157"/>
  <c r="F29" i="157"/>
  <c r="A38" i="157"/>
  <c r="G29" i="157"/>
  <c r="H29" i="157"/>
  <c r="I29" i="157"/>
  <c r="J29" i="157"/>
  <c r="F30" i="157"/>
  <c r="G30" i="157"/>
  <c r="H30" i="157"/>
  <c r="I30" i="157"/>
  <c r="J30" i="157"/>
  <c r="M8" i="157"/>
  <c r="C17" i="157"/>
  <c r="C18" i="157"/>
  <c r="C19" i="157"/>
  <c r="C20" i="157"/>
  <c r="C21" i="157"/>
  <c r="C22" i="157"/>
  <c r="C23" i="157"/>
  <c r="C24" i="157"/>
  <c r="C25" i="157"/>
  <c r="C26" i="157"/>
  <c r="C27" i="157"/>
  <c r="C28" i="157"/>
  <c r="C31" i="157"/>
  <c r="C32" i="157"/>
  <c r="C33" i="157"/>
  <c r="F31" i="157"/>
  <c r="G31" i="157"/>
  <c r="H31" i="157"/>
  <c r="I31" i="157"/>
  <c r="J31" i="157"/>
  <c r="M9" i="157"/>
  <c r="M10" i="157"/>
  <c r="M11" i="157"/>
  <c r="H347" i="158"/>
  <c r="K347" i="158"/>
  <c r="L347" i="158"/>
  <c r="M347" i="158"/>
  <c r="N347" i="158"/>
  <c r="A2" i="157"/>
  <c r="G33" i="157"/>
  <c r="H33" i="157"/>
  <c r="R4" i="157"/>
  <c r="O347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5" i="157"/>
  <c r="O348" i="158"/>
  <c r="R6" i="157"/>
  <c r="O349" i="158"/>
  <c r="R7" i="157"/>
  <c r="O350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A347" i="158"/>
  <c r="A348" i="158"/>
  <c r="A349" i="158"/>
  <c r="A350" i="158"/>
  <c r="A38" i="153"/>
  <c r="G29" i="153"/>
  <c r="H29" i="153"/>
  <c r="I29" i="153"/>
  <c r="J29" i="153"/>
  <c r="F29" i="153"/>
  <c r="C29" i="153"/>
  <c r="D29" i="153"/>
  <c r="E32" i="153"/>
  <c r="E31" i="153"/>
  <c r="B34" i="153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30" i="153"/>
  <c r="C31" i="153"/>
  <c r="C32" i="153"/>
  <c r="C33" i="153"/>
  <c r="C34" i="153"/>
  <c r="G33" i="153"/>
  <c r="H33" i="153"/>
  <c r="I33" i="153"/>
  <c r="J33" i="153"/>
  <c r="F33" i="153"/>
  <c r="D33" i="153"/>
  <c r="A350" i="154"/>
  <c r="A349" i="154"/>
  <c r="A348" i="154"/>
  <c r="A347" i="154"/>
  <c r="A346" i="154"/>
  <c r="H348" i="154"/>
  <c r="K348" i="154"/>
  <c r="L348" i="154"/>
  <c r="M348" i="154"/>
  <c r="N348" i="154"/>
  <c r="R5" i="153"/>
  <c r="O348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30" i="153"/>
  <c r="H30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R3" i="153"/>
  <c r="O346" i="154"/>
  <c r="R4" i="153"/>
  <c r="O347" i="154"/>
  <c r="R6" i="153"/>
  <c r="O349" i="154"/>
  <c r="R7" i="153"/>
  <c r="O350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C2" i="103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F51" i="160"/>
  <c r="F50" i="160"/>
  <c r="G50" i="160"/>
  <c r="F49" i="160"/>
  <c r="B42" i="160"/>
  <c r="B43" i="160"/>
  <c r="B44" i="160"/>
  <c r="B45" i="160"/>
  <c r="B46" i="160"/>
  <c r="B47" i="160"/>
  <c r="B48" i="160"/>
  <c r="B49" i="160"/>
  <c r="C42" i="160"/>
  <c r="C43" i="160"/>
  <c r="C44" i="160"/>
  <c r="C45" i="160"/>
  <c r="C46" i="160"/>
  <c r="C47" i="160"/>
  <c r="C48" i="160"/>
  <c r="C49" i="160"/>
  <c r="F48" i="160"/>
  <c r="F47" i="160"/>
  <c r="F44" i="160"/>
  <c r="G44" i="160"/>
  <c r="F43" i="160"/>
  <c r="G43" i="160"/>
  <c r="F42" i="160"/>
  <c r="G42" i="160"/>
  <c r="F36" i="160"/>
  <c r="R20" i="160"/>
  <c r="P20" i="160"/>
  <c r="O20" i="160"/>
  <c r="M20" i="160"/>
  <c r="R19" i="160"/>
  <c r="P19" i="160"/>
  <c r="O19" i="160"/>
  <c r="M19" i="160"/>
  <c r="R18" i="160"/>
  <c r="P18" i="160"/>
  <c r="O18" i="160"/>
  <c r="M18" i="160"/>
  <c r="R17" i="160"/>
  <c r="P17" i="160"/>
  <c r="O17" i="160"/>
  <c r="M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P7" i="160"/>
  <c r="O7" i="160"/>
  <c r="M7" i="160"/>
  <c r="V6" i="160"/>
  <c r="P6" i="160"/>
  <c r="O6" i="160"/>
  <c r="M6" i="160"/>
  <c r="V5" i="160"/>
  <c r="P5" i="160"/>
  <c r="O5" i="160"/>
  <c r="M5" i="160"/>
  <c r="V4" i="160"/>
  <c r="P4" i="160"/>
  <c r="O4" i="160"/>
  <c r="M4" i="160"/>
  <c r="V3" i="160"/>
  <c r="P3" i="160"/>
  <c r="O3" i="160"/>
  <c r="M3" i="160"/>
  <c r="V2" i="160"/>
  <c r="H341" i="154"/>
  <c r="K341" i="154"/>
  <c r="L341" i="154"/>
  <c r="M341" i="154"/>
  <c r="N341" i="154"/>
  <c r="G32" i="153"/>
  <c r="H32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50" i="153"/>
  <c r="F51" i="153"/>
  <c r="G50" i="153"/>
  <c r="F43" i="153"/>
  <c r="G43" i="153"/>
  <c r="F36" i="153"/>
  <c r="F50" i="157"/>
  <c r="F51" i="157"/>
  <c r="G50" i="157"/>
  <c r="H347" i="154"/>
  <c r="K347" i="154"/>
  <c r="L347" i="154"/>
  <c r="M347" i="154"/>
  <c r="N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3" i="157"/>
  <c r="G43" i="157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4" i="153"/>
  <c r="G44" i="153"/>
  <c r="F44" i="157"/>
  <c r="G44" i="157"/>
  <c r="C34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G32" i="157"/>
  <c r="H32" i="157"/>
  <c r="F49" i="157"/>
  <c r="B42" i="157"/>
  <c r="B43" i="157"/>
  <c r="B44" i="157"/>
  <c r="B45" i="157"/>
  <c r="B46" i="157"/>
  <c r="B47" i="157"/>
  <c r="B48" i="157"/>
  <c r="B49" i="157"/>
  <c r="C42" i="157"/>
  <c r="C43" i="157"/>
  <c r="C44" i="157"/>
  <c r="C45" i="157"/>
  <c r="C46" i="157"/>
  <c r="C47" i="157"/>
  <c r="C48" i="157"/>
  <c r="C49" i="157"/>
  <c r="F48" i="157"/>
  <c r="F47" i="157"/>
  <c r="F42" i="157"/>
  <c r="G42" i="157"/>
  <c r="B34" i="157"/>
  <c r="D34" i="157"/>
  <c r="I33" i="157"/>
  <c r="J33" i="157"/>
  <c r="F33" i="157"/>
  <c r="D33" i="157"/>
  <c r="I32" i="157"/>
  <c r="J32" i="157"/>
  <c r="F32" i="157"/>
  <c r="D32" i="157"/>
  <c r="D31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D18" i="157"/>
  <c r="R17" i="157"/>
  <c r="P17" i="157"/>
  <c r="O17" i="157"/>
  <c r="M17" i="157"/>
  <c r="I17" i="157"/>
  <c r="J17" i="157"/>
  <c r="F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G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2" i="153"/>
  <c r="B44" i="153"/>
  <c r="B45" i="153"/>
  <c r="B46" i="153"/>
  <c r="B47" i="153"/>
  <c r="B48" i="153"/>
  <c r="F42" i="153"/>
  <c r="G42" i="153"/>
  <c r="I32" i="153"/>
  <c r="J32" i="153"/>
  <c r="F32" i="153"/>
  <c r="D32" i="153"/>
  <c r="I31" i="153"/>
  <c r="J31" i="153"/>
  <c r="F31" i="153"/>
  <c r="D31" i="153"/>
  <c r="I30" i="153"/>
  <c r="J30" i="153"/>
  <c r="F30" i="153"/>
  <c r="D30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D18" i="153"/>
  <c r="R17" i="153"/>
  <c r="P17" i="153"/>
  <c r="O17" i="153"/>
  <c r="M17" i="153"/>
  <c r="I17" i="153"/>
  <c r="J17" i="153"/>
  <c r="F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D34" i="153"/>
  <c r="F47" i="153"/>
  <c r="F48" i="153"/>
  <c r="B43" i="153"/>
  <c r="B49" i="153"/>
  <c r="C42" i="153"/>
  <c r="C43" i="153"/>
  <c r="C44" i="153"/>
  <c r="C45" i="153"/>
  <c r="C46" i="153"/>
  <c r="C47" i="153"/>
  <c r="C48" i="153"/>
  <c r="C49" i="153"/>
  <c r="F49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<sst xmlns="http://schemas.openxmlformats.org/spreadsheetml/2006/main" count="633" uniqueCount="262">
  <si>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</si>
  <si>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</si>
  <si>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</si>
  <si>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</si>
  <si>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</si>
  <si>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</si>
  <si>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</si>
  <si>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</si>
  <si>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</si>
  <si>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</si>
  <si>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</si>
  <si>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</si>
  <si>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</si>
  <si>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</si>
  <si>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</si>
  <si>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</si>
  <si>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</si>
  <si>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</si>
  <si>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</si>
  <si>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</si>
  <si>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</si>
  <si>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</si>
  <si>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</si>
  <si>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</si>
  <si>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</si>
  <si>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</si>
  <si>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</si>
  <si>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</si>
  <si>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</si>
  <si>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</si>
  <si>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</si>
  <si>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</si>
  <si>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</si>
  <si>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</si>
  <si>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</si>
  <si>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</si>
  <si>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</si>
  <si>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</si>
  <si>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</si>
  <si>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</si>
  <si>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</si>
  <si>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</si>
  <si>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</si>
  <si>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</si>
  <si>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</si>
  <si>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</si>
  <si>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</si>
  <si>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</si>
  <si>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</si>
  <si>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</si>
  <si>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</si>
  <si>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</si>
  <si>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</si>
  <si>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</si>
  <si>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</si>
  <si>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</si>
  <si>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</si>
  <si>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</si>
  <si>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</si>
  <si>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</si>
  <si>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</si>
  <si>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</si>
  <si>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</si>
  <si>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</si>
  <si>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</si>
  <si>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</si>
  <si>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</si>
  <si>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</si>
  <si>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</si>
  <si>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</si>
  <si>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</si>
  <si>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</si>
  <si>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</si>
  <si>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</si>
  <si>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</si>
  <si>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</si>
  <si>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</si>
  <si>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</si>
  <si>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</si>
  <si>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</si>
  <si>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</si>
  <si>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</si>
  <si>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</si>
  <si>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</si>
  <si>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</si>
  <si>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</si>
  <si>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</si>
  <si>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</si>
  <si>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</si>
  <si>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</si>
  <si>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</si>
  <si>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</si>
  <si>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</si>
  <si>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</si>
  <si>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</si>
  <si>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</si>
  <si>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</si>
  <si>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</si>
  <si>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</si>
  <si>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</si>
  <si>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</si>
  <si>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</si>
  <si>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</si>
  <si>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</si>
  <si>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</si>
  <si>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</si>
  <si>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</si>
  <si>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</si>
  <si>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</si>
  <si>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</si>
  <si>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</si>
  <si>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</si>
  <si>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</si>
  <si>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</si>
  <si>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</si>
  <si>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</si>
  <si>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</si>
  <si>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</si>
  <si>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</si>
  <si>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</si>
  <si>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</si>
  <si>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</si>
  <si>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</si>
  <si>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</si>
  <si>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</si>
  <si>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</si>
  <si>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</si>
  <si>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</si>
  <si>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</si>
  <si>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</si>
  <si>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</si>
  <si>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</si>
  <si>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</si>
  <si>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</si>
  <si>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</si>
  <si>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</si>
  <si>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</si>
  <si>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</si>
  <si>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</si>
  <si>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</si>
  <si>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</si>
  <si>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</si>
  <si>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</si>
  <si>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</si>
  <si>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</si>
  <si>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</si>
  <si>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</si>
  <si>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</si>
  <si>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</si>
  <si>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</si>
  <si>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</si>
  <si>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</si>
  <si>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</si>
  <si>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</si>
  <si>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</si>
  <si>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</si>
  <si>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</si>
  <si>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</si>
  <si>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</si>
  <si>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</si>
  <si>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</si>
  <si>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</si>
  <si>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</si>
  <si>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</si>
  <si>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</si>
  <si>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</si>
  <si>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</si>
  <si>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</si>
  <si>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</si>
  <si>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</si>
  <si>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</si>
  <si>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</si>
  <si>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</si>
  <si>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</si>
  <si>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</si>
  <si>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</si>
  <si>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</si>
  <si>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</si>
  <si>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</si>
  <si>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</si>
  <si>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</si>
  <si>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</si>
  <si>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</si>
  <si>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</si>
  <si>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</si>
  <si>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</si>
  <si>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</si>
  <si>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</si>
  <si>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</si>
  <si>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</si>
  <si>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</si>
  <si>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</si>
  <si>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</si>
  <si>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</si>
  <si>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</si>
  <si>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</si>
  <si>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</si>
  <si>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</si>
  <si>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</si>
  <si>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</si>
  <si>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</si>
  <si>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</si>
  <si>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</si>
  <si>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</si>
  <si>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</si>
  <si>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</si>
  <si>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</si>
  <si>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</si>
  <si>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</si>
  <si>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</si>
  <si>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</si>
  <si>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</si>
  <si>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</si>
  <si>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</si>
  <si>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</si>
  <si>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</si>
  <si>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</si>
  <si>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</si>
  <si>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</si>
  <si>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</si>
  <si>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</si>
  <si>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</si>
  <si>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</si>
  <si>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</si>
  <si>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</si>
  <si>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</si>
  <si>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</si>
  <si>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</si>
  <si>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</si>
  <si>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</si>
  <si>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</si>
  <si>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</si>
  <si>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</si>
  <si>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</si>
  <si>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</si>
  <si>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</si>
  <si>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</si>
  <si>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</si>
  <si>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</si>
  <si>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</si>
  <si>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</si>
  <si>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</si>
  <si>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</si>
  <si>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</si>
  <si>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</si>
  <si>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</si>
  <si>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</si>
  <si>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</si>
  <si>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</si>
  <si>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</si>
  <si>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</si>
  <si>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</si>
  <si>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通常確率</t>
    <rPh sb="0" eb="4">
      <t>ツウジョ</t>
    </rPh>
    <phoneticPr fontId="22"/>
  </si>
  <si>
    <t>PremiumSSS6R3less</t>
    <phoneticPr fontId="22"/>
  </si>
  <si>
    <t>PremiumSS6R5only</t>
    <phoneticPr fontId="22"/>
  </si>
  <si>
    <t>tables_530100</t>
    <phoneticPr fontId="22"/>
  </si>
  <si>
    <t>tables_530010</t>
    <phoneticPr fontId="22"/>
  </si>
  <si>
    <t>tables_settle_530100</t>
    <phoneticPr fontId="22"/>
  </si>
  <si>
    <t>character_id</t>
    <phoneticPr fontId="22"/>
  </si>
  <si>
    <t>グループ</t>
    <phoneticPr fontId="22"/>
  </si>
  <si>
    <t>グループweight</t>
    <phoneticPr fontId="22"/>
  </si>
  <si>
    <t>PremiumSS5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</si>
</sst>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>RIGHT(F2,6)</f>
        <v>530100</v>
      </c>
      <c r="D2" s="19" t="s">
        <v>45</v>
      </c>
      <c r="E2" s="17" t="str">
        <f t="shared" ref="E2" si="0">B2&amp;C2&amp;D2</f>
        <v>gacha_select_tables_530100.tmp</v>
      </c>
      <c r="F2" s="101" t="s">
        <v>255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1">RIGHT(F3,6)</f>
        <v>530010</v>
      </c>
      <c r="D3" s="19" t="s">
        <v>45</v>
      </c>
      <c r="E3" s="17" t="str">
        <f t="shared" ref="E3:E10" si="2">B3&amp;C3&amp;D3</f>
        <v>gacha_select_tables_530010.tmp</v>
      </c>
      <c r="F3" s="101" t="s">
        <v>256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251</v>
      </c>
      <c r="B4" s="95" t="s">
        <v>247</v>
      </c>
      <c r="C4" s="96" t="str">
        <f t="shared" si="1"/>
        <v>530100</v>
      </c>
      <c r="D4" s="19" t="s">
        <v>248</v>
      </c>
      <c r="E4" s="17" t="str">
        <f t="shared" si="2"/>
        <v>gacha_settle_tables_530100.tmp</v>
      </c>
      <c r="F4" s="101" t="s">
        <v>257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530</v>
      </c>
      <c r="D8" s="19" t="s">
        <v>46</v>
      </c>
      <c r="E8" s="17" t="str">
        <f t="shared" si="2"/>
        <v>gacha_bonus_tables_530.tmp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530</v>
      </c>
      <c r="D9" s="19" t="s">
        <v>46</v>
      </c>
      <c r="E9" s="17" t="str">
        <f t="shared" si="2"/>
        <v>gifts_tmp_530.tmp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530</v>
      </c>
      <c r="D10" s="19" t="s">
        <v>46</v>
      </c>
      <c r="E10" s="17" t="str">
        <f t="shared" si="2"/>
        <v>gifts_i18n_530.tmp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workbookViewId="0"/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530010</v>
      </c>
      <c r="L2" s="33" t="s">
        <v>258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4.0000000000000001E-3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VLOOKUP(L3,tables_530010!B:C,2,FALSE)</f>
        <v>PremiumSSS6R3less</v>
      </c>
      <c r="R3" s="62">
        <f t="shared" ref="R3:R20" si="1">N3*A$38</f>
        <v>248160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1049</v>
      </c>
      <c r="M4" s="37" t="str">
        <f>VLOOKUP(L4,[1]characters!$A:$C,3,FALSE)</f>
        <v>深秘の水宙 メビウス</v>
      </c>
      <c r="N4" s="63">
        <v>4.0000000000000001E-3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VLOOKUP(L4,tables_530010!B:C,2,FALSE)</f>
        <v>PremiumSSS6R3less</v>
      </c>
      <c r="R4" s="62">
        <f t="shared" si="1"/>
        <v>248160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</v>
      </c>
      <c r="D5" t="s">
        <v>201</v>
      </c>
      <c r="E5" s="43">
        <f>(B11-H5)/(F5-I5)</f>
        <v>1.3333333333333335E-3</v>
      </c>
      <c r="F5">
        <f>COUNTIF(tables_530100!C:C,input_530010!A28)+COUNTIF(tables_530100!C:C,input_530100!A30)+COUNTIF(input_530100!Q:Q,input_530100!A31)+COUNTIF(input_530100!Q:Q,input_530100!A32)+COUNTIF(input_530100!Q:Q,input_530100!A33)-COUNTIF(input_530100!Q:Q,input_530100!A28)</f>
        <v>69</v>
      </c>
      <c r="H5" s="84">
        <v>1.2E-2</v>
      </c>
      <c r="I5" s="31">
        <v>3</v>
      </c>
      <c r="L5" s="1">
        <v>1045</v>
      </c>
      <c r="M5" s="37" t="str">
        <f>VLOOKUP(L5,[1]characters!$A:$C,3,FALSE)</f>
        <v>漂解の海原 シュレディンガー</v>
      </c>
      <c r="N5" s="63">
        <v>4.0000000000000001E-3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VLOOKUP(L5,tables_530010!B:C,2,FALSE)</f>
        <v>PremiumSSS6R3less</v>
      </c>
      <c r="R5" s="62">
        <f t="shared" si="1"/>
        <v>248160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7.9787234042553185E-3</v>
      </c>
      <c r="F6">
        <f>COUNTIF(tables_530100!C:C,input_530100!A25)+COUNTIF(tables_530100!C:C,input_530100!A18)+COUNTIF(tables_530100!C:C,input_530100!A20)+COUNTIF(tables_530100!C:C,input_530100!A22)+COUNTIF(Q:Q,A23)</f>
        <v>96</v>
      </c>
      <c r="H6" s="89">
        <v>0.14000000000000001</v>
      </c>
      <c r="I6" s="31">
        <v>2</v>
      </c>
      <c r="L6" s="1">
        <v>1048</v>
      </c>
      <c r="M6" s="37" t="str">
        <f>VLOOKUP(L6,[1]characters!$A:$C,3,FALSE)</f>
        <v>砂上の城主竜 ケツァクアトル</v>
      </c>
      <c r="N6" s="63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VLOOKUP(L6,tables_530010!B:C,2,FALSE)</f>
        <v>Premium5R3less</v>
      </c>
      <c r="R6" s="62">
        <f t="shared" si="1"/>
        <v>4342800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1">
        <v>1052</v>
      </c>
      <c r="M7" s="37" t="str">
        <f>VLOOKUP(L7,[1]characters!$A:$C,3,FALSE)</f>
        <v>戯魚群の潜光 バルドル</v>
      </c>
      <c r="N7" s="63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VLOOKUP(L7,tables_530010!B:C,2,FALSE)</f>
        <v>Premium5R3less</v>
      </c>
      <c r="R7" s="62">
        <f t="shared" si="1"/>
        <v>4342800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VLOOKUP(L8,tables_530010!B:C,2,FALSE)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0.14000000000000001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VLOOKUP(L9,tables_530010!B:C,2,FALSE)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VLOOKUP(L10,tables_530010!B:C,2,FALSE)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252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VLOOKUP(L11,tables_530010!B:C,2,FALSE)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E17*E6-B18+0.01</f>
        <v>7.3829787234042543E-2</v>
      </c>
      <c r="C17" s="85">
        <f t="shared" ref="C17:C28" si="2">SUMIF(Q:Q,A17,N:N)</f>
        <v>0</v>
      </c>
      <c r="D17" s="74">
        <f t="shared" ref="D17:D34" si="3">B17-C17</f>
        <v>7.3829787234042543E-2</v>
      </c>
      <c r="E17">
        <f>COUNTIF(tables_530010!C:C,input_530010!A17)-COUNTIF(Q:Q,A17)</f>
        <v>20</v>
      </c>
      <c r="F17" s="43">
        <f>IFERROR(B17/E17,0)</f>
        <v>3.6914893617021271E-3</v>
      </c>
      <c r="G17">
        <f t="shared" ref="G17:G33" si="4">A$38*B17</f>
        <v>4580399.9999999991</v>
      </c>
      <c r="H17">
        <f t="shared" ref="H17:H33" si="5">IFERROR(ROUND(G17/E17,5),0)</f>
        <v>229020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E18*E6*SUM(B6:B7)</f>
        <v>9.5744680851063815E-2</v>
      </c>
      <c r="C18" s="85">
        <f t="shared" si="2"/>
        <v>0</v>
      </c>
      <c r="D18" s="74">
        <f t="shared" si="3"/>
        <v>9.5744680851063815E-2</v>
      </c>
      <c r="E18">
        <f>COUNTIF(tables_530010!C:C,input_530010!A18)-COUNTIF(Q:Q,A18)</f>
        <v>20</v>
      </c>
      <c r="F18" s="43">
        <f>IFERROR(B18/E18,0)</f>
        <v>4.7872340425531906E-3</v>
      </c>
      <c r="G18">
        <f t="shared" si="4"/>
        <v>5939999.9999999991</v>
      </c>
      <c r="H18">
        <f t="shared" si="5"/>
        <v>297000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0.16595744680851066</v>
      </c>
      <c r="C19" s="85">
        <f t="shared" si="2"/>
        <v>0</v>
      </c>
      <c r="D19" s="74">
        <f t="shared" si="3"/>
        <v>0.16595744680851066</v>
      </c>
      <c r="E19">
        <f>COUNTIF(tables_530010!C:C,input_530010!A19)-COUNTIF(Q:Q,A19)</f>
        <v>52</v>
      </c>
      <c r="F19" s="43">
        <f t="shared" ref="F19:F33" si="8">IFERROR(B19/E19,0)</f>
        <v>3.1914893617021279E-3</v>
      </c>
      <c r="G19">
        <f t="shared" si="4"/>
        <v>10296000.000000002</v>
      </c>
      <c r="H19">
        <f t="shared" si="5"/>
        <v>198000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E$6*E20-B19-B21</f>
        <v>0.22567659574468082</v>
      </c>
      <c r="C20" s="85">
        <f t="shared" si="2"/>
        <v>0</v>
      </c>
      <c r="D20" s="74">
        <f t="shared" si="3"/>
        <v>0.22567659574468082</v>
      </c>
      <c r="E20">
        <f>COUNTIF(tables_530010!C:C,input_530010!A20)-COUNTIF(Q:Q,A20)</f>
        <v>52</v>
      </c>
      <c r="F20" s="43">
        <f t="shared" si="8"/>
        <v>4.3399345335515547E-3</v>
      </c>
      <c r="G20">
        <f t="shared" si="4"/>
        <v>14000975.999999998</v>
      </c>
      <c r="H20">
        <f t="shared" si="5"/>
        <v>269249.53846000001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2.3259574468085097E-2</v>
      </c>
      <c r="C21" s="85">
        <f t="shared" si="2"/>
        <v>0</v>
      </c>
      <c r="D21" s="74">
        <f t="shared" si="3"/>
        <v>2.3259574468085097E-2</v>
      </c>
      <c r="E21">
        <f>COUNTIF(tables_530010!C:C,input_530010!A21)-COUNTIF(Q:Q,A21)</f>
        <v>52</v>
      </c>
      <c r="F21" s="43">
        <f t="shared" si="8"/>
        <v>4.4729950900163648E-4</v>
      </c>
      <c r="G21">
        <f t="shared" si="4"/>
        <v>1443023.9999999993</v>
      </c>
      <c r="H21">
        <f t="shared" si="5"/>
        <v>27750.46154</v>
      </c>
      <c r="I21">
        <f t="shared" si="6"/>
        <v>0.46154000000024098</v>
      </c>
      <c r="J21">
        <f t="shared" si="7"/>
        <v>2.166659444467387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0.12446808510638296</v>
      </c>
      <c r="C22" s="85">
        <f t="shared" si="2"/>
        <v>0</v>
      </c>
      <c r="D22" s="74">
        <f t="shared" si="3"/>
        <v>0.12446808510638296</v>
      </c>
      <c r="E22">
        <f>COUNTIF(tables_530010!C:C,input_530010!A22)-COUNTIF(Q:Q,A22)</f>
        <v>18</v>
      </c>
      <c r="F22" s="43">
        <f t="shared" si="8"/>
        <v>6.9148936170212762E-3</v>
      </c>
      <c r="G22">
        <f t="shared" si="4"/>
        <v>7721999.9999999991</v>
      </c>
      <c r="H22">
        <f t="shared" si="5"/>
        <v>429000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1.9148936170212766E-2</v>
      </c>
      <c r="C23" s="85">
        <f t="shared" si="2"/>
        <v>0.14000000000000001</v>
      </c>
      <c r="D23" s="74">
        <f t="shared" si="3"/>
        <v>-0.12085106382978725</v>
      </c>
      <c r="E23">
        <f>COUNTIF(tables_530010!C:C,input_530010!A23)-COUNTIF(Q:Q,A23)</f>
        <v>24</v>
      </c>
      <c r="F23" s="43">
        <f t="shared" si="8"/>
        <v>7.9787234042553187E-4</v>
      </c>
      <c r="G23">
        <f t="shared" si="4"/>
        <v>1188000</v>
      </c>
      <c r="H23">
        <f t="shared" si="5"/>
        <v>49500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1.276595744680851E-2</v>
      </c>
      <c r="C24" s="85">
        <f t="shared" si="2"/>
        <v>0</v>
      </c>
      <c r="D24" s="74">
        <f t="shared" si="3"/>
        <v>1.276595744680851E-2</v>
      </c>
      <c r="E24">
        <f>COUNTIF(tables_530010!C:C,input_530010!A24)-COUNTIF(Q:Q,A24)</f>
        <v>4</v>
      </c>
      <c r="F24" s="43">
        <f t="shared" si="8"/>
        <v>3.1914893617021275E-3</v>
      </c>
      <c r="G24">
        <f t="shared" si="4"/>
        <v>792000</v>
      </c>
      <c r="H24">
        <f t="shared" si="5"/>
        <v>198000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1.5957446808510637E-2</v>
      </c>
      <c r="C25" s="85">
        <f t="shared" si="2"/>
        <v>0</v>
      </c>
      <c r="D25" s="74">
        <f t="shared" si="3"/>
        <v>1.5957446808510637E-2</v>
      </c>
      <c r="E25">
        <f>COUNTIF(tables_530010!C:C,input_530010!A25)-COUNTIF(Q:Q,A25)</f>
        <v>4</v>
      </c>
      <c r="F25" s="43">
        <f t="shared" si="8"/>
        <v>3.9893617021276593E-3</v>
      </c>
      <c r="G25">
        <f t="shared" si="4"/>
        <v>989999.99999999988</v>
      </c>
      <c r="H25">
        <f t="shared" si="5"/>
        <v>247500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3.1914893617021275E-3</v>
      </c>
      <c r="C26" s="85">
        <f t="shared" si="2"/>
        <v>0</v>
      </c>
      <c r="D26" s="74">
        <f t="shared" si="3"/>
        <v>3.1914893617021275E-3</v>
      </c>
      <c r="E26">
        <f>COUNTIF(tables_530010!C:C,input_530010!A26)-COUNTIF(Q:Q,A26)</f>
        <v>4</v>
      </c>
      <c r="F26" s="43">
        <f t="shared" si="8"/>
        <v>7.9787234042553187E-4</v>
      </c>
      <c r="G26">
        <f t="shared" si="4"/>
        <v>198000</v>
      </c>
      <c r="H26">
        <f t="shared" si="5"/>
        <v>49500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3.3600000000000005E-2</v>
      </c>
      <c r="C27" s="85">
        <f t="shared" si="2"/>
        <v>0</v>
      </c>
      <c r="D27" s="74">
        <f t="shared" si="3"/>
        <v>3.3600000000000005E-2</v>
      </c>
      <c r="E27">
        <f>COUNTIF(tables_530010!C:C,input_530010!A27)-COUNTIF(Q:Q,A27)</f>
        <v>28</v>
      </c>
      <c r="F27" s="43">
        <f>IFERROR(B27/E27,0)</f>
        <v>1.2000000000000001E-3</v>
      </c>
      <c r="G27">
        <f t="shared" si="4"/>
        <v>2084544.0000000002</v>
      </c>
      <c r="H27">
        <f t="shared" si="5"/>
        <v>74448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3.7333333333333337E-3</v>
      </c>
      <c r="C28" s="85">
        <f t="shared" si="2"/>
        <v>0</v>
      </c>
      <c r="D28" s="74">
        <f t="shared" si="3"/>
        <v>3.7333333333333337E-3</v>
      </c>
      <c r="E28">
        <f>COUNTIF(tables_530010!C:C,input_530010!A28)-COUNTIF(Q:Q,A28)</f>
        <v>28</v>
      </c>
      <c r="F28" s="43">
        <f t="shared" si="8"/>
        <v>1.3333333333333334E-4</v>
      </c>
      <c r="G28">
        <f t="shared" si="4"/>
        <v>231616.00000000003</v>
      </c>
      <c r="H28">
        <f t="shared" si="5"/>
        <v>8272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254</v>
      </c>
      <c r="B29" s="56">
        <f>E$5*E29</f>
        <v>0</v>
      </c>
      <c r="C29" s="85">
        <f t="shared" ref="C29:C30" si="9">SUMIF(Q:Q,A29,N:N)</f>
        <v>0</v>
      </c>
      <c r="D29" s="74"/>
      <c r="E29">
        <f>COUNTIF(tables_530010!C:C,input_530010!A29)-COUNTIF(Q:Q,A29)</f>
        <v>0</v>
      </c>
      <c r="F29" s="43">
        <f t="shared" ref="F29:F30" si="10">IFERROR(B29/E29,0)</f>
        <v>0</v>
      </c>
      <c r="G29">
        <f t="shared" ref="G29:G30" si="11">A$38*B29</f>
        <v>0</v>
      </c>
      <c r="H29">
        <f t="shared" ref="H29:H30" si="12">IFERROR(ROUND(G29/E29,5),0)</f>
        <v>0</v>
      </c>
      <c r="I29">
        <f t="shared" ref="I29:I30" si="13">MOD(H29,1)</f>
        <v>0</v>
      </c>
      <c r="J29">
        <f t="shared" ref="J29:J30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5.0666666666666672E-2</v>
      </c>
      <c r="C30" s="85">
        <f t="shared" si="9"/>
        <v>0</v>
      </c>
      <c r="D30" s="74"/>
      <c r="E30">
        <f>COUNTIF(tables_530010!C:C,input_530010!A30)-COUNTIF(Q:Q,A30)</f>
        <v>38</v>
      </c>
      <c r="F30" s="43">
        <f t="shared" si="10"/>
        <v>1.3333333333333335E-3</v>
      </c>
      <c r="G30">
        <f t="shared" si="11"/>
        <v>3143360.0000000005</v>
      </c>
      <c r="H30">
        <f t="shared" si="12"/>
        <v>82720</v>
      </c>
      <c r="I30">
        <f t="shared" si="13"/>
        <v>0</v>
      </c>
      <c r="J30">
        <f t="shared" si="14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E$5*E31</f>
        <v>0</v>
      </c>
      <c r="C31" s="85">
        <f>SUMIF(Q:Q,A31,N:N)</f>
        <v>0</v>
      </c>
      <c r="D31" s="74">
        <f t="shared" si="3"/>
        <v>0</v>
      </c>
      <c r="E31">
        <f>COUNTIF(tables_530010!C:C,input_530010!A31)-COUNTIF(Q:Q,A31)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f>E$5*E32</f>
        <v>0</v>
      </c>
      <c r="C32" s="85">
        <f>SUMIF(Q:Q,A32,N:N)</f>
        <v>0</v>
      </c>
      <c r="D32" s="74">
        <f t="shared" si="3"/>
        <v>0</v>
      </c>
      <c r="E32">
        <f>COUNTIF(tables_530010!C:C,input_530010!A32)-COUNTIF(Q:Q,A32)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253</v>
      </c>
      <c r="B33" s="56">
        <f>E$5*E33</f>
        <v>0</v>
      </c>
      <c r="C33" s="85">
        <f>SUMIF(Q:Q,A33,N:N)</f>
        <v>1.2E-2</v>
      </c>
      <c r="D33" s="74">
        <f t="shared" si="3"/>
        <v>-1.2E-2</v>
      </c>
      <c r="E33">
        <f>COUNTIF(tables_530010!C:C,input_530010!A33)-COUNTIF(Q:Q,A33)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0.84799999999999986</v>
      </c>
      <c r="C34" s="41">
        <f>SUM(C19:C33)</f>
        <v>0.15200000000000002</v>
      </c>
      <c r="D34" s="42">
        <f t="shared" si="3"/>
        <v>0.69599999999999984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/>
      <c r="F36" s="55"/>
    </row>
    <row r="37" spans="1:18" x14ac:dyDescent="0.15">
      <c r="A37" t="s">
        <v>73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SUMIF(tables_530010!C:C,input_530010!A42,tables_530010!O:O)</f>
        <v>10296000</v>
      </c>
      <c r="C42" s="54">
        <f t="shared" ref="C42:C48" ca="1" si="15">B42/B$49</f>
        <v>0.36697823223135317</v>
      </c>
      <c r="E42">
        <v>3</v>
      </c>
      <c r="F42">
        <f ca="1">SUMIF(tables_530010!J:J,input_530010!E42,tables_530010!O:O)</f>
        <v>15668400</v>
      </c>
      <c r="G42">
        <f ca="1">F42/A38</f>
        <v>0.25255319148936173</v>
      </c>
    </row>
    <row r="43" spans="1:18" x14ac:dyDescent="0.15">
      <c r="A43" s="33" t="s">
        <v>104</v>
      </c>
      <c r="B43">
        <f ca="1">SUMIF(tables_530010!C:C,input_530010!A43,tables_530010!O:O)</f>
        <v>14000975.999919996</v>
      </c>
      <c r="C43" s="54">
        <f t="shared" ca="1" si="15"/>
        <v>0.49903393764221465</v>
      </c>
      <c r="E43">
        <v>4</v>
      </c>
      <c r="F43">
        <f ca="1">SUMIF(tables_530010!J:J,input_530010!E43,tables_530010!O:O)</f>
        <v>30737519.999920011</v>
      </c>
      <c r="G43">
        <f ca="1">F43/A38</f>
        <v>0.49544680850934897</v>
      </c>
    </row>
    <row r="44" spans="1:18" x14ac:dyDescent="0.15">
      <c r="A44" s="33" t="s">
        <v>106</v>
      </c>
      <c r="B44">
        <f ca="1">SUMIF(tables_530010!C:C,input_530010!A44,tables_530010!O:O)</f>
        <v>2084544</v>
      </c>
      <c r="C44" s="54">
        <f t="shared" ca="1" si="15"/>
        <v>7.4298977479455505E-2</v>
      </c>
      <c r="E44">
        <v>5</v>
      </c>
      <c r="F44">
        <f ca="1">SUMIF(tables_530010!J:J,input_530010!E44,tables_530010!O:O)</f>
        <v>14889600.000080001</v>
      </c>
      <c r="G44">
        <f ca="1">F44/A38</f>
        <v>0.24000000000128949</v>
      </c>
    </row>
    <row r="45" spans="1:18" x14ac:dyDescent="0.15">
      <c r="A45" s="33" t="s">
        <v>109</v>
      </c>
      <c r="B45">
        <f>SUMIF(tables_530010!C:C,input_530010!A45,tables_530010!O:O)</f>
        <v>0</v>
      </c>
      <c r="C45" s="54">
        <f t="shared" ca="1" si="15"/>
        <v>0</v>
      </c>
      <c r="F45" s="55"/>
    </row>
    <row r="46" spans="1:18" x14ac:dyDescent="0.15">
      <c r="A46" s="33" t="s">
        <v>105</v>
      </c>
      <c r="B46">
        <f ca="1">SUMIF(tables_530010!C:C,input_530010!A46,tables_530010!O:O)</f>
        <v>1443024.0000800013</v>
      </c>
      <c r="C46" s="54">
        <f t="shared" ca="1" si="15"/>
        <v>5.1433410704814969E-2</v>
      </c>
      <c r="E46" t="s">
        <v>54</v>
      </c>
      <c r="F46" s="55"/>
    </row>
    <row r="47" spans="1:18" x14ac:dyDescent="0.15">
      <c r="A47" s="33" t="s">
        <v>107</v>
      </c>
      <c r="B47">
        <f ca="1">SUMIF(tables_530010!C:C,input_530010!A47,tables_530010!O:O)</f>
        <v>231616</v>
      </c>
      <c r="C47" s="54">
        <f t="shared" ca="1" si="15"/>
        <v>8.2554419421617224E-3</v>
      </c>
      <c r="E47" t="s">
        <v>204</v>
      </c>
      <c r="F47" s="55">
        <f ca="1">SUMIF(tables_530010!I:I,input_530010!E47,tables_530010!P:P)</f>
        <v>0.1743617021276595</v>
      </c>
    </row>
    <row r="48" spans="1:18" x14ac:dyDescent="0.15">
      <c r="A48" s="33" t="s">
        <v>108</v>
      </c>
      <c r="B48">
        <f>SUMIF(tables_530010!C:C,input_530010!A48,tables_530010!O:O)</f>
        <v>0</v>
      </c>
      <c r="C48" s="54">
        <f t="shared" ca="1" si="15"/>
        <v>0</v>
      </c>
      <c r="E48" t="s">
        <v>205</v>
      </c>
      <c r="F48" s="55">
        <f ca="1">SUMIF(tables_530010!I:I,input_530010!E48,tables_530010!P:P)</f>
        <v>0.15957446808510647</v>
      </c>
    </row>
    <row r="49" spans="1:7" x14ac:dyDescent="0.15">
      <c r="A49" s="39" t="s">
        <v>59</v>
      </c>
      <c r="B49">
        <f ca="1">SUM(B42:B48)</f>
        <v>28056159.999999996</v>
      </c>
      <c r="C49" s="55">
        <f ca="1">SUM(C42:C48)</f>
        <v>1</v>
      </c>
      <c r="E49" t="s">
        <v>206</v>
      </c>
      <c r="F49" s="55">
        <f ca="1">SUMIF(tables_530010!I:I,input_530010!E49,tables_530010!P:P)</f>
        <v>0.56606382978723524</v>
      </c>
    </row>
    <row r="50" spans="1:7" x14ac:dyDescent="0.15">
      <c r="E50" t="s">
        <v>207</v>
      </c>
      <c r="F50" s="55">
        <f ca="1">SUMIF(tables_530010!I:I,input_530010!E50,tables_530010!P:P)</f>
        <v>7.866666666666669E-2</v>
      </c>
      <c r="G50" s="55">
        <f ca="1">0.05-F50-F51</f>
        <v>-3.800000000000002E-2</v>
      </c>
    </row>
    <row r="51" spans="1:7" x14ac:dyDescent="0.15">
      <c r="E51" t="s">
        <v>249</v>
      </c>
      <c r="F51" s="55">
        <f ca="1">SUMIF(tables_530010!I:I,input_530010!E51,tables_530010!P:P)</f>
        <v>9.3333333333333341E-3</v>
      </c>
      <c r="G51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25" activePane="bottomLeft" state="frozen"/>
      <selection activeCell="H276" sqref="H276"/>
      <selection pane="bottomLeft" activeCell="B349" sqref="B349:B35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input_530010!A$2</f>
        <v>530010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IFERROR(VLOOKUP(B2,input_530010!L:R,7,FALSE),VLOOKUP(tables_530010!C2,input_530010!A:H,8,FALSE))</f>
        <v>229020</v>
      </c>
      <c r="P2" s="46">
        <f t="shared" ref="P2:P65" ca="1" si="1">O2/SUM(O:O)</f>
        <v>3.6914893617021275E-3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input_530010!A$2</f>
        <v>530010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IFERROR(VLOOKUP(B3,input_530010!L:R,7,FALSE),VLOOKUP(tables_530010!C3,input_530010!A:H,8,FALSE))</f>
        <v>297000</v>
      </c>
      <c r="P3" s="46">
        <f t="shared" ca="1" si="1"/>
        <v>4.7872340425531915E-3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input_530010!A$2</f>
        <v>530010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IFERROR(VLOOKUP(B4,input_530010!L:R,7,FALSE),VLOOKUP(tables_530010!C4,input_530010!A:H,8,FALSE))</f>
        <v>229020</v>
      </c>
      <c r="P4" s="46">
        <f t="shared" ca="1" si="1"/>
        <v>3.6914893617021275E-3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input_530010!A$2</f>
        <v>530010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IFERROR(VLOOKUP(B5,input_530010!L:R,7,FALSE),VLOOKUP(tables_530010!C5,input_530010!A:H,8,FALSE))</f>
        <v>297000</v>
      </c>
      <c r="P5" s="46">
        <f t="shared" ca="1" si="1"/>
        <v>4.7872340425531915E-3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input_530010!A$2</f>
        <v>530010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IFERROR(VLOOKUP(B6,input_530010!L:R,7,FALSE),VLOOKUP(tables_530010!C6,input_530010!A:H,8,FALSE))</f>
        <v>229020</v>
      </c>
      <c r="P6" s="46">
        <f t="shared" ca="1" si="1"/>
        <v>3.6914893617021275E-3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input_530010!A$2</f>
        <v>530010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IFERROR(VLOOKUP(B7,input_530010!L:R,7,FALSE),VLOOKUP(tables_530010!C7,input_530010!A:H,8,FALSE))</f>
        <v>297000</v>
      </c>
      <c r="P7" s="46">
        <f t="shared" ca="1" si="1"/>
        <v>4.7872340425531915E-3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input_530010!A$2</f>
        <v>530010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IFERROR(VLOOKUP(B8,input_530010!L:R,7,FALSE),VLOOKUP(tables_530010!C8,input_530010!A:H,8,FALSE))</f>
        <v>229020</v>
      </c>
      <c r="P8" s="46">
        <f t="shared" ca="1" si="1"/>
        <v>3.6914893617021275E-3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input_530010!A$2</f>
        <v>530010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IFERROR(VLOOKUP(B9,input_530010!L:R,7,FALSE),VLOOKUP(tables_530010!C9,input_530010!A:H,8,FALSE))</f>
        <v>297000</v>
      </c>
      <c r="P9" s="46">
        <f t="shared" ca="1" si="1"/>
        <v>4.7872340425531915E-3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input_530010!A$2</f>
        <v>530010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IFERROR(VLOOKUP(B10,input_530010!L:R,7,FALSE),VLOOKUP(tables_530010!C10,input_530010!A:H,8,FALSE))</f>
        <v>229020</v>
      </c>
      <c r="P10" s="46">
        <f t="shared" ca="1" si="1"/>
        <v>3.6914893617021275E-3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input_530010!A$2</f>
        <v>530010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IFERROR(VLOOKUP(B11,input_530010!L:R,7,FALSE),VLOOKUP(tables_530010!C11,input_530010!A:H,8,FALSE))</f>
        <v>297000</v>
      </c>
      <c r="P11" s="46">
        <f t="shared" ca="1" si="1"/>
        <v>4.7872340425531915E-3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input_530010!A$2</f>
        <v>530010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IFERROR(VLOOKUP(B12,input_530010!L:R,7,FALSE),VLOOKUP(tables_530010!C12,input_530010!A:H,8,FALSE))</f>
        <v>229020</v>
      </c>
      <c r="P12" s="46">
        <f t="shared" ca="1" si="1"/>
        <v>3.6914893617021275E-3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input_530010!A$2</f>
        <v>530010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IFERROR(VLOOKUP(B13,input_530010!L:R,7,FALSE),VLOOKUP(tables_530010!C13,input_530010!A:H,8,FALSE))</f>
        <v>297000</v>
      </c>
      <c r="P13" s="46">
        <f t="shared" ca="1" si="1"/>
        <v>4.7872340425531915E-3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input_530010!A$2</f>
        <v>530010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IFERROR(VLOOKUP(B14,input_530010!L:R,7,FALSE),VLOOKUP(tables_530010!C14,input_530010!A:H,8,FALSE))</f>
        <v>229020</v>
      </c>
      <c r="P14" s="46">
        <f t="shared" ca="1" si="1"/>
        <v>3.6914893617021275E-3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input_530010!A$2</f>
        <v>530010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IFERROR(VLOOKUP(B15,input_530010!L:R,7,FALSE),VLOOKUP(tables_530010!C15,input_530010!A:H,8,FALSE))</f>
        <v>297000</v>
      </c>
      <c r="P15" s="46">
        <f t="shared" ca="1" si="1"/>
        <v>4.7872340425531915E-3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input_530010!A$2</f>
        <v>530010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IFERROR(VLOOKUP(B16,input_530010!L:R,7,FALSE),VLOOKUP(tables_530010!C16,input_530010!A:H,8,FALSE))</f>
        <v>229020</v>
      </c>
      <c r="P16" s="46">
        <f t="shared" ca="1" si="1"/>
        <v>3.6914893617021275E-3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input_530010!A$2</f>
        <v>530010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IFERROR(VLOOKUP(B17,input_530010!L:R,7,FALSE),VLOOKUP(tables_530010!C17,input_530010!A:H,8,FALSE))</f>
        <v>297000</v>
      </c>
      <c r="P17" s="46">
        <f t="shared" ca="1" si="1"/>
        <v>4.7872340425531915E-3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input_530010!A$2</f>
        <v>530010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IFERROR(VLOOKUP(B18,input_530010!L:R,7,FALSE),VLOOKUP(tables_530010!C18,input_530010!A:H,8,FALSE))</f>
        <v>229020</v>
      </c>
      <c r="P18" s="46">
        <f t="shared" ca="1" si="1"/>
        <v>3.6914893617021275E-3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input_530010!A$2</f>
        <v>530010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IFERROR(VLOOKUP(B19,input_530010!L:R,7,FALSE),VLOOKUP(tables_530010!C19,input_530010!A:H,8,FALSE))</f>
        <v>297000</v>
      </c>
      <c r="P19" s="46">
        <f t="shared" ca="1" si="1"/>
        <v>4.7872340425531915E-3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input_530010!A$2</f>
        <v>530010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IFERROR(VLOOKUP(B20,input_530010!L:R,7,FALSE),VLOOKUP(tables_530010!C20,input_530010!A:H,8,FALSE))</f>
        <v>229020</v>
      </c>
      <c r="P20" s="46">
        <f t="shared" ca="1" si="1"/>
        <v>3.6914893617021275E-3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input_530010!A$2</f>
        <v>530010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IFERROR(VLOOKUP(B21,input_530010!L:R,7,FALSE),VLOOKUP(tables_530010!C21,input_530010!A:H,8,FALSE))</f>
        <v>297000</v>
      </c>
      <c r="P21" s="46">
        <f t="shared" ca="1" si="1"/>
        <v>4.7872340425531915E-3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input_530010!A$2</f>
        <v>530010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IFERROR(VLOOKUP(B22,input_530010!L:R,7,FALSE),VLOOKUP(tables_530010!C22,input_530010!A:H,8,FALSE))</f>
        <v>229020</v>
      </c>
      <c r="P22" s="46">
        <f t="shared" ca="1" si="1"/>
        <v>3.6914893617021275E-3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input_530010!A$2</f>
        <v>530010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IFERROR(VLOOKUP(B23,input_530010!L:R,7,FALSE),VLOOKUP(tables_530010!C23,input_530010!A:H,8,FALSE))</f>
        <v>297000</v>
      </c>
      <c r="P23" s="46">
        <f t="shared" ca="1" si="1"/>
        <v>4.7872340425531915E-3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input_530010!A$2</f>
        <v>530010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IFERROR(VLOOKUP(B24,input_530010!L:R,7,FALSE),VLOOKUP(tables_530010!C24,input_530010!A:H,8,FALSE))</f>
        <v>229020</v>
      </c>
      <c r="P24" s="46">
        <f t="shared" ca="1" si="1"/>
        <v>3.6914893617021275E-3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input_530010!A$2</f>
        <v>530010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IFERROR(VLOOKUP(B25,input_530010!L:R,7,FALSE),VLOOKUP(tables_530010!C25,input_530010!A:H,8,FALSE))</f>
        <v>297000</v>
      </c>
      <c r="P25" s="46">
        <f t="shared" ca="1" si="1"/>
        <v>4.7872340425531915E-3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input_530010!A$2</f>
        <v>530010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IFERROR(VLOOKUP(B26,input_530010!L:R,7,FALSE),VLOOKUP(tables_530010!C26,input_530010!A:H,8,FALSE))</f>
        <v>229020</v>
      </c>
      <c r="P26" s="46">
        <f t="shared" ca="1" si="1"/>
        <v>3.6914893617021275E-3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input_530010!A$2</f>
        <v>530010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IFERROR(VLOOKUP(B27,input_530010!L:R,7,FALSE),VLOOKUP(tables_530010!C27,input_530010!A:H,8,FALSE))</f>
        <v>297000</v>
      </c>
      <c r="P27" s="46">
        <f t="shared" ca="1" si="1"/>
        <v>4.7872340425531915E-3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input_530010!A$2</f>
        <v>530010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IFERROR(VLOOKUP(B28,input_530010!L:R,7,FALSE),VLOOKUP(tables_530010!C28,input_530010!A:H,8,FALSE))</f>
        <v>229020</v>
      </c>
      <c r="P28" s="46">
        <f t="shared" ca="1" si="1"/>
        <v>3.6914893617021275E-3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input_530010!A$2</f>
        <v>530010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IFERROR(VLOOKUP(B29,input_530010!L:R,7,FALSE),VLOOKUP(tables_530010!C29,input_530010!A:H,8,FALSE))</f>
        <v>297000</v>
      </c>
      <c r="P29" s="46">
        <f t="shared" ca="1" si="1"/>
        <v>4.7872340425531915E-3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input_530010!A$2</f>
        <v>530010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IFERROR(VLOOKUP(B30,input_530010!L:R,7,FALSE),VLOOKUP(tables_530010!C30,input_530010!A:H,8,FALSE))</f>
        <v>229020</v>
      </c>
      <c r="P30" s="46">
        <f t="shared" ca="1" si="1"/>
        <v>3.6914893617021275E-3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input_530010!A$2</f>
        <v>530010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IFERROR(VLOOKUP(B31,input_530010!L:R,7,FALSE),VLOOKUP(tables_530010!C31,input_530010!A:H,8,FALSE))</f>
        <v>297000</v>
      </c>
      <c r="P31" s="46">
        <f t="shared" ca="1" si="1"/>
        <v>4.7872340425531915E-3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input_530010!A$2</f>
        <v>530010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IFERROR(VLOOKUP(B32,input_530010!L:R,7,FALSE),VLOOKUP(tables_530010!C32,input_530010!A:H,8,FALSE))</f>
        <v>229020</v>
      </c>
      <c r="P32" s="46">
        <f t="shared" ca="1" si="1"/>
        <v>3.6914893617021275E-3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input_530010!A$2</f>
        <v>530010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IFERROR(VLOOKUP(B33,input_530010!L:R,7,FALSE),VLOOKUP(tables_530010!C33,input_530010!A:H,8,FALSE))</f>
        <v>297000</v>
      </c>
      <c r="P33" s="46">
        <f t="shared" ca="1" si="1"/>
        <v>4.7872340425531915E-3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input_530010!A$2</f>
        <v>530010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IFERROR(VLOOKUP(B34,input_530010!L:R,7,FALSE),VLOOKUP(tables_530010!C34,input_530010!A:H,8,FALSE))</f>
        <v>229020</v>
      </c>
      <c r="P34" s="46">
        <f t="shared" ca="1" si="1"/>
        <v>3.6914893617021275E-3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input_530010!A$2</f>
        <v>530010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IFERROR(VLOOKUP(B35,input_530010!L:R,7,FALSE),VLOOKUP(tables_530010!C35,input_530010!A:H,8,FALSE))</f>
        <v>297000</v>
      </c>
      <c r="P35" s="46">
        <f t="shared" ca="1" si="1"/>
        <v>4.7872340425531915E-3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input_530010!A$2</f>
        <v>530010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IFERROR(VLOOKUP(B36,input_530010!L:R,7,FALSE),VLOOKUP(tables_530010!C36,input_530010!A:H,8,FALSE))</f>
        <v>229020</v>
      </c>
      <c r="P36" s="46">
        <f t="shared" ca="1" si="1"/>
        <v>3.6914893617021275E-3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input_530010!A$2</f>
        <v>530010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IFERROR(VLOOKUP(B37,input_530010!L:R,7,FALSE),VLOOKUP(tables_530010!C37,input_530010!A:H,8,FALSE))</f>
        <v>297000</v>
      </c>
      <c r="P37" s="46">
        <f t="shared" ca="1" si="1"/>
        <v>4.7872340425531915E-3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input_530010!A$2</f>
        <v>530010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IFERROR(VLOOKUP(B38,input_530010!L:R,7,FALSE),VLOOKUP(tables_530010!C38,input_530010!A:H,8,FALSE))</f>
        <v>229020</v>
      </c>
      <c r="P38" s="46">
        <f t="shared" ca="1" si="1"/>
        <v>3.6914893617021275E-3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input_530010!A$2</f>
        <v>530010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IFERROR(VLOOKUP(B39,input_530010!L:R,7,FALSE),VLOOKUP(tables_530010!C39,input_530010!A:H,8,FALSE))</f>
        <v>297000</v>
      </c>
      <c r="P39" s="46">
        <f t="shared" ca="1" si="1"/>
        <v>4.7872340425531915E-3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input_530010!A$2</f>
        <v>530010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IFERROR(VLOOKUP(B40,input_530010!L:R,7,FALSE),VLOOKUP(tables_530010!C40,input_530010!A:H,8,FALSE))</f>
        <v>229020</v>
      </c>
      <c r="P40" s="46">
        <f t="shared" ca="1" si="1"/>
        <v>3.6914893617021275E-3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input_530010!A$2</f>
        <v>530010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IFERROR(VLOOKUP(B41,input_530010!L:R,7,FALSE),VLOOKUP(tables_530010!C41,input_530010!A:H,8,FALSE))</f>
        <v>297000</v>
      </c>
      <c r="P41" s="46">
        <f t="shared" ca="1" si="1"/>
        <v>4.7872340425531915E-3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input_530010!A$2</f>
        <v>530010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IFERROR(VLOOKUP(B42,input_530010!L:R,7,FALSE),VLOOKUP(tables_530010!C42,input_530010!A:H,8,FALSE))</f>
        <v>198000</v>
      </c>
      <c r="P42" s="46">
        <f t="shared" ca="1" si="1"/>
        <v>3.1914893617021275E-3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input_530010!A$2</f>
        <v>530010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IFERROR(VLOOKUP(B43,input_530010!L:R,7,FALSE),VLOOKUP(tables_530010!C43,input_530010!A:H,8,FALSE))</f>
        <v>247500</v>
      </c>
      <c r="P43" s="46">
        <f t="shared" ca="1" si="1"/>
        <v>3.9893617021276593E-3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input_530010!A$2</f>
        <v>530010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IFERROR(VLOOKUP(B44,input_530010!L:R,7,FALSE),VLOOKUP(tables_530010!C44,input_530010!A:H,8,FALSE))</f>
        <v>49500</v>
      </c>
      <c r="P44" s="46">
        <f t="shared" ca="1" si="1"/>
        <v>7.9787234042553187E-4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input_530010!A$2</f>
        <v>530010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IFERROR(VLOOKUP(B45,input_530010!L:R,7,FALSE),VLOOKUP(tables_530010!C45,input_530010!A:H,8,FALSE))</f>
        <v>198000</v>
      </c>
      <c r="P45" s="46">
        <f t="shared" ca="1" si="1"/>
        <v>3.1914893617021275E-3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input_530010!A$2</f>
        <v>530010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IFERROR(VLOOKUP(B46,input_530010!L:R,7,FALSE),VLOOKUP(tables_530010!C46,input_530010!A:H,8,FALSE))</f>
        <v>247500</v>
      </c>
      <c r="P46" s="46">
        <f t="shared" ca="1" si="1"/>
        <v>3.9893617021276593E-3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input_530010!A$2</f>
        <v>530010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IFERROR(VLOOKUP(B47,input_530010!L:R,7,FALSE),VLOOKUP(tables_530010!C47,input_530010!A:H,8,FALSE))</f>
        <v>49500</v>
      </c>
      <c r="P47" s="46">
        <f t="shared" ca="1" si="1"/>
        <v>7.9787234042553187E-4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input_530010!A$2</f>
        <v>530010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IFERROR(VLOOKUP(B48,input_530010!L:R,7,FALSE),VLOOKUP(tables_530010!C48,input_530010!A:H,8,FALSE))</f>
        <v>198000</v>
      </c>
      <c r="P48" s="46">
        <f t="shared" ca="1" si="1"/>
        <v>3.1914893617021275E-3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input_530010!A$2</f>
        <v>530010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IFERROR(VLOOKUP(B49,input_530010!L:R,7,FALSE),VLOOKUP(tables_530010!C49,input_530010!A:H,8,FALSE))</f>
        <v>247500</v>
      </c>
      <c r="P49" s="46">
        <f t="shared" ca="1" si="1"/>
        <v>3.9893617021276593E-3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input_530010!A$2</f>
        <v>530010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IFERROR(VLOOKUP(B50,input_530010!L:R,7,FALSE),VLOOKUP(tables_530010!C50,input_530010!A:H,8,FALSE))</f>
        <v>49500</v>
      </c>
      <c r="P50" s="46">
        <f t="shared" ca="1" si="1"/>
        <v>7.9787234042553187E-4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input_530010!A$2</f>
        <v>530010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IFERROR(VLOOKUP(B51,input_530010!L:R,7,FALSE),VLOOKUP(tables_530010!C51,input_530010!A:H,8,FALSE))</f>
        <v>198000</v>
      </c>
      <c r="P51" s="46">
        <f t="shared" ca="1" si="1"/>
        <v>3.1914893617021275E-3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input_530010!A$2</f>
        <v>530010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IFERROR(VLOOKUP(B52,input_530010!L:R,7,FALSE),VLOOKUP(tables_530010!C52,input_530010!A:H,8,FALSE))</f>
        <v>269249.53846000001</v>
      </c>
      <c r="P52" s="46">
        <f t="shared" ca="1" si="1"/>
        <v>4.3399345335267568E-3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input_530010!A$2</f>
        <v>530010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IFERROR(VLOOKUP(B53,input_530010!L:R,7,FALSE),VLOOKUP(tables_530010!C53,input_530010!A:H,8,FALSE))</f>
        <v>27750.46154</v>
      </c>
      <c r="P53" s="46">
        <f t="shared" ca="1" si="1"/>
        <v>4.4729950902643457E-4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input_530010!A$2</f>
        <v>530010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IFERROR(VLOOKUP(B54,input_530010!L:R,7,FALSE),VLOOKUP(tables_530010!C54,input_530010!A:H,8,FALSE))</f>
        <v>198000</v>
      </c>
      <c r="P54" s="46">
        <f t="shared" ca="1" si="1"/>
        <v>3.1914893617021275E-3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input_530010!A$2</f>
        <v>530010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IFERROR(VLOOKUP(B55,input_530010!L:R,7,FALSE),VLOOKUP(tables_530010!C55,input_530010!A:H,8,FALSE))</f>
        <v>269249.53846000001</v>
      </c>
      <c r="P55" s="46">
        <f t="shared" ca="1" si="1"/>
        <v>4.3399345335267568E-3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input_530010!A$2</f>
        <v>530010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IFERROR(VLOOKUP(B56,input_530010!L:R,7,FALSE),VLOOKUP(tables_530010!C56,input_530010!A:H,8,FALSE))</f>
        <v>27750.46154</v>
      </c>
      <c r="P56" s="46">
        <f t="shared" ca="1" si="1"/>
        <v>4.4729950902643457E-4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input_530010!A$2</f>
        <v>530010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IFERROR(VLOOKUP(B57,input_530010!L:R,7,FALSE),VLOOKUP(tables_530010!C57,input_530010!A:H,8,FALSE))</f>
        <v>198000</v>
      </c>
      <c r="P57" s="46">
        <f t="shared" ca="1" si="1"/>
        <v>3.1914893617021275E-3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input_530010!A$2</f>
        <v>530010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IFERROR(VLOOKUP(B58,input_530010!L:R,7,FALSE),VLOOKUP(tables_530010!C58,input_530010!A:H,8,FALSE))</f>
        <v>269249.53846000001</v>
      </c>
      <c r="P58" s="46">
        <f t="shared" ca="1" si="1"/>
        <v>4.3399345335267568E-3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input_530010!A$2</f>
        <v>530010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IFERROR(VLOOKUP(B59,input_530010!L:R,7,FALSE),VLOOKUP(tables_530010!C59,input_530010!A:H,8,FALSE))</f>
        <v>27750.46154</v>
      </c>
      <c r="P59" s="46">
        <f t="shared" ca="1" si="1"/>
        <v>4.4729950902643457E-4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input_530010!A$2</f>
        <v>530010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IFERROR(VLOOKUP(B60,input_530010!L:R,7,FALSE),VLOOKUP(tables_530010!C60,input_530010!A:H,8,FALSE))</f>
        <v>198000</v>
      </c>
      <c r="P60" s="46">
        <f t="shared" ca="1" si="1"/>
        <v>3.1914893617021275E-3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input_530010!A$2</f>
        <v>530010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IFERROR(VLOOKUP(B61,input_530010!L:R,7,FALSE),VLOOKUP(tables_530010!C61,input_530010!A:H,8,FALSE))</f>
        <v>269249.53846000001</v>
      </c>
      <c r="P61" s="46">
        <f t="shared" ca="1" si="1"/>
        <v>4.3399345335267568E-3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input_530010!A$2</f>
        <v>530010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IFERROR(VLOOKUP(B62,input_530010!L:R,7,FALSE),VLOOKUP(tables_530010!C62,input_530010!A:H,8,FALSE))</f>
        <v>27750.46154</v>
      </c>
      <c r="P62" s="46">
        <f t="shared" ca="1" si="1"/>
        <v>4.4729950902643457E-4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input_530010!A$2</f>
        <v>530010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IFERROR(VLOOKUP(B63,input_530010!L:R,7,FALSE),VLOOKUP(tables_530010!C63,input_530010!A:H,8,FALSE))</f>
        <v>198000</v>
      </c>
      <c r="P63" s="46">
        <f t="shared" ca="1" si="1"/>
        <v>3.1914893617021275E-3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input_530010!A$2</f>
        <v>530010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IFERROR(VLOOKUP(B64,input_530010!L:R,7,FALSE),VLOOKUP(tables_530010!C64,input_530010!A:H,8,FALSE))</f>
        <v>269249.53846000001</v>
      </c>
      <c r="P64" s="46">
        <f t="shared" ca="1" si="1"/>
        <v>4.3399345335267568E-3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input_530010!A$2</f>
        <v>530010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IFERROR(VLOOKUP(B65,input_530010!L:R,7,FALSE),VLOOKUP(tables_530010!C65,input_530010!A:H,8,FALSE))</f>
        <v>27750.46154</v>
      </c>
      <c r="P65" s="46">
        <f t="shared" ca="1" si="1"/>
        <v>4.4729950902643457E-4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input_530010!A$2</f>
        <v>530010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IFERROR(VLOOKUP(B66,input_530010!L:R,7,FALSE),VLOOKUP(tables_530010!C66,input_530010!A:H,8,FALSE))</f>
        <v>198000</v>
      </c>
      <c r="P66" s="46">
        <f t="shared" ref="P66:P129" ca="1" si="4">O66/SUM(O:O)</f>
        <v>3.1914893617021275E-3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input_530010!A$2</f>
        <v>530010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IFERROR(VLOOKUP(B67,input_530010!L:R,7,FALSE),VLOOKUP(tables_530010!C67,input_530010!A:H,8,FALSE))</f>
        <v>269249.53846000001</v>
      </c>
      <c r="P67" s="46">
        <f t="shared" ca="1" si="4"/>
        <v>4.3399345335267568E-3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input_530010!A$2</f>
        <v>530010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IFERROR(VLOOKUP(B68,input_530010!L:R,7,FALSE),VLOOKUP(tables_530010!C68,input_530010!A:H,8,FALSE))</f>
        <v>27750.46154</v>
      </c>
      <c r="P68" s="46">
        <f t="shared" ca="1" si="4"/>
        <v>4.4729950902643457E-4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input_530010!A$2</f>
        <v>530010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IFERROR(VLOOKUP(B69,input_530010!L:R,7,FALSE),VLOOKUP(tables_530010!C69,input_530010!A:H,8,FALSE))</f>
        <v>198000</v>
      </c>
      <c r="P69" s="46">
        <f t="shared" ca="1" si="4"/>
        <v>3.1914893617021275E-3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input_530010!A$2</f>
        <v>530010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IFERROR(VLOOKUP(B70,input_530010!L:R,7,FALSE),VLOOKUP(tables_530010!C70,input_530010!A:H,8,FALSE))</f>
        <v>269249.53846000001</v>
      </c>
      <c r="P70" s="46">
        <f t="shared" ca="1" si="4"/>
        <v>4.3399345335267568E-3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input_530010!A$2</f>
        <v>530010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IFERROR(VLOOKUP(B71,input_530010!L:R,7,FALSE),VLOOKUP(tables_530010!C71,input_530010!A:H,8,FALSE))</f>
        <v>27750.46154</v>
      </c>
      <c r="P71" s="46">
        <f t="shared" ca="1" si="4"/>
        <v>4.4729950902643457E-4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input_530010!A$2</f>
        <v>530010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IFERROR(VLOOKUP(B72,input_530010!L:R,7,FALSE),VLOOKUP(tables_530010!C72,input_530010!A:H,8,FALSE))</f>
        <v>198000</v>
      </c>
      <c r="P72" s="46">
        <f t="shared" ca="1" si="4"/>
        <v>3.1914893617021275E-3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input_530010!A$2</f>
        <v>530010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IFERROR(VLOOKUP(B73,input_530010!L:R,7,FALSE),VLOOKUP(tables_530010!C73,input_530010!A:H,8,FALSE))</f>
        <v>269249.53846000001</v>
      </c>
      <c r="P73" s="46">
        <f t="shared" ca="1" si="4"/>
        <v>4.3399345335267568E-3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input_530010!A$2</f>
        <v>530010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IFERROR(VLOOKUP(B74,input_530010!L:R,7,FALSE),VLOOKUP(tables_530010!C74,input_530010!A:H,8,FALSE))</f>
        <v>27750.46154</v>
      </c>
      <c r="P74" s="46">
        <f t="shared" ca="1" si="4"/>
        <v>4.4729950902643457E-4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input_530010!A$2</f>
        <v>530010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IFERROR(VLOOKUP(B75,input_530010!L:R,7,FALSE),VLOOKUP(tables_530010!C75,input_530010!A:H,8,FALSE))</f>
        <v>198000</v>
      </c>
      <c r="P75" s="46">
        <f t="shared" ca="1" si="4"/>
        <v>3.1914893617021275E-3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input_530010!A$2</f>
        <v>530010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IFERROR(VLOOKUP(B76,input_530010!L:R,7,FALSE),VLOOKUP(tables_530010!C76,input_530010!A:H,8,FALSE))</f>
        <v>269249.53846000001</v>
      </c>
      <c r="P76" s="46">
        <f t="shared" ca="1" si="4"/>
        <v>4.3399345335267568E-3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input_530010!A$2</f>
        <v>530010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IFERROR(VLOOKUP(B77,input_530010!L:R,7,FALSE),VLOOKUP(tables_530010!C77,input_530010!A:H,8,FALSE))</f>
        <v>27750.46154</v>
      </c>
      <c r="P77" s="46">
        <f t="shared" ca="1" si="4"/>
        <v>4.4729950902643457E-4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input_530010!A$2</f>
        <v>530010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IFERROR(VLOOKUP(B78,input_530010!L:R,7,FALSE),VLOOKUP(tables_530010!C78,input_530010!A:H,8,FALSE))</f>
        <v>198000</v>
      </c>
      <c r="P78" s="46">
        <f t="shared" ca="1" si="4"/>
        <v>3.1914893617021275E-3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input_530010!A$2</f>
        <v>530010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IFERROR(VLOOKUP(B79,input_530010!L:R,7,FALSE),VLOOKUP(tables_530010!C79,input_530010!A:H,8,FALSE))</f>
        <v>269249.53846000001</v>
      </c>
      <c r="P79" s="46">
        <f t="shared" ca="1" si="4"/>
        <v>4.3399345335267568E-3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input_530010!A$2</f>
        <v>530010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IFERROR(VLOOKUP(B80,input_530010!L:R,7,FALSE),VLOOKUP(tables_530010!C80,input_530010!A:H,8,FALSE))</f>
        <v>27750.46154</v>
      </c>
      <c r="P80" s="46">
        <f t="shared" ca="1" si="4"/>
        <v>4.4729950902643457E-4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input_530010!A$2</f>
        <v>530010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IFERROR(VLOOKUP(B81,input_530010!L:R,7,FALSE),VLOOKUP(tables_530010!C81,input_530010!A:H,8,FALSE))</f>
        <v>198000</v>
      </c>
      <c r="P81" s="46">
        <f t="shared" ca="1" si="4"/>
        <v>3.1914893617021275E-3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input_530010!A$2</f>
        <v>530010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IFERROR(VLOOKUP(B82,input_530010!L:R,7,FALSE),VLOOKUP(tables_530010!C82,input_530010!A:H,8,FALSE))</f>
        <v>269249.53846000001</v>
      </c>
      <c r="P82" s="46">
        <f t="shared" ca="1" si="4"/>
        <v>4.3399345335267568E-3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input_530010!A$2</f>
        <v>530010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IFERROR(VLOOKUP(B83,input_530010!L:R,7,FALSE),VLOOKUP(tables_530010!C83,input_530010!A:H,8,FALSE))</f>
        <v>27750.46154</v>
      </c>
      <c r="P83" s="46">
        <f t="shared" ca="1" si="4"/>
        <v>4.4729950902643457E-4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input_530010!A$2</f>
        <v>530010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IFERROR(VLOOKUP(B84,input_530010!L:R,7,FALSE),VLOOKUP(tables_530010!C84,input_530010!A:H,8,FALSE))</f>
        <v>198000</v>
      </c>
      <c r="P84" s="46">
        <f t="shared" ca="1" si="4"/>
        <v>3.1914893617021275E-3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input_530010!A$2</f>
        <v>530010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IFERROR(VLOOKUP(B85,input_530010!L:R,7,FALSE),VLOOKUP(tables_530010!C85,input_530010!A:H,8,FALSE))</f>
        <v>269249.53846000001</v>
      </c>
      <c r="P85" s="46">
        <f t="shared" ca="1" si="4"/>
        <v>4.3399345335267568E-3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input_530010!A$2</f>
        <v>530010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IFERROR(VLOOKUP(B86,input_530010!L:R,7,FALSE),VLOOKUP(tables_530010!C86,input_530010!A:H,8,FALSE))</f>
        <v>27750.46154</v>
      </c>
      <c r="P86" s="46">
        <f t="shared" ca="1" si="4"/>
        <v>4.4729950902643457E-4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input_530010!A$2</f>
        <v>530010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IFERROR(VLOOKUP(B87,input_530010!L:R,7,FALSE),VLOOKUP(tables_530010!C87,input_530010!A:H,8,FALSE))</f>
        <v>198000</v>
      </c>
      <c r="P87" s="46">
        <f t="shared" ca="1" si="4"/>
        <v>3.1914893617021275E-3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input_530010!A$2</f>
        <v>530010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IFERROR(VLOOKUP(B88,input_530010!L:R,7,FALSE),VLOOKUP(tables_530010!C88,input_530010!A:H,8,FALSE))</f>
        <v>269249.53846000001</v>
      </c>
      <c r="P88" s="46">
        <f t="shared" ca="1" si="4"/>
        <v>4.3399345335267568E-3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input_530010!A$2</f>
        <v>530010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IFERROR(VLOOKUP(B89,input_530010!L:R,7,FALSE),VLOOKUP(tables_530010!C89,input_530010!A:H,8,FALSE))</f>
        <v>27750.46154</v>
      </c>
      <c r="P89" s="46">
        <f t="shared" ca="1" si="4"/>
        <v>4.4729950902643457E-4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input_530010!A$2</f>
        <v>530010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IFERROR(VLOOKUP(B90,input_530010!L:R,7,FALSE),VLOOKUP(tables_530010!C90,input_530010!A:H,8,FALSE))</f>
        <v>198000</v>
      </c>
      <c r="P90" s="46">
        <f t="shared" ca="1" si="4"/>
        <v>3.1914893617021275E-3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input_530010!A$2</f>
        <v>530010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IFERROR(VLOOKUP(B91,input_530010!L:R,7,FALSE),VLOOKUP(tables_530010!C91,input_530010!A:H,8,FALSE))</f>
        <v>269249.53846000001</v>
      </c>
      <c r="P91" s="46">
        <f t="shared" ca="1" si="4"/>
        <v>4.3399345335267568E-3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input_530010!A$2</f>
        <v>530010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IFERROR(VLOOKUP(B92,input_530010!L:R,7,FALSE),VLOOKUP(tables_530010!C92,input_530010!A:H,8,FALSE))</f>
        <v>27750.46154</v>
      </c>
      <c r="P92" s="46">
        <f t="shared" ca="1" si="4"/>
        <v>4.4729950902643457E-4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input_530010!A$2</f>
        <v>530010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IFERROR(VLOOKUP(B93,input_530010!L:R,7,FALSE),VLOOKUP(tables_530010!C93,input_530010!A:H,8,FALSE))</f>
        <v>198000</v>
      </c>
      <c r="P93" s="46">
        <f t="shared" ca="1" si="4"/>
        <v>3.1914893617021275E-3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input_530010!A$2</f>
        <v>530010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IFERROR(VLOOKUP(B94,input_530010!L:R,7,FALSE),VLOOKUP(tables_530010!C94,input_530010!A:H,8,FALSE))</f>
        <v>269249.53846000001</v>
      </c>
      <c r="P94" s="46">
        <f t="shared" ca="1" si="4"/>
        <v>4.3399345335267568E-3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input_530010!A$2</f>
        <v>530010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IFERROR(VLOOKUP(B95,input_530010!L:R,7,FALSE),VLOOKUP(tables_530010!C95,input_530010!A:H,8,FALSE))</f>
        <v>27750.46154</v>
      </c>
      <c r="P95" s="46">
        <f t="shared" ca="1" si="4"/>
        <v>4.4729950902643457E-4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input_530010!A$2</f>
        <v>530010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IFERROR(VLOOKUP(B96,input_530010!L:R,7,FALSE),VLOOKUP(tables_530010!C96,input_530010!A:H,8,FALSE))</f>
        <v>198000</v>
      </c>
      <c r="P96" s="46">
        <f t="shared" ca="1" si="4"/>
        <v>3.1914893617021275E-3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input_530010!A$2</f>
        <v>530010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IFERROR(VLOOKUP(B97,input_530010!L:R,7,FALSE),VLOOKUP(tables_530010!C97,input_530010!A:H,8,FALSE))</f>
        <v>269249.53846000001</v>
      </c>
      <c r="P97" s="46">
        <f t="shared" ca="1" si="4"/>
        <v>4.3399345335267568E-3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input_530010!A$2</f>
        <v>530010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IFERROR(VLOOKUP(B98,input_530010!L:R,7,FALSE),VLOOKUP(tables_530010!C98,input_530010!A:H,8,FALSE))</f>
        <v>27750.46154</v>
      </c>
      <c r="P98" s="46">
        <f t="shared" ca="1" si="4"/>
        <v>4.4729950902643457E-4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input_530010!A$2</f>
        <v>530010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IFERROR(VLOOKUP(B99,input_530010!L:R,7,FALSE),VLOOKUP(tables_530010!C99,input_530010!A:H,8,FALSE))</f>
        <v>198000</v>
      </c>
      <c r="P99" s="46">
        <f t="shared" ca="1" si="4"/>
        <v>3.1914893617021275E-3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input_530010!A$2</f>
        <v>530010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IFERROR(VLOOKUP(B100,input_530010!L:R,7,FALSE),VLOOKUP(tables_530010!C100,input_530010!A:H,8,FALSE))</f>
        <v>269249.53846000001</v>
      </c>
      <c r="P100" s="46">
        <f t="shared" ca="1" si="4"/>
        <v>4.3399345335267568E-3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input_530010!A$2</f>
        <v>530010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IFERROR(VLOOKUP(B101,input_530010!L:R,7,FALSE),VLOOKUP(tables_530010!C101,input_530010!A:H,8,FALSE))</f>
        <v>27750.46154</v>
      </c>
      <c r="P101" s="46">
        <f t="shared" ca="1" si="4"/>
        <v>4.4729950902643457E-4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input_530010!A$2</f>
        <v>530010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IFERROR(VLOOKUP(B102,input_530010!L:R,7,FALSE),VLOOKUP(tables_530010!C102,input_530010!A:H,8,FALSE))</f>
        <v>198000</v>
      </c>
      <c r="P102" s="46">
        <f t="shared" ca="1" si="4"/>
        <v>3.1914893617021275E-3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input_530010!A$2</f>
        <v>530010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IFERROR(VLOOKUP(B103,input_530010!L:R,7,FALSE),VLOOKUP(tables_530010!C103,input_530010!A:H,8,FALSE))</f>
        <v>269249.53846000001</v>
      </c>
      <c r="P103" s="46">
        <f t="shared" ca="1" si="4"/>
        <v>4.3399345335267568E-3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input_530010!A$2</f>
        <v>530010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IFERROR(VLOOKUP(B104,input_530010!L:R,7,FALSE),VLOOKUP(tables_530010!C104,input_530010!A:H,8,FALSE))</f>
        <v>27750.46154</v>
      </c>
      <c r="P104" s="46">
        <f t="shared" ca="1" si="4"/>
        <v>4.4729950902643457E-4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input_530010!A$2</f>
        <v>530010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IFERROR(VLOOKUP(B105,input_530010!L:R,7,FALSE),VLOOKUP(tables_530010!C105,input_530010!A:H,8,FALSE))</f>
        <v>198000</v>
      </c>
      <c r="P105" s="46">
        <f t="shared" ca="1" si="4"/>
        <v>3.1914893617021275E-3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input_530010!A$2</f>
        <v>530010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IFERROR(VLOOKUP(B106,input_530010!L:R,7,FALSE),VLOOKUP(tables_530010!C106,input_530010!A:H,8,FALSE))</f>
        <v>269249.53846000001</v>
      </c>
      <c r="P106" s="46">
        <f t="shared" ca="1" si="4"/>
        <v>4.3399345335267568E-3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input_530010!A$2</f>
        <v>530010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IFERROR(VLOOKUP(B107,input_530010!L:R,7,FALSE),VLOOKUP(tables_530010!C107,input_530010!A:H,8,FALSE))</f>
        <v>27750.46154</v>
      </c>
      <c r="P107" s="46">
        <f t="shared" ca="1" si="4"/>
        <v>4.4729950902643457E-4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input_530010!A$2</f>
        <v>530010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IFERROR(VLOOKUP(B108,input_530010!L:R,7,FALSE),VLOOKUP(tables_530010!C108,input_530010!A:H,8,FALSE))</f>
        <v>198000</v>
      </c>
      <c r="P108" s="46">
        <f t="shared" ca="1" si="4"/>
        <v>3.1914893617021275E-3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input_530010!A$2</f>
        <v>530010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IFERROR(VLOOKUP(B109,input_530010!L:R,7,FALSE),VLOOKUP(tables_530010!C109,input_530010!A:H,8,FALSE))</f>
        <v>269249.53846000001</v>
      </c>
      <c r="P109" s="46">
        <f t="shared" ca="1" si="4"/>
        <v>4.3399345335267568E-3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input_530010!A$2</f>
        <v>530010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IFERROR(VLOOKUP(B110,input_530010!L:R,7,FALSE),VLOOKUP(tables_530010!C110,input_530010!A:H,8,FALSE))</f>
        <v>27750.46154</v>
      </c>
      <c r="P110" s="46">
        <f t="shared" ca="1" si="4"/>
        <v>4.4729950902643457E-4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input_530010!A$2</f>
        <v>530010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IFERROR(VLOOKUP(B111,input_530010!L:R,7,FALSE),VLOOKUP(tables_530010!C111,input_530010!A:H,8,FALSE))</f>
        <v>198000</v>
      </c>
      <c r="P111" s="46">
        <f t="shared" ca="1" si="4"/>
        <v>3.1914893617021275E-3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input_530010!A$2</f>
        <v>530010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IFERROR(VLOOKUP(B112,input_530010!L:R,7,FALSE),VLOOKUP(tables_530010!C112,input_530010!A:H,8,FALSE))</f>
        <v>247500</v>
      </c>
      <c r="P112" s="46">
        <f t="shared" ca="1" si="4"/>
        <v>3.9893617021276593E-3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input_530010!A$2</f>
        <v>530010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IFERROR(VLOOKUP(B113,input_530010!L:R,7,FALSE),VLOOKUP(tables_530010!C113,input_530010!A:H,8,FALSE))</f>
        <v>49500</v>
      </c>
      <c r="P113" s="46">
        <f t="shared" ca="1" si="4"/>
        <v>7.9787234042553187E-4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input_530010!A$2</f>
        <v>530010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IFERROR(VLOOKUP(B114,input_530010!L:R,7,FALSE),VLOOKUP(tables_530010!C114,input_530010!A:H,8,FALSE))</f>
        <v>198000</v>
      </c>
      <c r="P114" s="46">
        <f t="shared" ca="1" si="4"/>
        <v>3.1914893617021275E-3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input_530010!A$2</f>
        <v>530010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IFERROR(VLOOKUP(B115,input_530010!L:R,7,FALSE),VLOOKUP(tables_530010!C115,input_530010!A:H,8,FALSE))</f>
        <v>269249.53846000001</v>
      </c>
      <c r="P115" s="46">
        <f t="shared" ca="1" si="4"/>
        <v>4.3399345335267568E-3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input_530010!A$2</f>
        <v>530010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IFERROR(VLOOKUP(B116,input_530010!L:R,7,FALSE),VLOOKUP(tables_530010!C116,input_530010!A:H,8,FALSE))</f>
        <v>27750.46154</v>
      </c>
      <c r="P116" s="46">
        <f t="shared" ca="1" si="4"/>
        <v>4.4729950902643457E-4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input_530010!A$2</f>
        <v>530010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IFERROR(VLOOKUP(B117,input_530010!L:R,7,FALSE),VLOOKUP(tables_530010!C117,input_530010!A:H,8,FALSE))</f>
        <v>198000</v>
      </c>
      <c r="P117" s="46">
        <f t="shared" ca="1" si="4"/>
        <v>3.1914893617021275E-3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input_530010!A$2</f>
        <v>530010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IFERROR(VLOOKUP(B118,input_530010!L:R,7,FALSE),VLOOKUP(tables_530010!C118,input_530010!A:H,8,FALSE))</f>
        <v>269249.53846000001</v>
      </c>
      <c r="P118" s="46">
        <f t="shared" ca="1" si="4"/>
        <v>4.3399345335267568E-3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input_530010!A$2</f>
        <v>530010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IFERROR(VLOOKUP(B119,input_530010!L:R,7,FALSE),VLOOKUP(tables_530010!C119,input_530010!A:H,8,FALSE))</f>
        <v>27750.46154</v>
      </c>
      <c r="P119" s="46">
        <f t="shared" ca="1" si="4"/>
        <v>4.4729950902643457E-4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input_530010!A$2</f>
        <v>530010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IFERROR(VLOOKUP(B120,input_530010!L:R,7,FALSE),VLOOKUP(tables_530010!C120,input_530010!A:H,8,FALSE))</f>
        <v>198000</v>
      </c>
      <c r="P120" s="46">
        <f t="shared" ca="1" si="4"/>
        <v>3.1914893617021275E-3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input_530010!A$2</f>
        <v>530010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IFERROR(VLOOKUP(B121,input_530010!L:R,7,FALSE),VLOOKUP(tables_530010!C121,input_530010!A:H,8,FALSE))</f>
        <v>269249.53846000001</v>
      </c>
      <c r="P121" s="46">
        <f t="shared" ca="1" si="4"/>
        <v>4.3399345335267568E-3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input_530010!A$2</f>
        <v>530010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IFERROR(VLOOKUP(B122,input_530010!L:R,7,FALSE),VLOOKUP(tables_530010!C122,input_530010!A:H,8,FALSE))</f>
        <v>27750.46154</v>
      </c>
      <c r="P122" s="46">
        <f t="shared" ca="1" si="4"/>
        <v>4.4729950902643457E-4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input_530010!A$2</f>
        <v>530010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IFERROR(VLOOKUP(B123,input_530010!L:R,7,FALSE),VLOOKUP(tables_530010!C123,input_530010!A:H,8,FALSE))</f>
        <v>198000</v>
      </c>
      <c r="P123" s="46">
        <f t="shared" ca="1" si="4"/>
        <v>3.1914893617021275E-3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input_530010!A$2</f>
        <v>530010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IFERROR(VLOOKUP(B124,input_530010!L:R,7,FALSE),VLOOKUP(tables_530010!C124,input_530010!A:H,8,FALSE))</f>
        <v>269249.53846000001</v>
      </c>
      <c r="P124" s="46">
        <f t="shared" ca="1" si="4"/>
        <v>4.3399345335267568E-3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input_530010!A$2</f>
        <v>530010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IFERROR(VLOOKUP(B125,input_530010!L:R,7,FALSE),VLOOKUP(tables_530010!C125,input_530010!A:H,8,FALSE))</f>
        <v>27750.46154</v>
      </c>
      <c r="P125" s="46">
        <f t="shared" ca="1" si="4"/>
        <v>4.4729950902643457E-4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input_530010!A$2</f>
        <v>530010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IFERROR(VLOOKUP(B126,input_530010!L:R,7,FALSE),VLOOKUP(tables_530010!C126,input_530010!A:H,8,FALSE))</f>
        <v>198000</v>
      </c>
      <c r="P126" s="46">
        <f t="shared" ca="1" si="4"/>
        <v>3.1914893617021275E-3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input_530010!A$2</f>
        <v>530010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IFERROR(VLOOKUP(B127,input_530010!L:R,7,FALSE),VLOOKUP(tables_530010!C127,input_530010!A:H,8,FALSE))</f>
        <v>269249.53846000001</v>
      </c>
      <c r="P127" s="46">
        <f t="shared" ca="1" si="4"/>
        <v>4.3399345335267568E-3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input_530010!A$2</f>
        <v>530010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IFERROR(VLOOKUP(B128,input_530010!L:R,7,FALSE),VLOOKUP(tables_530010!C128,input_530010!A:H,8,FALSE))</f>
        <v>27750.46154</v>
      </c>
      <c r="P128" s="46">
        <f t="shared" ca="1" si="4"/>
        <v>4.4729950902643457E-4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input_530010!A$2</f>
        <v>530010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IFERROR(VLOOKUP(B129,input_530010!L:R,7,FALSE),VLOOKUP(tables_530010!C129,input_530010!A:H,8,FALSE))</f>
        <v>198000</v>
      </c>
      <c r="P129" s="46">
        <f t="shared" ca="1" si="4"/>
        <v>3.1914893617021275E-3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input_530010!A$2</f>
        <v>530010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IFERROR(VLOOKUP(B130,input_530010!L:R,7,FALSE),VLOOKUP(tables_530010!C130,input_530010!A:H,8,FALSE))</f>
        <v>269249.53846000001</v>
      </c>
      <c r="P130" s="46">
        <f t="shared" ref="P130:P193" ca="1" si="7">O130/SUM(O:O)</f>
        <v>4.3399345335267568E-3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input_530010!A$2</f>
        <v>530010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IFERROR(VLOOKUP(B131,input_530010!L:R,7,FALSE),VLOOKUP(tables_530010!C131,input_530010!A:H,8,FALSE))</f>
        <v>27750.46154</v>
      </c>
      <c r="P131" s="46">
        <f t="shared" ca="1" si="7"/>
        <v>4.4729950902643457E-4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input_530010!A$2</f>
        <v>530010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IFERROR(VLOOKUP(B132,input_530010!L:R,7,FALSE),VLOOKUP(tables_530010!C132,input_530010!A:H,8,FALSE))</f>
        <v>198000</v>
      </c>
      <c r="P132" s="46">
        <f t="shared" ca="1" si="7"/>
        <v>3.1914893617021275E-3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input_530010!A$2</f>
        <v>530010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IFERROR(VLOOKUP(B133,input_530010!L:R,7,FALSE),VLOOKUP(tables_530010!C133,input_530010!A:H,8,FALSE))</f>
        <v>269249.53846000001</v>
      </c>
      <c r="P133" s="46">
        <f t="shared" ca="1" si="7"/>
        <v>4.3399345335267568E-3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input_530010!A$2</f>
        <v>530010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IFERROR(VLOOKUP(B134,input_530010!L:R,7,FALSE),VLOOKUP(tables_530010!C134,input_530010!A:H,8,FALSE))</f>
        <v>27750.46154</v>
      </c>
      <c r="P134" s="46">
        <f t="shared" ca="1" si="7"/>
        <v>4.4729950902643457E-4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input_530010!A$2</f>
        <v>530010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IFERROR(VLOOKUP(B135,input_530010!L:R,7,FALSE),VLOOKUP(tables_530010!C135,input_530010!A:H,8,FALSE))</f>
        <v>198000</v>
      </c>
      <c r="P135" s="46">
        <f t="shared" ca="1" si="7"/>
        <v>3.1914893617021275E-3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input_530010!A$2</f>
        <v>530010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IFERROR(VLOOKUP(B136,input_530010!L:R,7,FALSE),VLOOKUP(tables_530010!C136,input_530010!A:H,8,FALSE))</f>
        <v>269249.53846000001</v>
      </c>
      <c r="P136" s="46">
        <f t="shared" ca="1" si="7"/>
        <v>4.3399345335267568E-3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input_530010!A$2</f>
        <v>530010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IFERROR(VLOOKUP(B137,input_530010!L:R,7,FALSE),VLOOKUP(tables_530010!C137,input_530010!A:H,8,FALSE))</f>
        <v>27750.46154</v>
      </c>
      <c r="P137" s="46">
        <f t="shared" ca="1" si="7"/>
        <v>4.4729950902643457E-4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input_530010!A$2</f>
        <v>530010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IFERROR(VLOOKUP(B138,input_530010!L:R,7,FALSE),VLOOKUP(tables_530010!C138,input_530010!A:H,8,FALSE))</f>
        <v>74448</v>
      </c>
      <c r="P138" s="46">
        <f t="shared" ca="1" si="7"/>
        <v>1.1999999999999999E-3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input_530010!A$2</f>
        <v>530010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IFERROR(VLOOKUP(B139,input_530010!L:R,7,FALSE),VLOOKUP(tables_530010!C139,input_530010!A:H,8,FALSE))</f>
        <v>8272</v>
      </c>
      <c r="P139" s="46">
        <f t="shared" ca="1" si="7"/>
        <v>1.3333333333333334E-4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input_530010!A$2</f>
        <v>530010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IFERROR(VLOOKUP(B140,input_530010!L:R,7,FALSE),VLOOKUP(tables_530010!C140,input_530010!A:H,8,FALSE))</f>
        <v>74448</v>
      </c>
      <c r="P140" s="46">
        <f t="shared" ca="1" si="7"/>
        <v>1.1999999999999999E-3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input_530010!A$2</f>
        <v>530010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IFERROR(VLOOKUP(B141,input_530010!L:R,7,FALSE),VLOOKUP(tables_530010!C141,input_530010!A:H,8,FALSE))</f>
        <v>8272</v>
      </c>
      <c r="P141" s="46">
        <f t="shared" ca="1" si="7"/>
        <v>1.3333333333333334E-4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input_530010!A$2</f>
        <v>530010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IFERROR(VLOOKUP(B142,input_530010!L:R,7,FALSE),VLOOKUP(tables_530010!C142,input_530010!A:H,8,FALSE))</f>
        <v>74448</v>
      </c>
      <c r="P142" s="46">
        <f t="shared" ca="1" si="7"/>
        <v>1.1999999999999999E-3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input_530010!A$2</f>
        <v>530010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IFERROR(VLOOKUP(B143,input_530010!L:R,7,FALSE),VLOOKUP(tables_530010!C143,input_530010!A:H,8,FALSE))</f>
        <v>8272</v>
      </c>
      <c r="P143" s="46">
        <f t="shared" ca="1" si="7"/>
        <v>1.3333333333333334E-4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input_530010!A$2</f>
        <v>530010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IFERROR(VLOOKUP(B144,input_530010!L:R,7,FALSE),VLOOKUP(tables_530010!C144,input_530010!A:H,8,FALSE))</f>
        <v>74448</v>
      </c>
      <c r="P144" s="46">
        <f t="shared" ca="1" si="7"/>
        <v>1.1999999999999999E-3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input_530010!A$2</f>
        <v>530010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IFERROR(VLOOKUP(B145,input_530010!L:R,7,FALSE),VLOOKUP(tables_530010!C145,input_530010!A:H,8,FALSE))</f>
        <v>8272</v>
      </c>
      <c r="P145" s="46">
        <f t="shared" ca="1" si="7"/>
        <v>1.3333333333333334E-4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input_530010!A$2</f>
        <v>530010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IFERROR(VLOOKUP(B146,input_530010!L:R,7,FALSE),VLOOKUP(tables_530010!C146,input_530010!A:H,8,FALSE))</f>
        <v>198000</v>
      </c>
      <c r="P146" s="46">
        <f t="shared" ca="1" si="7"/>
        <v>3.1914893617021275E-3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input_530010!A$2</f>
        <v>530010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IFERROR(VLOOKUP(B147,input_530010!L:R,7,FALSE),VLOOKUP(tables_530010!C147,input_530010!A:H,8,FALSE))</f>
        <v>269249.53846000001</v>
      </c>
      <c r="P147" s="46">
        <f t="shared" ca="1" si="7"/>
        <v>4.3399345335267568E-3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input_530010!A$2</f>
        <v>530010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IFERROR(VLOOKUP(B148,input_530010!L:R,7,FALSE),VLOOKUP(tables_530010!C148,input_530010!A:H,8,FALSE))</f>
        <v>27750.46154</v>
      </c>
      <c r="P148" s="46">
        <f t="shared" ca="1" si="7"/>
        <v>4.4729950902643457E-4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input_530010!A$2</f>
        <v>530010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IFERROR(VLOOKUP(B149,input_530010!L:R,7,FALSE),VLOOKUP(tables_530010!C149,input_530010!A:H,8,FALSE))</f>
        <v>74448</v>
      </c>
      <c r="P149" s="46">
        <f t="shared" ca="1" si="7"/>
        <v>1.1999999999999999E-3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input_530010!A$2</f>
        <v>530010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IFERROR(VLOOKUP(B150,input_530010!L:R,7,FALSE),VLOOKUP(tables_530010!C150,input_530010!A:H,8,FALSE))</f>
        <v>8272</v>
      </c>
      <c r="P150" s="46">
        <f t="shared" ca="1" si="7"/>
        <v>1.3333333333333334E-4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input_530010!A$2</f>
        <v>530010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IFERROR(VLOOKUP(B151,input_530010!L:R,7,FALSE),VLOOKUP(tables_530010!C151,input_530010!A:H,8,FALSE))</f>
        <v>74448</v>
      </c>
      <c r="P151" s="46">
        <f t="shared" ca="1" si="7"/>
        <v>1.1999999999999999E-3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input_530010!A$2</f>
        <v>530010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IFERROR(VLOOKUP(B152,input_530010!L:R,7,FALSE),VLOOKUP(tables_530010!C152,input_530010!A:H,8,FALSE))</f>
        <v>8272</v>
      </c>
      <c r="P152" s="46">
        <f t="shared" ca="1" si="7"/>
        <v>1.3333333333333334E-4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input_530010!A$2</f>
        <v>530010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IFERROR(VLOOKUP(B153,input_530010!L:R,7,FALSE),VLOOKUP(tables_530010!C153,input_530010!A:H,8,FALSE))</f>
        <v>198000</v>
      </c>
      <c r="P153" s="46">
        <f t="shared" ca="1" si="7"/>
        <v>3.1914893617021275E-3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input_530010!A$2</f>
        <v>530010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IFERROR(VLOOKUP(B154,input_530010!L:R,7,FALSE),VLOOKUP(tables_530010!C154,input_530010!A:H,8,FALSE))</f>
        <v>269249.53846000001</v>
      </c>
      <c r="P154" s="46">
        <f t="shared" ca="1" si="7"/>
        <v>4.3399345335267568E-3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input_530010!A$2</f>
        <v>530010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IFERROR(VLOOKUP(B155,input_530010!L:R,7,FALSE),VLOOKUP(tables_530010!C155,input_530010!A:H,8,FALSE))</f>
        <v>27750.46154</v>
      </c>
      <c r="P155" s="46">
        <f t="shared" ca="1" si="7"/>
        <v>4.4729950902643457E-4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input_530010!A$2</f>
        <v>530010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IFERROR(VLOOKUP(B156,input_530010!L:R,7,FALSE),VLOOKUP(tables_530010!C156,input_530010!A:H,8,FALSE))</f>
        <v>74448</v>
      </c>
      <c r="P156" s="46">
        <f t="shared" ca="1" si="7"/>
        <v>1.1999999999999999E-3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input_530010!A$2</f>
        <v>530010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IFERROR(VLOOKUP(B157,input_530010!L:R,7,FALSE),VLOOKUP(tables_530010!C157,input_530010!A:H,8,FALSE))</f>
        <v>8272</v>
      </c>
      <c r="P157" s="46">
        <f t="shared" ca="1" si="7"/>
        <v>1.3333333333333334E-4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input_530010!A$2</f>
        <v>530010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IFERROR(VLOOKUP(B158,input_530010!L:R,7,FALSE),VLOOKUP(tables_530010!C158,input_530010!A:H,8,FALSE))</f>
        <v>198000</v>
      </c>
      <c r="P158" s="46">
        <f t="shared" ca="1" si="7"/>
        <v>3.1914893617021275E-3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input_530010!A$2</f>
        <v>530010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IFERROR(VLOOKUP(B159,input_530010!L:R,7,FALSE),VLOOKUP(tables_530010!C159,input_530010!A:H,8,FALSE))</f>
        <v>269249.53846000001</v>
      </c>
      <c r="P159" s="46">
        <f t="shared" ca="1" si="7"/>
        <v>4.3399345335267568E-3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input_530010!A$2</f>
        <v>530010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IFERROR(VLOOKUP(B160,input_530010!L:R,7,FALSE),VLOOKUP(tables_530010!C160,input_530010!A:H,8,FALSE))</f>
        <v>27750.46154</v>
      </c>
      <c r="P160" s="46">
        <f t="shared" ca="1" si="7"/>
        <v>4.4729950902643457E-4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input_530010!A$2</f>
        <v>530010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IFERROR(VLOOKUP(B161,input_530010!L:R,7,FALSE),VLOOKUP(tables_530010!C161,input_530010!A:H,8,FALSE))</f>
        <v>198000</v>
      </c>
      <c r="P161" s="46">
        <f t="shared" ca="1" si="7"/>
        <v>3.1914893617021275E-3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input_530010!A$2</f>
        <v>530010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IFERROR(VLOOKUP(B162,input_530010!L:R,7,FALSE),VLOOKUP(tables_530010!C162,input_530010!A:H,8,FALSE))</f>
        <v>269249.53846000001</v>
      </c>
      <c r="P162" s="46">
        <f t="shared" ca="1" si="7"/>
        <v>4.3399345335267568E-3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input_530010!A$2</f>
        <v>530010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IFERROR(VLOOKUP(B163,input_530010!L:R,7,FALSE),VLOOKUP(tables_530010!C163,input_530010!A:H,8,FALSE))</f>
        <v>27750.46154</v>
      </c>
      <c r="P163" s="46">
        <f t="shared" ca="1" si="7"/>
        <v>4.4729950902643457E-4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input_530010!A$2</f>
        <v>530010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IFERROR(VLOOKUP(B164,input_530010!L:R,7,FALSE),VLOOKUP(tables_530010!C164,input_530010!A:H,8,FALSE))</f>
        <v>74448</v>
      </c>
      <c r="P164" s="46">
        <f t="shared" ca="1" si="7"/>
        <v>1.1999999999999999E-3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input_530010!A$2</f>
        <v>530010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IFERROR(VLOOKUP(B165,input_530010!L:R,7,FALSE),VLOOKUP(tables_530010!C165,input_530010!A:H,8,FALSE))</f>
        <v>8272</v>
      </c>
      <c r="P165" s="46">
        <f t="shared" ca="1" si="7"/>
        <v>1.3333333333333334E-4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input_530010!A$2</f>
        <v>530010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IFERROR(VLOOKUP(B166,input_530010!L:R,7,FALSE),VLOOKUP(tables_530010!C166,input_530010!A:H,8,FALSE))</f>
        <v>198000</v>
      </c>
      <c r="P166" s="46">
        <f t="shared" ca="1" si="7"/>
        <v>3.1914893617021275E-3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input_530010!A$2</f>
        <v>530010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IFERROR(VLOOKUP(B167,input_530010!L:R,7,FALSE),VLOOKUP(tables_530010!C167,input_530010!A:H,8,FALSE))</f>
        <v>269249.53846000001</v>
      </c>
      <c r="P167" s="46">
        <f t="shared" ca="1" si="7"/>
        <v>4.3399345335267568E-3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input_530010!A$2</f>
        <v>530010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IFERROR(VLOOKUP(B168,input_530010!L:R,7,FALSE),VLOOKUP(tables_530010!C168,input_530010!A:H,8,FALSE))</f>
        <v>27750.46154</v>
      </c>
      <c r="P168" s="46">
        <f t="shared" ca="1" si="7"/>
        <v>4.4729950902643457E-4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input_530010!A$2</f>
        <v>530010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IFERROR(VLOOKUP(B169,input_530010!L:R,7,FALSE),VLOOKUP(tables_530010!C169,input_530010!A:H,8,FALSE))</f>
        <v>74448</v>
      </c>
      <c r="P169" s="46">
        <f t="shared" ca="1" si="7"/>
        <v>1.1999999999999999E-3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input_530010!A$2</f>
        <v>530010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IFERROR(VLOOKUP(B170,input_530010!L:R,7,FALSE),VLOOKUP(tables_530010!C170,input_530010!A:H,8,FALSE))</f>
        <v>8272</v>
      </c>
      <c r="P170" s="46">
        <f t="shared" ca="1" si="7"/>
        <v>1.3333333333333334E-4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input_530010!A$2</f>
        <v>530010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IFERROR(VLOOKUP(B171,input_530010!L:R,7,FALSE),VLOOKUP(tables_530010!C171,input_530010!A:H,8,FALSE))</f>
        <v>198000</v>
      </c>
      <c r="P171" s="46">
        <f t="shared" ca="1" si="7"/>
        <v>3.1914893617021275E-3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input_530010!A$2</f>
        <v>530010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IFERROR(VLOOKUP(B172,input_530010!L:R,7,FALSE),VLOOKUP(tables_530010!C172,input_530010!A:H,8,FALSE))</f>
        <v>269249.53846000001</v>
      </c>
      <c r="P172" s="46">
        <f t="shared" ca="1" si="7"/>
        <v>4.3399345335267568E-3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input_530010!A$2</f>
        <v>530010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IFERROR(VLOOKUP(B173,input_530010!L:R,7,FALSE),VLOOKUP(tables_530010!C173,input_530010!A:H,8,FALSE))</f>
        <v>27750.46154</v>
      </c>
      <c r="P173" s="46">
        <f t="shared" ca="1" si="7"/>
        <v>4.4729950902643457E-4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input_530010!A$2</f>
        <v>530010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IFERROR(VLOOKUP(B174,input_530010!L:R,7,FALSE),VLOOKUP(tables_530010!C174,input_530010!A:H,8,FALSE))</f>
        <v>74448</v>
      </c>
      <c r="P174" s="46">
        <f t="shared" ca="1" si="7"/>
        <v>1.1999999999999999E-3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input_530010!A$2</f>
        <v>530010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IFERROR(VLOOKUP(B175,input_530010!L:R,7,FALSE),VLOOKUP(tables_530010!C175,input_530010!A:H,8,FALSE))</f>
        <v>8272</v>
      </c>
      <c r="P175" s="46">
        <f t="shared" ca="1" si="7"/>
        <v>1.3333333333333334E-4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input_530010!A$2</f>
        <v>530010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IFERROR(VLOOKUP(B176,input_530010!L:R,7,FALSE),VLOOKUP(tables_530010!C176,input_530010!A:H,8,FALSE))</f>
        <v>74448</v>
      </c>
      <c r="P176" s="46">
        <f t="shared" ca="1" si="7"/>
        <v>1.1999999999999999E-3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input_530010!A$2</f>
        <v>530010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IFERROR(VLOOKUP(B177,input_530010!L:R,7,FALSE),VLOOKUP(tables_530010!C177,input_530010!A:H,8,FALSE))</f>
        <v>8272</v>
      </c>
      <c r="P177" s="46">
        <f t="shared" ca="1" si="7"/>
        <v>1.3333333333333334E-4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input_530010!A$2</f>
        <v>530010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IFERROR(VLOOKUP(B178,input_530010!L:R,7,FALSE),VLOOKUP(tables_530010!C178,input_530010!A:H,8,FALSE))</f>
        <v>198000</v>
      </c>
      <c r="P178" s="46">
        <f t="shared" ca="1" si="7"/>
        <v>3.1914893617021275E-3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input_530010!A$2</f>
        <v>530010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IFERROR(VLOOKUP(B179,input_530010!L:R,7,FALSE),VLOOKUP(tables_530010!C179,input_530010!A:H,8,FALSE))</f>
        <v>269249.53846000001</v>
      </c>
      <c r="P179" s="46">
        <f t="shared" ca="1" si="7"/>
        <v>4.3399345335267568E-3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input_530010!A$2</f>
        <v>530010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IFERROR(VLOOKUP(B180,input_530010!L:R,7,FALSE),VLOOKUP(tables_530010!C180,input_530010!A:H,8,FALSE))</f>
        <v>27750.46154</v>
      </c>
      <c r="P180" s="46">
        <f t="shared" ca="1" si="7"/>
        <v>4.4729950902643457E-4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input_530010!A$2</f>
        <v>530010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IFERROR(VLOOKUP(B181,input_530010!L:R,7,FALSE),VLOOKUP(tables_530010!C181,input_530010!A:H,8,FALSE))</f>
        <v>198000</v>
      </c>
      <c r="P181" s="46">
        <f t="shared" ca="1" si="7"/>
        <v>3.1914893617021275E-3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input_530010!A$2</f>
        <v>530010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IFERROR(VLOOKUP(B182,input_530010!L:R,7,FALSE),VLOOKUP(tables_530010!C182,input_530010!A:H,8,FALSE))</f>
        <v>269249.53846000001</v>
      </c>
      <c r="P182" s="46">
        <f t="shared" ca="1" si="7"/>
        <v>4.3399345335267568E-3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input_530010!A$2</f>
        <v>530010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IFERROR(VLOOKUP(B183,input_530010!L:R,7,FALSE),VLOOKUP(tables_530010!C183,input_530010!A:H,8,FALSE))</f>
        <v>27750.46154</v>
      </c>
      <c r="P183" s="46">
        <f t="shared" ca="1" si="7"/>
        <v>4.4729950902643457E-4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input_530010!A$2</f>
        <v>530010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IFERROR(VLOOKUP(B184,input_530010!L:R,7,FALSE),VLOOKUP(tables_530010!C184,input_530010!A:H,8,FALSE))</f>
        <v>74448</v>
      </c>
      <c r="P184" s="46">
        <f t="shared" ca="1" si="7"/>
        <v>1.1999999999999999E-3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input_530010!A$2</f>
        <v>530010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IFERROR(VLOOKUP(B185,input_530010!L:R,7,FALSE),VLOOKUP(tables_530010!C185,input_530010!A:H,8,FALSE))</f>
        <v>8272</v>
      </c>
      <c r="P185" s="46">
        <f t="shared" ca="1" si="7"/>
        <v>1.3333333333333334E-4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input_530010!A$2</f>
        <v>530010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IFERROR(VLOOKUP(B186,input_530010!L:R,7,FALSE),VLOOKUP(tables_530010!C186,input_530010!A:H,8,FALSE))</f>
        <v>198000</v>
      </c>
      <c r="P186" s="46">
        <f t="shared" ca="1" si="7"/>
        <v>3.1914893617021275E-3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input_530010!A$2</f>
        <v>530010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IFERROR(VLOOKUP(B187,input_530010!L:R,7,FALSE),VLOOKUP(tables_530010!C187,input_530010!A:H,8,FALSE))</f>
        <v>269249.53846000001</v>
      </c>
      <c r="P187" s="46">
        <f t="shared" ca="1" si="7"/>
        <v>4.3399345335267568E-3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input_530010!A$2</f>
        <v>530010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IFERROR(VLOOKUP(B188,input_530010!L:R,7,FALSE),VLOOKUP(tables_530010!C188,input_530010!A:H,8,FALSE))</f>
        <v>27750.46154</v>
      </c>
      <c r="P188" s="46">
        <f t="shared" ca="1" si="7"/>
        <v>4.4729950902643457E-4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input_530010!A$2</f>
        <v>530010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IFERROR(VLOOKUP(B189,input_530010!L:R,7,FALSE),VLOOKUP(tables_530010!C189,input_530010!A:H,8,FALSE))</f>
        <v>74448</v>
      </c>
      <c r="P189" s="46">
        <f t="shared" ca="1" si="7"/>
        <v>1.1999999999999999E-3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input_530010!A$2</f>
        <v>530010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IFERROR(VLOOKUP(B190,input_530010!L:R,7,FALSE),VLOOKUP(tables_530010!C190,input_530010!A:H,8,FALSE))</f>
        <v>8272</v>
      </c>
      <c r="P190" s="46">
        <f t="shared" ca="1" si="7"/>
        <v>1.3333333333333334E-4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input_530010!A$2</f>
        <v>530010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IFERROR(VLOOKUP(B191,input_530010!L:R,7,FALSE),VLOOKUP(tables_530010!C191,input_530010!A:H,8,FALSE))</f>
        <v>74448</v>
      </c>
      <c r="P191" s="46">
        <f t="shared" ca="1" si="7"/>
        <v>1.1999999999999999E-3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input_530010!A$2</f>
        <v>530010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IFERROR(VLOOKUP(B192,input_530010!L:R,7,FALSE),VLOOKUP(tables_530010!C192,input_530010!A:H,8,FALSE))</f>
        <v>8272</v>
      </c>
      <c r="P192" s="46">
        <f t="shared" ca="1" si="7"/>
        <v>1.3333333333333334E-4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input_530010!A$2</f>
        <v>530010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IFERROR(VLOOKUP(B193,input_530010!L:R,7,FALSE),VLOOKUP(tables_530010!C193,input_530010!A:H,8,FALSE))</f>
        <v>198000</v>
      </c>
      <c r="P193" s="46">
        <f t="shared" ca="1" si="7"/>
        <v>3.1914893617021275E-3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input_530010!A$2</f>
        <v>530010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IFERROR(VLOOKUP(B194,input_530010!L:R,7,FALSE),VLOOKUP(tables_530010!C194,input_530010!A:H,8,FALSE))</f>
        <v>269249.53846000001</v>
      </c>
      <c r="P194" s="46">
        <f t="shared" ref="P194:P257" ca="1" si="10">O194/SUM(O:O)</f>
        <v>4.3399345335267568E-3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input_530010!A$2</f>
        <v>530010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IFERROR(VLOOKUP(B195,input_530010!L:R,7,FALSE),VLOOKUP(tables_530010!C195,input_530010!A:H,8,FALSE))</f>
        <v>27750.46154</v>
      </c>
      <c r="P195" s="46">
        <f t="shared" ca="1" si="10"/>
        <v>4.4729950902643457E-4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input_530010!A$2</f>
        <v>530010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IFERROR(VLOOKUP(B196,input_530010!L:R,7,FALSE),VLOOKUP(tables_530010!C196,input_530010!A:H,8,FALSE))</f>
        <v>74448</v>
      </c>
      <c r="P196" s="46">
        <f t="shared" ca="1" si="10"/>
        <v>1.1999999999999999E-3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input_530010!A$2</f>
        <v>530010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IFERROR(VLOOKUP(B197,input_530010!L:R,7,FALSE),VLOOKUP(tables_530010!C197,input_530010!A:H,8,FALSE))</f>
        <v>8272</v>
      </c>
      <c r="P197" s="46">
        <f t="shared" ca="1" si="10"/>
        <v>1.3333333333333334E-4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input_530010!A$2</f>
        <v>530010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IFERROR(VLOOKUP(B198,input_530010!L:R,7,FALSE),VLOOKUP(tables_530010!C198,input_530010!A:H,8,FALSE))</f>
        <v>198000</v>
      </c>
      <c r="P198" s="46">
        <f t="shared" ca="1" si="10"/>
        <v>3.1914893617021275E-3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input_530010!A$2</f>
        <v>530010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IFERROR(VLOOKUP(B199,input_530010!L:R,7,FALSE),VLOOKUP(tables_530010!C199,input_530010!A:H,8,FALSE))</f>
        <v>269249.53846000001</v>
      </c>
      <c r="P199" s="46">
        <f t="shared" ca="1" si="10"/>
        <v>4.3399345335267568E-3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input_530010!A$2</f>
        <v>530010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IFERROR(VLOOKUP(B200,input_530010!L:R,7,FALSE),VLOOKUP(tables_530010!C200,input_530010!A:H,8,FALSE))</f>
        <v>27750.46154</v>
      </c>
      <c r="P200" s="46">
        <f t="shared" ca="1" si="10"/>
        <v>4.4729950902643457E-4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input_530010!A$2</f>
        <v>530010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IFERROR(VLOOKUP(B201,input_530010!L:R,7,FALSE),VLOOKUP(tables_530010!C201,input_530010!A:H,8,FALSE))</f>
        <v>74448</v>
      </c>
      <c r="P201" s="46">
        <f t="shared" ca="1" si="10"/>
        <v>1.1999999999999999E-3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input_530010!A$2</f>
        <v>530010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IFERROR(VLOOKUP(B202,input_530010!L:R,7,FALSE),VLOOKUP(tables_530010!C202,input_530010!A:H,8,FALSE))</f>
        <v>8272</v>
      </c>
      <c r="P202" s="46">
        <f t="shared" ca="1" si="10"/>
        <v>1.3333333333333334E-4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input_530010!A$2</f>
        <v>530010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IFERROR(VLOOKUP(B203,input_530010!L:R,7,FALSE),VLOOKUP(tables_530010!C203,input_530010!A:H,8,FALSE))</f>
        <v>198000</v>
      </c>
      <c r="P203" s="46">
        <f t="shared" ca="1" si="10"/>
        <v>3.1914893617021275E-3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input_530010!A$2</f>
        <v>530010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IFERROR(VLOOKUP(B204,input_530010!L:R,7,FALSE),VLOOKUP(tables_530010!C204,input_530010!A:H,8,FALSE))</f>
        <v>269249.53846000001</v>
      </c>
      <c r="P204" s="46">
        <f t="shared" ca="1" si="10"/>
        <v>4.3399345335267568E-3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input_530010!A$2</f>
        <v>530010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IFERROR(VLOOKUP(B205,input_530010!L:R,7,FALSE),VLOOKUP(tables_530010!C205,input_530010!A:H,8,FALSE))</f>
        <v>27750.46154</v>
      </c>
      <c r="P205" s="46">
        <f t="shared" ca="1" si="10"/>
        <v>4.4729950902643457E-4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input_530010!A$2</f>
        <v>530010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IFERROR(VLOOKUP(B206,input_530010!L:R,7,FALSE),VLOOKUP(tables_530010!C206,input_530010!A:H,8,FALSE))</f>
        <v>74448</v>
      </c>
      <c r="P206" s="46">
        <f t="shared" ca="1" si="10"/>
        <v>1.1999999999999999E-3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input_530010!A$2</f>
        <v>530010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IFERROR(VLOOKUP(B207,input_530010!L:R,7,FALSE),VLOOKUP(tables_530010!C207,input_530010!A:H,8,FALSE))</f>
        <v>8272</v>
      </c>
      <c r="P207" s="46">
        <f t="shared" ca="1" si="10"/>
        <v>1.3333333333333334E-4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input_530010!A$2</f>
        <v>530010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IFERROR(VLOOKUP(B208,input_530010!L:R,7,FALSE),VLOOKUP(tables_530010!C208,input_530010!A:H,8,FALSE))</f>
        <v>74448</v>
      </c>
      <c r="P208" s="46">
        <f t="shared" ca="1" si="10"/>
        <v>1.1999999999999999E-3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input_530010!A$2</f>
        <v>530010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IFERROR(VLOOKUP(B209,input_530010!L:R,7,FALSE),VLOOKUP(tables_530010!C209,input_530010!A:H,8,FALSE))</f>
        <v>8272</v>
      </c>
      <c r="P209" s="46">
        <f t="shared" ca="1" si="10"/>
        <v>1.3333333333333334E-4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input_530010!A$2</f>
        <v>530010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IFERROR(VLOOKUP(B210,input_530010!L:R,7,FALSE),VLOOKUP(tables_530010!C210,input_530010!A:H,8,FALSE))</f>
        <v>198000</v>
      </c>
      <c r="P210" s="46">
        <f t="shared" ca="1" si="10"/>
        <v>3.1914893617021275E-3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input_530010!A$2</f>
        <v>530010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IFERROR(VLOOKUP(B211,input_530010!L:R,7,FALSE),VLOOKUP(tables_530010!C211,input_530010!A:H,8,FALSE))</f>
        <v>269249.53846000001</v>
      </c>
      <c r="P211" s="46">
        <f t="shared" ca="1" si="10"/>
        <v>4.3399345335267568E-3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input_530010!A$2</f>
        <v>530010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IFERROR(VLOOKUP(B212,input_530010!L:R,7,FALSE),VLOOKUP(tables_530010!C212,input_530010!A:H,8,FALSE))</f>
        <v>27750.46154</v>
      </c>
      <c r="P212" s="46">
        <f t="shared" ca="1" si="10"/>
        <v>4.4729950902643457E-4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input_530010!A$2</f>
        <v>530010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IFERROR(VLOOKUP(B213,input_530010!L:R,7,FALSE),VLOOKUP(tables_530010!C213,input_530010!A:H,8,FALSE))</f>
        <v>74448</v>
      </c>
      <c r="P213" s="46">
        <f t="shared" ca="1" si="10"/>
        <v>1.1999999999999999E-3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input_530010!A$2</f>
        <v>530010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IFERROR(VLOOKUP(B214,input_530010!L:R,7,FALSE),VLOOKUP(tables_530010!C214,input_530010!A:H,8,FALSE))</f>
        <v>8272</v>
      </c>
      <c r="P214" s="46">
        <f t="shared" ca="1" si="10"/>
        <v>1.3333333333333334E-4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input_530010!A$2</f>
        <v>530010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IFERROR(VLOOKUP(B215,input_530010!L:R,7,FALSE),VLOOKUP(tables_530010!C215,input_530010!A:H,8,FALSE))</f>
        <v>49500</v>
      </c>
      <c r="P215" s="46">
        <f t="shared" ca="1" si="10"/>
        <v>7.9787234042553187E-4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input_530010!A$2</f>
        <v>530010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IFERROR(VLOOKUP(B216,input_530010!L:R,7,FALSE),VLOOKUP(tables_530010!C216,input_530010!A:H,8,FALSE))</f>
        <v>49500</v>
      </c>
      <c r="P216" s="46">
        <f t="shared" ca="1" si="10"/>
        <v>7.9787234042553187E-4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input_530010!A$2</f>
        <v>530010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IFERROR(VLOOKUP(B217,input_530010!L:R,7,FALSE),VLOOKUP(tables_530010!C217,input_530010!A:H,8,FALSE))</f>
        <v>49500</v>
      </c>
      <c r="P217" s="46">
        <f t="shared" ca="1" si="10"/>
        <v>7.9787234042553187E-4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input_530010!A$2</f>
        <v>530010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IFERROR(VLOOKUP(B218,input_530010!L:R,7,FALSE),VLOOKUP(tables_530010!C218,input_530010!A:H,8,FALSE))</f>
        <v>49500</v>
      </c>
      <c r="P218" s="46">
        <f t="shared" ca="1" si="10"/>
        <v>7.9787234042553187E-4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input_530010!A$2</f>
        <v>530010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IFERROR(VLOOKUP(B219,input_530010!L:R,7,FALSE),VLOOKUP(tables_530010!C219,input_530010!A:H,8,FALSE))</f>
        <v>49500</v>
      </c>
      <c r="P219" s="46">
        <f t="shared" ca="1" si="10"/>
        <v>7.9787234042553187E-4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input_530010!A$2</f>
        <v>530010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IFERROR(VLOOKUP(B220,input_530010!L:R,7,FALSE),VLOOKUP(tables_530010!C220,input_530010!A:H,8,FALSE))</f>
        <v>49500</v>
      </c>
      <c r="P220" s="46">
        <f t="shared" ca="1" si="10"/>
        <v>7.9787234042553187E-4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input_530010!A$2</f>
        <v>530010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IFERROR(VLOOKUP(B221,input_530010!L:R,7,FALSE),VLOOKUP(tables_530010!C221,input_530010!A:H,8,FALSE))</f>
        <v>74448</v>
      </c>
      <c r="P221" s="46">
        <f t="shared" ca="1" si="10"/>
        <v>1.1999999999999999E-3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input_530010!A$2</f>
        <v>530010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IFERROR(VLOOKUP(B222,input_530010!L:R,7,FALSE),VLOOKUP(tables_530010!C222,input_530010!A:H,8,FALSE))</f>
        <v>8272</v>
      </c>
      <c r="P222" s="46">
        <f t="shared" ca="1" si="10"/>
        <v>1.3333333333333334E-4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input_530010!A$2</f>
        <v>530010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IFERROR(VLOOKUP(B223,input_530010!L:R,7,FALSE),VLOOKUP(tables_530010!C223,input_530010!A:H,8,FALSE))</f>
        <v>198000</v>
      </c>
      <c r="P223" s="46">
        <f t="shared" ca="1" si="10"/>
        <v>3.1914893617021275E-3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input_530010!A$2</f>
        <v>530010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IFERROR(VLOOKUP(B224,input_530010!L:R,7,FALSE),VLOOKUP(tables_530010!C224,input_530010!A:H,8,FALSE))</f>
        <v>269249.53846000001</v>
      </c>
      <c r="P224" s="46">
        <f t="shared" ca="1" si="10"/>
        <v>4.3399345335267568E-3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input_530010!A$2</f>
        <v>530010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IFERROR(VLOOKUP(B225,input_530010!L:R,7,FALSE),VLOOKUP(tables_530010!C225,input_530010!A:H,8,FALSE))</f>
        <v>27750.46154</v>
      </c>
      <c r="P225" s="46">
        <f t="shared" ca="1" si="10"/>
        <v>4.4729950902643457E-4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input_530010!A$2</f>
        <v>530010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IFERROR(VLOOKUP(B226,input_530010!L:R,7,FALSE),VLOOKUP(tables_530010!C226,input_530010!A:H,8,FALSE))</f>
        <v>198000</v>
      </c>
      <c r="P226" s="46">
        <f t="shared" ca="1" si="10"/>
        <v>3.1914893617021275E-3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input_530010!A$2</f>
        <v>530010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IFERROR(VLOOKUP(B227,input_530010!L:R,7,FALSE),VLOOKUP(tables_530010!C227,input_530010!A:H,8,FALSE))</f>
        <v>269249.53846000001</v>
      </c>
      <c r="P227" s="46">
        <f t="shared" ca="1" si="10"/>
        <v>4.3399345335267568E-3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input_530010!A$2</f>
        <v>530010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IFERROR(VLOOKUP(B228,input_530010!L:R,7,FALSE),VLOOKUP(tables_530010!C228,input_530010!A:H,8,FALSE))</f>
        <v>27750.46154</v>
      </c>
      <c r="P228" s="46">
        <f t="shared" ca="1" si="10"/>
        <v>4.4729950902643457E-4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input_530010!A$2</f>
        <v>530010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IFERROR(VLOOKUP(B229,input_530010!L:R,7,FALSE),VLOOKUP(tables_530010!C229,input_530010!A:H,8,FALSE))</f>
        <v>74448</v>
      </c>
      <c r="P229" s="46">
        <f t="shared" ca="1" si="10"/>
        <v>1.1999999999999999E-3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input_530010!A$2</f>
        <v>530010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IFERROR(VLOOKUP(B230,input_530010!L:R,7,FALSE),VLOOKUP(tables_530010!C230,input_530010!A:H,8,FALSE))</f>
        <v>8272</v>
      </c>
      <c r="P230" s="46">
        <f t="shared" ca="1" si="10"/>
        <v>1.3333333333333334E-4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input_530010!A$2</f>
        <v>530010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IFERROR(VLOOKUP(B231,input_530010!L:R,7,FALSE),VLOOKUP(tables_530010!C231,input_530010!A:H,8,FALSE))</f>
        <v>198000</v>
      </c>
      <c r="P231" s="46">
        <f t="shared" ca="1" si="10"/>
        <v>3.1914893617021275E-3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input_530010!A$2</f>
        <v>530010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IFERROR(VLOOKUP(B232,input_530010!L:R,7,FALSE),VLOOKUP(tables_530010!C232,input_530010!A:H,8,FALSE))</f>
        <v>269249.53846000001</v>
      </c>
      <c r="P232" s="46">
        <f t="shared" ca="1" si="10"/>
        <v>4.3399345335267568E-3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input_530010!A$2</f>
        <v>530010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IFERROR(VLOOKUP(B233,input_530010!L:R,7,FALSE),VLOOKUP(tables_530010!C233,input_530010!A:H,8,FALSE))</f>
        <v>27750.46154</v>
      </c>
      <c r="P233" s="46">
        <f t="shared" ca="1" si="10"/>
        <v>4.4729950902643457E-4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input_530010!A$2</f>
        <v>530010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IFERROR(VLOOKUP(B234,input_530010!L:R,7,FALSE),VLOOKUP(tables_530010!C234,input_530010!A:H,8,FALSE))</f>
        <v>198000</v>
      </c>
      <c r="P234" s="46">
        <f t="shared" ca="1" si="10"/>
        <v>3.1914893617021275E-3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input_530010!A$2</f>
        <v>530010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IFERROR(VLOOKUP(B235,input_530010!L:R,7,FALSE),VLOOKUP(tables_530010!C235,input_530010!A:H,8,FALSE))</f>
        <v>269249.53846000001</v>
      </c>
      <c r="P235" s="46">
        <f t="shared" ca="1" si="10"/>
        <v>4.3399345335267568E-3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input_530010!A$2</f>
        <v>530010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IFERROR(VLOOKUP(B236,input_530010!L:R,7,FALSE),VLOOKUP(tables_530010!C236,input_530010!A:H,8,FALSE))</f>
        <v>27750.46154</v>
      </c>
      <c r="P236" s="46">
        <f t="shared" ca="1" si="10"/>
        <v>4.4729950902643457E-4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input_530010!A$2</f>
        <v>530010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IFERROR(VLOOKUP(B237,input_530010!L:R,7,FALSE),VLOOKUP(tables_530010!C237,input_530010!A:H,8,FALSE))</f>
        <v>74448</v>
      </c>
      <c r="P237" s="46">
        <f t="shared" ca="1" si="10"/>
        <v>1.1999999999999999E-3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input_530010!A$2</f>
        <v>530010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IFERROR(VLOOKUP(B238,input_530010!L:R,7,FALSE),VLOOKUP(tables_530010!C238,input_530010!A:H,8,FALSE))</f>
        <v>8272</v>
      </c>
      <c r="P238" s="46">
        <f t="shared" ca="1" si="10"/>
        <v>1.3333333333333334E-4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input_530010!A$2</f>
        <v>530010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IFERROR(VLOOKUP(B239,input_530010!L:R,7,FALSE),VLOOKUP(tables_530010!C239,input_530010!A:H,8,FALSE))</f>
        <v>198000</v>
      </c>
      <c r="P239" s="46">
        <f t="shared" ca="1" si="10"/>
        <v>3.1914893617021275E-3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input_530010!A$2</f>
        <v>530010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IFERROR(VLOOKUP(B240,input_530010!L:R,7,FALSE),VLOOKUP(tables_530010!C240,input_530010!A:H,8,FALSE))</f>
        <v>269249.53846000001</v>
      </c>
      <c r="P240" s="46">
        <f t="shared" ca="1" si="10"/>
        <v>4.3399345335267568E-3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input_530010!A$2</f>
        <v>530010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IFERROR(VLOOKUP(B241,input_530010!L:R,7,FALSE),VLOOKUP(tables_530010!C241,input_530010!A:H,8,FALSE))</f>
        <v>27750.46154</v>
      </c>
      <c r="P241" s="46">
        <f t="shared" ca="1" si="10"/>
        <v>4.4729950902643457E-4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input_530010!A$2</f>
        <v>530010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IFERROR(VLOOKUP(B242,input_530010!L:R,7,FALSE),VLOOKUP(tables_530010!C242,input_530010!A:H,8,FALSE))</f>
        <v>74448</v>
      </c>
      <c r="P242" s="46">
        <f t="shared" ca="1" si="10"/>
        <v>1.1999999999999999E-3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input_530010!A$2</f>
        <v>530010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IFERROR(VLOOKUP(B243,input_530010!L:R,7,FALSE),VLOOKUP(tables_530010!C243,input_530010!A:H,8,FALSE))</f>
        <v>8272</v>
      </c>
      <c r="P243" s="46">
        <f t="shared" ca="1" si="10"/>
        <v>1.3333333333333334E-4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input_530010!A$2</f>
        <v>530010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IFERROR(VLOOKUP(B244,input_530010!L:R,7,FALSE),VLOOKUP(tables_530010!C244,input_530010!A:H,8,FALSE))</f>
        <v>74448</v>
      </c>
      <c r="P244" s="46">
        <f t="shared" ca="1" si="10"/>
        <v>1.1999999999999999E-3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input_530010!A$2</f>
        <v>530010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IFERROR(VLOOKUP(B245,input_530010!L:R,7,FALSE),VLOOKUP(tables_530010!C245,input_530010!A:H,8,FALSE))</f>
        <v>8272</v>
      </c>
      <c r="P245" s="46">
        <f t="shared" ca="1" si="10"/>
        <v>1.3333333333333334E-4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input_530010!A$2</f>
        <v>530010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IFERROR(VLOOKUP(B246,input_530010!L:R,7,FALSE),VLOOKUP(tables_530010!C246,input_530010!A:H,8,FALSE))</f>
        <v>198000</v>
      </c>
      <c r="P246" s="46">
        <f t="shared" ca="1" si="10"/>
        <v>3.1914893617021275E-3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input_530010!A$2</f>
        <v>530010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IFERROR(VLOOKUP(B247,input_530010!L:R,7,FALSE),VLOOKUP(tables_530010!C247,input_530010!A:H,8,FALSE))</f>
        <v>269249.53846000001</v>
      </c>
      <c r="P247" s="46">
        <f t="shared" ca="1" si="10"/>
        <v>4.3399345335267568E-3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input_530010!A$2</f>
        <v>530010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IFERROR(VLOOKUP(B248,input_530010!L:R,7,FALSE),VLOOKUP(tables_530010!C248,input_530010!A:H,8,FALSE))</f>
        <v>27750.46154</v>
      </c>
      <c r="P248" s="46">
        <f t="shared" ca="1" si="10"/>
        <v>4.4729950902643457E-4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input_530010!A$2</f>
        <v>530010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IFERROR(VLOOKUP(B249,input_530010!L:R,7,FALSE),VLOOKUP(tables_530010!C249,input_530010!A:H,8,FALSE))</f>
        <v>198000</v>
      </c>
      <c r="P249" s="46">
        <f t="shared" ca="1" si="10"/>
        <v>3.1914893617021275E-3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input_530010!A$2</f>
        <v>530010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IFERROR(VLOOKUP(B250,input_530010!L:R,7,FALSE),VLOOKUP(tables_530010!C250,input_530010!A:H,8,FALSE))</f>
        <v>269249.53846000001</v>
      </c>
      <c r="P250" s="46">
        <f t="shared" ca="1" si="10"/>
        <v>4.3399345335267568E-3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input_530010!A$2</f>
        <v>530010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IFERROR(VLOOKUP(B251,input_530010!L:R,7,FALSE),VLOOKUP(tables_530010!C251,input_530010!A:H,8,FALSE))</f>
        <v>27750.46154</v>
      </c>
      <c r="P251" s="46">
        <f t="shared" ca="1" si="10"/>
        <v>4.4729950902643457E-4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input_530010!A$2</f>
        <v>530010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IFERROR(VLOOKUP(B252,input_530010!L:R,7,FALSE),VLOOKUP(tables_530010!C252,input_530010!A:H,8,FALSE))</f>
        <v>198000</v>
      </c>
      <c r="P252" s="46">
        <f t="shared" ca="1" si="10"/>
        <v>3.1914893617021275E-3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input_530010!A$2</f>
        <v>530010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IFERROR(VLOOKUP(B253,input_530010!L:R,7,FALSE),VLOOKUP(tables_530010!C253,input_530010!A:H,8,FALSE))</f>
        <v>269249.53846000001</v>
      </c>
      <c r="P253" s="46">
        <f t="shared" ca="1" si="10"/>
        <v>4.3399345335267568E-3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input_530010!A$2</f>
        <v>530010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IFERROR(VLOOKUP(B254,input_530010!L:R,7,FALSE),VLOOKUP(tables_530010!C254,input_530010!A:H,8,FALSE))</f>
        <v>27750.46154</v>
      </c>
      <c r="P254" s="46">
        <f t="shared" ca="1" si="10"/>
        <v>4.4729950902643457E-4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input_530010!A$2</f>
        <v>530010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IFERROR(VLOOKUP(B255,input_530010!L:R,7,FALSE),VLOOKUP(tables_530010!C255,input_530010!A:H,8,FALSE))</f>
        <v>198000</v>
      </c>
      <c r="P255" s="46">
        <f t="shared" ca="1" si="10"/>
        <v>3.1914893617021275E-3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input_530010!A$2</f>
        <v>530010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IFERROR(VLOOKUP(B256,input_530010!L:R,7,FALSE),VLOOKUP(tables_530010!C256,input_530010!A:H,8,FALSE))</f>
        <v>269249.53846000001</v>
      </c>
      <c r="P256" s="46">
        <f t="shared" ca="1" si="10"/>
        <v>4.3399345335267568E-3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input_530010!A$2</f>
        <v>530010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IFERROR(VLOOKUP(B257,input_530010!L:R,7,FALSE),VLOOKUP(tables_530010!C257,input_530010!A:H,8,FALSE))</f>
        <v>27750.46154</v>
      </c>
      <c r="P257" s="46">
        <f t="shared" ca="1" si="10"/>
        <v>4.4729950902643457E-4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input_530010!A$2</f>
        <v>530010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IFERROR(VLOOKUP(B258,input_530010!L:R,7,FALSE),VLOOKUP(tables_530010!C258,input_530010!A:H,8,FALSE))</f>
        <v>74448</v>
      </c>
      <c r="P258" s="46">
        <f t="shared" ref="P258:P321" ca="1" si="13">O258/SUM(O:O)</f>
        <v>1.1999999999999999E-3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input_530010!A$2</f>
        <v>530010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IFERROR(VLOOKUP(B259,input_530010!L:R,7,FALSE),VLOOKUP(tables_530010!C259,input_530010!A:H,8,FALSE))</f>
        <v>8272</v>
      </c>
      <c r="P259" s="46">
        <f t="shared" ca="1" si="13"/>
        <v>1.3333333333333334E-4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input_530010!A$2</f>
        <v>530010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IFERROR(VLOOKUP(B260,input_530010!L:R,7,FALSE),VLOOKUP(tables_530010!C260,input_530010!A:H,8,FALSE))</f>
        <v>74448</v>
      </c>
      <c r="P260" s="46">
        <f t="shared" ca="1" si="13"/>
        <v>1.1999999999999999E-3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input_530010!A$2</f>
        <v>530010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IFERROR(VLOOKUP(B261,input_530010!L:R,7,FALSE),VLOOKUP(tables_530010!C261,input_530010!A:H,8,FALSE))</f>
        <v>8272</v>
      </c>
      <c r="P261" s="46">
        <f t="shared" ca="1" si="13"/>
        <v>1.3333333333333334E-4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input_530010!A$2</f>
        <v>530010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IFERROR(VLOOKUP(B262,input_530010!L:R,7,FALSE),VLOOKUP(tables_530010!C262,input_530010!A:H,8,FALSE))</f>
        <v>429000</v>
      </c>
      <c r="P262" s="46">
        <f t="shared" ca="1" si="13"/>
        <v>6.9148936170212762E-3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input_530010!A$2</f>
        <v>530010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IFERROR(VLOOKUP(B263,input_530010!L:R,7,FALSE),VLOOKUP(tables_530010!C263,input_530010!A:H,8,FALSE))</f>
        <v>49500</v>
      </c>
      <c r="P263" s="46">
        <f t="shared" ca="1" si="13"/>
        <v>7.9787234042553187E-4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input_530010!A$2</f>
        <v>530010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IFERROR(VLOOKUP(B264,input_530010!L:R,7,FALSE),VLOOKUP(tables_530010!C264,input_530010!A:H,8,FALSE))</f>
        <v>429000</v>
      </c>
      <c r="P264" s="46">
        <f t="shared" ca="1" si="13"/>
        <v>6.9148936170212762E-3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input_530010!A$2</f>
        <v>530010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IFERROR(VLOOKUP(B265,input_530010!L:R,7,FALSE),VLOOKUP(tables_530010!C265,input_530010!A:H,8,FALSE))</f>
        <v>49500</v>
      </c>
      <c r="P265" s="46">
        <f t="shared" ca="1" si="13"/>
        <v>7.9787234042553187E-4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input_530010!A$2</f>
        <v>530010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IFERROR(VLOOKUP(B266,input_530010!L:R,7,FALSE),VLOOKUP(tables_530010!C266,input_530010!A:H,8,FALSE))</f>
        <v>82720</v>
      </c>
      <c r="P266" s="46">
        <f t="shared" ca="1" si="13"/>
        <v>1.3333333333333333E-3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input_530010!A$2</f>
        <v>530010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IFERROR(VLOOKUP(B267,input_530010!L:R,7,FALSE),VLOOKUP(tables_530010!C267,input_530010!A:H,8,FALSE))</f>
        <v>82720</v>
      </c>
      <c r="P267" s="46">
        <f t="shared" ca="1" si="13"/>
        <v>1.3333333333333333E-3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input_530010!A$2</f>
        <v>530010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IFERROR(VLOOKUP(B268,input_530010!L:R,7,FALSE),VLOOKUP(tables_530010!C268,input_530010!A:H,8,FALSE))</f>
        <v>82720</v>
      </c>
      <c r="P268" s="46">
        <f t="shared" ca="1" si="13"/>
        <v>1.3333333333333333E-3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input_530010!A$2</f>
        <v>530010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IFERROR(VLOOKUP(B269,input_530010!L:R,7,FALSE),VLOOKUP(tables_530010!C269,input_530010!A:H,8,FALSE))</f>
        <v>82720</v>
      </c>
      <c r="P269" s="46">
        <f t="shared" ca="1" si="13"/>
        <v>1.3333333333333333E-3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input_530010!A$2</f>
        <v>530010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IFERROR(VLOOKUP(B270,input_530010!L:R,7,FALSE),VLOOKUP(tables_530010!C270,input_530010!A:H,8,FALSE))</f>
        <v>429000</v>
      </c>
      <c r="P270" s="46">
        <f t="shared" ca="1" si="13"/>
        <v>6.9148936170212762E-3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input_530010!A$2</f>
        <v>530010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IFERROR(VLOOKUP(B271,input_530010!L:R,7,FALSE),VLOOKUP(tables_530010!C271,input_530010!A:H,8,FALSE))</f>
        <v>49500</v>
      </c>
      <c r="P271" s="46">
        <f t="shared" ca="1" si="13"/>
        <v>7.9787234042553187E-4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input_530010!A$2</f>
        <v>530010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IFERROR(VLOOKUP(B272,input_530010!L:R,7,FALSE),VLOOKUP(tables_530010!C272,input_530010!A:H,8,FALSE))</f>
        <v>429000</v>
      </c>
      <c r="P272" s="46">
        <f t="shared" ca="1" si="13"/>
        <v>6.9148936170212762E-3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input_530010!A$2</f>
        <v>530010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IFERROR(VLOOKUP(B273,input_530010!L:R,7,FALSE),VLOOKUP(tables_530010!C273,input_530010!A:H,8,FALSE))</f>
        <v>49500</v>
      </c>
      <c r="P273" s="46">
        <f t="shared" ca="1" si="13"/>
        <v>7.9787234042553187E-4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input_530010!A$2</f>
        <v>530010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IFERROR(VLOOKUP(B274,input_530010!L:R,7,FALSE),VLOOKUP(tables_530010!C274,input_530010!A:H,8,FALSE))</f>
        <v>74448</v>
      </c>
      <c r="P274" s="46">
        <f t="shared" ca="1" si="13"/>
        <v>1.1999999999999999E-3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input_530010!A$2</f>
        <v>530010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IFERROR(VLOOKUP(B275,input_530010!L:R,7,FALSE),VLOOKUP(tables_530010!C275,input_530010!A:H,8,FALSE))</f>
        <v>8272</v>
      </c>
      <c r="P275" s="46">
        <f t="shared" ca="1" si="13"/>
        <v>1.3333333333333334E-4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input_530010!A$2</f>
        <v>530010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IFERROR(VLOOKUP(B276,input_530010!L:R,7,FALSE),VLOOKUP(tables_530010!C276,input_530010!A:H,8,FALSE))</f>
        <v>74448</v>
      </c>
      <c r="P276" s="46">
        <f t="shared" ca="1" si="13"/>
        <v>1.1999999999999999E-3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input_530010!A$2</f>
        <v>530010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IFERROR(VLOOKUP(B277,input_530010!L:R,7,FALSE),VLOOKUP(tables_530010!C277,input_530010!A:H,8,FALSE))</f>
        <v>8272</v>
      </c>
      <c r="P277" s="46">
        <f t="shared" ca="1" si="13"/>
        <v>1.3333333333333334E-4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input_530010!A$2</f>
        <v>530010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IFERROR(VLOOKUP(B278,input_530010!L:R,7,FALSE),VLOOKUP(tables_530010!C278,input_530010!A:H,8,FALSE))</f>
        <v>198000</v>
      </c>
      <c r="P278" s="46">
        <f t="shared" ca="1" si="13"/>
        <v>3.1914893617021275E-3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input_530010!A$2</f>
        <v>530010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IFERROR(VLOOKUP(B279,input_530010!L:R,7,FALSE),VLOOKUP(tables_530010!C279,input_530010!A:H,8,FALSE))</f>
        <v>269249.53846000001</v>
      </c>
      <c r="P279" s="46">
        <f t="shared" ca="1" si="13"/>
        <v>4.3399345335267568E-3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input_530010!A$2</f>
        <v>530010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IFERROR(VLOOKUP(B280,input_530010!L:R,7,FALSE),VLOOKUP(tables_530010!C280,input_530010!A:H,8,FALSE))</f>
        <v>27750.46154</v>
      </c>
      <c r="P280" s="46">
        <f t="shared" ca="1" si="13"/>
        <v>4.4729950902643457E-4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input_530010!A$2</f>
        <v>530010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IFERROR(VLOOKUP(B281,input_530010!L:R,7,FALSE),VLOOKUP(tables_530010!C281,input_530010!A:H,8,FALSE))</f>
        <v>198000</v>
      </c>
      <c r="P281" s="46">
        <f t="shared" ca="1" si="13"/>
        <v>3.1914893617021275E-3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input_530010!A$2</f>
        <v>530010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IFERROR(VLOOKUP(B282,input_530010!L:R,7,FALSE),VLOOKUP(tables_530010!C282,input_530010!A:H,8,FALSE))</f>
        <v>269249.53846000001</v>
      </c>
      <c r="P282" s="46">
        <f t="shared" ca="1" si="13"/>
        <v>4.3399345335267568E-3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input_530010!A$2</f>
        <v>530010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IFERROR(VLOOKUP(B283,input_530010!L:R,7,FALSE),VLOOKUP(tables_530010!C283,input_530010!A:H,8,FALSE))</f>
        <v>27750.46154</v>
      </c>
      <c r="P283" s="46">
        <f t="shared" ca="1" si="13"/>
        <v>4.4729950902643457E-4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input_530010!A$2</f>
        <v>530010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IFERROR(VLOOKUP(B284,input_530010!L:R,7,FALSE),VLOOKUP(tables_530010!C284,input_530010!A:H,8,FALSE))</f>
        <v>82720</v>
      </c>
      <c r="P284" s="46">
        <f t="shared" ca="1" si="13"/>
        <v>1.3333333333333333E-3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input_530010!A$2</f>
        <v>530010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IFERROR(VLOOKUP(B285,input_530010!L:R,7,FALSE),VLOOKUP(tables_530010!C285,input_530010!A:H,8,FALSE))</f>
        <v>82720</v>
      </c>
      <c r="P285" s="46">
        <f t="shared" ca="1" si="13"/>
        <v>1.3333333333333333E-3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input_530010!A$2</f>
        <v>530010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IFERROR(VLOOKUP(B286,input_530010!L:R,7,FALSE),VLOOKUP(tables_530010!C286,input_530010!A:H,8,FALSE))</f>
        <v>429000</v>
      </c>
      <c r="P286" s="46">
        <f t="shared" ca="1" si="13"/>
        <v>6.9148936170212762E-3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input_530010!A$2</f>
        <v>530010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IFERROR(VLOOKUP(B287,input_530010!L:R,7,FALSE),VLOOKUP(tables_530010!C287,input_530010!A:H,8,FALSE))</f>
        <v>49500</v>
      </c>
      <c r="P287" s="46">
        <f t="shared" ca="1" si="13"/>
        <v>7.9787234042553187E-4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input_530010!A$2</f>
        <v>530010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IFERROR(VLOOKUP(B288,input_530010!L:R,7,FALSE),VLOOKUP(tables_530010!C288,input_530010!A:H,8,FALSE))</f>
        <v>429000</v>
      </c>
      <c r="P288" s="46">
        <f t="shared" ca="1" si="13"/>
        <v>6.9148936170212762E-3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input_530010!A$2</f>
        <v>530010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IFERROR(VLOOKUP(B289,input_530010!L:R,7,FALSE),VLOOKUP(tables_530010!C289,input_530010!A:H,8,FALSE))</f>
        <v>49500</v>
      </c>
      <c r="P289" s="46">
        <f t="shared" ca="1" si="13"/>
        <v>7.9787234042553187E-4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input_530010!A$2</f>
        <v>530010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IFERROR(VLOOKUP(B290,input_530010!L:R,7,FALSE),VLOOKUP(tables_530010!C290,input_530010!A:H,8,FALSE))</f>
        <v>429000</v>
      </c>
      <c r="P290" s="46">
        <f t="shared" ca="1" si="13"/>
        <v>6.9148936170212762E-3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input_530010!A$2</f>
        <v>530010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IFERROR(VLOOKUP(B291,input_530010!L:R,7,FALSE),VLOOKUP(tables_530010!C291,input_530010!A:H,8,FALSE))</f>
        <v>49500</v>
      </c>
      <c r="P291" s="46">
        <f t="shared" ca="1" si="13"/>
        <v>7.9787234042553187E-4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input_530010!A$2</f>
        <v>530010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IFERROR(VLOOKUP(B292,input_530010!L:R,7,FALSE),VLOOKUP(tables_530010!C292,input_530010!A:H,8,FALSE))</f>
        <v>429000</v>
      </c>
      <c r="P292" s="46">
        <f t="shared" ca="1" si="13"/>
        <v>6.9148936170212762E-3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input_530010!A$2</f>
        <v>530010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IFERROR(VLOOKUP(B293,input_530010!L:R,7,FALSE),VLOOKUP(tables_530010!C293,input_530010!A:H,8,FALSE))</f>
        <v>49500</v>
      </c>
      <c r="P293" s="46">
        <f t="shared" ca="1" si="13"/>
        <v>7.9787234042553187E-4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input_530010!A$2</f>
        <v>530010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IFERROR(VLOOKUP(B294,input_530010!L:R,7,FALSE),VLOOKUP(tables_530010!C294,input_530010!A:H,8,FALSE))</f>
        <v>82720</v>
      </c>
      <c r="P294" s="46">
        <f t="shared" ca="1" si="13"/>
        <v>1.3333333333333333E-3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input_530010!A$2</f>
        <v>530010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IFERROR(VLOOKUP(B295,input_530010!L:R,7,FALSE),VLOOKUP(tables_530010!C295,input_530010!A:H,8,FALSE))</f>
        <v>82720</v>
      </c>
      <c r="P295" s="46">
        <f t="shared" ca="1" si="13"/>
        <v>1.3333333333333333E-3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input_530010!A$2</f>
        <v>530010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IFERROR(VLOOKUP(B296,input_530010!L:R,7,FALSE),VLOOKUP(tables_530010!C296,input_530010!A:H,8,FALSE))</f>
        <v>82720</v>
      </c>
      <c r="P296" s="46">
        <f t="shared" ca="1" si="13"/>
        <v>1.3333333333333333E-3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input_530010!A$2</f>
        <v>530010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IFERROR(VLOOKUP(B297,input_530010!L:R,7,FALSE),VLOOKUP(tables_530010!C297,input_530010!A:H,8,FALSE))</f>
        <v>429000</v>
      </c>
      <c r="P297" s="46">
        <f t="shared" ca="1" si="13"/>
        <v>6.9148936170212762E-3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input_530010!A$2</f>
        <v>530010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IFERROR(VLOOKUP(B298,input_530010!L:R,7,FALSE),VLOOKUP(tables_530010!C298,input_530010!A:H,8,FALSE))</f>
        <v>49500</v>
      </c>
      <c r="P298" s="46">
        <f t="shared" ca="1" si="13"/>
        <v>7.9787234042553187E-4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input_530010!A$2</f>
        <v>530010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IFERROR(VLOOKUP(B299,input_530010!L:R,7,FALSE),VLOOKUP(tables_530010!C299,input_530010!A:H,8,FALSE))</f>
        <v>82720</v>
      </c>
      <c r="P299" s="46">
        <f t="shared" ca="1" si="13"/>
        <v>1.3333333333333333E-3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input_530010!A$2</f>
        <v>530010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IFERROR(VLOOKUP(B300,input_530010!L:R,7,FALSE),VLOOKUP(tables_530010!C300,input_530010!A:H,8,FALSE))</f>
        <v>82720</v>
      </c>
      <c r="P300" s="46">
        <f t="shared" ca="1" si="13"/>
        <v>1.3333333333333333E-3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input_530010!A$2</f>
        <v>530010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IFERROR(VLOOKUP(B301,input_530010!L:R,7,FALSE),VLOOKUP(tables_530010!C301,input_530010!A:H,8,FALSE))</f>
        <v>82720</v>
      </c>
      <c r="P301" s="46">
        <f t="shared" ca="1" si="13"/>
        <v>1.3333333333333333E-3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input_530010!A$2</f>
        <v>530010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IFERROR(VLOOKUP(B302,input_530010!L:R,7,FALSE),VLOOKUP(tables_530010!C302,input_530010!A:H,8,FALSE))</f>
        <v>82720</v>
      </c>
      <c r="P302" s="46">
        <f t="shared" ca="1" si="13"/>
        <v>1.3333333333333333E-3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input_530010!A$2</f>
        <v>530010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IFERROR(VLOOKUP(B303,input_530010!L:R,7,FALSE),VLOOKUP(tables_530010!C303,input_530010!A:H,8,FALSE))</f>
        <v>429000</v>
      </c>
      <c r="P303" s="46">
        <f t="shared" ca="1" si="13"/>
        <v>6.9148936170212762E-3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input_530010!A$2</f>
        <v>530010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IFERROR(VLOOKUP(B304,input_530010!L:R,7,FALSE),VLOOKUP(tables_530010!C304,input_530010!A:H,8,FALSE))</f>
        <v>49500</v>
      </c>
      <c r="P304" s="46">
        <f t="shared" ca="1" si="13"/>
        <v>7.9787234042553187E-4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input_530010!A$2</f>
        <v>530010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IFERROR(VLOOKUP(B305,input_530010!L:R,7,FALSE),VLOOKUP(tables_530010!C305,input_530010!A:H,8,FALSE))</f>
        <v>82720</v>
      </c>
      <c r="P305" s="46">
        <f t="shared" ca="1" si="13"/>
        <v>1.3333333333333333E-3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input_530010!A$2</f>
        <v>530010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IFERROR(VLOOKUP(B306,input_530010!L:R,7,FALSE),VLOOKUP(tables_530010!C306,input_530010!A:H,8,FALSE))</f>
        <v>429000</v>
      </c>
      <c r="P306" s="46">
        <f t="shared" ca="1" si="13"/>
        <v>6.9148936170212762E-3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input_530010!A$2</f>
        <v>530010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IFERROR(VLOOKUP(B307,input_530010!L:R,7,FALSE),VLOOKUP(tables_530010!C307,input_530010!A:H,8,FALSE))</f>
        <v>49500</v>
      </c>
      <c r="P307" s="46">
        <f t="shared" ca="1" si="13"/>
        <v>7.9787234042553187E-4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input_530010!A$2</f>
        <v>530010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IFERROR(VLOOKUP(B308,input_530010!L:R,7,FALSE),VLOOKUP(tables_530010!C308,input_530010!A:H,8,FALSE))</f>
        <v>82720</v>
      </c>
      <c r="P308" s="46">
        <f t="shared" ca="1" si="13"/>
        <v>1.3333333333333333E-3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input_530010!A$2</f>
        <v>530010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IFERROR(VLOOKUP(B309,input_530010!L:R,7,FALSE),VLOOKUP(tables_530010!C309,input_530010!A:H,8,FALSE))</f>
        <v>82720</v>
      </c>
      <c r="P309" s="46">
        <f t="shared" ca="1" si="13"/>
        <v>1.3333333333333333E-3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input_530010!A$2</f>
        <v>530010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IFERROR(VLOOKUP(B310,input_530010!L:R,7,FALSE),VLOOKUP(tables_530010!C310,input_530010!A:H,8,FALSE))</f>
        <v>82720</v>
      </c>
      <c r="P310" s="46">
        <f t="shared" ca="1" si="13"/>
        <v>1.3333333333333333E-3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input_530010!A$2</f>
        <v>530010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IFERROR(VLOOKUP(B311,input_530010!L:R,7,FALSE),VLOOKUP(tables_530010!C311,input_530010!A:H,8,FALSE))</f>
        <v>429000</v>
      </c>
      <c r="P311" s="46">
        <f t="shared" ca="1" si="13"/>
        <v>6.9148936170212762E-3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input_530010!A$2</f>
        <v>530010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IFERROR(VLOOKUP(B312,input_530010!L:R,7,FALSE),VLOOKUP(tables_530010!C312,input_530010!A:H,8,FALSE))</f>
        <v>49500</v>
      </c>
      <c r="P312" s="46">
        <f t="shared" ca="1" si="13"/>
        <v>7.9787234042553187E-4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input_530010!A$2</f>
        <v>530010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IFERROR(VLOOKUP(B313,input_530010!L:R,7,FALSE),VLOOKUP(tables_530010!C313,input_530010!A:H,8,FALSE))</f>
        <v>82720</v>
      </c>
      <c r="P313" s="46">
        <f t="shared" ca="1" si="13"/>
        <v>1.3333333333333333E-3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input_530010!A$2</f>
        <v>530010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IFERROR(VLOOKUP(B314,input_530010!L:R,7,FALSE),VLOOKUP(tables_530010!C314,input_530010!A:H,8,FALSE))</f>
        <v>82720</v>
      </c>
      <c r="P314" s="46">
        <f t="shared" ca="1" si="13"/>
        <v>1.3333333333333333E-3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input_530010!A$2</f>
        <v>530010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IFERROR(VLOOKUP(B315,input_530010!L:R,7,FALSE),VLOOKUP(tables_530010!C315,input_530010!A:H,8,FALSE))</f>
        <v>82720</v>
      </c>
      <c r="P315" s="46">
        <f t="shared" ca="1" si="13"/>
        <v>1.3333333333333333E-3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input_530010!A$2</f>
        <v>530010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IFERROR(VLOOKUP(B316,input_530010!L:R,7,FALSE),VLOOKUP(tables_530010!C316,input_530010!A:H,8,FALSE))</f>
        <v>82720</v>
      </c>
      <c r="P316" s="46">
        <f t="shared" ca="1" si="13"/>
        <v>1.3333333333333333E-3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input_530010!A$2</f>
        <v>530010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IFERROR(VLOOKUP(B317,input_530010!L:R,7,FALSE),VLOOKUP(tables_530010!C317,input_530010!A:H,8,FALSE))</f>
        <v>82720</v>
      </c>
      <c r="P317" s="46">
        <f t="shared" ca="1" si="13"/>
        <v>1.3333333333333333E-3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input_530010!A$2</f>
        <v>530010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IFERROR(VLOOKUP(B318,input_530010!L:R,7,FALSE),VLOOKUP(tables_530010!C318,input_530010!A:H,8,FALSE))</f>
        <v>429000</v>
      </c>
      <c r="P318" s="46">
        <f t="shared" ca="1" si="13"/>
        <v>6.9148936170212762E-3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input_530010!A$2</f>
        <v>530010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IFERROR(VLOOKUP(B319,input_530010!L:R,7,FALSE),VLOOKUP(tables_530010!C319,input_530010!A:H,8,FALSE))</f>
        <v>49500</v>
      </c>
      <c r="P319" s="46">
        <f t="shared" ca="1" si="13"/>
        <v>7.9787234042553187E-4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input_530010!A$2</f>
        <v>530010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IFERROR(VLOOKUP(B320,input_530010!L:R,7,FALSE),VLOOKUP(tables_530010!C320,input_530010!A:H,8,FALSE))</f>
        <v>82720</v>
      </c>
      <c r="P320" s="46">
        <f t="shared" ca="1" si="13"/>
        <v>1.3333333333333333E-3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input_530010!A$2</f>
        <v>530010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IFERROR(VLOOKUP(B321,input_530010!L:R,7,FALSE),VLOOKUP(tables_530010!C321,input_530010!A:H,8,FALSE))</f>
        <v>82720</v>
      </c>
      <c r="P321" s="46">
        <f t="shared" ca="1" si="13"/>
        <v>1.3333333333333333E-3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input_530010!A$2</f>
        <v>530010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IFERROR(VLOOKUP(B322,input_530010!L:R,7,FALSE),VLOOKUP(tables_530010!C322,input_530010!A:H,8,FALSE))</f>
        <v>82720</v>
      </c>
      <c r="P322" s="46">
        <f t="shared" ref="P322:P346" ca="1" si="23">O322/SUM(O:O)</f>
        <v>1.3333333333333333E-3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input_530010!A$2</f>
        <v>530010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IFERROR(VLOOKUP(B323,input_530010!L:R,7,FALSE),VLOOKUP(tables_530010!C323,input_530010!A:H,8,FALSE))</f>
        <v>82720</v>
      </c>
      <c r="P323" s="46">
        <f t="shared" ca="1" si="23"/>
        <v>1.3333333333333333E-3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input_530010!A$2</f>
        <v>530010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IFERROR(VLOOKUP(B324,input_530010!L:R,7,FALSE),VLOOKUP(tables_530010!C324,input_530010!A:H,8,FALSE))</f>
        <v>429000</v>
      </c>
      <c r="P324" s="46">
        <f t="shared" ca="1" si="23"/>
        <v>6.9148936170212762E-3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input_530010!A$2</f>
        <v>530010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IFERROR(VLOOKUP(B325,input_530010!L:R,7,FALSE),VLOOKUP(tables_530010!C325,input_530010!A:H,8,FALSE))</f>
        <v>49500</v>
      </c>
      <c r="P325" s="46">
        <f t="shared" ca="1" si="23"/>
        <v>7.9787234042553187E-4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input_530010!A$2</f>
        <v>530010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IFERROR(VLOOKUP(B326,input_530010!L:R,7,FALSE),VLOOKUP(tables_530010!C326,input_530010!A:H,8,FALSE))</f>
        <v>429000</v>
      </c>
      <c r="P326" s="46">
        <f t="shared" ca="1" si="23"/>
        <v>6.9148936170212762E-3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input_530010!A$2</f>
        <v>530010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IFERROR(VLOOKUP(B327,input_530010!L:R,7,FALSE),VLOOKUP(tables_530010!C327,input_530010!A:H,8,FALSE))</f>
        <v>49500</v>
      </c>
      <c r="P327" s="46">
        <f t="shared" ca="1" si="23"/>
        <v>7.9787234042553187E-4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input_530010!A$2</f>
        <v>530010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IFERROR(VLOOKUP(B328,input_530010!L:R,7,FALSE),VLOOKUP(tables_530010!C328,input_530010!A:H,8,FALSE))</f>
        <v>82720</v>
      </c>
      <c r="P328" s="46">
        <f t="shared" ca="1" si="23"/>
        <v>1.3333333333333333E-3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input_530010!A$2</f>
        <v>530010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IFERROR(VLOOKUP(B329,input_530010!L:R,7,FALSE),VLOOKUP(tables_530010!C329,input_530010!A:H,8,FALSE))</f>
        <v>82720</v>
      </c>
      <c r="P329" s="46">
        <f t="shared" ca="1" si="23"/>
        <v>1.3333333333333333E-3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input_530010!A$2</f>
        <v>530010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IFERROR(VLOOKUP(B330,input_530010!L:R,7,FALSE),VLOOKUP(tables_530010!C330,input_530010!A:H,8,FALSE))</f>
        <v>82720</v>
      </c>
      <c r="P330" s="46">
        <f t="shared" ca="1" si="23"/>
        <v>1.3333333333333333E-3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input_530010!A$2</f>
        <v>530010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IFERROR(VLOOKUP(B331,input_530010!L:R,7,FALSE),VLOOKUP(tables_530010!C331,input_530010!A:H,8,FALSE))</f>
        <v>82720</v>
      </c>
      <c r="P331" s="46">
        <f t="shared" ca="1" si="23"/>
        <v>1.3333333333333333E-3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input_530010!A$2</f>
        <v>530010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IFERROR(VLOOKUP(B332,input_530010!L:R,7,FALSE),VLOOKUP(tables_530010!C332,input_530010!A:H,8,FALSE))</f>
        <v>82720</v>
      </c>
      <c r="P332" s="46">
        <f t="shared" ca="1" si="23"/>
        <v>1.3333333333333333E-3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input_530010!A$2</f>
        <v>530010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IFERROR(VLOOKUP(B333,input_530010!L:R,7,FALSE),VLOOKUP(tables_530010!C333,input_530010!A:H,8,FALSE))</f>
        <v>82720</v>
      </c>
      <c r="P333" s="46">
        <f t="shared" ca="1" si="23"/>
        <v>1.3333333333333333E-3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input_530010!A$2</f>
        <v>530010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IFERROR(VLOOKUP(B334,input_530010!L:R,7,FALSE),VLOOKUP(tables_530010!C334,input_530010!A:H,8,FALSE))</f>
        <v>429000</v>
      </c>
      <c r="P334" s="46">
        <f t="shared" ca="1" si="23"/>
        <v>6.9148936170212762E-3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input_530010!A$2</f>
        <v>530010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IFERROR(VLOOKUP(B335,input_530010!L:R,7,FALSE),VLOOKUP(tables_530010!C335,input_530010!A:H,8,FALSE))</f>
        <v>49500</v>
      </c>
      <c r="P335" s="46">
        <f t="shared" ca="1" si="23"/>
        <v>7.9787234042553187E-4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input_530010!A$2</f>
        <v>530010</v>
      </c>
      <c r="B336" s="2">
        <v>1224</v>
      </c>
      <c r="C336" s="7" t="str">
        <f t="shared" ref="C336:C340" si="28">D336&amp;J336&amp;E336&amp;F336&amp;G336</f>
        <v>Premium4R3less</v>
      </c>
      <c r="D336" s="9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IFERROR(VLOOKUP(B336,input_530010!L:R,7,FALSE),VLOOKUP(tables_530010!C336,input_530010!A:H,8,FALSE))</f>
        <v>429000</v>
      </c>
      <c r="P336" s="46">
        <f t="shared" ca="1" si="23"/>
        <v>6.9148936170212762E-3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input_530010!A$2</f>
        <v>530010</v>
      </c>
      <c r="B337" s="2">
        <v>1225</v>
      </c>
      <c r="C337" s="7" t="str">
        <f t="shared" si="28"/>
        <v>Premium5R3less</v>
      </c>
      <c r="D337" s="9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IFERROR(VLOOKUP(B337,input_530010!L:R,7,FALSE),VLOOKUP(tables_530010!C337,input_530010!A:H,8,FALSE))</f>
        <v>49500</v>
      </c>
      <c r="P337" s="46">
        <f t="shared" ca="1" si="23"/>
        <v>7.9787234042553187E-4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input_530010!A$2</f>
        <v>530010</v>
      </c>
      <c r="B338" s="2">
        <v>1226</v>
      </c>
      <c r="C338" s="7" t="str">
        <f t="shared" si="28"/>
        <v>PremiumSS5R5only</v>
      </c>
      <c r="D338" s="9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IFERROR(VLOOKUP(B338,input_530010!L:R,7,FALSE),VLOOKUP(tables_530010!C338,input_530010!A:H,8,FALSE))</f>
        <v>82720</v>
      </c>
      <c r="P338" s="46">
        <f t="shared" ca="1" si="23"/>
        <v>1.3333333333333333E-3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input_530010!A$2</f>
        <v>530010</v>
      </c>
      <c r="B339" s="2">
        <v>1228</v>
      </c>
      <c r="C339" s="7" t="str">
        <f t="shared" si="28"/>
        <v>PremiumSS5R5only</v>
      </c>
      <c r="D339" s="9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IFERROR(VLOOKUP(B339,input_530010!L:R,7,FALSE),VLOOKUP(tables_530010!C339,input_530010!A:H,8,FALSE))</f>
        <v>82720</v>
      </c>
      <c r="P339" s="46">
        <f t="shared" ca="1" si="23"/>
        <v>1.3333333333333333E-3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input_530010!A$2</f>
        <v>530010</v>
      </c>
      <c r="B340" s="2">
        <v>1230</v>
      </c>
      <c r="C340" s="7" t="str">
        <f t="shared" si="28"/>
        <v>PremiumSS5R5only</v>
      </c>
      <c r="D340" s="9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IFERROR(VLOOKUP(B340,input_530010!L:R,7,FALSE),VLOOKUP(tables_530010!C340,input_530010!A:H,8,FALSE))</f>
        <v>82720</v>
      </c>
      <c r="P340" s="46">
        <f t="shared" ca="1" si="23"/>
        <v>1.3333333333333333E-3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input_530010!A$2</f>
        <v>530010</v>
      </c>
      <c r="B341" s="98">
        <v>1244</v>
      </c>
      <c r="C341" s="7" t="str">
        <f t="shared" ref="C341:C342" si="30">D341&amp;J341&amp;E341&amp;F341&amp;G341</f>
        <v>PremiumSS5R5only</v>
      </c>
      <c r="D341" s="9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IFERROR(VLOOKUP(B341,input_530010!L:R,7,FALSE),VLOOKUP(tables_530010!C341,input_530010!A:H,8,FALSE))</f>
        <v>82720</v>
      </c>
      <c r="P341" s="46">
        <f t="shared" ca="1" si="23"/>
        <v>1.3333333333333333E-3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input_530010!A$2</f>
        <v>530010</v>
      </c>
      <c r="B342" s="98">
        <v>1246</v>
      </c>
      <c r="C342" s="7" t="str">
        <f t="shared" si="30"/>
        <v>PremiumSS5R5only</v>
      </c>
      <c r="D342" s="9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IFERROR(VLOOKUP(B342,input_530010!L:R,7,FALSE),VLOOKUP(tables_530010!C342,input_530010!A:H,8,FALSE))</f>
        <v>82720</v>
      </c>
      <c r="P342" s="46">
        <f t="shared" ca="1" si="23"/>
        <v>1.3333333333333333E-3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input_530010!A$2</f>
        <v>530010</v>
      </c>
      <c r="B343" s="98">
        <v>1248</v>
      </c>
      <c r="C343" s="7" t="str">
        <f t="shared" ref="C343:C345" si="32">D343&amp;J343&amp;E343&amp;F343&amp;G343</f>
        <v>Premium4R3less</v>
      </c>
      <c r="D343" s="9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IFERROR(VLOOKUP(B343,input_530010!L:R,7,FALSE),VLOOKUP(tables_530010!C343,input_530010!A:H,8,FALSE))</f>
        <v>429000</v>
      </c>
      <c r="P343" s="46">
        <f t="shared" ca="1" si="23"/>
        <v>6.9148936170212762E-3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input_530010!A$2</f>
        <v>530010</v>
      </c>
      <c r="B344" s="98">
        <v>1249</v>
      </c>
      <c r="C344" s="7" t="str">
        <f t="shared" si="32"/>
        <v>Premium5R3less</v>
      </c>
      <c r="D344" s="9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IFERROR(VLOOKUP(B344,input_530010!L:R,7,FALSE),VLOOKUP(tables_530010!C344,input_530010!A:H,8,FALSE))</f>
        <v>49500</v>
      </c>
      <c r="P344" s="46">
        <f t="shared" ca="1" si="23"/>
        <v>7.9787234042553187E-4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input_530010!A$2</f>
        <v>530010</v>
      </c>
      <c r="B345" s="98">
        <v>1250</v>
      </c>
      <c r="C345" s="7" t="str">
        <f t="shared" si="32"/>
        <v>PremiumSS5R5only</v>
      </c>
      <c r="D345" s="9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IFERROR(VLOOKUP(B345,input_530010!L:R,7,FALSE),VLOOKUP(tables_530010!C345,input_530010!A:H,8,FALSE))</f>
        <v>82720</v>
      </c>
      <c r="P345" s="46">
        <f t="shared" ca="1" si="23"/>
        <v>1.3333333333333333E-3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input_530010!A$2</f>
        <v>530010</v>
      </c>
      <c r="B346" s="1">
        <v>1424</v>
      </c>
      <c r="C346" s="7" t="str">
        <f t="shared" ref="C346" si="34">D346&amp;J346&amp;E346&amp;F346&amp;G346</f>
        <v>PremiumSSS6R3less</v>
      </c>
      <c r="D346" s="97" t="str">
        <f t="shared" ref="D346:D350" si="35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IFERROR(VLOOKUP(B346,input_530010!L:R,7,FALSE),VLOOKUP(tables_530010!C346,input_530010!A:H,8,FALSE))</f>
        <v>248160</v>
      </c>
      <c r="P346" s="46">
        <f t="shared" ca="1" si="23"/>
        <v>4.0000000000000001E-3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input_530010!A$2</f>
        <v>530010</v>
      </c>
      <c r="B347" s="1">
        <v>1049</v>
      </c>
      <c r="C347" s="7" t="str">
        <f t="shared" ref="C347:C350" si="36">D347&amp;J347&amp;E347&amp;F347&amp;G347</f>
        <v>PremiumSSS6R3less</v>
      </c>
      <c r="D347" s="97" t="str">
        <f t="shared" si="35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深秘の水宙 メビウス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IFERROR(VLOOKUP(B347,input_530010!L:R,7,FALSE),VLOOKUP(tables_530010!C347,input_530010!A:H,8,FALSE))</f>
        <v>248160</v>
      </c>
      <c r="P347" s="46">
        <f t="shared" ref="P347:P350" ca="1" si="37">O347/SUM(O:O)</f>
        <v>4.0000000000000001E-3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input_530010!A$2</f>
        <v>530010</v>
      </c>
      <c r="B348" s="1">
        <v>1045</v>
      </c>
      <c r="C348" s="7" t="str">
        <f t="shared" si="36"/>
        <v>PremiumSSS6R3less</v>
      </c>
      <c r="D348" s="97" t="str">
        <f t="shared" si="35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漂解の海原 シュレディンガー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IFERROR(VLOOKUP(B348,input_530010!L:R,7,FALSE),VLOOKUP(tables_530010!C348,input_530010!A:H,8,FALSE))</f>
        <v>248160</v>
      </c>
      <c r="P348" s="46">
        <f t="shared" ca="1" si="37"/>
        <v>4.0000000000000001E-3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input_530010!A$2</f>
        <v>530010</v>
      </c>
      <c r="B349" s="1">
        <v>1048</v>
      </c>
      <c r="C349" s="7" t="str">
        <f t="shared" si="36"/>
        <v>Premium5R3less</v>
      </c>
      <c r="D349" s="97" t="str">
        <f t="shared" si="3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砂上の城主竜 ケツァクアトル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hp</v>
      </c>
      <c r="M349" s="7" t="str">
        <f>VLOOKUP(B349,[1]characters!$A:$M,13,FALSE)</f>
        <v>dragon</v>
      </c>
      <c r="N349" s="7" t="str">
        <f>VLOOKUP(B349,[1]characters!$A:$G,7,FALSE)</f>
        <v>男性</v>
      </c>
      <c r="O349" s="45">
        <f>IFERROR(VLOOKUP(B349,input_530010!L:R,7,FALSE),VLOOKUP(tables_530010!C349,input_530010!A:H,8,FALSE))</f>
        <v>4342800</v>
      </c>
      <c r="P349" s="46">
        <f t="shared" ca="1" si="37"/>
        <v>7.0000000000000007E-2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input_530010!A$2</f>
        <v>530010</v>
      </c>
      <c r="B350" s="1">
        <v>1052</v>
      </c>
      <c r="C350" s="7" t="str">
        <f t="shared" si="36"/>
        <v>Premium5R3less</v>
      </c>
      <c r="D350" s="97" t="str">
        <f t="shared" si="35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戯魚群の潜光 バルドル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heal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IFERROR(VLOOKUP(B350,input_530010!L:R,7,FALSE),VLOOKUP(tables_530010!C350,input_530010!A:H,8,FALSE))</f>
        <v>4342800</v>
      </c>
      <c r="P350" s="46">
        <f t="shared" ca="1" si="37"/>
        <v>7.0000000000000007E-2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346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1"/>
  <sheetViews>
    <sheetView workbookViewId="0">
      <selection activeCell="E17" sqref="E17:E33"/>
    </sheetView>
  </sheetViews>
  <sheetFormatPr baseColWidth="12" defaultRowHeight="14" x14ac:dyDescent="0.15"/>
  <cols>
    <col min="1" max="2" width="24.19921875" bestFit="1" customWidth="1"/>
    <col min="13" max="13" width="27.3984375" customWidth="1"/>
    <col min="17" max="17" width="19.398437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4.0000000000000001E-3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VLOOKUP(L3,tables_530100!B:C,2,FALSE)</f>
        <v>PremiumSSS6R3less</v>
      </c>
      <c r="R3" s="62">
        <f t="shared" ref="R3:R20" si="1">N3*A$38</f>
        <v>248160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1049</v>
      </c>
      <c r="M4" s="37" t="str">
        <f>VLOOKUP(L4,[1]characters!$A:$C,3,FALSE)</f>
        <v>深秘の水宙 メビウス</v>
      </c>
      <c r="N4" s="63">
        <v>4.0000000000000001E-3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VLOOKUP(L4,tables_530100!B:C,2,FALSE)</f>
        <v>PremiumSSS6R3less</v>
      </c>
      <c r="R4" s="62">
        <f t="shared" si="1"/>
        <v>248160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COUNTIF(tables_530100!C:C,input_530010!A28)+COUNTIF(tables_530100!C:C,input_530100!A30)+COUNTIF(input_530100!Q:Q,input_530100!A31)+COUNTIF(input_530100!Q:Q,input_530100!A32)+COUNTIF(input_530100!Q:Q,input_530100!A33)-COUNTIF(input_530100!Q:Q,input_530100!A28)</f>
        <v>69</v>
      </c>
      <c r="H5" s="84">
        <v>1.2E-2</v>
      </c>
      <c r="I5" s="31">
        <v>3</v>
      </c>
      <c r="L5" s="1">
        <v>1045</v>
      </c>
      <c r="M5" s="37" t="str">
        <f>VLOOKUP(L5,[1]characters!$A:$C,3,FALSE)</f>
        <v>漂解の海原 シュレディンガー</v>
      </c>
      <c r="N5" s="63">
        <v>4.0000000000000001E-3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VLOOKUP(L5,tables_530100!B:C,2,FALSE)</f>
        <v>PremiumSSS6R3less</v>
      </c>
      <c r="R5" s="62">
        <f t="shared" si="1"/>
        <v>248160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7.9787234042553185E-3</v>
      </c>
      <c r="F6">
        <f>COUNTIF(tables_530100!C:C,input_530100!A25)+COUNTIF(tables_530100!C:C,input_530100!A18)+COUNTIF(tables_530100!C:C,input_530100!A20)+COUNTIF(tables_530100!C:C,input_530100!A22)+COUNTIF(Q:Q,A23)</f>
        <v>96</v>
      </c>
      <c r="H6" s="89">
        <v>0.14000000000000001</v>
      </c>
      <c r="I6" s="31">
        <v>2</v>
      </c>
      <c r="L6" s="1">
        <v>1048</v>
      </c>
      <c r="M6" s="37" t="str">
        <f>VLOOKUP(L6,[1]characters!$A:$C,3,FALSE)</f>
        <v>砂上の城主竜 ケツァクアトル</v>
      </c>
      <c r="N6" s="63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VLOOKUP(L6,tables_530100!B:C,2,FALSE)</f>
        <v>Premium5R3less</v>
      </c>
      <c r="R6" s="62">
        <f t="shared" si="1"/>
        <v>4342800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1">
        <v>1052</v>
      </c>
      <c r="M7" s="37" t="str">
        <f>VLOOKUP(L7,[1]characters!$A:$C,3,FALSE)</f>
        <v>戯魚群の潜光 バルドル</v>
      </c>
      <c r="N7" s="63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VLOOKUP(L7,tables_530100!B:C,2,FALSE)</f>
        <v>Premium5R3less</v>
      </c>
      <c r="R7" s="62">
        <f t="shared" si="1"/>
        <v>4342800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VLOOKUP(L8,tables_530100!B:C,2,FALSE)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0.14000000000000001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VLOOKUP(L9,tables_530100!B:C,2,FALSE)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VLOOKUP(L10,tables_530100!B:C,2,FALSE)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VLOOKUP(L11,tables_530100!B:C,2,FALSE)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3" si="2">SUMIF(Q:Q,A17,N:N)</f>
        <v>0</v>
      </c>
      <c r="D17" s="74">
        <f t="shared" ref="D17:D34" si="3">B17-C17</f>
        <v>0</v>
      </c>
      <c r="E17">
        <f>COUNTIF(tables_530100!C:C,input_530100!A17)-COUNTIF(Q:Q,A17)</f>
        <v>20</v>
      </c>
      <c r="F17" s="43">
        <f>IFERROR(B17/E17,0)</f>
        <v>0</v>
      </c>
      <c r="G17">
        <f t="shared" ref="G17:G32" si="4">A$38*B17</f>
        <v>0</v>
      </c>
      <c r="H17">
        <f t="shared" ref="H17:H32" si="5">IFERROR(ROUND(G17/E17,5),0)</f>
        <v>0</v>
      </c>
      <c r="I17">
        <f t="shared" ref="I17:I32" si="6">MOD(H17,1)</f>
        <v>0</v>
      </c>
      <c r="J17">
        <f t="shared" ref="J17:J32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E$6*E18-B17+0.01</f>
        <v>0.16957446808510637</v>
      </c>
      <c r="C18" s="85">
        <f t="shared" si="2"/>
        <v>0</v>
      </c>
      <c r="D18" s="74">
        <f t="shared" si="3"/>
        <v>0.16957446808510637</v>
      </c>
      <c r="E18">
        <f>COUNTIF(tables_530100!C:C,input_530100!A18)-COUNTIF(Q:Q,A18)</f>
        <v>20</v>
      </c>
      <c r="F18" s="43">
        <f>IFERROR(B18/E18,0)</f>
        <v>8.478723404255319E-3</v>
      </c>
      <c r="G18">
        <f t="shared" si="4"/>
        <v>10520400</v>
      </c>
      <c r="H18">
        <f t="shared" si="5"/>
        <v>526020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COUNTIF(tables_530100!C:C,input_530100!A19)-COUNTIF(Q:Q,A19)</f>
        <v>52</v>
      </c>
      <c r="F19" s="43">
        <f t="shared" ref="F19:F32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E20*E6-B21</f>
        <v>0.39163404255319151</v>
      </c>
      <c r="C20" s="85">
        <f t="shared" si="2"/>
        <v>0</v>
      </c>
      <c r="D20" s="74">
        <f t="shared" si="3"/>
        <v>0.39163404255319151</v>
      </c>
      <c r="E20">
        <f>COUNTIF(tables_530100!C:C,input_530100!A20)-COUNTIF(Q:Q,A20)</f>
        <v>52</v>
      </c>
      <c r="F20" s="43">
        <f t="shared" si="8"/>
        <v>7.5314238952536826E-3</v>
      </c>
      <c r="G20">
        <f t="shared" si="4"/>
        <v>24296976</v>
      </c>
      <c r="H20">
        <f t="shared" si="5"/>
        <v>467249.53846000001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2.3259574468085097E-2</v>
      </c>
      <c r="C21" s="85">
        <f t="shared" si="2"/>
        <v>0</v>
      </c>
      <c r="D21" s="74">
        <f t="shared" si="3"/>
        <v>2.3259574468085097E-2</v>
      </c>
      <c r="E21">
        <f>COUNTIF(tables_530100!C:C,input_530100!A21)-COUNTIF(Q:Q,A21)</f>
        <v>52</v>
      </c>
      <c r="F21" s="43">
        <f t="shared" si="8"/>
        <v>4.4729950900163648E-4</v>
      </c>
      <c r="G21">
        <f t="shared" si="4"/>
        <v>1443023.9999999993</v>
      </c>
      <c r="H21">
        <f t="shared" si="5"/>
        <v>27750.46154</v>
      </c>
      <c r="I21">
        <f t="shared" si="6"/>
        <v>0.46154000000024098</v>
      </c>
      <c r="J21">
        <f t="shared" si="7"/>
        <v>2.166659444467387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0.12446808510638296</v>
      </c>
      <c r="C22" s="85">
        <f t="shared" si="2"/>
        <v>0</v>
      </c>
      <c r="D22" s="74">
        <f t="shared" si="3"/>
        <v>0.12446808510638296</v>
      </c>
      <c r="E22">
        <f>COUNTIF(tables_530100!C:C,input_530100!A22)-COUNTIF(Q:Q,A22)</f>
        <v>18</v>
      </c>
      <c r="F22" s="43">
        <f t="shared" si="8"/>
        <v>6.9148936170212762E-3</v>
      </c>
      <c r="G22">
        <f t="shared" si="4"/>
        <v>7721999.9999999991</v>
      </c>
      <c r="H22">
        <f t="shared" si="5"/>
        <v>429000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1.9148936170212766E-2</v>
      </c>
      <c r="C23" s="85">
        <f t="shared" si="2"/>
        <v>0.14000000000000001</v>
      </c>
      <c r="D23" s="74">
        <f t="shared" si="3"/>
        <v>-0.12085106382978725</v>
      </c>
      <c r="E23">
        <f>COUNTIF(tables_530100!C:C,input_530100!A23)-COUNTIF(Q:Q,A23)</f>
        <v>24</v>
      </c>
      <c r="F23" s="43">
        <f t="shared" si="8"/>
        <v>7.9787234042553187E-4</v>
      </c>
      <c r="G23">
        <f t="shared" si="4"/>
        <v>1188000</v>
      </c>
      <c r="H23">
        <f t="shared" si="5"/>
        <v>49500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COUNTIF(tables_530100!C:C,input_530100!A24)-COUNTIF(Q:Q,A24)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2.8723404255319149E-2</v>
      </c>
      <c r="C25" s="85">
        <f t="shared" si="2"/>
        <v>0</v>
      </c>
      <c r="D25" s="74">
        <f t="shared" si="3"/>
        <v>2.8723404255319149E-2</v>
      </c>
      <c r="E25">
        <f>COUNTIF(tables_530100!C:C,input_530100!A25)-COUNTIF(Q:Q,A25)</f>
        <v>4</v>
      </c>
      <c r="F25" s="43">
        <f t="shared" si="8"/>
        <v>7.1808510638297872E-3</v>
      </c>
      <c r="G25">
        <f t="shared" si="4"/>
        <v>1782000</v>
      </c>
      <c r="H25">
        <f t="shared" si="5"/>
        <v>445500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3.1914893617021275E-3</v>
      </c>
      <c r="C26" s="85">
        <f t="shared" si="2"/>
        <v>0</v>
      </c>
      <c r="D26" s="74">
        <f t="shared" si="3"/>
        <v>3.1914893617021275E-3</v>
      </c>
      <c r="E26">
        <f>COUNTIF(tables_530100!C:C,input_530100!A26)-COUNTIF(Q:Q,A26)</f>
        <v>4</v>
      </c>
      <c r="F26" s="43">
        <f t="shared" si="8"/>
        <v>7.9787234042553187E-4</v>
      </c>
      <c r="G26">
        <f t="shared" si="4"/>
        <v>198000</v>
      </c>
      <c r="H26">
        <f t="shared" si="5"/>
        <v>49500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3.3600000000000005E-2</v>
      </c>
      <c r="C27" s="85">
        <f t="shared" si="2"/>
        <v>0</v>
      </c>
      <c r="D27" s="74">
        <f t="shared" si="3"/>
        <v>3.3600000000000005E-2</v>
      </c>
      <c r="E27">
        <f>COUNTIF(tables_530100!C:C,input_530100!A27)-COUNTIF(Q:Q,A27)</f>
        <v>28</v>
      </c>
      <c r="F27" s="43">
        <f>IFERROR(B27/E27,0)</f>
        <v>1.2000000000000001E-3</v>
      </c>
      <c r="G27">
        <f t="shared" si="4"/>
        <v>2084544.0000000002</v>
      </c>
      <c r="H27">
        <f t="shared" si="5"/>
        <v>74448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3.7333333333333337E-3</v>
      </c>
      <c r="C28" s="85">
        <f t="shared" si="2"/>
        <v>0</v>
      </c>
      <c r="D28" s="74">
        <f t="shared" si="3"/>
        <v>3.7333333333333337E-3</v>
      </c>
      <c r="E28">
        <f>COUNTIF(tables_530100!C:C,input_530100!A28)-COUNTIF(Q:Q,A28)</f>
        <v>28</v>
      </c>
      <c r="F28" s="43">
        <f t="shared" si="8"/>
        <v>1.3333333333333334E-4</v>
      </c>
      <c r="G28">
        <f t="shared" si="4"/>
        <v>231616.00000000003</v>
      </c>
      <c r="H28">
        <f t="shared" si="5"/>
        <v>8272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254</v>
      </c>
      <c r="B29" s="56">
        <f>E$5*E29</f>
        <v>0</v>
      </c>
      <c r="C29" s="85">
        <f t="shared" si="2"/>
        <v>0</v>
      </c>
      <c r="D29" s="74">
        <f t="shared" ref="D29" si="9">B29-C29</f>
        <v>0</v>
      </c>
      <c r="E29">
        <f>COUNTIF(tables_530100!C:C,input_530100!A29)-COUNTIF(Q:Q,A29)</f>
        <v>0</v>
      </c>
      <c r="F29" s="43">
        <f t="shared" ref="F29" si="10">IFERROR(B29/E29,0)</f>
        <v>0</v>
      </c>
      <c r="G29">
        <f t="shared" ref="G29" si="11">A$38*B29</f>
        <v>0</v>
      </c>
      <c r="H29">
        <f t="shared" ref="H29" si="12">IFERROR(ROUND(G29/E29,5),0)</f>
        <v>0</v>
      </c>
      <c r="I29">
        <f t="shared" ref="I29" si="13">MOD(H29,1)</f>
        <v>0</v>
      </c>
      <c r="J29">
        <f t="shared" ref="J29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5.0666666666666672E-2</v>
      </c>
      <c r="C30" s="85">
        <f t="shared" si="2"/>
        <v>0</v>
      </c>
      <c r="D30" s="74">
        <f t="shared" si="3"/>
        <v>5.0666666666666672E-2</v>
      </c>
      <c r="E30">
        <f>COUNTIF(tables_530100!C:C,input_530100!A30)-COUNTIF(Q:Q,A30)</f>
        <v>38</v>
      </c>
      <c r="F30" s="43">
        <f t="shared" si="8"/>
        <v>1.3333333333333335E-3</v>
      </c>
      <c r="G30">
        <f t="shared" si="4"/>
        <v>3143360.0000000005</v>
      </c>
      <c r="H30">
        <f t="shared" si="5"/>
        <v>82720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 t="shared" si="2"/>
        <v>0</v>
      </c>
      <c r="D31" s="74">
        <f t="shared" si="3"/>
        <v>0</v>
      </c>
      <c r="E31">
        <f>COUNTIF(tables_530100!C:C,input_530100!A31)-COUNTIF(Q:Q,A31)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 t="shared" si="2"/>
        <v>0</v>
      </c>
      <c r="D32" s="74">
        <f t="shared" si="3"/>
        <v>0</v>
      </c>
      <c r="E32">
        <f>COUNTIF(tables_530100!C:C,input_530100!A32)-COUNTIF(Q:Q,A32)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253</v>
      </c>
      <c r="B33" s="56">
        <f t="shared" ref="B33" si="15">E$5*E33</f>
        <v>0</v>
      </c>
      <c r="C33" s="85">
        <f t="shared" si="2"/>
        <v>1.2E-2</v>
      </c>
      <c r="D33" s="74">
        <f t="shared" ref="D33" si="16">B33-C33</f>
        <v>-1.2E-2</v>
      </c>
      <c r="E33">
        <f>COUNTIF(tables_530100!C:C,input_530100!A33)-COUNTIF(Q:Q,A33)</f>
        <v>0</v>
      </c>
      <c r="F33" s="43">
        <f t="shared" ref="F33" si="17">IFERROR(B33/E33,0)</f>
        <v>0</v>
      </c>
      <c r="G33">
        <f t="shared" ref="G33" si="18">A$38*B33</f>
        <v>0</v>
      </c>
      <c r="H33">
        <f t="shared" ref="H33" si="19">IFERROR(ROUND(G33/E33,5),0)</f>
        <v>0</v>
      </c>
      <c r="I33">
        <f t="shared" ref="I33" si="20">MOD(H33,1)</f>
        <v>0</v>
      </c>
      <c r="J33">
        <f t="shared" ref="J33" si="21">IFERROR(1/I33,1)</f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0.84799999999999998</v>
      </c>
      <c r="C34" s="41">
        <f>SUM(C17:C33)</f>
        <v>0.15200000000000002</v>
      </c>
      <c r="D34" s="42">
        <f t="shared" si="3"/>
        <v>0.69599999999999995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>
        <v>1.703288200806008E-2</v>
      </c>
      <c r="F36" s="55">
        <f ca="1">0.45-G43</f>
        <v>-0.29799999999871124</v>
      </c>
    </row>
    <row r="37" spans="1:18" x14ac:dyDescent="0.15">
      <c r="A37" t="s">
        <v>73</v>
      </c>
      <c r="E37">
        <v>0.04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SUMIF(tables_530100!C:C,input_530100!A42,tables_530100!O:O)</f>
        <v>0</v>
      </c>
      <c r="C42" s="54">
        <f t="shared" ref="C42:C48" ca="1" si="22">B42/B$49</f>
        <v>0</v>
      </c>
      <c r="E42">
        <v>3</v>
      </c>
      <c r="F42">
        <f ca="1">SUMIF(tables_530100!J:J,input_530100!E42,tables_530100!O:O)</f>
        <v>0</v>
      </c>
      <c r="G42">
        <f ca="1">F42/A38</f>
        <v>0</v>
      </c>
    </row>
    <row r="43" spans="1:18" x14ac:dyDescent="0.15">
      <c r="A43" s="33" t="s">
        <v>104</v>
      </c>
      <c r="B43">
        <f ca="1">SUMIF(tables_530100!C:C,input_530100!A43,tables_530100!O:O)</f>
        <v>24296975.999920018</v>
      </c>
      <c r="C43" s="54">
        <f t="shared" ca="1" si="22"/>
        <v>0.86601216987356799</v>
      </c>
      <c r="E43">
        <v>4</v>
      </c>
      <c r="F43">
        <f ca="1">SUMIF(tables_530100!J:J,input_530100!E43,tables_530100!O:O)</f>
        <v>46405919.999920048</v>
      </c>
      <c r="G43">
        <f ca="1">F43/A38</f>
        <v>0.74799999999871125</v>
      </c>
    </row>
    <row r="44" spans="1:18" x14ac:dyDescent="0.15">
      <c r="A44" s="33" t="s">
        <v>106</v>
      </c>
      <c r="B44">
        <f ca="1">SUMIF(tables_530100!C:C,input_530100!A44,tables_530100!O:O)</f>
        <v>2084544</v>
      </c>
      <c r="C44" s="54">
        <f t="shared" ca="1" si="22"/>
        <v>7.429897747945545E-2</v>
      </c>
      <c r="E44">
        <v>5</v>
      </c>
      <c r="F44">
        <f ca="1">SUMIF(tables_530100!J:J,input_530100!E44,tables_530100!O:O)</f>
        <v>14889600.000080001</v>
      </c>
      <c r="G44">
        <f ca="1">F44/A38</f>
        <v>0.24000000000128949</v>
      </c>
    </row>
    <row r="45" spans="1:18" x14ac:dyDescent="0.15">
      <c r="A45" s="33" t="s">
        <v>109</v>
      </c>
      <c r="B45">
        <f>SUMIF(tables_530100!C:C,input_530100!A45,tables_530100!O:O)</f>
        <v>0</v>
      </c>
      <c r="C45" s="54">
        <f t="shared" ca="1" si="22"/>
        <v>0</v>
      </c>
      <c r="F45" s="55"/>
    </row>
    <row r="46" spans="1:18" x14ac:dyDescent="0.15">
      <c r="A46" s="33" t="s">
        <v>105</v>
      </c>
      <c r="B46">
        <f ca="1">SUMIF(tables_530100!C:C,input_530100!A46,tables_530100!O:O)</f>
        <v>1443024.0000800013</v>
      </c>
      <c r="C46" s="54">
        <f t="shared" ca="1" si="22"/>
        <v>5.1433410704814927E-2</v>
      </c>
      <c r="E46" t="s">
        <v>54</v>
      </c>
      <c r="F46" s="55"/>
    </row>
    <row r="47" spans="1:18" x14ac:dyDescent="0.15">
      <c r="A47" s="33" t="s">
        <v>107</v>
      </c>
      <c r="B47">
        <f ca="1">SUMIF(tables_530100!C:C,input_530100!A47,tables_530100!O:O)</f>
        <v>231616</v>
      </c>
      <c r="C47" s="54">
        <f t="shared" ca="1" si="22"/>
        <v>8.2554419421617155E-3</v>
      </c>
      <c r="E47" t="s">
        <v>204</v>
      </c>
      <c r="F47" s="55">
        <f ca="1">SUMIF(tables_530100!I:I,input_530100!E47,tables_530100!P:P)</f>
        <v>0.17436170212765953</v>
      </c>
    </row>
    <row r="48" spans="1:18" x14ac:dyDescent="0.15">
      <c r="A48" s="33" t="s">
        <v>108</v>
      </c>
      <c r="B48">
        <f>SUMIF(tables_530100!C:C,input_530100!A48,tables_530100!O:O)</f>
        <v>0</v>
      </c>
      <c r="C48" s="54">
        <f t="shared" ca="1" si="22"/>
        <v>0</v>
      </c>
      <c r="E48" t="s">
        <v>205</v>
      </c>
      <c r="F48" s="55">
        <f ca="1">SUMIF(tables_530100!I:I,input_530100!E48,tables_530100!P:P)</f>
        <v>0.15957446808510636</v>
      </c>
    </row>
    <row r="49" spans="1:7" x14ac:dyDescent="0.15">
      <c r="A49" s="39" t="s">
        <v>59</v>
      </c>
      <c r="B49">
        <f ca="1">SUM(B42:B48)</f>
        <v>28056160.000000019</v>
      </c>
      <c r="C49" s="55">
        <f ca="1">SUM(C42:C48)</f>
        <v>1</v>
      </c>
      <c r="E49" t="s">
        <v>206</v>
      </c>
      <c r="F49" s="55">
        <f ca="1">SUMIF(tables_530100!I:I,input_530100!E49,tables_530100!P:P)</f>
        <v>0.56606382978723491</v>
      </c>
    </row>
    <row r="50" spans="1:7" x14ac:dyDescent="0.15">
      <c r="E50" t="s">
        <v>207</v>
      </c>
      <c r="F50" s="55">
        <f ca="1">SUMIF(tables_530100!I:I,input_530100!E50,tables_530100!P:P)</f>
        <v>7.866666666666669E-2</v>
      </c>
      <c r="G50" s="55">
        <f ca="1">0.05-F50-F51</f>
        <v>-3.800000000000002E-2</v>
      </c>
    </row>
    <row r="51" spans="1:7" x14ac:dyDescent="0.15">
      <c r="E51" t="s">
        <v>250</v>
      </c>
      <c r="F51" s="55">
        <f ca="1">SUMIF(tables_530100!I:I,input_530100!E51,tables_530100!P:P)</f>
        <v>9.3333333333333341E-3</v>
      </c>
      <c r="G51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2" activePane="bottomLeft" state="frozen"/>
      <selection activeCell="B33" sqref="B33"/>
      <selection pane="bottomLeft" activeCell="C2" sqref="C2:V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input_530100!A$2</f>
        <v>530100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IFERROR(VLOOKUP(B2,input_530100!L:R,7,FALSE),VLOOKUP(tables_530100!C2,input_530100!A:H,8,FALSE))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input_530100!A$2</f>
        <v>530100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IFERROR(VLOOKUP(B3,input_530100!L:R,7,FALSE),VLOOKUP(tables_530100!C3,input_530100!A:H,8,FALSE))</f>
        <v>526020</v>
      </c>
      <c r="P3" s="46">
        <f t="shared" ca="1" si="1"/>
        <v>8.478723404255319E-3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input_530100!A$2</f>
        <v>530100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IFERROR(VLOOKUP(B4,input_530100!L:R,7,FALSE),VLOOKUP(tables_530100!C4,input_530100!A:H,8,FALSE))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input_530100!A$2</f>
        <v>530100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IFERROR(VLOOKUP(B5,input_530100!L:R,7,FALSE),VLOOKUP(tables_530100!C5,input_530100!A:H,8,FALSE))</f>
        <v>526020</v>
      </c>
      <c r="P5" s="46">
        <f t="shared" ca="1" si="1"/>
        <v>8.478723404255319E-3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input_530100!A$2</f>
        <v>530100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IFERROR(VLOOKUP(B6,input_530100!L:R,7,FALSE),VLOOKUP(tables_530100!C6,input_530100!A:H,8,FALSE))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input_530100!A$2</f>
        <v>530100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IFERROR(VLOOKUP(B7,input_530100!L:R,7,FALSE),VLOOKUP(tables_530100!C7,input_530100!A:H,8,FALSE))</f>
        <v>526020</v>
      </c>
      <c r="P7" s="46">
        <f t="shared" ca="1" si="1"/>
        <v>8.478723404255319E-3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input_530100!A$2</f>
        <v>530100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IFERROR(VLOOKUP(B8,input_530100!L:R,7,FALSE),VLOOKUP(tables_530100!C8,input_530100!A:H,8,FALSE))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input_530100!A$2</f>
        <v>530100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IFERROR(VLOOKUP(B9,input_530100!L:R,7,FALSE),VLOOKUP(tables_530100!C9,input_530100!A:H,8,FALSE))</f>
        <v>526020</v>
      </c>
      <c r="P9" s="46">
        <f t="shared" ca="1" si="1"/>
        <v>8.478723404255319E-3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input_530100!A$2</f>
        <v>530100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IFERROR(VLOOKUP(B10,input_530100!L:R,7,FALSE),VLOOKUP(tables_530100!C10,input_530100!A:H,8,FALSE))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input_530100!A$2</f>
        <v>530100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IFERROR(VLOOKUP(B11,input_530100!L:R,7,FALSE),VLOOKUP(tables_530100!C11,input_530100!A:H,8,FALSE))</f>
        <v>526020</v>
      </c>
      <c r="P11" s="46">
        <f t="shared" ca="1" si="1"/>
        <v>8.478723404255319E-3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input_530100!A$2</f>
        <v>530100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IFERROR(VLOOKUP(B12,input_530100!L:R,7,FALSE),VLOOKUP(tables_530100!C12,input_530100!A:H,8,FALSE))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input_530100!A$2</f>
        <v>530100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IFERROR(VLOOKUP(B13,input_530100!L:R,7,FALSE),VLOOKUP(tables_530100!C13,input_530100!A:H,8,FALSE))</f>
        <v>526020</v>
      </c>
      <c r="P13" s="46">
        <f t="shared" ca="1" si="1"/>
        <v>8.478723404255319E-3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input_530100!A$2</f>
        <v>530100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IFERROR(VLOOKUP(B14,input_530100!L:R,7,FALSE),VLOOKUP(tables_530100!C14,input_530100!A:H,8,FALSE))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input_530100!A$2</f>
        <v>530100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IFERROR(VLOOKUP(B15,input_530100!L:R,7,FALSE),VLOOKUP(tables_530100!C15,input_530100!A:H,8,FALSE))</f>
        <v>526020</v>
      </c>
      <c r="P15" s="46">
        <f t="shared" ca="1" si="1"/>
        <v>8.478723404255319E-3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input_530100!A$2</f>
        <v>530100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IFERROR(VLOOKUP(B16,input_530100!L:R,7,FALSE),VLOOKUP(tables_530100!C16,input_530100!A:H,8,FALSE))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input_530100!A$2</f>
        <v>530100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IFERROR(VLOOKUP(B17,input_530100!L:R,7,FALSE),VLOOKUP(tables_530100!C17,input_530100!A:H,8,FALSE))</f>
        <v>526020</v>
      </c>
      <c r="P17" s="46">
        <f t="shared" ca="1" si="1"/>
        <v>8.478723404255319E-3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input_530100!A$2</f>
        <v>530100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IFERROR(VLOOKUP(B18,input_530100!L:R,7,FALSE),VLOOKUP(tables_530100!C18,input_530100!A:H,8,FALSE))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input_530100!A$2</f>
        <v>530100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IFERROR(VLOOKUP(B19,input_530100!L:R,7,FALSE),VLOOKUP(tables_530100!C19,input_530100!A:H,8,FALSE))</f>
        <v>526020</v>
      </c>
      <c r="P19" s="46">
        <f t="shared" ca="1" si="1"/>
        <v>8.478723404255319E-3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input_530100!A$2</f>
        <v>530100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IFERROR(VLOOKUP(B20,input_530100!L:R,7,FALSE),VLOOKUP(tables_530100!C20,input_530100!A:H,8,FALSE))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input_530100!A$2</f>
        <v>530100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IFERROR(VLOOKUP(B21,input_530100!L:R,7,FALSE),VLOOKUP(tables_530100!C21,input_530100!A:H,8,FALSE))</f>
        <v>526020</v>
      </c>
      <c r="P21" s="46">
        <f t="shared" ca="1" si="1"/>
        <v>8.478723404255319E-3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input_530100!A$2</f>
        <v>530100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IFERROR(VLOOKUP(B22,input_530100!L:R,7,FALSE),VLOOKUP(tables_530100!C22,input_530100!A:H,8,FALSE))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input_530100!A$2</f>
        <v>530100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IFERROR(VLOOKUP(B23,input_530100!L:R,7,FALSE),VLOOKUP(tables_530100!C23,input_530100!A:H,8,FALSE))</f>
        <v>526020</v>
      </c>
      <c r="P23" s="46">
        <f t="shared" ca="1" si="1"/>
        <v>8.478723404255319E-3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input_530100!A$2</f>
        <v>530100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IFERROR(VLOOKUP(B24,input_530100!L:R,7,FALSE),VLOOKUP(tables_530100!C24,input_530100!A:H,8,FALSE))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input_530100!A$2</f>
        <v>530100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IFERROR(VLOOKUP(B25,input_530100!L:R,7,FALSE),VLOOKUP(tables_530100!C25,input_530100!A:H,8,FALSE))</f>
        <v>526020</v>
      </c>
      <c r="P25" s="46">
        <f t="shared" ca="1" si="1"/>
        <v>8.478723404255319E-3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input_530100!A$2</f>
        <v>530100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IFERROR(VLOOKUP(B26,input_530100!L:R,7,FALSE),VLOOKUP(tables_530100!C26,input_530100!A:H,8,FALSE))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input_530100!A$2</f>
        <v>530100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IFERROR(VLOOKUP(B27,input_530100!L:R,7,FALSE),VLOOKUP(tables_530100!C27,input_530100!A:H,8,FALSE))</f>
        <v>526020</v>
      </c>
      <c r="P27" s="46">
        <f t="shared" ca="1" si="1"/>
        <v>8.478723404255319E-3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input_530100!A$2</f>
        <v>530100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IFERROR(VLOOKUP(B28,input_530100!L:R,7,FALSE),VLOOKUP(tables_530100!C28,input_530100!A:H,8,FALSE))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input_530100!A$2</f>
        <v>530100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IFERROR(VLOOKUP(B29,input_530100!L:R,7,FALSE),VLOOKUP(tables_530100!C29,input_530100!A:H,8,FALSE))</f>
        <v>526020</v>
      </c>
      <c r="P29" s="46">
        <f t="shared" ca="1" si="1"/>
        <v>8.478723404255319E-3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input_530100!A$2</f>
        <v>530100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IFERROR(VLOOKUP(B30,input_530100!L:R,7,FALSE),VLOOKUP(tables_530100!C30,input_530100!A:H,8,FALSE))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input_530100!A$2</f>
        <v>530100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IFERROR(VLOOKUP(B31,input_530100!L:R,7,FALSE),VLOOKUP(tables_530100!C31,input_530100!A:H,8,FALSE))</f>
        <v>526020</v>
      </c>
      <c r="P31" s="46">
        <f t="shared" ca="1" si="1"/>
        <v>8.478723404255319E-3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input_530100!A$2</f>
        <v>530100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IFERROR(VLOOKUP(B32,input_530100!L:R,7,FALSE),VLOOKUP(tables_530100!C32,input_530100!A:H,8,FALSE))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input_530100!A$2</f>
        <v>530100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IFERROR(VLOOKUP(B33,input_530100!L:R,7,FALSE),VLOOKUP(tables_530100!C33,input_530100!A:H,8,FALSE))</f>
        <v>526020</v>
      </c>
      <c r="P33" s="46">
        <f t="shared" ca="1" si="1"/>
        <v>8.478723404255319E-3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input_530100!A$2</f>
        <v>530100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IFERROR(VLOOKUP(B34,input_530100!L:R,7,FALSE),VLOOKUP(tables_530100!C34,input_530100!A:H,8,FALSE))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input_530100!A$2</f>
        <v>530100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IFERROR(VLOOKUP(B35,input_530100!L:R,7,FALSE),VLOOKUP(tables_530100!C35,input_530100!A:H,8,FALSE))</f>
        <v>526020</v>
      </c>
      <c r="P35" s="46">
        <f t="shared" ca="1" si="1"/>
        <v>8.478723404255319E-3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input_530100!A$2</f>
        <v>530100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IFERROR(VLOOKUP(B36,input_530100!L:R,7,FALSE),VLOOKUP(tables_530100!C36,input_530100!A:H,8,FALSE))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input_530100!A$2</f>
        <v>530100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IFERROR(VLOOKUP(B37,input_530100!L:R,7,FALSE),VLOOKUP(tables_530100!C37,input_530100!A:H,8,FALSE))</f>
        <v>526020</v>
      </c>
      <c r="P37" s="46">
        <f t="shared" ca="1" si="1"/>
        <v>8.478723404255319E-3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input_530100!A$2</f>
        <v>530100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IFERROR(VLOOKUP(B38,input_530100!L:R,7,FALSE),VLOOKUP(tables_530100!C38,input_530100!A:H,8,FALSE))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input_530100!A$2</f>
        <v>530100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IFERROR(VLOOKUP(B39,input_530100!L:R,7,FALSE),VLOOKUP(tables_530100!C39,input_530100!A:H,8,FALSE))</f>
        <v>526020</v>
      </c>
      <c r="P39" s="46">
        <f t="shared" ca="1" si="1"/>
        <v>8.478723404255319E-3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input_530100!A$2</f>
        <v>530100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IFERROR(VLOOKUP(B40,input_530100!L:R,7,FALSE),VLOOKUP(tables_530100!C40,input_530100!A:H,8,FALSE))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input_530100!A$2</f>
        <v>530100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IFERROR(VLOOKUP(B41,input_530100!L:R,7,FALSE),VLOOKUP(tables_530100!C41,input_530100!A:H,8,FALSE))</f>
        <v>526020</v>
      </c>
      <c r="P41" s="46">
        <f t="shared" ca="1" si="1"/>
        <v>8.478723404255319E-3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input_530100!A$2</f>
        <v>530100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IFERROR(VLOOKUP(B42,input_530100!L:R,7,FALSE),VLOOKUP(tables_530100!C42,input_530100!A:H,8,FALSE))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input_530100!A$2</f>
        <v>530100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IFERROR(VLOOKUP(B43,input_530100!L:R,7,FALSE),VLOOKUP(tables_530100!C43,input_530100!A:H,8,FALSE))</f>
        <v>445500</v>
      </c>
      <c r="P43" s="46">
        <f t="shared" ca="1" si="1"/>
        <v>7.1808510638297872E-3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input_530100!A$2</f>
        <v>530100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IFERROR(VLOOKUP(B44,input_530100!L:R,7,FALSE),VLOOKUP(tables_530100!C44,input_530100!A:H,8,FALSE))</f>
        <v>49500</v>
      </c>
      <c r="P44" s="46">
        <f t="shared" ca="1" si="1"/>
        <v>7.9787234042553187E-4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input_530100!A$2</f>
        <v>530100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IFERROR(VLOOKUP(B45,input_530100!L:R,7,FALSE),VLOOKUP(tables_530100!C45,input_530100!A:H,8,FALSE))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input_530100!A$2</f>
        <v>530100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IFERROR(VLOOKUP(B46,input_530100!L:R,7,FALSE),VLOOKUP(tables_530100!C46,input_530100!A:H,8,FALSE))</f>
        <v>445500</v>
      </c>
      <c r="P46" s="46">
        <f t="shared" ca="1" si="1"/>
        <v>7.1808510638297872E-3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input_530100!A$2</f>
        <v>530100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IFERROR(VLOOKUP(B47,input_530100!L:R,7,FALSE),VLOOKUP(tables_530100!C47,input_530100!A:H,8,FALSE))</f>
        <v>49500</v>
      </c>
      <c r="P47" s="46">
        <f t="shared" ca="1" si="1"/>
        <v>7.9787234042553187E-4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input_530100!A$2</f>
        <v>530100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IFERROR(VLOOKUP(B48,input_530100!L:R,7,FALSE),VLOOKUP(tables_530100!C48,input_530100!A:H,8,FALSE))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input_530100!A$2</f>
        <v>530100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IFERROR(VLOOKUP(B49,input_530100!L:R,7,FALSE),VLOOKUP(tables_530100!C49,input_530100!A:H,8,FALSE))</f>
        <v>445500</v>
      </c>
      <c r="P49" s="46">
        <f t="shared" ca="1" si="1"/>
        <v>7.1808510638297872E-3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input_530100!A$2</f>
        <v>530100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IFERROR(VLOOKUP(B50,input_530100!L:R,7,FALSE),VLOOKUP(tables_530100!C50,input_530100!A:H,8,FALSE))</f>
        <v>49500</v>
      </c>
      <c r="P50" s="46">
        <f t="shared" ca="1" si="1"/>
        <v>7.9787234042553187E-4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input_530100!A$2</f>
        <v>530100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IFERROR(VLOOKUP(B51,input_530100!L:R,7,FALSE),VLOOKUP(tables_530100!C51,input_530100!A:H,8,FALSE))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input_530100!A$2</f>
        <v>530100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IFERROR(VLOOKUP(B52,input_530100!L:R,7,FALSE),VLOOKUP(tables_530100!C52,input_530100!A:H,8,FALSE))</f>
        <v>467249.53846000001</v>
      </c>
      <c r="P52" s="46">
        <f t="shared" ca="1" si="1"/>
        <v>7.5314238952288847E-3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input_530100!A$2</f>
        <v>530100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IFERROR(VLOOKUP(B53,input_530100!L:R,7,FALSE),VLOOKUP(tables_530100!C53,input_530100!A:H,8,FALSE))</f>
        <v>27750.46154</v>
      </c>
      <c r="P53" s="46">
        <f t="shared" ca="1" si="1"/>
        <v>4.4729950902643457E-4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input_530100!A$2</f>
        <v>530100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IFERROR(VLOOKUP(B54,input_530100!L:R,7,FALSE),VLOOKUP(tables_530100!C54,input_530100!A:H,8,FALSE))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input_530100!A$2</f>
        <v>530100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IFERROR(VLOOKUP(B55,input_530100!L:R,7,FALSE),VLOOKUP(tables_530100!C55,input_530100!A:H,8,FALSE))</f>
        <v>467249.53846000001</v>
      </c>
      <c r="P55" s="46">
        <f t="shared" ca="1" si="1"/>
        <v>7.5314238952288847E-3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input_530100!A$2</f>
        <v>530100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IFERROR(VLOOKUP(B56,input_530100!L:R,7,FALSE),VLOOKUP(tables_530100!C56,input_530100!A:H,8,FALSE))</f>
        <v>27750.46154</v>
      </c>
      <c r="P56" s="46">
        <f t="shared" ca="1" si="1"/>
        <v>4.4729950902643457E-4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input_530100!A$2</f>
        <v>530100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IFERROR(VLOOKUP(B57,input_530100!L:R,7,FALSE),VLOOKUP(tables_530100!C57,input_530100!A:H,8,FALSE))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input_530100!A$2</f>
        <v>530100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IFERROR(VLOOKUP(B58,input_530100!L:R,7,FALSE),VLOOKUP(tables_530100!C58,input_530100!A:H,8,FALSE))</f>
        <v>467249.53846000001</v>
      </c>
      <c r="P58" s="46">
        <f t="shared" ca="1" si="1"/>
        <v>7.5314238952288847E-3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input_530100!A$2</f>
        <v>530100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IFERROR(VLOOKUP(B59,input_530100!L:R,7,FALSE),VLOOKUP(tables_530100!C59,input_530100!A:H,8,FALSE))</f>
        <v>27750.46154</v>
      </c>
      <c r="P59" s="46">
        <f t="shared" ca="1" si="1"/>
        <v>4.4729950902643457E-4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input_530100!A$2</f>
        <v>530100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IFERROR(VLOOKUP(B60,input_530100!L:R,7,FALSE),VLOOKUP(tables_530100!C60,input_530100!A:H,8,FALSE))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input_530100!A$2</f>
        <v>530100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IFERROR(VLOOKUP(B61,input_530100!L:R,7,FALSE),VLOOKUP(tables_530100!C61,input_530100!A:H,8,FALSE))</f>
        <v>467249.53846000001</v>
      </c>
      <c r="P61" s="46">
        <f t="shared" ca="1" si="1"/>
        <v>7.5314238952288847E-3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input_530100!A$2</f>
        <v>530100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IFERROR(VLOOKUP(B62,input_530100!L:R,7,FALSE),VLOOKUP(tables_530100!C62,input_530100!A:H,8,FALSE))</f>
        <v>27750.46154</v>
      </c>
      <c r="P62" s="46">
        <f t="shared" ca="1" si="1"/>
        <v>4.4729950902643457E-4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input_530100!A$2</f>
        <v>530100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IFERROR(VLOOKUP(B63,input_530100!L:R,7,FALSE),VLOOKUP(tables_530100!C63,input_530100!A:H,8,FALSE))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input_530100!A$2</f>
        <v>530100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IFERROR(VLOOKUP(B64,input_530100!L:R,7,FALSE),VLOOKUP(tables_530100!C64,input_530100!A:H,8,FALSE))</f>
        <v>467249.53846000001</v>
      </c>
      <c r="P64" s="46">
        <f t="shared" ca="1" si="1"/>
        <v>7.5314238952288847E-3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input_530100!A$2</f>
        <v>530100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IFERROR(VLOOKUP(B65,input_530100!L:R,7,FALSE),VLOOKUP(tables_530100!C65,input_530100!A:H,8,FALSE))</f>
        <v>27750.46154</v>
      </c>
      <c r="P65" s="46">
        <f t="shared" ca="1" si="1"/>
        <v>4.4729950902643457E-4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input_530100!A$2</f>
        <v>530100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IFERROR(VLOOKUP(B66,input_530100!L:R,7,FALSE),VLOOKUP(tables_530100!C66,input_530100!A:H,8,FALSE))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input_530100!A$2</f>
        <v>530100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IFERROR(VLOOKUP(B67,input_530100!L:R,7,FALSE),VLOOKUP(tables_530100!C67,input_530100!A:H,8,FALSE))</f>
        <v>467249.53846000001</v>
      </c>
      <c r="P67" s="46">
        <f t="shared" ca="1" si="4"/>
        <v>7.5314238952288847E-3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input_530100!A$2</f>
        <v>530100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IFERROR(VLOOKUP(B68,input_530100!L:R,7,FALSE),VLOOKUP(tables_530100!C68,input_530100!A:H,8,FALSE))</f>
        <v>27750.46154</v>
      </c>
      <c r="P68" s="46">
        <f t="shared" ca="1" si="4"/>
        <v>4.4729950902643457E-4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input_530100!A$2</f>
        <v>530100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IFERROR(VLOOKUP(B69,input_530100!L:R,7,FALSE),VLOOKUP(tables_530100!C69,input_530100!A:H,8,FALSE))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input_530100!A$2</f>
        <v>530100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IFERROR(VLOOKUP(B70,input_530100!L:R,7,FALSE),VLOOKUP(tables_530100!C70,input_530100!A:H,8,FALSE))</f>
        <v>467249.53846000001</v>
      </c>
      <c r="P70" s="46">
        <f t="shared" ca="1" si="4"/>
        <v>7.5314238952288847E-3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input_530100!A$2</f>
        <v>530100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IFERROR(VLOOKUP(B71,input_530100!L:R,7,FALSE),VLOOKUP(tables_530100!C71,input_530100!A:H,8,FALSE))</f>
        <v>27750.46154</v>
      </c>
      <c r="P71" s="46">
        <f t="shared" ca="1" si="4"/>
        <v>4.4729950902643457E-4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input_530100!A$2</f>
        <v>530100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IFERROR(VLOOKUP(B72,input_530100!L:R,7,FALSE),VLOOKUP(tables_530100!C72,input_530100!A:H,8,FALSE))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input_530100!A$2</f>
        <v>530100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IFERROR(VLOOKUP(B73,input_530100!L:R,7,FALSE),VLOOKUP(tables_530100!C73,input_530100!A:H,8,FALSE))</f>
        <v>467249.53846000001</v>
      </c>
      <c r="P73" s="46">
        <f t="shared" ca="1" si="4"/>
        <v>7.5314238952288847E-3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input_530100!A$2</f>
        <v>530100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IFERROR(VLOOKUP(B74,input_530100!L:R,7,FALSE),VLOOKUP(tables_530100!C74,input_530100!A:H,8,FALSE))</f>
        <v>27750.46154</v>
      </c>
      <c r="P74" s="46">
        <f t="shared" ca="1" si="4"/>
        <v>4.4729950902643457E-4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input_530100!A$2</f>
        <v>530100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IFERROR(VLOOKUP(B75,input_530100!L:R,7,FALSE),VLOOKUP(tables_530100!C75,input_530100!A:H,8,FALSE))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input_530100!A$2</f>
        <v>530100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IFERROR(VLOOKUP(B76,input_530100!L:R,7,FALSE),VLOOKUP(tables_530100!C76,input_530100!A:H,8,FALSE))</f>
        <v>467249.53846000001</v>
      </c>
      <c r="P76" s="46">
        <f t="shared" ca="1" si="4"/>
        <v>7.5314238952288847E-3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input_530100!A$2</f>
        <v>530100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IFERROR(VLOOKUP(B77,input_530100!L:R,7,FALSE),VLOOKUP(tables_530100!C77,input_530100!A:H,8,FALSE))</f>
        <v>27750.46154</v>
      </c>
      <c r="P77" s="46">
        <f t="shared" ca="1" si="4"/>
        <v>4.4729950902643457E-4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input_530100!A$2</f>
        <v>530100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IFERROR(VLOOKUP(B78,input_530100!L:R,7,FALSE),VLOOKUP(tables_530100!C78,input_530100!A:H,8,FALSE))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input_530100!A$2</f>
        <v>530100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IFERROR(VLOOKUP(B79,input_530100!L:R,7,FALSE),VLOOKUP(tables_530100!C79,input_530100!A:H,8,FALSE))</f>
        <v>467249.53846000001</v>
      </c>
      <c r="P79" s="46">
        <f t="shared" ca="1" si="4"/>
        <v>7.5314238952288847E-3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input_530100!A$2</f>
        <v>530100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IFERROR(VLOOKUP(B80,input_530100!L:R,7,FALSE),VLOOKUP(tables_530100!C80,input_530100!A:H,8,FALSE))</f>
        <v>27750.46154</v>
      </c>
      <c r="P80" s="46">
        <f t="shared" ca="1" si="4"/>
        <v>4.4729950902643457E-4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input_530100!A$2</f>
        <v>530100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IFERROR(VLOOKUP(B81,input_530100!L:R,7,FALSE),VLOOKUP(tables_530100!C81,input_530100!A:H,8,FALSE))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input_530100!A$2</f>
        <v>530100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IFERROR(VLOOKUP(B82,input_530100!L:R,7,FALSE),VLOOKUP(tables_530100!C82,input_530100!A:H,8,FALSE))</f>
        <v>467249.53846000001</v>
      </c>
      <c r="P82" s="46">
        <f t="shared" ca="1" si="4"/>
        <v>7.5314238952288847E-3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input_530100!A$2</f>
        <v>530100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IFERROR(VLOOKUP(B83,input_530100!L:R,7,FALSE),VLOOKUP(tables_530100!C83,input_530100!A:H,8,FALSE))</f>
        <v>27750.46154</v>
      </c>
      <c r="P83" s="46">
        <f t="shared" ca="1" si="4"/>
        <v>4.4729950902643457E-4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input_530100!A$2</f>
        <v>530100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IFERROR(VLOOKUP(B84,input_530100!L:R,7,FALSE),VLOOKUP(tables_530100!C84,input_530100!A:H,8,FALSE))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input_530100!A$2</f>
        <v>530100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IFERROR(VLOOKUP(B85,input_530100!L:R,7,FALSE),VLOOKUP(tables_530100!C85,input_530100!A:H,8,FALSE))</f>
        <v>467249.53846000001</v>
      </c>
      <c r="P85" s="46">
        <f t="shared" ca="1" si="4"/>
        <v>7.5314238952288847E-3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input_530100!A$2</f>
        <v>530100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IFERROR(VLOOKUP(B86,input_530100!L:R,7,FALSE),VLOOKUP(tables_530100!C86,input_530100!A:H,8,FALSE))</f>
        <v>27750.46154</v>
      </c>
      <c r="P86" s="46">
        <f t="shared" ca="1" si="4"/>
        <v>4.4729950902643457E-4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input_530100!A$2</f>
        <v>530100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IFERROR(VLOOKUP(B87,input_530100!L:R,7,FALSE),VLOOKUP(tables_530100!C87,input_530100!A:H,8,FALSE))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input_530100!A$2</f>
        <v>530100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IFERROR(VLOOKUP(B88,input_530100!L:R,7,FALSE),VLOOKUP(tables_530100!C88,input_530100!A:H,8,FALSE))</f>
        <v>467249.53846000001</v>
      </c>
      <c r="P88" s="46">
        <f t="shared" ca="1" si="4"/>
        <v>7.5314238952288847E-3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input_530100!A$2</f>
        <v>530100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IFERROR(VLOOKUP(B89,input_530100!L:R,7,FALSE),VLOOKUP(tables_530100!C89,input_530100!A:H,8,FALSE))</f>
        <v>27750.46154</v>
      </c>
      <c r="P89" s="46">
        <f t="shared" ca="1" si="4"/>
        <v>4.4729950902643457E-4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input_530100!A$2</f>
        <v>530100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IFERROR(VLOOKUP(B90,input_530100!L:R,7,FALSE),VLOOKUP(tables_530100!C90,input_530100!A:H,8,FALSE))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input_530100!A$2</f>
        <v>530100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IFERROR(VLOOKUP(B91,input_530100!L:R,7,FALSE),VLOOKUP(tables_530100!C91,input_530100!A:H,8,FALSE))</f>
        <v>467249.53846000001</v>
      </c>
      <c r="P91" s="46">
        <f t="shared" ca="1" si="4"/>
        <v>7.5314238952288847E-3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input_530100!A$2</f>
        <v>530100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IFERROR(VLOOKUP(B92,input_530100!L:R,7,FALSE),VLOOKUP(tables_530100!C92,input_530100!A:H,8,FALSE))</f>
        <v>27750.46154</v>
      </c>
      <c r="P92" s="46">
        <f t="shared" ca="1" si="4"/>
        <v>4.4729950902643457E-4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input_530100!A$2</f>
        <v>530100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IFERROR(VLOOKUP(B93,input_530100!L:R,7,FALSE),VLOOKUP(tables_530100!C93,input_530100!A:H,8,FALSE))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input_530100!A$2</f>
        <v>530100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IFERROR(VLOOKUP(B94,input_530100!L:R,7,FALSE),VLOOKUP(tables_530100!C94,input_530100!A:H,8,FALSE))</f>
        <v>467249.53846000001</v>
      </c>
      <c r="P94" s="46">
        <f t="shared" ca="1" si="4"/>
        <v>7.5314238952288847E-3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input_530100!A$2</f>
        <v>530100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IFERROR(VLOOKUP(B95,input_530100!L:R,7,FALSE),VLOOKUP(tables_530100!C95,input_530100!A:H,8,FALSE))</f>
        <v>27750.46154</v>
      </c>
      <c r="P95" s="46">
        <f t="shared" ca="1" si="4"/>
        <v>4.4729950902643457E-4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input_530100!A$2</f>
        <v>530100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IFERROR(VLOOKUP(B96,input_530100!L:R,7,FALSE),VLOOKUP(tables_530100!C96,input_530100!A:H,8,FALSE))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input_530100!A$2</f>
        <v>530100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IFERROR(VLOOKUP(B97,input_530100!L:R,7,FALSE),VLOOKUP(tables_530100!C97,input_530100!A:H,8,FALSE))</f>
        <v>467249.53846000001</v>
      </c>
      <c r="P97" s="46">
        <f t="shared" ca="1" si="4"/>
        <v>7.5314238952288847E-3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input_530100!A$2</f>
        <v>530100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IFERROR(VLOOKUP(B98,input_530100!L:R,7,FALSE),VLOOKUP(tables_530100!C98,input_530100!A:H,8,FALSE))</f>
        <v>27750.46154</v>
      </c>
      <c r="P98" s="46">
        <f t="shared" ca="1" si="4"/>
        <v>4.4729950902643457E-4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input_530100!A$2</f>
        <v>530100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IFERROR(VLOOKUP(B99,input_530100!L:R,7,FALSE),VLOOKUP(tables_530100!C99,input_530100!A:H,8,FALSE))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input_530100!A$2</f>
        <v>530100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IFERROR(VLOOKUP(B100,input_530100!L:R,7,FALSE),VLOOKUP(tables_530100!C100,input_530100!A:H,8,FALSE))</f>
        <v>467249.53846000001</v>
      </c>
      <c r="P100" s="46">
        <f t="shared" ca="1" si="4"/>
        <v>7.5314238952288847E-3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input_530100!A$2</f>
        <v>530100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IFERROR(VLOOKUP(B101,input_530100!L:R,7,FALSE),VLOOKUP(tables_530100!C101,input_530100!A:H,8,FALSE))</f>
        <v>27750.46154</v>
      </c>
      <c r="P101" s="46">
        <f t="shared" ca="1" si="4"/>
        <v>4.4729950902643457E-4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input_530100!A$2</f>
        <v>530100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IFERROR(VLOOKUP(B102,input_530100!L:R,7,FALSE),VLOOKUP(tables_530100!C102,input_530100!A:H,8,FALSE))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input_530100!A$2</f>
        <v>530100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IFERROR(VLOOKUP(B103,input_530100!L:R,7,FALSE),VLOOKUP(tables_530100!C103,input_530100!A:H,8,FALSE))</f>
        <v>467249.53846000001</v>
      </c>
      <c r="P103" s="46">
        <f t="shared" ca="1" si="4"/>
        <v>7.5314238952288847E-3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input_530100!A$2</f>
        <v>530100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IFERROR(VLOOKUP(B104,input_530100!L:R,7,FALSE),VLOOKUP(tables_530100!C104,input_530100!A:H,8,FALSE))</f>
        <v>27750.46154</v>
      </c>
      <c r="P104" s="46">
        <f t="shared" ca="1" si="4"/>
        <v>4.4729950902643457E-4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input_530100!A$2</f>
        <v>530100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IFERROR(VLOOKUP(B105,input_530100!L:R,7,FALSE),VLOOKUP(tables_530100!C105,input_530100!A:H,8,FALSE))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input_530100!A$2</f>
        <v>530100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IFERROR(VLOOKUP(B106,input_530100!L:R,7,FALSE),VLOOKUP(tables_530100!C106,input_530100!A:H,8,FALSE))</f>
        <v>467249.53846000001</v>
      </c>
      <c r="P106" s="46">
        <f t="shared" ca="1" si="4"/>
        <v>7.5314238952288847E-3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input_530100!A$2</f>
        <v>530100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IFERROR(VLOOKUP(B107,input_530100!L:R,7,FALSE),VLOOKUP(tables_530100!C107,input_530100!A:H,8,FALSE))</f>
        <v>27750.46154</v>
      </c>
      <c r="P107" s="46">
        <f t="shared" ca="1" si="4"/>
        <v>4.4729950902643457E-4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input_530100!A$2</f>
        <v>530100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IFERROR(VLOOKUP(B108,input_530100!L:R,7,FALSE),VLOOKUP(tables_530100!C108,input_530100!A:H,8,FALSE))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input_530100!A$2</f>
        <v>530100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IFERROR(VLOOKUP(B109,input_530100!L:R,7,FALSE),VLOOKUP(tables_530100!C109,input_530100!A:H,8,FALSE))</f>
        <v>467249.53846000001</v>
      </c>
      <c r="P109" s="46">
        <f t="shared" ca="1" si="4"/>
        <v>7.5314238952288847E-3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input_530100!A$2</f>
        <v>530100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IFERROR(VLOOKUP(B110,input_530100!L:R,7,FALSE),VLOOKUP(tables_530100!C110,input_530100!A:H,8,FALSE))</f>
        <v>27750.46154</v>
      </c>
      <c r="P110" s="46">
        <f t="shared" ca="1" si="4"/>
        <v>4.4729950902643457E-4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input_530100!A$2</f>
        <v>530100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IFERROR(VLOOKUP(B111,input_530100!L:R,7,FALSE),VLOOKUP(tables_530100!C111,input_530100!A:H,8,FALSE))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input_530100!A$2</f>
        <v>530100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IFERROR(VLOOKUP(B112,input_530100!L:R,7,FALSE),VLOOKUP(tables_530100!C112,input_530100!A:H,8,FALSE))</f>
        <v>445500</v>
      </c>
      <c r="P112" s="46">
        <f t="shared" ca="1" si="4"/>
        <v>7.1808510638297872E-3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input_530100!A$2</f>
        <v>530100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IFERROR(VLOOKUP(B113,input_530100!L:R,7,FALSE),VLOOKUP(tables_530100!C113,input_530100!A:H,8,FALSE))</f>
        <v>49500</v>
      </c>
      <c r="P113" s="46">
        <f t="shared" ca="1" si="4"/>
        <v>7.9787234042553187E-4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input_530100!A$2</f>
        <v>530100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IFERROR(VLOOKUP(B114,input_530100!L:R,7,FALSE),VLOOKUP(tables_530100!C114,input_530100!A:H,8,FALSE))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input_530100!A$2</f>
        <v>530100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IFERROR(VLOOKUP(B115,input_530100!L:R,7,FALSE),VLOOKUP(tables_530100!C115,input_530100!A:H,8,FALSE))</f>
        <v>467249.53846000001</v>
      </c>
      <c r="P115" s="46">
        <f t="shared" ca="1" si="4"/>
        <v>7.5314238952288847E-3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input_530100!A$2</f>
        <v>530100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IFERROR(VLOOKUP(B116,input_530100!L:R,7,FALSE),VLOOKUP(tables_530100!C116,input_530100!A:H,8,FALSE))</f>
        <v>27750.46154</v>
      </c>
      <c r="P116" s="46">
        <f t="shared" ca="1" si="4"/>
        <v>4.4729950902643457E-4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input_530100!A$2</f>
        <v>530100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IFERROR(VLOOKUP(B117,input_530100!L:R,7,FALSE),VLOOKUP(tables_530100!C117,input_530100!A:H,8,FALSE))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input_530100!A$2</f>
        <v>530100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IFERROR(VLOOKUP(B118,input_530100!L:R,7,FALSE),VLOOKUP(tables_530100!C118,input_530100!A:H,8,FALSE))</f>
        <v>467249.53846000001</v>
      </c>
      <c r="P118" s="46">
        <f t="shared" ca="1" si="4"/>
        <v>7.5314238952288847E-3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input_530100!A$2</f>
        <v>530100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IFERROR(VLOOKUP(B119,input_530100!L:R,7,FALSE),VLOOKUP(tables_530100!C119,input_530100!A:H,8,FALSE))</f>
        <v>27750.46154</v>
      </c>
      <c r="P119" s="46">
        <f t="shared" ca="1" si="4"/>
        <v>4.4729950902643457E-4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input_530100!A$2</f>
        <v>530100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IFERROR(VLOOKUP(B120,input_530100!L:R,7,FALSE),VLOOKUP(tables_530100!C120,input_530100!A:H,8,FALSE))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input_530100!A$2</f>
        <v>530100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IFERROR(VLOOKUP(B121,input_530100!L:R,7,FALSE),VLOOKUP(tables_530100!C121,input_530100!A:H,8,FALSE))</f>
        <v>467249.53846000001</v>
      </c>
      <c r="P121" s="46">
        <f t="shared" ca="1" si="4"/>
        <v>7.5314238952288847E-3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input_530100!A$2</f>
        <v>530100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IFERROR(VLOOKUP(B122,input_530100!L:R,7,FALSE),VLOOKUP(tables_530100!C122,input_530100!A:H,8,FALSE))</f>
        <v>27750.46154</v>
      </c>
      <c r="P122" s="46">
        <f t="shared" ca="1" si="4"/>
        <v>4.4729950902643457E-4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input_530100!A$2</f>
        <v>530100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IFERROR(VLOOKUP(B123,input_530100!L:R,7,FALSE),VLOOKUP(tables_530100!C123,input_530100!A:H,8,FALSE))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input_530100!A$2</f>
        <v>530100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IFERROR(VLOOKUP(B124,input_530100!L:R,7,FALSE),VLOOKUP(tables_530100!C124,input_530100!A:H,8,FALSE))</f>
        <v>467249.53846000001</v>
      </c>
      <c r="P124" s="46">
        <f t="shared" ca="1" si="4"/>
        <v>7.5314238952288847E-3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input_530100!A$2</f>
        <v>530100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IFERROR(VLOOKUP(B125,input_530100!L:R,7,FALSE),VLOOKUP(tables_530100!C125,input_530100!A:H,8,FALSE))</f>
        <v>27750.46154</v>
      </c>
      <c r="P125" s="46">
        <f t="shared" ca="1" si="4"/>
        <v>4.4729950902643457E-4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input_530100!A$2</f>
        <v>530100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IFERROR(VLOOKUP(B126,input_530100!L:R,7,FALSE),VLOOKUP(tables_530100!C126,input_530100!A:H,8,FALSE))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input_530100!A$2</f>
        <v>530100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IFERROR(VLOOKUP(B127,input_530100!L:R,7,FALSE),VLOOKUP(tables_530100!C127,input_530100!A:H,8,FALSE))</f>
        <v>467249.53846000001</v>
      </c>
      <c r="P127" s="46">
        <f t="shared" ca="1" si="4"/>
        <v>7.5314238952288847E-3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input_530100!A$2</f>
        <v>530100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IFERROR(VLOOKUP(B128,input_530100!L:R,7,FALSE),VLOOKUP(tables_530100!C128,input_530100!A:H,8,FALSE))</f>
        <v>27750.46154</v>
      </c>
      <c r="P128" s="46">
        <f t="shared" ca="1" si="4"/>
        <v>4.4729950902643457E-4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input_530100!A$2</f>
        <v>530100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IFERROR(VLOOKUP(B129,input_530100!L:R,7,FALSE),VLOOKUP(tables_530100!C129,input_530100!A:H,8,FALSE))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input_530100!A$2</f>
        <v>530100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IFERROR(VLOOKUP(B130,input_530100!L:R,7,FALSE),VLOOKUP(tables_530100!C130,input_530100!A:H,8,FALSE))</f>
        <v>467249.53846000001</v>
      </c>
      <c r="P130" s="46">
        <f t="shared" ref="P130:P193" ca="1" si="7">O130/SUM(O:O)</f>
        <v>7.5314238952288847E-3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input_530100!A$2</f>
        <v>530100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IFERROR(VLOOKUP(B131,input_530100!L:R,7,FALSE),VLOOKUP(tables_530100!C131,input_530100!A:H,8,FALSE))</f>
        <v>27750.46154</v>
      </c>
      <c r="P131" s="46">
        <f t="shared" ca="1" si="7"/>
        <v>4.4729950902643457E-4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input_530100!A$2</f>
        <v>530100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IFERROR(VLOOKUP(B132,input_530100!L:R,7,FALSE),VLOOKUP(tables_530100!C132,input_530100!A:H,8,FALSE))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input_530100!A$2</f>
        <v>530100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IFERROR(VLOOKUP(B133,input_530100!L:R,7,FALSE),VLOOKUP(tables_530100!C133,input_530100!A:H,8,FALSE))</f>
        <v>467249.53846000001</v>
      </c>
      <c r="P133" s="46">
        <f t="shared" ca="1" si="7"/>
        <v>7.5314238952288847E-3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input_530100!A$2</f>
        <v>530100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IFERROR(VLOOKUP(B134,input_530100!L:R,7,FALSE),VLOOKUP(tables_530100!C134,input_530100!A:H,8,FALSE))</f>
        <v>27750.46154</v>
      </c>
      <c r="P134" s="46">
        <f t="shared" ca="1" si="7"/>
        <v>4.4729950902643457E-4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input_530100!A$2</f>
        <v>530100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IFERROR(VLOOKUP(B135,input_530100!L:R,7,FALSE),VLOOKUP(tables_530100!C135,input_530100!A:H,8,FALSE))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input_530100!A$2</f>
        <v>530100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IFERROR(VLOOKUP(B136,input_530100!L:R,7,FALSE),VLOOKUP(tables_530100!C136,input_530100!A:H,8,FALSE))</f>
        <v>467249.53846000001</v>
      </c>
      <c r="P136" s="46">
        <f t="shared" ca="1" si="7"/>
        <v>7.5314238952288847E-3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input_530100!A$2</f>
        <v>530100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IFERROR(VLOOKUP(B137,input_530100!L:R,7,FALSE),VLOOKUP(tables_530100!C137,input_530100!A:H,8,FALSE))</f>
        <v>27750.46154</v>
      </c>
      <c r="P137" s="46">
        <f t="shared" ca="1" si="7"/>
        <v>4.4729950902643457E-4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input_530100!A$2</f>
        <v>530100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IFERROR(VLOOKUP(B138,input_530100!L:R,7,FALSE),VLOOKUP(tables_530100!C138,input_530100!A:H,8,FALSE))</f>
        <v>74448</v>
      </c>
      <c r="P138" s="46">
        <f t="shared" ca="1" si="7"/>
        <v>1.1999999999999999E-3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input_530100!A$2</f>
        <v>530100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IFERROR(VLOOKUP(B139,input_530100!L:R,7,FALSE),VLOOKUP(tables_530100!C139,input_530100!A:H,8,FALSE))</f>
        <v>8272</v>
      </c>
      <c r="P139" s="46">
        <f t="shared" ca="1" si="7"/>
        <v>1.3333333333333334E-4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input_530100!A$2</f>
        <v>530100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IFERROR(VLOOKUP(B140,input_530100!L:R,7,FALSE),VLOOKUP(tables_530100!C140,input_530100!A:H,8,FALSE))</f>
        <v>74448</v>
      </c>
      <c r="P140" s="46">
        <f t="shared" ca="1" si="7"/>
        <v>1.1999999999999999E-3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input_530100!A$2</f>
        <v>530100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IFERROR(VLOOKUP(B141,input_530100!L:R,7,FALSE),VLOOKUP(tables_530100!C141,input_530100!A:H,8,FALSE))</f>
        <v>8272</v>
      </c>
      <c r="P141" s="46">
        <f t="shared" ca="1" si="7"/>
        <v>1.3333333333333334E-4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input_530100!A$2</f>
        <v>530100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IFERROR(VLOOKUP(B142,input_530100!L:R,7,FALSE),VLOOKUP(tables_530100!C142,input_530100!A:H,8,FALSE))</f>
        <v>74448</v>
      </c>
      <c r="P142" s="46">
        <f t="shared" ca="1" si="7"/>
        <v>1.1999999999999999E-3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input_530100!A$2</f>
        <v>530100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IFERROR(VLOOKUP(B143,input_530100!L:R,7,FALSE),VLOOKUP(tables_530100!C143,input_530100!A:H,8,FALSE))</f>
        <v>8272</v>
      </c>
      <c r="P143" s="46">
        <f t="shared" ca="1" si="7"/>
        <v>1.3333333333333334E-4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input_530100!A$2</f>
        <v>530100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IFERROR(VLOOKUP(B144,input_530100!L:R,7,FALSE),VLOOKUP(tables_530100!C144,input_530100!A:H,8,FALSE))</f>
        <v>74448</v>
      </c>
      <c r="P144" s="46">
        <f t="shared" ca="1" si="7"/>
        <v>1.1999999999999999E-3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input_530100!A$2</f>
        <v>530100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IFERROR(VLOOKUP(B145,input_530100!L:R,7,FALSE),VLOOKUP(tables_530100!C145,input_530100!A:H,8,FALSE))</f>
        <v>8272</v>
      </c>
      <c r="P145" s="46">
        <f t="shared" ca="1" si="7"/>
        <v>1.3333333333333334E-4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input_530100!A$2</f>
        <v>530100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IFERROR(VLOOKUP(B146,input_530100!L:R,7,FALSE),VLOOKUP(tables_530100!C146,input_530100!A:H,8,FALSE))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input_530100!A$2</f>
        <v>530100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IFERROR(VLOOKUP(B147,input_530100!L:R,7,FALSE),VLOOKUP(tables_530100!C147,input_530100!A:H,8,FALSE))</f>
        <v>467249.53846000001</v>
      </c>
      <c r="P147" s="46">
        <f t="shared" ca="1" si="7"/>
        <v>7.5314238952288847E-3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input_530100!A$2</f>
        <v>530100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IFERROR(VLOOKUP(B148,input_530100!L:R,7,FALSE),VLOOKUP(tables_530100!C148,input_530100!A:H,8,FALSE))</f>
        <v>27750.46154</v>
      </c>
      <c r="P148" s="46">
        <f t="shared" ca="1" si="7"/>
        <v>4.4729950902643457E-4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input_530100!A$2</f>
        <v>530100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IFERROR(VLOOKUP(B149,input_530100!L:R,7,FALSE),VLOOKUP(tables_530100!C149,input_530100!A:H,8,FALSE))</f>
        <v>74448</v>
      </c>
      <c r="P149" s="46">
        <f t="shared" ca="1" si="7"/>
        <v>1.1999999999999999E-3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input_530100!A$2</f>
        <v>530100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IFERROR(VLOOKUP(B150,input_530100!L:R,7,FALSE),VLOOKUP(tables_530100!C150,input_530100!A:H,8,FALSE))</f>
        <v>8272</v>
      </c>
      <c r="P150" s="46">
        <f t="shared" ca="1" si="7"/>
        <v>1.3333333333333334E-4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input_530100!A$2</f>
        <v>530100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IFERROR(VLOOKUP(B151,input_530100!L:R,7,FALSE),VLOOKUP(tables_530100!C151,input_530100!A:H,8,FALSE))</f>
        <v>74448</v>
      </c>
      <c r="P151" s="46">
        <f t="shared" ca="1" si="7"/>
        <v>1.1999999999999999E-3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input_530100!A$2</f>
        <v>530100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IFERROR(VLOOKUP(B152,input_530100!L:R,7,FALSE),VLOOKUP(tables_530100!C152,input_530100!A:H,8,FALSE))</f>
        <v>8272</v>
      </c>
      <c r="P152" s="46">
        <f t="shared" ca="1" si="7"/>
        <v>1.3333333333333334E-4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input_530100!A$2</f>
        <v>530100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IFERROR(VLOOKUP(B153,input_530100!L:R,7,FALSE),VLOOKUP(tables_530100!C153,input_530100!A:H,8,FALSE))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input_530100!A$2</f>
        <v>530100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IFERROR(VLOOKUP(B154,input_530100!L:R,7,FALSE),VLOOKUP(tables_530100!C154,input_530100!A:H,8,FALSE))</f>
        <v>467249.53846000001</v>
      </c>
      <c r="P154" s="46">
        <f t="shared" ca="1" si="7"/>
        <v>7.5314238952288847E-3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input_530100!A$2</f>
        <v>530100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IFERROR(VLOOKUP(B155,input_530100!L:R,7,FALSE),VLOOKUP(tables_530100!C155,input_530100!A:H,8,FALSE))</f>
        <v>27750.46154</v>
      </c>
      <c r="P155" s="46">
        <f t="shared" ca="1" si="7"/>
        <v>4.4729950902643457E-4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input_530100!A$2</f>
        <v>530100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IFERROR(VLOOKUP(B156,input_530100!L:R,7,FALSE),VLOOKUP(tables_530100!C156,input_530100!A:H,8,FALSE))</f>
        <v>74448</v>
      </c>
      <c r="P156" s="46">
        <f t="shared" ca="1" si="7"/>
        <v>1.1999999999999999E-3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input_530100!A$2</f>
        <v>530100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IFERROR(VLOOKUP(B157,input_530100!L:R,7,FALSE),VLOOKUP(tables_530100!C157,input_530100!A:H,8,FALSE))</f>
        <v>8272</v>
      </c>
      <c r="P157" s="46">
        <f t="shared" ca="1" si="7"/>
        <v>1.3333333333333334E-4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input_530100!A$2</f>
        <v>530100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IFERROR(VLOOKUP(B158,input_530100!L:R,7,FALSE),VLOOKUP(tables_530100!C158,input_530100!A:H,8,FALSE))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input_530100!A$2</f>
        <v>530100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IFERROR(VLOOKUP(B159,input_530100!L:R,7,FALSE),VLOOKUP(tables_530100!C159,input_530100!A:H,8,FALSE))</f>
        <v>467249.53846000001</v>
      </c>
      <c r="P159" s="46">
        <f t="shared" ca="1" si="7"/>
        <v>7.5314238952288847E-3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input_530100!A$2</f>
        <v>530100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IFERROR(VLOOKUP(B160,input_530100!L:R,7,FALSE),VLOOKUP(tables_530100!C160,input_530100!A:H,8,FALSE))</f>
        <v>27750.46154</v>
      </c>
      <c r="P160" s="46">
        <f t="shared" ca="1" si="7"/>
        <v>4.4729950902643457E-4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input_530100!A$2</f>
        <v>530100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IFERROR(VLOOKUP(B161,input_530100!L:R,7,FALSE),VLOOKUP(tables_530100!C161,input_530100!A:H,8,FALSE))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input_530100!A$2</f>
        <v>530100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IFERROR(VLOOKUP(B162,input_530100!L:R,7,FALSE),VLOOKUP(tables_530100!C162,input_530100!A:H,8,FALSE))</f>
        <v>467249.53846000001</v>
      </c>
      <c r="P162" s="46">
        <f t="shared" ca="1" si="7"/>
        <v>7.5314238952288847E-3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input_530100!A$2</f>
        <v>530100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IFERROR(VLOOKUP(B163,input_530100!L:R,7,FALSE),VLOOKUP(tables_530100!C163,input_530100!A:H,8,FALSE))</f>
        <v>27750.46154</v>
      </c>
      <c r="P163" s="46">
        <f t="shared" ca="1" si="7"/>
        <v>4.4729950902643457E-4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input_530100!A$2</f>
        <v>530100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IFERROR(VLOOKUP(B164,input_530100!L:R,7,FALSE),VLOOKUP(tables_530100!C164,input_530100!A:H,8,FALSE))</f>
        <v>74448</v>
      </c>
      <c r="P164" s="46">
        <f t="shared" ca="1" si="7"/>
        <v>1.1999999999999999E-3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input_530100!A$2</f>
        <v>530100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IFERROR(VLOOKUP(B165,input_530100!L:R,7,FALSE),VLOOKUP(tables_530100!C165,input_530100!A:H,8,FALSE))</f>
        <v>8272</v>
      </c>
      <c r="P165" s="46">
        <f t="shared" ca="1" si="7"/>
        <v>1.3333333333333334E-4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input_530100!A$2</f>
        <v>530100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IFERROR(VLOOKUP(B166,input_530100!L:R,7,FALSE),VLOOKUP(tables_530100!C166,input_530100!A:H,8,FALSE))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input_530100!A$2</f>
        <v>530100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IFERROR(VLOOKUP(B167,input_530100!L:R,7,FALSE),VLOOKUP(tables_530100!C167,input_530100!A:H,8,FALSE))</f>
        <v>467249.53846000001</v>
      </c>
      <c r="P167" s="46">
        <f t="shared" ca="1" si="7"/>
        <v>7.5314238952288847E-3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input_530100!A$2</f>
        <v>530100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IFERROR(VLOOKUP(B168,input_530100!L:R,7,FALSE),VLOOKUP(tables_530100!C168,input_530100!A:H,8,FALSE))</f>
        <v>27750.46154</v>
      </c>
      <c r="P168" s="46">
        <f t="shared" ca="1" si="7"/>
        <v>4.4729950902643457E-4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input_530100!A$2</f>
        <v>530100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IFERROR(VLOOKUP(B169,input_530100!L:R,7,FALSE),VLOOKUP(tables_530100!C169,input_530100!A:H,8,FALSE))</f>
        <v>74448</v>
      </c>
      <c r="P169" s="46">
        <f t="shared" ca="1" si="7"/>
        <v>1.1999999999999999E-3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input_530100!A$2</f>
        <v>530100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IFERROR(VLOOKUP(B170,input_530100!L:R,7,FALSE),VLOOKUP(tables_530100!C170,input_530100!A:H,8,FALSE))</f>
        <v>8272</v>
      </c>
      <c r="P170" s="46">
        <f t="shared" ca="1" si="7"/>
        <v>1.3333333333333334E-4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input_530100!A$2</f>
        <v>530100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IFERROR(VLOOKUP(B171,input_530100!L:R,7,FALSE),VLOOKUP(tables_530100!C171,input_530100!A:H,8,FALSE))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input_530100!A$2</f>
        <v>530100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IFERROR(VLOOKUP(B172,input_530100!L:R,7,FALSE),VLOOKUP(tables_530100!C172,input_530100!A:H,8,FALSE))</f>
        <v>467249.53846000001</v>
      </c>
      <c r="P172" s="46">
        <f t="shared" ca="1" si="7"/>
        <v>7.5314238952288847E-3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input_530100!A$2</f>
        <v>530100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IFERROR(VLOOKUP(B173,input_530100!L:R,7,FALSE),VLOOKUP(tables_530100!C173,input_530100!A:H,8,FALSE))</f>
        <v>27750.46154</v>
      </c>
      <c r="P173" s="46">
        <f t="shared" ca="1" si="7"/>
        <v>4.4729950902643457E-4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input_530100!A$2</f>
        <v>530100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IFERROR(VLOOKUP(B174,input_530100!L:R,7,FALSE),VLOOKUP(tables_530100!C174,input_530100!A:H,8,FALSE))</f>
        <v>74448</v>
      </c>
      <c r="P174" s="46">
        <f t="shared" ca="1" si="7"/>
        <v>1.1999999999999999E-3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input_530100!A$2</f>
        <v>530100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IFERROR(VLOOKUP(B175,input_530100!L:R,7,FALSE),VLOOKUP(tables_530100!C175,input_530100!A:H,8,FALSE))</f>
        <v>8272</v>
      </c>
      <c r="P175" s="46">
        <f t="shared" ca="1" si="7"/>
        <v>1.3333333333333334E-4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input_530100!A$2</f>
        <v>530100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IFERROR(VLOOKUP(B176,input_530100!L:R,7,FALSE),VLOOKUP(tables_530100!C176,input_530100!A:H,8,FALSE))</f>
        <v>74448</v>
      </c>
      <c r="P176" s="46">
        <f t="shared" ca="1" si="7"/>
        <v>1.1999999999999999E-3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input_530100!A$2</f>
        <v>530100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IFERROR(VLOOKUP(B177,input_530100!L:R,7,FALSE),VLOOKUP(tables_530100!C177,input_530100!A:H,8,FALSE))</f>
        <v>8272</v>
      </c>
      <c r="P177" s="46">
        <f t="shared" ca="1" si="7"/>
        <v>1.3333333333333334E-4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input_530100!A$2</f>
        <v>530100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IFERROR(VLOOKUP(B178,input_530100!L:R,7,FALSE),VLOOKUP(tables_530100!C178,input_530100!A:H,8,FALSE))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input_530100!A$2</f>
        <v>530100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IFERROR(VLOOKUP(B179,input_530100!L:R,7,FALSE),VLOOKUP(tables_530100!C179,input_530100!A:H,8,FALSE))</f>
        <v>467249.53846000001</v>
      </c>
      <c r="P179" s="46">
        <f t="shared" ca="1" si="7"/>
        <v>7.5314238952288847E-3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input_530100!A$2</f>
        <v>530100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IFERROR(VLOOKUP(B180,input_530100!L:R,7,FALSE),VLOOKUP(tables_530100!C180,input_530100!A:H,8,FALSE))</f>
        <v>27750.46154</v>
      </c>
      <c r="P180" s="46">
        <f t="shared" ca="1" si="7"/>
        <v>4.4729950902643457E-4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input_530100!A$2</f>
        <v>530100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IFERROR(VLOOKUP(B181,input_530100!L:R,7,FALSE),VLOOKUP(tables_530100!C181,input_530100!A:H,8,FALSE))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input_530100!A$2</f>
        <v>530100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IFERROR(VLOOKUP(B182,input_530100!L:R,7,FALSE),VLOOKUP(tables_530100!C182,input_530100!A:H,8,FALSE))</f>
        <v>467249.53846000001</v>
      </c>
      <c r="P182" s="46">
        <f t="shared" ca="1" si="7"/>
        <v>7.5314238952288847E-3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input_530100!A$2</f>
        <v>530100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IFERROR(VLOOKUP(B183,input_530100!L:R,7,FALSE),VLOOKUP(tables_530100!C183,input_530100!A:H,8,FALSE))</f>
        <v>27750.46154</v>
      </c>
      <c r="P183" s="46">
        <f t="shared" ca="1" si="7"/>
        <v>4.4729950902643457E-4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input_530100!A$2</f>
        <v>530100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IFERROR(VLOOKUP(B184,input_530100!L:R,7,FALSE),VLOOKUP(tables_530100!C184,input_530100!A:H,8,FALSE))</f>
        <v>74448</v>
      </c>
      <c r="P184" s="46">
        <f t="shared" ca="1" si="7"/>
        <v>1.1999999999999999E-3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input_530100!A$2</f>
        <v>530100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IFERROR(VLOOKUP(B185,input_530100!L:R,7,FALSE),VLOOKUP(tables_530100!C185,input_530100!A:H,8,FALSE))</f>
        <v>8272</v>
      </c>
      <c r="P185" s="46">
        <f t="shared" ca="1" si="7"/>
        <v>1.3333333333333334E-4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input_530100!A$2</f>
        <v>530100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IFERROR(VLOOKUP(B186,input_530100!L:R,7,FALSE),VLOOKUP(tables_530100!C186,input_530100!A:H,8,FALSE))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input_530100!A$2</f>
        <v>530100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IFERROR(VLOOKUP(B187,input_530100!L:R,7,FALSE),VLOOKUP(tables_530100!C187,input_530100!A:H,8,FALSE))</f>
        <v>467249.53846000001</v>
      </c>
      <c r="P187" s="46">
        <f t="shared" ca="1" si="7"/>
        <v>7.5314238952288847E-3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input_530100!A$2</f>
        <v>530100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IFERROR(VLOOKUP(B188,input_530100!L:R,7,FALSE),VLOOKUP(tables_530100!C188,input_530100!A:H,8,FALSE))</f>
        <v>27750.46154</v>
      </c>
      <c r="P188" s="46">
        <f t="shared" ca="1" si="7"/>
        <v>4.4729950902643457E-4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input_530100!A$2</f>
        <v>530100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IFERROR(VLOOKUP(B189,input_530100!L:R,7,FALSE),VLOOKUP(tables_530100!C189,input_530100!A:H,8,FALSE))</f>
        <v>74448</v>
      </c>
      <c r="P189" s="46">
        <f t="shared" ca="1" si="7"/>
        <v>1.1999999999999999E-3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input_530100!A$2</f>
        <v>530100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IFERROR(VLOOKUP(B190,input_530100!L:R,7,FALSE),VLOOKUP(tables_530100!C190,input_530100!A:H,8,FALSE))</f>
        <v>8272</v>
      </c>
      <c r="P190" s="46">
        <f t="shared" ca="1" si="7"/>
        <v>1.3333333333333334E-4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input_530100!A$2</f>
        <v>530100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IFERROR(VLOOKUP(B191,input_530100!L:R,7,FALSE),VLOOKUP(tables_530100!C191,input_530100!A:H,8,FALSE))</f>
        <v>74448</v>
      </c>
      <c r="P191" s="46">
        <f t="shared" ca="1" si="7"/>
        <v>1.1999999999999999E-3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input_530100!A$2</f>
        <v>530100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IFERROR(VLOOKUP(B192,input_530100!L:R,7,FALSE),VLOOKUP(tables_530100!C192,input_530100!A:H,8,FALSE))</f>
        <v>8272</v>
      </c>
      <c r="P192" s="46">
        <f t="shared" ca="1" si="7"/>
        <v>1.3333333333333334E-4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input_530100!A$2</f>
        <v>530100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IFERROR(VLOOKUP(B193,input_530100!L:R,7,FALSE),VLOOKUP(tables_530100!C193,input_530100!A:H,8,FALSE))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input_530100!A$2</f>
        <v>530100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IFERROR(VLOOKUP(B194,input_530100!L:R,7,FALSE),VLOOKUP(tables_530100!C194,input_530100!A:H,8,FALSE))</f>
        <v>467249.53846000001</v>
      </c>
      <c r="P194" s="46">
        <f t="shared" ref="P194:P257" ca="1" si="10">O194/SUM(O:O)</f>
        <v>7.5314238952288847E-3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input_530100!A$2</f>
        <v>530100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IFERROR(VLOOKUP(B195,input_530100!L:R,7,FALSE),VLOOKUP(tables_530100!C195,input_530100!A:H,8,FALSE))</f>
        <v>27750.46154</v>
      </c>
      <c r="P195" s="46">
        <f t="shared" ca="1" si="10"/>
        <v>4.4729950902643457E-4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input_530100!A$2</f>
        <v>530100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IFERROR(VLOOKUP(B196,input_530100!L:R,7,FALSE),VLOOKUP(tables_530100!C196,input_530100!A:H,8,FALSE))</f>
        <v>74448</v>
      </c>
      <c r="P196" s="46">
        <f t="shared" ca="1" si="10"/>
        <v>1.1999999999999999E-3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input_530100!A$2</f>
        <v>530100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IFERROR(VLOOKUP(B197,input_530100!L:R,7,FALSE),VLOOKUP(tables_530100!C197,input_530100!A:H,8,FALSE))</f>
        <v>8272</v>
      </c>
      <c r="P197" s="46">
        <f t="shared" ca="1" si="10"/>
        <v>1.3333333333333334E-4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input_530100!A$2</f>
        <v>530100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IFERROR(VLOOKUP(B198,input_530100!L:R,7,FALSE),VLOOKUP(tables_530100!C198,input_530100!A:H,8,FALSE))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input_530100!A$2</f>
        <v>530100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IFERROR(VLOOKUP(B199,input_530100!L:R,7,FALSE),VLOOKUP(tables_530100!C199,input_530100!A:H,8,FALSE))</f>
        <v>467249.53846000001</v>
      </c>
      <c r="P199" s="46">
        <f t="shared" ca="1" si="10"/>
        <v>7.5314238952288847E-3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input_530100!A$2</f>
        <v>530100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IFERROR(VLOOKUP(B200,input_530100!L:R,7,FALSE),VLOOKUP(tables_530100!C200,input_530100!A:H,8,FALSE))</f>
        <v>27750.46154</v>
      </c>
      <c r="P200" s="46">
        <f t="shared" ca="1" si="10"/>
        <v>4.4729950902643457E-4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input_530100!A$2</f>
        <v>530100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IFERROR(VLOOKUP(B201,input_530100!L:R,7,FALSE),VLOOKUP(tables_530100!C201,input_530100!A:H,8,FALSE))</f>
        <v>74448</v>
      </c>
      <c r="P201" s="46">
        <f t="shared" ca="1" si="10"/>
        <v>1.1999999999999999E-3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input_530100!A$2</f>
        <v>530100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IFERROR(VLOOKUP(B202,input_530100!L:R,7,FALSE),VLOOKUP(tables_530100!C202,input_530100!A:H,8,FALSE))</f>
        <v>8272</v>
      </c>
      <c r="P202" s="46">
        <f t="shared" ca="1" si="10"/>
        <v>1.3333333333333334E-4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input_530100!A$2</f>
        <v>530100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IFERROR(VLOOKUP(B203,input_530100!L:R,7,FALSE),VLOOKUP(tables_530100!C203,input_530100!A:H,8,FALSE))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input_530100!A$2</f>
        <v>530100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IFERROR(VLOOKUP(B204,input_530100!L:R,7,FALSE),VLOOKUP(tables_530100!C204,input_530100!A:H,8,FALSE))</f>
        <v>467249.53846000001</v>
      </c>
      <c r="P204" s="46">
        <f t="shared" ca="1" si="10"/>
        <v>7.5314238952288847E-3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input_530100!A$2</f>
        <v>530100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IFERROR(VLOOKUP(B205,input_530100!L:R,7,FALSE),VLOOKUP(tables_530100!C205,input_530100!A:H,8,FALSE))</f>
        <v>27750.46154</v>
      </c>
      <c r="P205" s="46">
        <f t="shared" ca="1" si="10"/>
        <v>4.4729950902643457E-4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input_530100!A$2</f>
        <v>530100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IFERROR(VLOOKUP(B206,input_530100!L:R,7,FALSE),VLOOKUP(tables_530100!C206,input_530100!A:H,8,FALSE))</f>
        <v>74448</v>
      </c>
      <c r="P206" s="46">
        <f t="shared" ca="1" si="10"/>
        <v>1.1999999999999999E-3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input_530100!A$2</f>
        <v>530100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IFERROR(VLOOKUP(B207,input_530100!L:R,7,FALSE),VLOOKUP(tables_530100!C207,input_530100!A:H,8,FALSE))</f>
        <v>8272</v>
      </c>
      <c r="P207" s="46">
        <f t="shared" ca="1" si="10"/>
        <v>1.3333333333333334E-4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input_530100!A$2</f>
        <v>530100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IFERROR(VLOOKUP(B208,input_530100!L:R,7,FALSE),VLOOKUP(tables_530100!C208,input_530100!A:H,8,FALSE))</f>
        <v>74448</v>
      </c>
      <c r="P208" s="46">
        <f t="shared" ca="1" si="10"/>
        <v>1.1999999999999999E-3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input_530100!A$2</f>
        <v>530100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IFERROR(VLOOKUP(B209,input_530100!L:R,7,FALSE),VLOOKUP(tables_530100!C209,input_530100!A:H,8,FALSE))</f>
        <v>8272</v>
      </c>
      <c r="P209" s="46">
        <f t="shared" ca="1" si="10"/>
        <v>1.3333333333333334E-4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input_530100!A$2</f>
        <v>530100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IFERROR(VLOOKUP(B210,input_530100!L:R,7,FALSE),VLOOKUP(tables_530100!C210,input_530100!A:H,8,FALSE))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input_530100!A$2</f>
        <v>530100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IFERROR(VLOOKUP(B211,input_530100!L:R,7,FALSE),VLOOKUP(tables_530100!C211,input_530100!A:H,8,FALSE))</f>
        <v>467249.53846000001</v>
      </c>
      <c r="P211" s="46">
        <f t="shared" ca="1" si="10"/>
        <v>7.5314238952288847E-3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input_530100!A$2</f>
        <v>530100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IFERROR(VLOOKUP(B212,input_530100!L:R,7,FALSE),VLOOKUP(tables_530100!C212,input_530100!A:H,8,FALSE))</f>
        <v>27750.46154</v>
      </c>
      <c r="P212" s="46">
        <f t="shared" ca="1" si="10"/>
        <v>4.4729950902643457E-4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input_530100!A$2</f>
        <v>530100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IFERROR(VLOOKUP(B213,input_530100!L:R,7,FALSE),VLOOKUP(tables_530100!C213,input_530100!A:H,8,FALSE))</f>
        <v>74448</v>
      </c>
      <c r="P213" s="46">
        <f t="shared" ca="1" si="10"/>
        <v>1.1999999999999999E-3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input_530100!A$2</f>
        <v>530100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IFERROR(VLOOKUP(B214,input_530100!L:R,7,FALSE),VLOOKUP(tables_530100!C214,input_530100!A:H,8,FALSE))</f>
        <v>8272</v>
      </c>
      <c r="P214" s="46">
        <f t="shared" ca="1" si="10"/>
        <v>1.3333333333333334E-4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input_530100!A$2</f>
        <v>530100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IFERROR(VLOOKUP(B215,input_530100!L:R,7,FALSE),VLOOKUP(tables_530100!C215,input_530100!A:H,8,FALSE))</f>
        <v>49500</v>
      </c>
      <c r="P215" s="46">
        <f t="shared" ca="1" si="10"/>
        <v>7.9787234042553187E-4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input_530100!A$2</f>
        <v>530100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IFERROR(VLOOKUP(B216,input_530100!L:R,7,FALSE),VLOOKUP(tables_530100!C216,input_530100!A:H,8,FALSE))</f>
        <v>49500</v>
      </c>
      <c r="P216" s="46">
        <f t="shared" ca="1" si="10"/>
        <v>7.9787234042553187E-4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input_530100!A$2</f>
        <v>530100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IFERROR(VLOOKUP(B217,input_530100!L:R,7,FALSE),VLOOKUP(tables_530100!C217,input_530100!A:H,8,FALSE))</f>
        <v>49500</v>
      </c>
      <c r="P217" s="46">
        <f t="shared" ca="1" si="10"/>
        <v>7.9787234042553187E-4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input_530100!A$2</f>
        <v>530100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IFERROR(VLOOKUP(B218,input_530100!L:R,7,FALSE),VLOOKUP(tables_530100!C218,input_530100!A:H,8,FALSE))</f>
        <v>49500</v>
      </c>
      <c r="P218" s="46">
        <f t="shared" ca="1" si="10"/>
        <v>7.9787234042553187E-4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input_530100!A$2</f>
        <v>530100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IFERROR(VLOOKUP(B219,input_530100!L:R,7,FALSE),VLOOKUP(tables_530100!C219,input_530100!A:H,8,FALSE))</f>
        <v>49500</v>
      </c>
      <c r="P219" s="46">
        <f t="shared" ca="1" si="10"/>
        <v>7.9787234042553187E-4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input_530100!A$2</f>
        <v>530100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IFERROR(VLOOKUP(B220,input_530100!L:R,7,FALSE),VLOOKUP(tables_530100!C220,input_530100!A:H,8,FALSE))</f>
        <v>49500</v>
      </c>
      <c r="P220" s="46">
        <f t="shared" ca="1" si="10"/>
        <v>7.9787234042553187E-4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input_530100!A$2</f>
        <v>530100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IFERROR(VLOOKUP(B221,input_530100!L:R,7,FALSE),VLOOKUP(tables_530100!C221,input_530100!A:H,8,FALSE))</f>
        <v>74448</v>
      </c>
      <c r="P221" s="46">
        <f t="shared" ca="1" si="10"/>
        <v>1.1999999999999999E-3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input_530100!A$2</f>
        <v>530100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IFERROR(VLOOKUP(B222,input_530100!L:R,7,FALSE),VLOOKUP(tables_530100!C222,input_530100!A:H,8,FALSE))</f>
        <v>8272</v>
      </c>
      <c r="P222" s="46">
        <f t="shared" ca="1" si="10"/>
        <v>1.3333333333333334E-4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input_530100!A$2</f>
        <v>530100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IFERROR(VLOOKUP(B223,input_530100!L:R,7,FALSE),VLOOKUP(tables_530100!C223,input_530100!A:H,8,FALSE))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input_530100!A$2</f>
        <v>530100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IFERROR(VLOOKUP(B224,input_530100!L:R,7,FALSE),VLOOKUP(tables_530100!C224,input_530100!A:H,8,FALSE))</f>
        <v>467249.53846000001</v>
      </c>
      <c r="P224" s="46">
        <f t="shared" ca="1" si="10"/>
        <v>7.5314238952288847E-3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input_530100!A$2</f>
        <v>530100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IFERROR(VLOOKUP(B225,input_530100!L:R,7,FALSE),VLOOKUP(tables_530100!C225,input_530100!A:H,8,FALSE))</f>
        <v>27750.46154</v>
      </c>
      <c r="P225" s="46">
        <f t="shared" ca="1" si="10"/>
        <v>4.4729950902643457E-4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input_530100!A$2</f>
        <v>530100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IFERROR(VLOOKUP(B226,input_530100!L:R,7,FALSE),VLOOKUP(tables_530100!C226,input_530100!A:H,8,FALSE))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input_530100!A$2</f>
        <v>530100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IFERROR(VLOOKUP(B227,input_530100!L:R,7,FALSE),VLOOKUP(tables_530100!C227,input_530100!A:H,8,FALSE))</f>
        <v>467249.53846000001</v>
      </c>
      <c r="P227" s="46">
        <f t="shared" ca="1" si="10"/>
        <v>7.5314238952288847E-3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input_530100!A$2</f>
        <v>530100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IFERROR(VLOOKUP(B228,input_530100!L:R,7,FALSE),VLOOKUP(tables_530100!C228,input_530100!A:H,8,FALSE))</f>
        <v>27750.46154</v>
      </c>
      <c r="P228" s="46">
        <f t="shared" ca="1" si="10"/>
        <v>4.4729950902643457E-4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input_530100!A$2</f>
        <v>530100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IFERROR(VLOOKUP(B229,input_530100!L:R,7,FALSE),VLOOKUP(tables_530100!C229,input_530100!A:H,8,FALSE))</f>
        <v>74448</v>
      </c>
      <c r="P229" s="46">
        <f t="shared" ca="1" si="10"/>
        <v>1.1999999999999999E-3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input_530100!A$2</f>
        <v>530100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IFERROR(VLOOKUP(B230,input_530100!L:R,7,FALSE),VLOOKUP(tables_530100!C230,input_530100!A:H,8,FALSE))</f>
        <v>8272</v>
      </c>
      <c r="P230" s="46">
        <f t="shared" ca="1" si="10"/>
        <v>1.3333333333333334E-4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input_530100!A$2</f>
        <v>530100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IFERROR(VLOOKUP(B231,input_530100!L:R,7,FALSE),VLOOKUP(tables_530100!C231,input_530100!A:H,8,FALSE))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input_530100!A$2</f>
        <v>530100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IFERROR(VLOOKUP(B232,input_530100!L:R,7,FALSE),VLOOKUP(tables_530100!C232,input_530100!A:H,8,FALSE))</f>
        <v>467249.53846000001</v>
      </c>
      <c r="P232" s="46">
        <f t="shared" ca="1" si="10"/>
        <v>7.5314238952288847E-3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input_530100!A$2</f>
        <v>530100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IFERROR(VLOOKUP(B233,input_530100!L:R,7,FALSE),VLOOKUP(tables_530100!C233,input_530100!A:H,8,FALSE))</f>
        <v>27750.46154</v>
      </c>
      <c r="P233" s="46">
        <f t="shared" ca="1" si="10"/>
        <v>4.4729950902643457E-4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input_530100!A$2</f>
        <v>530100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IFERROR(VLOOKUP(B234,input_530100!L:R,7,FALSE),VLOOKUP(tables_530100!C234,input_530100!A:H,8,FALSE))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input_530100!A$2</f>
        <v>530100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IFERROR(VLOOKUP(B235,input_530100!L:R,7,FALSE),VLOOKUP(tables_530100!C235,input_530100!A:H,8,FALSE))</f>
        <v>467249.53846000001</v>
      </c>
      <c r="P235" s="46">
        <f t="shared" ca="1" si="10"/>
        <v>7.5314238952288847E-3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input_530100!A$2</f>
        <v>530100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IFERROR(VLOOKUP(B236,input_530100!L:R,7,FALSE),VLOOKUP(tables_530100!C236,input_530100!A:H,8,FALSE))</f>
        <v>27750.46154</v>
      </c>
      <c r="P236" s="46">
        <f t="shared" ca="1" si="10"/>
        <v>4.4729950902643457E-4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input_530100!A$2</f>
        <v>530100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IFERROR(VLOOKUP(B237,input_530100!L:R,7,FALSE),VLOOKUP(tables_530100!C237,input_530100!A:H,8,FALSE))</f>
        <v>74448</v>
      </c>
      <c r="P237" s="46">
        <f t="shared" ca="1" si="10"/>
        <v>1.1999999999999999E-3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input_530100!A$2</f>
        <v>530100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IFERROR(VLOOKUP(B238,input_530100!L:R,7,FALSE),VLOOKUP(tables_530100!C238,input_530100!A:H,8,FALSE))</f>
        <v>8272</v>
      </c>
      <c r="P238" s="46">
        <f t="shared" ca="1" si="10"/>
        <v>1.3333333333333334E-4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input_530100!A$2</f>
        <v>530100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IFERROR(VLOOKUP(B239,input_530100!L:R,7,FALSE),VLOOKUP(tables_530100!C239,input_530100!A:H,8,FALSE))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input_530100!A$2</f>
        <v>530100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IFERROR(VLOOKUP(B240,input_530100!L:R,7,FALSE),VLOOKUP(tables_530100!C240,input_530100!A:H,8,FALSE))</f>
        <v>467249.53846000001</v>
      </c>
      <c r="P240" s="46">
        <f t="shared" ca="1" si="10"/>
        <v>7.5314238952288847E-3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input_530100!A$2</f>
        <v>530100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IFERROR(VLOOKUP(B241,input_530100!L:R,7,FALSE),VLOOKUP(tables_530100!C241,input_530100!A:H,8,FALSE))</f>
        <v>27750.46154</v>
      </c>
      <c r="P241" s="46">
        <f t="shared" ca="1" si="10"/>
        <v>4.4729950902643457E-4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input_530100!A$2</f>
        <v>530100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IFERROR(VLOOKUP(B242,input_530100!L:R,7,FALSE),VLOOKUP(tables_530100!C242,input_530100!A:H,8,FALSE))</f>
        <v>74448</v>
      </c>
      <c r="P242" s="46">
        <f t="shared" ca="1" si="10"/>
        <v>1.1999999999999999E-3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input_530100!A$2</f>
        <v>530100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IFERROR(VLOOKUP(B243,input_530100!L:R,7,FALSE),VLOOKUP(tables_530100!C243,input_530100!A:H,8,FALSE))</f>
        <v>8272</v>
      </c>
      <c r="P243" s="46">
        <f t="shared" ca="1" si="10"/>
        <v>1.3333333333333334E-4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input_530100!A$2</f>
        <v>530100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IFERROR(VLOOKUP(B244,input_530100!L:R,7,FALSE),VLOOKUP(tables_530100!C244,input_530100!A:H,8,FALSE))</f>
        <v>74448</v>
      </c>
      <c r="P244" s="46">
        <f t="shared" ca="1" si="10"/>
        <v>1.1999999999999999E-3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input_530100!A$2</f>
        <v>530100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IFERROR(VLOOKUP(B245,input_530100!L:R,7,FALSE),VLOOKUP(tables_530100!C245,input_530100!A:H,8,FALSE))</f>
        <v>8272</v>
      </c>
      <c r="P245" s="46">
        <f t="shared" ca="1" si="10"/>
        <v>1.3333333333333334E-4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input_530100!A$2</f>
        <v>530100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IFERROR(VLOOKUP(B246,input_530100!L:R,7,FALSE),VLOOKUP(tables_530100!C246,input_530100!A:H,8,FALSE))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input_530100!A$2</f>
        <v>530100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IFERROR(VLOOKUP(B247,input_530100!L:R,7,FALSE),VLOOKUP(tables_530100!C247,input_530100!A:H,8,FALSE))</f>
        <v>467249.53846000001</v>
      </c>
      <c r="P247" s="46">
        <f t="shared" ca="1" si="10"/>
        <v>7.5314238952288847E-3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input_530100!A$2</f>
        <v>530100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IFERROR(VLOOKUP(B248,input_530100!L:R,7,FALSE),VLOOKUP(tables_530100!C248,input_530100!A:H,8,FALSE))</f>
        <v>27750.46154</v>
      </c>
      <c r="P248" s="46">
        <f t="shared" ca="1" si="10"/>
        <v>4.4729950902643457E-4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input_530100!A$2</f>
        <v>530100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IFERROR(VLOOKUP(B249,input_530100!L:R,7,FALSE),VLOOKUP(tables_530100!C249,input_530100!A:H,8,FALSE))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input_530100!A$2</f>
        <v>530100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IFERROR(VLOOKUP(B250,input_530100!L:R,7,FALSE),VLOOKUP(tables_530100!C250,input_530100!A:H,8,FALSE))</f>
        <v>467249.53846000001</v>
      </c>
      <c r="P250" s="46">
        <f t="shared" ca="1" si="10"/>
        <v>7.5314238952288847E-3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input_530100!A$2</f>
        <v>530100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IFERROR(VLOOKUP(B251,input_530100!L:R,7,FALSE),VLOOKUP(tables_530100!C251,input_530100!A:H,8,FALSE))</f>
        <v>27750.46154</v>
      </c>
      <c r="P251" s="46">
        <f t="shared" ca="1" si="10"/>
        <v>4.4729950902643457E-4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input_530100!A$2</f>
        <v>530100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IFERROR(VLOOKUP(B252,input_530100!L:R,7,FALSE),VLOOKUP(tables_530100!C252,input_530100!A:H,8,FALSE))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input_530100!A$2</f>
        <v>530100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IFERROR(VLOOKUP(B253,input_530100!L:R,7,FALSE),VLOOKUP(tables_530100!C253,input_530100!A:H,8,FALSE))</f>
        <v>467249.53846000001</v>
      </c>
      <c r="P253" s="46">
        <f t="shared" ca="1" si="10"/>
        <v>7.5314238952288847E-3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input_530100!A$2</f>
        <v>530100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IFERROR(VLOOKUP(B254,input_530100!L:R,7,FALSE),VLOOKUP(tables_530100!C254,input_530100!A:H,8,FALSE))</f>
        <v>27750.46154</v>
      </c>
      <c r="P254" s="46">
        <f t="shared" ca="1" si="10"/>
        <v>4.4729950902643457E-4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input_530100!A$2</f>
        <v>530100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IFERROR(VLOOKUP(B255,input_530100!L:R,7,FALSE),VLOOKUP(tables_530100!C255,input_530100!A:H,8,FALSE))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input_530100!A$2</f>
        <v>530100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IFERROR(VLOOKUP(B256,input_530100!L:R,7,FALSE),VLOOKUP(tables_530100!C256,input_530100!A:H,8,FALSE))</f>
        <v>467249.53846000001</v>
      </c>
      <c r="P256" s="46">
        <f t="shared" ca="1" si="10"/>
        <v>7.5314238952288847E-3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input_530100!A$2</f>
        <v>530100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IFERROR(VLOOKUP(B257,input_530100!L:R,7,FALSE),VLOOKUP(tables_530100!C257,input_530100!A:H,8,FALSE))</f>
        <v>27750.46154</v>
      </c>
      <c r="P257" s="46">
        <f t="shared" ca="1" si="10"/>
        <v>4.4729950902643457E-4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input_530100!A$2</f>
        <v>530100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IFERROR(VLOOKUP(B258,input_530100!L:R,7,FALSE),VLOOKUP(tables_530100!C258,input_530100!A:H,8,FALSE))</f>
        <v>74448</v>
      </c>
      <c r="P258" s="46">
        <f t="shared" ref="P258:P321" ca="1" si="13">O258/SUM(O:O)</f>
        <v>1.1999999999999999E-3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input_530100!A$2</f>
        <v>530100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IFERROR(VLOOKUP(B259,input_530100!L:R,7,FALSE),VLOOKUP(tables_530100!C259,input_530100!A:H,8,FALSE))</f>
        <v>8272</v>
      </c>
      <c r="P259" s="46">
        <f t="shared" ca="1" si="13"/>
        <v>1.3333333333333334E-4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input_530100!A$2</f>
        <v>530100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IFERROR(VLOOKUP(B260,input_530100!L:R,7,FALSE),VLOOKUP(tables_530100!C260,input_530100!A:H,8,FALSE))</f>
        <v>74448</v>
      </c>
      <c r="P260" s="46">
        <f t="shared" ca="1" si="13"/>
        <v>1.1999999999999999E-3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input_530100!A$2</f>
        <v>530100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IFERROR(VLOOKUP(B261,input_530100!L:R,7,FALSE),VLOOKUP(tables_530100!C261,input_530100!A:H,8,FALSE))</f>
        <v>8272</v>
      </c>
      <c r="P261" s="46">
        <f t="shared" ca="1" si="13"/>
        <v>1.3333333333333334E-4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input_530100!A$2</f>
        <v>530100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IFERROR(VLOOKUP(B262,input_530100!L:R,7,FALSE),VLOOKUP(tables_530100!C262,input_530100!A:H,8,FALSE))</f>
        <v>429000</v>
      </c>
      <c r="P262" s="46">
        <f t="shared" ca="1" si="13"/>
        <v>6.9148936170212762E-3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input_530100!A$2</f>
        <v>530100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IFERROR(VLOOKUP(B263,input_530100!L:R,7,FALSE),VLOOKUP(tables_530100!C263,input_530100!A:H,8,FALSE))</f>
        <v>49500</v>
      </c>
      <c r="P263" s="46">
        <f t="shared" ca="1" si="13"/>
        <v>7.9787234042553187E-4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input_530100!A$2</f>
        <v>530100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IFERROR(VLOOKUP(B264,input_530100!L:R,7,FALSE),VLOOKUP(tables_530100!C264,input_530100!A:H,8,FALSE))</f>
        <v>429000</v>
      </c>
      <c r="P264" s="46">
        <f t="shared" ca="1" si="13"/>
        <v>6.9148936170212762E-3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input_530100!A$2</f>
        <v>530100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IFERROR(VLOOKUP(B265,input_530100!L:R,7,FALSE),VLOOKUP(tables_530100!C265,input_530100!A:H,8,FALSE))</f>
        <v>49500</v>
      </c>
      <c r="P265" s="46">
        <f t="shared" ca="1" si="13"/>
        <v>7.9787234042553187E-4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input_530100!A$2</f>
        <v>530100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IFERROR(VLOOKUP(B266,input_530100!L:R,7,FALSE),VLOOKUP(tables_530100!C266,input_530100!A:H,8,FALSE))</f>
        <v>82720</v>
      </c>
      <c r="P266" s="46">
        <f t="shared" ca="1" si="13"/>
        <v>1.3333333333333333E-3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input_530100!A$2</f>
        <v>530100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IFERROR(VLOOKUP(B267,input_530100!L:R,7,FALSE),VLOOKUP(tables_530100!C267,input_530100!A:H,8,FALSE))</f>
        <v>82720</v>
      </c>
      <c r="P267" s="46">
        <f t="shared" ca="1" si="13"/>
        <v>1.3333333333333333E-3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input_530100!A$2</f>
        <v>530100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IFERROR(VLOOKUP(B268,input_530100!L:R,7,FALSE),VLOOKUP(tables_530100!C268,input_530100!A:H,8,FALSE))</f>
        <v>82720</v>
      </c>
      <c r="P268" s="46">
        <f t="shared" ca="1" si="13"/>
        <v>1.3333333333333333E-3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input_530100!A$2</f>
        <v>530100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IFERROR(VLOOKUP(B269,input_530100!L:R,7,FALSE),VLOOKUP(tables_530100!C269,input_530100!A:H,8,FALSE))</f>
        <v>82720</v>
      </c>
      <c r="P269" s="46">
        <f t="shared" ca="1" si="13"/>
        <v>1.3333333333333333E-3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input_530100!A$2</f>
        <v>530100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IFERROR(VLOOKUP(B270,input_530100!L:R,7,FALSE),VLOOKUP(tables_530100!C270,input_530100!A:H,8,FALSE))</f>
        <v>429000</v>
      </c>
      <c r="P270" s="46">
        <f t="shared" ca="1" si="13"/>
        <v>6.9148936170212762E-3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input_530100!A$2</f>
        <v>530100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IFERROR(VLOOKUP(B271,input_530100!L:R,7,FALSE),VLOOKUP(tables_530100!C271,input_530100!A:H,8,FALSE))</f>
        <v>49500</v>
      </c>
      <c r="P271" s="46">
        <f t="shared" ca="1" si="13"/>
        <v>7.9787234042553187E-4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input_530100!A$2</f>
        <v>530100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IFERROR(VLOOKUP(B272,input_530100!L:R,7,FALSE),VLOOKUP(tables_530100!C272,input_530100!A:H,8,FALSE))</f>
        <v>429000</v>
      </c>
      <c r="P272" s="46">
        <f t="shared" ca="1" si="13"/>
        <v>6.9148936170212762E-3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input_530100!A$2</f>
        <v>530100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IFERROR(VLOOKUP(B273,input_530100!L:R,7,FALSE),VLOOKUP(tables_530100!C273,input_530100!A:H,8,FALSE))</f>
        <v>49500</v>
      </c>
      <c r="P273" s="46">
        <f t="shared" ca="1" si="13"/>
        <v>7.9787234042553187E-4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input_530100!A$2</f>
        <v>530100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IFERROR(VLOOKUP(B274,input_530100!L:R,7,FALSE),VLOOKUP(tables_530100!C274,input_530100!A:H,8,FALSE))</f>
        <v>74448</v>
      </c>
      <c r="P274" s="46">
        <f t="shared" ca="1" si="13"/>
        <v>1.1999999999999999E-3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input_530100!A$2</f>
        <v>530100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IFERROR(VLOOKUP(B275,input_530100!L:R,7,FALSE),VLOOKUP(tables_530100!C275,input_530100!A:H,8,FALSE))</f>
        <v>8272</v>
      </c>
      <c r="P275" s="46">
        <f t="shared" ca="1" si="13"/>
        <v>1.3333333333333334E-4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input_530100!A$2</f>
        <v>530100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IFERROR(VLOOKUP(B276,input_530100!L:R,7,FALSE),VLOOKUP(tables_530100!C276,input_530100!A:H,8,FALSE))</f>
        <v>74448</v>
      </c>
      <c r="P276" s="46">
        <f t="shared" ca="1" si="13"/>
        <v>1.1999999999999999E-3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input_530100!A$2</f>
        <v>530100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IFERROR(VLOOKUP(B277,input_530100!L:R,7,FALSE),VLOOKUP(tables_530100!C277,input_530100!A:H,8,FALSE))</f>
        <v>8272</v>
      </c>
      <c r="P277" s="46">
        <f t="shared" ca="1" si="13"/>
        <v>1.3333333333333334E-4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input_530100!A$2</f>
        <v>530100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IFERROR(VLOOKUP(B278,input_530100!L:R,7,FALSE),VLOOKUP(tables_530100!C278,input_530100!A:H,8,FALSE))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input_530100!A$2</f>
        <v>530100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IFERROR(VLOOKUP(B279,input_530100!L:R,7,FALSE),VLOOKUP(tables_530100!C279,input_530100!A:H,8,FALSE))</f>
        <v>467249.53846000001</v>
      </c>
      <c r="P279" s="46">
        <f t="shared" ca="1" si="13"/>
        <v>7.5314238952288847E-3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input_530100!A$2</f>
        <v>530100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IFERROR(VLOOKUP(B280,input_530100!L:R,7,FALSE),VLOOKUP(tables_530100!C280,input_530100!A:H,8,FALSE))</f>
        <v>27750.46154</v>
      </c>
      <c r="P280" s="46">
        <f t="shared" ca="1" si="13"/>
        <v>4.4729950902643457E-4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input_530100!A$2</f>
        <v>530100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IFERROR(VLOOKUP(B281,input_530100!L:R,7,FALSE),VLOOKUP(tables_530100!C281,input_530100!A:H,8,FALSE))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input_530100!A$2</f>
        <v>530100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IFERROR(VLOOKUP(B282,input_530100!L:R,7,FALSE),VLOOKUP(tables_530100!C282,input_530100!A:H,8,FALSE))</f>
        <v>467249.53846000001</v>
      </c>
      <c r="P282" s="46">
        <f t="shared" ca="1" si="13"/>
        <v>7.5314238952288847E-3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input_530100!A$2</f>
        <v>530100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IFERROR(VLOOKUP(B283,input_530100!L:R,7,FALSE),VLOOKUP(tables_530100!C283,input_530100!A:H,8,FALSE))</f>
        <v>27750.46154</v>
      </c>
      <c r="P283" s="46">
        <f t="shared" ca="1" si="13"/>
        <v>4.4729950902643457E-4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input_530100!A$2</f>
        <v>530100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IFERROR(VLOOKUP(B284,input_530100!L:R,7,FALSE),VLOOKUP(tables_530100!C284,input_530100!A:H,8,FALSE))</f>
        <v>82720</v>
      </c>
      <c r="P284" s="46">
        <f t="shared" ca="1" si="13"/>
        <v>1.3333333333333333E-3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input_530100!A$2</f>
        <v>530100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IFERROR(VLOOKUP(B285,input_530100!L:R,7,FALSE),VLOOKUP(tables_530100!C285,input_530100!A:H,8,FALSE))</f>
        <v>82720</v>
      </c>
      <c r="P285" s="46">
        <f t="shared" ca="1" si="13"/>
        <v>1.3333333333333333E-3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input_530100!A$2</f>
        <v>530100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IFERROR(VLOOKUP(B286,input_530100!L:R,7,FALSE),VLOOKUP(tables_530100!C286,input_530100!A:H,8,FALSE))</f>
        <v>429000</v>
      </c>
      <c r="P286" s="46">
        <f t="shared" ca="1" si="13"/>
        <v>6.9148936170212762E-3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input_530100!A$2</f>
        <v>530100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IFERROR(VLOOKUP(B287,input_530100!L:R,7,FALSE),VLOOKUP(tables_530100!C287,input_530100!A:H,8,FALSE))</f>
        <v>49500</v>
      </c>
      <c r="P287" s="46">
        <f t="shared" ca="1" si="13"/>
        <v>7.9787234042553187E-4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input_530100!A$2</f>
        <v>530100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IFERROR(VLOOKUP(B288,input_530100!L:R,7,FALSE),VLOOKUP(tables_530100!C288,input_530100!A:H,8,FALSE))</f>
        <v>429000</v>
      </c>
      <c r="P288" s="46">
        <f t="shared" ca="1" si="13"/>
        <v>6.9148936170212762E-3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input_530100!A$2</f>
        <v>530100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IFERROR(VLOOKUP(B289,input_530100!L:R,7,FALSE),VLOOKUP(tables_530100!C289,input_530100!A:H,8,FALSE))</f>
        <v>49500</v>
      </c>
      <c r="P289" s="46">
        <f t="shared" ca="1" si="13"/>
        <v>7.9787234042553187E-4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input_530100!A$2</f>
        <v>530100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IFERROR(VLOOKUP(B290,input_530100!L:R,7,FALSE),VLOOKUP(tables_530100!C290,input_530100!A:H,8,FALSE))</f>
        <v>429000</v>
      </c>
      <c r="P290" s="46">
        <f t="shared" ca="1" si="13"/>
        <v>6.9148936170212762E-3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input_530100!A$2</f>
        <v>530100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IFERROR(VLOOKUP(B291,input_530100!L:R,7,FALSE),VLOOKUP(tables_530100!C291,input_530100!A:H,8,FALSE))</f>
        <v>49500</v>
      </c>
      <c r="P291" s="46">
        <f t="shared" ca="1" si="13"/>
        <v>7.9787234042553187E-4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input_530100!A$2</f>
        <v>530100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IFERROR(VLOOKUP(B292,input_530100!L:R,7,FALSE),VLOOKUP(tables_530100!C292,input_530100!A:H,8,FALSE))</f>
        <v>429000</v>
      </c>
      <c r="P292" s="46">
        <f t="shared" ca="1" si="13"/>
        <v>6.9148936170212762E-3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input_530100!A$2</f>
        <v>530100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IFERROR(VLOOKUP(B293,input_530100!L:R,7,FALSE),VLOOKUP(tables_530100!C293,input_530100!A:H,8,FALSE))</f>
        <v>49500</v>
      </c>
      <c r="P293" s="46">
        <f t="shared" ca="1" si="13"/>
        <v>7.9787234042553187E-4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input_530100!A$2</f>
        <v>530100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IFERROR(VLOOKUP(B294,input_530100!L:R,7,FALSE),VLOOKUP(tables_530100!C294,input_530100!A:H,8,FALSE))</f>
        <v>82720</v>
      </c>
      <c r="P294" s="46">
        <f t="shared" ca="1" si="13"/>
        <v>1.3333333333333333E-3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input_530100!A$2</f>
        <v>530100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IFERROR(VLOOKUP(B295,input_530100!L:R,7,FALSE),VLOOKUP(tables_530100!C295,input_530100!A:H,8,FALSE))</f>
        <v>82720</v>
      </c>
      <c r="P295" s="46">
        <f t="shared" ca="1" si="13"/>
        <v>1.3333333333333333E-3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input_530100!A$2</f>
        <v>530100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IFERROR(VLOOKUP(B296,input_530100!L:R,7,FALSE),VLOOKUP(tables_530100!C296,input_530100!A:H,8,FALSE))</f>
        <v>82720</v>
      </c>
      <c r="P296" s="46">
        <f t="shared" ca="1" si="13"/>
        <v>1.3333333333333333E-3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input_530100!A$2</f>
        <v>530100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IFERROR(VLOOKUP(B297,input_530100!L:R,7,FALSE),VLOOKUP(tables_530100!C297,input_530100!A:H,8,FALSE))</f>
        <v>429000</v>
      </c>
      <c r="P297" s="46">
        <f t="shared" ca="1" si="13"/>
        <v>6.9148936170212762E-3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input_530100!A$2</f>
        <v>530100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IFERROR(VLOOKUP(B298,input_530100!L:R,7,FALSE),VLOOKUP(tables_530100!C298,input_530100!A:H,8,FALSE))</f>
        <v>49500</v>
      </c>
      <c r="P298" s="46">
        <f t="shared" ca="1" si="13"/>
        <v>7.9787234042553187E-4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input_530100!A$2</f>
        <v>530100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IFERROR(VLOOKUP(B299,input_530100!L:R,7,FALSE),VLOOKUP(tables_530100!C299,input_530100!A:H,8,FALSE))</f>
        <v>82720</v>
      </c>
      <c r="P299" s="46">
        <f t="shared" ca="1" si="13"/>
        <v>1.3333333333333333E-3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input_530100!A$2</f>
        <v>530100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IFERROR(VLOOKUP(B300,input_530100!L:R,7,FALSE),VLOOKUP(tables_530100!C300,input_530100!A:H,8,FALSE))</f>
        <v>82720</v>
      </c>
      <c r="P300" s="46">
        <f t="shared" ca="1" si="13"/>
        <v>1.3333333333333333E-3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input_530100!A$2</f>
        <v>530100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IFERROR(VLOOKUP(B301,input_530100!L:R,7,FALSE),VLOOKUP(tables_530100!C301,input_530100!A:H,8,FALSE))</f>
        <v>82720</v>
      </c>
      <c r="P301" s="46">
        <f t="shared" ca="1" si="13"/>
        <v>1.3333333333333333E-3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input_530100!A$2</f>
        <v>530100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IFERROR(VLOOKUP(B302,input_530100!L:R,7,FALSE),VLOOKUP(tables_530100!C302,input_530100!A:H,8,FALSE))</f>
        <v>82720</v>
      </c>
      <c r="P302" s="46">
        <f t="shared" ca="1" si="13"/>
        <v>1.3333333333333333E-3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input_530100!A$2</f>
        <v>530100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IFERROR(VLOOKUP(B303,input_530100!L:R,7,FALSE),VLOOKUP(tables_530100!C303,input_530100!A:H,8,FALSE))</f>
        <v>429000</v>
      </c>
      <c r="P303" s="46">
        <f t="shared" ca="1" si="13"/>
        <v>6.9148936170212762E-3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input_530100!A$2</f>
        <v>530100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IFERROR(VLOOKUP(B304,input_530100!L:R,7,FALSE),VLOOKUP(tables_530100!C304,input_530100!A:H,8,FALSE))</f>
        <v>49500</v>
      </c>
      <c r="P304" s="46">
        <f t="shared" ca="1" si="13"/>
        <v>7.9787234042553187E-4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input_530100!A$2</f>
        <v>530100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IFERROR(VLOOKUP(B305,input_530100!L:R,7,FALSE),VLOOKUP(tables_530100!C305,input_530100!A:H,8,FALSE))</f>
        <v>82720</v>
      </c>
      <c r="P305" s="46">
        <f t="shared" ca="1" si="13"/>
        <v>1.3333333333333333E-3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input_530100!A$2</f>
        <v>530100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IFERROR(VLOOKUP(B306,input_530100!L:R,7,FALSE),VLOOKUP(tables_530100!C306,input_530100!A:H,8,FALSE))</f>
        <v>429000</v>
      </c>
      <c r="P306" s="46">
        <f t="shared" ca="1" si="13"/>
        <v>6.9148936170212762E-3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input_530100!A$2</f>
        <v>530100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IFERROR(VLOOKUP(B307,input_530100!L:R,7,FALSE),VLOOKUP(tables_530100!C307,input_530100!A:H,8,FALSE))</f>
        <v>49500</v>
      </c>
      <c r="P307" s="46">
        <f t="shared" ca="1" si="13"/>
        <v>7.9787234042553187E-4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input_530100!A$2</f>
        <v>530100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IFERROR(VLOOKUP(B308,input_530100!L:R,7,FALSE),VLOOKUP(tables_530100!C308,input_530100!A:H,8,FALSE))</f>
        <v>82720</v>
      </c>
      <c r="P308" s="46">
        <f t="shared" ca="1" si="13"/>
        <v>1.3333333333333333E-3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input_530100!A$2</f>
        <v>530100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IFERROR(VLOOKUP(B309,input_530100!L:R,7,FALSE),VLOOKUP(tables_530100!C309,input_530100!A:H,8,FALSE))</f>
        <v>82720</v>
      </c>
      <c r="P309" s="46">
        <f t="shared" ca="1" si="13"/>
        <v>1.3333333333333333E-3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input_530100!A$2</f>
        <v>530100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IFERROR(VLOOKUP(B310,input_530100!L:R,7,FALSE),VLOOKUP(tables_530100!C310,input_530100!A:H,8,FALSE))</f>
        <v>82720</v>
      </c>
      <c r="P310" s="46">
        <f t="shared" ca="1" si="13"/>
        <v>1.3333333333333333E-3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input_530100!A$2</f>
        <v>530100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IFERROR(VLOOKUP(B311,input_530100!L:R,7,FALSE),VLOOKUP(tables_530100!C311,input_530100!A:H,8,FALSE))</f>
        <v>429000</v>
      </c>
      <c r="P311" s="46">
        <f t="shared" ca="1" si="13"/>
        <v>6.9148936170212762E-3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input_530100!A$2</f>
        <v>530100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IFERROR(VLOOKUP(B312,input_530100!L:R,7,FALSE),VLOOKUP(tables_530100!C312,input_530100!A:H,8,FALSE))</f>
        <v>49500</v>
      </c>
      <c r="P312" s="46">
        <f t="shared" ca="1" si="13"/>
        <v>7.9787234042553187E-4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input_530100!A$2</f>
        <v>530100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IFERROR(VLOOKUP(B313,input_530100!L:R,7,FALSE),VLOOKUP(tables_530100!C313,input_530100!A:H,8,FALSE))</f>
        <v>82720</v>
      </c>
      <c r="P313" s="46">
        <f t="shared" ca="1" si="13"/>
        <v>1.3333333333333333E-3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input_530100!A$2</f>
        <v>530100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IFERROR(VLOOKUP(B314,input_530100!L:R,7,FALSE),VLOOKUP(tables_530100!C314,input_530100!A:H,8,FALSE))</f>
        <v>82720</v>
      </c>
      <c r="P314" s="46">
        <f t="shared" ca="1" si="13"/>
        <v>1.3333333333333333E-3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input_530100!A$2</f>
        <v>530100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IFERROR(VLOOKUP(B315,input_530100!L:R,7,FALSE),VLOOKUP(tables_530100!C315,input_530100!A:H,8,FALSE))</f>
        <v>82720</v>
      </c>
      <c r="P315" s="46">
        <f t="shared" ca="1" si="13"/>
        <v>1.3333333333333333E-3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input_530100!A$2</f>
        <v>530100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IFERROR(VLOOKUP(B316,input_530100!L:R,7,FALSE),VLOOKUP(tables_530100!C316,input_530100!A:H,8,FALSE))</f>
        <v>82720</v>
      </c>
      <c r="P316" s="46">
        <f t="shared" ca="1" si="13"/>
        <v>1.3333333333333333E-3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input_530100!A$2</f>
        <v>530100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IFERROR(VLOOKUP(B317,input_530100!L:R,7,FALSE),VLOOKUP(tables_530100!C317,input_530100!A:H,8,FALSE))</f>
        <v>82720</v>
      </c>
      <c r="P317" s="46">
        <f t="shared" ca="1" si="13"/>
        <v>1.3333333333333333E-3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input_530100!A$2</f>
        <v>530100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IFERROR(VLOOKUP(B318,input_530100!L:R,7,FALSE),VLOOKUP(tables_530100!C318,input_530100!A:H,8,FALSE))</f>
        <v>429000</v>
      </c>
      <c r="P318" s="46">
        <f t="shared" ca="1" si="13"/>
        <v>6.9148936170212762E-3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input_530100!A$2</f>
        <v>530100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IFERROR(VLOOKUP(B319,input_530100!L:R,7,FALSE),VLOOKUP(tables_530100!C319,input_530100!A:H,8,FALSE))</f>
        <v>49500</v>
      </c>
      <c r="P319" s="46">
        <f t="shared" ca="1" si="13"/>
        <v>7.9787234042553187E-4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input_530100!A$2</f>
        <v>530100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IFERROR(VLOOKUP(B320,input_530100!L:R,7,FALSE),VLOOKUP(tables_530100!C320,input_530100!A:H,8,FALSE))</f>
        <v>82720</v>
      </c>
      <c r="P320" s="46">
        <f t="shared" ca="1" si="13"/>
        <v>1.3333333333333333E-3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input_530100!A$2</f>
        <v>530100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IFERROR(VLOOKUP(B321,input_530100!L:R,7,FALSE),VLOOKUP(tables_530100!C321,input_530100!A:H,8,FALSE))</f>
        <v>82720</v>
      </c>
      <c r="P321" s="46">
        <f t="shared" ca="1" si="13"/>
        <v>1.3333333333333333E-3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input_530100!A$2</f>
        <v>530100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IFERROR(VLOOKUP(B322,input_530100!L:R,7,FALSE),VLOOKUP(tables_530100!C322,input_530100!A:H,8,FALSE))</f>
        <v>82720</v>
      </c>
      <c r="P322" s="46">
        <f t="shared" ref="P322:P350" ca="1" si="26">O322/SUM(O:O)</f>
        <v>1.3333333333333333E-3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input_530100!A$2</f>
        <v>530100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IFERROR(VLOOKUP(B323,input_530100!L:R,7,FALSE),VLOOKUP(tables_530100!C323,input_530100!A:H,8,FALSE))</f>
        <v>82720</v>
      </c>
      <c r="P323" s="46">
        <f t="shared" ca="1" si="26"/>
        <v>1.3333333333333333E-3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input_530100!A$2</f>
        <v>530100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IFERROR(VLOOKUP(B324,input_530100!L:R,7,FALSE),VLOOKUP(tables_530100!C324,input_530100!A:H,8,FALSE))</f>
        <v>429000</v>
      </c>
      <c r="P324" s="46">
        <f t="shared" ca="1" si="26"/>
        <v>6.9148936170212762E-3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input_530100!A$2</f>
        <v>530100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IFERROR(VLOOKUP(B325,input_530100!L:R,7,FALSE),VLOOKUP(tables_530100!C325,input_530100!A:H,8,FALSE))</f>
        <v>49500</v>
      </c>
      <c r="P325" s="46">
        <f t="shared" ca="1" si="26"/>
        <v>7.9787234042553187E-4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input_530100!A$2</f>
        <v>530100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IFERROR(VLOOKUP(B326,input_530100!L:R,7,FALSE),VLOOKUP(tables_530100!C326,input_530100!A:H,8,FALSE))</f>
        <v>429000</v>
      </c>
      <c r="P326" s="46">
        <f t="shared" ca="1" si="26"/>
        <v>6.9148936170212762E-3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input_530100!A$2</f>
        <v>530100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IFERROR(VLOOKUP(B327,input_530100!L:R,7,FALSE),VLOOKUP(tables_530100!C327,input_530100!A:H,8,FALSE))</f>
        <v>49500</v>
      </c>
      <c r="P327" s="46">
        <f t="shared" ca="1" si="26"/>
        <v>7.9787234042553187E-4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input_530100!A$2</f>
        <v>530100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IFERROR(VLOOKUP(B328,input_530100!L:R,7,FALSE),VLOOKUP(tables_530100!C328,input_530100!A:H,8,FALSE))</f>
        <v>82720</v>
      </c>
      <c r="P328" s="46">
        <f t="shared" ca="1" si="26"/>
        <v>1.3333333333333333E-3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input_530100!A$2</f>
        <v>530100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IFERROR(VLOOKUP(B329,input_530100!L:R,7,FALSE),VLOOKUP(tables_530100!C329,input_530100!A:H,8,FALSE))</f>
        <v>82720</v>
      </c>
      <c r="P329" s="46">
        <f t="shared" ca="1" si="26"/>
        <v>1.3333333333333333E-3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input_530100!A$2</f>
        <v>530100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IFERROR(VLOOKUP(B330,input_530100!L:R,7,FALSE),VLOOKUP(tables_530100!C330,input_530100!A:H,8,FALSE))</f>
        <v>82720</v>
      </c>
      <c r="P330" s="46">
        <f t="shared" ca="1" si="26"/>
        <v>1.3333333333333333E-3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input_530100!A$2</f>
        <v>530100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IFERROR(VLOOKUP(B331,input_530100!L:R,7,FALSE),VLOOKUP(tables_530100!C331,input_530100!A:H,8,FALSE))</f>
        <v>82720</v>
      </c>
      <c r="P331" s="46">
        <f t="shared" ca="1" si="26"/>
        <v>1.3333333333333333E-3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input_530100!A$2</f>
        <v>530100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IFERROR(VLOOKUP(B332,input_530100!L:R,7,FALSE),VLOOKUP(tables_530100!C332,input_530100!A:H,8,FALSE))</f>
        <v>82720</v>
      </c>
      <c r="P332" s="46">
        <f t="shared" ca="1" si="26"/>
        <v>1.3333333333333333E-3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input_530100!A$2</f>
        <v>530100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IFERROR(VLOOKUP(B333,input_530100!L:R,7,FALSE),VLOOKUP(tables_530100!C333,input_530100!A:H,8,FALSE))</f>
        <v>82720</v>
      </c>
      <c r="P333" s="46">
        <f t="shared" ca="1" si="26"/>
        <v>1.3333333333333333E-3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input_530100!A$2</f>
        <v>530100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IFERROR(VLOOKUP(B334,input_530100!L:R,7,FALSE),VLOOKUP(tables_530100!C334,input_530100!A:H,8,FALSE))</f>
        <v>429000</v>
      </c>
      <c r="P334" s="46">
        <f t="shared" ca="1" si="26"/>
        <v>6.9148936170212762E-3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input_530100!A$2</f>
        <v>530100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IFERROR(VLOOKUP(B335,input_530100!L:R,7,FALSE),VLOOKUP(tables_530100!C335,input_530100!A:H,8,FALSE))</f>
        <v>49500</v>
      </c>
      <c r="P335" s="46">
        <f t="shared" ca="1" si="26"/>
        <v>7.9787234042553187E-4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input_530100!A$2</f>
        <v>530100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IFERROR(VLOOKUP(B336,input_530100!L:R,7,FALSE),VLOOKUP(tables_530100!C336,input_530100!A:H,8,FALSE))</f>
        <v>429000</v>
      </c>
      <c r="P336" s="46">
        <f t="shared" ca="1" si="26"/>
        <v>6.9148936170212762E-3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input_530100!A$2</f>
        <v>530100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IFERROR(VLOOKUP(B337,input_530100!L:R,7,FALSE),VLOOKUP(tables_530100!C337,input_530100!A:H,8,FALSE))</f>
        <v>49500</v>
      </c>
      <c r="P337" s="46">
        <f t="shared" ca="1" si="26"/>
        <v>7.9787234042553187E-4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input_530100!A$2</f>
        <v>530100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IFERROR(VLOOKUP(B338,input_530100!L:R,7,FALSE),VLOOKUP(tables_530100!C338,input_530100!A:H,8,FALSE))</f>
        <v>82720</v>
      </c>
      <c r="P338" s="46">
        <f t="shared" ca="1" si="26"/>
        <v>1.3333333333333333E-3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input_530100!A$2</f>
        <v>530100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IFERROR(VLOOKUP(B339,input_530100!L:R,7,FALSE),VLOOKUP(tables_530100!C339,input_530100!A:H,8,FALSE))</f>
        <v>82720</v>
      </c>
      <c r="P339" s="46">
        <f t="shared" ca="1" si="26"/>
        <v>1.3333333333333333E-3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input_530100!A$2</f>
        <v>530100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IFERROR(VLOOKUP(B340,input_530100!L:R,7,FALSE),VLOOKUP(tables_530100!C340,input_530100!A:H,8,FALSE))</f>
        <v>82720</v>
      </c>
      <c r="P340" s="46">
        <f t="shared" ca="1" si="26"/>
        <v>1.3333333333333333E-3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input_530100!A$2</f>
        <v>530100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IFERROR(VLOOKUP(B341,input_530100!L:R,7,FALSE),VLOOKUP(tables_530100!C341,input_530100!A:H,8,FALSE))</f>
        <v>82720</v>
      </c>
      <c r="P341" s="46">
        <f t="shared" ca="1" si="26"/>
        <v>1.3333333333333333E-3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input_530100!A$2</f>
        <v>530100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IFERROR(VLOOKUP(B342,input_530100!L:R,7,FALSE),VLOOKUP(tables_530100!C342,input_530100!A:H,8,FALSE))</f>
        <v>82720</v>
      </c>
      <c r="P342" s="46">
        <f t="shared" ca="1" si="26"/>
        <v>1.3333333333333333E-3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input_530100!A$2</f>
        <v>530100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IFERROR(VLOOKUP(B343,input_530100!L:R,7,FALSE),VLOOKUP(tables_530100!C343,input_530100!A:H,8,FALSE))</f>
        <v>429000</v>
      </c>
      <c r="P343" s="46">
        <f t="shared" ca="1" si="26"/>
        <v>6.9148936170212762E-3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input_530100!A$2</f>
        <v>530100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IFERROR(VLOOKUP(B344,input_530100!L:R,7,FALSE),VLOOKUP(tables_530100!C344,input_530100!A:H,8,FALSE))</f>
        <v>49500</v>
      </c>
      <c r="P344" s="46">
        <f t="shared" ca="1" si="26"/>
        <v>7.9787234042553187E-4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input_530100!A$2</f>
        <v>530100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IFERROR(VLOOKUP(B345,input_530100!L:R,7,FALSE),VLOOKUP(tables_530100!C345,input_530100!A:H,8,FALSE))</f>
        <v>82720</v>
      </c>
      <c r="P345" s="46">
        <f t="shared" ca="1" si="26"/>
        <v>1.3333333333333333E-3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input_530100!A$2</f>
        <v>530100</v>
      </c>
      <c r="B346" s="1">
        <v>1424</v>
      </c>
      <c r="C346" s="7" t="str">
        <f t="shared" si="33"/>
        <v>PremiumSSS6R3less</v>
      </c>
      <c r="D346" s="97" t="str">
        <f t="shared" si="34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IFERROR(VLOOKUP(B346,input_530100!L:R,7,FALSE),VLOOKUP(tables_530100!C346,input_530100!A:H,8,FALSE))</f>
        <v>248160</v>
      </c>
      <c r="P346" s="46">
        <f t="shared" ca="1" si="26"/>
        <v>4.0000000000000001E-3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input_530100!A$2</f>
        <v>530100</v>
      </c>
      <c r="B347" s="1">
        <v>1049</v>
      </c>
      <c r="C347" s="7" t="str">
        <f t="shared" ref="C347" si="35">D347&amp;J347&amp;E347&amp;F347&amp;G347</f>
        <v>PremiumSSS6R3less</v>
      </c>
      <c r="D347" s="97" t="str">
        <f t="shared" ref="D347" si="36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深秘の水宙 メビウス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IFERROR(VLOOKUP(B347,input_530100!L:R,7,FALSE),VLOOKUP(tables_530100!C347,input_530100!A:H,8,FALSE))</f>
        <v>248160</v>
      </c>
      <c r="P347" s="46">
        <f t="shared" ca="1" si="26"/>
        <v>4.0000000000000001E-3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input_530100!A$2</f>
        <v>530100</v>
      </c>
      <c r="B348" s="1">
        <v>1045</v>
      </c>
      <c r="C348" s="7" t="str">
        <f t="shared" ref="C348:C350" si="37">D348&amp;J348&amp;E348&amp;F348&amp;G348</f>
        <v>PremiumSSS6R3less</v>
      </c>
      <c r="D348" s="97" t="str">
        <f t="shared" ref="D348:D350" si="38">IF(OR(I348="PremiumSS",I348="PremiumSSw"),"PremiumSS",IF(I348="PremiumSSS",I348,IF(I348="PremiumW",IF(J348=5,"premium",I348),"Premium")))</f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漂解の海原 シュレディンガー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IFERROR(VLOOKUP(B348,input_530100!L:R,7,FALSE),VLOOKUP(tables_530100!C348,input_530100!A:H,8,FALSE))</f>
        <v>248160</v>
      </c>
      <c r="P348" s="46">
        <f t="shared" ca="1" si="26"/>
        <v>4.0000000000000001E-3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input_530100!A$2</f>
        <v>530100</v>
      </c>
      <c r="B349" s="1">
        <v>1048</v>
      </c>
      <c r="C349" s="7" t="str">
        <f t="shared" si="37"/>
        <v>Premium5R3less</v>
      </c>
      <c r="D349" s="97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砂上の城主竜 ケツァクアトル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hp</v>
      </c>
      <c r="M349" s="7" t="str">
        <f>VLOOKUP(B349,[1]characters!$A:$M,13,FALSE)</f>
        <v>dragon</v>
      </c>
      <c r="N349" s="7" t="str">
        <f>VLOOKUP(B349,[1]characters!$A:$G,7,FALSE)</f>
        <v>男性</v>
      </c>
      <c r="O349" s="45">
        <f>IFERROR(VLOOKUP(B349,input_530100!L:R,7,FALSE),VLOOKUP(tables_530100!C349,input_530100!A:H,8,FALSE))</f>
        <v>4342800</v>
      </c>
      <c r="P349" s="46">
        <f t="shared" ca="1" si="26"/>
        <v>7.0000000000000007E-2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input_530100!A$2</f>
        <v>530100</v>
      </c>
      <c r="B350" s="1">
        <v>1052</v>
      </c>
      <c r="C350" s="7" t="str">
        <f t="shared" si="37"/>
        <v>Premium5R3less</v>
      </c>
      <c r="D350" s="97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戯魚群の潜光 バルドル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heal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IFERROR(VLOOKUP(B350,input_530100!L:R,7,FALSE),VLOOKUP(tables_530100!C350,input_530100!A:H,8,FALSE))</f>
        <v>4342800</v>
      </c>
      <c r="P350" s="46">
        <f t="shared" ca="1" si="26"/>
        <v>7.0000000000000007E-2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1"/>
  <sheetViews>
    <sheetView tabSelected="1" workbookViewId="0"/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4.0000000000000001E-3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VLOOKUP(L3,tables_settle_530100!B:C,2,FALSE)</f>
        <v>PremiumSSS6R3less</v>
      </c>
      <c r="R3" s="62">
        <f t="shared" ref="R3:R20" si="1">N3*A$38</f>
        <v>248160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1049</v>
      </c>
      <c r="M4" s="37" t="str">
        <f>VLOOKUP(L4,[1]characters!$A:$C,3,FALSE)</f>
        <v>深秘の水宙 メビウス</v>
      </c>
      <c r="N4" s="63">
        <v>4.0000000000000001E-3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VLOOKUP(L4,tables_settle_530100!B:C,2,FALSE)</f>
        <v>PremiumSSS6R3less</v>
      </c>
      <c r="R4" s="62">
        <f t="shared" si="1"/>
        <v>248160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COUNTIF(tables_530100!C:C,input_530010!A28)+COUNTIF(tables_530100!C:C,input_530100!A30)+COUNTIF(input_530100!Q:Q,input_530100!A31)+COUNTIF(input_530100!Q:Q,input_530100!A32)+COUNTIF(input_530100!Q:Q,input_530100!A33)-COUNTIF(input_530100!Q:Q,input_530100!A28)</f>
        <v>69</v>
      </c>
      <c r="H5" s="84">
        <v>1.2E-2</v>
      </c>
      <c r="I5" s="31">
        <v>3</v>
      </c>
      <c r="L5" s="1">
        <v>1045</v>
      </c>
      <c r="M5" s="37" t="str">
        <f>VLOOKUP(L5,[1]characters!$A:$C,3,FALSE)</f>
        <v>漂解の海原 シュレディンガー</v>
      </c>
      <c r="N5" s="63">
        <v>4.0000000000000001E-3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VLOOKUP(L5,tables_settle_530100!B:C,2,FALSE)</f>
        <v>PremiumSSS6R3less</v>
      </c>
      <c r="R5" s="62">
        <f t="shared" si="1"/>
        <v>248160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v>0.01</v>
      </c>
      <c r="F6">
        <f>COUNTIF(tables_530100!C:C,input_530100!A25)+COUNTIF(tables_530100!C:C,input_530100!A18)+COUNTIF(tables_530100!C:C,input_530100!A20)+COUNTIF(tables_530100!C:C,input_530100!A22)+COUNTIF(Q:Q,A23)</f>
        <v>96</v>
      </c>
      <c r="H6" s="89">
        <v>0.14000000000000001</v>
      </c>
      <c r="I6" s="31">
        <v>2</v>
      </c>
      <c r="L6" s="1">
        <v>1048</v>
      </c>
      <c r="M6" s="37" t="str">
        <f>VLOOKUP(L6,[1]characters!$A:$C,3,FALSE)</f>
        <v>砂上の城主竜 ケツァクアトル</v>
      </c>
      <c r="N6" s="63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VLOOKUP(L6,tables_settle_530100!B:C,2,FALSE)</f>
        <v>Premium5R3less</v>
      </c>
      <c r="R6" s="62">
        <f t="shared" si="1"/>
        <v>4342800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1">
        <v>1052</v>
      </c>
      <c r="M7" s="37" t="str">
        <f>VLOOKUP(L7,[1]characters!$A:$C,3,FALSE)</f>
        <v>戯魚群の潜光 バルドル</v>
      </c>
      <c r="N7" s="63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VLOOKUP(L7,tables_settle_530100!B:C,2,FALSE)</f>
        <v>Premium5R3less</v>
      </c>
      <c r="R7" s="62">
        <f t="shared" si="1"/>
        <v>4342800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VLOOKUP(L8,tables_settle_530100!B:C,2,FALSE)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0.14000000000000001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VLOOKUP(L9,tables_settle_530100!B:C,2,FALSE)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VLOOKUP(L10,tables_settle_530100!B:C,2,FALSE)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VLOOKUP(L11,tables_settle_530100!B:C,2,FALSE)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VLOOKUP(L12,tables_settle_530100!B:C,2,FALSE)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VLOOKUP(L13,tables_settle_530100!B:C,2,FALSE)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VLOOKUP(L14,tables_settle_530100!B:C,2,FALSE)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VLOOKUP(L15,tables_settle_530100!B:C,2,FALSE)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259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260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VLOOKUP(L16,tables_settle_530100!B:C,2,FALSE)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3" si="2">SUMIF(Q:Q,A17,N:N)</f>
        <v>0</v>
      </c>
      <c r="D17" s="74">
        <f t="shared" ref="D17:D34" si="3">B17-C17</f>
        <v>0</v>
      </c>
      <c r="E17">
        <f>COUNTIF(tables_530100!C:C,input_530100!A17)-COUNTIF(Q:Q,A17)</f>
        <v>20</v>
      </c>
      <c r="F17" s="43">
        <f>IFERROR(B17/E17,0)</f>
        <v>0</v>
      </c>
      <c r="G17">
        <f t="shared" ref="G17:G33" si="4">A$38*B17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VLOOKUP(L17,tables_settle_530100!B:C,2,FALSE)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v>0</v>
      </c>
      <c r="C18" s="85">
        <f t="shared" si="2"/>
        <v>0</v>
      </c>
      <c r="D18" s="74">
        <f t="shared" si="3"/>
        <v>0</v>
      </c>
      <c r="E18">
        <f>COUNTIF(tables_530100!C:C,input_530100!A18)-COUNTIF(Q:Q,A18)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VLOOKUP(L18,tables_settle_530100!B:C,2,FALSE)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COUNTIF(tables_530100!C:C,input_530100!A19)-COUNTIF(Q:Q,A19)</f>
        <v>52</v>
      </c>
      <c r="F19" s="43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VLOOKUP(L19,tables_settle_530100!B:C,2,FALSE)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v>0</v>
      </c>
      <c r="C20" s="85">
        <f t="shared" si="2"/>
        <v>0</v>
      </c>
      <c r="D20" s="74">
        <f t="shared" si="3"/>
        <v>0</v>
      </c>
      <c r="E20">
        <f>COUNTIF(tables_530100!C:C,input_530100!A20)-COUNTIF(Q:Q,A20)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VLOOKUP(L20,tables_settle_530100!B:C,2,FALSE)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B7-B23-B26-B28-B29-B30-0.152</f>
        <v>0.48</v>
      </c>
      <c r="C21" s="85">
        <f t="shared" si="2"/>
        <v>0</v>
      </c>
      <c r="D21" s="74">
        <f t="shared" si="3"/>
        <v>0.48</v>
      </c>
      <c r="E21">
        <f>COUNTIF(tables_530100!C:C,input_530100!A21)-COUNTIF(Q:Q,A21)</f>
        <v>52</v>
      </c>
      <c r="F21" s="43">
        <f t="shared" si="8"/>
        <v>9.2307692307692299E-3</v>
      </c>
      <c r="G21">
        <f t="shared" si="4"/>
        <v>29779200</v>
      </c>
      <c r="H21">
        <f t="shared" si="5"/>
        <v>572676.92307999998</v>
      </c>
      <c r="I21">
        <f t="shared" si="6"/>
        <v>0.92307999997865409</v>
      </c>
      <c r="J21">
        <f t="shared" si="7"/>
        <v>1.0833297222593108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COUNTIF(tables_530100!C:C,input_530100!A22)-COUNTIF(Q:Q,A22)</f>
        <v>18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</v>
      </c>
      <c r="C23" s="85">
        <f t="shared" si="2"/>
        <v>0.14000000000000001</v>
      </c>
      <c r="D23" s="74">
        <f t="shared" si="3"/>
        <v>9.9999999999999978E-2</v>
      </c>
      <c r="E23">
        <f>COUNTIF(tables_530100!C:C,input_530100!A23)-COUNTIF(Q:Q,A23)</f>
        <v>24</v>
      </c>
      <c r="F23" s="43">
        <f t="shared" si="8"/>
        <v>0.01</v>
      </c>
      <c r="G23">
        <f t="shared" si="4"/>
        <v>14889600</v>
      </c>
      <c r="H23">
        <f t="shared" si="5"/>
        <v>620400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COUNTIF(tables_530100!C:C,input_530100!A24)-COUNTIF(Q:Q,A24)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COUNTIF(tables_530100!C:C,input_530100!A25)-COUNTIF(Q:Q,A25)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0.04</v>
      </c>
      <c r="C26" s="85">
        <f t="shared" si="2"/>
        <v>0</v>
      </c>
      <c r="D26" s="74">
        <f t="shared" si="3"/>
        <v>0.04</v>
      </c>
      <c r="E26">
        <f>COUNTIF(tables_530100!C:C,input_530100!A26)-COUNTIF(Q:Q,A26)</f>
        <v>4</v>
      </c>
      <c r="F26" s="43">
        <f t="shared" si="8"/>
        <v>0.01</v>
      </c>
      <c r="G26">
        <f t="shared" si="4"/>
        <v>2481600</v>
      </c>
      <c r="H26">
        <f t="shared" si="5"/>
        <v>620400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233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COUNTIF(tables_530100!C:C,input_530100!A27)-COUNTIF(Q:Q,A27)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261</v>
      </c>
      <c r="B28" s="56">
        <f>E$5*E28*B$7</f>
        <v>3.7333333333333336E-2</v>
      </c>
      <c r="C28" s="85">
        <f t="shared" si="2"/>
        <v>0</v>
      </c>
      <c r="D28" s="74">
        <f t="shared" si="3"/>
        <v>3.7333333333333336E-2</v>
      </c>
      <c r="E28">
        <f>COUNTIF(tables_530100!C:C,input_530100!A28)-COUNTIF(Q:Q,A28)</f>
        <v>28</v>
      </c>
      <c r="F28" s="43">
        <f t="shared" si="8"/>
        <v>1.3333333333333335E-3</v>
      </c>
      <c r="G28">
        <f t="shared" si="4"/>
        <v>2316160</v>
      </c>
      <c r="H28">
        <f t="shared" si="5"/>
        <v>82720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254</v>
      </c>
      <c r="B29" s="56">
        <f>E$5*E29</f>
        <v>0</v>
      </c>
      <c r="C29" s="85">
        <f t="shared" si="2"/>
        <v>0</v>
      </c>
      <c r="D29" s="74">
        <f t="shared" si="3"/>
        <v>0</v>
      </c>
      <c r="E29">
        <f>COUNTIF(tables_530100!C:C,input_530100!A29)-COUNTIF(Q:Q,A29)</f>
        <v>0</v>
      </c>
      <c r="F29" s="43">
        <f t="shared" si="8"/>
        <v>0</v>
      </c>
      <c r="G29">
        <f t="shared" si="4"/>
        <v>0</v>
      </c>
      <c r="H29">
        <f t="shared" si="5"/>
        <v>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5.0666666666666672E-2</v>
      </c>
      <c r="C30" s="85">
        <f t="shared" si="2"/>
        <v>0</v>
      </c>
      <c r="D30" s="74">
        <f t="shared" si="3"/>
        <v>5.0666666666666672E-2</v>
      </c>
      <c r="E30">
        <f>COUNTIF(tables_530100!C:C,input_530100!A30)-COUNTIF(Q:Q,A30)</f>
        <v>38</v>
      </c>
      <c r="F30" s="43">
        <f t="shared" si="8"/>
        <v>1.3333333333333335E-3</v>
      </c>
      <c r="G30">
        <f t="shared" si="4"/>
        <v>3143360.0000000005</v>
      </c>
      <c r="H30">
        <f t="shared" si="5"/>
        <v>82720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 t="shared" si="2"/>
        <v>0</v>
      </c>
      <c r="D31" s="74">
        <f t="shared" si="3"/>
        <v>0</v>
      </c>
      <c r="E31">
        <f>COUNTIF(tables_530100!C:C,input_530100!A31)-COUNTIF(Q:Q,A31)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 t="shared" si="2"/>
        <v>0</v>
      </c>
      <c r="D32" s="74">
        <f t="shared" si="3"/>
        <v>0</v>
      </c>
      <c r="E32">
        <f>COUNTIF(tables_530100!C:C,input_530100!A32)-COUNTIF(Q:Q,A32)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253</v>
      </c>
      <c r="B33" s="56">
        <f t="shared" ref="B33" si="9">E$5*E33</f>
        <v>0</v>
      </c>
      <c r="C33" s="85">
        <f t="shared" si="2"/>
        <v>1.2E-2</v>
      </c>
      <c r="D33" s="74">
        <f t="shared" si="3"/>
        <v>-1.2E-2</v>
      </c>
      <c r="E33">
        <f>COUNTIF(tables_530100!C:C,input_530100!A33)-COUNTIF(Q:Q,A33)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0.84799999999999998</v>
      </c>
      <c r="C34" s="41">
        <f>SUM(C19:C33)</f>
        <v>0.15200000000000002</v>
      </c>
      <c r="D34" s="42">
        <f t="shared" si="3"/>
        <v>0.69599999999999995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>
        <v>1.703288200806008E-2</v>
      </c>
      <c r="F36" s="55">
        <f ca="1">0.45-G43</f>
        <v>0.45</v>
      </c>
    </row>
    <row r="37" spans="1:18" x14ac:dyDescent="0.15">
      <c r="A37" t="s">
        <v>73</v>
      </c>
      <c r="E37">
        <v>0.04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SUMIF(tables_settle_530100!C:C,input_settle_530100!A42,tables_settle_530100!O:O)</f>
        <v>0</v>
      </c>
      <c r="C42" s="54">
        <f t="shared" ref="C42:C48" ca="1" si="10">B42/B$49</f>
        <v>0</v>
      </c>
      <c r="E42">
        <v>3</v>
      </c>
      <c r="F42">
        <f ca="1">SUMIF(tables_settle_530100!J:J,input_settle_530100!E42,tables_settle_530100!O:O)</f>
        <v>0</v>
      </c>
      <c r="G42">
        <f ca="1">F42/A38</f>
        <v>0</v>
      </c>
    </row>
    <row r="43" spans="1:18" x14ac:dyDescent="0.15">
      <c r="A43" s="33" t="s">
        <v>104</v>
      </c>
      <c r="B43">
        <f ca="1">SUMIF(tables_settle_530100!C:C,input_settle_530100!A43,tables_settle_530100!O:O)</f>
        <v>0</v>
      </c>
      <c r="C43" s="54">
        <f t="shared" ca="1" si="10"/>
        <v>0</v>
      </c>
      <c r="E43">
        <v>4</v>
      </c>
      <c r="F43">
        <f ca="1">SUMIF(tables_settle_530100!J:J,input_settle_530100!E43,tables_settle_530100!O:O)</f>
        <v>0</v>
      </c>
      <c r="G43">
        <f ca="1">F43/A38</f>
        <v>0</v>
      </c>
    </row>
    <row r="44" spans="1:18" x14ac:dyDescent="0.15">
      <c r="A44" s="33" t="s">
        <v>106</v>
      </c>
      <c r="B44">
        <f ca="1">SUMIF(tables_settle_530100!C:C,input_settle_530100!A44,tables_settle_530100!O:O)</f>
        <v>0</v>
      </c>
      <c r="C44" s="54">
        <f t="shared" ca="1" si="10"/>
        <v>0</v>
      </c>
      <c r="E44">
        <v>5</v>
      </c>
      <c r="F44">
        <f ca="1">SUMIF(tables_settle_530100!J:J,input_settle_530100!E44,tables_settle_530100!O:O)</f>
        <v>61295520.000159994</v>
      </c>
      <c r="G44">
        <f ca="1">F44/A38</f>
        <v>0.98800000000257893</v>
      </c>
    </row>
    <row r="45" spans="1:18" x14ac:dyDescent="0.15">
      <c r="A45" s="33" t="s">
        <v>109</v>
      </c>
      <c r="B45">
        <f>SUMIF(tables_settle_530100!C:C,input_settle_530100!A45,tables_settle_530100!O:O)</f>
        <v>0</v>
      </c>
      <c r="C45" s="54">
        <f t="shared" ca="1" si="10"/>
        <v>0</v>
      </c>
      <c r="F45" s="55"/>
    </row>
    <row r="46" spans="1:18" x14ac:dyDescent="0.15">
      <c r="A46" s="33" t="s">
        <v>105</v>
      </c>
      <c r="B46">
        <f ca="1">SUMIF(tables_settle_530100!C:C,input_settle_530100!A46,tables_settle_530100!O:O)</f>
        <v>29779200.000160012</v>
      </c>
      <c r="C46" s="54">
        <f t="shared" ca="1" si="10"/>
        <v>0.9278350515467515</v>
      </c>
      <c r="E46" t="s">
        <v>54</v>
      </c>
      <c r="F46" s="55"/>
    </row>
    <row r="47" spans="1:18" x14ac:dyDescent="0.15">
      <c r="A47" s="33" t="s">
        <v>107</v>
      </c>
      <c r="B47">
        <f ca="1">SUMIF(tables_settle_530100!C:C,input_settle_530100!A47,tables_settle_530100!O:O)</f>
        <v>2316160</v>
      </c>
      <c r="C47" s="54">
        <f t="shared" ca="1" si="10"/>
        <v>7.2164948453248473E-2</v>
      </c>
      <c r="E47" t="s">
        <v>204</v>
      </c>
      <c r="F47" s="55">
        <f ca="1">SUMIF(tables_settle_530100!I:I,input_settle_530100!E47,tables_settle_530100!P:P)</f>
        <v>5.9999999999845267E-2</v>
      </c>
    </row>
    <row r="48" spans="1:18" x14ac:dyDescent="0.15">
      <c r="A48" s="33" t="s">
        <v>108</v>
      </c>
      <c r="B48">
        <f>SUMIF(tables_settle_530100!C:C,input_settle_530100!A48,tables_settle_530100!O:O)</f>
        <v>0</v>
      </c>
      <c r="C48" s="54">
        <f t="shared" ca="1" si="10"/>
        <v>0</v>
      </c>
      <c r="E48" t="s">
        <v>205</v>
      </c>
      <c r="F48" s="55">
        <f ca="1">SUMIF(tables_settle_530100!I:I,input_settle_530100!E48,tables_settle_530100!P:P)</f>
        <v>0.18692307692343801</v>
      </c>
    </row>
    <row r="49" spans="1:7" x14ac:dyDescent="0.15">
      <c r="A49" s="39" t="s">
        <v>59</v>
      </c>
      <c r="B49">
        <f ca="1">SUM(B42:B48)</f>
        <v>32095360.000160012</v>
      </c>
      <c r="C49" s="55">
        <f ca="1">SUM(C42:C48)</f>
        <v>1</v>
      </c>
      <c r="E49" t="s">
        <v>206</v>
      </c>
      <c r="F49" s="55">
        <f ca="1">SUMIF(tables_settle_530100!I:I,input_settle_530100!E49,tables_settle_530100!P:P)</f>
        <v>0.65307692307697462</v>
      </c>
    </row>
    <row r="50" spans="1:7" x14ac:dyDescent="0.15">
      <c r="E50" t="s">
        <v>207</v>
      </c>
      <c r="F50" s="55">
        <f ca="1">SUMIF(tables_settle_530100!I:I,input_settle_530100!E50,tables_settle_530100!P:P)</f>
        <v>7.8666666666463866E-2</v>
      </c>
      <c r="G50" s="55">
        <f ca="1">0.05-F50-F51</f>
        <v>-3.7999999999773132E-2</v>
      </c>
    </row>
    <row r="51" spans="1:7" x14ac:dyDescent="0.15">
      <c r="E51" t="s">
        <v>249</v>
      </c>
      <c r="F51" s="55">
        <f ca="1">SUMIF(tables_settle_530100!I:I,input_settle_530100!E51,tables_settle_530100!P:P)</f>
        <v>9.3333333333092648E-3</v>
      </c>
      <c r="G51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39" activePane="bottomLeft" state="frozen"/>
      <selection activeCell="P347" sqref="P347"/>
      <selection pane="bottomLeft" activeCell="P350" sqref="P35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input_530100!A$2</f>
        <v>530100</v>
      </c>
      <c r="B2" s="6">
        <v>126</v>
      </c>
      <c r="C2" s="7" t="str">
        <f t="shared" ref="C2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IFERROR(VLOOKUP(B2,input_settle_530100!L:R,7,FALSE),VLOOKUP(tables_settle_530100!C2,input_settle_530100!A:H,8,FALSE))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input_530100!A$2</f>
        <v>530100</v>
      </c>
      <c r="B3" s="6">
        <v>127</v>
      </c>
      <c r="C3" s="7" t="str">
        <f t="shared" ref="C3:C66" si="2">D3&amp;J3&amp;E3&amp;F3&amp;G3</f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IFERROR(VLOOKUP(B3,input_settle_530100!L:R,7,FALSE),VLOOKUP(tables_settle_530100!C3,input_settle_530100!A:H,8,FALSE))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input_530100!A$2</f>
        <v>530100</v>
      </c>
      <c r="B4" s="6">
        <v>128</v>
      </c>
      <c r="C4" s="7" t="str">
        <f t="shared" si="2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IFERROR(VLOOKUP(B4,input_settle_530100!L:R,7,FALSE),VLOOKUP(tables_settle_530100!C4,input_settle_530100!A:H,8,FALSE))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input_530100!A$2</f>
        <v>530100</v>
      </c>
      <c r="B5" s="6">
        <v>129</v>
      </c>
      <c r="C5" s="7" t="str">
        <f t="shared" si="2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IFERROR(VLOOKUP(B5,input_settle_530100!L:R,7,FALSE),VLOOKUP(tables_settle_530100!C5,input_settle_530100!A:H,8,FALSE))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input_530100!A$2</f>
        <v>530100</v>
      </c>
      <c r="B6" s="6">
        <v>130</v>
      </c>
      <c r="C6" s="7" t="str">
        <f t="shared" si="2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IFERROR(VLOOKUP(B6,input_settle_530100!L:R,7,FALSE),VLOOKUP(tables_settle_530100!C6,input_settle_530100!A:H,8,FALSE))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input_530100!A$2</f>
        <v>530100</v>
      </c>
      <c r="B7" s="6">
        <v>131</v>
      </c>
      <c r="C7" s="7" t="str">
        <f t="shared" si="2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IFERROR(VLOOKUP(B7,input_settle_530100!L:R,7,FALSE),VLOOKUP(tables_settle_530100!C7,input_settle_530100!A:H,8,FALSE))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input_530100!A$2</f>
        <v>530100</v>
      </c>
      <c r="B8" s="6">
        <v>132</v>
      </c>
      <c r="C8" s="7" t="str">
        <f t="shared" si="2"/>
        <v>PremiumW3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IFERROR(VLOOKUP(B8,input_settle_530100!L:R,7,FALSE),VLOOKUP(tables_settle_530100!C8,input_settle_530100!A:H,8,FALSE))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input_530100!A$2</f>
        <v>530100</v>
      </c>
      <c r="B9" s="6">
        <v>133</v>
      </c>
      <c r="C9" s="7" t="str">
        <f t="shared" si="2"/>
        <v>PremiumW4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IFERROR(VLOOKUP(B9,input_settle_530100!L:R,7,FALSE),VLOOKUP(tables_settle_530100!C9,input_settle_530100!A:H,8,FALSE))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input_530100!A$2</f>
        <v>530100</v>
      </c>
      <c r="B10" s="6">
        <v>134</v>
      </c>
      <c r="C10" s="7" t="str">
        <f t="shared" si="2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IFERROR(VLOOKUP(B10,input_settle_530100!L:R,7,FALSE),VLOOKUP(tables_settle_530100!C10,input_settle_530100!A:H,8,FALSE))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input_530100!A$2</f>
        <v>530100</v>
      </c>
      <c r="B11" s="6">
        <v>135</v>
      </c>
      <c r="C11" s="7" t="str">
        <f t="shared" si="2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IFERROR(VLOOKUP(B11,input_settle_530100!L:R,7,FALSE),VLOOKUP(tables_settle_530100!C11,input_settle_530100!A:H,8,FALSE))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input_530100!A$2</f>
        <v>530100</v>
      </c>
      <c r="B12" s="8">
        <v>136</v>
      </c>
      <c r="C12" s="7" t="str">
        <f t="shared" si="2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IFERROR(VLOOKUP(B12,input_settle_530100!L:R,7,FALSE),VLOOKUP(tables_settle_530100!C12,input_settle_530100!A:H,8,FALSE))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input_530100!A$2</f>
        <v>530100</v>
      </c>
      <c r="B13" s="8">
        <v>137</v>
      </c>
      <c r="C13" s="7" t="str">
        <f t="shared" si="2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IFERROR(VLOOKUP(B13,input_settle_530100!L:R,7,FALSE),VLOOKUP(tables_settle_530100!C13,input_settle_530100!A:H,8,FALSE))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input_530100!A$2</f>
        <v>530100</v>
      </c>
      <c r="B14" s="6">
        <v>138</v>
      </c>
      <c r="C14" s="7" t="str">
        <f t="shared" si="2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IFERROR(VLOOKUP(B14,input_settle_530100!L:R,7,FALSE),VLOOKUP(tables_settle_530100!C14,input_settle_530100!A:H,8,FALSE))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input_530100!A$2</f>
        <v>530100</v>
      </c>
      <c r="B15" s="6">
        <v>139</v>
      </c>
      <c r="C15" s="7" t="str">
        <f t="shared" si="2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IFERROR(VLOOKUP(B15,input_settle_530100!L:R,7,FALSE),VLOOKUP(tables_settle_530100!C15,input_settle_530100!A:H,8,FALSE))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input_530100!A$2</f>
        <v>530100</v>
      </c>
      <c r="B16" s="10">
        <v>140</v>
      </c>
      <c r="C16" s="7" t="str">
        <f t="shared" si="2"/>
        <v>PremiumW3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IFERROR(VLOOKUP(B16,input_settle_530100!L:R,7,FALSE),VLOOKUP(tables_settle_530100!C16,input_settle_530100!A:H,8,FALSE))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input_530100!A$2</f>
        <v>530100</v>
      </c>
      <c r="B17" s="11">
        <v>141</v>
      </c>
      <c r="C17" s="7" t="str">
        <f t="shared" si="2"/>
        <v>PremiumW4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IFERROR(VLOOKUP(B17,input_settle_530100!L:R,7,FALSE),VLOOKUP(tables_settle_530100!C17,input_settle_530100!A:H,8,FALSE))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input_530100!A$2</f>
        <v>530100</v>
      </c>
      <c r="B18" s="6">
        <v>142</v>
      </c>
      <c r="C18" s="7" t="str">
        <f t="shared" si="2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IFERROR(VLOOKUP(B18,input_settle_530100!L:R,7,FALSE),VLOOKUP(tables_settle_530100!C18,input_settle_530100!A:H,8,FALSE))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input_530100!A$2</f>
        <v>530100</v>
      </c>
      <c r="B19" s="6">
        <v>143</v>
      </c>
      <c r="C19" s="7" t="str">
        <f t="shared" si="2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IFERROR(VLOOKUP(B19,input_settle_530100!L:R,7,FALSE),VLOOKUP(tables_settle_530100!C19,input_settle_530100!A:H,8,FALSE))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input_530100!A$2</f>
        <v>530100</v>
      </c>
      <c r="B20" s="10">
        <v>144</v>
      </c>
      <c r="C20" s="7" t="str">
        <f t="shared" si="2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IFERROR(VLOOKUP(B20,input_settle_530100!L:R,7,FALSE),VLOOKUP(tables_settle_530100!C20,input_settle_530100!A:H,8,FALSE))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input_530100!A$2</f>
        <v>530100</v>
      </c>
      <c r="B21" s="6">
        <v>145</v>
      </c>
      <c r="C21" s="7" t="str">
        <f t="shared" si="2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IFERROR(VLOOKUP(B21,input_settle_530100!L:R,7,FALSE),VLOOKUP(tables_settle_530100!C21,input_settle_530100!A:H,8,FALSE))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input_530100!A$2</f>
        <v>530100</v>
      </c>
      <c r="B22" s="6">
        <v>146</v>
      </c>
      <c r="C22" s="7" t="str">
        <f t="shared" si="2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IFERROR(VLOOKUP(B22,input_settle_530100!L:R,7,FALSE),VLOOKUP(tables_settle_530100!C22,input_settle_530100!A:H,8,FALSE))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input_530100!A$2</f>
        <v>530100</v>
      </c>
      <c r="B23" s="6">
        <v>147</v>
      </c>
      <c r="C23" s="7" t="str">
        <f t="shared" si="2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IFERROR(VLOOKUP(B23,input_settle_530100!L:R,7,FALSE),VLOOKUP(tables_settle_530100!C23,input_settle_530100!A:H,8,FALSE))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input_530100!A$2</f>
        <v>530100</v>
      </c>
      <c r="B24" s="6">
        <v>148</v>
      </c>
      <c r="C24" s="7" t="str">
        <f t="shared" si="2"/>
        <v>PremiumW3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IFERROR(VLOOKUP(B24,input_settle_530100!L:R,7,FALSE),VLOOKUP(tables_settle_530100!C24,input_settle_530100!A:H,8,FALSE))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input_530100!A$2</f>
        <v>530100</v>
      </c>
      <c r="B25" s="6">
        <v>149</v>
      </c>
      <c r="C25" s="7" t="str">
        <f t="shared" si="2"/>
        <v>PremiumW4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IFERROR(VLOOKUP(B25,input_settle_530100!L:R,7,FALSE),VLOOKUP(tables_settle_530100!C25,input_settle_530100!A:H,8,FALSE))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input_530100!A$2</f>
        <v>530100</v>
      </c>
      <c r="B26" s="6">
        <v>150</v>
      </c>
      <c r="C26" s="7" t="str">
        <f t="shared" si="2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IFERROR(VLOOKUP(B26,input_settle_530100!L:R,7,FALSE),VLOOKUP(tables_settle_530100!C26,input_settle_530100!A:H,8,FALSE))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input_530100!A$2</f>
        <v>530100</v>
      </c>
      <c r="B27" s="6">
        <v>151</v>
      </c>
      <c r="C27" s="7" t="str">
        <f t="shared" si="2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IFERROR(VLOOKUP(B27,input_settle_530100!L:R,7,FALSE),VLOOKUP(tables_settle_530100!C27,input_settle_530100!A:H,8,FALSE))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input_530100!A$2</f>
        <v>530100</v>
      </c>
      <c r="B28" s="6">
        <v>152</v>
      </c>
      <c r="C28" s="7" t="str">
        <f t="shared" si="2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IFERROR(VLOOKUP(B28,input_settle_530100!L:R,7,FALSE),VLOOKUP(tables_settle_530100!C28,input_settle_530100!A:H,8,FALSE))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input_530100!A$2</f>
        <v>530100</v>
      </c>
      <c r="B29" s="6">
        <v>153</v>
      </c>
      <c r="C29" s="7" t="str">
        <f t="shared" si="2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IFERROR(VLOOKUP(B29,input_settle_530100!L:R,7,FALSE),VLOOKUP(tables_settle_530100!C29,input_settle_530100!A:H,8,FALSE))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input_530100!A$2</f>
        <v>530100</v>
      </c>
      <c r="B30" s="6">
        <v>154</v>
      </c>
      <c r="C30" s="7" t="str">
        <f t="shared" si="2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IFERROR(VLOOKUP(B30,input_settle_530100!L:R,7,FALSE),VLOOKUP(tables_settle_530100!C30,input_settle_530100!A:H,8,FALSE))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input_530100!A$2</f>
        <v>530100</v>
      </c>
      <c r="B31" s="6">
        <v>155</v>
      </c>
      <c r="C31" s="7" t="str">
        <f t="shared" si="2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IFERROR(VLOOKUP(B31,input_settle_530100!L:R,7,FALSE),VLOOKUP(tables_settle_530100!C31,input_settle_530100!A:H,8,FALSE))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input_530100!A$2</f>
        <v>530100</v>
      </c>
      <c r="B32" s="6">
        <v>156</v>
      </c>
      <c r="C32" s="7" t="str">
        <f t="shared" si="2"/>
        <v>PremiumW3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IFERROR(VLOOKUP(B32,input_settle_530100!L:R,7,FALSE),VLOOKUP(tables_settle_530100!C32,input_settle_530100!A:H,8,FALSE))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input_530100!A$2</f>
        <v>530100</v>
      </c>
      <c r="B33" s="6">
        <v>157</v>
      </c>
      <c r="C33" s="7" t="str">
        <f t="shared" si="2"/>
        <v>PremiumW4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IFERROR(VLOOKUP(B33,input_settle_530100!L:R,7,FALSE),VLOOKUP(tables_settle_530100!C33,input_settle_530100!A:H,8,FALSE))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input_530100!A$2</f>
        <v>530100</v>
      </c>
      <c r="B34" s="6">
        <v>158</v>
      </c>
      <c r="C34" s="7" t="str">
        <f t="shared" si="2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IFERROR(VLOOKUP(B34,input_settle_530100!L:R,7,FALSE),VLOOKUP(tables_settle_530100!C34,input_settle_530100!A:H,8,FALSE))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input_530100!A$2</f>
        <v>530100</v>
      </c>
      <c r="B35" s="6">
        <v>159</v>
      </c>
      <c r="C35" s="7" t="str">
        <f t="shared" si="2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IFERROR(VLOOKUP(B35,input_settle_530100!L:R,7,FALSE),VLOOKUP(tables_settle_530100!C35,input_settle_530100!A:H,8,FALSE))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input_530100!A$2</f>
        <v>530100</v>
      </c>
      <c r="B36" s="6">
        <v>160</v>
      </c>
      <c r="C36" s="7" t="str">
        <f t="shared" si="2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IFERROR(VLOOKUP(B36,input_settle_530100!L:R,7,FALSE),VLOOKUP(tables_settle_530100!C36,input_settle_530100!A:H,8,FALSE))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input_530100!A$2</f>
        <v>530100</v>
      </c>
      <c r="B37" s="6">
        <v>161</v>
      </c>
      <c r="C37" s="7" t="str">
        <f t="shared" si="2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IFERROR(VLOOKUP(B37,input_settle_530100!L:R,7,FALSE),VLOOKUP(tables_settle_530100!C37,input_settle_530100!A:H,8,FALSE))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input_530100!A$2</f>
        <v>530100</v>
      </c>
      <c r="B38" s="6">
        <v>162</v>
      </c>
      <c r="C38" s="7" t="str">
        <f t="shared" si="2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IFERROR(VLOOKUP(B38,input_settle_530100!L:R,7,FALSE),VLOOKUP(tables_settle_530100!C38,input_settle_530100!A:H,8,FALSE))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input_530100!A$2</f>
        <v>530100</v>
      </c>
      <c r="B39" s="6">
        <v>163</v>
      </c>
      <c r="C39" s="7" t="str">
        <f t="shared" si="2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IFERROR(VLOOKUP(B39,input_settle_530100!L:R,7,FALSE),VLOOKUP(tables_settle_530100!C39,input_settle_530100!A:H,8,FALSE))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input_530100!A$2</f>
        <v>530100</v>
      </c>
      <c r="B40" s="6">
        <v>164</v>
      </c>
      <c r="C40" s="7" t="str">
        <f t="shared" si="2"/>
        <v>PremiumW3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IFERROR(VLOOKUP(B40,input_settle_530100!L:R,7,FALSE),VLOOKUP(tables_settle_530100!C40,input_settle_530100!A:H,8,FALSE))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input_530100!A$2</f>
        <v>530100</v>
      </c>
      <c r="B41" s="6">
        <v>165</v>
      </c>
      <c r="C41" s="7" t="str">
        <f t="shared" si="2"/>
        <v>PremiumW4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IFERROR(VLOOKUP(B41,input_settle_530100!L:R,7,FALSE),VLOOKUP(tables_settle_530100!C41,input_settle_530100!A:H,8,FALSE))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input_530100!A$2</f>
        <v>530100</v>
      </c>
      <c r="B42" s="6">
        <v>166</v>
      </c>
      <c r="C42" s="7" t="str">
        <f t="shared" si="2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IFERROR(VLOOKUP(B42,input_settle_530100!L:R,7,FALSE),VLOOKUP(tables_settle_530100!C42,input_settle_530100!A:H,8,FALSE))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input_530100!A$2</f>
        <v>530100</v>
      </c>
      <c r="B43" s="6">
        <v>167</v>
      </c>
      <c r="C43" s="7" t="str">
        <f t="shared" si="2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IFERROR(VLOOKUP(B43,input_settle_530100!L:R,7,FALSE),VLOOKUP(tables_settle_530100!C43,input_settle_530100!A:H,8,FALSE))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input_530100!A$2</f>
        <v>530100</v>
      </c>
      <c r="B44" s="6">
        <v>168</v>
      </c>
      <c r="C44" s="7" t="str">
        <f t="shared" si="2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IFERROR(VLOOKUP(B44,input_settle_530100!L:R,7,FALSE),VLOOKUP(tables_settle_530100!C44,input_settle_530100!A:H,8,FALSE))</f>
        <v>620400</v>
      </c>
      <c r="P44" s="46">
        <f t="shared" ca="1" si="1"/>
        <v>9.9999999999742118E-3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input_530100!A$2</f>
        <v>530100</v>
      </c>
      <c r="B45" s="6">
        <v>169</v>
      </c>
      <c r="C45" s="7" t="str">
        <f t="shared" si="2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IFERROR(VLOOKUP(B45,input_settle_530100!L:R,7,FALSE),VLOOKUP(tables_settle_530100!C45,input_settle_530100!A:H,8,FALSE))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input_530100!A$2</f>
        <v>530100</v>
      </c>
      <c r="B46" s="6">
        <v>170</v>
      </c>
      <c r="C46" s="7" t="str">
        <f t="shared" si="2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IFERROR(VLOOKUP(B46,input_settle_530100!L:R,7,FALSE),VLOOKUP(tables_settle_530100!C46,input_settle_530100!A:H,8,FALSE))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input_530100!A$2</f>
        <v>530100</v>
      </c>
      <c r="B47" s="6">
        <v>171</v>
      </c>
      <c r="C47" s="7" t="str">
        <f t="shared" si="2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IFERROR(VLOOKUP(B47,input_settle_530100!L:R,7,FALSE),VLOOKUP(tables_settle_530100!C47,input_settle_530100!A:H,8,FALSE))</f>
        <v>620400</v>
      </c>
      <c r="P47" s="46">
        <f t="shared" ca="1" si="1"/>
        <v>9.9999999999742118E-3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input_530100!A$2</f>
        <v>530100</v>
      </c>
      <c r="B48" s="6">
        <v>172</v>
      </c>
      <c r="C48" s="7" t="str">
        <f t="shared" si="2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IFERROR(VLOOKUP(B48,input_settle_530100!L:R,7,FALSE),VLOOKUP(tables_settle_530100!C48,input_settle_530100!A:H,8,FALSE))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input_530100!A$2</f>
        <v>530100</v>
      </c>
      <c r="B49" s="6">
        <v>173</v>
      </c>
      <c r="C49" s="7" t="str">
        <f t="shared" si="2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IFERROR(VLOOKUP(B49,input_settle_530100!L:R,7,FALSE),VLOOKUP(tables_settle_530100!C49,input_settle_530100!A:H,8,FALSE))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input_530100!A$2</f>
        <v>530100</v>
      </c>
      <c r="B50" s="6">
        <v>174</v>
      </c>
      <c r="C50" s="7" t="str">
        <f t="shared" si="2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IFERROR(VLOOKUP(B50,input_settle_530100!L:R,7,FALSE),VLOOKUP(tables_settle_530100!C50,input_settle_530100!A:H,8,FALSE))</f>
        <v>620400</v>
      </c>
      <c r="P50" s="46">
        <f t="shared" ca="1" si="1"/>
        <v>9.9999999999742118E-3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input_530100!A$2</f>
        <v>530100</v>
      </c>
      <c r="B51" s="6">
        <v>175</v>
      </c>
      <c r="C51" s="7" t="str">
        <f t="shared" si="2"/>
        <v>Premium3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IFERROR(VLOOKUP(B51,input_settle_530100!L:R,7,FALSE),VLOOKUP(tables_settle_530100!C51,input_settle_530100!A:H,8,FALSE))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input_530100!A$2</f>
        <v>530100</v>
      </c>
      <c r="B52" s="6">
        <v>176</v>
      </c>
      <c r="C52" s="7" t="str">
        <f t="shared" si="2"/>
        <v>Premium4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IFERROR(VLOOKUP(B52,input_settle_530100!L:R,7,FALSE),VLOOKUP(tables_settle_530100!C52,input_settle_530100!A:H,8,FALSE))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input_530100!A$2</f>
        <v>530100</v>
      </c>
      <c r="B53" s="6">
        <v>177</v>
      </c>
      <c r="C53" s="7" t="str">
        <f t="shared" si="2"/>
        <v>Premium5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IFERROR(VLOOKUP(B53,input_settle_530100!L:R,7,FALSE),VLOOKUP(tables_settle_530100!C53,input_settle_530100!A:H,8,FALSE))</f>
        <v>572676.92307999998</v>
      </c>
      <c r="P53" s="46">
        <f t="shared" ca="1" si="1"/>
        <v>9.2307692307950218E-3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input_530100!A$2</f>
        <v>530100</v>
      </c>
      <c r="B54" s="6">
        <v>178</v>
      </c>
      <c r="C54" s="7" t="str">
        <f t="shared" si="2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IFERROR(VLOOKUP(B54,input_settle_530100!L:R,7,FALSE),VLOOKUP(tables_settle_530100!C54,input_settle_530100!A:H,8,FALSE))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input_530100!A$2</f>
        <v>530100</v>
      </c>
      <c r="B55" s="6">
        <v>179</v>
      </c>
      <c r="C55" s="7" t="str">
        <f t="shared" si="2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IFERROR(VLOOKUP(B55,input_settle_530100!L:R,7,FALSE),VLOOKUP(tables_settle_530100!C55,input_settle_530100!A:H,8,FALSE))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input_530100!A$2</f>
        <v>530100</v>
      </c>
      <c r="B56" s="6">
        <v>180</v>
      </c>
      <c r="C56" s="7" t="str">
        <f t="shared" si="2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IFERROR(VLOOKUP(B56,input_settle_530100!L:R,7,FALSE),VLOOKUP(tables_settle_530100!C56,input_settle_530100!A:H,8,FALSE))</f>
        <v>572676.92307999998</v>
      </c>
      <c r="P56" s="46">
        <f t="shared" ca="1" si="1"/>
        <v>9.2307692307950218E-3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input_530100!A$2</f>
        <v>530100</v>
      </c>
      <c r="B57" s="6">
        <v>181</v>
      </c>
      <c r="C57" s="7" t="str">
        <f t="shared" si="2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IFERROR(VLOOKUP(B57,input_settle_530100!L:R,7,FALSE),VLOOKUP(tables_settle_530100!C57,input_settle_530100!A:H,8,FALSE))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input_530100!A$2</f>
        <v>530100</v>
      </c>
      <c r="B58" s="6">
        <v>182</v>
      </c>
      <c r="C58" s="7" t="str">
        <f t="shared" si="2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IFERROR(VLOOKUP(B58,input_settle_530100!L:R,7,FALSE),VLOOKUP(tables_settle_530100!C58,input_settle_530100!A:H,8,FALSE))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input_530100!A$2</f>
        <v>530100</v>
      </c>
      <c r="B59" s="6">
        <v>183</v>
      </c>
      <c r="C59" s="7" t="str">
        <f t="shared" si="2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IFERROR(VLOOKUP(B59,input_settle_530100!L:R,7,FALSE),VLOOKUP(tables_settle_530100!C59,input_settle_530100!A:H,8,FALSE))</f>
        <v>572676.92307999998</v>
      </c>
      <c r="P59" s="46">
        <f t="shared" ca="1" si="1"/>
        <v>9.2307692307950218E-3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input_530100!A$2</f>
        <v>530100</v>
      </c>
      <c r="B60" s="6">
        <v>184</v>
      </c>
      <c r="C60" s="7" t="str">
        <f t="shared" si="2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IFERROR(VLOOKUP(B60,input_settle_530100!L:R,7,FALSE),VLOOKUP(tables_settle_530100!C60,input_settle_530100!A:H,8,FALSE))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input_530100!A$2</f>
        <v>530100</v>
      </c>
      <c r="B61" s="6">
        <v>185</v>
      </c>
      <c r="C61" s="7" t="str">
        <f t="shared" si="2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IFERROR(VLOOKUP(B61,input_settle_530100!L:R,7,FALSE),VLOOKUP(tables_settle_530100!C61,input_settle_530100!A:H,8,FALSE))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input_530100!A$2</f>
        <v>530100</v>
      </c>
      <c r="B62" s="8">
        <v>186</v>
      </c>
      <c r="C62" s="7" t="str">
        <f t="shared" si="2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IFERROR(VLOOKUP(B62,input_settle_530100!L:R,7,FALSE),VLOOKUP(tables_settle_530100!C62,input_settle_530100!A:H,8,FALSE))</f>
        <v>572676.92307999998</v>
      </c>
      <c r="P62" s="46">
        <f t="shared" ca="1" si="1"/>
        <v>9.2307692307950218E-3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input_530100!A$2</f>
        <v>530100</v>
      </c>
      <c r="B63" s="8">
        <v>187</v>
      </c>
      <c r="C63" s="7" t="str">
        <f t="shared" si="2"/>
        <v>Premium3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IFERROR(VLOOKUP(B63,input_settle_530100!L:R,7,FALSE),VLOOKUP(tables_settle_530100!C63,input_settle_530100!A:H,8,FALSE))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input_530100!A$2</f>
        <v>530100</v>
      </c>
      <c r="B64" s="8">
        <v>188</v>
      </c>
      <c r="C64" s="7" t="str">
        <f t="shared" si="2"/>
        <v>Premium4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IFERROR(VLOOKUP(B64,input_settle_530100!L:R,7,FALSE),VLOOKUP(tables_settle_530100!C64,input_settle_530100!A:H,8,FALSE))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input_530100!A$2</f>
        <v>530100</v>
      </c>
      <c r="B65" s="8">
        <v>189</v>
      </c>
      <c r="C65" s="7" t="str">
        <f t="shared" si="2"/>
        <v>Premium5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IFERROR(VLOOKUP(B65,input_settle_530100!L:R,7,FALSE),VLOOKUP(tables_settle_530100!C65,input_settle_530100!A:H,8,FALSE))</f>
        <v>572676.92307999998</v>
      </c>
      <c r="P65" s="46">
        <f t="shared" ca="1" si="1"/>
        <v>9.2307692307950218E-3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input_530100!A$2</f>
        <v>530100</v>
      </c>
      <c r="B66" s="6">
        <v>190</v>
      </c>
      <c r="C66" s="7" t="str">
        <f t="shared" si="2"/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IFERROR(VLOOKUP(B66,input_settle_530100!L:R,7,FALSE),VLOOKUP(tables_settle_530100!C66,input_settle_530100!A:H,8,FALSE))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input_530100!A$2</f>
        <v>530100</v>
      </c>
      <c r="B67" s="6">
        <v>191</v>
      </c>
      <c r="C67" s="7" t="str">
        <f t="shared" ref="C67:C130" si="5">D67&amp;J67&amp;E67&amp;F67&amp;G67</f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IFERROR(VLOOKUP(B67,input_settle_530100!L:R,7,FALSE),VLOOKUP(tables_settle_530100!C67,input_settle_530100!A:H,8,FALSE))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input_530100!A$2</f>
        <v>530100</v>
      </c>
      <c r="B68" s="6">
        <v>192</v>
      </c>
      <c r="C68" s="7" t="str">
        <f t="shared" si="5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IFERROR(VLOOKUP(B68,input_settle_530100!L:R,7,FALSE),VLOOKUP(tables_settle_530100!C68,input_settle_530100!A:H,8,FALSE))</f>
        <v>572676.92307999998</v>
      </c>
      <c r="P68" s="46">
        <f t="shared" ca="1" si="4"/>
        <v>9.2307692307950218E-3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input_530100!A$2</f>
        <v>530100</v>
      </c>
      <c r="B69" s="6">
        <v>193</v>
      </c>
      <c r="C69" s="7" t="str">
        <f t="shared" si="5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IFERROR(VLOOKUP(B69,input_settle_530100!L:R,7,FALSE),VLOOKUP(tables_settle_530100!C69,input_settle_530100!A:H,8,FALSE))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input_530100!A$2</f>
        <v>530100</v>
      </c>
      <c r="B70" s="10">
        <v>194</v>
      </c>
      <c r="C70" s="7" t="str">
        <f t="shared" si="5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IFERROR(VLOOKUP(B70,input_settle_530100!L:R,7,FALSE),VLOOKUP(tables_settle_530100!C70,input_settle_530100!A:H,8,FALSE))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input_530100!A$2</f>
        <v>530100</v>
      </c>
      <c r="B71" s="6">
        <v>195</v>
      </c>
      <c r="C71" s="7" t="str">
        <f t="shared" si="5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IFERROR(VLOOKUP(B71,input_settle_530100!L:R,7,FALSE),VLOOKUP(tables_settle_530100!C71,input_settle_530100!A:H,8,FALSE))</f>
        <v>572676.92307999998</v>
      </c>
      <c r="P71" s="46">
        <f t="shared" ca="1" si="4"/>
        <v>9.2307692307950218E-3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input_530100!A$2</f>
        <v>530100</v>
      </c>
      <c r="B72" s="10">
        <v>196</v>
      </c>
      <c r="C72" s="7" t="str">
        <f t="shared" si="5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IFERROR(VLOOKUP(B72,input_settle_530100!L:R,7,FALSE),VLOOKUP(tables_settle_530100!C72,input_settle_530100!A:H,8,FALSE))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input_530100!A$2</f>
        <v>530100</v>
      </c>
      <c r="B73" s="11">
        <v>197</v>
      </c>
      <c r="C73" s="7" t="str">
        <f t="shared" si="5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IFERROR(VLOOKUP(B73,input_settle_530100!L:R,7,FALSE),VLOOKUP(tables_settle_530100!C73,input_settle_530100!A:H,8,FALSE))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input_530100!A$2</f>
        <v>530100</v>
      </c>
      <c r="B74" s="6">
        <v>198</v>
      </c>
      <c r="C74" s="7" t="str">
        <f t="shared" si="5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IFERROR(VLOOKUP(B74,input_settle_530100!L:R,7,FALSE),VLOOKUP(tables_settle_530100!C74,input_settle_530100!A:H,8,FALSE))</f>
        <v>572676.92307999998</v>
      </c>
      <c r="P74" s="46">
        <f t="shared" ca="1" si="4"/>
        <v>9.2307692307950218E-3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input_530100!A$2</f>
        <v>530100</v>
      </c>
      <c r="B75" s="6">
        <v>199</v>
      </c>
      <c r="C75" s="7" t="str">
        <f t="shared" si="5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IFERROR(VLOOKUP(B75,input_settle_530100!L:R,7,FALSE),VLOOKUP(tables_settle_530100!C75,input_settle_530100!A:H,8,FALSE))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input_530100!A$2</f>
        <v>530100</v>
      </c>
      <c r="B76" s="6">
        <v>200</v>
      </c>
      <c r="C76" s="7" t="str">
        <f t="shared" si="5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IFERROR(VLOOKUP(B76,input_settle_530100!L:R,7,FALSE),VLOOKUP(tables_settle_530100!C76,input_settle_530100!A:H,8,FALSE))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input_530100!A$2</f>
        <v>530100</v>
      </c>
      <c r="B77" s="5">
        <v>201</v>
      </c>
      <c r="C77" s="7" t="str">
        <f t="shared" si="5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IFERROR(VLOOKUP(B77,input_settle_530100!L:R,7,FALSE),VLOOKUP(tables_settle_530100!C77,input_settle_530100!A:H,8,FALSE))</f>
        <v>572676.92307999998</v>
      </c>
      <c r="P77" s="46">
        <f t="shared" ca="1" si="4"/>
        <v>9.2307692307950218E-3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input_530100!A$2</f>
        <v>530100</v>
      </c>
      <c r="B78" s="5">
        <v>202</v>
      </c>
      <c r="C78" s="7" t="str">
        <f t="shared" si="5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IFERROR(VLOOKUP(B78,input_settle_530100!L:R,7,FALSE),VLOOKUP(tables_settle_530100!C78,input_settle_530100!A:H,8,FALSE))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input_530100!A$2</f>
        <v>530100</v>
      </c>
      <c r="B79" s="5">
        <v>203</v>
      </c>
      <c r="C79" s="7" t="str">
        <f t="shared" si="5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IFERROR(VLOOKUP(B79,input_settle_530100!L:R,7,FALSE),VLOOKUP(tables_settle_530100!C79,input_settle_530100!A:H,8,FALSE))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input_530100!A$2</f>
        <v>530100</v>
      </c>
      <c r="B80" s="5">
        <v>204</v>
      </c>
      <c r="C80" s="7" t="str">
        <f t="shared" si="5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IFERROR(VLOOKUP(B80,input_settle_530100!L:R,7,FALSE),VLOOKUP(tables_settle_530100!C80,input_settle_530100!A:H,8,FALSE))</f>
        <v>572676.92307999998</v>
      </c>
      <c r="P80" s="46">
        <f t="shared" ca="1" si="4"/>
        <v>9.2307692307950218E-3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input_530100!A$2</f>
        <v>530100</v>
      </c>
      <c r="B81" s="5">
        <v>205</v>
      </c>
      <c r="C81" s="7" t="str">
        <f t="shared" si="5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IFERROR(VLOOKUP(B81,input_settle_530100!L:R,7,FALSE),VLOOKUP(tables_settle_530100!C81,input_settle_530100!A:H,8,FALSE))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input_530100!A$2</f>
        <v>530100</v>
      </c>
      <c r="B82" s="5">
        <v>206</v>
      </c>
      <c r="C82" s="7" t="str">
        <f t="shared" si="5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IFERROR(VLOOKUP(B82,input_settle_530100!L:R,7,FALSE),VLOOKUP(tables_settle_530100!C82,input_settle_530100!A:H,8,FALSE))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input_530100!A$2</f>
        <v>530100</v>
      </c>
      <c r="B83" s="5">
        <v>207</v>
      </c>
      <c r="C83" s="7" t="str">
        <f t="shared" si="5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IFERROR(VLOOKUP(B83,input_settle_530100!L:R,7,FALSE),VLOOKUP(tables_settle_530100!C83,input_settle_530100!A:H,8,FALSE))</f>
        <v>572676.92307999998</v>
      </c>
      <c r="P83" s="46">
        <f t="shared" ca="1" si="4"/>
        <v>9.2307692307950218E-3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input_530100!A$2</f>
        <v>530100</v>
      </c>
      <c r="B84" s="5">
        <v>208</v>
      </c>
      <c r="C84" s="7" t="str">
        <f t="shared" si="5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IFERROR(VLOOKUP(B84,input_settle_530100!L:R,7,FALSE),VLOOKUP(tables_settle_530100!C84,input_settle_530100!A:H,8,FALSE))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input_530100!A$2</f>
        <v>530100</v>
      </c>
      <c r="B85" s="5">
        <v>209</v>
      </c>
      <c r="C85" s="7" t="str">
        <f t="shared" si="5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IFERROR(VLOOKUP(B85,input_settle_530100!L:R,7,FALSE),VLOOKUP(tables_settle_530100!C85,input_settle_530100!A:H,8,FALSE))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input_530100!A$2</f>
        <v>530100</v>
      </c>
      <c r="B86" s="5">
        <v>210</v>
      </c>
      <c r="C86" s="7" t="str">
        <f t="shared" si="5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IFERROR(VLOOKUP(B86,input_settle_530100!L:R,7,FALSE),VLOOKUP(tables_settle_530100!C86,input_settle_530100!A:H,8,FALSE))</f>
        <v>572676.92307999998</v>
      </c>
      <c r="P86" s="46">
        <f t="shared" ca="1" si="4"/>
        <v>9.2307692307950218E-3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input_530100!A$2</f>
        <v>530100</v>
      </c>
      <c r="B87" s="5">
        <v>211</v>
      </c>
      <c r="C87" s="7" t="str">
        <f t="shared" si="5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IFERROR(VLOOKUP(B87,input_settle_530100!L:R,7,FALSE),VLOOKUP(tables_settle_530100!C87,input_settle_530100!A:H,8,FALSE))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input_530100!A$2</f>
        <v>530100</v>
      </c>
      <c r="B88" s="5">
        <v>212</v>
      </c>
      <c r="C88" s="7" t="str">
        <f t="shared" si="5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IFERROR(VLOOKUP(B88,input_settle_530100!L:R,7,FALSE),VLOOKUP(tables_settle_530100!C88,input_settle_530100!A:H,8,FALSE))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input_530100!A$2</f>
        <v>530100</v>
      </c>
      <c r="B89" s="5">
        <v>213</v>
      </c>
      <c r="C89" s="7" t="str">
        <f t="shared" si="5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IFERROR(VLOOKUP(B89,input_settle_530100!L:R,7,FALSE),VLOOKUP(tables_settle_530100!C89,input_settle_530100!A:H,8,FALSE))</f>
        <v>572676.92307999998</v>
      </c>
      <c r="P89" s="46">
        <f t="shared" ca="1" si="4"/>
        <v>9.2307692307950218E-3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input_530100!A$2</f>
        <v>530100</v>
      </c>
      <c r="B90" s="5">
        <v>214</v>
      </c>
      <c r="C90" s="7" t="str">
        <f t="shared" si="5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IFERROR(VLOOKUP(B90,input_settle_530100!L:R,7,FALSE),VLOOKUP(tables_settle_530100!C90,input_settle_530100!A:H,8,FALSE))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input_530100!A$2</f>
        <v>530100</v>
      </c>
      <c r="B91" s="5">
        <v>215</v>
      </c>
      <c r="C91" s="7" t="str">
        <f t="shared" si="5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IFERROR(VLOOKUP(B91,input_settle_530100!L:R,7,FALSE),VLOOKUP(tables_settle_530100!C91,input_settle_530100!A:H,8,FALSE))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input_530100!A$2</f>
        <v>530100</v>
      </c>
      <c r="B92" s="5">
        <v>216</v>
      </c>
      <c r="C92" s="7" t="str">
        <f t="shared" si="5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IFERROR(VLOOKUP(B92,input_settle_530100!L:R,7,FALSE),VLOOKUP(tables_settle_530100!C92,input_settle_530100!A:H,8,FALSE))</f>
        <v>572676.92307999998</v>
      </c>
      <c r="P92" s="46">
        <f t="shared" ca="1" si="4"/>
        <v>9.2307692307950218E-3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input_530100!A$2</f>
        <v>530100</v>
      </c>
      <c r="B93" s="5">
        <v>217</v>
      </c>
      <c r="C93" s="7" t="str">
        <f t="shared" si="5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IFERROR(VLOOKUP(B93,input_settle_530100!L:R,7,FALSE),VLOOKUP(tables_settle_530100!C93,input_settle_530100!A:H,8,FALSE))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input_530100!A$2</f>
        <v>530100</v>
      </c>
      <c r="B94" s="5">
        <v>218</v>
      </c>
      <c r="C94" s="7" t="str">
        <f t="shared" si="5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IFERROR(VLOOKUP(B94,input_settle_530100!L:R,7,FALSE),VLOOKUP(tables_settle_530100!C94,input_settle_530100!A:H,8,FALSE))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input_530100!A$2</f>
        <v>530100</v>
      </c>
      <c r="B95" s="5">
        <v>219</v>
      </c>
      <c r="C95" s="7" t="str">
        <f t="shared" si="5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IFERROR(VLOOKUP(B95,input_settle_530100!L:R,7,FALSE),VLOOKUP(tables_settle_530100!C95,input_settle_530100!A:H,8,FALSE))</f>
        <v>572676.92307999998</v>
      </c>
      <c r="P95" s="46">
        <f t="shared" ca="1" si="4"/>
        <v>9.2307692307950218E-3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input_530100!A$2</f>
        <v>530100</v>
      </c>
      <c r="B96" s="5">
        <v>220</v>
      </c>
      <c r="C96" s="7" t="str">
        <f t="shared" si="5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IFERROR(VLOOKUP(B96,input_settle_530100!L:R,7,FALSE),VLOOKUP(tables_settle_530100!C96,input_settle_530100!A:H,8,FALSE))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input_530100!A$2</f>
        <v>530100</v>
      </c>
      <c r="B97" s="5">
        <v>221</v>
      </c>
      <c r="C97" s="7" t="str">
        <f t="shared" si="5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IFERROR(VLOOKUP(B97,input_settle_530100!L:R,7,FALSE),VLOOKUP(tables_settle_530100!C97,input_settle_530100!A:H,8,FALSE))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input_530100!A$2</f>
        <v>530100</v>
      </c>
      <c r="B98" s="5">
        <v>222</v>
      </c>
      <c r="C98" s="7" t="str">
        <f t="shared" si="5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IFERROR(VLOOKUP(B98,input_settle_530100!L:R,7,FALSE),VLOOKUP(tables_settle_530100!C98,input_settle_530100!A:H,8,FALSE))</f>
        <v>572676.92307999998</v>
      </c>
      <c r="P98" s="46">
        <f t="shared" ca="1" si="4"/>
        <v>9.2307692307950218E-3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input_530100!A$2</f>
        <v>530100</v>
      </c>
      <c r="B99" s="5">
        <v>223</v>
      </c>
      <c r="C99" s="7" t="str">
        <f t="shared" si="5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IFERROR(VLOOKUP(B99,input_settle_530100!L:R,7,FALSE),VLOOKUP(tables_settle_530100!C99,input_settle_530100!A:H,8,FALSE))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input_530100!A$2</f>
        <v>530100</v>
      </c>
      <c r="B100" s="5">
        <v>224</v>
      </c>
      <c r="C100" s="7" t="str">
        <f t="shared" si="5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IFERROR(VLOOKUP(B100,input_settle_530100!L:R,7,FALSE),VLOOKUP(tables_settle_530100!C100,input_settle_530100!A:H,8,FALSE))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input_530100!A$2</f>
        <v>530100</v>
      </c>
      <c r="B101" s="5">
        <v>225</v>
      </c>
      <c r="C101" s="7" t="str">
        <f t="shared" si="5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IFERROR(VLOOKUP(B101,input_settle_530100!L:R,7,FALSE),VLOOKUP(tables_settle_530100!C101,input_settle_530100!A:H,8,FALSE))</f>
        <v>572676.92307999998</v>
      </c>
      <c r="P101" s="46">
        <f t="shared" ca="1" si="4"/>
        <v>9.2307692307950218E-3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input_530100!A$2</f>
        <v>530100</v>
      </c>
      <c r="B102" s="5">
        <v>226</v>
      </c>
      <c r="C102" s="7" t="str">
        <f t="shared" si="5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IFERROR(VLOOKUP(B102,input_settle_530100!L:R,7,FALSE),VLOOKUP(tables_settle_530100!C102,input_settle_530100!A:H,8,FALSE))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input_530100!A$2</f>
        <v>530100</v>
      </c>
      <c r="B103" s="5">
        <v>227</v>
      </c>
      <c r="C103" s="7" t="str">
        <f t="shared" si="5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IFERROR(VLOOKUP(B103,input_settle_530100!L:R,7,FALSE),VLOOKUP(tables_settle_530100!C103,input_settle_530100!A:H,8,FALSE))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input_530100!A$2</f>
        <v>530100</v>
      </c>
      <c r="B104" s="5">
        <v>228</v>
      </c>
      <c r="C104" s="7" t="str">
        <f t="shared" si="5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IFERROR(VLOOKUP(B104,input_settle_530100!L:R,7,FALSE),VLOOKUP(tables_settle_530100!C104,input_settle_530100!A:H,8,FALSE))</f>
        <v>572676.92307999998</v>
      </c>
      <c r="P104" s="46">
        <f t="shared" ca="1" si="4"/>
        <v>9.2307692307950218E-3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input_530100!A$2</f>
        <v>530100</v>
      </c>
      <c r="B105" s="5">
        <v>229</v>
      </c>
      <c r="C105" s="7" t="str">
        <f t="shared" si="5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IFERROR(VLOOKUP(B105,input_settle_530100!L:R,7,FALSE),VLOOKUP(tables_settle_530100!C105,input_settle_530100!A:H,8,FALSE))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input_530100!A$2</f>
        <v>530100</v>
      </c>
      <c r="B106" s="5">
        <v>230</v>
      </c>
      <c r="C106" s="7" t="str">
        <f t="shared" si="5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IFERROR(VLOOKUP(B106,input_settle_530100!L:R,7,FALSE),VLOOKUP(tables_settle_530100!C106,input_settle_530100!A:H,8,FALSE))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input_530100!A$2</f>
        <v>530100</v>
      </c>
      <c r="B107" s="5">
        <v>231</v>
      </c>
      <c r="C107" s="7" t="str">
        <f t="shared" si="5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IFERROR(VLOOKUP(B107,input_settle_530100!L:R,7,FALSE),VLOOKUP(tables_settle_530100!C107,input_settle_530100!A:H,8,FALSE))</f>
        <v>572676.92307999998</v>
      </c>
      <c r="P107" s="46">
        <f t="shared" ca="1" si="4"/>
        <v>9.2307692307950218E-3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input_530100!A$2</f>
        <v>530100</v>
      </c>
      <c r="B108" s="5">
        <v>232</v>
      </c>
      <c r="C108" s="7" t="str">
        <f t="shared" si="5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IFERROR(VLOOKUP(B108,input_settle_530100!L:R,7,FALSE),VLOOKUP(tables_settle_530100!C108,input_settle_530100!A:H,8,FALSE))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input_530100!A$2</f>
        <v>530100</v>
      </c>
      <c r="B109" s="5">
        <v>233</v>
      </c>
      <c r="C109" s="7" t="str">
        <f t="shared" si="5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IFERROR(VLOOKUP(B109,input_settle_530100!L:R,7,FALSE),VLOOKUP(tables_settle_530100!C109,input_settle_530100!A:H,8,FALSE))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input_530100!A$2</f>
        <v>530100</v>
      </c>
      <c r="B110" s="5">
        <v>234</v>
      </c>
      <c r="C110" s="7" t="str">
        <f t="shared" si="5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IFERROR(VLOOKUP(B110,input_settle_530100!L:R,7,FALSE),VLOOKUP(tables_settle_530100!C110,input_settle_530100!A:H,8,FALSE))</f>
        <v>572676.92307999998</v>
      </c>
      <c r="P110" s="46">
        <f t="shared" ca="1" si="4"/>
        <v>9.2307692307950218E-3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input_530100!A$2</f>
        <v>530100</v>
      </c>
      <c r="B111" s="5">
        <v>235</v>
      </c>
      <c r="C111" s="7" t="str">
        <f t="shared" si="5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IFERROR(VLOOKUP(B111,input_settle_530100!L:R,7,FALSE),VLOOKUP(tables_settle_530100!C111,input_settle_530100!A:H,8,FALSE))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input_530100!A$2</f>
        <v>530100</v>
      </c>
      <c r="B112" s="5">
        <v>236</v>
      </c>
      <c r="C112" s="7" t="str">
        <f t="shared" si="5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IFERROR(VLOOKUP(B112,input_settle_530100!L:R,7,FALSE),VLOOKUP(tables_settle_530100!C112,input_settle_530100!A:H,8,FALSE))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input_530100!A$2</f>
        <v>530100</v>
      </c>
      <c r="B113" s="5">
        <v>237</v>
      </c>
      <c r="C113" s="7" t="str">
        <f t="shared" si="5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IFERROR(VLOOKUP(B113,input_settle_530100!L:R,7,FALSE),VLOOKUP(tables_settle_530100!C113,input_settle_530100!A:H,8,FALSE))</f>
        <v>620400</v>
      </c>
      <c r="P113" s="46">
        <f t="shared" ca="1" si="4"/>
        <v>9.9999999999742118E-3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input_530100!A$2</f>
        <v>530100</v>
      </c>
      <c r="B114" s="5">
        <v>238</v>
      </c>
      <c r="C114" s="7" t="str">
        <f t="shared" si="5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IFERROR(VLOOKUP(B114,input_settle_530100!L:R,7,FALSE),VLOOKUP(tables_settle_530100!C114,input_settle_530100!A:H,8,FALSE))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input_530100!A$2</f>
        <v>530100</v>
      </c>
      <c r="B115" s="5">
        <v>239</v>
      </c>
      <c r="C115" s="7" t="str">
        <f t="shared" si="5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IFERROR(VLOOKUP(B115,input_settle_530100!L:R,7,FALSE),VLOOKUP(tables_settle_530100!C115,input_settle_530100!A:H,8,FALSE))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input_530100!A$2</f>
        <v>530100</v>
      </c>
      <c r="B116" s="5">
        <v>240</v>
      </c>
      <c r="C116" s="7" t="str">
        <f t="shared" si="5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IFERROR(VLOOKUP(B116,input_settle_530100!L:R,7,FALSE),VLOOKUP(tables_settle_530100!C116,input_settle_530100!A:H,8,FALSE))</f>
        <v>572676.92307999998</v>
      </c>
      <c r="P116" s="46">
        <f t="shared" ca="1" si="4"/>
        <v>9.2307692307950218E-3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input_530100!A$2</f>
        <v>530100</v>
      </c>
      <c r="B117" s="5">
        <v>241</v>
      </c>
      <c r="C117" s="7" t="str">
        <f t="shared" si="5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IFERROR(VLOOKUP(B117,input_settle_530100!L:R,7,FALSE),VLOOKUP(tables_settle_530100!C117,input_settle_530100!A:H,8,FALSE))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input_530100!A$2</f>
        <v>530100</v>
      </c>
      <c r="B118" s="5">
        <v>242</v>
      </c>
      <c r="C118" s="7" t="str">
        <f t="shared" si="5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IFERROR(VLOOKUP(B118,input_settle_530100!L:R,7,FALSE),VLOOKUP(tables_settle_530100!C118,input_settle_530100!A:H,8,FALSE))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input_530100!A$2</f>
        <v>530100</v>
      </c>
      <c r="B119" s="5">
        <v>243</v>
      </c>
      <c r="C119" s="7" t="str">
        <f t="shared" si="5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IFERROR(VLOOKUP(B119,input_settle_530100!L:R,7,FALSE),VLOOKUP(tables_settle_530100!C119,input_settle_530100!A:H,8,FALSE))</f>
        <v>572676.92307999998</v>
      </c>
      <c r="P119" s="46">
        <f t="shared" ca="1" si="4"/>
        <v>9.2307692307950218E-3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input_530100!A$2</f>
        <v>530100</v>
      </c>
      <c r="B120" s="5">
        <v>244</v>
      </c>
      <c r="C120" s="7" t="str">
        <f t="shared" si="5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IFERROR(VLOOKUP(B120,input_settle_530100!L:R,7,FALSE),VLOOKUP(tables_settle_530100!C120,input_settle_530100!A:H,8,FALSE))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input_530100!A$2</f>
        <v>530100</v>
      </c>
      <c r="B121" s="5">
        <v>245</v>
      </c>
      <c r="C121" s="7" t="str">
        <f t="shared" si="5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IFERROR(VLOOKUP(B121,input_settle_530100!L:R,7,FALSE),VLOOKUP(tables_settle_530100!C121,input_settle_530100!A:H,8,FALSE))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input_530100!A$2</f>
        <v>530100</v>
      </c>
      <c r="B122" s="5">
        <v>246</v>
      </c>
      <c r="C122" s="7" t="str">
        <f t="shared" si="5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IFERROR(VLOOKUP(B122,input_settle_530100!L:R,7,FALSE),VLOOKUP(tables_settle_530100!C122,input_settle_530100!A:H,8,FALSE))</f>
        <v>572676.92307999998</v>
      </c>
      <c r="P122" s="46">
        <f t="shared" ca="1" si="4"/>
        <v>9.2307692307950218E-3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input_530100!A$2</f>
        <v>530100</v>
      </c>
      <c r="B123" s="5">
        <v>247</v>
      </c>
      <c r="C123" s="7" t="str">
        <f t="shared" si="5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IFERROR(VLOOKUP(B123,input_settle_530100!L:R,7,FALSE),VLOOKUP(tables_settle_530100!C123,input_settle_530100!A:H,8,FALSE))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input_530100!A$2</f>
        <v>530100</v>
      </c>
      <c r="B124" s="5">
        <v>248</v>
      </c>
      <c r="C124" s="7" t="str">
        <f t="shared" si="5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IFERROR(VLOOKUP(B124,input_settle_530100!L:R,7,FALSE),VLOOKUP(tables_settle_530100!C124,input_settle_530100!A:H,8,FALSE))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input_530100!A$2</f>
        <v>530100</v>
      </c>
      <c r="B125" s="6">
        <v>249</v>
      </c>
      <c r="C125" s="7" t="str">
        <f t="shared" si="5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IFERROR(VLOOKUP(B125,input_settle_530100!L:R,7,FALSE),VLOOKUP(tables_settle_530100!C125,input_settle_530100!A:H,8,FALSE))</f>
        <v>572676.92307999998</v>
      </c>
      <c r="P125" s="46">
        <f t="shared" ca="1" si="4"/>
        <v>9.2307692307950218E-3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input_530100!A$2</f>
        <v>530100</v>
      </c>
      <c r="B126" s="6">
        <v>250</v>
      </c>
      <c r="C126" s="7" t="str">
        <f t="shared" si="5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IFERROR(VLOOKUP(B126,input_settle_530100!L:R,7,FALSE),VLOOKUP(tables_settle_530100!C126,input_settle_530100!A:H,8,FALSE))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input_530100!A$2</f>
        <v>530100</v>
      </c>
      <c r="B127" s="6">
        <v>251</v>
      </c>
      <c r="C127" s="7" t="str">
        <f t="shared" si="5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IFERROR(VLOOKUP(B127,input_settle_530100!L:R,7,FALSE),VLOOKUP(tables_settle_530100!C127,input_settle_530100!A:H,8,FALSE))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input_530100!A$2</f>
        <v>530100</v>
      </c>
      <c r="B128" s="6">
        <v>252</v>
      </c>
      <c r="C128" s="7" t="str">
        <f t="shared" si="5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IFERROR(VLOOKUP(B128,input_settle_530100!L:R,7,FALSE),VLOOKUP(tables_settle_530100!C128,input_settle_530100!A:H,8,FALSE))</f>
        <v>572676.92307999998</v>
      </c>
      <c r="P128" s="46">
        <f t="shared" ca="1" si="4"/>
        <v>9.2307692307950218E-3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input_530100!A$2</f>
        <v>530100</v>
      </c>
      <c r="B129" s="6">
        <v>253</v>
      </c>
      <c r="C129" s="7" t="str">
        <f t="shared" si="5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IFERROR(VLOOKUP(B129,input_settle_530100!L:R,7,FALSE),VLOOKUP(tables_settle_530100!C129,input_settle_530100!A:H,8,FALSE))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input_530100!A$2</f>
        <v>530100</v>
      </c>
      <c r="B130" s="6">
        <v>254</v>
      </c>
      <c r="C130" s="7" t="str">
        <f t="shared" si="5"/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IFERROR(VLOOKUP(B130,input_settle_530100!L:R,7,FALSE),VLOOKUP(tables_settle_530100!C130,input_settle_530100!A:H,8,FALSE))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input_530100!A$2</f>
        <v>530100</v>
      </c>
      <c r="B131" s="6">
        <v>255</v>
      </c>
      <c r="C131" s="7" t="str">
        <f t="shared" ref="C131:C194" si="8">D131&amp;J131&amp;E131&amp;F131&amp;G131</f>
        <v>Premium5</v>
      </c>
      <c r="D131" s="7" t="str">
        <f t="shared" ref="D131:D194" si="9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IFERROR(VLOOKUP(B131,input_settle_530100!L:R,7,FALSE),VLOOKUP(tables_settle_530100!C131,input_settle_530100!A:H,8,FALSE))</f>
        <v>572676.92307999998</v>
      </c>
      <c r="P131" s="46">
        <f t="shared" ca="1" si="7"/>
        <v>9.2307692307950218E-3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input_530100!A$2</f>
        <v>530100</v>
      </c>
      <c r="B132" s="6">
        <v>256</v>
      </c>
      <c r="C132" s="7" t="str">
        <f t="shared" si="8"/>
        <v>Premium3</v>
      </c>
      <c r="D132" s="7" t="str">
        <f t="shared" si="9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IFERROR(VLOOKUP(B132,input_settle_530100!L:R,7,FALSE),VLOOKUP(tables_settle_530100!C132,input_settle_530100!A:H,8,FALSE))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input_530100!A$2</f>
        <v>530100</v>
      </c>
      <c r="B133" s="6">
        <v>257</v>
      </c>
      <c r="C133" s="7" t="str">
        <f t="shared" si="8"/>
        <v>Premium4</v>
      </c>
      <c r="D133" s="7" t="str">
        <f t="shared" si="9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IFERROR(VLOOKUP(B133,input_settle_530100!L:R,7,FALSE),VLOOKUP(tables_settle_530100!C133,input_settle_530100!A:H,8,FALSE))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input_530100!A$2</f>
        <v>530100</v>
      </c>
      <c r="B134" s="6">
        <v>258</v>
      </c>
      <c r="C134" s="7" t="str">
        <f t="shared" si="8"/>
        <v>Premium5</v>
      </c>
      <c r="D134" s="7" t="str">
        <f t="shared" si="9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IFERROR(VLOOKUP(B134,input_settle_530100!L:R,7,FALSE),VLOOKUP(tables_settle_530100!C134,input_settle_530100!A:H,8,FALSE))</f>
        <v>572676.92307999998</v>
      </c>
      <c r="P134" s="46">
        <f t="shared" ca="1" si="7"/>
        <v>9.2307692307950218E-3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input_530100!A$2</f>
        <v>530100</v>
      </c>
      <c r="B135" s="6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IFERROR(VLOOKUP(B135,input_settle_530100!L:R,7,FALSE),VLOOKUP(tables_settle_530100!C135,input_settle_530100!A:H,8,FALSE))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input_530100!A$2</f>
        <v>530100</v>
      </c>
      <c r="B136" s="8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IFERROR(VLOOKUP(B136,input_settle_530100!L:R,7,FALSE),VLOOKUP(tables_settle_530100!C136,input_settle_530100!A:H,8,FALSE))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input_530100!A$2</f>
        <v>530100</v>
      </c>
      <c r="B137" s="8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IFERROR(VLOOKUP(B137,input_settle_530100!L:R,7,FALSE),VLOOKUP(tables_settle_530100!C137,input_settle_530100!A:H,8,FALSE))</f>
        <v>572676.92307999998</v>
      </c>
      <c r="P137" s="46">
        <f t="shared" ca="1" si="7"/>
        <v>9.2307692307950218E-3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input_530100!A$2</f>
        <v>530100</v>
      </c>
      <c r="B138" s="6">
        <v>320</v>
      </c>
      <c r="C138" s="7" t="str">
        <f t="shared" si="8"/>
        <v>PremiumSS4</v>
      </c>
      <c r="D138" s="7" t="str">
        <f t="shared" si="9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IFERROR(VLOOKUP(B138,input_settle_530100!L:R,7,FALSE),VLOOKUP(tables_settle_530100!C138,input_settle_530100!A:H,8,FALSE))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input_530100!A$2</f>
        <v>530100</v>
      </c>
      <c r="B139" s="6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IFERROR(VLOOKUP(B139,input_settle_530100!L:R,7,FALSE),VLOOKUP(tables_settle_530100!C139,input_settle_530100!A:H,8,FALSE))</f>
        <v>82720</v>
      </c>
      <c r="P139" s="46">
        <f t="shared" ca="1" si="7"/>
        <v>1.3333333333298949E-3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input_530100!A$2</f>
        <v>530100</v>
      </c>
      <c r="B140" s="6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IFERROR(VLOOKUP(B140,input_settle_530100!L:R,7,FALSE),VLOOKUP(tables_settle_530100!C140,input_settle_530100!A:H,8,FALSE))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input_530100!A$2</f>
        <v>530100</v>
      </c>
      <c r="B141" s="6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IFERROR(VLOOKUP(B141,input_settle_530100!L:R,7,FALSE),VLOOKUP(tables_settle_530100!C141,input_settle_530100!A:H,8,FALSE))</f>
        <v>82720</v>
      </c>
      <c r="P141" s="46">
        <f t="shared" ca="1" si="7"/>
        <v>1.3333333333298949E-3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input_530100!A$2</f>
        <v>530100</v>
      </c>
      <c r="B142" s="6">
        <v>324</v>
      </c>
      <c r="C142" s="7" t="str">
        <f t="shared" si="8"/>
        <v>PremiumSS4</v>
      </c>
      <c r="D142" s="7" t="str">
        <f t="shared" si="9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IFERROR(VLOOKUP(B142,input_settle_530100!L:R,7,FALSE),VLOOKUP(tables_settle_530100!C142,input_settle_530100!A:H,8,FALSE))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input_530100!A$2</f>
        <v>530100</v>
      </c>
      <c r="B143" s="6">
        <v>325</v>
      </c>
      <c r="C143" s="7" t="str">
        <f t="shared" si="8"/>
        <v>PremiumSS5</v>
      </c>
      <c r="D143" s="7" t="str">
        <f t="shared" si="9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IFERROR(VLOOKUP(B143,input_settle_530100!L:R,7,FALSE),VLOOKUP(tables_settle_530100!C143,input_settle_530100!A:H,8,FALSE))</f>
        <v>82720</v>
      </c>
      <c r="P143" s="46">
        <f t="shared" ca="1" si="7"/>
        <v>1.3333333333298949E-3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input_530100!A$2</f>
        <v>530100</v>
      </c>
      <c r="B144" s="6">
        <v>326</v>
      </c>
      <c r="C144" s="7" t="str">
        <f t="shared" si="8"/>
        <v>PremiumSS4</v>
      </c>
      <c r="D144" s="7" t="str">
        <f t="shared" si="9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IFERROR(VLOOKUP(B144,input_settle_530100!L:R,7,FALSE),VLOOKUP(tables_settle_530100!C144,input_settle_530100!A:H,8,FALSE))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input_530100!A$2</f>
        <v>530100</v>
      </c>
      <c r="B145" s="6">
        <v>327</v>
      </c>
      <c r="C145" s="7" t="str">
        <f t="shared" si="8"/>
        <v>PremiumSS5</v>
      </c>
      <c r="D145" s="7" t="str">
        <f t="shared" si="9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IFERROR(VLOOKUP(B145,input_settle_530100!L:R,7,FALSE),VLOOKUP(tables_settle_530100!C145,input_settle_530100!A:H,8,FALSE))</f>
        <v>82720</v>
      </c>
      <c r="P145" s="46">
        <f t="shared" ca="1" si="7"/>
        <v>1.3333333333298949E-3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input_530100!A$2</f>
        <v>530100</v>
      </c>
      <c r="B146" s="6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IFERROR(VLOOKUP(B146,input_settle_530100!L:R,7,FALSE),VLOOKUP(tables_settle_530100!C146,input_settle_530100!A:H,8,FALSE))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input_530100!A$2</f>
        <v>530100</v>
      </c>
      <c r="B147" s="6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IFERROR(VLOOKUP(B147,input_settle_530100!L:R,7,FALSE),VLOOKUP(tables_settle_530100!C147,input_settle_530100!A:H,8,FALSE))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input_530100!A$2</f>
        <v>530100</v>
      </c>
      <c r="B148" s="6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IFERROR(VLOOKUP(B148,input_settle_530100!L:R,7,FALSE),VLOOKUP(tables_settle_530100!C148,input_settle_530100!A:H,8,FALSE))</f>
        <v>572676.92307999998</v>
      </c>
      <c r="P148" s="46">
        <f t="shared" ca="1" si="7"/>
        <v>9.2307692307950218E-3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input_530100!A$2</f>
        <v>530100</v>
      </c>
      <c r="B149" s="6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IFERROR(VLOOKUP(B149,input_settle_530100!L:R,7,FALSE),VLOOKUP(tables_settle_530100!C149,input_settle_530100!A:H,8,FALSE))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input_530100!A$2</f>
        <v>530100</v>
      </c>
      <c r="B150" s="6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IFERROR(VLOOKUP(B150,input_settle_530100!L:R,7,FALSE),VLOOKUP(tables_settle_530100!C150,input_settle_530100!A:H,8,FALSE))</f>
        <v>82720</v>
      </c>
      <c r="P150" s="46">
        <f t="shared" ca="1" si="7"/>
        <v>1.3333333333298949E-3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input_530100!A$2</f>
        <v>530100</v>
      </c>
      <c r="B151" s="6">
        <v>385</v>
      </c>
      <c r="C151" s="7" t="str">
        <f t="shared" si="8"/>
        <v>PremiumSS4</v>
      </c>
      <c r="D151" s="7" t="str">
        <f t="shared" si="9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IFERROR(VLOOKUP(B151,input_settle_530100!L:R,7,FALSE),VLOOKUP(tables_settle_530100!C151,input_settle_530100!A:H,8,FALSE))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input_530100!A$2</f>
        <v>530100</v>
      </c>
      <c r="B152" s="6">
        <v>386</v>
      </c>
      <c r="C152" s="7" t="str">
        <f t="shared" si="8"/>
        <v>PremiumSS5</v>
      </c>
      <c r="D152" s="7" t="str">
        <f t="shared" si="9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IFERROR(VLOOKUP(B152,input_settle_530100!L:R,7,FALSE),VLOOKUP(tables_settle_530100!C152,input_settle_530100!A:H,8,FALSE))</f>
        <v>82720</v>
      </c>
      <c r="P152" s="46">
        <f t="shared" ca="1" si="7"/>
        <v>1.3333333333298949E-3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input_530100!A$2</f>
        <v>530100</v>
      </c>
      <c r="B153" s="6">
        <v>387</v>
      </c>
      <c r="C153" s="7" t="str">
        <f t="shared" si="8"/>
        <v>Premium3</v>
      </c>
      <c r="D153" s="7" t="str">
        <f t="shared" si="9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IFERROR(VLOOKUP(B153,input_settle_530100!L:R,7,FALSE),VLOOKUP(tables_settle_530100!C153,input_settle_530100!A:H,8,FALSE))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input_530100!A$2</f>
        <v>530100</v>
      </c>
      <c r="B154" s="6">
        <v>388</v>
      </c>
      <c r="C154" s="7" t="str">
        <f t="shared" si="8"/>
        <v>Premium4</v>
      </c>
      <c r="D154" s="7" t="str">
        <f t="shared" si="9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IFERROR(VLOOKUP(B154,input_settle_530100!L:R,7,FALSE),VLOOKUP(tables_settle_530100!C154,input_settle_530100!A:H,8,FALSE))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input_530100!A$2</f>
        <v>530100</v>
      </c>
      <c r="B155" s="6">
        <v>389</v>
      </c>
      <c r="C155" s="7" t="str">
        <f t="shared" si="8"/>
        <v>Premium5</v>
      </c>
      <c r="D155" s="7" t="str">
        <f t="shared" si="9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IFERROR(VLOOKUP(B155,input_settle_530100!L:R,7,FALSE),VLOOKUP(tables_settle_530100!C155,input_settle_530100!A:H,8,FALSE))</f>
        <v>572676.92307999998</v>
      </c>
      <c r="P155" s="46">
        <f t="shared" ca="1" si="7"/>
        <v>9.2307692307950218E-3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input_530100!A$2</f>
        <v>530100</v>
      </c>
      <c r="B156" s="6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IFERROR(VLOOKUP(B156,input_settle_530100!L:R,7,FALSE),VLOOKUP(tables_settle_530100!C156,input_settle_530100!A:H,8,FALSE))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input_530100!A$2</f>
        <v>530100</v>
      </c>
      <c r="B157" s="6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IFERROR(VLOOKUP(B157,input_settle_530100!L:R,7,FALSE),VLOOKUP(tables_settle_530100!C157,input_settle_530100!A:H,8,FALSE))</f>
        <v>82720</v>
      </c>
      <c r="P157" s="46">
        <f t="shared" ca="1" si="7"/>
        <v>1.3333333333298949E-3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input_530100!A$2</f>
        <v>530100</v>
      </c>
      <c r="B158" s="6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IFERROR(VLOOKUP(B158,input_settle_530100!L:R,7,FALSE),VLOOKUP(tables_settle_530100!C158,input_settle_530100!A:H,8,FALSE))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input_530100!A$2</f>
        <v>530100</v>
      </c>
      <c r="B159" s="6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IFERROR(VLOOKUP(B159,input_settle_530100!L:R,7,FALSE),VLOOKUP(tables_settle_530100!C159,input_settle_530100!A:H,8,FALSE))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input_530100!A$2</f>
        <v>530100</v>
      </c>
      <c r="B160" s="6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IFERROR(VLOOKUP(B160,input_settle_530100!L:R,7,FALSE),VLOOKUP(tables_settle_530100!C160,input_settle_530100!A:H,8,FALSE))</f>
        <v>572676.92307999998</v>
      </c>
      <c r="P160" s="46">
        <f t="shared" ca="1" si="7"/>
        <v>9.2307692307950218E-3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input_530100!A$2</f>
        <v>530100</v>
      </c>
      <c r="B161" s="6">
        <v>395</v>
      </c>
      <c r="C161" s="7" t="str">
        <f t="shared" si="8"/>
        <v>Premium3</v>
      </c>
      <c r="D161" s="7" t="str">
        <f t="shared" si="9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IFERROR(VLOOKUP(B161,input_settle_530100!L:R,7,FALSE),VLOOKUP(tables_settle_530100!C161,input_settle_530100!A:H,8,FALSE))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input_530100!A$2</f>
        <v>530100</v>
      </c>
      <c r="B162" s="6">
        <v>396</v>
      </c>
      <c r="C162" s="7" t="str">
        <f t="shared" si="8"/>
        <v>Premium4</v>
      </c>
      <c r="D162" s="7" t="str">
        <f t="shared" si="9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IFERROR(VLOOKUP(B162,input_settle_530100!L:R,7,FALSE),VLOOKUP(tables_settle_530100!C162,input_settle_530100!A:H,8,FALSE))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input_530100!A$2</f>
        <v>530100</v>
      </c>
      <c r="B163" s="6">
        <v>397</v>
      </c>
      <c r="C163" s="7" t="str">
        <f t="shared" si="8"/>
        <v>Premium5</v>
      </c>
      <c r="D163" s="7" t="str">
        <f t="shared" si="9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IFERROR(VLOOKUP(B163,input_settle_530100!L:R,7,FALSE),VLOOKUP(tables_settle_530100!C163,input_settle_530100!A:H,8,FALSE))</f>
        <v>572676.92307999998</v>
      </c>
      <c r="P163" s="46">
        <f t="shared" ca="1" si="7"/>
        <v>9.2307692307950218E-3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input_530100!A$2</f>
        <v>530100</v>
      </c>
      <c r="B164" s="6">
        <v>398</v>
      </c>
      <c r="C164" s="7" t="str">
        <f t="shared" si="8"/>
        <v>PremiumSS4</v>
      </c>
      <c r="D164" s="7" t="str">
        <f t="shared" si="9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IFERROR(VLOOKUP(B164,input_settle_530100!L:R,7,FALSE),VLOOKUP(tables_settle_530100!C164,input_settle_530100!A:H,8,FALSE))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input_530100!A$2</f>
        <v>530100</v>
      </c>
      <c r="B165" s="6">
        <v>399</v>
      </c>
      <c r="C165" s="7" t="str">
        <f t="shared" si="8"/>
        <v>PremiumSS5</v>
      </c>
      <c r="D165" s="7" t="str">
        <f t="shared" si="9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IFERROR(VLOOKUP(B165,input_settle_530100!L:R,7,FALSE),VLOOKUP(tables_settle_530100!C165,input_settle_530100!A:H,8,FALSE))</f>
        <v>82720</v>
      </c>
      <c r="P165" s="46">
        <f t="shared" ca="1" si="7"/>
        <v>1.3333333333298949E-3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input_530100!A$2</f>
        <v>530100</v>
      </c>
      <c r="B166" s="6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IFERROR(VLOOKUP(B166,input_settle_530100!L:R,7,FALSE),VLOOKUP(tables_settle_530100!C166,input_settle_530100!A:H,8,FALSE))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input_530100!A$2</f>
        <v>530100</v>
      </c>
      <c r="B167" s="6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IFERROR(VLOOKUP(B167,input_settle_530100!L:R,7,FALSE),VLOOKUP(tables_settle_530100!C167,input_settle_530100!A:H,8,FALSE))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input_530100!A$2</f>
        <v>530100</v>
      </c>
      <c r="B168" s="6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IFERROR(VLOOKUP(B168,input_settle_530100!L:R,7,FALSE),VLOOKUP(tables_settle_530100!C168,input_settle_530100!A:H,8,FALSE))</f>
        <v>572676.92307999998</v>
      </c>
      <c r="P168" s="46">
        <f t="shared" ca="1" si="7"/>
        <v>9.2307692307950218E-3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input_530100!A$2</f>
        <v>530100</v>
      </c>
      <c r="B169" s="6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IFERROR(VLOOKUP(B169,input_settle_530100!L:R,7,FALSE),VLOOKUP(tables_settle_530100!C169,input_settle_530100!A:H,8,FALSE))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input_530100!A$2</f>
        <v>530100</v>
      </c>
      <c r="B170" s="6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IFERROR(VLOOKUP(B170,input_settle_530100!L:R,7,FALSE),VLOOKUP(tables_settle_530100!C170,input_settle_530100!A:H,8,FALSE))</f>
        <v>82720</v>
      </c>
      <c r="P170" s="46">
        <f t="shared" ca="1" si="7"/>
        <v>1.3333333333298949E-3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input_530100!A$2</f>
        <v>530100</v>
      </c>
      <c r="B171" s="6">
        <v>405</v>
      </c>
      <c r="C171" s="7" t="str">
        <f t="shared" si="8"/>
        <v>Premium3</v>
      </c>
      <c r="D171" s="7" t="str">
        <f t="shared" si="9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IFERROR(VLOOKUP(B171,input_settle_530100!L:R,7,FALSE),VLOOKUP(tables_settle_530100!C171,input_settle_530100!A:H,8,FALSE))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input_530100!A$2</f>
        <v>530100</v>
      </c>
      <c r="B172" s="6">
        <v>406</v>
      </c>
      <c r="C172" s="7" t="str">
        <f t="shared" si="8"/>
        <v>Premium4</v>
      </c>
      <c r="D172" s="7" t="str">
        <f t="shared" si="9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IFERROR(VLOOKUP(B172,input_settle_530100!L:R,7,FALSE),VLOOKUP(tables_settle_530100!C172,input_settle_530100!A:H,8,FALSE))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input_530100!A$2</f>
        <v>530100</v>
      </c>
      <c r="B173" s="6">
        <v>407</v>
      </c>
      <c r="C173" s="7" t="str">
        <f t="shared" si="8"/>
        <v>Premium5</v>
      </c>
      <c r="D173" s="7" t="str">
        <f t="shared" si="9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IFERROR(VLOOKUP(B173,input_settle_530100!L:R,7,FALSE),VLOOKUP(tables_settle_530100!C173,input_settle_530100!A:H,8,FALSE))</f>
        <v>572676.92307999998</v>
      </c>
      <c r="P173" s="46">
        <f t="shared" ca="1" si="7"/>
        <v>9.2307692307950218E-3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input_530100!A$2</f>
        <v>530100</v>
      </c>
      <c r="B174" s="6">
        <v>408</v>
      </c>
      <c r="C174" s="7" t="str">
        <f t="shared" si="8"/>
        <v>PremiumSS4</v>
      </c>
      <c r="D174" s="7" t="str">
        <f t="shared" si="9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IFERROR(VLOOKUP(B174,input_settle_530100!L:R,7,FALSE),VLOOKUP(tables_settle_530100!C174,input_settle_530100!A:H,8,FALSE))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input_530100!A$2</f>
        <v>530100</v>
      </c>
      <c r="B175" s="6">
        <v>409</v>
      </c>
      <c r="C175" s="7" t="str">
        <f t="shared" si="8"/>
        <v>PremiumSS5</v>
      </c>
      <c r="D175" s="7" t="str">
        <f t="shared" si="9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IFERROR(VLOOKUP(B175,input_settle_530100!L:R,7,FALSE),VLOOKUP(tables_settle_530100!C175,input_settle_530100!A:H,8,FALSE))</f>
        <v>82720</v>
      </c>
      <c r="P175" s="46">
        <f t="shared" ca="1" si="7"/>
        <v>1.3333333333298949E-3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input_530100!A$2</f>
        <v>530100</v>
      </c>
      <c r="B176" s="6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IFERROR(VLOOKUP(B176,input_settle_530100!L:R,7,FALSE),VLOOKUP(tables_settle_530100!C176,input_settle_530100!A:H,8,FALSE))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input_530100!A$2</f>
        <v>530100</v>
      </c>
      <c r="B177" s="6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IFERROR(VLOOKUP(B177,input_settle_530100!L:R,7,FALSE),VLOOKUP(tables_settle_530100!C177,input_settle_530100!A:H,8,FALSE))</f>
        <v>82720</v>
      </c>
      <c r="P177" s="46">
        <f t="shared" ca="1" si="7"/>
        <v>1.3333333333298949E-3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input_530100!A$2</f>
        <v>530100</v>
      </c>
      <c r="B178" s="6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IFERROR(VLOOKUP(B178,input_settle_530100!L:R,7,FALSE),VLOOKUP(tables_settle_530100!C178,input_settle_530100!A:H,8,FALSE))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input_530100!A$2</f>
        <v>530100</v>
      </c>
      <c r="B179" s="6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IFERROR(VLOOKUP(B179,input_settle_530100!L:R,7,FALSE),VLOOKUP(tables_settle_530100!C179,input_settle_530100!A:H,8,FALSE))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input_530100!A$2</f>
        <v>530100</v>
      </c>
      <c r="B180" s="6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IFERROR(VLOOKUP(B180,input_settle_530100!L:R,7,FALSE),VLOOKUP(tables_settle_530100!C180,input_settle_530100!A:H,8,FALSE))</f>
        <v>572676.92307999998</v>
      </c>
      <c r="P180" s="46">
        <f t="shared" ca="1" si="7"/>
        <v>9.2307692307950218E-3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input_530100!A$2</f>
        <v>530100</v>
      </c>
      <c r="B181" s="6">
        <v>439</v>
      </c>
      <c r="C181" s="7" t="str">
        <f t="shared" si="8"/>
        <v>Premium3</v>
      </c>
      <c r="D181" s="7" t="str">
        <f t="shared" si="9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IFERROR(VLOOKUP(B181,input_settle_530100!L:R,7,FALSE),VLOOKUP(tables_settle_530100!C181,input_settle_530100!A:H,8,FALSE))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input_530100!A$2</f>
        <v>530100</v>
      </c>
      <c r="B182" s="6">
        <v>440</v>
      </c>
      <c r="C182" s="7" t="str">
        <f t="shared" si="8"/>
        <v>Premium4</v>
      </c>
      <c r="D182" s="7" t="str">
        <f t="shared" si="9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IFERROR(VLOOKUP(B182,input_settle_530100!L:R,7,FALSE),VLOOKUP(tables_settle_530100!C182,input_settle_530100!A:H,8,FALSE))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input_530100!A$2</f>
        <v>530100</v>
      </c>
      <c r="B183" s="6">
        <v>441</v>
      </c>
      <c r="C183" s="7" t="str">
        <f t="shared" si="8"/>
        <v>Premium5</v>
      </c>
      <c r="D183" s="7" t="str">
        <f t="shared" si="9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IFERROR(VLOOKUP(B183,input_settle_530100!L:R,7,FALSE),VLOOKUP(tables_settle_530100!C183,input_settle_530100!A:H,8,FALSE))</f>
        <v>572676.92307999998</v>
      </c>
      <c r="P183" s="46">
        <f t="shared" ca="1" si="7"/>
        <v>9.2307692307950218E-3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input_530100!A$2</f>
        <v>530100</v>
      </c>
      <c r="B184" s="6">
        <v>442</v>
      </c>
      <c r="C184" s="7" t="str">
        <f t="shared" si="8"/>
        <v>PremiumSS4</v>
      </c>
      <c r="D184" s="7" t="str">
        <f t="shared" si="9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IFERROR(VLOOKUP(B184,input_settle_530100!L:R,7,FALSE),VLOOKUP(tables_settle_530100!C184,input_settle_530100!A:H,8,FALSE))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input_530100!A$2</f>
        <v>530100</v>
      </c>
      <c r="B185" s="6">
        <v>443</v>
      </c>
      <c r="C185" s="7" t="str">
        <f t="shared" si="8"/>
        <v>PremiumSS5</v>
      </c>
      <c r="D185" s="7" t="str">
        <f t="shared" si="9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IFERROR(VLOOKUP(B185,input_settle_530100!L:R,7,FALSE),VLOOKUP(tables_settle_530100!C185,input_settle_530100!A:H,8,FALSE))</f>
        <v>82720</v>
      </c>
      <c r="P185" s="46">
        <f t="shared" ca="1" si="7"/>
        <v>1.3333333333298949E-3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input_530100!A$2</f>
        <v>530100</v>
      </c>
      <c r="B186" s="8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IFERROR(VLOOKUP(B186,input_settle_530100!L:R,7,FALSE),VLOOKUP(tables_settle_530100!C186,input_settle_530100!A:H,8,FALSE))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input_530100!A$2</f>
        <v>530100</v>
      </c>
      <c r="B187" s="8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IFERROR(VLOOKUP(B187,input_settle_530100!L:R,7,FALSE),VLOOKUP(tables_settle_530100!C187,input_settle_530100!A:H,8,FALSE))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input_530100!A$2</f>
        <v>530100</v>
      </c>
      <c r="B188" s="8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IFERROR(VLOOKUP(B188,input_settle_530100!L:R,7,FALSE),VLOOKUP(tables_settle_530100!C188,input_settle_530100!A:H,8,FALSE))</f>
        <v>572676.92307999998</v>
      </c>
      <c r="P188" s="46">
        <f t="shared" ca="1" si="7"/>
        <v>9.2307692307950218E-3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input_530100!A$2</f>
        <v>530100</v>
      </c>
      <c r="B189" s="8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IFERROR(VLOOKUP(B189,input_settle_530100!L:R,7,FALSE),VLOOKUP(tables_settle_530100!C189,input_settle_530100!A:H,8,FALSE))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input_530100!A$2</f>
        <v>530100</v>
      </c>
      <c r="B190" s="6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IFERROR(VLOOKUP(B190,input_settle_530100!L:R,7,FALSE),VLOOKUP(tables_settle_530100!C190,input_settle_530100!A:H,8,FALSE))</f>
        <v>82720</v>
      </c>
      <c r="P190" s="46">
        <f t="shared" ca="1" si="7"/>
        <v>1.3333333333298949E-3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input_530100!A$2</f>
        <v>530100</v>
      </c>
      <c r="B191" s="6">
        <v>467</v>
      </c>
      <c r="C191" s="7" t="str">
        <f t="shared" si="8"/>
        <v>PremiumSS4</v>
      </c>
      <c r="D191" s="7" t="str">
        <f t="shared" si="9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IFERROR(VLOOKUP(B191,input_settle_530100!L:R,7,FALSE),VLOOKUP(tables_settle_530100!C191,input_settle_530100!A:H,8,FALSE))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input_530100!A$2</f>
        <v>530100</v>
      </c>
      <c r="B192" s="6">
        <v>468</v>
      </c>
      <c r="C192" s="7" t="str">
        <f t="shared" si="8"/>
        <v>PremiumSS5</v>
      </c>
      <c r="D192" s="7" t="str">
        <f t="shared" si="9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IFERROR(VLOOKUP(B192,input_settle_530100!L:R,7,FALSE),VLOOKUP(tables_settle_530100!C192,input_settle_530100!A:H,8,FALSE))</f>
        <v>82720</v>
      </c>
      <c r="P192" s="46">
        <f t="shared" ca="1" si="7"/>
        <v>1.3333333333298949E-3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input_530100!A$2</f>
        <v>530100</v>
      </c>
      <c r="B193" s="6">
        <v>469</v>
      </c>
      <c r="C193" s="7" t="str">
        <f t="shared" si="8"/>
        <v>Premium3</v>
      </c>
      <c r="D193" s="7" t="str">
        <f t="shared" si="9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IFERROR(VLOOKUP(B193,input_settle_530100!L:R,7,FALSE),VLOOKUP(tables_settle_530100!C193,input_settle_530100!A:H,8,FALSE))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input_530100!A$2</f>
        <v>530100</v>
      </c>
      <c r="B194" s="6">
        <v>470</v>
      </c>
      <c r="C194" s="7" t="str">
        <f t="shared" si="8"/>
        <v>Premium4</v>
      </c>
      <c r="D194" s="7" t="str">
        <f t="shared" si="9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IFERROR(VLOOKUP(B194,input_settle_530100!L:R,7,FALSE),VLOOKUP(tables_settle_530100!C194,input_settle_530100!A:H,8,FALSE))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input_530100!A$2</f>
        <v>530100</v>
      </c>
      <c r="B195" s="6">
        <v>471</v>
      </c>
      <c r="C195" s="7" t="str">
        <f t="shared" ref="C195:C258" si="11">D195&amp;J195&amp;E195&amp;F195&amp;G195</f>
        <v>Premium5</v>
      </c>
      <c r="D195" s="7" t="str">
        <f t="shared" ref="D195:D258" si="12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IFERROR(VLOOKUP(B195,input_settle_530100!L:R,7,FALSE),VLOOKUP(tables_settle_530100!C195,input_settle_530100!A:H,8,FALSE))</f>
        <v>572676.92307999998</v>
      </c>
      <c r="P195" s="46">
        <f t="shared" ca="1" si="10"/>
        <v>9.2307692307950218E-3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input_530100!A$2</f>
        <v>530100</v>
      </c>
      <c r="B196" s="6">
        <v>474</v>
      </c>
      <c r="C196" s="7" t="str">
        <f t="shared" si="11"/>
        <v>PremiumSS4</v>
      </c>
      <c r="D196" s="7" t="str">
        <f t="shared" si="12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IFERROR(VLOOKUP(B196,input_settle_530100!L:R,7,FALSE),VLOOKUP(tables_settle_530100!C196,input_settle_530100!A:H,8,FALSE))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input_530100!A$2</f>
        <v>530100</v>
      </c>
      <c r="B197" s="6">
        <v>475</v>
      </c>
      <c r="C197" s="7" t="str">
        <f t="shared" si="11"/>
        <v>PremiumSS5</v>
      </c>
      <c r="D197" s="7" t="str">
        <f t="shared" si="12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IFERROR(VLOOKUP(B197,input_settle_530100!L:R,7,FALSE),VLOOKUP(tables_settle_530100!C197,input_settle_530100!A:H,8,FALSE))</f>
        <v>82720</v>
      </c>
      <c r="P197" s="46">
        <f t="shared" ca="1" si="10"/>
        <v>1.3333333333298949E-3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input_530100!A$2</f>
        <v>530100</v>
      </c>
      <c r="B198" s="6">
        <v>476</v>
      </c>
      <c r="C198" s="7" t="str">
        <f t="shared" si="11"/>
        <v>Premium3</v>
      </c>
      <c r="D198" s="7" t="str">
        <f t="shared" si="12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IFERROR(VLOOKUP(B198,input_settle_530100!L:R,7,FALSE),VLOOKUP(tables_settle_530100!C198,input_settle_530100!A:H,8,FALSE))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input_530100!A$2</f>
        <v>530100</v>
      </c>
      <c r="B199" s="6">
        <v>477</v>
      </c>
      <c r="C199" s="7" t="str">
        <f t="shared" si="11"/>
        <v>Premium4</v>
      </c>
      <c r="D199" s="7" t="str">
        <f t="shared" si="12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IFERROR(VLOOKUP(B199,input_settle_530100!L:R,7,FALSE),VLOOKUP(tables_settle_530100!C199,input_settle_530100!A:H,8,FALSE))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input_530100!A$2</f>
        <v>530100</v>
      </c>
      <c r="B200" s="6">
        <v>478</v>
      </c>
      <c r="C200" s="7" t="str">
        <f t="shared" si="11"/>
        <v>Premium5</v>
      </c>
      <c r="D200" s="7" t="str">
        <f t="shared" si="12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IFERROR(VLOOKUP(B200,input_settle_530100!L:R,7,FALSE),VLOOKUP(tables_settle_530100!C200,input_settle_530100!A:H,8,FALSE))</f>
        <v>572676.92307999998</v>
      </c>
      <c r="P200" s="46">
        <f t="shared" ca="1" si="10"/>
        <v>9.2307692307950218E-3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input_530100!A$2</f>
        <v>530100</v>
      </c>
      <c r="B201" s="6">
        <v>479</v>
      </c>
      <c r="C201" s="7" t="str">
        <f t="shared" si="11"/>
        <v>PremiumSS4</v>
      </c>
      <c r="D201" s="7" t="str">
        <f t="shared" si="12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IFERROR(VLOOKUP(B201,input_settle_530100!L:R,7,FALSE),VLOOKUP(tables_settle_530100!C201,input_settle_530100!A:H,8,FALSE))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input_530100!A$2</f>
        <v>530100</v>
      </c>
      <c r="B202" s="6">
        <v>480</v>
      </c>
      <c r="C202" s="7" t="str">
        <f t="shared" si="11"/>
        <v>PremiumSS5</v>
      </c>
      <c r="D202" s="7" t="str">
        <f t="shared" si="12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IFERROR(VLOOKUP(B202,input_settle_530100!L:R,7,FALSE),VLOOKUP(tables_settle_530100!C202,input_settle_530100!A:H,8,FALSE))</f>
        <v>82720</v>
      </c>
      <c r="P202" s="46">
        <f t="shared" ca="1" si="10"/>
        <v>1.3333333333298949E-3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input_530100!A$2</f>
        <v>530100</v>
      </c>
      <c r="B203" s="6">
        <v>481</v>
      </c>
      <c r="C203" s="7" t="str">
        <f t="shared" si="11"/>
        <v>Premium3</v>
      </c>
      <c r="D203" s="7" t="str">
        <f t="shared" si="12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IFERROR(VLOOKUP(B203,input_settle_530100!L:R,7,FALSE),VLOOKUP(tables_settle_530100!C203,input_settle_530100!A:H,8,FALSE))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input_530100!A$2</f>
        <v>530100</v>
      </c>
      <c r="B204" s="6">
        <v>482</v>
      </c>
      <c r="C204" s="7" t="str">
        <f t="shared" si="11"/>
        <v>Premium4</v>
      </c>
      <c r="D204" s="7" t="str">
        <f t="shared" si="12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IFERROR(VLOOKUP(B204,input_settle_530100!L:R,7,FALSE),VLOOKUP(tables_settle_530100!C204,input_settle_530100!A:H,8,FALSE))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input_530100!A$2</f>
        <v>530100</v>
      </c>
      <c r="B205" s="6">
        <v>483</v>
      </c>
      <c r="C205" s="7" t="str">
        <f t="shared" si="11"/>
        <v>Premium5</v>
      </c>
      <c r="D205" s="7" t="str">
        <f t="shared" si="12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IFERROR(VLOOKUP(B205,input_settle_530100!L:R,7,FALSE),VLOOKUP(tables_settle_530100!C205,input_settle_530100!A:H,8,FALSE))</f>
        <v>572676.92307999998</v>
      </c>
      <c r="P205" s="46">
        <f t="shared" ca="1" si="10"/>
        <v>9.2307692307950218E-3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input_530100!A$2</f>
        <v>530100</v>
      </c>
      <c r="B206" s="6">
        <v>492</v>
      </c>
      <c r="C206" s="7" t="str">
        <f t="shared" si="11"/>
        <v>PremiumSS4</v>
      </c>
      <c r="D206" s="7" t="str">
        <f t="shared" si="12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IFERROR(VLOOKUP(B206,input_settle_530100!L:R,7,FALSE),VLOOKUP(tables_settle_530100!C206,input_settle_530100!A:H,8,FALSE))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input_530100!A$2</f>
        <v>530100</v>
      </c>
      <c r="B207" s="6">
        <v>493</v>
      </c>
      <c r="C207" s="7" t="str">
        <f t="shared" si="11"/>
        <v>PremiumSS5</v>
      </c>
      <c r="D207" s="7" t="str">
        <f t="shared" si="12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IFERROR(VLOOKUP(B207,input_settle_530100!L:R,7,FALSE),VLOOKUP(tables_settle_530100!C207,input_settle_530100!A:H,8,FALSE))</f>
        <v>82720</v>
      </c>
      <c r="P207" s="46">
        <f t="shared" ca="1" si="10"/>
        <v>1.3333333333298949E-3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input_530100!A$2</f>
        <v>530100</v>
      </c>
      <c r="B208" s="6">
        <v>494</v>
      </c>
      <c r="C208" s="7" t="str">
        <f t="shared" si="11"/>
        <v>PremiumSS4</v>
      </c>
      <c r="D208" s="7" t="str">
        <f t="shared" si="12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IFERROR(VLOOKUP(B208,input_settle_530100!L:R,7,FALSE),VLOOKUP(tables_settle_530100!C208,input_settle_530100!A:H,8,FALSE))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input_530100!A$2</f>
        <v>530100</v>
      </c>
      <c r="B209" s="6">
        <v>495</v>
      </c>
      <c r="C209" s="7" t="str">
        <f t="shared" si="11"/>
        <v>PremiumSS5</v>
      </c>
      <c r="D209" s="7" t="str">
        <f t="shared" si="12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IFERROR(VLOOKUP(B209,input_settle_530100!L:R,7,FALSE),VLOOKUP(tables_settle_530100!C209,input_settle_530100!A:H,8,FALSE))</f>
        <v>82720</v>
      </c>
      <c r="P209" s="46">
        <f t="shared" ca="1" si="10"/>
        <v>1.3333333333298949E-3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input_530100!A$2</f>
        <v>530100</v>
      </c>
      <c r="B210" s="6">
        <v>496</v>
      </c>
      <c r="C210" s="7" t="str">
        <f t="shared" si="11"/>
        <v>Premium3</v>
      </c>
      <c r="D210" s="7" t="str">
        <f t="shared" si="12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IFERROR(VLOOKUP(B210,input_settle_530100!L:R,7,FALSE),VLOOKUP(tables_settle_530100!C210,input_settle_530100!A:H,8,FALSE))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input_530100!A$2</f>
        <v>530100</v>
      </c>
      <c r="B211" s="6">
        <v>497</v>
      </c>
      <c r="C211" s="7" t="str">
        <f t="shared" si="11"/>
        <v>Premium4</v>
      </c>
      <c r="D211" s="7" t="str">
        <f t="shared" si="12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IFERROR(VLOOKUP(B211,input_settle_530100!L:R,7,FALSE),VLOOKUP(tables_settle_530100!C211,input_settle_530100!A:H,8,FALSE))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input_530100!A$2</f>
        <v>530100</v>
      </c>
      <c r="B212" s="6">
        <v>498</v>
      </c>
      <c r="C212" s="7" t="str">
        <f t="shared" si="11"/>
        <v>Premium5</v>
      </c>
      <c r="D212" s="7" t="str">
        <f t="shared" si="12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IFERROR(VLOOKUP(B212,input_settle_530100!L:R,7,FALSE),VLOOKUP(tables_settle_530100!C212,input_settle_530100!A:H,8,FALSE))</f>
        <v>572676.92307999998</v>
      </c>
      <c r="P212" s="46">
        <f t="shared" ca="1" si="10"/>
        <v>9.2307692307950218E-3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input_530100!A$2</f>
        <v>530100</v>
      </c>
      <c r="B213" s="6">
        <v>499</v>
      </c>
      <c r="C213" s="7" t="str">
        <f t="shared" si="11"/>
        <v>PremiumSS4</v>
      </c>
      <c r="D213" s="7" t="str">
        <f t="shared" si="12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IFERROR(VLOOKUP(B213,input_settle_530100!L:R,7,FALSE),VLOOKUP(tables_settle_530100!C213,input_settle_530100!A:H,8,FALSE))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input_530100!A$2</f>
        <v>530100</v>
      </c>
      <c r="B214" s="6">
        <v>500</v>
      </c>
      <c r="C214" s="7" t="str">
        <f t="shared" si="11"/>
        <v>PremiumSS5</v>
      </c>
      <c r="D214" s="7" t="str">
        <f t="shared" si="12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IFERROR(VLOOKUP(B214,input_settle_530100!L:R,7,FALSE),VLOOKUP(tables_settle_530100!C214,input_settle_530100!A:H,8,FALSE))</f>
        <v>82720</v>
      </c>
      <c r="P214" s="46">
        <f t="shared" ca="1" si="10"/>
        <v>1.3333333333298949E-3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input_530100!A$2</f>
        <v>530100</v>
      </c>
      <c r="B215" s="6">
        <v>560</v>
      </c>
      <c r="C215" s="7" t="str">
        <f t="shared" si="11"/>
        <v>premium5R3less</v>
      </c>
      <c r="D215" s="7" t="str">
        <f t="shared" si="12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IFERROR(VLOOKUP(B215,input_settle_530100!L:R,7,FALSE),VLOOKUP(tables_settle_530100!C215,input_settle_530100!A:H,8,FALSE))</f>
        <v>620400</v>
      </c>
      <c r="P215" s="46">
        <f t="shared" ca="1" si="10"/>
        <v>9.9999999999742118E-3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input_530100!A$2</f>
        <v>530100</v>
      </c>
      <c r="B216" s="6">
        <v>561</v>
      </c>
      <c r="C216" s="7" t="str">
        <f t="shared" si="11"/>
        <v>premium5R3less</v>
      </c>
      <c r="D216" s="7" t="str">
        <f t="shared" si="12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IFERROR(VLOOKUP(B216,input_settle_530100!L:R,7,FALSE),VLOOKUP(tables_settle_530100!C216,input_settle_530100!A:H,8,FALSE))</f>
        <v>620400</v>
      </c>
      <c r="P216" s="46">
        <f t="shared" ca="1" si="10"/>
        <v>9.9999999999742118E-3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input_530100!A$2</f>
        <v>530100</v>
      </c>
      <c r="B217" s="6">
        <v>562</v>
      </c>
      <c r="C217" s="7" t="str">
        <f t="shared" si="11"/>
        <v>premium5R3less</v>
      </c>
      <c r="D217" s="7" t="str">
        <f t="shared" si="12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IFERROR(VLOOKUP(B217,input_settle_530100!L:R,7,FALSE),VLOOKUP(tables_settle_530100!C217,input_settle_530100!A:H,8,FALSE))</f>
        <v>620400</v>
      </c>
      <c r="P217" s="46">
        <f t="shared" ca="1" si="10"/>
        <v>9.9999999999742118E-3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input_530100!A$2</f>
        <v>530100</v>
      </c>
      <c r="B218" s="6">
        <v>563</v>
      </c>
      <c r="C218" s="7" t="str">
        <f t="shared" si="11"/>
        <v>premium5R3less</v>
      </c>
      <c r="D218" s="7" t="str">
        <f t="shared" si="12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IFERROR(VLOOKUP(B218,input_settle_530100!L:R,7,FALSE),VLOOKUP(tables_settle_530100!C218,input_settle_530100!A:H,8,FALSE))</f>
        <v>620400</v>
      </c>
      <c r="P218" s="46">
        <f t="shared" ca="1" si="10"/>
        <v>9.9999999999742118E-3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input_530100!A$2</f>
        <v>530100</v>
      </c>
      <c r="B219" s="6">
        <v>566</v>
      </c>
      <c r="C219" s="7" t="str">
        <f t="shared" si="11"/>
        <v>premium5R3less</v>
      </c>
      <c r="D219" s="7" t="str">
        <f t="shared" si="12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IFERROR(VLOOKUP(B219,input_settle_530100!L:R,7,FALSE),VLOOKUP(tables_settle_530100!C219,input_settle_530100!A:H,8,FALSE))</f>
        <v>620400</v>
      </c>
      <c r="P219" s="46">
        <f t="shared" ca="1" si="10"/>
        <v>9.9999999999742118E-3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input_530100!A$2</f>
        <v>530100</v>
      </c>
      <c r="B220" s="6">
        <v>567</v>
      </c>
      <c r="C220" s="7" t="str">
        <f t="shared" si="11"/>
        <v>premium5R3less</v>
      </c>
      <c r="D220" s="7" t="str">
        <f t="shared" si="12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IFERROR(VLOOKUP(B220,input_settle_530100!L:R,7,FALSE),VLOOKUP(tables_settle_530100!C220,input_settle_530100!A:H,8,FALSE))</f>
        <v>620400</v>
      </c>
      <c r="P220" s="46">
        <f t="shared" ca="1" si="10"/>
        <v>9.9999999999742118E-3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input_530100!A$2</f>
        <v>530100</v>
      </c>
      <c r="B221" s="6">
        <v>586</v>
      </c>
      <c r="C221" s="7" t="str">
        <f t="shared" si="11"/>
        <v>PremiumSS4</v>
      </c>
      <c r="D221" s="7" t="str">
        <f t="shared" si="12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IFERROR(VLOOKUP(B221,input_settle_530100!L:R,7,FALSE),VLOOKUP(tables_settle_530100!C221,input_settle_530100!A:H,8,FALSE))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input_530100!A$2</f>
        <v>530100</v>
      </c>
      <c r="B222" s="6">
        <v>587</v>
      </c>
      <c r="C222" s="7" t="str">
        <f t="shared" si="11"/>
        <v>PremiumSS5</v>
      </c>
      <c r="D222" s="7" t="str">
        <f t="shared" si="12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IFERROR(VLOOKUP(B222,input_settle_530100!L:R,7,FALSE),VLOOKUP(tables_settle_530100!C222,input_settle_530100!A:H,8,FALSE))</f>
        <v>82720</v>
      </c>
      <c r="P222" s="46">
        <f t="shared" ca="1" si="10"/>
        <v>1.3333333333298949E-3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input_530100!A$2</f>
        <v>530100</v>
      </c>
      <c r="B223" s="6">
        <v>588</v>
      </c>
      <c r="C223" s="7" t="str">
        <f t="shared" si="11"/>
        <v>Premium3</v>
      </c>
      <c r="D223" s="7" t="str">
        <f t="shared" si="12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IFERROR(VLOOKUP(B223,input_settle_530100!L:R,7,FALSE),VLOOKUP(tables_settle_530100!C223,input_settle_530100!A:H,8,FALSE))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input_530100!A$2</f>
        <v>530100</v>
      </c>
      <c r="B224" s="6">
        <v>589</v>
      </c>
      <c r="C224" s="7" t="str">
        <f t="shared" si="11"/>
        <v>Premium4</v>
      </c>
      <c r="D224" s="7" t="str">
        <f t="shared" si="12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IFERROR(VLOOKUP(B224,input_settle_530100!L:R,7,FALSE),VLOOKUP(tables_settle_530100!C224,input_settle_530100!A:H,8,FALSE))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input_530100!A$2</f>
        <v>530100</v>
      </c>
      <c r="B225" s="6">
        <v>590</v>
      </c>
      <c r="C225" s="7" t="str">
        <f t="shared" si="11"/>
        <v>Premium5</v>
      </c>
      <c r="D225" s="7" t="str">
        <f t="shared" si="12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IFERROR(VLOOKUP(B225,input_settle_530100!L:R,7,FALSE),VLOOKUP(tables_settle_530100!C225,input_settle_530100!A:H,8,FALSE))</f>
        <v>572676.92307999998</v>
      </c>
      <c r="P225" s="46">
        <f t="shared" ca="1" si="10"/>
        <v>9.2307692307950218E-3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input_530100!A$2</f>
        <v>530100</v>
      </c>
      <c r="B226" s="6">
        <v>591</v>
      </c>
      <c r="C226" s="7" t="str">
        <f t="shared" si="11"/>
        <v>Premium3</v>
      </c>
      <c r="D226" s="7" t="str">
        <f t="shared" si="12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IFERROR(VLOOKUP(B226,input_settle_530100!L:R,7,FALSE),VLOOKUP(tables_settle_530100!C226,input_settle_530100!A:H,8,FALSE))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input_530100!A$2</f>
        <v>530100</v>
      </c>
      <c r="B227" s="6">
        <v>592</v>
      </c>
      <c r="C227" s="7" t="str">
        <f t="shared" si="11"/>
        <v>Premium4</v>
      </c>
      <c r="D227" s="7" t="str">
        <f t="shared" si="12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IFERROR(VLOOKUP(B227,input_settle_530100!L:R,7,FALSE),VLOOKUP(tables_settle_530100!C227,input_settle_530100!A:H,8,FALSE))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input_530100!A$2</f>
        <v>530100</v>
      </c>
      <c r="B228" s="6">
        <v>593</v>
      </c>
      <c r="C228" s="7" t="str">
        <f t="shared" si="11"/>
        <v>Premium5</v>
      </c>
      <c r="D228" s="7" t="str">
        <f t="shared" si="12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IFERROR(VLOOKUP(B228,input_settle_530100!L:R,7,FALSE),VLOOKUP(tables_settle_530100!C228,input_settle_530100!A:H,8,FALSE))</f>
        <v>572676.92307999998</v>
      </c>
      <c r="P228" s="46">
        <f t="shared" ca="1" si="10"/>
        <v>9.2307692307950218E-3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input_530100!A$2</f>
        <v>530100</v>
      </c>
      <c r="B229" s="6">
        <v>594</v>
      </c>
      <c r="C229" s="7" t="str">
        <f t="shared" si="11"/>
        <v>PremiumSS4</v>
      </c>
      <c r="D229" s="7" t="str">
        <f t="shared" si="12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IFERROR(VLOOKUP(B229,input_settle_530100!L:R,7,FALSE),VLOOKUP(tables_settle_530100!C229,input_settle_530100!A:H,8,FALSE))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input_530100!A$2</f>
        <v>530100</v>
      </c>
      <c r="B230" s="6">
        <v>595</v>
      </c>
      <c r="C230" s="7" t="str">
        <f t="shared" si="11"/>
        <v>PremiumSS5</v>
      </c>
      <c r="D230" s="7" t="str">
        <f t="shared" si="12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IFERROR(VLOOKUP(B230,input_settle_530100!L:R,7,FALSE),VLOOKUP(tables_settle_530100!C230,input_settle_530100!A:H,8,FALSE))</f>
        <v>82720</v>
      </c>
      <c r="P230" s="46">
        <f t="shared" ca="1" si="10"/>
        <v>1.3333333333298949E-3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input_530100!A$2</f>
        <v>530100</v>
      </c>
      <c r="B231" s="6">
        <v>596</v>
      </c>
      <c r="C231" s="7" t="str">
        <f t="shared" si="11"/>
        <v>Premium3</v>
      </c>
      <c r="D231" s="7" t="str">
        <f t="shared" si="12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IFERROR(VLOOKUP(B231,input_settle_530100!L:R,7,FALSE),VLOOKUP(tables_settle_530100!C231,input_settle_530100!A:H,8,FALSE))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input_530100!A$2</f>
        <v>530100</v>
      </c>
      <c r="B232" s="6">
        <v>597</v>
      </c>
      <c r="C232" s="7" t="str">
        <f t="shared" si="11"/>
        <v>Premium4</v>
      </c>
      <c r="D232" s="7" t="str">
        <f t="shared" si="12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IFERROR(VLOOKUP(B232,input_settle_530100!L:R,7,FALSE),VLOOKUP(tables_settle_530100!C232,input_settle_530100!A:H,8,FALSE))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input_530100!A$2</f>
        <v>530100</v>
      </c>
      <c r="B233" s="6">
        <v>598</v>
      </c>
      <c r="C233" s="7" t="str">
        <f t="shared" si="11"/>
        <v>Premium5</v>
      </c>
      <c r="D233" s="7" t="str">
        <f t="shared" si="12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IFERROR(VLOOKUP(B233,input_settle_530100!L:R,7,FALSE),VLOOKUP(tables_settle_530100!C233,input_settle_530100!A:H,8,FALSE))</f>
        <v>572676.92307999998</v>
      </c>
      <c r="P233" s="46">
        <f t="shared" ca="1" si="10"/>
        <v>9.2307692307950218E-3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input_530100!A$2</f>
        <v>530100</v>
      </c>
      <c r="B234" s="6">
        <v>599</v>
      </c>
      <c r="C234" s="7" t="str">
        <f t="shared" si="11"/>
        <v>Premium3</v>
      </c>
      <c r="D234" s="7" t="str">
        <f t="shared" si="12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IFERROR(VLOOKUP(B234,input_settle_530100!L:R,7,FALSE),VLOOKUP(tables_settle_530100!C234,input_settle_530100!A:H,8,FALSE))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input_530100!A$2</f>
        <v>530100</v>
      </c>
      <c r="B235" s="6">
        <v>600</v>
      </c>
      <c r="C235" s="7" t="str">
        <f t="shared" si="11"/>
        <v>Premium4</v>
      </c>
      <c r="D235" s="7" t="str">
        <f t="shared" si="12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IFERROR(VLOOKUP(B235,input_settle_530100!L:R,7,FALSE),VLOOKUP(tables_settle_530100!C235,input_settle_530100!A:H,8,FALSE))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input_530100!A$2</f>
        <v>530100</v>
      </c>
      <c r="B236" s="6">
        <v>601</v>
      </c>
      <c r="C236" s="7" t="str">
        <f t="shared" si="11"/>
        <v>Premium5</v>
      </c>
      <c r="D236" s="7" t="str">
        <f t="shared" si="12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IFERROR(VLOOKUP(B236,input_settle_530100!L:R,7,FALSE),VLOOKUP(tables_settle_530100!C236,input_settle_530100!A:H,8,FALSE))</f>
        <v>572676.92307999998</v>
      </c>
      <c r="P236" s="46">
        <f t="shared" ca="1" si="10"/>
        <v>9.2307692307950218E-3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input_530100!A$2</f>
        <v>530100</v>
      </c>
      <c r="B237" s="6">
        <v>602</v>
      </c>
      <c r="C237" s="7" t="str">
        <f t="shared" si="11"/>
        <v>PremiumSS4</v>
      </c>
      <c r="D237" s="7" t="str">
        <f t="shared" si="12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IFERROR(VLOOKUP(B237,input_settle_530100!L:R,7,FALSE),VLOOKUP(tables_settle_530100!C237,input_settle_530100!A:H,8,FALSE))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input_530100!A$2</f>
        <v>530100</v>
      </c>
      <c r="B238" s="6">
        <v>603</v>
      </c>
      <c r="C238" s="7" t="str">
        <f t="shared" si="11"/>
        <v>PremiumSS5</v>
      </c>
      <c r="D238" s="7" t="str">
        <f t="shared" si="12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IFERROR(VLOOKUP(B238,input_settle_530100!L:R,7,FALSE),VLOOKUP(tables_settle_530100!C238,input_settle_530100!A:H,8,FALSE))</f>
        <v>82720</v>
      </c>
      <c r="P238" s="46">
        <f t="shared" ca="1" si="10"/>
        <v>1.3333333333298949E-3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input_530100!A$2</f>
        <v>530100</v>
      </c>
      <c r="B239" s="6">
        <v>604</v>
      </c>
      <c r="C239" s="7" t="str">
        <f t="shared" si="11"/>
        <v>Premium3</v>
      </c>
      <c r="D239" s="7" t="str">
        <f t="shared" si="12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IFERROR(VLOOKUP(B239,input_settle_530100!L:R,7,FALSE),VLOOKUP(tables_settle_530100!C239,input_settle_530100!A:H,8,FALSE))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input_530100!A$2</f>
        <v>530100</v>
      </c>
      <c r="B240" s="6">
        <v>605</v>
      </c>
      <c r="C240" s="7" t="str">
        <f t="shared" si="11"/>
        <v>Premium4</v>
      </c>
      <c r="D240" s="7" t="str">
        <f t="shared" si="12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IFERROR(VLOOKUP(B240,input_settle_530100!L:R,7,FALSE),VLOOKUP(tables_settle_530100!C240,input_settle_530100!A:H,8,FALSE))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input_530100!A$2</f>
        <v>530100</v>
      </c>
      <c r="B241" s="6">
        <v>606</v>
      </c>
      <c r="C241" s="7" t="str">
        <f t="shared" si="11"/>
        <v>Premium5</v>
      </c>
      <c r="D241" s="7" t="str">
        <f t="shared" si="12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IFERROR(VLOOKUP(B241,input_settle_530100!L:R,7,FALSE),VLOOKUP(tables_settle_530100!C241,input_settle_530100!A:H,8,FALSE))</f>
        <v>572676.92307999998</v>
      </c>
      <c r="P241" s="46">
        <f t="shared" ca="1" si="10"/>
        <v>9.2307692307950218E-3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input_530100!A$2</f>
        <v>530100</v>
      </c>
      <c r="B242" s="6">
        <v>658</v>
      </c>
      <c r="C242" s="7" t="str">
        <f t="shared" si="11"/>
        <v>PremiumSS4</v>
      </c>
      <c r="D242" s="7" t="str">
        <f t="shared" si="12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IFERROR(VLOOKUP(B242,input_settle_530100!L:R,7,FALSE),VLOOKUP(tables_settle_530100!C242,input_settle_530100!A:H,8,FALSE))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input_530100!A$2</f>
        <v>530100</v>
      </c>
      <c r="B243" s="6">
        <v>659</v>
      </c>
      <c r="C243" s="7" t="str">
        <f t="shared" si="11"/>
        <v>PremiumSS5</v>
      </c>
      <c r="D243" s="7" t="str">
        <f t="shared" si="12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IFERROR(VLOOKUP(B243,input_settle_530100!L:R,7,FALSE),VLOOKUP(tables_settle_530100!C243,input_settle_530100!A:H,8,FALSE))</f>
        <v>82720</v>
      </c>
      <c r="P243" s="46">
        <f t="shared" ca="1" si="10"/>
        <v>1.3333333333298949E-3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input_530100!A$2</f>
        <v>530100</v>
      </c>
      <c r="B244" s="6">
        <v>660</v>
      </c>
      <c r="C244" s="7" t="str">
        <f t="shared" si="11"/>
        <v>PremiumSS4</v>
      </c>
      <c r="D244" s="7" t="str">
        <f t="shared" si="12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IFERROR(VLOOKUP(B244,input_settle_530100!L:R,7,FALSE),VLOOKUP(tables_settle_530100!C244,input_settle_530100!A:H,8,FALSE))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input_530100!A$2</f>
        <v>530100</v>
      </c>
      <c r="B245" s="60">
        <v>661</v>
      </c>
      <c r="C245" s="7" t="str">
        <f t="shared" si="11"/>
        <v>PremiumSS5</v>
      </c>
      <c r="D245" s="7" t="str">
        <f t="shared" si="12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IFERROR(VLOOKUP(B245,input_settle_530100!L:R,7,FALSE),VLOOKUP(tables_settle_530100!C245,input_settle_530100!A:H,8,FALSE))</f>
        <v>82720</v>
      </c>
      <c r="P245" s="46">
        <f t="shared" ca="1" si="10"/>
        <v>1.3333333333298949E-3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input_530100!A$2</f>
        <v>530100</v>
      </c>
      <c r="B246" s="60">
        <v>662</v>
      </c>
      <c r="C246" s="7" t="str">
        <f t="shared" si="11"/>
        <v>Premium3</v>
      </c>
      <c r="D246" s="7" t="str">
        <f t="shared" si="12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IFERROR(VLOOKUP(B246,input_settle_530100!L:R,7,FALSE),VLOOKUP(tables_settle_530100!C246,input_settle_530100!A:H,8,FALSE))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input_530100!A$2</f>
        <v>530100</v>
      </c>
      <c r="B247" s="60">
        <v>663</v>
      </c>
      <c r="C247" s="7" t="str">
        <f t="shared" si="11"/>
        <v>Premium4</v>
      </c>
      <c r="D247" s="7" t="str">
        <f t="shared" si="12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IFERROR(VLOOKUP(B247,input_settle_530100!L:R,7,FALSE),VLOOKUP(tables_settle_530100!C247,input_settle_530100!A:H,8,FALSE))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input_530100!A$2</f>
        <v>530100</v>
      </c>
      <c r="B248" s="60">
        <v>664</v>
      </c>
      <c r="C248" s="7" t="str">
        <f t="shared" si="11"/>
        <v>Premium5</v>
      </c>
      <c r="D248" s="7" t="str">
        <f t="shared" si="12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IFERROR(VLOOKUP(B248,input_settle_530100!L:R,7,FALSE),VLOOKUP(tables_settle_530100!C248,input_settle_530100!A:H,8,FALSE))</f>
        <v>572676.92307999998</v>
      </c>
      <c r="P248" s="46">
        <f t="shared" ca="1" si="10"/>
        <v>9.2307692307950218E-3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input_530100!A$2</f>
        <v>530100</v>
      </c>
      <c r="B249" s="60">
        <v>665</v>
      </c>
      <c r="C249" s="7" t="str">
        <f t="shared" si="11"/>
        <v>Premium3</v>
      </c>
      <c r="D249" s="7" t="str">
        <f t="shared" si="12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IFERROR(VLOOKUP(B249,input_settle_530100!L:R,7,FALSE),VLOOKUP(tables_settle_530100!C249,input_settle_530100!A:H,8,FALSE))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input_530100!A$2</f>
        <v>530100</v>
      </c>
      <c r="B250" s="60">
        <v>666</v>
      </c>
      <c r="C250" s="7" t="str">
        <f t="shared" si="11"/>
        <v>Premium4</v>
      </c>
      <c r="D250" s="7" t="str">
        <f t="shared" si="12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IFERROR(VLOOKUP(B250,input_settle_530100!L:R,7,FALSE),VLOOKUP(tables_settle_530100!C250,input_settle_530100!A:H,8,FALSE))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input_530100!A$2</f>
        <v>530100</v>
      </c>
      <c r="B251" s="60">
        <v>667</v>
      </c>
      <c r="C251" s="7" t="str">
        <f t="shared" si="11"/>
        <v>Premium5</v>
      </c>
      <c r="D251" s="7" t="str">
        <f t="shared" si="12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IFERROR(VLOOKUP(B251,input_settle_530100!L:R,7,FALSE),VLOOKUP(tables_settle_530100!C251,input_settle_530100!A:H,8,FALSE))</f>
        <v>572676.92307999998</v>
      </c>
      <c r="P251" s="46">
        <f t="shared" ca="1" si="10"/>
        <v>9.2307692307950218E-3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input_530100!A$2</f>
        <v>530100</v>
      </c>
      <c r="B252" s="60">
        <v>668</v>
      </c>
      <c r="C252" s="7" t="str">
        <f t="shared" si="11"/>
        <v>Premium3</v>
      </c>
      <c r="D252" s="7" t="str">
        <f t="shared" si="12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IFERROR(VLOOKUP(B252,input_settle_530100!L:R,7,FALSE),VLOOKUP(tables_settle_530100!C252,input_settle_530100!A:H,8,FALSE))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input_530100!A$2</f>
        <v>530100</v>
      </c>
      <c r="B253" s="60">
        <v>669</v>
      </c>
      <c r="C253" s="7" t="str">
        <f t="shared" si="11"/>
        <v>Premium4</v>
      </c>
      <c r="D253" s="7" t="str">
        <f t="shared" si="12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IFERROR(VLOOKUP(B253,input_settle_530100!L:R,7,FALSE),VLOOKUP(tables_settle_530100!C253,input_settle_530100!A:H,8,FALSE))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input_530100!A$2</f>
        <v>530100</v>
      </c>
      <c r="B254" s="60">
        <v>670</v>
      </c>
      <c r="C254" s="7" t="str">
        <f t="shared" si="11"/>
        <v>Premium5</v>
      </c>
      <c r="D254" s="7" t="str">
        <f t="shared" si="12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IFERROR(VLOOKUP(B254,input_settle_530100!L:R,7,FALSE),VLOOKUP(tables_settle_530100!C254,input_settle_530100!A:H,8,FALSE))</f>
        <v>572676.92307999998</v>
      </c>
      <c r="P254" s="46">
        <f t="shared" ca="1" si="10"/>
        <v>9.2307692307950218E-3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input_530100!A$2</f>
        <v>530100</v>
      </c>
      <c r="B255" s="60">
        <v>671</v>
      </c>
      <c r="C255" s="7" t="str">
        <f t="shared" si="11"/>
        <v>Premium3</v>
      </c>
      <c r="D255" s="7" t="str">
        <f t="shared" si="12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IFERROR(VLOOKUP(B255,input_settle_530100!L:R,7,FALSE),VLOOKUP(tables_settle_530100!C255,input_settle_530100!A:H,8,FALSE))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input_530100!A$2</f>
        <v>530100</v>
      </c>
      <c r="B256" s="60">
        <v>672</v>
      </c>
      <c r="C256" s="7" t="str">
        <f t="shared" si="11"/>
        <v>Premium4</v>
      </c>
      <c r="D256" s="7" t="str">
        <f t="shared" si="12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IFERROR(VLOOKUP(B256,input_settle_530100!L:R,7,FALSE),VLOOKUP(tables_settle_530100!C256,input_settle_530100!A:H,8,FALSE))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input_530100!A$2</f>
        <v>530100</v>
      </c>
      <c r="B257" s="60">
        <v>673</v>
      </c>
      <c r="C257" s="7" t="str">
        <f t="shared" si="11"/>
        <v>Premium5</v>
      </c>
      <c r="D257" s="7" t="str">
        <f t="shared" si="12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IFERROR(VLOOKUP(B257,input_settle_530100!L:R,7,FALSE),VLOOKUP(tables_settle_530100!C257,input_settle_530100!A:H,8,FALSE))</f>
        <v>572676.92307999998</v>
      </c>
      <c r="P257" s="46">
        <f t="shared" ca="1" si="10"/>
        <v>9.2307692307950218E-3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input_530100!A$2</f>
        <v>530100</v>
      </c>
      <c r="B258" s="60">
        <v>674</v>
      </c>
      <c r="C258" s="7" t="str">
        <f t="shared" si="11"/>
        <v>PremiumSS4</v>
      </c>
      <c r="D258" s="7" t="str">
        <f t="shared" si="12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IFERROR(VLOOKUP(B258,input_settle_530100!L:R,7,FALSE),VLOOKUP(tables_settle_530100!C258,input_settle_530100!A:H,8,FALSE))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input_530100!A$2</f>
        <v>530100</v>
      </c>
      <c r="B259" s="60">
        <v>675</v>
      </c>
      <c r="C259" s="7" t="str">
        <f t="shared" ref="C259:C322" si="14">D259&amp;J259&amp;E259&amp;F259&amp;G259</f>
        <v>PremiumSS5</v>
      </c>
      <c r="D259" s="7" t="str">
        <f t="shared" ref="D259:D322" si="15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IFERROR(VLOOKUP(B259,input_settle_530100!L:R,7,FALSE),VLOOKUP(tables_settle_530100!C259,input_settle_530100!A:H,8,FALSE))</f>
        <v>82720</v>
      </c>
      <c r="P259" s="46">
        <f t="shared" ca="1" si="13"/>
        <v>1.3333333333298949E-3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input_530100!A$2</f>
        <v>530100</v>
      </c>
      <c r="B260" s="60">
        <v>676</v>
      </c>
      <c r="C260" s="7" t="str">
        <f t="shared" si="14"/>
        <v>PremiumSS4</v>
      </c>
      <c r="D260" s="7" t="str">
        <f t="shared" si="15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IFERROR(VLOOKUP(B260,input_settle_530100!L:R,7,FALSE),VLOOKUP(tables_settle_530100!C260,input_settle_530100!A:H,8,FALSE))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input_530100!A$2</f>
        <v>530100</v>
      </c>
      <c r="B261" s="60">
        <v>677</v>
      </c>
      <c r="C261" s="7" t="str">
        <f t="shared" si="14"/>
        <v>PremiumSS5</v>
      </c>
      <c r="D261" s="7" t="str">
        <f t="shared" si="15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IFERROR(VLOOKUP(B261,input_settle_530100!L:R,7,FALSE),VLOOKUP(tables_settle_530100!C261,input_settle_530100!A:H,8,FALSE))</f>
        <v>82720</v>
      </c>
      <c r="P261" s="46">
        <f t="shared" ca="1" si="13"/>
        <v>1.3333333333298949E-3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input_530100!A$2</f>
        <v>530100</v>
      </c>
      <c r="B262" s="60">
        <v>728</v>
      </c>
      <c r="C262" s="7" t="str">
        <f t="shared" si="14"/>
        <v>Premium4R3less</v>
      </c>
      <c r="D262" s="7" t="str">
        <f t="shared" si="15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IFERROR(VLOOKUP(B262,input_settle_530100!L:R,7,FALSE),VLOOKUP(tables_settle_530100!C262,input_settle_530100!A:H,8,FALSE))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input_530100!A$2</f>
        <v>530100</v>
      </c>
      <c r="B263" s="60">
        <v>729</v>
      </c>
      <c r="C263" s="7" t="str">
        <f t="shared" si="14"/>
        <v>Premium5R3less</v>
      </c>
      <c r="D263" s="7" t="str">
        <f t="shared" si="15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IFERROR(VLOOKUP(B263,input_settle_530100!L:R,7,FALSE),VLOOKUP(tables_settle_530100!C263,input_settle_530100!A:H,8,FALSE))</f>
        <v>620400</v>
      </c>
      <c r="P263" s="46">
        <f t="shared" ca="1" si="13"/>
        <v>9.9999999999742118E-3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input_530100!A$2</f>
        <v>530100</v>
      </c>
      <c r="B264" s="60">
        <v>730</v>
      </c>
      <c r="C264" s="7" t="str">
        <f t="shared" si="14"/>
        <v>Premium4R3less</v>
      </c>
      <c r="D264" s="7" t="str">
        <f t="shared" si="15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IFERROR(VLOOKUP(B264,input_settle_530100!L:R,7,FALSE),VLOOKUP(tables_settle_530100!C264,input_settle_530100!A:H,8,FALSE))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input_530100!A$2</f>
        <v>530100</v>
      </c>
      <c r="B265" s="60">
        <v>731</v>
      </c>
      <c r="C265" s="7" t="str">
        <f t="shared" si="14"/>
        <v>Premium5R3less</v>
      </c>
      <c r="D265" s="7" t="str">
        <f t="shared" si="15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IFERROR(VLOOKUP(B265,input_settle_530100!L:R,7,FALSE),VLOOKUP(tables_settle_530100!C265,input_settle_530100!A:H,8,FALSE))</f>
        <v>620400</v>
      </c>
      <c r="P265" s="46">
        <f t="shared" ca="1" si="13"/>
        <v>9.9999999999742118E-3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input_530100!A$2</f>
        <v>530100</v>
      </c>
      <c r="B266" s="60">
        <v>732</v>
      </c>
      <c r="C266" s="7" t="str">
        <f t="shared" si="14"/>
        <v>PremiumSS5R5only</v>
      </c>
      <c r="D266" s="7" t="str">
        <f t="shared" si="15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IFERROR(VLOOKUP(B266,input_settle_530100!L:R,7,FALSE),VLOOKUP(tables_settle_530100!C266,input_settle_530100!A:H,8,FALSE))</f>
        <v>82720</v>
      </c>
      <c r="P266" s="46">
        <f t="shared" ca="1" si="13"/>
        <v>1.3333333333298949E-3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input_530100!A$2</f>
        <v>530100</v>
      </c>
      <c r="B267" s="60">
        <v>734</v>
      </c>
      <c r="C267" s="7" t="str">
        <f t="shared" si="14"/>
        <v>PremiumSS5R5only</v>
      </c>
      <c r="D267" s="7" t="str">
        <f t="shared" si="15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IFERROR(VLOOKUP(B267,input_settle_530100!L:R,7,FALSE),VLOOKUP(tables_settle_530100!C267,input_settle_530100!A:H,8,FALSE))</f>
        <v>82720</v>
      </c>
      <c r="P267" s="46">
        <f t="shared" ca="1" si="13"/>
        <v>1.3333333333298949E-3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input_530100!A$2</f>
        <v>530100</v>
      </c>
      <c r="B268" s="60">
        <v>742</v>
      </c>
      <c r="C268" s="7" t="str">
        <f t="shared" si="14"/>
        <v>PremiumSS5R5only</v>
      </c>
      <c r="D268" s="7" t="str">
        <f t="shared" si="15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IFERROR(VLOOKUP(B268,input_settle_530100!L:R,7,FALSE),VLOOKUP(tables_settle_530100!C268,input_settle_530100!A:H,8,FALSE))</f>
        <v>82720</v>
      </c>
      <c r="P268" s="46">
        <f t="shared" ca="1" si="13"/>
        <v>1.3333333333298949E-3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input_530100!A$2</f>
        <v>530100</v>
      </c>
      <c r="B269" s="60">
        <v>744</v>
      </c>
      <c r="C269" s="7" t="str">
        <f t="shared" si="14"/>
        <v>PremiumSS5R5only</v>
      </c>
      <c r="D269" s="7" t="str">
        <f t="shared" si="15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IFERROR(VLOOKUP(B269,input_settle_530100!L:R,7,FALSE),VLOOKUP(tables_settle_530100!C269,input_settle_530100!A:H,8,FALSE))</f>
        <v>82720</v>
      </c>
      <c r="P269" s="46">
        <f t="shared" ca="1" si="13"/>
        <v>1.3333333333298949E-3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input_530100!A$2</f>
        <v>530100</v>
      </c>
      <c r="B270" s="60">
        <v>746</v>
      </c>
      <c r="C270" s="7" t="str">
        <f t="shared" si="14"/>
        <v>Premium4R3less</v>
      </c>
      <c r="D270" s="7" t="str">
        <f t="shared" si="15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IFERROR(VLOOKUP(B270,input_settle_530100!L:R,7,FALSE),VLOOKUP(tables_settle_530100!C270,input_settle_530100!A:H,8,FALSE))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input_530100!A$2</f>
        <v>530100</v>
      </c>
      <c r="B271" s="81">
        <v>747</v>
      </c>
      <c r="C271" s="7" t="str">
        <f t="shared" si="14"/>
        <v>Premium5R3less</v>
      </c>
      <c r="D271" s="7" t="str">
        <f t="shared" si="15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IFERROR(VLOOKUP(B271,input_settle_530100!L:R,7,FALSE),VLOOKUP(tables_settle_530100!C271,input_settle_530100!A:H,8,FALSE))</f>
        <v>620400</v>
      </c>
      <c r="P271" s="46">
        <f t="shared" ca="1" si="13"/>
        <v>9.9999999999742118E-3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input_530100!A$2</f>
        <v>530100</v>
      </c>
      <c r="B272" s="81">
        <v>748</v>
      </c>
      <c r="C272" s="7" t="str">
        <f t="shared" si="14"/>
        <v>Premium4R3less</v>
      </c>
      <c r="D272" s="7" t="str">
        <f t="shared" si="15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IFERROR(VLOOKUP(B272,input_settle_530100!L:R,7,FALSE),VLOOKUP(tables_settle_530100!C272,input_settle_530100!A:H,8,FALSE))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input_530100!A$2</f>
        <v>530100</v>
      </c>
      <c r="B273" s="81">
        <v>749</v>
      </c>
      <c r="C273" s="7" t="str">
        <f t="shared" si="14"/>
        <v>Premium5R3less</v>
      </c>
      <c r="D273" s="7" t="str">
        <f t="shared" si="15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IFERROR(VLOOKUP(B273,input_settle_530100!L:R,7,FALSE),VLOOKUP(tables_settle_530100!C273,input_settle_530100!A:H,8,FALSE))</f>
        <v>620400</v>
      </c>
      <c r="P273" s="46">
        <f t="shared" ca="1" si="13"/>
        <v>9.9999999999742118E-3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input_530100!A$2</f>
        <v>530100</v>
      </c>
      <c r="B274" s="81">
        <v>770</v>
      </c>
      <c r="C274" s="7" t="str">
        <f t="shared" si="14"/>
        <v>PremiumSS4</v>
      </c>
      <c r="D274" s="7" t="str">
        <f t="shared" si="15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IFERROR(VLOOKUP(B274,input_settle_530100!L:R,7,FALSE),VLOOKUP(tables_settle_530100!C274,input_settle_530100!A:H,8,FALSE))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input_530100!A$2</f>
        <v>530100</v>
      </c>
      <c r="B275" s="81">
        <v>771</v>
      </c>
      <c r="C275" s="7" t="str">
        <f t="shared" si="14"/>
        <v>PremiumSS5</v>
      </c>
      <c r="D275" s="7" t="str">
        <f t="shared" si="15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IFERROR(VLOOKUP(B275,input_settle_530100!L:R,7,FALSE),VLOOKUP(tables_settle_530100!C275,input_settle_530100!A:H,8,FALSE))</f>
        <v>82720</v>
      </c>
      <c r="P275" s="46">
        <f t="shared" ca="1" si="13"/>
        <v>1.3333333333298949E-3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input_530100!A$2</f>
        <v>530100</v>
      </c>
      <c r="B276" s="81">
        <v>772</v>
      </c>
      <c r="C276" s="7" t="str">
        <f t="shared" si="14"/>
        <v>PremiumSS4</v>
      </c>
      <c r="D276" s="7" t="str">
        <f t="shared" si="15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IFERROR(VLOOKUP(B276,input_settle_530100!L:R,7,FALSE),VLOOKUP(tables_settle_530100!C276,input_settle_530100!A:H,8,FALSE))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input_530100!A$2</f>
        <v>530100</v>
      </c>
      <c r="B277" s="81">
        <v>773</v>
      </c>
      <c r="C277" s="7" t="str">
        <f t="shared" si="14"/>
        <v>PremiumSS5</v>
      </c>
      <c r="D277" s="7" t="str">
        <f t="shared" si="15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IFERROR(VLOOKUP(B277,input_settle_530100!L:R,7,FALSE),VLOOKUP(tables_settle_530100!C277,input_settle_530100!A:H,8,FALSE))</f>
        <v>82720</v>
      </c>
      <c r="P277" s="46">
        <f t="shared" ca="1" si="13"/>
        <v>1.3333333333298949E-3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input_530100!A$2</f>
        <v>530100</v>
      </c>
      <c r="B278" s="81">
        <v>774</v>
      </c>
      <c r="C278" s="7" t="str">
        <f t="shared" si="14"/>
        <v>Premium3</v>
      </c>
      <c r="D278" s="7" t="str">
        <f t="shared" si="15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IFERROR(VLOOKUP(B278,input_settle_530100!L:R,7,FALSE),VLOOKUP(tables_settle_530100!C278,input_settle_530100!A:H,8,FALSE))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input_530100!A$2</f>
        <v>530100</v>
      </c>
      <c r="B279" s="81">
        <v>775</v>
      </c>
      <c r="C279" s="7" t="str">
        <f t="shared" si="14"/>
        <v>Premium4</v>
      </c>
      <c r="D279" s="7" t="str">
        <f t="shared" si="15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IFERROR(VLOOKUP(B279,input_settle_530100!L:R,7,FALSE),VLOOKUP(tables_settle_530100!C279,input_settle_530100!A:H,8,FALSE))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input_530100!A$2</f>
        <v>530100</v>
      </c>
      <c r="B280" s="81">
        <v>776</v>
      </c>
      <c r="C280" s="7" t="str">
        <f t="shared" si="14"/>
        <v>Premium5</v>
      </c>
      <c r="D280" s="7" t="str">
        <f t="shared" si="15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IFERROR(VLOOKUP(B280,input_settle_530100!L:R,7,FALSE),VLOOKUP(tables_settle_530100!C280,input_settle_530100!A:H,8,FALSE))</f>
        <v>572676.92307999998</v>
      </c>
      <c r="P280" s="46">
        <f t="shared" ca="1" si="13"/>
        <v>9.2307692307950218E-3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input_530100!A$2</f>
        <v>530100</v>
      </c>
      <c r="B281" s="81">
        <v>777</v>
      </c>
      <c r="C281" s="7" t="str">
        <f t="shared" si="14"/>
        <v>Premium3</v>
      </c>
      <c r="D281" s="7" t="str">
        <f t="shared" si="15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IFERROR(VLOOKUP(B281,input_settle_530100!L:R,7,FALSE),VLOOKUP(tables_settle_530100!C281,input_settle_530100!A:H,8,FALSE))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input_530100!A$2</f>
        <v>530100</v>
      </c>
      <c r="B282" s="81">
        <v>778</v>
      </c>
      <c r="C282" s="7" t="str">
        <f t="shared" si="14"/>
        <v>Premium4</v>
      </c>
      <c r="D282" s="7" t="str">
        <f t="shared" si="15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IFERROR(VLOOKUP(B282,input_settle_530100!L:R,7,FALSE),VLOOKUP(tables_settle_530100!C282,input_settle_530100!A:H,8,FALSE))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input_530100!A$2</f>
        <v>530100</v>
      </c>
      <c r="B283" s="5">
        <v>779</v>
      </c>
      <c r="C283" s="7" t="str">
        <f t="shared" si="14"/>
        <v>Premium5</v>
      </c>
      <c r="D283" s="7" t="str">
        <f t="shared" si="15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IFERROR(VLOOKUP(B283,input_settle_530100!L:R,7,FALSE),VLOOKUP(tables_settle_530100!C283,input_settle_530100!A:H,8,FALSE))</f>
        <v>572676.92307999998</v>
      </c>
      <c r="P283" s="46">
        <f t="shared" ca="1" si="13"/>
        <v>9.2307692307950218E-3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input_530100!A$2</f>
        <v>530100</v>
      </c>
      <c r="B284" s="5">
        <v>848</v>
      </c>
      <c r="C284" s="7" t="str">
        <f t="shared" si="14"/>
        <v>PremiumSS5R5only</v>
      </c>
      <c r="D284" s="7" t="str">
        <f t="shared" si="15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IFERROR(VLOOKUP(B284,input_settle_530100!L:R,7,FALSE),VLOOKUP(tables_settle_530100!C284,input_settle_530100!A:H,8,FALSE))</f>
        <v>82720</v>
      </c>
      <c r="P284" s="46">
        <f t="shared" ca="1" si="13"/>
        <v>1.3333333333298949E-3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input_530100!A$2</f>
        <v>530100</v>
      </c>
      <c r="B285" s="5">
        <v>850</v>
      </c>
      <c r="C285" s="7" t="str">
        <f t="shared" si="14"/>
        <v>PremiumSS5R5only</v>
      </c>
      <c r="D285" s="7" t="str">
        <f t="shared" si="15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IFERROR(VLOOKUP(B285,input_settle_530100!L:R,7,FALSE),VLOOKUP(tables_settle_530100!C285,input_settle_530100!A:H,8,FALSE))</f>
        <v>82720</v>
      </c>
      <c r="P285" s="46">
        <f t="shared" ca="1" si="13"/>
        <v>1.3333333333298949E-3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input_530100!A$2</f>
        <v>530100</v>
      </c>
      <c r="B286" s="5">
        <v>852</v>
      </c>
      <c r="C286" s="7" t="str">
        <f t="shared" si="14"/>
        <v>Premium4R3less</v>
      </c>
      <c r="D286" s="7" t="str">
        <f t="shared" si="15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IFERROR(VLOOKUP(B286,input_settle_530100!L:R,7,FALSE),VLOOKUP(tables_settle_530100!C286,input_settle_530100!A:H,8,FALSE))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input_530100!A$2</f>
        <v>530100</v>
      </c>
      <c r="B287" s="5">
        <v>853</v>
      </c>
      <c r="C287" s="7" t="str">
        <f t="shared" si="14"/>
        <v>Premium5R3less</v>
      </c>
      <c r="D287" s="7" t="str">
        <f t="shared" si="15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IFERROR(VLOOKUP(B287,input_settle_530100!L:R,7,FALSE),VLOOKUP(tables_settle_530100!C287,input_settle_530100!A:H,8,FALSE))</f>
        <v>620400</v>
      </c>
      <c r="P287" s="46">
        <f t="shared" ca="1" si="13"/>
        <v>9.9999999999742118E-3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input_530100!A$2</f>
        <v>530100</v>
      </c>
      <c r="B288" s="5">
        <v>854</v>
      </c>
      <c r="C288" s="7" t="str">
        <f t="shared" si="14"/>
        <v>Premium4R3less</v>
      </c>
      <c r="D288" s="7" t="str">
        <f t="shared" si="15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IFERROR(VLOOKUP(B288,input_settle_530100!L:R,7,FALSE),VLOOKUP(tables_settle_530100!C288,input_settle_530100!A:H,8,FALSE))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input_530100!A$2</f>
        <v>530100</v>
      </c>
      <c r="B289" s="5">
        <v>855</v>
      </c>
      <c r="C289" s="7" t="str">
        <f t="shared" si="14"/>
        <v>Premium5R3less</v>
      </c>
      <c r="D289" s="7" t="str">
        <f t="shared" si="15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IFERROR(VLOOKUP(B289,input_settle_530100!L:R,7,FALSE),VLOOKUP(tables_settle_530100!C289,input_settle_530100!A:H,8,FALSE))</f>
        <v>620400</v>
      </c>
      <c r="P289" s="46">
        <f t="shared" ca="1" si="13"/>
        <v>9.9999999999742118E-3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input_530100!A$2</f>
        <v>530100</v>
      </c>
      <c r="B290" s="5">
        <v>862</v>
      </c>
      <c r="C290" s="7" t="str">
        <f t="shared" si="14"/>
        <v>Premium4R3less</v>
      </c>
      <c r="D290" s="7" t="str">
        <f t="shared" si="15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IFERROR(VLOOKUP(B290,input_settle_530100!L:R,7,FALSE),VLOOKUP(tables_settle_530100!C290,input_settle_530100!A:H,8,FALSE))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input_530100!A$2</f>
        <v>530100</v>
      </c>
      <c r="B291" s="5">
        <v>863</v>
      </c>
      <c r="C291" s="7" t="str">
        <f t="shared" si="14"/>
        <v>Premium5R3less</v>
      </c>
      <c r="D291" s="7" t="str">
        <f t="shared" si="15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IFERROR(VLOOKUP(B291,input_settle_530100!L:R,7,FALSE),VLOOKUP(tables_settle_530100!C291,input_settle_530100!A:H,8,FALSE))</f>
        <v>620400</v>
      </c>
      <c r="P291" s="46">
        <f t="shared" ca="1" si="13"/>
        <v>9.9999999999742118E-3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input_530100!A$2</f>
        <v>530100</v>
      </c>
      <c r="B292" s="5">
        <v>864</v>
      </c>
      <c r="C292" s="7" t="str">
        <f t="shared" si="14"/>
        <v>Premium4R3less</v>
      </c>
      <c r="D292" s="7" t="str">
        <f t="shared" si="15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IFERROR(VLOOKUP(B292,input_settle_530100!L:R,7,FALSE),VLOOKUP(tables_settle_530100!C292,input_settle_530100!A:H,8,FALSE))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input_530100!A$2</f>
        <v>530100</v>
      </c>
      <c r="B293" s="5">
        <v>865</v>
      </c>
      <c r="C293" s="7" t="str">
        <f t="shared" si="14"/>
        <v>Premium5R3less</v>
      </c>
      <c r="D293" s="7" t="str">
        <f t="shared" si="15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IFERROR(VLOOKUP(B293,input_settle_530100!L:R,7,FALSE),VLOOKUP(tables_settle_530100!C293,input_settle_530100!A:H,8,FALSE))</f>
        <v>620400</v>
      </c>
      <c r="P293" s="46">
        <f t="shared" ca="1" si="13"/>
        <v>9.9999999999742118E-3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input_530100!A$2</f>
        <v>530100</v>
      </c>
      <c r="B294" s="5">
        <v>866</v>
      </c>
      <c r="C294" s="7" t="str">
        <f t="shared" si="14"/>
        <v>PremiumSS5R5only</v>
      </c>
      <c r="D294" s="7" t="str">
        <f t="shared" si="15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IFERROR(VLOOKUP(B294,input_settle_530100!L:R,7,FALSE),VLOOKUP(tables_settle_530100!C294,input_settle_530100!A:H,8,FALSE))</f>
        <v>82720</v>
      </c>
      <c r="P294" s="46">
        <f t="shared" ca="1" si="13"/>
        <v>1.3333333333298949E-3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input_530100!A$2</f>
        <v>530100</v>
      </c>
      <c r="B295" s="5">
        <v>868</v>
      </c>
      <c r="C295" s="7" t="str">
        <f t="shared" si="14"/>
        <v>PremiumSS5R5only</v>
      </c>
      <c r="D295" s="7" t="str">
        <f t="shared" si="15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IFERROR(VLOOKUP(B295,input_settle_530100!L:R,7,FALSE),VLOOKUP(tables_settle_530100!C295,input_settle_530100!A:H,8,FALSE))</f>
        <v>82720</v>
      </c>
      <c r="P295" s="46">
        <f t="shared" ca="1" si="13"/>
        <v>1.3333333333298949E-3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input_530100!A$2</f>
        <v>530100</v>
      </c>
      <c r="B296" s="5">
        <v>937</v>
      </c>
      <c r="C296" s="7" t="str">
        <f t="shared" si="14"/>
        <v>PremiumSS5R5only</v>
      </c>
      <c r="D296" s="7" t="str">
        <f t="shared" si="15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IFERROR(VLOOKUP(B296,input_settle_530100!L:R,7,FALSE),VLOOKUP(tables_settle_530100!C296,input_settle_530100!A:H,8,FALSE))</f>
        <v>82720</v>
      </c>
      <c r="P296" s="46">
        <f t="shared" ca="1" si="13"/>
        <v>1.3333333333298949E-3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input_530100!A$2</f>
        <v>530100</v>
      </c>
      <c r="B297" s="5">
        <v>939</v>
      </c>
      <c r="C297" s="7" t="str">
        <f t="shared" si="14"/>
        <v>Premium4R3less</v>
      </c>
      <c r="D297" s="7" t="str">
        <f t="shared" si="15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IFERROR(VLOOKUP(B297,input_settle_530100!L:R,7,FALSE),VLOOKUP(tables_settle_530100!C297,input_settle_530100!A:H,8,FALSE))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input_530100!A$2</f>
        <v>530100</v>
      </c>
      <c r="B298" s="5">
        <v>940</v>
      </c>
      <c r="C298" s="7" t="str">
        <f t="shared" si="14"/>
        <v>Premium5R3less</v>
      </c>
      <c r="D298" s="7" t="str">
        <f t="shared" si="15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IFERROR(VLOOKUP(B298,input_settle_530100!L:R,7,FALSE),VLOOKUP(tables_settle_530100!C298,input_settle_530100!A:H,8,FALSE))</f>
        <v>620400</v>
      </c>
      <c r="P298" s="46">
        <f t="shared" ca="1" si="13"/>
        <v>9.9999999999742118E-3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input_530100!A$2</f>
        <v>530100</v>
      </c>
      <c r="B299" s="5">
        <v>941</v>
      </c>
      <c r="C299" s="7" t="str">
        <f t="shared" si="14"/>
        <v>PremiumSS5R5only</v>
      </c>
      <c r="D299" s="7" t="str">
        <f t="shared" si="15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IFERROR(VLOOKUP(B299,input_settle_530100!L:R,7,FALSE),VLOOKUP(tables_settle_530100!C299,input_settle_530100!A:H,8,FALSE))</f>
        <v>82720</v>
      </c>
      <c r="P299" s="46">
        <f t="shared" ca="1" si="13"/>
        <v>1.3333333333298949E-3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input_530100!A$2</f>
        <v>530100</v>
      </c>
      <c r="B300" s="5">
        <v>943</v>
      </c>
      <c r="C300" s="7" t="str">
        <f t="shared" si="14"/>
        <v>PremiumSS5R5only</v>
      </c>
      <c r="D300" s="7" t="str">
        <f t="shared" si="15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IFERROR(VLOOKUP(B300,input_settle_530100!L:R,7,FALSE),VLOOKUP(tables_settle_530100!C300,input_settle_530100!A:H,8,FALSE))</f>
        <v>82720</v>
      </c>
      <c r="P300" s="46">
        <f t="shared" ca="1" si="13"/>
        <v>1.3333333333298949E-3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input_530100!A$2</f>
        <v>530100</v>
      </c>
      <c r="B301" s="5">
        <v>1012</v>
      </c>
      <c r="C301" s="7" t="str">
        <f t="shared" si="14"/>
        <v>PremiumSS5R5only</v>
      </c>
      <c r="D301" s="7" t="str">
        <f t="shared" si="15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IFERROR(VLOOKUP(B301,input_settle_530100!L:R,7,FALSE),VLOOKUP(tables_settle_530100!C301,input_settle_530100!A:H,8,FALSE))</f>
        <v>82720</v>
      </c>
      <c r="P301" s="46">
        <f t="shared" ca="1" si="13"/>
        <v>1.3333333333298949E-3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input_530100!A$2</f>
        <v>530100</v>
      </c>
      <c r="B302" s="5">
        <v>1014</v>
      </c>
      <c r="C302" s="7" t="str">
        <f t="shared" si="14"/>
        <v>PremiumSS5R5only</v>
      </c>
      <c r="D302" s="7" t="str">
        <f t="shared" si="15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IFERROR(VLOOKUP(B302,input_settle_530100!L:R,7,FALSE),VLOOKUP(tables_settle_530100!C302,input_settle_530100!A:H,8,FALSE))</f>
        <v>82720</v>
      </c>
      <c r="P302" s="46">
        <f t="shared" ca="1" si="13"/>
        <v>1.3333333333298949E-3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input_530100!A$2</f>
        <v>530100</v>
      </c>
      <c r="B303" s="5">
        <v>1016</v>
      </c>
      <c r="C303" s="7" t="str">
        <f t="shared" si="14"/>
        <v>Premium4R3less</v>
      </c>
      <c r="D303" s="7" t="str">
        <f t="shared" si="15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IFERROR(VLOOKUP(B303,input_settle_530100!L:R,7,FALSE),VLOOKUP(tables_settle_530100!C303,input_settle_530100!A:H,8,FALSE))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input_530100!A$2</f>
        <v>530100</v>
      </c>
      <c r="B304" s="5">
        <v>1017</v>
      </c>
      <c r="C304" s="7" t="str">
        <f t="shared" si="14"/>
        <v>Premium5R3less</v>
      </c>
      <c r="D304" s="7" t="str">
        <f t="shared" si="15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IFERROR(VLOOKUP(B304,input_settle_530100!L:R,7,FALSE),VLOOKUP(tables_settle_530100!C304,input_settle_530100!A:H,8,FALSE))</f>
        <v>620400</v>
      </c>
      <c r="P304" s="46">
        <f t="shared" ca="1" si="13"/>
        <v>9.9999999999742118E-3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input_530100!A$2</f>
        <v>530100</v>
      </c>
      <c r="B305" s="5">
        <v>1018</v>
      </c>
      <c r="C305" s="7" t="str">
        <f t="shared" si="14"/>
        <v>PremiumSS5R5only</v>
      </c>
      <c r="D305" s="7" t="str">
        <f t="shared" si="15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IFERROR(VLOOKUP(B305,input_settle_530100!L:R,7,FALSE),VLOOKUP(tables_settle_530100!C305,input_settle_530100!A:H,8,FALSE))</f>
        <v>82720</v>
      </c>
      <c r="P305" s="46">
        <f t="shared" ca="1" si="13"/>
        <v>1.3333333333298949E-3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input_530100!A$2</f>
        <v>530100</v>
      </c>
      <c r="B306" s="5">
        <v>1026</v>
      </c>
      <c r="C306" s="7" t="str">
        <f t="shared" si="14"/>
        <v>Premium4R3less</v>
      </c>
      <c r="D306" s="7" t="str">
        <f t="shared" si="15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IFERROR(VLOOKUP(B306,input_settle_530100!L:R,7,FALSE),VLOOKUP(tables_settle_530100!C306,input_settle_530100!A:H,8,FALSE))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input_530100!A$2</f>
        <v>530100</v>
      </c>
      <c r="B307" s="5">
        <v>1027</v>
      </c>
      <c r="C307" s="7" t="str">
        <f t="shared" si="14"/>
        <v>Premium5R3less</v>
      </c>
      <c r="D307" s="7" t="str">
        <f t="shared" si="15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IFERROR(VLOOKUP(B307,input_settle_530100!L:R,7,FALSE),VLOOKUP(tables_settle_530100!C307,input_settle_530100!A:H,8,FALSE))</f>
        <v>620400</v>
      </c>
      <c r="P307" s="46">
        <f t="shared" ca="1" si="13"/>
        <v>9.9999999999742118E-3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input_530100!A$2</f>
        <v>530100</v>
      </c>
      <c r="B308" s="5">
        <v>1028</v>
      </c>
      <c r="C308" s="7" t="str">
        <f t="shared" si="14"/>
        <v>PremiumSS5R5only</v>
      </c>
      <c r="D308" s="7" t="str">
        <f t="shared" si="15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IFERROR(VLOOKUP(B308,input_settle_530100!L:R,7,FALSE),VLOOKUP(tables_settle_530100!C308,input_settle_530100!A:H,8,FALSE))</f>
        <v>82720</v>
      </c>
      <c r="P308" s="46">
        <f t="shared" ca="1" si="13"/>
        <v>1.3333333333298949E-3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input_530100!A$2</f>
        <v>530100</v>
      </c>
      <c r="B309" s="5">
        <v>1031</v>
      </c>
      <c r="C309" s="7" t="str">
        <f t="shared" si="14"/>
        <v>PremiumSS5R5only</v>
      </c>
      <c r="D309" s="7" t="str">
        <f t="shared" si="15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IFERROR(VLOOKUP(B309,input_settle_530100!L:R,7,FALSE),VLOOKUP(tables_settle_530100!C309,input_settle_530100!A:H,8,FALSE))</f>
        <v>82720</v>
      </c>
      <c r="P309" s="46">
        <f t="shared" ca="1" si="13"/>
        <v>1.3333333333298949E-3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input_530100!A$2</f>
        <v>530100</v>
      </c>
      <c r="B310" s="5">
        <v>1033</v>
      </c>
      <c r="C310" s="7" t="str">
        <f t="shared" si="14"/>
        <v>PremiumSS5R5only</v>
      </c>
      <c r="D310" s="7" t="str">
        <f t="shared" si="15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IFERROR(VLOOKUP(B310,input_settle_530100!L:R,7,FALSE),VLOOKUP(tables_settle_530100!C310,input_settle_530100!A:H,8,FALSE))</f>
        <v>82720</v>
      </c>
      <c r="P310" s="46">
        <f t="shared" ca="1" si="13"/>
        <v>1.3333333333298949E-3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input_530100!A$2</f>
        <v>530100</v>
      </c>
      <c r="B311" s="5">
        <v>1067</v>
      </c>
      <c r="C311" s="7" t="str">
        <f t="shared" si="14"/>
        <v>Premium4R3less</v>
      </c>
      <c r="D311" s="7" t="str">
        <f t="shared" si="15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IFERROR(VLOOKUP(B311,input_settle_530100!L:R,7,FALSE),VLOOKUP(tables_settle_530100!C311,input_settle_530100!A:H,8,FALSE))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input_530100!A$2</f>
        <v>530100</v>
      </c>
      <c r="B312" s="5">
        <v>1068</v>
      </c>
      <c r="C312" s="7" t="str">
        <f t="shared" si="14"/>
        <v>Premium5R3less</v>
      </c>
      <c r="D312" s="7" t="str">
        <f t="shared" si="15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IFERROR(VLOOKUP(B312,input_settle_530100!L:R,7,FALSE),VLOOKUP(tables_settle_530100!C312,input_settle_530100!A:H,8,FALSE))</f>
        <v>620400</v>
      </c>
      <c r="P312" s="46">
        <f t="shared" ca="1" si="13"/>
        <v>9.9999999999742118E-3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input_530100!A$2</f>
        <v>530100</v>
      </c>
      <c r="B313" s="5">
        <v>1069</v>
      </c>
      <c r="C313" s="7" t="str">
        <f t="shared" si="14"/>
        <v>PremiumSS5R5only</v>
      </c>
      <c r="D313" s="7" t="str">
        <f t="shared" si="15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IFERROR(VLOOKUP(B313,input_settle_530100!L:R,7,FALSE),VLOOKUP(tables_settle_530100!C313,input_settle_530100!A:H,8,FALSE))</f>
        <v>82720</v>
      </c>
      <c r="P313" s="46">
        <f t="shared" ca="1" si="13"/>
        <v>1.3333333333298949E-3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input_530100!A$2</f>
        <v>530100</v>
      </c>
      <c r="B314" s="5">
        <v>1072</v>
      </c>
      <c r="C314" s="7" t="str">
        <f t="shared" si="14"/>
        <v>PremiumSS5R5only</v>
      </c>
      <c r="D314" s="7" t="str">
        <f t="shared" si="15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IFERROR(VLOOKUP(B314,input_settle_530100!L:R,7,FALSE),VLOOKUP(tables_settle_530100!C314,input_settle_530100!A:H,8,FALSE))</f>
        <v>82720</v>
      </c>
      <c r="P314" s="46">
        <f t="shared" ca="1" si="13"/>
        <v>1.3333333333298949E-3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input_530100!A$2</f>
        <v>530100</v>
      </c>
      <c r="B315" s="5">
        <v>1074</v>
      </c>
      <c r="C315" s="7" t="str">
        <f t="shared" si="14"/>
        <v>PremiumSS5R5only</v>
      </c>
      <c r="D315" s="7" t="str">
        <f t="shared" si="15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IFERROR(VLOOKUP(B315,input_settle_530100!L:R,7,FALSE),VLOOKUP(tables_settle_530100!C315,input_settle_530100!A:H,8,FALSE))</f>
        <v>82720</v>
      </c>
      <c r="P315" s="46">
        <f t="shared" ca="1" si="13"/>
        <v>1.3333333333298949E-3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input_530100!A$2</f>
        <v>530100</v>
      </c>
      <c r="B316" s="5">
        <v>1100</v>
      </c>
      <c r="C316" s="7" t="str">
        <f t="shared" si="14"/>
        <v>PremiumSS5R5only</v>
      </c>
      <c r="D316" s="7" t="str">
        <f t="shared" si="15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IFERROR(VLOOKUP(B316,input_settle_530100!L:R,7,FALSE),VLOOKUP(tables_settle_530100!C316,input_settle_530100!A:H,8,FALSE))</f>
        <v>82720</v>
      </c>
      <c r="P316" s="46">
        <f t="shared" ca="1" si="13"/>
        <v>1.3333333333298949E-3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input_530100!A$2</f>
        <v>530100</v>
      </c>
      <c r="B317" s="5">
        <v>1102</v>
      </c>
      <c r="C317" s="7" t="str">
        <f t="shared" si="14"/>
        <v>PremiumSS5R5only</v>
      </c>
      <c r="D317" s="7" t="str">
        <f t="shared" si="15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IFERROR(VLOOKUP(B317,input_settle_530100!L:R,7,FALSE),VLOOKUP(tables_settle_530100!C317,input_settle_530100!A:H,8,FALSE))</f>
        <v>82720</v>
      </c>
      <c r="P317" s="46">
        <f t="shared" ca="1" si="13"/>
        <v>1.3333333333298949E-3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input_530100!A$2</f>
        <v>530100</v>
      </c>
      <c r="B318" s="5">
        <v>1104</v>
      </c>
      <c r="C318" s="7" t="str">
        <f t="shared" si="14"/>
        <v>Premium4R3less</v>
      </c>
      <c r="D318" s="7" t="str">
        <f t="shared" si="15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IFERROR(VLOOKUP(B318,input_settle_530100!L:R,7,FALSE),VLOOKUP(tables_settle_530100!C318,input_settle_530100!A:H,8,FALSE))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input_530100!A$2</f>
        <v>530100</v>
      </c>
      <c r="B319" s="5">
        <v>1105</v>
      </c>
      <c r="C319" s="7" t="str">
        <f t="shared" si="14"/>
        <v>Premium5R3less</v>
      </c>
      <c r="D319" s="7" t="str">
        <f t="shared" si="15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IFERROR(VLOOKUP(B319,input_settle_530100!L:R,7,FALSE),VLOOKUP(tables_settle_530100!C319,input_settle_530100!A:H,8,FALSE))</f>
        <v>620400</v>
      </c>
      <c r="P319" s="46">
        <f t="shared" ca="1" si="13"/>
        <v>9.9999999999742118E-3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input_530100!A$2</f>
        <v>530100</v>
      </c>
      <c r="B320" s="5">
        <v>1106</v>
      </c>
      <c r="C320" s="7" t="str">
        <f t="shared" si="14"/>
        <v>PremiumSS5R5only</v>
      </c>
      <c r="D320" s="7" t="str">
        <f t="shared" si="15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IFERROR(VLOOKUP(B320,input_settle_530100!L:R,7,FALSE),VLOOKUP(tables_settle_530100!C320,input_settle_530100!A:H,8,FALSE))</f>
        <v>82720</v>
      </c>
      <c r="P320" s="46">
        <f t="shared" ca="1" si="13"/>
        <v>1.3333333333298949E-3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input_530100!A$2</f>
        <v>530100</v>
      </c>
      <c r="B321" s="5">
        <v>1137</v>
      </c>
      <c r="C321" s="7" t="str">
        <f t="shared" si="14"/>
        <v>PremiumSS5R5only</v>
      </c>
      <c r="D321" s="7" t="str">
        <f t="shared" si="15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IFERROR(VLOOKUP(B321,input_settle_530100!L:R,7,FALSE),VLOOKUP(tables_settle_530100!C321,input_settle_530100!A:H,8,FALSE))</f>
        <v>82720</v>
      </c>
      <c r="P321" s="46">
        <f t="shared" ca="1" si="13"/>
        <v>1.3333333333298949E-3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input_530100!A$2</f>
        <v>530100</v>
      </c>
      <c r="B322" s="5">
        <v>1139</v>
      </c>
      <c r="C322" s="7" t="str">
        <f t="shared" si="14"/>
        <v>PremiumSS5R5only</v>
      </c>
      <c r="D322" s="7" t="str">
        <f t="shared" si="15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IFERROR(VLOOKUP(B322,input_settle_530100!L:R,7,FALSE),VLOOKUP(tables_settle_530100!C322,input_settle_530100!A:H,8,FALSE))</f>
        <v>82720</v>
      </c>
      <c r="P322" s="46">
        <f t="shared" ref="P322:P385" ca="1" si="16">O322/SUM(O:O)</f>
        <v>1.3333333333298949E-3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input_530100!A$2</f>
        <v>530100</v>
      </c>
      <c r="B323" s="5">
        <v>1141</v>
      </c>
      <c r="C323" s="7" t="str">
        <f t="shared" ref="C323:C350" si="17">D323&amp;J323&amp;E323&amp;F323&amp;G323</f>
        <v>PremiumSS5R5only</v>
      </c>
      <c r="D323" s="7" t="str">
        <f t="shared" ref="D323:D350" si="18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IFERROR(VLOOKUP(B323,input_settle_530100!L:R,7,FALSE),VLOOKUP(tables_settle_530100!C323,input_settle_530100!A:H,8,FALSE))</f>
        <v>82720</v>
      </c>
      <c r="P323" s="46">
        <f t="shared" ca="1" si="16"/>
        <v>1.3333333333298949E-3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input_530100!A$2</f>
        <v>530100</v>
      </c>
      <c r="B324" s="2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IFERROR(VLOOKUP(B324,input_settle_530100!L:R,7,FALSE),VLOOKUP(tables_settle_530100!C324,input_settle_530100!A:H,8,FALSE))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input_530100!A$2</f>
        <v>530100</v>
      </c>
      <c r="B325" s="2">
        <v>1144</v>
      </c>
      <c r="C325" s="7" t="str">
        <f t="shared" si="17"/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IFERROR(VLOOKUP(B325,input_settle_530100!L:R,7,FALSE),VLOOKUP(tables_settle_530100!C325,input_settle_530100!A:H,8,FALSE))</f>
        <v>620400</v>
      </c>
      <c r="P325" s="46">
        <f t="shared" ca="1" si="16"/>
        <v>9.9999999999742118E-3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input_530100!A$2</f>
        <v>530100</v>
      </c>
      <c r="B326" s="2">
        <v>1151</v>
      </c>
      <c r="C326" s="7" t="str">
        <f t="shared" si="17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IFERROR(VLOOKUP(B326,input_settle_530100!L:R,7,FALSE),VLOOKUP(tables_settle_530100!C326,input_settle_530100!A:H,8,FALSE))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input_530100!A$2</f>
        <v>530100</v>
      </c>
      <c r="B327" s="2">
        <v>1152</v>
      </c>
      <c r="C327" s="7" t="str">
        <f t="shared" si="17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IFERROR(VLOOKUP(B327,input_settle_530100!L:R,7,FALSE),VLOOKUP(tables_settle_530100!C327,input_settle_530100!A:H,8,FALSE))</f>
        <v>620400</v>
      </c>
      <c r="P327" s="46">
        <f t="shared" ca="1" si="16"/>
        <v>9.9999999999742118E-3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input_530100!A$2</f>
        <v>530100</v>
      </c>
      <c r="B328" s="2">
        <v>1153</v>
      </c>
      <c r="C328" s="7" t="str">
        <f t="shared" si="17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IFERROR(VLOOKUP(B328,input_settle_530100!L:R,7,FALSE),VLOOKUP(tables_settle_530100!C328,input_settle_530100!A:H,8,FALSE))</f>
        <v>82720</v>
      </c>
      <c r="P328" s="46">
        <f t="shared" ca="1" si="16"/>
        <v>1.3333333333298949E-3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input_530100!A$2</f>
        <v>530100</v>
      </c>
      <c r="B329" s="2">
        <v>1155</v>
      </c>
      <c r="C329" s="7" t="str">
        <f t="shared" si="17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IFERROR(VLOOKUP(B329,input_settle_530100!L:R,7,FALSE),VLOOKUP(tables_settle_530100!C329,input_settle_530100!A:H,8,FALSE))</f>
        <v>82720</v>
      </c>
      <c r="P329" s="46">
        <f t="shared" ca="1" si="16"/>
        <v>1.3333333333298949E-3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input_530100!A$2</f>
        <v>530100</v>
      </c>
      <c r="B330" s="2">
        <v>1157</v>
      </c>
      <c r="C330" s="7" t="str">
        <f t="shared" si="17"/>
        <v>PremiumSS5R5only</v>
      </c>
      <c r="D330" s="7" t="str">
        <f t="shared" si="18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IFERROR(VLOOKUP(B330,input_settle_530100!L:R,7,FALSE),VLOOKUP(tables_settle_530100!C330,input_settle_530100!A:H,8,FALSE))</f>
        <v>82720</v>
      </c>
      <c r="P330" s="46">
        <f t="shared" ca="1" si="16"/>
        <v>1.3333333333298949E-3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input_530100!A$2</f>
        <v>530100</v>
      </c>
      <c r="B331" s="60">
        <v>1214</v>
      </c>
      <c r="C331" s="7" t="str">
        <f t="shared" si="17"/>
        <v>PremiumSS5R5only</v>
      </c>
      <c r="D331" s="7" t="str">
        <f t="shared" si="18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IFERROR(VLOOKUP(B331,input_settle_530100!L:R,7,FALSE),VLOOKUP(tables_settle_530100!C331,input_settle_530100!A:H,8,FALSE))</f>
        <v>82720</v>
      </c>
      <c r="P331" s="46">
        <f t="shared" ca="1" si="16"/>
        <v>1.3333333333298949E-3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input_530100!A$2</f>
        <v>530100</v>
      </c>
      <c r="B332" s="60">
        <v>1212</v>
      </c>
      <c r="C332" s="7" t="str">
        <f t="shared" si="17"/>
        <v>PremiumSS5R5only</v>
      </c>
      <c r="D332" s="7" t="str">
        <f t="shared" si="1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IFERROR(VLOOKUP(B332,input_settle_530100!L:R,7,FALSE),VLOOKUP(tables_settle_530100!C332,input_settle_530100!A:H,8,FALSE))</f>
        <v>82720</v>
      </c>
      <c r="P332" s="46">
        <f t="shared" ca="1" si="16"/>
        <v>1.3333333333298949E-3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input_530100!A$2</f>
        <v>530100</v>
      </c>
      <c r="B333" s="60">
        <v>1208</v>
      </c>
      <c r="C333" s="7" t="str">
        <f t="shared" si="17"/>
        <v>PremiumSS5R5only</v>
      </c>
      <c r="D333" s="7" t="str">
        <f t="shared" si="1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IFERROR(VLOOKUP(B333,input_settle_530100!L:R,7,FALSE),VLOOKUP(tables_settle_530100!C333,input_settle_530100!A:H,8,FALSE))</f>
        <v>82720</v>
      </c>
      <c r="P333" s="46">
        <f t="shared" ca="1" si="16"/>
        <v>1.3333333333298949E-3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input_530100!A$2</f>
        <v>530100</v>
      </c>
      <c r="B334" s="93">
        <v>1210</v>
      </c>
      <c r="C334" s="7" t="str">
        <f t="shared" si="17"/>
        <v>Premium4R3less</v>
      </c>
      <c r="D334" s="7" t="str">
        <f t="shared" si="1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IFERROR(VLOOKUP(B334,input_settle_530100!L:R,7,FALSE),VLOOKUP(tables_settle_530100!C334,input_settle_530100!A:H,8,FALSE))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input_530100!A$2</f>
        <v>530100</v>
      </c>
      <c r="B335" s="60">
        <v>1211</v>
      </c>
      <c r="C335" s="7" t="str">
        <f t="shared" si="17"/>
        <v>Premium5R3less</v>
      </c>
      <c r="D335" s="7" t="str">
        <f t="shared" si="1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IFERROR(VLOOKUP(B335,input_settle_530100!L:R,7,FALSE),VLOOKUP(tables_settle_530100!C335,input_settle_530100!A:H,8,FALSE))</f>
        <v>620400</v>
      </c>
      <c r="P335" s="46">
        <f t="shared" ca="1" si="16"/>
        <v>9.9999999999742118E-3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input_530100!A$2</f>
        <v>530100</v>
      </c>
      <c r="B336" s="2">
        <v>1224</v>
      </c>
      <c r="C336" s="7" t="str">
        <f t="shared" si="17"/>
        <v>Premium4R3less</v>
      </c>
      <c r="D336" s="7" t="str">
        <f t="shared" si="1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IFERROR(VLOOKUP(B336,input_settle_530100!L:R,7,FALSE),VLOOKUP(tables_settle_530100!C336,input_settle_530100!A:H,8,FALSE))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input_530100!A$2</f>
        <v>530100</v>
      </c>
      <c r="B337" s="2">
        <v>1225</v>
      </c>
      <c r="C337" s="7" t="str">
        <f t="shared" si="17"/>
        <v>Premium5R3less</v>
      </c>
      <c r="D337" s="7" t="str">
        <f t="shared" si="1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IFERROR(VLOOKUP(B337,input_settle_530100!L:R,7,FALSE),VLOOKUP(tables_settle_530100!C337,input_settle_530100!A:H,8,FALSE))</f>
        <v>620400</v>
      </c>
      <c r="P337" s="46">
        <f t="shared" ca="1" si="16"/>
        <v>9.9999999999742118E-3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input_530100!A$2</f>
        <v>530100</v>
      </c>
      <c r="B338" s="2">
        <v>1226</v>
      </c>
      <c r="C338" s="7" t="str">
        <f t="shared" si="17"/>
        <v>PremiumSS5R5only</v>
      </c>
      <c r="D338" s="7" t="str">
        <f t="shared" si="1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IFERROR(VLOOKUP(B338,input_settle_530100!L:R,7,FALSE),VLOOKUP(tables_settle_530100!C338,input_settle_530100!A:H,8,FALSE))</f>
        <v>82720</v>
      </c>
      <c r="P338" s="46">
        <f t="shared" ca="1" si="16"/>
        <v>1.3333333333298949E-3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input_530100!A$2</f>
        <v>530100</v>
      </c>
      <c r="B339" s="2">
        <v>1228</v>
      </c>
      <c r="C339" s="7" t="str">
        <f t="shared" si="17"/>
        <v>PremiumSS5R5only</v>
      </c>
      <c r="D339" s="7" t="str">
        <f t="shared" si="1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IFERROR(VLOOKUP(B339,input_settle_530100!L:R,7,FALSE),VLOOKUP(tables_settle_530100!C339,input_settle_530100!A:H,8,FALSE))</f>
        <v>82720</v>
      </c>
      <c r="P339" s="46">
        <f t="shared" ca="1" si="16"/>
        <v>1.3333333333298949E-3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input_530100!A$2</f>
        <v>530100</v>
      </c>
      <c r="B340" s="2">
        <v>1230</v>
      </c>
      <c r="C340" s="7" t="str">
        <f t="shared" si="17"/>
        <v>PremiumSS5R5only</v>
      </c>
      <c r="D340" s="7" t="str">
        <f t="shared" si="1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IFERROR(VLOOKUP(B340,input_settle_530100!L:R,7,FALSE),VLOOKUP(tables_settle_530100!C340,input_settle_530100!A:H,8,FALSE))</f>
        <v>82720</v>
      </c>
      <c r="P340" s="46">
        <f t="shared" ca="1" si="16"/>
        <v>1.3333333333298949E-3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input_530100!A$2</f>
        <v>530100</v>
      </c>
      <c r="B341" s="98">
        <v>1244</v>
      </c>
      <c r="C341" s="7" t="str">
        <f t="shared" si="17"/>
        <v>PremiumSS5R5only</v>
      </c>
      <c r="D341" s="7" t="str">
        <f t="shared" si="18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IFERROR(VLOOKUP(B341,input_settle_530100!L:R,7,FALSE),VLOOKUP(tables_settle_530100!C341,input_settle_530100!A:H,8,FALSE))</f>
        <v>82720</v>
      </c>
      <c r="P341" s="46">
        <f t="shared" ca="1" si="16"/>
        <v>1.3333333333298949E-3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input_530100!A$2</f>
        <v>530100</v>
      </c>
      <c r="B342" s="98">
        <v>1246</v>
      </c>
      <c r="C342" s="7" t="str">
        <f t="shared" si="17"/>
        <v>PremiumSS5R5only</v>
      </c>
      <c r="D342" s="7" t="str">
        <f t="shared" si="18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IFERROR(VLOOKUP(B342,input_settle_530100!L:R,7,FALSE),VLOOKUP(tables_settle_530100!C342,input_settle_530100!A:H,8,FALSE))</f>
        <v>82720</v>
      </c>
      <c r="P342" s="46">
        <f t="shared" ca="1" si="16"/>
        <v>1.3333333333298949E-3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input_530100!A$2</f>
        <v>530100</v>
      </c>
      <c r="B343" s="98">
        <v>1248</v>
      </c>
      <c r="C343" s="7" t="str">
        <f t="shared" si="17"/>
        <v>Premium4R3less</v>
      </c>
      <c r="D343" s="7" t="str">
        <f t="shared" si="18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IFERROR(VLOOKUP(B343,input_settle_530100!L:R,7,FALSE),VLOOKUP(tables_settle_530100!C343,input_settle_530100!A:H,8,FALSE))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input_530100!A$2</f>
        <v>530100</v>
      </c>
      <c r="B344" s="98">
        <v>1249</v>
      </c>
      <c r="C344" s="7" t="str">
        <f t="shared" si="17"/>
        <v>Premium5R3less</v>
      </c>
      <c r="D344" s="7" t="str">
        <f t="shared" si="18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IFERROR(VLOOKUP(B344,input_settle_530100!L:R,7,FALSE),VLOOKUP(tables_settle_530100!C344,input_settle_530100!A:H,8,FALSE))</f>
        <v>620400</v>
      </c>
      <c r="P344" s="46">
        <f t="shared" ca="1" si="16"/>
        <v>9.9999999999742118E-3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input_530100!A$2</f>
        <v>530100</v>
      </c>
      <c r="B345" s="98">
        <v>1250</v>
      </c>
      <c r="C345" s="7" t="str">
        <f t="shared" si="17"/>
        <v>PremiumSS5R5only</v>
      </c>
      <c r="D345" s="7" t="str">
        <f t="shared" si="18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IFERROR(VLOOKUP(B345,input_settle_530100!L:R,7,FALSE),VLOOKUP(tables_settle_530100!C345,input_settle_530100!A:H,8,FALSE))</f>
        <v>82720</v>
      </c>
      <c r="P345" s="46">
        <f t="shared" ca="1" si="16"/>
        <v>1.3333333333298949E-3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input_530100!A$2</f>
        <v>530100</v>
      </c>
      <c r="B346" s="1">
        <v>1424</v>
      </c>
      <c r="C346" s="7" t="str">
        <f t="shared" si="17"/>
        <v>PremiumSSS6R3less</v>
      </c>
      <c r="D346" s="7" t="str">
        <f t="shared" si="18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IFERROR(VLOOKUP(B346,input_settle_530100!L:R,7,FALSE),VLOOKUP(tables_settle_530100!C346,input_settle_530100!A:H,8,FALSE))</f>
        <v>248160</v>
      </c>
      <c r="P346" s="46">
        <f t="shared" ca="1" si="16"/>
        <v>3.9999999999896846E-3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input_530100!A$2</f>
        <v>530100</v>
      </c>
      <c r="B347" s="1">
        <v>1049</v>
      </c>
      <c r="C347" s="7" t="str">
        <f t="shared" si="17"/>
        <v>PremiumSSS6R3less</v>
      </c>
      <c r="D347" s="7" t="str">
        <f t="shared" si="18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深秘の水宙 メビウス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IFERROR(VLOOKUP(B347,input_settle_530100!L:R,7,FALSE),VLOOKUP(tables_settle_530100!C347,input_settle_530100!A:H,8,FALSE))</f>
        <v>248160</v>
      </c>
      <c r="P347" s="46">
        <f t="shared" ca="1" si="16"/>
        <v>3.9999999999896846E-3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input_530100!A$2</f>
        <v>530100</v>
      </c>
      <c r="B348" s="1">
        <v>1045</v>
      </c>
      <c r="C348" s="7" t="str">
        <f t="shared" si="17"/>
        <v>PremiumSSS6R3less</v>
      </c>
      <c r="D348" s="7" t="str">
        <f t="shared" si="18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漂解の海原 シュレディンガー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IFERROR(VLOOKUP(B348,input_settle_530100!L:R,7,FALSE),VLOOKUP(tables_settle_530100!C348,input_settle_530100!A:H,8,FALSE))</f>
        <v>248160</v>
      </c>
      <c r="P348" s="46">
        <f t="shared" ca="1" si="16"/>
        <v>3.9999999999896846E-3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input_530100!A$2</f>
        <v>530100</v>
      </c>
      <c r="B349" s="1">
        <v>1048</v>
      </c>
      <c r="C349" s="7" t="str">
        <f t="shared" si="17"/>
        <v>Premium5R3less</v>
      </c>
      <c r="D349" s="7" t="str">
        <f t="shared" si="1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砂上の城主竜 ケツァクアトル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hp</v>
      </c>
      <c r="M349" s="7" t="str">
        <f>VLOOKUP(B349,[1]characters!$A:$M,13,FALSE)</f>
        <v>dragon</v>
      </c>
      <c r="N349" s="7" t="str">
        <f>VLOOKUP(B349,[1]characters!$A:$G,7,FALSE)</f>
        <v>男性</v>
      </c>
      <c r="O349" s="45">
        <f>IFERROR(VLOOKUP(B349,input_settle_530100!L:R,7,FALSE),VLOOKUP(tables_settle_530100!C349,input_settle_530100!A:H,8,FALSE))</f>
        <v>4342800</v>
      </c>
      <c r="P349" s="46">
        <f t="shared" ca="1" si="16"/>
        <v>6.9999999999819484E-2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input_530100!A$2</f>
        <v>530100</v>
      </c>
      <c r="B350" s="1">
        <v>1052</v>
      </c>
      <c r="C350" s="7" t="str">
        <f t="shared" si="17"/>
        <v>Premium5R3less</v>
      </c>
      <c r="D350" s="7" t="str">
        <f t="shared" si="1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戯魚群の潜光 バルドル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heal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IFERROR(VLOOKUP(B350,input_settle_530100!L:R,7,FALSE),VLOOKUP(tables_settle_530100!C350,input_settle_530100!A:H,8,FALSE))</f>
        <v>4342800</v>
      </c>
      <c r="P350" s="46">
        <f t="shared" ca="1" si="16"/>
        <v>6.9999999999819484E-2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/>
      <c r="B2" s="100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input_530010</vt:lpstr>
      <vt:lpstr>tables_530010</vt:lpstr>
      <vt:lpstr>input_530100</vt:lpstr>
      <vt:lpstr>tables_530100</vt:lpstr>
      <vt:lpstr>input_settle_530100</vt:lpstr>
      <vt:lpstr>tables_settle_530100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2017-02-17T13:17:29Z</dcterms:modified>
</cp:coreProperties>
</file>