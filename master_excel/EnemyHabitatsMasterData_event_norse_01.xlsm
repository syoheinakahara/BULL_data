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640" yWindow="2840" windowWidth="37760" windowHeight="1716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21" l="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AD3" i="1"/>
  <c r="AE3" i="1"/>
  <c r="B2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J82" i="11"/>
  <c r="O82" i="9"/>
  <c r="N82" i="9"/>
  <c r="M82" i="9"/>
  <c r="L82" i="9"/>
  <c r="K82" i="9"/>
  <c r="J82" i="9"/>
  <c r="I82" i="9"/>
  <c r="H82" i="9"/>
  <c r="G82" i="9"/>
  <c r="E82" i="9"/>
  <c r="D82" i="9"/>
  <c r="A82" i="9"/>
  <c r="J81" i="11"/>
  <c r="O81" i="9"/>
  <c r="N81" i="9"/>
  <c r="M81" i="9"/>
  <c r="L81" i="9"/>
  <c r="K81" i="9"/>
  <c r="J81" i="9"/>
  <c r="I81" i="9"/>
  <c r="H81" i="9"/>
  <c r="G81" i="9"/>
  <c r="E81" i="9"/>
  <c r="D81" i="9"/>
  <c r="A81" i="9"/>
  <c r="J80" i="11"/>
  <c r="O80" i="9"/>
  <c r="N80" i="9"/>
  <c r="M80" i="9"/>
  <c r="L80" i="9"/>
  <c r="K80" i="9"/>
  <c r="J80" i="9"/>
  <c r="I80" i="9"/>
  <c r="H80" i="9"/>
  <c r="G80" i="9"/>
  <c r="E80" i="9"/>
  <c r="D80" i="9"/>
  <c r="A80" i="9"/>
  <c r="J79" i="11"/>
  <c r="O79" i="9"/>
  <c r="N79" i="9"/>
  <c r="M79" i="9"/>
  <c r="L79" i="9"/>
  <c r="K79" i="9"/>
  <c r="J79" i="9"/>
  <c r="I79" i="9"/>
  <c r="H79" i="9"/>
  <c r="G79" i="9"/>
  <c r="E79" i="9"/>
  <c r="D79" i="9"/>
  <c r="A79" i="9"/>
  <c r="J78" i="11"/>
  <c r="O78" i="9"/>
  <c r="N78" i="9"/>
  <c r="M78" i="9"/>
  <c r="L78" i="9"/>
  <c r="K78" i="9"/>
  <c r="J78" i="9"/>
  <c r="I78" i="9"/>
  <c r="H78" i="9"/>
  <c r="G78" i="9"/>
  <c r="E78" i="9"/>
  <c r="D78" i="9"/>
  <c r="A78" i="9"/>
  <c r="J77" i="11"/>
  <c r="O77" i="9"/>
  <c r="N77" i="9"/>
  <c r="M77" i="9"/>
  <c r="L77" i="9"/>
  <c r="K77" i="9"/>
  <c r="J77" i="9"/>
  <c r="I77" i="9"/>
  <c r="H77" i="9"/>
  <c r="G77" i="9"/>
  <c r="E77" i="9"/>
  <c r="D77" i="9"/>
  <c r="A77" i="9"/>
  <c r="J76" i="11"/>
  <c r="O76" i="9"/>
  <c r="N76" i="9"/>
  <c r="M76" i="9"/>
  <c r="L76" i="9"/>
  <c r="K76" i="9"/>
  <c r="J76" i="9"/>
  <c r="I76" i="9"/>
  <c r="H76" i="9"/>
  <c r="G76" i="9"/>
  <c r="E76" i="9"/>
  <c r="D76" i="9"/>
  <c r="A76" i="9"/>
  <c r="J75" i="11"/>
  <c r="O75" i="9"/>
  <c r="N75" i="9"/>
  <c r="M75" i="9"/>
  <c r="L75" i="9"/>
  <c r="K75" i="9"/>
  <c r="J75" i="9"/>
  <c r="I75" i="9"/>
  <c r="H75" i="9"/>
  <c r="G75" i="9"/>
  <c r="E75" i="9"/>
  <c r="D75" i="9"/>
  <c r="A75" i="9"/>
  <c r="J74" i="11"/>
  <c r="O74" i="9"/>
  <c r="N74" i="9"/>
  <c r="M74" i="9"/>
  <c r="L74" i="9"/>
  <c r="K74" i="9"/>
  <c r="J74" i="9"/>
  <c r="I74" i="9"/>
  <c r="H74" i="9"/>
  <c r="G74" i="9"/>
  <c r="E74" i="9"/>
  <c r="D74" i="9"/>
  <c r="A74" i="9"/>
  <c r="J73" i="11"/>
  <c r="O73" i="9"/>
  <c r="N73" i="9"/>
  <c r="M73" i="9"/>
  <c r="L73" i="9"/>
  <c r="K73" i="9"/>
  <c r="J73" i="9"/>
  <c r="I73" i="9"/>
  <c r="H73" i="9"/>
  <c r="G73" i="9"/>
  <c r="E73" i="9"/>
  <c r="D73" i="9"/>
  <c r="A73" i="9"/>
  <c r="J72" i="11"/>
  <c r="O72" i="9"/>
  <c r="N72" i="9"/>
  <c r="M72" i="9"/>
  <c r="L72" i="9"/>
  <c r="K72" i="9"/>
  <c r="J72" i="9"/>
  <c r="I72" i="9"/>
  <c r="H72" i="9"/>
  <c r="G72" i="9"/>
  <c r="E72" i="9"/>
  <c r="D72" i="9"/>
  <c r="A72" i="9"/>
  <c r="J71" i="11"/>
  <c r="O71" i="9"/>
  <c r="N71" i="9"/>
  <c r="M71" i="9"/>
  <c r="L71" i="9"/>
  <c r="K71" i="9"/>
  <c r="J71" i="9"/>
  <c r="I71" i="9"/>
  <c r="H71" i="9"/>
  <c r="G71" i="9"/>
  <c r="E71" i="9"/>
  <c r="D71" i="9"/>
  <c r="A71" i="9"/>
  <c r="J70" i="11"/>
  <c r="O70" i="9"/>
  <c r="N70" i="9"/>
  <c r="M70" i="9"/>
  <c r="L70" i="9"/>
  <c r="K70" i="9"/>
  <c r="J70" i="9"/>
  <c r="I70" i="9"/>
  <c r="H70" i="9"/>
  <c r="G70" i="9"/>
  <c r="E70" i="9"/>
  <c r="D70" i="9"/>
  <c r="A70" i="9"/>
  <c r="J69" i="11"/>
  <c r="O69" i="9"/>
  <c r="N69" i="9"/>
  <c r="M69" i="9"/>
  <c r="L69" i="9"/>
  <c r="K69" i="9"/>
  <c r="J69" i="9"/>
  <c r="I69" i="9"/>
  <c r="H69" i="9"/>
  <c r="G69" i="9"/>
  <c r="E69" i="9"/>
  <c r="D69" i="9"/>
  <c r="A69" i="9"/>
  <c r="J68" i="11"/>
  <c r="O68" i="9"/>
  <c r="N68" i="9"/>
  <c r="M68" i="9"/>
  <c r="L68" i="9"/>
  <c r="K68" i="9"/>
  <c r="J68" i="9"/>
  <c r="I68" i="9"/>
  <c r="H68" i="9"/>
  <c r="G68" i="9"/>
  <c r="E68" i="9"/>
  <c r="D68" i="9"/>
  <c r="A68" i="9"/>
  <c r="J67" i="11"/>
  <c r="O67" i="9"/>
  <c r="N67" i="9"/>
  <c r="M67" i="9"/>
  <c r="L67" i="9"/>
  <c r="K67" i="9"/>
  <c r="J67" i="9"/>
  <c r="I67" i="9"/>
  <c r="H67" i="9"/>
  <c r="G67" i="9"/>
  <c r="E67" i="9"/>
  <c r="D67" i="9"/>
  <c r="A67" i="9"/>
  <c r="J66" i="11"/>
  <c r="O66" i="9"/>
  <c r="N66" i="9"/>
  <c r="M66" i="9"/>
  <c r="L66" i="9"/>
  <c r="K66" i="9"/>
  <c r="J66" i="9"/>
  <c r="I66" i="9"/>
  <c r="H66" i="9"/>
  <c r="G66" i="9"/>
  <c r="E66" i="9"/>
  <c r="D66" i="9"/>
  <c r="A66" i="9"/>
  <c r="J65" i="11"/>
  <c r="O65" i="9"/>
  <c r="N65" i="9"/>
  <c r="M65" i="9"/>
  <c r="L65" i="9"/>
  <c r="K65" i="9"/>
  <c r="J65" i="9"/>
  <c r="I65" i="9"/>
  <c r="H65" i="9"/>
  <c r="G65" i="9"/>
  <c r="E65" i="9"/>
  <c r="D65" i="9"/>
  <c r="A65" i="9"/>
  <c r="J64" i="11"/>
  <c r="O64" i="9"/>
  <c r="N64" i="9"/>
  <c r="M64" i="9"/>
  <c r="L64" i="9"/>
  <c r="K64" i="9"/>
  <c r="J64" i="9"/>
  <c r="I64" i="9"/>
  <c r="H64" i="9"/>
  <c r="G64" i="9"/>
  <c r="E64" i="9"/>
  <c r="D64" i="9"/>
  <c r="A64" i="9"/>
  <c r="J63" i="11"/>
  <c r="O63" i="9"/>
  <c r="N63" i="9"/>
  <c r="M63" i="9"/>
  <c r="L63" i="9"/>
  <c r="K63" i="9"/>
  <c r="J63" i="9"/>
  <c r="I63" i="9"/>
  <c r="H63" i="9"/>
  <c r="G63" i="9"/>
  <c r="E63" i="9"/>
  <c r="D63" i="9"/>
  <c r="A63" i="9"/>
  <c r="J62" i="11"/>
  <c r="O62" i="9"/>
  <c r="N62" i="9"/>
  <c r="M62" i="9"/>
  <c r="L62" i="9"/>
  <c r="K62" i="9"/>
  <c r="J62" i="9"/>
  <c r="I62" i="9"/>
  <c r="H62" i="9"/>
  <c r="G62" i="9"/>
  <c r="E62" i="9"/>
  <c r="D62" i="9"/>
  <c r="A62" i="9"/>
  <c r="J61" i="11"/>
  <c r="O61" i="9"/>
  <c r="N61" i="9"/>
  <c r="M61" i="9"/>
  <c r="L61" i="9"/>
  <c r="K61" i="9"/>
  <c r="J61" i="9"/>
  <c r="I61" i="9"/>
  <c r="H61" i="9"/>
  <c r="G61" i="9"/>
  <c r="E61" i="9"/>
  <c r="D61" i="9"/>
  <c r="A61" i="9"/>
  <c r="J60" i="11"/>
  <c r="O60" i="9"/>
  <c r="N60" i="9"/>
  <c r="M60" i="9"/>
  <c r="L60" i="9"/>
  <c r="K60" i="9"/>
  <c r="J60" i="9"/>
  <c r="I60" i="9"/>
  <c r="H60" i="9"/>
  <c r="G60" i="9"/>
  <c r="E60" i="9"/>
  <c r="D60" i="9"/>
  <c r="A60" i="9"/>
  <c r="J59" i="11"/>
  <c r="O59" i="9"/>
  <c r="N59" i="9"/>
  <c r="M59" i="9"/>
  <c r="L59" i="9"/>
  <c r="K59" i="9"/>
  <c r="J59" i="9"/>
  <c r="I59" i="9"/>
  <c r="H59" i="9"/>
  <c r="G59" i="9"/>
  <c r="E59" i="9"/>
  <c r="D59" i="9"/>
  <c r="A59" i="9"/>
  <c r="J58" i="11"/>
  <c r="O58" i="9"/>
  <c r="N58" i="9"/>
  <c r="M58" i="9"/>
  <c r="L58" i="9"/>
  <c r="K58" i="9"/>
  <c r="J58" i="9"/>
  <c r="I58" i="9"/>
  <c r="H58" i="9"/>
  <c r="G58" i="9"/>
  <c r="E58" i="9"/>
  <c r="D58" i="9"/>
  <c r="A58" i="9"/>
  <c r="J57" i="11"/>
  <c r="O57" i="9"/>
  <c r="N57" i="9"/>
  <c r="M57" i="9"/>
  <c r="L57" i="9"/>
  <c r="K57" i="9"/>
  <c r="J57" i="9"/>
  <c r="I57" i="9"/>
  <c r="H57" i="9"/>
  <c r="G57" i="9"/>
  <c r="E57" i="9"/>
  <c r="D57" i="9"/>
  <c r="A57" i="9"/>
  <c r="J56" i="11"/>
  <c r="O56" i="9"/>
  <c r="N56" i="9"/>
  <c r="M56" i="9"/>
  <c r="L56" i="9"/>
  <c r="K56" i="9"/>
  <c r="J56" i="9"/>
  <c r="I56" i="9"/>
  <c r="H56" i="9"/>
  <c r="G56" i="9"/>
  <c r="E56" i="9"/>
  <c r="D56" i="9"/>
  <c r="A56" i="9"/>
  <c r="J55" i="11"/>
  <c r="O55" i="9"/>
  <c r="N55" i="9"/>
  <c r="M55" i="9"/>
  <c r="L55" i="9"/>
  <c r="K55" i="9"/>
  <c r="J55" i="9"/>
  <c r="I55" i="9"/>
  <c r="H55" i="9"/>
  <c r="G55" i="9"/>
  <c r="E55" i="9"/>
  <c r="D55" i="9"/>
  <c r="A55" i="9"/>
  <c r="J54" i="11"/>
  <c r="O54" i="9"/>
  <c r="N54" i="9"/>
  <c r="M54" i="9"/>
  <c r="L54" i="9"/>
  <c r="K54" i="9"/>
  <c r="J54" i="9"/>
  <c r="I54" i="9"/>
  <c r="H54" i="9"/>
  <c r="G54" i="9"/>
  <c r="E54" i="9"/>
  <c r="D54" i="9"/>
  <c r="A54" i="9"/>
  <c r="J53" i="11"/>
  <c r="O53" i="9"/>
  <c r="N53" i="9"/>
  <c r="M53" i="9"/>
  <c r="L53" i="9"/>
  <c r="K53" i="9"/>
  <c r="J53" i="9"/>
  <c r="I53" i="9"/>
  <c r="H53" i="9"/>
  <c r="G53" i="9"/>
  <c r="E53" i="9"/>
  <c r="D53" i="9"/>
  <c r="A53" i="9"/>
  <c r="J52" i="11"/>
  <c r="O52" i="9"/>
  <c r="N52" i="9"/>
  <c r="M52" i="9"/>
  <c r="L52" i="9"/>
  <c r="K52" i="9"/>
  <c r="J52" i="9"/>
  <c r="I52" i="9"/>
  <c r="H52" i="9"/>
  <c r="G52" i="9"/>
  <c r="E52" i="9"/>
  <c r="D52" i="9"/>
  <c r="A52" i="9"/>
  <c r="J51" i="11"/>
  <c r="O51" i="9"/>
  <c r="N51" i="9"/>
  <c r="M51" i="9"/>
  <c r="L51" i="9"/>
  <c r="K51" i="9"/>
  <c r="J51" i="9"/>
  <c r="I51" i="9"/>
  <c r="H51" i="9"/>
  <c r="G51" i="9"/>
  <c r="E51" i="9"/>
  <c r="D51" i="9"/>
  <c r="A51" i="9"/>
  <c r="J50" i="11"/>
  <c r="O50" i="9"/>
  <c r="N50" i="9"/>
  <c r="M50" i="9"/>
  <c r="L50" i="9"/>
  <c r="K50" i="9"/>
  <c r="J50" i="9"/>
  <c r="I50" i="9"/>
  <c r="H50" i="9"/>
  <c r="G50" i="9"/>
  <c r="E50" i="9"/>
  <c r="D50" i="9"/>
  <c r="A50" i="9"/>
  <c r="J49" i="11"/>
  <c r="O49" i="9"/>
  <c r="N49" i="9"/>
  <c r="M49" i="9"/>
  <c r="L49" i="9"/>
  <c r="K49" i="9"/>
  <c r="J49" i="9"/>
  <c r="I49" i="9"/>
  <c r="H49" i="9"/>
  <c r="G49" i="9"/>
  <c r="E49" i="9"/>
  <c r="D49" i="9"/>
  <c r="A49" i="9"/>
  <c r="J48" i="11"/>
  <c r="O48" i="9"/>
  <c r="N48" i="9"/>
  <c r="M48" i="9"/>
  <c r="L48" i="9"/>
  <c r="K48" i="9"/>
  <c r="J48" i="9"/>
  <c r="I48" i="9"/>
  <c r="H48" i="9"/>
  <c r="G48" i="9"/>
  <c r="E48" i="9"/>
  <c r="D48" i="9"/>
  <c r="A48" i="9"/>
  <c r="J47" i="11"/>
  <c r="O47" i="9"/>
  <c r="N47" i="9"/>
  <c r="M47" i="9"/>
  <c r="L47" i="9"/>
  <c r="K47" i="9"/>
  <c r="J47" i="9"/>
  <c r="I47" i="9"/>
  <c r="H47" i="9"/>
  <c r="G47" i="9"/>
  <c r="E47" i="9"/>
  <c r="D47" i="9"/>
  <c r="A47" i="9"/>
  <c r="J46" i="11"/>
  <c r="O46" i="9"/>
  <c r="N46" i="9"/>
  <c r="M46" i="9"/>
  <c r="L46" i="9"/>
  <c r="K46" i="9"/>
  <c r="J46" i="9"/>
  <c r="I46" i="9"/>
  <c r="H46" i="9"/>
  <c r="G46" i="9"/>
  <c r="E46" i="9"/>
  <c r="D46" i="9"/>
  <c r="A46" i="9"/>
  <c r="J45" i="11"/>
  <c r="O45" i="9"/>
  <c r="N45" i="9"/>
  <c r="M45" i="9"/>
  <c r="L45" i="9"/>
  <c r="K45" i="9"/>
  <c r="J45" i="9"/>
  <c r="I45" i="9"/>
  <c r="H45" i="9"/>
  <c r="G45" i="9"/>
  <c r="E45" i="9"/>
  <c r="D45" i="9"/>
  <c r="A45" i="9"/>
  <c r="J44" i="11"/>
  <c r="O44" i="9"/>
  <c r="N44" i="9"/>
  <c r="M44" i="9"/>
  <c r="L44" i="9"/>
  <c r="K44" i="9"/>
  <c r="J44" i="9"/>
  <c r="I44" i="9"/>
  <c r="H44" i="9"/>
  <c r="G44" i="9"/>
  <c r="E44" i="9"/>
  <c r="D44" i="9"/>
  <c r="A44" i="9"/>
  <c r="J43" i="11"/>
  <c r="O43" i="9"/>
  <c r="N43" i="9"/>
  <c r="M43" i="9"/>
  <c r="L43" i="9"/>
  <c r="K43" i="9"/>
  <c r="J43" i="9"/>
  <c r="I43" i="9"/>
  <c r="H43" i="9"/>
  <c r="G43" i="9"/>
  <c r="E43" i="9"/>
  <c r="D43" i="9"/>
  <c r="A43" i="9"/>
  <c r="J42" i="11"/>
  <c r="O42" i="9"/>
  <c r="N42" i="9"/>
  <c r="M42" i="9"/>
  <c r="L42" i="9"/>
  <c r="K42" i="9"/>
  <c r="J42" i="9"/>
  <c r="I42" i="9"/>
  <c r="H42" i="9"/>
  <c r="G42" i="9"/>
  <c r="E42" i="9"/>
  <c r="D42" i="9"/>
  <c r="A42" i="9"/>
  <c r="J41" i="11"/>
  <c r="O41" i="9"/>
  <c r="N41" i="9"/>
  <c r="M41" i="9"/>
  <c r="L41" i="9"/>
  <c r="K41" i="9"/>
  <c r="J41" i="9"/>
  <c r="I41" i="9"/>
  <c r="H41" i="9"/>
  <c r="G41" i="9"/>
  <c r="E41" i="9"/>
  <c r="D41" i="9"/>
  <c r="A41" i="9"/>
  <c r="J40" i="11"/>
  <c r="O40" i="9"/>
  <c r="N40" i="9"/>
  <c r="M40" i="9"/>
  <c r="L40" i="9"/>
  <c r="K40" i="9"/>
  <c r="J40" i="9"/>
  <c r="I40" i="9"/>
  <c r="H40" i="9"/>
  <c r="G40" i="9"/>
  <c r="E40" i="9"/>
  <c r="D40" i="9"/>
  <c r="A40" i="9"/>
  <c r="J39" i="11"/>
  <c r="O39" i="9"/>
  <c r="N39" i="9"/>
  <c r="M39" i="9"/>
  <c r="L39" i="9"/>
  <c r="K39" i="9"/>
  <c r="J39" i="9"/>
  <c r="I39" i="9"/>
  <c r="H39" i="9"/>
  <c r="G39" i="9"/>
  <c r="E39" i="9"/>
  <c r="D39" i="9"/>
  <c r="A39" i="9"/>
  <c r="J38" i="11"/>
  <c r="O38" i="9"/>
  <c r="N38" i="9"/>
  <c r="M38" i="9"/>
  <c r="L38" i="9"/>
  <c r="K38" i="9"/>
  <c r="J38" i="9"/>
  <c r="I38" i="9"/>
  <c r="H38" i="9"/>
  <c r="G38" i="9"/>
  <c r="E38" i="9"/>
  <c r="D38" i="9"/>
  <c r="A38" i="9"/>
  <c r="J37" i="11"/>
  <c r="O37" i="9"/>
  <c r="N37" i="9"/>
  <c r="M37" i="9"/>
  <c r="L37" i="9"/>
  <c r="K37" i="9"/>
  <c r="J37" i="9"/>
  <c r="I37" i="9"/>
  <c r="H37" i="9"/>
  <c r="G37" i="9"/>
  <c r="E37" i="9"/>
  <c r="D37" i="9"/>
  <c r="A37" i="9"/>
  <c r="J36" i="11"/>
  <c r="O36" i="9"/>
  <c r="N36" i="9"/>
  <c r="M36" i="9"/>
  <c r="L36" i="9"/>
  <c r="K36" i="9"/>
  <c r="J36" i="9"/>
  <c r="I36" i="9"/>
  <c r="H36" i="9"/>
  <c r="G36" i="9"/>
  <c r="E36" i="9"/>
  <c r="D36" i="9"/>
  <c r="A36" i="9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9" i="11"/>
  <c r="O29" i="9"/>
  <c r="N29" i="9"/>
  <c r="M29" i="9"/>
  <c r="L29" i="9"/>
  <c r="K29" i="9"/>
  <c r="J29" i="9"/>
  <c r="I29" i="9"/>
  <c r="H29" i="9"/>
  <c r="G29" i="9"/>
  <c r="E29" i="9"/>
  <c r="D29" i="9"/>
  <c r="A29" i="9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Q4" i="7"/>
  <c r="G13" i="2"/>
  <c r="H13" i="2"/>
  <c r="E13" i="2"/>
  <c r="D13" i="2"/>
  <c r="A13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B13" i="2"/>
  <c r="G12" i="2"/>
  <c r="H12" i="2"/>
  <c r="E12" i="2"/>
  <c r="D12" i="2"/>
  <c r="A12" i="2"/>
  <c r="B12" i="2"/>
  <c r="G11" i="2"/>
  <c r="H11" i="2"/>
  <c r="E11" i="2"/>
  <c r="D11" i="2"/>
  <c r="A11" i="2"/>
  <c r="B11" i="2"/>
  <c r="G10" i="2"/>
  <c r="H10" i="2"/>
  <c r="E10" i="2"/>
  <c r="D10" i="2"/>
  <c r="A10" i="2"/>
  <c r="B10" i="2"/>
  <c r="G9" i="2"/>
  <c r="H9" i="2"/>
  <c r="E9" i="2"/>
  <c r="D9" i="2"/>
  <c r="A9" i="2"/>
  <c r="B9" i="2"/>
  <c r="G8" i="2"/>
  <c r="H8" i="2"/>
  <c r="E8" i="2"/>
  <c r="D8" i="2"/>
  <c r="A8" i="2"/>
  <c r="B8" i="2"/>
  <c r="G7" i="2"/>
  <c r="H7" i="2"/>
  <c r="E7" i="2"/>
  <c r="D7" i="2"/>
  <c r="A7" i="2"/>
  <c r="B7" i="2"/>
  <c r="G6" i="2"/>
  <c r="H6" i="2"/>
  <c r="E6" i="2"/>
  <c r="D6" i="2"/>
  <c r="A6" i="2"/>
  <c r="B6" i="2"/>
  <c r="G3" i="2"/>
  <c r="H3" i="2"/>
  <c r="E3" i="2"/>
  <c r="D3" i="2"/>
  <c r="A3" i="2"/>
  <c r="B3" i="2"/>
  <c r="G2" i="2"/>
  <c r="H2" i="2"/>
  <c r="E2" i="2"/>
  <c r="D2" i="2"/>
  <c r="A2" i="2"/>
  <c r="B2" i="2"/>
  <c r="G4" i="2"/>
  <c r="H4" i="2"/>
  <c r="E4" i="2"/>
  <c r="D4" i="2"/>
  <c r="A4" i="2"/>
  <c r="B4" i="2"/>
  <c r="D13" i="9"/>
  <c r="D22" i="9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2" i="11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L23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9" i="10"/>
  <c r="T9" i="10"/>
  <c r="W9" i="10"/>
  <c r="V9" i="10"/>
  <c r="X9" i="10"/>
  <c r="U9" i="10"/>
  <c r="Y9" i="10"/>
  <c r="M26" i="10"/>
  <c r="N26" i="10"/>
  <c r="Q26" i="10"/>
  <c r="P26" i="10"/>
  <c r="R26" i="10"/>
  <c r="O26" i="10"/>
  <c r="S26" i="10"/>
  <c r="N9" i="10"/>
  <c r="Q9" i="10"/>
  <c r="P9" i="10"/>
  <c r="R9" i="10"/>
  <c r="O9" i="10"/>
  <c r="S9" i="10"/>
  <c r="G9" i="10"/>
  <c r="J9" i="10"/>
  <c r="I9" i="10"/>
  <c r="K9" i="10"/>
  <c r="H9" i="10"/>
  <c r="L9" i="10"/>
  <c r="M10" i="10"/>
  <c r="T10" i="10"/>
  <c r="W10" i="10"/>
  <c r="V10" i="10"/>
  <c r="X10" i="10"/>
  <c r="U10" i="10"/>
  <c r="Y10" i="10"/>
  <c r="M28" i="10"/>
  <c r="N28" i="10"/>
  <c r="Q28" i="10"/>
  <c r="P28" i="10"/>
  <c r="R28" i="10"/>
  <c r="O28" i="10"/>
  <c r="S28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Y9" i="7"/>
  <c r="W9" i="7"/>
  <c r="U9" i="7"/>
  <c r="R9" i="7"/>
  <c r="Q9" i="7"/>
  <c r="P9" i="7"/>
  <c r="O9" i="7"/>
  <c r="N9" i="7"/>
  <c r="H9" i="7"/>
  <c r="G5" i="2"/>
  <c r="A5" i="2"/>
  <c r="J9" i="7"/>
  <c r="I9" i="7"/>
  <c r="D9" i="7"/>
  <c r="F9" i="7"/>
  <c r="E9" i="7"/>
  <c r="A9" i="7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M2" i="10"/>
  <c r="T2" i="10"/>
  <c r="W2" i="10"/>
  <c r="V2" i="10"/>
  <c r="X2" i="10"/>
  <c r="U2" i="10"/>
  <c r="Y2" i="10"/>
  <c r="M12" i="10"/>
  <c r="N12" i="10"/>
  <c r="Q12" i="10"/>
  <c r="P12" i="10"/>
  <c r="R12" i="10"/>
  <c r="O12" i="10"/>
  <c r="S12" i="10"/>
  <c r="N2" i="10"/>
  <c r="Q2" i="10"/>
  <c r="P2" i="10"/>
  <c r="R2" i="10"/>
  <c r="O2" i="10"/>
  <c r="S2" i="10"/>
  <c r="G2" i="10"/>
  <c r="J2" i="10"/>
  <c r="I2" i="10"/>
  <c r="K2" i="10"/>
  <c r="H2" i="10"/>
  <c r="L2" i="10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A22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T28" i="10"/>
  <c r="W28" i="10"/>
  <c r="V28" i="10"/>
  <c r="X28" i="10"/>
  <c r="U28" i="10"/>
  <c r="Y28" i="10"/>
  <c r="G28" i="10"/>
  <c r="J28" i="10"/>
  <c r="I28" i="10"/>
  <c r="K28" i="10"/>
  <c r="H28" i="10"/>
  <c r="L28" i="10"/>
  <c r="T26" i="10"/>
  <c r="W26" i="10"/>
  <c r="V26" i="10"/>
  <c r="X26" i="10"/>
  <c r="U26" i="10"/>
  <c r="Y26" i="10"/>
  <c r="G26" i="10"/>
  <c r="J26" i="10"/>
  <c r="I26" i="10"/>
  <c r="K26" i="10"/>
  <c r="H26" i="10"/>
  <c r="L26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T12" i="10"/>
  <c r="W12" i="10"/>
  <c r="V12" i="10"/>
  <c r="X12" i="10"/>
  <c r="U12" i="10"/>
  <c r="Y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Y10" i="7"/>
  <c r="W10" i="7"/>
  <c r="U10" i="7"/>
  <c r="R10" i="7"/>
  <c r="Q10" i="7"/>
  <c r="P10" i="7"/>
  <c r="O10" i="7"/>
  <c r="N10" i="7"/>
  <c r="H10" i="7"/>
  <c r="J10" i="7"/>
  <c r="I10" i="7"/>
  <c r="D10" i="7"/>
  <c r="F10" i="7"/>
  <c r="E10" i="7"/>
  <c r="A10" i="7"/>
  <c r="Y8" i="7"/>
  <c r="W8" i="7"/>
  <c r="U8" i="7"/>
  <c r="R8" i="7"/>
  <c r="Q8" i="7"/>
  <c r="P8" i="7"/>
  <c r="O8" i="7"/>
  <c r="N8" i="7"/>
  <c r="H8" i="7"/>
  <c r="J8" i="7"/>
  <c r="I8" i="7"/>
  <c r="D8" i="7"/>
  <c r="F8" i="7"/>
  <c r="E8" i="7"/>
  <c r="A8" i="7"/>
  <c r="Y7" i="7"/>
  <c r="W7" i="7"/>
  <c r="U7" i="7"/>
  <c r="R7" i="7"/>
  <c r="Q7" i="7"/>
  <c r="P7" i="7"/>
  <c r="O7" i="7"/>
  <c r="N7" i="7"/>
  <c r="H7" i="7"/>
  <c r="J7" i="7"/>
  <c r="I7" i="7"/>
  <c r="D7" i="7"/>
  <c r="F7" i="7"/>
  <c r="E7" i="7"/>
  <c r="A7" i="7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AD16" i="1"/>
  <c r="AF16" i="1"/>
  <c r="AI16" i="1"/>
  <c r="AG16" i="1"/>
  <c r="AE16" i="1"/>
  <c r="E2" i="9"/>
  <c r="X16" i="1"/>
  <c r="V16" i="1"/>
  <c r="T16" i="1"/>
  <c r="Q16" i="1"/>
  <c r="P16" i="1"/>
  <c r="O16" i="1"/>
  <c r="N16" i="1"/>
  <c r="M16" i="1"/>
  <c r="J16" i="1"/>
  <c r="I16" i="1"/>
  <c r="D16" i="1"/>
  <c r="F16" i="1"/>
  <c r="E16" i="1"/>
  <c r="A16" i="1"/>
  <c r="AD15" i="1"/>
  <c r="AF15" i="1"/>
  <c r="AI15" i="1"/>
  <c r="AG15" i="1"/>
  <c r="AE15" i="1"/>
  <c r="X15" i="1"/>
  <c r="V15" i="1"/>
  <c r="T15" i="1"/>
  <c r="Q15" i="1"/>
  <c r="P15" i="1"/>
  <c r="O15" i="1"/>
  <c r="N15" i="1"/>
  <c r="M15" i="1"/>
  <c r="J15" i="1"/>
  <c r="I15" i="1"/>
  <c r="D15" i="1"/>
  <c r="F15" i="1"/>
  <c r="E15" i="1"/>
  <c r="A15" i="1"/>
  <c r="AD14" i="1"/>
  <c r="AF14" i="1"/>
  <c r="AI14" i="1"/>
  <c r="AG14" i="1"/>
  <c r="AE14" i="1"/>
  <c r="X14" i="1"/>
  <c r="V14" i="1"/>
  <c r="T14" i="1"/>
  <c r="Q14" i="1"/>
  <c r="P14" i="1"/>
  <c r="O14" i="1"/>
  <c r="N14" i="1"/>
  <c r="M14" i="1"/>
  <c r="J14" i="1"/>
  <c r="I14" i="1"/>
  <c r="D14" i="1"/>
  <c r="F14" i="1"/>
  <c r="E14" i="1"/>
  <c r="A14" i="1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4" i="1"/>
  <c r="AF3" i="1"/>
  <c r="AI3" i="1"/>
  <c r="AG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3" i="1"/>
  <c r="Y4" i="7"/>
  <c r="W4" i="7"/>
  <c r="U4" i="7"/>
  <c r="R4" i="7"/>
  <c r="P4" i="7"/>
  <c r="O4" i="7"/>
  <c r="N4" i="7"/>
  <c r="H4" i="7"/>
  <c r="J4" i="7"/>
  <c r="I4" i="7"/>
  <c r="D4" i="7"/>
  <c r="F4" i="7"/>
  <c r="E4" i="7"/>
  <c r="A4" i="7"/>
  <c r="W2" i="7"/>
  <c r="U2" i="7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68" i="19"/>
  <c r="C68" i="19"/>
  <c r="D68" i="19"/>
  <c r="F68" i="19"/>
  <c r="G68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60" i="19"/>
  <c r="C60" i="19"/>
  <c r="D60" i="19"/>
  <c r="F60" i="19"/>
  <c r="G60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B34" i="19"/>
  <c r="C34" i="19"/>
  <c r="D34" i="19"/>
  <c r="F34" i="19"/>
  <c r="G34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B2" i="19"/>
  <c r="C2" i="19"/>
  <c r="D2" i="19"/>
  <c r="F2" i="19"/>
  <c r="G2" i="19"/>
  <c r="I2" i="21"/>
  <c r="J2" i="21"/>
  <c r="G2" i="21"/>
  <c r="F2" i="21"/>
  <c r="D2" i="21"/>
  <c r="C2" i="21"/>
  <c r="E12" i="16"/>
  <c r="E11" i="16"/>
  <c r="E10" i="16"/>
  <c r="O2" i="9"/>
  <c r="N2" i="9"/>
  <c r="M2" i="9"/>
  <c r="L2" i="9"/>
  <c r="K2" i="9"/>
  <c r="J2" i="9"/>
  <c r="I2" i="9"/>
  <c r="H2" i="9"/>
  <c r="G2" i="9"/>
  <c r="D2" i="9"/>
  <c r="E9" i="16"/>
  <c r="Y2" i="7"/>
  <c r="R2" i="7"/>
  <c r="Q2" i="7"/>
  <c r="P2" i="7"/>
  <c r="O2" i="7"/>
  <c r="N2" i="7"/>
  <c r="AD2" i="1"/>
  <c r="AG2" i="1"/>
  <c r="AF2" i="1"/>
  <c r="AE2" i="1"/>
  <c r="X2" i="1"/>
  <c r="Q2" i="1"/>
  <c r="P2" i="1"/>
  <c r="O2" i="1"/>
  <c r="N2" i="1"/>
  <c r="M2" i="1"/>
  <c r="M3" i="10"/>
  <c r="T3" i="10"/>
  <c r="V3" i="10"/>
  <c r="N3" i="10"/>
  <c r="P3" i="10"/>
  <c r="G3" i="10"/>
  <c r="I3" i="10"/>
  <c r="X3" i="10"/>
  <c r="W3" i="10"/>
  <c r="U3" i="10"/>
  <c r="Y3" i="10"/>
  <c r="R3" i="10"/>
  <c r="Q3" i="10"/>
  <c r="O3" i="10"/>
  <c r="S3" i="10"/>
  <c r="K3" i="10"/>
  <c r="J3" i="10"/>
  <c r="H3" i="10"/>
  <c r="L3" i="10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5" i="2"/>
  <c r="E5" i="2"/>
  <c r="H5" i="2"/>
  <c r="B5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<sst xmlns="http://schemas.openxmlformats.org/spreadsheetml/2006/main" count="1495" uniqueCount="362">
  <si>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</si>
  <si>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</si>
  <si>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</si>
  <si>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</si>
  <si>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</si>
  <si>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</si>
  <si>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</si>
  <si>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</si>
  <si>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</si>
  <si>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</si>
  <si>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</si>
  <si>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</si>
  <si>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</si>
  <si>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</si>
  <si>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</si>
  <si>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</si>
  <si>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</si>
  <si>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</si>
  <si>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</si>
  <si>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</si>
  <si>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</si>
  <si>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</si>
  <si>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</si>
  <si>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</si>
  <si>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</si>
  <si>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</si>
  <si>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</si>
  <si>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</si>
  <si>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</si>
  <si>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</si>
  <si>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</si>
  <si>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</si>
  <si>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</si>
  <si>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</si>
  <si>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</si>
  <si>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</si>
  <si>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</si>
  <si>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</si>
  <si>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</si>
  <si>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</si>
  <si>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</si>
  <si>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</si>
  <si>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</si>
  <si>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</si>
  <si>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</si>
  <si>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</si>
  <si>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</si>
  <si>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</si>
  <si>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</si>
  <si>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</si>
  <si>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</si>
  <si>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</si>
  <si>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</si>
  <si>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</si>
  <si>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</si>
  <si>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</si>
  <si>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</si>
  <si>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</si>
  <si>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</si>
  <si>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</si>
  <si>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</si>
  <si>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</si>
  <si>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</si>
  <si>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</si>
  <si>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</si>
  <si>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</si>
  <si>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</si>
  <si>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</si>
  <si>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</si>
  <si>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</si>
  <si>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</si>
  <si>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</si>
  <si>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</si>
  <si>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</si>
  <si>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</si>
  <si>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</si>
  <si>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</si>
  <si>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</si>
  <si>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</si>
  <si>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</si>
  <si>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</si>
  <si>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</si>
  <si>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</si>
  <si>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</si>
  <si>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</si>
  <si>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</si>
  <si>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</si>
  <si>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</si>
  <si>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</si>
  <si>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</si>
  <si>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</si>
  <si>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</si>
  <si>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</si>
  <si>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</si>
  <si>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</si>
  <si>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</si>
  <si>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</si>
  <si>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</si>
  <si>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</si>
  <si>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</si>
  <si>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</si>
  <si>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</si>
  <si>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</si>
  <si>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</si>
  <si>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</si>
  <si>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</si>
  <si>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</si>
  <si>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</si>
  <si>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</si>
  <si>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</si>
  <si>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</si>
  <si>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</si>
  <si>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</si>
  <si>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</si>
  <si>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</si>
  <si>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</si>
  <si>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</si>
  <si>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</si>
  <si>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</si>
  <si>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</si>
  <si>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</si>
  <si>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</si>
  <si>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</si>
  <si>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</si>
  <si>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</si>
  <si>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</si>
  <si>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</si>
  <si>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</si>
  <si>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</si>
  <si>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</si>
  <si>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</si>
  <si>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</si>
  <si>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</si>
  <si>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</si>
  <si>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</si>
  <si>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</si>
  <si>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</si>
  <si>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</si>
  <si>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</si>
  <si>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</si>
  <si>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</si>
  <si>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</si>
  <si>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</si>
  <si>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</si>
  <si>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</si>
  <si>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</si>
  <si>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</si>
  <si>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</si>
  <si>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</si>
  <si>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</si>
  <si>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</si>
  <si>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</si>
  <si>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</si>
  <si>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</si>
  <si>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</si>
  <si>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</si>
  <si>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</si>
  <si>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</si>
  <si>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</si>
  <si>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</si>
  <si>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</si>
  <si>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</si>
  <si>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</si>
  <si>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</si>
  <si>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</si>
  <si>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</si>
  <si>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</si>
  <si>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</si>
  <si>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</si>
  <si>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</si>
  <si>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</si>
  <si>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</si>
  <si>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</si>
  <si>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</si>
  <si>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</si>
  <si>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</si>
  <si>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</si>
  <si>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</si>
  <si>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</si>
  <si>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</si>
  <si>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</si>
  <si>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</si>
  <si>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</si>
  <si>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</si>
  <si>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</si>
  <si>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</si>
  <si>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</si>
  <si>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</si>
  <si>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</si>
  <si>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</si>
  <si>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</si>
  <si>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</si>
  <si>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</si>
  <si>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</si>
  <si>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</si>
  <si>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</si>
  <si>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</si>
  <si>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</si>
  <si>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</si>
  <si>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</si>
  <si>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</si>
  <si>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</si>
  <si>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</si>
  <si>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</si>
  <si>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</si>
  <si>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</si>
  <si>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</si>
  <si>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</si>
  <si>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</si>
  <si>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</si>
  <si>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</si>
  <si>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</si>
  <si>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</si>
  <si>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</si>
  <si>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</si>
  <si>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</si>
  <si>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</si>
  <si>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</si>
  <si>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</si>
  <si>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</si>
  <si>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</si>
  <si>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</si>
  <si>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</si>
  <si>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</si>
  <si>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</si>
  <si>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</si>
  <si>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</si>
  <si>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</si>
  <si>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</si>
  <si>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</si>
  <si>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</si>
  <si>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</si>
  <si>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</si>
  <si>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</si>
  <si>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</si>
  <si>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</si>
  <si>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</si>
  <si>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</si>
  <si>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</si>
  <si>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</si>
  <si>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</si>
  <si>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</si>
  <si>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</si>
  <si>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</si>
  <si>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</si>
  <si>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</si>
  <si>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</si>
  <si>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</si>
  <si>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</si>
  <si>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</si>
  <si>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</si>
  <si>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</si>
  <si>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</si>
  <si>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</si>
  <si>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</si>
  <si>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</si>
  <si>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</si>
  <si>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</si>
  <si>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心が強ければ相手の攻撃を耐えられる！</t>
    <rPh sb="0" eb="1">
      <t>ココロノ</t>
    </rPh>
    <rPh sb="2" eb="3">
      <t>ツヨケレバ</t>
    </rPh>
    <rPh sb="6" eb="8">
      <t>アイテノ</t>
    </rPh>
    <rPh sb="9" eb="11">
      <t>コウゲキヲ</t>
    </rPh>
    <rPh sb="12" eb="13">
      <t>タエレル</t>
    </rPh>
    <phoneticPr fontId="5"/>
  </si>
  <si>
    <t>ブルーキラー</t>
    <phoneticPr fontId="5"/>
  </si>
  <si>
    <t>破壊工作</t>
    <rPh sb="0" eb="4">
      <t>ハカイコウサク</t>
    </rPh>
    <phoneticPr fontId="5"/>
  </si>
  <si>
    <t>ハウリングボイス</t>
    <phoneticPr fontId="5"/>
  </si>
  <si>
    <t>最後の意地</t>
    <rPh sb="0" eb="2">
      <t>サイゴノ</t>
    </rPh>
    <rPh sb="3" eb="5">
      <t>iji</t>
    </rPh>
    <phoneticPr fontId="5"/>
  </si>
  <si>
    <t>クリティカル！</t>
    <phoneticPr fontId="5"/>
  </si>
  <si>
    <t>リミッター解除</t>
    <phoneticPr fontId="5"/>
  </si>
  <si>
    <t>鉄壁</t>
    <rPh sb="0" eb="2">
      <t>テッペキ</t>
    </rPh>
    <phoneticPr fontId="5"/>
  </si>
  <si>
    <t>うなり声</t>
    <phoneticPr fontId="5"/>
  </si>
  <si>
    <t>脱皮</t>
    <rPh sb="0" eb="2">
      <t>ダッピ</t>
    </rPh>
    <phoneticPr fontId="5"/>
  </si>
  <si>
    <t>青パネルドロップ率UP</t>
    <rPh sb="0" eb="1">
      <t>アオパネル</t>
    </rPh>
    <phoneticPr fontId="5"/>
  </si>
  <si>
    <t>破滅を呼び起こそう</t>
    <phoneticPr fontId="5"/>
  </si>
  <si>
    <t>キミはボクの音に耐えられる？</t>
    <phoneticPr fontId="5"/>
  </si>
  <si>
    <t>old</t>
  </si>
  <si>
    <t>unit</t>
  </si>
  <si>
    <t>link</t>
  </si>
  <si>
    <t>攻略のヒント</t>
    <rPh sb="0" eb="2">
      <t>コウリャクノヒント</t>
    </rPh>
    <phoneticPr fontId="5"/>
  </si>
  <si>
    <t>そんな雑音聞かせるな</t>
    <phoneticPr fontId="5"/>
  </si>
  <si>
    <t>緑パネルを緑のダメージパネルに3個変換</t>
    <rPh sb="0" eb="1">
      <t>ミドリ</t>
    </rPh>
    <rPh sb="5" eb="6">
      <t>ミドリノ</t>
    </rPh>
    <rPh sb="17" eb="19">
      <t>ヘンカn</t>
    </rPh>
    <phoneticPr fontId="5"/>
  </si>
  <si>
    <t>緑パネルを緑のダメージパネルに5個変換</t>
    <rPh sb="0" eb="1">
      <t>ミドリ</t>
    </rPh>
    <rPh sb="5" eb="6">
      <t>ミドリノ</t>
    </rPh>
    <rPh sb="17" eb="19">
      <t>ヘンカn</t>
    </rPh>
    <phoneticPr fontId="5"/>
  </si>
  <si>
    <t>青パネルを青のダメージパネルに3個変換</t>
    <rPh sb="0" eb="1">
      <t>アオパネルヲ</t>
    </rPh>
    <rPh sb="5" eb="6">
      <t>アオ</t>
    </rPh>
    <rPh sb="17" eb="19">
      <t>ヘンカn</t>
    </rPh>
    <phoneticPr fontId="5"/>
  </si>
  <si>
    <t>緑パネルを緑のダメージパネルに4個変換</t>
    <rPh sb="0" eb="1">
      <t>ミドリ</t>
    </rPh>
    <rPh sb="5" eb="6">
      <t>ミドリノ</t>
    </rPh>
    <rPh sb="17" eb="19">
      <t>ヘンカn</t>
    </rPh>
    <phoneticPr fontId="5"/>
  </si>
  <si>
    <t>ハートパネルを青のダメージパネルに23個変換</t>
    <rPh sb="7" eb="8">
      <t>アオノ</t>
    </rPh>
    <rPh sb="20" eb="22">
      <t>ヘンカn</t>
    </rPh>
    <phoneticPr fontId="5"/>
  </si>
  <si>
    <t>状態異常耐性</t>
    <phoneticPr fontId="5"/>
  </si>
  <si>
    <t>ハートパネルを青のダメージパネルに5個変換+
単体攻撃</t>
    <rPh sb="7" eb="8">
      <t>アオノ</t>
    </rPh>
    <rPh sb="19" eb="21">
      <t>ヘンカn</t>
    </rPh>
    <rPh sb="23" eb="25">
      <t>タンタイ</t>
    </rPh>
    <rPh sb="25" eb="27">
      <t>コウゲキ</t>
    </rPh>
    <phoneticPr fontId="5"/>
  </si>
  <si>
    <t>青パネルを青のダメージパネルに3個変換+
単体攻撃</t>
    <rPh sb="0" eb="1">
      <t>アオパネルヲ</t>
    </rPh>
    <rPh sb="5" eb="6">
      <t>アオ</t>
    </rPh>
    <rPh sb="17" eb="19">
      <t>ヘンカn</t>
    </rPh>
    <phoneticPr fontId="5"/>
  </si>
  <si>
    <t>6回連続攻撃</t>
    <rPh sb="2" eb="6">
      <t>レンゾク</t>
    </rPh>
    <phoneticPr fontId="5"/>
  </si>
  <si>
    <t>丸呑み攻撃</t>
    <rPh sb="0" eb="2">
      <t>マルノミ</t>
    </rPh>
    <rPh sb="3" eb="5">
      <t>コウゲキ</t>
    </rPh>
    <phoneticPr fontId="5"/>
  </si>
  <si>
    <t>支配者の眼光</t>
    <rPh sb="0" eb="3">
      <t>シハイシャノガンコウ</t>
    </rPh>
    <phoneticPr fontId="5"/>
  </si>
  <si>
    <t>old</t>
    <phoneticPr fontId="5"/>
  </si>
  <si>
    <t>old</t>
    <phoneticPr fontId="7"/>
  </si>
  <si>
    <t>壊れろ…壊れろ…壊れろ…</t>
    <phoneticPr fontId="5"/>
  </si>
  <si>
    <t>ボクの音を聴いていきなよ</t>
    <rPh sb="3" eb="4">
      <t>オトヲ</t>
    </rPh>
    <rPh sb="5" eb="6">
      <t>キイテ</t>
    </rPh>
    <phoneticPr fontId="5"/>
  </si>
  <si>
    <t>美しい音色が…崩れる…</t>
    <phoneticPr fontId="5"/>
  </si>
  <si>
    <t>ラグナロクを呼び起こそう</t>
    <phoneticPr fontId="5"/>
  </si>
  <si>
    <t>威嚇</t>
    <rPh sb="0" eb="2">
      <t>イカク</t>
    </rPh>
    <phoneticPr fontId="5"/>
  </si>
  <si>
    <t>潜伏</t>
    <rPh sb="0" eb="2">
      <t>センプク</t>
    </rPh>
    <phoneticPr fontId="5"/>
  </si>
  <si>
    <t>オーズはすべてのパネルを
ハートパネルに変換して撤退します
スキルを溜めて次のステージに備えましょう</t>
    <rPh sb="20" eb="22">
      <t>ヘンカンシテ</t>
    </rPh>
    <rPh sb="24" eb="26">
      <t>テッタイシマス</t>
    </rPh>
    <rPh sb="34" eb="35">
      <t>タメテ</t>
    </rPh>
    <rPh sb="37" eb="38">
      <t>ツギノ</t>
    </rPh>
    <rPh sb="44" eb="45">
      <t>ソナエマショウ</t>
    </rPh>
    <phoneticPr fontId="5"/>
  </si>
  <si>
    <t>ファフニールは青属性のユニットに
大ダメージを与えます
ユニット編成に気をつけましょう</t>
    <rPh sb="7" eb="10">
      <t>アオゾクセイノ</t>
    </rPh>
    <rPh sb="17" eb="18">
      <t>ダイダメージヲ</t>
    </rPh>
    <rPh sb="23" eb="24">
      <t>アタエテキマス</t>
    </rPh>
    <rPh sb="35" eb="36">
      <t>キヲツケ</t>
    </rPh>
    <phoneticPr fontId="5"/>
  </si>
  <si>
    <t>hint_type</t>
    <phoneticPr fontId="5"/>
  </si>
  <si>
    <t>響き渡れ…</t>
    <rPh sb="0" eb="1">
      <t>ヒビキワタラセル</t>
    </rPh>
    <phoneticPr fontId="5"/>
  </si>
  <si>
    <t>破滅の時間だ</t>
    <rPh sb="3" eb="5">
      <t>ジカンダ</t>
    </rPh>
    <phoneticPr fontId="5"/>
  </si>
  <si>
    <t>ニーズヘッグのダメージパネル
吸収攻撃は大変強力です
あらかじめダメージパネルを割り
大ダメージを受けないようにしましょう</t>
    <rPh sb="15" eb="19">
      <t>キュウシュウ</t>
    </rPh>
    <rPh sb="20" eb="22">
      <t>タイヘn</t>
    </rPh>
    <rPh sb="22" eb="24">
      <t>キョウリョクダガ</t>
    </rPh>
    <rPh sb="40" eb="41">
      <t>ワリ</t>
    </rPh>
    <rPh sb="43" eb="44">
      <t>ダイ</t>
    </rPh>
    <rPh sb="49" eb="50">
      <t>ウケナイ</t>
    </rPh>
    <phoneticPr fontId="5"/>
  </si>
  <si>
    <t>(表示しない)</t>
    <rPh sb="1" eb="3">
      <t>ヒョウジシナイ</t>
    </rPh>
    <phoneticPr fontId="5"/>
  </si>
  <si>
    <t>(表示しない)</t>
    <phoneticPr fontId="5"/>
  </si>
  <si>
    <t>青属性のユニットに大ダメージの単体攻撃</t>
    <rPh sb="0" eb="3">
      <t>アオゾクセイノ</t>
    </rPh>
    <phoneticPr fontId="5"/>
  </si>
  <si>
    <t>2ターンユミルの攻撃力大UP</t>
    <rPh sb="8" eb="11">
      <t>コウゲキリョク</t>
    </rPh>
    <rPh sb="11" eb="12">
      <t>ダイ</t>
    </rPh>
    <phoneticPr fontId="5"/>
  </si>
  <si>
    <t>2ターン全ユニットの回復力50%DOWN</t>
    <rPh sb="4" eb="5">
      <t>ゼn</t>
    </rPh>
    <rPh sb="10" eb="13">
      <t>カイフクリョク</t>
    </rPh>
    <phoneticPr fontId="5"/>
  </si>
  <si>
    <t>自身の攻撃力大UP</t>
    <rPh sb="0" eb="2">
      <t>jisinnno</t>
    </rPh>
    <rPh sb="3" eb="6">
      <t>コウゲキリョク</t>
    </rPh>
    <rPh sb="6" eb="7">
      <t>ダイ</t>
    </rPh>
    <phoneticPr fontId="5"/>
  </si>
  <si>
    <t>3ターン全ユニットの回復力50%DOWN+
単体攻撃</t>
    <rPh sb="4" eb="5">
      <t>ゼン</t>
    </rPh>
    <rPh sb="10" eb="13">
      <t>カイフクリョク</t>
    </rPh>
    <rPh sb="22" eb="26">
      <t>タンタイコウゲキ</t>
    </rPh>
    <phoneticPr fontId="5"/>
  </si>
  <si>
    <t>青パネルを青のダメージパネルに5個変換</t>
    <rPh sb="0" eb="1">
      <t>アオ</t>
    </rPh>
    <rPh sb="5" eb="6">
      <t>アオ</t>
    </rPh>
    <phoneticPr fontId="5"/>
  </si>
  <si>
    <t>鼓舞の舞</t>
    <rPh sb="0" eb="2">
      <t>コブノ</t>
    </rPh>
    <rPh sb="3" eb="4">
      <t>マイ</t>
    </rPh>
    <phoneticPr fontId="5"/>
  </si>
  <si>
    <t>ギャラルホルンの2ゲージ目の
赤・黄・緑パネル吸収攻撃は大変強力です
盤面の各パネルの数に気をつけましょう</t>
    <rPh sb="15" eb="16">
      <t>アカ</t>
    </rPh>
    <rPh sb="17" eb="18">
      <t>キ</t>
    </rPh>
    <rPh sb="19" eb="20">
      <t>ミドリ</t>
    </rPh>
    <rPh sb="23" eb="27">
      <t>キュウシュウコウゲキニ</t>
    </rPh>
    <rPh sb="28" eb="32">
      <t>タイヘンキョウリョク</t>
    </rPh>
    <rPh sb="35" eb="37">
      <t>バンメンノ</t>
    </rPh>
    <rPh sb="38" eb="39">
      <t>カク</t>
    </rPh>
    <rPh sb="43" eb="44">
      <t>カズ</t>
    </rPh>
    <rPh sb="45" eb="46">
      <t>キヲツケ</t>
    </rPh>
    <phoneticPr fontId="5"/>
  </si>
  <si>
    <t>ギャラルホルンは青パネルを
ダメージパネルに変換します
青パネルの数に注意しましょう</t>
    <rPh sb="8" eb="9">
      <t>アオノ</t>
    </rPh>
    <rPh sb="28" eb="29">
      <t>アオノ</t>
    </rPh>
    <rPh sb="33" eb="34">
      <t>スウニ</t>
    </rPh>
    <rPh sb="35" eb="37">
      <t>チュウイシマショウ</t>
    </rPh>
    <phoneticPr fontId="5"/>
  </si>
  <si>
    <t>赤・黄・緑パネルを吸収して攻撃</t>
    <rPh sb="0" eb="1">
      <t>アカ</t>
    </rPh>
    <rPh sb="2" eb="3">
      <t>キ</t>
    </rPh>
    <rPh sb="4" eb="5">
      <t>ミドリ</t>
    </rPh>
    <rPh sb="9" eb="15">
      <t>キュウシュウ</t>
    </rPh>
    <phoneticPr fontId="5"/>
  </si>
  <si>
    <t>ダメージパネルを吸収して攻撃(最大4個)</t>
    <rPh sb="8" eb="14">
      <t>キュウシュウコウゲキ</t>
    </rPh>
    <rPh sb="15" eb="17">
      <t>サイダイ</t>
    </rPh>
    <phoneticPr fontId="5"/>
  </si>
  <si>
    <t>キミはボクの音に耐えられる？</t>
    <phoneticPr fontId="5"/>
  </si>
  <si>
    <t>ちょっといいか？
調査結果が出たんだ</t>
    <rPh sb="9" eb="13">
      <t>チョウサケッカガ</t>
    </rPh>
    <rPh sb="14" eb="15">
      <t>デタンダ</t>
    </rPh>
    <phoneticPr fontId="5"/>
  </si>
  <si>
    <t>全パネルをハートパネルに変換+
ハートパネルドロップ率UP+撤退</t>
    <rPh sb="0" eb="1">
      <t>ゼンパネルヲ</t>
    </rPh>
    <rPh sb="12" eb="14">
      <t>ヘンカn</t>
    </rPh>
    <rPh sb="30" eb="32">
      <t>テッタイ</t>
    </rPh>
    <phoneticPr fontId="5"/>
  </si>
  <si>
    <t>状態異常耐性</t>
    <phoneticPr fontId="5"/>
  </si>
  <si>
    <t>ニーズヘッグは最初に防御力UPの
スキルを使用しますがユミルを倒す事で
防御力UPが解除されます
ユミルを優先的に倒しましょう</t>
    <rPh sb="7" eb="9">
      <t>サイショニ</t>
    </rPh>
    <rPh sb="10" eb="13">
      <t>ボウギョ</t>
    </rPh>
    <rPh sb="21" eb="23">
      <t>シヨウシテキマス</t>
    </rPh>
    <rPh sb="31" eb="32">
      <t>タオスト</t>
    </rPh>
    <rPh sb="33" eb="34">
      <t>コトデ</t>
    </rPh>
    <rPh sb="36" eb="39">
      <t>ボウギョリョクアップガ</t>
    </rPh>
    <rPh sb="42" eb="44">
      <t>カイジョ</t>
    </rPh>
    <phoneticPr fontId="5"/>
  </si>
  <si>
    <t>状態異常耐性</t>
    <phoneticPr fontId="5"/>
  </si>
  <si>
    <t>自身の防御力激烈UP+状態異常耐性</t>
    <rPh sb="0" eb="2">
      <t>ジシンノ</t>
    </rPh>
    <rPh sb="3" eb="6">
      <t>ボウギョ</t>
    </rPh>
    <rPh sb="6" eb="8">
      <t>ゲキレツ</t>
    </rPh>
    <phoneticPr fontId="5"/>
  </si>
  <si>
    <t>[effect:enemy_message, val1:1.2, val2:2],[effect:force_change_block, new_block:damage, target:block_heart, color:block_blue, count:23, val:0.06, animation:change_block]</t>
    <phoneticPr fontId="5"/>
  </si>
  <si>
    <t>[effect:enemy_message, val1:1.2, val2:1.9],[effect:damage_anti_color, target:unit_one, color:blue, val1:1, val2:0.7]</t>
    <phoneticPr fontId="5"/>
  </si>
  <si>
    <t>[effect:enemy_message, val1:1.2, val2:1.2],[effect:enhance_enemy, target:myself, turn:-1, status:attack, val:0.5, calc:mul, animation:enemy_enhance_attack]</t>
    <phoneticPr fontId="5"/>
  </si>
  <si>
    <t>[effect:enemy_message, val1:1.2, val2:1.2],[effect:critical, val:1.2]</t>
    <phoneticPr fontId="5"/>
  </si>
  <si>
    <t>[effect:enemy_message, val1:1.2, val2:1.7],[effect:enhance_enemy, target:myself, turn:-1, status:defense, val:53000000, calc:add, animation:enemy_enhance_defense],[effect:tolerance, target:myself, turn:-1, count:-1, tolerance_effect:all, animation:enemy_tolerance]</t>
    <phoneticPr fontId="5"/>
  </si>
  <si>
    <t>[effect:enemy_message, val1:1.2, val2:1.9],[effect:force_change_block, new_block:damage, target:block_green, color:block_green, count:4, val:0.06, animation:change_block]</t>
    <phoneticPr fontId="5"/>
  </si>
  <si>
    <t>[effect:enemy_message, val1:1.2, val2:1.4],[effect:enhance_enemy, target:enemy_red, turn:2, status:attack, val:0.5, calc:mul, animation:enemy_enhance_attack]</t>
    <phoneticPr fontId="5"/>
  </si>
  <si>
    <t>[effect:enemy_message, val1:1.2, val2:2],[effect:degrade_unit, target:unit_all, turn:2, status:heal, val:0.5, calc:mul, animation:degrade_unit_all_heal]</t>
    <phoneticPr fontId="5"/>
  </si>
  <si>
    <t>[effect:enemy_message, val1:1.2, val2:1.2],[effect:suicide, target:myself, val:1, dead_type:suicide]</t>
    <phoneticPr fontId="5"/>
  </si>
  <si>
    <t>[effect:enemy_message, val1:1.2, val2:1.9],[effect:force_change_block, new_block:damage, target:block_green, color:block_green, count:3, val:0.06, animation:change_block]</t>
    <phoneticPr fontId="5"/>
  </si>
  <si>
    <t>[effect:enemy_message, val1:1.2, val2:2],[effect:break_attack, target:unit_one, val:0.1, lowest_val:5000, count:4, color:green, block01:damage]</t>
    <phoneticPr fontId="5"/>
  </si>
  <si>
    <t>[effect:enemy_message, val1:1.2, val2:1.9],[effect:force_change_block, new_block:damage, target:block_green, color:block_green, count:5, val:0.06, animation:change_block]</t>
    <phoneticPr fontId="5"/>
  </si>
  <si>
    <t>[effect:enemy_message, val1:1.2, val2:1.2],[effect:change_panel_ratio, turn:-1, block_type:blue, val:0.8, animation:block_incidence04]</t>
    <phoneticPr fontId="5"/>
  </si>
  <si>
    <t>[effect:enemy_message, val1:1.2, val2:1.9],[effect:force_change_block, new_block:damage, target:block_blue, color:block_blue, count:3, val:0.1, animation:change_block]</t>
    <phoneticPr fontId="5"/>
  </si>
  <si>
    <t>ラグナロクを呼び起こそう</t>
    <phoneticPr fontId="5"/>
  </si>
  <si>
    <t>壊れろ…壊れろ…壊れろ…</t>
    <phoneticPr fontId="5"/>
  </si>
  <si>
    <t>[effect:enemy_message, val1:1.2, val2:1.2],[effect:rush, count:6, val:0.2]</t>
    <phoneticPr fontId="5"/>
  </si>
  <si>
    <t>[effect:enemy_message, val1:1.2, val2:1.2],[effect:tolerance, target:myself, turn:-1, count:-1, tolerance_effect:all, animation:enemy_tolerance]</t>
    <phoneticPr fontId="5"/>
  </si>
  <si>
    <t>キミはボクの音に耐えられる？</t>
    <phoneticPr fontId="5"/>
  </si>
  <si>
    <t>[effect:enemy_message, val1:1.2, val2:1.5],[effect:break_attack, target:unit_one, val:0.09, lowest_val:0, count:-1, color:blue, block01:block_red, block02:block_yellow, block03:block_green]</t>
    <phoneticPr fontId="5"/>
  </si>
  <si>
    <t>[effect:enemy_message, val1:1.2, val2:1.9],[effect:force_change_block, new_block:damage, target:block_blue, color:block_blue, count:5, val:0.1, animation:change_block]</t>
    <phoneticPr fontId="5"/>
  </si>
  <si>
    <t>美しい音色が…崩れる…</t>
    <phoneticPr fontId="5"/>
  </si>
  <si>
    <t>[effect:enemy_message, val1:1.2, val2:2],[effect:force_change_block, new_block:damage, target:block_heart, color:block_blue, count:23, val:0.04, animation:change_block]</t>
    <phoneticPr fontId="5"/>
  </si>
  <si>
    <t>[effect:enemy_message, val1:1.2, val2:1.9],[effect:force_change_block, new_block:damage, target:block_green, color:block_green, count:4, val:0.03, animation:change_block]</t>
    <phoneticPr fontId="5"/>
  </si>
  <si>
    <t>[effect:enemy_message, val1:1.2, val2:1.9],[effect:force_change_block, new_block:damage, target:block_green, color:block_green, count:3, val:0.03, animation:change_block]</t>
    <phoneticPr fontId="5"/>
  </si>
  <si>
    <t>[effect:enemy_message, val1:1.2, val2:1.9],[effect:force_change_block, new_block:damage, target:block_green, color:block_green, count:5, val:0.03, animation:change_block]</t>
    <phoneticPr fontId="5"/>
  </si>
  <si>
    <t>[effect:enemy_message, val1:1.2, val2:2],[effect:break_attack, target:unit_one, val:0.1, lowest_val:3500, count:4, color:green, block01:damage]</t>
    <phoneticPr fontId="5"/>
  </si>
  <si>
    <t>[effect:enemy_message, val1:1.2, val2:2],[effect:break_attack, target:unit_one, val:0.1, lowest_val:2000, count:4, color:green, block01:damage]</t>
    <phoneticPr fontId="5"/>
  </si>
  <si>
    <t>[effect:enemy_message, val1:1.2, val2:1.9],[effect:force_change_block, new_block:damage, target:block_blue, color:block_blue, count:3, val:0.06, animation:change_block]</t>
    <phoneticPr fontId="5"/>
  </si>
  <si>
    <t>[effect:enemy_message, val1:1.2, val2:1.9],[effect:force_change_block, new_block:damage, target:block_blue, color:block_blue, count:5, val:0.06, animation:change_block]</t>
    <phoneticPr fontId="5"/>
  </si>
  <si>
    <t>[effect:enemy_message, val1:1.7, val2:0],[effect:ability_lock, target:unit_all, turn:1],[effect:sleep, target:unit_all, turn:1, rate:1],[effect:fix_speed, target:myself, turn:1]</t>
    <phoneticPr fontId="5"/>
  </si>
  <si>
    <t>[effect:enemy_message, val1:1.2, val2:2.6],[effect:force_change_block, new_block:damage, target:block_heart, color:block_blue, count:5, val:0.06, animation:change_block],[effect:critical, val:0.7]</t>
    <phoneticPr fontId="5"/>
  </si>
  <si>
    <t>[effect:enemy_message, val1:1.4, val2:2.5],[effect:degrade_unit, target:unit_all, turn:3, status:heal, val:0.5, calc:mul, animation:degrade_unit_all_heal],[effect:critical, val:0.8]</t>
    <phoneticPr fontId="5"/>
  </si>
  <si>
    <t>[effect:enemy_message, val1:1.2, val2:2.6],[effect:force_change_block, new_block:damage, target:block_heart, color:block_blue, count:5, val:0.03, animation:change_block],[effect:critical, val:0.7]</t>
    <phoneticPr fontId="5"/>
  </si>
  <si>
    <t>[effect:enemy_message, val1:1.7, val2:0],[effect:ability_lock, target:unit_all, turn:1],[effect:sleep, target:unit_all, turn:1, rate:1],[effect:fix_speed, target:myself, turn:1]</t>
    <phoneticPr fontId="5"/>
  </si>
  <si>
    <t>[effect:enemy_message, val1:1.8, val2:3.1],[effect:force_change_block, new_block:block_heart, target:block_all, count:0, val:0, animation:change_block],[effect:change_panel_ratio, turn:-1, block_type:heal, val:0.3, animation:block_incidence04],[effect:suicide, target:myself, val:1, dead_type:escape]</t>
    <phoneticPr fontId="5"/>
  </si>
  <si>
    <t>[effect:enemy_message, val1:1.2, val2:2.4],[effect:force_change_block, new_block:damage, target:block_blue, color:block_blue, count:3, val:0.1, animation:change_block],[effect:critical, val:0.8]</t>
    <phoneticPr fontId="5"/>
  </si>
  <si>
    <t>[effect:enemy_message, val1:1.2, val2:2.4],[effect:force_change_block, new_block:damage, target:block_blue, color:block_blue, count:3, val:0.06, animation:change_block],[effect:critical, val:0.8]</t>
    <phoneticPr fontId="5"/>
  </si>
  <si>
    <t>姿が変わっていく</t>
    <rPh sb="0" eb="1">
      <t>スガタ</t>
    </rPh>
    <rPh sb="2" eb="3">
      <t>カワッテイク</t>
    </rPh>
    <phoneticPr fontId="5"/>
  </si>
  <si>
    <t>[effect:enemy_message, val1:1.2, val2:1.9],[effect:force_change_block, new_block:damage, target:block_blue, color:block_blue, count:5, val:0.1, animation:change_block]</t>
    <phoneticPr fontId="5"/>
  </si>
  <si>
    <t>[effect:enemy_message, val1:1.2, val2:0 dead_type:suicide]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</si>
</sst>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883FF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5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vertical="center"/>
    </xf>
    <xf numFmtId="0" fontId="6" fillId="0" borderId="2" xfId="0" applyFont="1" applyFill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6" fillId="5" borderId="23" xfId="0" applyFont="1" applyFill="1" applyBorder="1" applyAlignment="1">
      <alignment vertical="center"/>
    </xf>
    <xf numFmtId="0" fontId="8" fillId="0" borderId="24" xfId="0" applyFont="1" applyBorder="1" applyAlignment="1">
      <alignment vertical="center"/>
    </xf>
    <xf numFmtId="177" fontId="8" fillId="0" borderId="24" xfId="0" applyNumberFormat="1" applyFont="1" applyBorder="1" applyAlignment="1">
      <alignment vertical="center"/>
    </xf>
    <xf numFmtId="1" fontId="32" fillId="31" borderId="2" xfId="0" applyNumberFormat="1" applyFont="1" applyFill="1" applyBorder="1" applyAlignment="1">
      <alignment vertical="center"/>
    </xf>
    <xf numFmtId="0" fontId="6" fillId="0" borderId="22" xfId="0" applyFont="1" applyFill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12" fillId="7" borderId="27" xfId="0" applyFont="1" applyFill="1" applyBorder="1" applyAlignment="1">
      <alignment vertical="center"/>
    </xf>
    <xf numFmtId="0" fontId="4" fillId="0" borderId="29" xfId="0" applyFont="1" applyFill="1" applyBorder="1" applyAlignment="1">
      <alignment horizontal="center" vertical="center"/>
    </xf>
    <xf numFmtId="0" fontId="4" fillId="3" borderId="29" xfId="0" applyFont="1" applyFill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0" fontId="6" fillId="0" borderId="29" xfId="0" applyFont="1" applyFill="1" applyBorder="1" applyAlignment="1">
      <alignment vertical="center"/>
    </xf>
    <xf numFmtId="0" fontId="4" fillId="0" borderId="29" xfId="0" applyFont="1" applyBorder="1" applyAlignment="1">
      <alignment horizontal="center" vertical="center"/>
    </xf>
    <xf numFmtId="0" fontId="6" fillId="5" borderId="30" xfId="0" applyFont="1" applyFill="1" applyBorder="1" applyAlignment="1">
      <alignment vertical="center"/>
    </xf>
    <xf numFmtId="0" fontId="8" fillId="0" borderId="28" xfId="0" applyFont="1" applyBorder="1" applyAlignment="1">
      <alignment vertical="center"/>
    </xf>
    <xf numFmtId="177" fontId="8" fillId="0" borderId="28" xfId="0" applyNumberFormat="1" applyFont="1" applyBorder="1" applyAlignment="1">
      <alignment vertical="center"/>
    </xf>
    <xf numFmtId="1" fontId="32" fillId="31" borderId="29" xfId="0" applyNumberFormat="1" applyFont="1" applyFill="1" applyBorder="1" applyAlignment="1">
      <alignment vertical="center"/>
    </xf>
    <xf numFmtId="0" fontId="6" fillId="0" borderId="28" xfId="0" applyFont="1" applyFill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4" fillId="3" borderId="29" xfId="0" applyFont="1" applyFill="1" applyBorder="1" applyAlignment="1">
      <alignment vertical="center"/>
    </xf>
    <xf numFmtId="0" fontId="4" fillId="0" borderId="29" xfId="0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29" xfId="0" applyFont="1" applyBorder="1" applyAlignment="1">
      <alignment vertical="center"/>
    </xf>
    <xf numFmtId="176" fontId="4" fillId="32" borderId="3" xfId="0" applyNumberFormat="1" applyFont="1" applyFill="1" applyBorder="1" applyAlignment="1">
      <alignment horizontal="center" vertical="center"/>
    </xf>
    <xf numFmtId="176" fontId="4" fillId="32" borderId="22" xfId="0" applyNumberFormat="1" applyFont="1" applyFill="1" applyBorder="1" applyAlignment="1">
      <alignment horizontal="center" vertical="center"/>
    </xf>
    <xf numFmtId="176" fontId="4" fillId="32" borderId="28" xfId="0" applyNumberFormat="1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vertical="center"/>
    </xf>
    <xf numFmtId="0" fontId="6" fillId="5" borderId="33" xfId="0" applyFont="1" applyFill="1" applyBorder="1" applyAlignment="1">
      <alignment vertical="center"/>
    </xf>
    <xf numFmtId="0" fontId="16" fillId="0" borderId="29" xfId="0" applyFont="1" applyFill="1" applyBorder="1" applyAlignment="1">
      <alignment vertical="center"/>
    </xf>
    <xf numFmtId="0" fontId="16" fillId="0" borderId="29" xfId="0" applyFont="1" applyFill="1" applyBorder="1" applyAlignment="1">
      <alignment horizontal="left" vertical="center"/>
    </xf>
    <xf numFmtId="0" fontId="16" fillId="0" borderId="29" xfId="0" applyFont="1" applyFill="1" applyBorder="1" applyAlignment="1">
      <alignment horizontal="left" vertical="center" wrapText="1"/>
    </xf>
    <xf numFmtId="0" fontId="16" fillId="3" borderId="29" xfId="0" applyFont="1" applyFill="1" applyBorder="1" applyAlignment="1">
      <alignment horizontal="left" vertical="center" wrapText="1"/>
    </xf>
    <xf numFmtId="0" fontId="16" fillId="3" borderId="29" xfId="0" applyFont="1" applyFill="1" applyBorder="1" applyAlignment="1">
      <alignment vertical="center"/>
    </xf>
    <xf numFmtId="14" fontId="16" fillId="0" borderId="29" xfId="0" applyNumberFormat="1" applyFont="1" applyFill="1" applyBorder="1" applyAlignment="1">
      <alignment horizontal="left" vertical="center"/>
    </xf>
    <xf numFmtId="0" fontId="16" fillId="0" borderId="2" xfId="0" applyFont="1" applyFill="1" applyBorder="1" applyAlignment="1">
      <alignment vertical="center"/>
    </xf>
    <xf numFmtId="0" fontId="16" fillId="0" borderId="2" xfId="0" applyFont="1" applyFill="1" applyBorder="1" applyAlignment="1">
      <alignment horizontal="left" vertical="center"/>
    </xf>
    <xf numFmtId="0" fontId="16" fillId="0" borderId="2" xfId="0" applyFont="1" applyFill="1" applyBorder="1" applyAlignment="1">
      <alignment horizontal="left" vertical="center" wrapText="1"/>
    </xf>
    <xf numFmtId="0" fontId="16" fillId="3" borderId="2" xfId="0" applyFont="1" applyFill="1" applyBorder="1" applyAlignment="1">
      <alignment horizontal="left" vertical="center" wrapText="1"/>
    </xf>
    <xf numFmtId="0" fontId="16" fillId="3" borderId="2" xfId="0" applyFont="1" applyFill="1" applyBorder="1" applyAlignment="1">
      <alignment vertical="center"/>
    </xf>
    <xf numFmtId="14" fontId="16" fillId="0" borderId="2" xfId="0" applyNumberFormat="1" applyFont="1" applyFill="1" applyBorder="1" applyAlignment="1">
      <alignment horizontal="left" vertical="center"/>
    </xf>
    <xf numFmtId="0" fontId="16" fillId="32" borderId="29" xfId="0" applyFont="1" applyFill="1" applyBorder="1" applyAlignment="1">
      <alignment vertical="center"/>
    </xf>
    <xf numFmtId="0" fontId="16" fillId="6" borderId="2" xfId="0" applyFont="1" applyFill="1" applyBorder="1" applyAlignment="1">
      <alignment vertical="center"/>
    </xf>
    <xf numFmtId="0" fontId="16" fillId="6" borderId="29" xfId="0" applyFont="1" applyFill="1" applyBorder="1" applyAlignment="1">
      <alignment vertical="center"/>
    </xf>
    <xf numFmtId="0" fontId="16" fillId="33" borderId="2" xfId="0" applyFont="1" applyFill="1" applyBorder="1" applyAlignment="1">
      <alignment vertical="center"/>
    </xf>
    <xf numFmtId="0" fontId="16" fillId="33" borderId="29" xfId="0" applyFont="1" applyFill="1" applyBorder="1" applyAlignment="1">
      <alignment vertical="center"/>
    </xf>
    <xf numFmtId="176" fontId="4" fillId="33" borderId="3" xfId="0" applyNumberFormat="1" applyFont="1" applyFill="1" applyBorder="1" applyAlignment="1">
      <alignment horizontal="center" vertical="center"/>
    </xf>
    <xf numFmtId="176" fontId="4" fillId="33" borderId="22" xfId="0" applyNumberFormat="1" applyFont="1" applyFill="1" applyBorder="1" applyAlignment="1">
      <alignment horizontal="center" vertical="center"/>
    </xf>
    <xf numFmtId="176" fontId="4" fillId="33" borderId="28" xfId="0" applyNumberFormat="1" applyFont="1" applyFill="1" applyBorder="1" applyAlignment="1">
      <alignment horizontal="center" vertical="center"/>
    </xf>
    <xf numFmtId="176" fontId="4" fillId="34" borderId="3" xfId="0" applyNumberFormat="1" applyFont="1" applyFill="1" applyBorder="1" applyAlignment="1">
      <alignment horizontal="center" vertical="center"/>
    </xf>
    <xf numFmtId="176" fontId="4" fillId="34" borderId="22" xfId="0" applyNumberFormat="1" applyFont="1" applyFill="1" applyBorder="1" applyAlignment="1">
      <alignment horizontal="center" vertical="center"/>
    </xf>
    <xf numFmtId="176" fontId="4" fillId="34" borderId="28" xfId="0" applyNumberFormat="1" applyFont="1" applyFill="1" applyBorder="1" applyAlignment="1">
      <alignment horizontal="center" vertical="center"/>
    </xf>
    <xf numFmtId="0" fontId="16" fillId="34" borderId="2" xfId="0" applyFont="1" applyFill="1" applyBorder="1" applyAlignment="1">
      <alignment vertical="center"/>
    </xf>
    <xf numFmtId="0" fontId="16" fillId="34" borderId="29" xfId="0" applyFont="1" applyFill="1" applyBorder="1" applyAlignment="1">
      <alignment vertical="center"/>
    </xf>
    <xf numFmtId="0" fontId="16" fillId="0" borderId="11" xfId="0" applyFont="1" applyFill="1" applyBorder="1" applyAlignment="1">
      <alignment vertical="center"/>
    </xf>
    <xf numFmtId="0" fontId="16" fillId="3" borderId="11" xfId="0" applyFont="1" applyFill="1" applyBorder="1" applyAlignment="1">
      <alignment vertical="center"/>
    </xf>
    <xf numFmtId="0" fontId="14" fillId="7" borderId="27" xfId="0" applyFont="1" applyFill="1" applyBorder="1" applyAlignment="1">
      <alignment vertical="center"/>
    </xf>
    <xf numFmtId="0" fontId="16" fillId="0" borderId="34" xfId="0" applyFont="1" applyFill="1" applyBorder="1" applyAlignment="1">
      <alignment vertical="center"/>
    </xf>
    <xf numFmtId="0" fontId="16" fillId="3" borderId="34" xfId="0" applyFont="1" applyFill="1" applyBorder="1" applyAlignment="1">
      <alignment vertical="center"/>
    </xf>
    <xf numFmtId="0" fontId="16" fillId="34" borderId="11" xfId="0" applyFont="1" applyFill="1" applyBorder="1" applyAlignment="1">
      <alignment vertical="center"/>
    </xf>
    <xf numFmtId="0" fontId="16" fillId="33" borderId="11" xfId="0" applyFont="1" applyFill="1" applyBorder="1" applyAlignment="1">
      <alignment vertical="center"/>
    </xf>
    <xf numFmtId="0" fontId="16" fillId="33" borderId="34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6" borderId="11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6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11" xfId="0" applyFont="1" applyFill="1" applyBorder="1" applyAlignment="1">
      <alignment horizontal="left" vertical="center"/>
    </xf>
    <xf numFmtId="0" fontId="16" fillId="3" borderId="29" xfId="0" applyFont="1" applyFill="1" applyBorder="1" applyAlignment="1">
      <alignment horizontal="left" vertical="center"/>
    </xf>
    <xf numFmtId="0" fontId="16" fillId="0" borderId="35" xfId="0" applyFont="1" applyFill="1" applyBorder="1" applyAlignment="1">
      <alignment vertical="center"/>
    </xf>
    <xf numFmtId="0" fontId="16" fillId="3" borderId="35" xfId="0" applyFont="1" applyFill="1" applyBorder="1" applyAlignment="1">
      <alignment vertical="center"/>
    </xf>
    <xf numFmtId="0" fontId="14" fillId="7" borderId="36" xfId="0" applyFont="1" applyFill="1" applyBorder="1" applyAlignment="1">
      <alignment vertical="center"/>
    </xf>
    <xf numFmtId="0" fontId="16" fillId="3" borderId="34" xfId="0" applyFont="1" applyFill="1" applyBorder="1" applyAlignment="1">
      <alignment horizontal="left" vertical="center"/>
    </xf>
    <xf numFmtId="0" fontId="16" fillId="33" borderId="35" xfId="0" applyFont="1" applyFill="1" applyBorder="1" applyAlignment="1">
      <alignment vertical="center"/>
    </xf>
    <xf numFmtId="0" fontId="16" fillId="34" borderId="35" xfId="0" applyFont="1" applyFill="1" applyBorder="1" applyAlignment="1">
      <alignment vertical="center"/>
    </xf>
    <xf numFmtId="0" fontId="16" fillId="32" borderId="2" xfId="0" applyFont="1" applyFill="1" applyBorder="1" applyAlignment="1">
      <alignment vertical="center"/>
    </xf>
    <xf numFmtId="176" fontId="4" fillId="32" borderId="7" xfId="0" applyNumberFormat="1" applyFont="1" applyFill="1" applyBorder="1" applyAlignment="1">
      <alignment horizontal="center" vertical="center"/>
    </xf>
    <xf numFmtId="176" fontId="4" fillId="34" borderId="7" xfId="0" applyNumberFormat="1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vertical="center"/>
    </xf>
    <xf numFmtId="176" fontId="4" fillId="33" borderId="7" xfId="0" applyNumberFormat="1" applyFont="1" applyFill="1" applyBorder="1" applyAlignment="1">
      <alignment horizontal="center" vertical="center"/>
    </xf>
    <xf numFmtId="0" fontId="8" fillId="0" borderId="7" xfId="0" applyFont="1" applyBorder="1" applyAlignment="1">
      <alignment vertical="center"/>
    </xf>
    <xf numFmtId="177" fontId="8" fillId="0" borderId="7" xfId="0" applyNumberFormat="1" applyFont="1" applyBorder="1" applyAlignment="1">
      <alignment vertical="center"/>
    </xf>
    <xf numFmtId="0" fontId="8" fillId="0" borderId="38" xfId="0" applyFont="1" applyBorder="1" applyAlignment="1">
      <alignment vertical="center"/>
    </xf>
    <xf numFmtId="0" fontId="16" fillId="0" borderId="35" xfId="0" applyFont="1" applyFill="1" applyBorder="1" applyAlignment="1">
      <alignment horizontal="left" vertical="center"/>
    </xf>
    <xf numFmtId="0" fontId="16" fillId="0" borderId="35" xfId="0" applyFont="1" applyFill="1" applyBorder="1" applyAlignment="1">
      <alignment horizontal="left" vertical="center" wrapText="1"/>
    </xf>
    <xf numFmtId="0" fontId="16" fillId="3" borderId="35" xfId="0" applyFont="1" applyFill="1" applyBorder="1" applyAlignment="1">
      <alignment horizontal="left" vertical="center" wrapText="1"/>
    </xf>
    <xf numFmtId="14" fontId="16" fillId="0" borderId="35" xfId="0" applyNumberFormat="1" applyFont="1" applyFill="1" applyBorder="1" applyAlignment="1">
      <alignment horizontal="left" vertical="center"/>
    </xf>
    <xf numFmtId="0" fontId="16" fillId="6" borderId="34" xfId="0" applyFont="1" applyFill="1" applyBorder="1" applyAlignment="1">
      <alignment vertical="center"/>
    </xf>
    <xf numFmtId="0" fontId="16" fillId="0" borderId="34" xfId="0" applyFont="1" applyFill="1" applyBorder="1" applyAlignment="1">
      <alignment horizontal="left" vertical="center"/>
    </xf>
    <xf numFmtId="0" fontId="16" fillId="0" borderId="34" xfId="0" applyFont="1" applyFill="1" applyBorder="1" applyAlignment="1">
      <alignment horizontal="left" vertical="center" wrapText="1"/>
    </xf>
    <xf numFmtId="0" fontId="16" fillId="3" borderId="34" xfId="0" applyFont="1" applyFill="1" applyBorder="1" applyAlignment="1">
      <alignment horizontal="left" vertical="center" wrapText="1"/>
    </xf>
    <xf numFmtId="14" fontId="16" fillId="0" borderId="34" xfId="0" applyNumberFormat="1" applyFont="1" applyFill="1" applyBorder="1" applyAlignment="1">
      <alignment horizontal="left" vertical="center"/>
    </xf>
    <xf numFmtId="0" fontId="16" fillId="33" borderId="39" xfId="0" applyFont="1" applyFill="1" applyBorder="1" applyAlignment="1">
      <alignment vertical="center"/>
    </xf>
    <xf numFmtId="0" fontId="4" fillId="0" borderId="11" xfId="0" applyFont="1" applyFill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4" fillId="0" borderId="11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vertical="center"/>
    </xf>
    <xf numFmtId="0" fontId="4" fillId="3" borderId="1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12" fillId="7" borderId="36" xfId="0" applyFont="1" applyFill="1" applyBorder="1" applyAlignment="1">
      <alignment vertical="center"/>
    </xf>
    <xf numFmtId="0" fontId="6" fillId="5" borderId="29" xfId="0" applyFont="1" applyFill="1" applyBorder="1" applyAlignment="1">
      <alignment vertical="center"/>
    </xf>
    <xf numFmtId="0" fontId="6" fillId="3" borderId="29" xfId="0" applyFont="1" applyFill="1" applyBorder="1" applyAlignment="1">
      <alignment vertical="center"/>
    </xf>
    <xf numFmtId="0" fontId="16" fillId="32" borderId="35" xfId="0" applyFont="1" applyFill="1" applyBorder="1" applyAlignment="1">
      <alignment vertical="center"/>
    </xf>
    <xf numFmtId="0" fontId="16" fillId="32" borderId="34" xfId="0" applyFont="1" applyFill="1" applyBorder="1" applyAlignment="1">
      <alignment vertical="center"/>
    </xf>
    <xf numFmtId="0" fontId="16" fillId="32" borderId="11" xfId="0" applyFont="1" applyFill="1" applyBorder="1" applyAlignment="1">
      <alignment vertical="center"/>
    </xf>
    <xf numFmtId="0" fontId="0" fillId="0" borderId="11" xfId="0" applyBorder="1"/>
    <xf numFmtId="0" fontId="0" fillId="3" borderId="11" xfId="0" applyFill="1" applyBorder="1"/>
    <xf numFmtId="0" fontId="0" fillId="0" borderId="29" xfId="0" applyBorder="1"/>
    <xf numFmtId="0" fontId="0" fillId="3" borderId="29" xfId="0" applyFill="1" applyBorder="1"/>
    <xf numFmtId="0" fontId="0" fillId="32" borderId="7" xfId="0" applyFill="1" applyBorder="1"/>
    <xf numFmtId="0" fontId="0" fillId="32" borderId="29" xfId="0" applyFill="1" applyBorder="1"/>
    <xf numFmtId="0" fontId="0" fillId="34" borderId="11" xfId="0" applyFill="1" applyBorder="1"/>
    <xf numFmtId="0" fontId="0" fillId="34" borderId="7" xfId="0" applyFill="1" applyBorder="1"/>
    <xf numFmtId="0" fontId="0" fillId="34" borderId="29" xfId="0" applyFill="1" applyBorder="1"/>
    <xf numFmtId="0" fontId="0" fillId="33" borderId="11" xfId="0" applyFill="1" applyBorder="1"/>
    <xf numFmtId="0" fontId="0" fillId="33" borderId="7" xfId="0" applyFill="1" applyBorder="1"/>
    <xf numFmtId="38" fontId="16" fillId="0" borderId="7" xfId="628" applyFont="1" applyFill="1" applyBorder="1" applyAlignment="1">
      <alignment wrapText="1"/>
    </xf>
    <xf numFmtId="0" fontId="27" fillId="0" borderId="11" xfId="0" applyFont="1" applyFill="1" applyBorder="1"/>
    <xf numFmtId="0" fontId="28" fillId="0" borderId="11" xfId="0" applyFont="1" applyFill="1" applyBorder="1"/>
    <xf numFmtId="0" fontId="30" fillId="0" borderId="11" xfId="0" applyFont="1" applyFill="1" applyBorder="1"/>
    <xf numFmtId="0" fontId="30" fillId="30" borderId="11" xfId="0" applyFont="1" applyFill="1" applyBorder="1"/>
    <xf numFmtId="0" fontId="30" fillId="14" borderId="11" xfId="0" applyFont="1" applyFill="1" applyBorder="1"/>
    <xf numFmtId="0" fontId="31" fillId="0" borderId="11" xfId="0" applyFont="1" applyFill="1" applyBorder="1"/>
    <xf numFmtId="0" fontId="27" fillId="0" borderId="29" xfId="0" applyFont="1" applyFill="1" applyBorder="1"/>
    <xf numFmtId="0" fontId="28" fillId="0" borderId="29" xfId="0" applyFont="1" applyFill="1" applyBorder="1"/>
    <xf numFmtId="0" fontId="29" fillId="3" borderId="29" xfId="0" applyFont="1" applyFill="1" applyBorder="1" applyAlignment="1">
      <alignment vertical="center"/>
    </xf>
    <xf numFmtId="0" fontId="30" fillId="0" borderId="29" xfId="0" applyFont="1" applyFill="1" applyBorder="1"/>
    <xf numFmtId="0" fontId="29" fillId="0" borderId="29" xfId="0" applyFont="1" applyFill="1" applyBorder="1" applyAlignment="1">
      <alignment vertical="center"/>
    </xf>
    <xf numFmtId="0" fontId="30" fillId="30" borderId="29" xfId="0" applyFont="1" applyFill="1" applyBorder="1"/>
    <xf numFmtId="0" fontId="30" fillId="14" borderId="29" xfId="0" applyFont="1" applyFill="1" applyBorder="1"/>
    <xf numFmtId="0" fontId="31" fillId="0" borderId="29" xfId="0" applyFont="1" applyFill="1" applyBorder="1"/>
    <xf numFmtId="38" fontId="16" fillId="0" borderId="29" xfId="628" applyFont="1" applyFill="1" applyBorder="1" applyAlignment="1">
      <alignment wrapText="1"/>
    </xf>
    <xf numFmtId="0" fontId="0" fillId="0" borderId="34" xfId="0" applyBorder="1"/>
    <xf numFmtId="0" fontId="0" fillId="0" borderId="40" xfId="0" applyBorder="1"/>
    <xf numFmtId="0" fontId="0" fillId="0" borderId="2" xfId="0" applyBorder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6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883FF"/>
      <color rgb="FF76D6FF"/>
      <color rgb="FF94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1458</v>
          </cell>
        </row>
        <row r="1408">
          <cell r="A1408">
            <v>1459</v>
          </cell>
        </row>
        <row r="1409">
          <cell r="A1409">
            <v>1460</v>
          </cell>
        </row>
        <row r="1410">
          <cell r="A1410">
            <v>1461</v>
          </cell>
        </row>
        <row r="1411">
          <cell r="A1411">
            <v>1462</v>
          </cell>
        </row>
        <row r="1412">
          <cell r="A1412">
            <v>1463</v>
          </cell>
        </row>
        <row r="1413">
          <cell r="A1413">
            <v>1464</v>
          </cell>
        </row>
        <row r="1414">
          <cell r="A1414">
            <v>1465</v>
          </cell>
        </row>
        <row r="1415">
          <cell r="A1415">
            <v>1466</v>
          </cell>
        </row>
        <row r="1416">
          <cell r="A1416">
            <v>1467</v>
          </cell>
        </row>
        <row r="1417">
          <cell r="A1417">
            <v>1468</v>
          </cell>
        </row>
        <row r="1418">
          <cell r="A1418">
            <v>1469</v>
          </cell>
        </row>
        <row r="1419">
          <cell r="A1419">
            <v>1470</v>
          </cell>
        </row>
        <row r="1420">
          <cell r="A1420">
            <v>1488</v>
          </cell>
        </row>
        <row r="1421">
          <cell r="A1421">
            <v>1489</v>
          </cell>
        </row>
        <row r="1422">
          <cell r="A1422">
            <v>1504</v>
          </cell>
        </row>
        <row r="1423">
          <cell r="A1423">
            <v>1505</v>
          </cell>
        </row>
        <row r="1424">
          <cell r="A1424">
            <v>1506</v>
          </cell>
        </row>
        <row r="1425">
          <cell r="A1425">
            <v>1507</v>
          </cell>
        </row>
        <row r="1426">
          <cell r="A1426">
            <v>1508</v>
          </cell>
        </row>
        <row r="1427">
          <cell r="A1427">
            <v>1509</v>
          </cell>
        </row>
        <row r="1428">
          <cell r="A1428">
            <v>1510</v>
          </cell>
        </row>
        <row r="1429">
          <cell r="A1429">
            <v>1511</v>
          </cell>
        </row>
        <row r="1430">
          <cell r="A1430">
            <v>1512</v>
          </cell>
        </row>
        <row r="1431">
          <cell r="A1431">
            <v>1513</v>
          </cell>
        </row>
        <row r="1432">
          <cell r="A1432">
            <v>1514</v>
          </cell>
        </row>
        <row r="1433">
          <cell r="A1433">
            <v>1515</v>
          </cell>
        </row>
        <row r="1434">
          <cell r="A1434">
            <v>1516</v>
          </cell>
        </row>
        <row r="1435">
          <cell r="A1435">
            <v>1517</v>
          </cell>
        </row>
        <row r="1436">
          <cell r="A1436">
            <v>1518</v>
          </cell>
        </row>
        <row r="1437">
          <cell r="A1437">
            <v>1519</v>
          </cell>
        </row>
        <row r="1438">
          <cell r="A1438">
            <v>1520</v>
          </cell>
        </row>
        <row r="1439">
          <cell r="A1439">
            <v>1521</v>
          </cell>
        </row>
        <row r="1440">
          <cell r="A1440">
            <v>1522</v>
          </cell>
        </row>
        <row r="1441">
          <cell r="A1441">
            <v>1523</v>
          </cell>
        </row>
        <row r="1442">
          <cell r="A1442">
            <v>1524</v>
          </cell>
        </row>
        <row r="1443">
          <cell r="A1443">
            <v>1525</v>
          </cell>
        </row>
        <row r="1444">
          <cell r="A1444">
            <v>1526</v>
          </cell>
        </row>
        <row r="1445">
          <cell r="A1445">
            <v>1527</v>
          </cell>
        </row>
        <row r="1446">
          <cell r="A1446">
            <v>1528</v>
          </cell>
        </row>
        <row r="1447">
          <cell r="A1447">
            <v>1529</v>
          </cell>
        </row>
        <row r="1448">
          <cell r="A1448">
            <v>1530</v>
          </cell>
        </row>
        <row r="1449">
          <cell r="A1449">
            <v>1531</v>
          </cell>
        </row>
        <row r="1450">
          <cell r="A1450">
            <v>1532</v>
          </cell>
        </row>
        <row r="1451">
          <cell r="A1451">
            <v>1533</v>
          </cell>
        </row>
        <row r="1452">
          <cell r="A1452">
            <v>1534</v>
          </cell>
        </row>
        <row r="1453">
          <cell r="A1453">
            <v>1535</v>
          </cell>
        </row>
        <row r="1454">
          <cell r="A1454">
            <v>1536</v>
          </cell>
        </row>
        <row r="1455">
          <cell r="A1455">
            <v>1537</v>
          </cell>
        </row>
        <row r="1456">
          <cell r="A1456">
            <v>1538</v>
          </cell>
        </row>
        <row r="1457">
          <cell r="A1457">
            <v>1539</v>
          </cell>
        </row>
        <row r="1458">
          <cell r="A1458">
            <v>1540</v>
          </cell>
        </row>
        <row r="1459">
          <cell r="A1459">
            <v>1541</v>
          </cell>
        </row>
        <row r="1460">
          <cell r="A1460">
            <v>1542</v>
          </cell>
        </row>
        <row r="1461">
          <cell r="A1461">
            <v>1543</v>
          </cell>
        </row>
        <row r="1462">
          <cell r="A1462">
            <v>1544</v>
          </cell>
        </row>
        <row r="1463">
          <cell r="A1463">
            <v>1545</v>
          </cell>
        </row>
        <row r="1464">
          <cell r="A1464">
            <v>1546</v>
          </cell>
        </row>
        <row r="1465">
          <cell r="A1465">
            <v>1547</v>
          </cell>
        </row>
        <row r="1466">
          <cell r="A1466">
            <v>1548</v>
          </cell>
        </row>
        <row r="1467">
          <cell r="A1467">
            <v>1549</v>
          </cell>
        </row>
        <row r="1468">
          <cell r="A1468">
            <v>1550</v>
          </cell>
        </row>
        <row r="1469">
          <cell r="A1469">
            <v>5001</v>
          </cell>
        </row>
        <row r="1470">
          <cell r="A1470">
            <v>5002</v>
          </cell>
        </row>
        <row r="1471">
          <cell r="A1471">
            <v>5003</v>
          </cell>
        </row>
        <row r="1472">
          <cell r="A1472">
            <v>5004</v>
          </cell>
        </row>
        <row r="1473">
          <cell r="A1473">
            <v>5005</v>
          </cell>
        </row>
        <row r="1474">
          <cell r="A1474">
            <v>5006</v>
          </cell>
        </row>
        <row r="1475">
          <cell r="A1475">
            <v>5007</v>
          </cell>
        </row>
        <row r="1476">
          <cell r="A1476">
            <v>5008</v>
          </cell>
        </row>
        <row r="1477">
          <cell r="A1477">
            <v>6001</v>
          </cell>
        </row>
        <row r="1478">
          <cell r="A1478">
            <v>6002</v>
          </cell>
        </row>
        <row r="1479">
          <cell r="A1479">
            <v>6003</v>
          </cell>
        </row>
        <row r="1480">
          <cell r="A1480">
            <v>6004</v>
          </cell>
        </row>
        <row r="1481">
          <cell r="A1481">
            <v>6005</v>
          </cell>
        </row>
        <row r="1482">
          <cell r="A1482">
            <v>6006</v>
          </cell>
        </row>
        <row r="1483">
          <cell r="A1483">
            <v>6007</v>
          </cell>
        </row>
        <row r="1484">
          <cell r="A1484">
            <v>6008</v>
          </cell>
        </row>
        <row r="1485">
          <cell r="A1485">
            <v>6009</v>
          </cell>
        </row>
        <row r="1486">
          <cell r="A1486">
            <v>6010</v>
          </cell>
        </row>
        <row r="1487">
          <cell r="A1487">
            <v>6011</v>
          </cell>
        </row>
        <row r="1488">
          <cell r="A1488">
            <v>6012</v>
          </cell>
        </row>
        <row r="1489">
          <cell r="A1489">
            <v>6013</v>
          </cell>
        </row>
        <row r="1490">
          <cell r="A1490">
            <v>6014</v>
          </cell>
        </row>
        <row r="1491">
          <cell r="A1491">
            <v>6015</v>
          </cell>
        </row>
        <row r="1492">
          <cell r="A1492">
            <v>6016</v>
          </cell>
        </row>
        <row r="1493">
          <cell r="A1493">
            <v>6017</v>
          </cell>
        </row>
        <row r="1494">
          <cell r="A1494">
            <v>6018</v>
          </cell>
        </row>
        <row r="1495">
          <cell r="A1495">
            <v>6019</v>
          </cell>
        </row>
        <row r="1496">
          <cell r="A1496">
            <v>6020</v>
          </cell>
        </row>
        <row r="1497">
          <cell r="A1497">
            <v>8001</v>
          </cell>
        </row>
        <row r="1498">
          <cell r="A1498">
            <v>8002</v>
          </cell>
        </row>
        <row r="1499">
          <cell r="A1499">
            <v>8003</v>
          </cell>
        </row>
        <row r="1500">
          <cell r="A1500">
            <v>8004</v>
          </cell>
        </row>
        <row r="1501">
          <cell r="A1501">
            <v>8005</v>
          </cell>
        </row>
        <row r="1502">
          <cell r="A1502">
            <v>8006</v>
          </cell>
        </row>
        <row r="1503">
          <cell r="A1503">
            <v>8007</v>
          </cell>
        </row>
        <row r="1504">
          <cell r="A1504">
            <v>8008</v>
          </cell>
        </row>
        <row r="1505">
          <cell r="A1505">
            <v>8009</v>
          </cell>
        </row>
        <row r="1506">
          <cell r="A1506">
            <v>8010</v>
          </cell>
        </row>
        <row r="1507">
          <cell r="A1507">
            <v>8011</v>
          </cell>
        </row>
        <row r="1508">
          <cell r="A1508">
            <v>8012</v>
          </cell>
        </row>
        <row r="1509">
          <cell r="A1509">
            <v>8013</v>
          </cell>
        </row>
        <row r="1510">
          <cell r="A1510">
            <v>8014</v>
          </cell>
        </row>
        <row r="1511">
          <cell r="A1511">
            <v>8015</v>
          </cell>
        </row>
        <row r="1512">
          <cell r="A1512">
            <v>8016</v>
          </cell>
        </row>
        <row r="1513">
          <cell r="A1513">
            <v>8017</v>
          </cell>
        </row>
        <row r="1514">
          <cell r="A1514">
            <v>8018</v>
          </cell>
        </row>
        <row r="1515">
          <cell r="A1515">
            <v>8019</v>
          </cell>
        </row>
        <row r="1516">
          <cell r="A1516">
            <v>8020</v>
          </cell>
        </row>
        <row r="1517">
          <cell r="A1517">
            <v>8021</v>
          </cell>
        </row>
        <row r="1518">
          <cell r="A1518">
            <v>8022</v>
          </cell>
        </row>
        <row r="1519">
          <cell r="A1519">
            <v>8023</v>
          </cell>
        </row>
        <row r="1520">
          <cell r="A1520">
            <v>8024</v>
          </cell>
        </row>
        <row r="1521">
          <cell r="A1521">
            <v>8025</v>
          </cell>
        </row>
        <row r="1522">
          <cell r="A1522">
            <v>8026</v>
          </cell>
        </row>
        <row r="1523">
          <cell r="A1523">
            <v>8027</v>
          </cell>
        </row>
        <row r="1524">
          <cell r="A1524">
            <v>8028</v>
          </cell>
        </row>
        <row r="1525">
          <cell r="A1525">
            <v>8029</v>
          </cell>
        </row>
        <row r="1526">
          <cell r="A1526">
            <v>8030</v>
          </cell>
        </row>
        <row r="1527">
          <cell r="A1527">
            <v>8031</v>
          </cell>
        </row>
        <row r="1528">
          <cell r="A1528">
            <v>8032</v>
          </cell>
        </row>
        <row r="1529">
          <cell r="A1529">
            <v>8033</v>
          </cell>
        </row>
        <row r="1530">
          <cell r="A1530">
            <v>8034</v>
          </cell>
        </row>
        <row r="1531">
          <cell r="A1531">
            <v>8035</v>
          </cell>
        </row>
        <row r="1532">
          <cell r="A1532">
            <v>8036</v>
          </cell>
        </row>
        <row r="1533">
          <cell r="A1533">
            <v>8037</v>
          </cell>
        </row>
        <row r="1534">
          <cell r="A1534">
            <v>8038</v>
          </cell>
        </row>
        <row r="1535">
          <cell r="A1535">
            <v>8039</v>
          </cell>
        </row>
        <row r="1536">
          <cell r="A1536">
            <v>8040</v>
          </cell>
        </row>
        <row r="1537">
          <cell r="A1537">
            <v>8041</v>
          </cell>
        </row>
        <row r="1538">
          <cell r="A1538">
            <v>8042</v>
          </cell>
        </row>
        <row r="1539">
          <cell r="A1539">
            <v>8043</v>
          </cell>
        </row>
        <row r="1540">
          <cell r="A1540">
            <v>8044</v>
          </cell>
        </row>
        <row r="1541">
          <cell r="A1541">
            <v>8045</v>
          </cell>
        </row>
        <row r="1542">
          <cell r="A1542">
            <v>8046</v>
          </cell>
        </row>
        <row r="1543">
          <cell r="A1543">
            <v>8047</v>
          </cell>
        </row>
        <row r="1544">
          <cell r="A1544">
            <v>8048</v>
          </cell>
        </row>
        <row r="1545">
          <cell r="A1545">
            <v>8049</v>
          </cell>
        </row>
        <row r="1546">
          <cell r="A1546">
            <v>8050</v>
          </cell>
        </row>
        <row r="1547">
          <cell r="A1547">
            <v>8051</v>
          </cell>
        </row>
        <row r="1548">
          <cell r="A1548">
            <v>8052</v>
          </cell>
        </row>
        <row r="1549">
          <cell r="A1549">
            <v>8053</v>
          </cell>
        </row>
        <row r="1550">
          <cell r="A1550">
            <v>8054</v>
          </cell>
        </row>
        <row r="1551">
          <cell r="A1551">
            <v>8055</v>
          </cell>
        </row>
        <row r="1552">
          <cell r="A1552">
            <v>8056</v>
          </cell>
        </row>
        <row r="1553">
          <cell r="A1553">
            <v>8057</v>
          </cell>
        </row>
        <row r="1554">
          <cell r="A1554">
            <v>8058</v>
          </cell>
        </row>
        <row r="1555">
          <cell r="A1555">
            <v>8059</v>
          </cell>
        </row>
        <row r="1556">
          <cell r="A1556">
            <v>8060</v>
          </cell>
        </row>
        <row r="1557">
          <cell r="A1557">
            <v>8061</v>
          </cell>
        </row>
        <row r="1558">
          <cell r="A1558">
            <v>8062</v>
          </cell>
        </row>
        <row r="1559">
          <cell r="A1559">
            <v>8063</v>
          </cell>
        </row>
        <row r="1560">
          <cell r="A1560">
            <v>8064</v>
          </cell>
        </row>
        <row r="1561">
          <cell r="A1561">
            <v>8065</v>
          </cell>
        </row>
        <row r="1562">
          <cell r="A1562">
            <v>8066</v>
          </cell>
        </row>
        <row r="1563">
          <cell r="A1563">
            <v>8067</v>
          </cell>
        </row>
        <row r="1564">
          <cell r="A1564">
            <v>8068</v>
          </cell>
        </row>
        <row r="1565">
          <cell r="A1565">
            <v>8069</v>
          </cell>
        </row>
        <row r="1566">
          <cell r="A1566">
            <v>8070</v>
          </cell>
        </row>
        <row r="1567">
          <cell r="A1567">
            <v>8071</v>
          </cell>
        </row>
        <row r="1568">
          <cell r="A1568">
            <v>8072</v>
          </cell>
        </row>
        <row r="1569">
          <cell r="A1569">
            <v>8073</v>
          </cell>
        </row>
        <row r="1570">
          <cell r="A1570">
            <v>8074</v>
          </cell>
        </row>
        <row r="1571">
          <cell r="A1571">
            <v>8075</v>
          </cell>
        </row>
        <row r="1572">
          <cell r="A1572">
            <v>8076</v>
          </cell>
        </row>
        <row r="1573">
          <cell r="A1573">
            <v>8077</v>
          </cell>
        </row>
        <row r="1574">
          <cell r="A1574">
            <v>8078</v>
          </cell>
        </row>
        <row r="1575">
          <cell r="A1575">
            <v>8079</v>
          </cell>
        </row>
        <row r="1576">
          <cell r="A1576">
            <v>8080</v>
          </cell>
        </row>
        <row r="1577">
          <cell r="A1577">
            <v>8081</v>
          </cell>
        </row>
        <row r="1578">
          <cell r="A1578">
            <v>8082</v>
          </cell>
        </row>
        <row r="1579">
          <cell r="A1579">
            <v>8083</v>
          </cell>
        </row>
        <row r="1580">
          <cell r="A1580">
            <v>8084</v>
          </cell>
        </row>
        <row r="1581">
          <cell r="A1581">
            <v>8087</v>
          </cell>
        </row>
        <row r="1582">
          <cell r="A1582">
            <v>8088</v>
          </cell>
        </row>
        <row r="1583">
          <cell r="A1583">
            <v>8089</v>
          </cell>
        </row>
        <row r="1584">
          <cell r="A1584">
            <v>8090</v>
          </cell>
        </row>
        <row r="1585">
          <cell r="A1585">
            <v>8095</v>
          </cell>
        </row>
        <row r="1586">
          <cell r="A1586">
            <v>8096</v>
          </cell>
        </row>
        <row r="1587">
          <cell r="A1587">
            <v>8097</v>
          </cell>
        </row>
        <row r="1588">
          <cell r="A1588">
            <v>8098</v>
          </cell>
        </row>
        <row r="1589">
          <cell r="A1589">
            <v>8099</v>
          </cell>
        </row>
        <row r="1590">
          <cell r="A1590">
            <v>9001</v>
          </cell>
        </row>
        <row r="1591">
          <cell r="A1591">
            <v>9002</v>
          </cell>
        </row>
        <row r="1592">
          <cell r="A1592">
            <v>9003</v>
          </cell>
        </row>
        <row r="1593">
          <cell r="A1593">
            <v>9004</v>
          </cell>
        </row>
        <row r="1594">
          <cell r="A1594">
            <v>10001</v>
          </cell>
        </row>
        <row r="1595">
          <cell r="A159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2" sqref="A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131</v>
      </c>
      <c r="B1" s="53" t="s">
        <v>101</v>
      </c>
      <c r="C1" s="53" t="s">
        <v>102</v>
      </c>
      <c r="D1" s="53" t="s">
        <v>103</v>
      </c>
      <c r="E1" s="53" t="s">
        <v>104</v>
      </c>
      <c r="F1" s="53" t="s">
        <v>105</v>
      </c>
      <c r="G1" s="53" t="s">
        <v>106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271</v>
      </c>
      <c r="B2" s="55" t="s">
        <v>107</v>
      </c>
      <c r="C2" s="61">
        <v>30047</v>
      </c>
      <c r="D2" s="55" t="s">
        <v>108</v>
      </c>
      <c r="E2" s="54" t="str">
        <f>B2&amp;C2&amp;D2</f>
        <v>floors_30047.tmp</v>
      </c>
      <c r="F2" s="55" t="s">
        <v>109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271</v>
      </c>
      <c r="B3" s="55" t="s">
        <v>110</v>
      </c>
      <c r="C3" s="61">
        <v>30047</v>
      </c>
      <c r="D3" s="55" t="s">
        <v>108</v>
      </c>
      <c r="E3" s="54" t="str">
        <f>B3&amp;C3&amp;D3</f>
        <v>enemy_habitats_30047.tmp</v>
      </c>
      <c r="F3" s="55" t="s">
        <v>111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180</v>
      </c>
    </row>
    <row r="4" spans="1:30" x14ac:dyDescent="0.15">
      <c r="A4" s="59" t="s">
        <v>271</v>
      </c>
      <c r="B4" s="55" t="s">
        <v>112</v>
      </c>
      <c r="C4" s="61">
        <v>30047</v>
      </c>
      <c r="D4" s="55" t="s">
        <v>108</v>
      </c>
      <c r="E4" s="54" t="str">
        <f>B4&amp;C4&amp;D4</f>
        <v>enemy_habitat_S_30047.tmp</v>
      </c>
      <c r="F4" s="55" t="s">
        <v>113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271</v>
      </c>
      <c r="B5" s="55" t="s">
        <v>114</v>
      </c>
      <c r="C5" s="61">
        <v>30047</v>
      </c>
      <c r="D5" s="55" t="s">
        <v>108</v>
      </c>
      <c r="E5" s="54" t="str">
        <f>B5&amp;C5&amp;D5</f>
        <v>enemy_skill_sets_30047.tmp</v>
      </c>
      <c r="F5" s="55" t="s">
        <v>115</v>
      </c>
      <c r="G5" s="57" t="s">
        <v>22</v>
      </c>
      <c r="H5" s="57" t="s">
        <v>100</v>
      </c>
      <c r="I5" s="57" t="s">
        <v>95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271</v>
      </c>
      <c r="B6" s="55" t="s">
        <v>116</v>
      </c>
      <c r="C6" s="61">
        <v>30047</v>
      </c>
      <c r="D6" s="55" t="s">
        <v>117</v>
      </c>
      <c r="E6" s="54" t="str">
        <f t="shared" ref="E6:E10" si="0">B6&amp;C6&amp;D6</f>
        <v>enemy_skills_tmp_30047.tmp</v>
      </c>
      <c r="F6" s="55" t="s">
        <v>91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271</v>
      </c>
      <c r="B7" s="55" t="s">
        <v>118</v>
      </c>
      <c r="C7" s="61">
        <v>30047</v>
      </c>
      <c r="D7" s="55" t="s">
        <v>108</v>
      </c>
      <c r="E7" s="54" t="str">
        <f>B7&amp;C7&amp;D7</f>
        <v>enemy_skills_i18n_30047.tmp</v>
      </c>
      <c r="F7" s="55" t="s">
        <v>119</v>
      </c>
      <c r="G7" s="56" t="s">
        <v>79</v>
      </c>
      <c r="H7" s="56" t="s">
        <v>92</v>
      </c>
      <c r="I7" s="56" t="s">
        <v>93</v>
      </c>
      <c r="J7" s="56" t="s">
        <v>94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271</v>
      </c>
      <c r="B8" s="55" t="s">
        <v>120</v>
      </c>
      <c r="C8" s="61">
        <v>30047</v>
      </c>
      <c r="D8" s="55" t="s">
        <v>121</v>
      </c>
      <c r="E8" s="54" t="str">
        <f t="shared" si="0"/>
        <v>enemy_skill_triggers_30047.tmp</v>
      </c>
      <c r="F8" s="55" t="s">
        <v>122</v>
      </c>
      <c r="G8" s="56" t="s">
        <v>95</v>
      </c>
      <c r="H8" s="56" t="s">
        <v>96</v>
      </c>
      <c r="I8" s="56" t="s">
        <v>97</v>
      </c>
      <c r="J8" s="56" t="s">
        <v>98</v>
      </c>
      <c r="K8" s="56" t="s">
        <v>123</v>
      </c>
      <c r="L8" s="56" t="s">
        <v>99</v>
      </c>
      <c r="M8" s="56" t="s">
        <v>124</v>
      </c>
      <c r="N8" s="56" t="s">
        <v>125</v>
      </c>
      <c r="O8" s="56" t="s">
        <v>126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271</v>
      </c>
      <c r="B9" s="66" t="s">
        <v>179</v>
      </c>
      <c r="C9" s="61">
        <v>30047</v>
      </c>
      <c r="D9" s="66" t="s">
        <v>173</v>
      </c>
      <c r="E9" s="67" t="str">
        <f t="shared" si="0"/>
        <v>stage_bug_bonuses_30047.tmp</v>
      </c>
      <c r="F9" s="66" t="s">
        <v>174</v>
      </c>
      <c r="G9" s="63" t="s">
        <v>151</v>
      </c>
      <c r="H9" s="63" t="s">
        <v>175</v>
      </c>
      <c r="I9" s="63" t="s">
        <v>176</v>
      </c>
      <c r="J9" s="65" t="s">
        <v>177</v>
      </c>
      <c r="K9" s="63" t="s">
        <v>178</v>
      </c>
      <c r="L9" s="63" t="s">
        <v>157</v>
      </c>
      <c r="M9" s="63" t="s">
        <v>158</v>
      </c>
      <c r="N9" s="63" t="s">
        <v>159</v>
      </c>
      <c r="O9" s="63" t="s">
        <v>160</v>
      </c>
      <c r="P9" s="63" t="s">
        <v>161</v>
      </c>
      <c r="Q9" s="63" t="s">
        <v>162</v>
      </c>
      <c r="R9" s="63" t="s">
        <v>163</v>
      </c>
      <c r="S9" s="63" t="s">
        <v>164</v>
      </c>
      <c r="T9" s="63" t="s">
        <v>165</v>
      </c>
      <c r="U9" s="63" t="s">
        <v>166</v>
      </c>
      <c r="V9" s="63" t="s">
        <v>167</v>
      </c>
      <c r="W9" s="63" t="s">
        <v>168</v>
      </c>
      <c r="X9" s="55"/>
      <c r="Y9" s="55"/>
      <c r="Z9" s="55"/>
      <c r="AA9" s="55"/>
      <c r="AB9" s="55"/>
      <c r="AC9" s="55"/>
      <c r="AD9" s="55"/>
    </row>
    <row r="10" spans="1:30" s="73" customFormat="1" x14ac:dyDescent="0.15">
      <c r="A10" s="59" t="s">
        <v>271</v>
      </c>
      <c r="B10" s="66" t="s">
        <v>202</v>
      </c>
      <c r="C10" s="61">
        <v>30047</v>
      </c>
      <c r="D10" s="66" t="s">
        <v>182</v>
      </c>
      <c r="E10" s="67" t="str">
        <f t="shared" si="0"/>
        <v>stage_hints_data_c_30047.tmp</v>
      </c>
      <c r="F10" s="66" t="s">
        <v>210</v>
      </c>
      <c r="G10" s="71" t="s">
        <v>183</v>
      </c>
      <c r="H10" s="71" t="s">
        <v>175</v>
      </c>
      <c r="I10" s="72" t="s">
        <v>184</v>
      </c>
      <c r="J10" s="65" t="s">
        <v>185</v>
      </c>
      <c r="K10" s="65" t="s">
        <v>186</v>
      </c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</row>
    <row r="11" spans="1:30" s="73" customFormat="1" x14ac:dyDescent="0.15">
      <c r="A11" s="59" t="s">
        <v>287</v>
      </c>
      <c r="B11" s="66" t="s">
        <v>203</v>
      </c>
      <c r="C11" s="61">
        <v>30047</v>
      </c>
      <c r="D11" s="66" t="s">
        <v>173</v>
      </c>
      <c r="E11" s="67" t="str">
        <f t="shared" ref="E11:E13" si="1">B11&amp;C11&amp;D11</f>
        <v>stage_hints_data_f_30047.tmp</v>
      </c>
      <c r="F11" s="66" t="s">
        <v>212</v>
      </c>
      <c r="G11" s="71" t="s">
        <v>183</v>
      </c>
      <c r="H11" s="71" t="s">
        <v>175</v>
      </c>
      <c r="I11" s="72" t="s">
        <v>184</v>
      </c>
      <c r="J11" s="65" t="s">
        <v>185</v>
      </c>
      <c r="K11" s="65" t="s">
        <v>186</v>
      </c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</row>
    <row r="12" spans="1:30" s="73" customFormat="1" x14ac:dyDescent="0.15">
      <c r="A12" s="66" t="s">
        <v>288</v>
      </c>
      <c r="B12" s="66" t="s">
        <v>204</v>
      </c>
      <c r="C12" s="61">
        <v>30047</v>
      </c>
      <c r="D12" s="66" t="s">
        <v>173</v>
      </c>
      <c r="E12" s="67" t="str">
        <f t="shared" si="1"/>
        <v>stage_hints_i18n_30047.tmp</v>
      </c>
      <c r="F12" s="66" t="s">
        <v>213</v>
      </c>
      <c r="G12" s="72" t="s">
        <v>205</v>
      </c>
      <c r="H12" s="93" t="s">
        <v>206</v>
      </c>
      <c r="I12" s="71" t="s">
        <v>207</v>
      </c>
      <c r="J12" s="102" t="s">
        <v>208</v>
      </c>
      <c r="K12" s="65" t="s">
        <v>209</v>
      </c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</row>
    <row r="13" spans="1:30" s="73" customFormat="1" x14ac:dyDescent="0.15">
      <c r="A13" s="66" t="s">
        <v>255</v>
      </c>
      <c r="B13" s="66" t="s">
        <v>254</v>
      </c>
      <c r="C13" s="61">
        <v>30047</v>
      </c>
      <c r="D13" s="66" t="s">
        <v>235</v>
      </c>
      <c r="E13" s="67" t="str">
        <f t="shared" si="1"/>
        <v>stage_bonuses_30047.tmp</v>
      </c>
      <c r="F13" s="66" t="s">
        <v>234</v>
      </c>
      <c r="G13" s="71" t="s">
        <v>236</v>
      </c>
      <c r="H13" s="71" t="s">
        <v>237</v>
      </c>
      <c r="I13" s="71" t="s">
        <v>238</v>
      </c>
      <c r="J13" s="71" t="s">
        <v>239</v>
      </c>
      <c r="K13" s="71" t="s">
        <v>240</v>
      </c>
      <c r="L13" s="71" t="s">
        <v>241</v>
      </c>
      <c r="M13" s="71" t="s">
        <v>242</v>
      </c>
      <c r="N13" s="71" t="s">
        <v>243</v>
      </c>
      <c r="O13" s="71" t="s">
        <v>244</v>
      </c>
      <c r="P13" s="71" t="s">
        <v>245</v>
      </c>
      <c r="Q13" s="71" t="s">
        <v>246</v>
      </c>
      <c r="R13" s="71" t="s">
        <v>247</v>
      </c>
      <c r="S13" s="71" t="s">
        <v>248</v>
      </c>
      <c r="T13" s="71" t="s">
        <v>249</v>
      </c>
      <c r="U13" s="71" t="s">
        <v>250</v>
      </c>
      <c r="V13" s="71" t="s">
        <v>251</v>
      </c>
      <c r="W13" s="71" t="s">
        <v>252</v>
      </c>
      <c r="X13" s="71" t="s">
        <v>253</v>
      </c>
      <c r="Y13" s="101"/>
      <c r="Z13" s="101"/>
      <c r="AA13" s="101"/>
      <c r="AB13" s="101"/>
      <c r="AC13" s="101"/>
      <c r="AD13" s="101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K13" sqref="K13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3" si="0">G2&amp;"-"&amp;I2</f>
        <v>30047_3-1</v>
      </c>
      <c r="B2" s="16" t="str">
        <f>IF(COUNTIF(enemy_habitats!$H:$H,A2),"OK","NG")</f>
        <v>OK</v>
      </c>
      <c r="C2" s="7">
        <v>30047</v>
      </c>
      <c r="D2" s="11" t="str">
        <f ca="1">VLOOKUP($C2,OFFSET([2]quests!$A$1,0,0,COUNTA([2]quests!$A:$A),MATCH(D$1,[2]quests!$1:$1,0)-MATCH($C$1,[2]quests!$1:$1,0)+1),MATCH(D$1,[2]quests!$1:$1,0)-MATCH($C$1,[2]quests!$1:$1,0)+1,FALSE)</f>
        <v>終末の旋律</v>
      </c>
      <c r="E2" s="18" t="str">
        <f ca="1">VLOOKUP($C2,OFFSET([2]quests!$A$1,0,0,COUNTA([2]quests!$A:$A),MATCH(E$1,[2]quests!$1:$1,0)-MATCH($C$1,[2]quests!$1:$1,0)+1),MATCH(E$1,[2]quests!$1:$1,0)-MATCH($C$1,[2]quests!$1:$1,0)+1,FALSE)</f>
        <v>北欧シリーズ第三弾　超級</v>
      </c>
      <c r="F2" s="21">
        <v>3</v>
      </c>
      <c r="G2" s="22" t="str">
        <f t="shared" ref="G2:G13" si="1">C2&amp;"_"&amp;F2</f>
        <v>30047_3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【超級】終末の旋律</v>
      </c>
      <c r="I2" s="21">
        <v>1</v>
      </c>
      <c r="J2" s="12">
        <v>30</v>
      </c>
      <c r="K2" s="12">
        <v>30</v>
      </c>
    </row>
    <row r="3" spans="1:11" ht="21" customHeight="1" x14ac:dyDescent="0.15">
      <c r="A3" s="16" t="str">
        <f t="shared" si="0"/>
        <v>30047_3-2</v>
      </c>
      <c r="B3" s="16" t="str">
        <f>IF(COUNTIF(enemy_habitats!$H:$H,A3),"OK","NG")</f>
        <v>OK</v>
      </c>
      <c r="C3" s="7">
        <v>30047</v>
      </c>
      <c r="D3" s="11" t="str">
        <f ca="1">VLOOKUP($C3,OFFSET([2]quests!$A$1,0,0,COUNTA([2]quests!$A:$A),MATCH(D$1,[2]quests!$1:$1,0)-MATCH($C$1,[2]quests!$1:$1,0)+1),MATCH(D$1,[2]quests!$1:$1,0)-MATCH($C$1,[2]quests!$1:$1,0)+1,FALSE)</f>
        <v>終末の旋律</v>
      </c>
      <c r="E3" s="18" t="str">
        <f ca="1">VLOOKUP($C3,OFFSET([2]quests!$A$1,0,0,COUNTA([2]quests!$A:$A),MATCH(E$1,[2]quests!$1:$1,0)-MATCH($C$1,[2]quests!$1:$1,0)+1),MATCH(E$1,[2]quests!$1:$1,0)-MATCH($C$1,[2]quests!$1:$1,0)+1,FALSE)</f>
        <v>北欧シリーズ第三弾　超級</v>
      </c>
      <c r="F3" s="21">
        <v>3</v>
      </c>
      <c r="G3" s="22" t="str">
        <f t="shared" si="1"/>
        <v>30047_3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【超級】終末の旋律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30047_3-3</v>
      </c>
      <c r="B4" s="16" t="str">
        <f>IF(COUNTIF(enemy_habitats!$H:$H,A4),"OK","NG")</f>
        <v>OK</v>
      </c>
      <c r="C4" s="7">
        <v>30047</v>
      </c>
      <c r="D4" s="11" t="str">
        <f ca="1">VLOOKUP($C4,OFFSET([2]quests!$A$1,0,0,COUNTA([2]quests!$A:$A),MATCH(D$1,[2]quests!$1:$1,0)-MATCH($C$1,[2]quests!$1:$1,0)+1),MATCH(D$1,[2]quests!$1:$1,0)-MATCH($C$1,[2]quests!$1:$1,0)+1,FALSE)</f>
        <v>終末の旋律</v>
      </c>
      <c r="E4" s="18" t="str">
        <f ca="1">VLOOKUP($C4,OFFSET([2]quests!$A$1,0,0,COUNTA([2]quests!$A:$A),MATCH(E$1,[2]quests!$1:$1,0)-MATCH($C$1,[2]quests!$1:$1,0)+1),MATCH(E$1,[2]quests!$1:$1,0)-MATCH($C$1,[2]quests!$1:$1,0)+1,FALSE)</f>
        <v>北欧シリーズ第三弾　超級</v>
      </c>
      <c r="F4" s="21">
        <v>3</v>
      </c>
      <c r="G4" s="22" t="str">
        <f t="shared" si="1"/>
        <v>30047_3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【超級】終末の旋律</v>
      </c>
      <c r="I4" s="21">
        <v>3</v>
      </c>
      <c r="J4" s="12">
        <v>60</v>
      </c>
      <c r="K4" s="12">
        <v>60</v>
      </c>
    </row>
    <row r="5" spans="1:11" ht="21" customHeight="1" thickBot="1" x14ac:dyDescent="0.2">
      <c r="A5" s="214" t="str">
        <f t="shared" si="0"/>
        <v>30047_3-4</v>
      </c>
      <c r="B5" s="214" t="str">
        <f>IF(COUNTIF(enemy_habitats!$H:$H,A5),"OK","NG")</f>
        <v>OK</v>
      </c>
      <c r="C5" s="136">
        <v>30047</v>
      </c>
      <c r="D5" s="215" t="str">
        <f ca="1">VLOOKUP($C5,OFFSET([2]quests!$A$1,0,0,COUNTA([2]quests!$A:$A),MATCH(D$1,[2]quests!$1:$1,0)-MATCH($C$1,[2]quests!$1:$1,0)+1),MATCH(D$1,[2]quests!$1:$1,0)-MATCH($C$1,[2]quests!$1:$1,0)+1,FALSE)</f>
        <v>終末の旋律</v>
      </c>
      <c r="E5" s="215" t="str">
        <f ca="1">VLOOKUP($C5,OFFSET([2]quests!$A$1,0,0,COUNTA([2]quests!$A:$A),MATCH(E$1,[2]quests!$1:$1,0)-MATCH($C$1,[2]quests!$1:$1,0)+1),MATCH(E$1,[2]quests!$1:$1,0)-MATCH($C$1,[2]quests!$1:$1,0)+1,FALSE)</f>
        <v>北欧シリーズ第三弾　超級</v>
      </c>
      <c r="F5" s="124">
        <v>3</v>
      </c>
      <c r="G5" s="216" t="str">
        <f t="shared" si="1"/>
        <v>30047_3</v>
      </c>
      <c r="H5" s="125" t="str">
        <f ca="1">VLOOKUP($G5,OFFSET([2]stages!$A$1,0,0,COUNTA([2]stages!$A:$A),MATCH(H$1,[2]stages!$2:$2,0)-MATCH($G$1,[2]stages!$2:$2,0)+1),MATCH(H$1,[2]stages!$2:$2,0)-MATCH($G$1,[2]stages!$2:$2,0)+1,FALSE)</f>
        <v>【超級】終末の旋律</v>
      </c>
      <c r="I5" s="124">
        <v>4</v>
      </c>
      <c r="J5" s="127">
        <v>60</v>
      </c>
      <c r="K5" s="127">
        <v>60</v>
      </c>
    </row>
    <row r="6" spans="1:11" ht="21" customHeight="1" x14ac:dyDescent="0.15">
      <c r="A6" s="16" t="str">
        <f t="shared" si="0"/>
        <v>30047_2-1</v>
      </c>
      <c r="B6" s="16" t="str">
        <f>IF(COUNTIF(enemy_habitats!$H:$H,A6),"OK","NG")</f>
        <v>OK</v>
      </c>
      <c r="C6" s="208">
        <v>30047</v>
      </c>
      <c r="D6" s="209" t="str">
        <f ca="1">VLOOKUP($C6,OFFSET([2]quests!$A$1,0,0,COUNTA([2]quests!$A:$A),MATCH(D$1,[2]quests!$1:$1,0)-MATCH($C$1,[2]quests!$1:$1,0)+1),MATCH(D$1,[2]quests!$1:$1,0)-MATCH($C$1,[2]quests!$1:$1,0)+1,FALSE)</f>
        <v>終末の旋律</v>
      </c>
      <c r="E6" s="209" t="str">
        <f ca="1">VLOOKUP($C6,OFFSET([2]quests!$A$1,0,0,COUNTA([2]quests!$A:$A),MATCH(E$1,[2]quests!$1:$1,0)-MATCH($C$1,[2]quests!$1:$1,0)+1),MATCH(E$1,[2]quests!$1:$1,0)-MATCH($C$1,[2]quests!$1:$1,0)+1,FALSE)</f>
        <v>北欧シリーズ第三弾　超級</v>
      </c>
      <c r="F6" s="210">
        <v>2</v>
      </c>
      <c r="G6" s="211" t="str">
        <f t="shared" si="1"/>
        <v>30047_2</v>
      </c>
      <c r="H6" s="212" t="str">
        <f ca="1">VLOOKUP($G6,OFFSET([2]stages!$A$1,0,0,COUNTA([2]stages!$A:$A),MATCH(H$1,[2]stages!$2:$2,0)-MATCH($G$1,[2]stages!$2:$2,0)+1),MATCH(H$1,[2]stages!$2:$2,0)-MATCH($G$1,[2]stages!$2:$2,0)+1,FALSE)</f>
        <v>【上級】終末の旋律</v>
      </c>
      <c r="I6" s="210">
        <v>1</v>
      </c>
      <c r="J6" s="213">
        <v>30</v>
      </c>
      <c r="K6" s="213">
        <v>30</v>
      </c>
    </row>
    <row r="7" spans="1:11" ht="21" customHeight="1" x14ac:dyDescent="0.15">
      <c r="A7" s="16" t="str">
        <f t="shared" si="0"/>
        <v>30047_2-2</v>
      </c>
      <c r="B7" s="16" t="str">
        <f>IF(COUNTIF(enemy_habitats!$H:$H,A7),"OK","NG")</f>
        <v>OK</v>
      </c>
      <c r="C7" s="7">
        <v>30047</v>
      </c>
      <c r="D7" s="11" t="str">
        <f ca="1">VLOOKUP($C7,OFFSET([2]quests!$A$1,0,0,COUNTA([2]quests!$A:$A),MATCH(D$1,[2]quests!$1:$1,0)-MATCH($C$1,[2]quests!$1:$1,0)+1),MATCH(D$1,[2]quests!$1:$1,0)-MATCH($C$1,[2]quests!$1:$1,0)+1,FALSE)</f>
        <v>終末の旋律</v>
      </c>
      <c r="E7" s="18" t="str">
        <f ca="1">VLOOKUP($C7,OFFSET([2]quests!$A$1,0,0,COUNTA([2]quests!$A:$A),MATCH(E$1,[2]quests!$1:$1,0)-MATCH($C$1,[2]quests!$1:$1,0)+1),MATCH(E$1,[2]quests!$1:$1,0)-MATCH($C$1,[2]quests!$1:$1,0)+1,FALSE)</f>
        <v>北欧シリーズ第三弾　超級</v>
      </c>
      <c r="F7" s="21">
        <v>2</v>
      </c>
      <c r="G7" s="22" t="str">
        <f t="shared" si="1"/>
        <v>30047_2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【上級】終末の旋律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30047_2-3</v>
      </c>
      <c r="B8" s="16" t="str">
        <f>IF(COUNTIF(enemy_habitats!$H:$H,A8),"OK","NG")</f>
        <v>OK</v>
      </c>
      <c r="C8" s="7">
        <v>30047</v>
      </c>
      <c r="D8" s="11" t="str">
        <f ca="1">VLOOKUP($C8,OFFSET([2]quests!$A$1,0,0,COUNTA([2]quests!$A:$A),MATCH(D$1,[2]quests!$1:$1,0)-MATCH($C$1,[2]quests!$1:$1,0)+1),MATCH(D$1,[2]quests!$1:$1,0)-MATCH($C$1,[2]quests!$1:$1,0)+1,FALSE)</f>
        <v>終末の旋律</v>
      </c>
      <c r="E8" s="18" t="str">
        <f ca="1">VLOOKUP($C8,OFFSET([2]quests!$A$1,0,0,COUNTA([2]quests!$A:$A),MATCH(E$1,[2]quests!$1:$1,0)-MATCH($C$1,[2]quests!$1:$1,0)+1),MATCH(E$1,[2]quests!$1:$1,0)-MATCH($C$1,[2]quests!$1:$1,0)+1,FALSE)</f>
        <v>北欧シリーズ第三弾　超級</v>
      </c>
      <c r="F8" s="21">
        <v>2</v>
      </c>
      <c r="G8" s="22" t="str">
        <f t="shared" si="1"/>
        <v>30047_2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【上級】終末の旋律</v>
      </c>
      <c r="I8" s="21">
        <v>3</v>
      </c>
      <c r="J8" s="12">
        <v>60</v>
      </c>
      <c r="K8" s="12">
        <v>60</v>
      </c>
    </row>
    <row r="9" spans="1:11" ht="21" customHeight="1" thickBot="1" x14ac:dyDescent="0.2">
      <c r="A9" s="16" t="str">
        <f t="shared" si="0"/>
        <v>30047_2-4</v>
      </c>
      <c r="B9" s="214" t="str">
        <f>IF(COUNTIF(enemy_habitats!$H:$H,A9),"OK","NG")</f>
        <v>OK</v>
      </c>
      <c r="C9" s="136">
        <v>30047</v>
      </c>
      <c r="D9" s="215" t="str">
        <f ca="1">VLOOKUP($C9,OFFSET([2]quests!$A$1,0,0,COUNTA([2]quests!$A:$A),MATCH(D$1,[2]quests!$1:$1,0)-MATCH($C$1,[2]quests!$1:$1,0)+1),MATCH(D$1,[2]quests!$1:$1,0)-MATCH($C$1,[2]quests!$1:$1,0)+1,FALSE)</f>
        <v>終末の旋律</v>
      </c>
      <c r="E9" s="215" t="str">
        <f ca="1">VLOOKUP($C9,OFFSET([2]quests!$A$1,0,0,COUNTA([2]quests!$A:$A),MATCH(E$1,[2]quests!$1:$1,0)-MATCH($C$1,[2]quests!$1:$1,0)+1),MATCH(E$1,[2]quests!$1:$1,0)-MATCH($C$1,[2]quests!$1:$1,0)+1,FALSE)</f>
        <v>北欧シリーズ第三弾　超級</v>
      </c>
      <c r="F9" s="124">
        <v>2</v>
      </c>
      <c r="G9" s="216" t="str">
        <f t="shared" si="1"/>
        <v>30047_2</v>
      </c>
      <c r="H9" s="125" t="str">
        <f ca="1">VLOOKUP($G9,OFFSET([2]stages!$A$1,0,0,COUNTA([2]stages!$A:$A),MATCH(H$1,[2]stages!$2:$2,0)-MATCH($G$1,[2]stages!$2:$2,0)+1),MATCH(H$1,[2]stages!$2:$2,0)-MATCH($G$1,[2]stages!$2:$2,0)+1,FALSE)</f>
        <v>【上級】終末の旋律</v>
      </c>
      <c r="I9" s="124">
        <v>4</v>
      </c>
      <c r="J9" s="127">
        <v>60</v>
      </c>
      <c r="K9" s="127">
        <v>60</v>
      </c>
    </row>
    <row r="10" spans="1:11" ht="21" customHeight="1" x14ac:dyDescent="0.15">
      <c r="A10" s="16" t="str">
        <f t="shared" si="0"/>
        <v>30047_1-1</v>
      </c>
      <c r="B10" s="16" t="str">
        <f>IF(COUNTIF(enemy_habitats!$H:$H,A10),"OK","NG")</f>
        <v>OK</v>
      </c>
      <c r="C10" s="208">
        <v>30047</v>
      </c>
      <c r="D10" s="209" t="str">
        <f ca="1">VLOOKUP($C10,OFFSET([2]quests!$A$1,0,0,COUNTA([2]quests!$A:$A),MATCH(D$1,[2]quests!$1:$1,0)-MATCH($C$1,[2]quests!$1:$1,0)+1),MATCH(D$1,[2]quests!$1:$1,0)-MATCH($C$1,[2]quests!$1:$1,0)+1,FALSE)</f>
        <v>終末の旋律</v>
      </c>
      <c r="E10" s="209" t="str">
        <f ca="1">VLOOKUP($C10,OFFSET([2]quests!$A$1,0,0,COUNTA([2]quests!$A:$A),MATCH(E$1,[2]quests!$1:$1,0)-MATCH($C$1,[2]quests!$1:$1,0)+1),MATCH(E$1,[2]quests!$1:$1,0)-MATCH($C$1,[2]quests!$1:$1,0)+1,FALSE)</f>
        <v>北欧シリーズ第三弾　超級</v>
      </c>
      <c r="F10" s="210">
        <v>1</v>
      </c>
      <c r="G10" s="211" t="str">
        <f t="shared" si="1"/>
        <v>30047_1</v>
      </c>
      <c r="H10" s="212" t="str">
        <f ca="1">VLOOKUP($G10,OFFSET([2]stages!$A$1,0,0,COUNTA([2]stages!$A:$A),MATCH(H$1,[2]stages!$2:$2,0)-MATCH($G$1,[2]stages!$2:$2,0)+1),MATCH(H$1,[2]stages!$2:$2,0)-MATCH($G$1,[2]stages!$2:$2,0)+1,FALSE)</f>
        <v>【中級】終末の旋律</v>
      </c>
      <c r="I10" s="210">
        <v>1</v>
      </c>
      <c r="J10" s="213">
        <v>30</v>
      </c>
      <c r="K10" s="213">
        <v>30</v>
      </c>
    </row>
    <row r="11" spans="1:11" ht="21" customHeight="1" x14ac:dyDescent="0.15">
      <c r="A11" s="16" t="str">
        <f t="shared" si="0"/>
        <v>30047_1-2</v>
      </c>
      <c r="B11" s="16" t="str">
        <f>IF(COUNTIF(enemy_habitats!$H:$H,A11),"OK","NG")</f>
        <v>OK</v>
      </c>
      <c r="C11" s="7">
        <v>30047</v>
      </c>
      <c r="D11" s="11" t="str">
        <f ca="1">VLOOKUP($C11,OFFSET([2]quests!$A$1,0,0,COUNTA([2]quests!$A:$A),MATCH(D$1,[2]quests!$1:$1,0)-MATCH($C$1,[2]quests!$1:$1,0)+1),MATCH(D$1,[2]quests!$1:$1,0)-MATCH($C$1,[2]quests!$1:$1,0)+1,FALSE)</f>
        <v>終末の旋律</v>
      </c>
      <c r="E11" s="18" t="str">
        <f ca="1">VLOOKUP($C11,OFFSET([2]quests!$A$1,0,0,COUNTA([2]quests!$A:$A),MATCH(E$1,[2]quests!$1:$1,0)-MATCH($C$1,[2]quests!$1:$1,0)+1),MATCH(E$1,[2]quests!$1:$1,0)-MATCH($C$1,[2]quests!$1:$1,0)+1,FALSE)</f>
        <v>北欧シリーズ第三弾　超級</v>
      </c>
      <c r="F11" s="21">
        <v>1</v>
      </c>
      <c r="G11" s="22" t="str">
        <f t="shared" si="1"/>
        <v>30047_1</v>
      </c>
      <c r="H11" s="15" t="str">
        <f ca="1">VLOOKUP($G11,OFFSET([2]stages!$A$1,0,0,COUNTA([2]stages!$A:$A),MATCH(H$1,[2]stages!$2:$2,0)-MATCH($G$1,[2]stages!$2:$2,0)+1),MATCH(H$1,[2]stages!$2:$2,0)-MATCH($G$1,[2]stages!$2:$2,0)+1,FALSE)</f>
        <v>【中級】終末の旋律</v>
      </c>
      <c r="I11" s="21">
        <v>2</v>
      </c>
      <c r="J11" s="12">
        <v>60</v>
      </c>
      <c r="K11" s="12">
        <v>60</v>
      </c>
    </row>
    <row r="12" spans="1:11" ht="21" customHeight="1" x14ac:dyDescent="0.15">
      <c r="A12" s="16" t="str">
        <f t="shared" si="0"/>
        <v>30047_1-3</v>
      </c>
      <c r="B12" s="16" t="str">
        <f>IF(COUNTIF(enemy_habitats!$H:$H,A12),"OK","NG")</f>
        <v>OK</v>
      </c>
      <c r="C12" s="7">
        <v>30047</v>
      </c>
      <c r="D12" s="11" t="str">
        <f ca="1">VLOOKUP($C12,OFFSET([2]quests!$A$1,0,0,COUNTA([2]quests!$A:$A),MATCH(D$1,[2]quests!$1:$1,0)-MATCH($C$1,[2]quests!$1:$1,0)+1),MATCH(D$1,[2]quests!$1:$1,0)-MATCH($C$1,[2]quests!$1:$1,0)+1,FALSE)</f>
        <v>終末の旋律</v>
      </c>
      <c r="E12" s="18" t="str">
        <f ca="1">VLOOKUP($C12,OFFSET([2]quests!$A$1,0,0,COUNTA([2]quests!$A:$A),MATCH(E$1,[2]quests!$1:$1,0)-MATCH($C$1,[2]quests!$1:$1,0)+1),MATCH(E$1,[2]quests!$1:$1,0)-MATCH($C$1,[2]quests!$1:$1,0)+1,FALSE)</f>
        <v>北欧シリーズ第三弾　超級</v>
      </c>
      <c r="F12" s="21">
        <v>1</v>
      </c>
      <c r="G12" s="22" t="str">
        <f t="shared" si="1"/>
        <v>30047_1</v>
      </c>
      <c r="H12" s="15" t="str">
        <f ca="1">VLOOKUP($G12,OFFSET([2]stages!$A$1,0,0,COUNTA([2]stages!$A:$A),MATCH(H$1,[2]stages!$2:$2,0)-MATCH($G$1,[2]stages!$2:$2,0)+1),MATCH(H$1,[2]stages!$2:$2,0)-MATCH($G$1,[2]stages!$2:$2,0)+1,FALSE)</f>
        <v>【中級】終末の旋律</v>
      </c>
      <c r="I12" s="21">
        <v>3</v>
      </c>
      <c r="J12" s="12">
        <v>60</v>
      </c>
      <c r="K12" s="12">
        <v>60</v>
      </c>
    </row>
    <row r="13" spans="1:11" ht="21" customHeight="1" x14ac:dyDescent="0.15">
      <c r="A13" s="16" t="str">
        <f t="shared" si="0"/>
        <v>30047_1-4</v>
      </c>
      <c r="B13" s="16" t="str">
        <f>IF(COUNTIF(enemy_habitats!$H:$H,A13),"OK","NG")</f>
        <v>OK</v>
      </c>
      <c r="C13" s="7">
        <v>30047</v>
      </c>
      <c r="D13" s="11" t="str">
        <f ca="1">VLOOKUP($C13,OFFSET([2]quests!$A$1,0,0,COUNTA([2]quests!$A:$A),MATCH(D$1,[2]quests!$1:$1,0)-MATCH($C$1,[2]quests!$1:$1,0)+1),MATCH(D$1,[2]quests!$1:$1,0)-MATCH($C$1,[2]quests!$1:$1,0)+1,FALSE)</f>
        <v>終末の旋律</v>
      </c>
      <c r="E13" s="18" t="str">
        <f ca="1">VLOOKUP($C13,OFFSET([2]quests!$A$1,0,0,COUNTA([2]quests!$A:$A),MATCH(E$1,[2]quests!$1:$1,0)-MATCH($C$1,[2]quests!$1:$1,0)+1),MATCH(E$1,[2]quests!$1:$1,0)-MATCH($C$1,[2]quests!$1:$1,0)+1,FALSE)</f>
        <v>北欧シリーズ第三弾　超級</v>
      </c>
      <c r="F13" s="21">
        <v>1</v>
      </c>
      <c r="G13" s="22" t="str">
        <f t="shared" si="1"/>
        <v>30047_1</v>
      </c>
      <c r="H13" s="15" t="str">
        <f ca="1">VLOOKUP($G13,OFFSET([2]stages!$A$1,0,0,COUNTA([2]stages!$A:$A),MATCH(H$1,[2]stages!$2:$2,0)-MATCH($G$1,[2]stages!$2:$2,0)+1),MATCH(H$1,[2]stages!$2:$2,0)-MATCH($G$1,[2]stages!$2:$2,0)+1,FALSE)</f>
        <v>【中級】終末の旋律</v>
      </c>
      <c r="I13" s="21">
        <v>4</v>
      </c>
      <c r="J13" s="12">
        <v>60</v>
      </c>
      <c r="K1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6"/>
  <sheetViews>
    <sheetView showGridLines="0" tabSelected="1" workbookViewId="0">
      <pane xSplit="17" ySplit="1" topLeftCell="Z2" activePane="bottomRight" state="frozen"/>
      <selection pane="topRight" activeCell="N1" sqref="N1"/>
      <selection pane="bottomLeft" activeCell="A2" sqref="A2"/>
      <selection pane="bottomRight" activeCell="AA20" sqref="AA20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5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103" t="s">
        <v>256</v>
      </c>
      <c r="U1" s="25" t="s">
        <v>50</v>
      </c>
      <c r="V1" s="103" t="s">
        <v>257</v>
      </c>
      <c r="W1" s="25" t="s">
        <v>52</v>
      </c>
      <c r="X1" s="28" t="s">
        <v>31</v>
      </c>
      <c r="Y1" s="27" t="s">
        <v>4</v>
      </c>
      <c r="Z1" s="27" t="s">
        <v>5</v>
      </c>
      <c r="AA1" s="27" t="s">
        <v>6</v>
      </c>
      <c r="AB1" s="27" t="s">
        <v>7</v>
      </c>
      <c r="AC1" s="27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7" t="s">
        <v>11</v>
      </c>
      <c r="AJ1" s="27" t="s">
        <v>12</v>
      </c>
      <c r="AK1" s="27" t="s">
        <v>38</v>
      </c>
      <c r="AL1" s="27" t="s">
        <v>40</v>
      </c>
      <c r="AM1" s="27" t="s">
        <v>42</v>
      </c>
      <c r="AN1" s="27" t="s">
        <v>44</v>
      </c>
      <c r="AO1" s="27" t="s">
        <v>46</v>
      </c>
      <c r="AP1" s="35" t="s">
        <v>181</v>
      </c>
    </row>
    <row r="2" spans="1:42" ht="21" customHeight="1" x14ac:dyDescent="0.15">
      <c r="A2" s="16" t="str">
        <f t="shared" ref="A2:A16" si="0">B2&amp;"_"&amp;C2&amp;"-"&amp;G2&amp;"/"&amp;L2&amp;"&lt;lv"&amp;R2&amp;"&gt;s"&amp;AC2</f>
        <v>30047_3-1/579&lt;lv1&gt;s1</v>
      </c>
      <c r="B2" s="139">
        <v>30047</v>
      </c>
      <c r="C2" s="21">
        <v>3</v>
      </c>
      <c r="D2" s="2" t="str">
        <f t="shared" ref="D2:D16" si="1">B2&amp;"_"&amp;C2</f>
        <v>30047_3</v>
      </c>
      <c r="E2" s="4" t="str">
        <f ca="1">VLOOKUP($B2,OFFSET([2]quests!$A$1,0,0,COUNTA([2]quests!$A:$A),MATCH(E$1,[2]quests!$1:$1,0)-MATCH($B$1,[2]quests!$1:$1,0)+1),MATCH(E$1,[2]quests!$1:$1,0)-MATCH($B$1,[2]quests!$1:$1,0)+1,FALSE)</f>
        <v>終末の旋律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【超級】終末の旋律</v>
      </c>
      <c r="G2" s="21">
        <v>1</v>
      </c>
      <c r="H2" s="15" t="str">
        <f t="shared" ref="H2:H16" si="2">B2&amp;"_"&amp;C2&amp;"-"&amp;G2</f>
        <v>30047_3-1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7" t="s">
        <v>53</v>
      </c>
      <c r="L2" s="20">
        <v>579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オーズ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1</v>
      </c>
      <c r="S2" s="24">
        <v>1</v>
      </c>
      <c r="T2" s="104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2864</v>
      </c>
      <c r="U2" s="24">
        <v>1</v>
      </c>
      <c r="V2" s="104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228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2" s="60">
        <v>30047001</v>
      </c>
      <c r="Z2" s="6">
        <v>1</v>
      </c>
      <c r="AA2" s="6">
        <v>100</v>
      </c>
      <c r="AB2" s="6">
        <v>0</v>
      </c>
      <c r="AC2" s="17">
        <v>1</v>
      </c>
      <c r="AD2" s="23">
        <f t="shared" ref="AD2:AD16" si="3">L2</f>
        <v>579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オーズ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7">
        <v>1</v>
      </c>
      <c r="AI2" s="23">
        <f t="shared" ref="AI2:AI16" ca="1" si="4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 t="shared" si="0"/>
        <v>30047_3-2/592&lt;lv50&gt;s2</v>
      </c>
      <c r="B3" s="139">
        <v>30047</v>
      </c>
      <c r="C3" s="21">
        <v>3</v>
      </c>
      <c r="D3" s="2" t="str">
        <f t="shared" si="1"/>
        <v>30047_3</v>
      </c>
      <c r="E3" s="4" t="str">
        <f ca="1">VLOOKUP($B3,OFFSET([2]quests!$A$1,0,0,COUNTA([2]quests!$A:$A),MATCH(E$1,[2]quests!$1:$1,0)-MATCH($B$1,[2]quests!$1:$1,0)+1),MATCH(E$1,[2]quests!$1:$1,0)-MATCH($B$1,[2]quests!$1:$1,0)+1,FALSE)</f>
        <v>終末の旋律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【超級】終末の旋律</v>
      </c>
      <c r="G3" s="21">
        <v>2</v>
      </c>
      <c r="H3" s="15" t="str">
        <f t="shared" si="2"/>
        <v>30047_3-2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1</v>
      </c>
      <c r="L3" s="20">
        <v>592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財宝への執着 ファフニール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dragon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50</v>
      </c>
      <c r="S3" s="24">
        <v>1.2</v>
      </c>
      <c r="T3" s="104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83151.599999999991</v>
      </c>
      <c r="U3" s="24">
        <v>1.2</v>
      </c>
      <c r="V3" s="104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6079.2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ハートパネルを青のダメージパネルに23個変換</v>
      </c>
      <c r="Y3" s="60">
        <v>30047002</v>
      </c>
      <c r="Z3" s="6">
        <v>1</v>
      </c>
      <c r="AA3" s="6">
        <v>100</v>
      </c>
      <c r="AB3" s="6">
        <v>0</v>
      </c>
      <c r="AC3" s="17">
        <v>2</v>
      </c>
      <c r="AD3" s="23">
        <f t="shared" si="3"/>
        <v>592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財宝への執着 ファフニール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7">
        <v>1</v>
      </c>
      <c r="AI3" s="23">
        <f t="shared" ca="1" si="4"/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x14ac:dyDescent="0.15">
      <c r="A4" s="16" t="str">
        <f t="shared" si="0"/>
        <v>30047_3-3/586&lt;lv45&gt;s2</v>
      </c>
      <c r="B4" s="139">
        <v>30047</v>
      </c>
      <c r="C4" s="21">
        <v>3</v>
      </c>
      <c r="D4" s="2" t="str">
        <f t="shared" si="1"/>
        <v>30047_3</v>
      </c>
      <c r="E4" s="4" t="str">
        <f ca="1">VLOOKUP($B4,OFFSET([2]quests!$A$1,0,0,COUNTA([2]quests!$A:$A),MATCH(E$1,[2]quests!$1:$1,0)-MATCH($B$1,[2]quests!$1:$1,0)+1),MATCH(E$1,[2]quests!$1:$1,0)-MATCH($B$1,[2]quests!$1:$1,0)+1,FALSE)</f>
        <v>終末の旋律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【超級】終末の旋律</v>
      </c>
      <c r="G4" s="21">
        <v>3</v>
      </c>
      <c r="H4" s="15" t="str">
        <f t="shared" si="2"/>
        <v>30047_3-3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 t="s">
        <v>53</v>
      </c>
      <c r="L4" s="20">
        <v>586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ユミル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machine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45</v>
      </c>
      <c r="S4" s="24">
        <v>0.9</v>
      </c>
      <c r="T4" s="104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78887.7</v>
      </c>
      <c r="U4" s="24">
        <v>1.4</v>
      </c>
      <c r="V4" s="104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5723.2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4" s="60">
        <v>30047004</v>
      </c>
      <c r="Z4" s="6">
        <v>1</v>
      </c>
      <c r="AA4" s="6">
        <v>100</v>
      </c>
      <c r="AB4" s="6">
        <v>0</v>
      </c>
      <c r="AC4" s="17">
        <v>2</v>
      </c>
      <c r="AD4" s="23">
        <f t="shared" si="3"/>
        <v>586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ユミル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4" s="7">
        <v>1</v>
      </c>
      <c r="AI4" s="23">
        <f t="shared" ca="1" si="4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x14ac:dyDescent="0.15">
      <c r="A5" s="16" t="str">
        <f t="shared" si="0"/>
        <v>30047_3-3/599&lt;lv60&gt;s2</v>
      </c>
      <c r="B5" s="140">
        <v>30047</v>
      </c>
      <c r="C5" s="108">
        <v>3</v>
      </c>
      <c r="D5" s="109" t="str">
        <f t="shared" si="1"/>
        <v>30047_3</v>
      </c>
      <c r="E5" s="110" t="str">
        <f ca="1">VLOOKUP($B5,OFFSET([2]quests!$A$1,0,0,COUNTA([2]quests!$A:$A),MATCH(E$1,[2]quests!$1:$1,0)-MATCH($B$1,[2]quests!$1:$1,0)+1),MATCH(E$1,[2]quests!$1:$1,0)-MATCH($B$1,[2]quests!$1:$1,0)+1,FALSE)</f>
        <v>終末の旋律</v>
      </c>
      <c r="F5" s="110" t="str">
        <f ca="1">VLOOKUP($D5,OFFSET([2]stages!$A$1,0,0,COUNTA([2]stages!$A:$A),MATCH(F$1,[2]stages!$2:$2,0)-MATCH($D$1,[2]stages!$2:$2,0)+1),MATCH(F$1,[2]stages!$2:$2,0)-MATCH($D$1,[2]stages!$2:$2,0)+1,FALSE)</f>
        <v>【超級】終末の旋律</v>
      </c>
      <c r="G5" s="108">
        <v>3</v>
      </c>
      <c r="H5" s="109" t="str">
        <f t="shared" si="2"/>
        <v>30047_3-3</v>
      </c>
      <c r="I5" s="110">
        <f ca="1">VLOOKUP($H5,OFFSET(floors!$A$1,0,0,COUNTA(floors!$A:$A),MATCH(I$1,floors!$1:$1,0)-MATCH($H$1,floors!$1:$1,0)+1),MATCH(I$1,floors!$1:$1,0)-MATCH($H$1,floors!$1:$1,0)+1,FALSE)</f>
        <v>60</v>
      </c>
      <c r="J5" s="110">
        <f ca="1">VLOOKUP($H5,OFFSET(floors!$A$1,0,0,COUNTA(floors!$A:$A),MATCH(J$1,floors!$1:$1,0)-MATCH($H$1,floors!$1:$1,0)+1),MATCH(J$1,floors!$1:$1,0)-MATCH($H$1,floors!$1:$1,0)+1,FALSE)</f>
        <v>60</v>
      </c>
      <c r="K5" s="111">
        <v>1</v>
      </c>
      <c r="L5" s="112">
        <v>599</v>
      </c>
      <c r="M5" s="113" t="str">
        <f ca="1">VLOOKUP($L5,OFFSET([3]enemies!$A$1,0,0,COUNTA([3]enemies!$A:$A),MATCH(M$1,[3]enemies!$1:$1,0)-MATCH($L$1,[3]enemies!$1:$1,0)+1),MATCH(M$1,[3]enemies!$1:$1,0)-MATCH($L$1,[3]enemies!$1:$1,0)+1,FALSE)</f>
        <v>ニーズヘッグ</v>
      </c>
      <c r="N5" s="113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13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13" t="str">
        <f ca="1">VLOOKUP($L5,OFFSET([3]enemies!$A$1,0,0,COUNTA([3]enemies!$A:$A),MATCH(P$1,[3]enemies!$1:$1,0)-MATCH($L$1,[3]enemies!$1:$1,0)+1),MATCH(P$1,[3]enemies!$1:$1,0)-MATCH($L$1,[3]enemies!$1:$1,0)+1,FALSE)</f>
        <v>dragon</v>
      </c>
      <c r="Q5" s="113">
        <f ca="1">VLOOKUP($L5,OFFSET([3]enemies!$A$1,0,0,COUNTA([3]enemies!$A:$A),MATCH(Q$1,[3]enemies!$1:$1,0)-MATCH($L$1,[3]enemies!$1:$1,0)+1),MATCH(Q$1,[3]enemies!$1:$1,0)-MATCH($L$1,[3]enemies!$1:$1,0)+1,FALSE)</f>
        <v>25</v>
      </c>
      <c r="R5" s="114">
        <v>60</v>
      </c>
      <c r="S5" s="115">
        <v>30</v>
      </c>
      <c r="T5" s="116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2597010</v>
      </c>
      <c r="U5" s="115">
        <v>0</v>
      </c>
      <c r="V5" s="116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0</v>
      </c>
      <c r="W5" s="114">
        <v>0</v>
      </c>
      <c r="X5" s="110" t="str">
        <f ca="1">VLOOKUP($Y5,OFFSET(enemy_skill_sets!$B$1,0,0,COUNTA(enemy_skill_sets!$B:$B),MATCH(M$1,enemy_skill_sets!$1:$1,0)-MATCH($Y$1,enemy_skill_sets!$1:$1,0)+2),MATCH(M$1,enemy_skill_sets!$1:$1,0)-MATCH($Y$1,enemy_skill_sets!$1:$1,0)+2,FALSE)</f>
        <v>自身の防御力激烈UP+状態異常耐性</v>
      </c>
      <c r="Y5" s="117">
        <v>30047005</v>
      </c>
      <c r="Z5" s="118">
        <v>1</v>
      </c>
      <c r="AA5" s="118">
        <v>100</v>
      </c>
      <c r="AB5" s="118">
        <v>0</v>
      </c>
      <c r="AC5" s="113">
        <v>2</v>
      </c>
      <c r="AD5" s="119">
        <f t="shared" si="3"/>
        <v>599</v>
      </c>
      <c r="AE5" s="110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ニーズヘッグ</v>
      </c>
      <c r="AF5" s="110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110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5" s="120">
        <v>1</v>
      </c>
      <c r="AI5" s="119">
        <f t="shared" ca="1" si="4"/>
        <v>3</v>
      </c>
      <c r="AJ5" s="121">
        <v>0</v>
      </c>
      <c r="AK5" s="120">
        <v>0</v>
      </c>
      <c r="AL5" s="120">
        <v>0</v>
      </c>
      <c r="AM5" s="120">
        <v>0</v>
      </c>
      <c r="AN5" s="120">
        <v>0</v>
      </c>
      <c r="AO5" s="120">
        <v>1</v>
      </c>
      <c r="AP5" s="122">
        <v>1</v>
      </c>
    </row>
    <row r="6" spans="1:42" ht="21" customHeight="1" thickBot="1" x14ac:dyDescent="0.2">
      <c r="A6" s="123" t="str">
        <f t="shared" si="0"/>
        <v>30047_3-4/1252&lt;lv60&gt;s2</v>
      </c>
      <c r="B6" s="141">
        <v>30047</v>
      </c>
      <c r="C6" s="124">
        <v>3</v>
      </c>
      <c r="D6" s="125" t="str">
        <f t="shared" si="1"/>
        <v>30047_3</v>
      </c>
      <c r="E6" s="126" t="str">
        <f ca="1">VLOOKUP($B6,OFFSET([2]quests!$A$1,0,0,COUNTA([2]quests!$A:$A),MATCH(E$1,[2]quests!$1:$1,0)-MATCH($B$1,[2]quests!$1:$1,0)+1),MATCH(E$1,[2]quests!$1:$1,0)-MATCH($B$1,[2]quests!$1:$1,0)+1,FALSE)</f>
        <v>終末の旋律</v>
      </c>
      <c r="F6" s="126" t="str">
        <f ca="1">VLOOKUP($D6,OFFSET([2]stages!$A$1,0,0,COUNTA([2]stages!$A:$A),MATCH(F$1,[2]stages!$2:$2,0)-MATCH($D$1,[2]stages!$2:$2,0)+1),MATCH(F$1,[2]stages!$2:$2,0)-MATCH($D$1,[2]stages!$2:$2,0)+1,FALSE)</f>
        <v>【超級】終末の旋律</v>
      </c>
      <c r="G6" s="124">
        <v>4</v>
      </c>
      <c r="H6" s="125" t="str">
        <f t="shared" si="2"/>
        <v>30047_3-4</v>
      </c>
      <c r="I6" s="126">
        <f ca="1">VLOOKUP($H6,OFFSET(floors!$A$1,0,0,COUNTA(floors!$A:$A),MATCH(I$1,floors!$1:$1,0)-MATCH($H$1,floors!$1:$1,0)+1),MATCH(I$1,floors!$1:$1,0)-MATCH($H$1,floors!$1:$1,0)+1,FALSE)</f>
        <v>60</v>
      </c>
      <c r="J6" s="126">
        <f ca="1">VLOOKUP($H6,OFFSET(floors!$A$1,0,0,COUNTA(floors!$A:$A),MATCH(J$1,floors!$1:$1,0)-MATCH($H$1,floors!$1:$1,0)+1),MATCH(J$1,floors!$1:$1,0)-MATCH($H$1,floors!$1:$1,0)+1,FALSE)</f>
        <v>60</v>
      </c>
      <c r="K6" s="127">
        <v>1</v>
      </c>
      <c r="L6" s="128">
        <v>1252</v>
      </c>
      <c r="M6" s="129" t="str">
        <f ca="1">VLOOKUP($L6,OFFSET([3]enemies!$A$1,0,0,COUNTA([3]enemies!$A:$A),MATCH(M$1,[3]enemies!$1:$1,0)-MATCH($L$1,[3]enemies!$1:$1,0)+1),MATCH(M$1,[3]enemies!$1:$1,0)-MATCH($L$1,[3]enemies!$1:$1,0)+1,FALSE)</f>
        <v>ギャラルホルン</v>
      </c>
      <c r="N6" s="129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29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29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29">
        <f ca="1">VLOOKUP($L6,OFFSET([3]enemies!$A$1,0,0,COUNTA([3]enemies!$A:$A),MATCH(Q$1,[3]enemies!$1:$1,0)-MATCH($L$1,[3]enemies!$1:$1,0)+1),MATCH(Q$1,[3]enemies!$1:$1,0)-MATCH($L$1,[3]enemies!$1:$1,0)+1,FALSE)</f>
        <v>30</v>
      </c>
      <c r="R6" s="130">
        <v>60</v>
      </c>
      <c r="S6" s="131">
        <v>2.4</v>
      </c>
      <c r="T6" s="13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184204.79999999999</v>
      </c>
      <c r="U6" s="131">
        <v>1.1000000000000001</v>
      </c>
      <c r="V6" s="13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9120.1</v>
      </c>
      <c r="W6" s="130">
        <v>0</v>
      </c>
      <c r="X6" s="126" t="str">
        <f ca="1">VLOOKUP($Y6,OFFSET(enemy_skill_sets!$B$1,0,0,COUNTA(enemy_skill_sets!$B:$B),MATCH(M$1,enemy_skill_sets!$1:$1,0)-MATCH($Y$1,enemy_skill_sets!$1:$1,0)+2),MATCH(M$1,enemy_skill_sets!$1:$1,0)-MATCH($Y$1,enemy_skill_sets!$1:$1,0)+2,FALSE)</f>
        <v>青パネルドロップ率UP</v>
      </c>
      <c r="Y6" s="133">
        <v>30047007</v>
      </c>
      <c r="Z6" s="134">
        <v>1</v>
      </c>
      <c r="AA6" s="134">
        <v>100</v>
      </c>
      <c r="AB6" s="134">
        <v>1</v>
      </c>
      <c r="AC6" s="129">
        <v>2</v>
      </c>
      <c r="AD6" s="135">
        <f t="shared" si="3"/>
        <v>1252</v>
      </c>
      <c r="AE6" s="126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ギャラルホルン</v>
      </c>
      <c r="AF6" s="126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126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Drop2N</v>
      </c>
      <c r="AH6" s="136">
        <v>1</v>
      </c>
      <c r="AI6" s="135">
        <f t="shared" ca="1" si="4"/>
        <v>4</v>
      </c>
      <c r="AJ6" s="137">
        <v>100</v>
      </c>
      <c r="AK6" s="136">
        <v>0</v>
      </c>
      <c r="AL6" s="136">
        <v>0</v>
      </c>
      <c r="AM6" s="136">
        <v>0</v>
      </c>
      <c r="AN6" s="136">
        <v>0</v>
      </c>
      <c r="AO6" s="136">
        <v>1</v>
      </c>
      <c r="AP6" s="138">
        <v>1</v>
      </c>
    </row>
    <row r="7" spans="1:42" ht="21" customHeight="1" x14ac:dyDescent="0.15">
      <c r="A7" s="16" t="str">
        <f t="shared" si="0"/>
        <v>30047_2-1/579&lt;lv1&gt;s1</v>
      </c>
      <c r="B7" s="164">
        <v>30047</v>
      </c>
      <c r="C7" s="21">
        <v>2</v>
      </c>
      <c r="D7" s="2" t="str">
        <f t="shared" si="1"/>
        <v>30047_2</v>
      </c>
      <c r="E7" s="4" t="str">
        <f ca="1">VLOOKUP($B7,OFFSET([2]quests!$A$1,0,0,COUNTA([2]quests!$A:$A),MATCH(E$1,[2]quests!$1:$1,0)-MATCH($B$1,[2]quests!$1:$1,0)+1),MATCH(E$1,[2]quests!$1:$1,0)-MATCH($B$1,[2]quests!$1:$1,0)+1,FALSE)</f>
        <v>終末の旋律</v>
      </c>
      <c r="F7" s="4" t="str">
        <f ca="1">VLOOKUP($D7,OFFSET([2]stages!$A$1,0,0,COUNTA([2]stages!$A:$A),MATCH(F$1,[2]stages!$2:$2,0)-MATCH($D$1,[2]stages!$2:$2,0)+1),MATCH(F$1,[2]stages!$2:$2,0)-MATCH($D$1,[2]stages!$2:$2,0)+1,FALSE)</f>
        <v>【上級】終末の旋律</v>
      </c>
      <c r="G7" s="21">
        <v>1</v>
      </c>
      <c r="H7" s="15" t="str">
        <f t="shared" si="2"/>
        <v>30047_2-1</v>
      </c>
      <c r="I7" s="4">
        <f ca="1">VLOOKUP($H7,OFFSET(floors!$A$1,0,0,COUNTA(floors!$A:$A),MATCH(I$1,floors!$1:$1,0)-MATCH($H$1,floors!$1:$1,0)+1),MATCH(I$1,floors!$1:$1,0)-MATCH($H$1,floors!$1:$1,0)+1,FALSE)</f>
        <v>30</v>
      </c>
      <c r="J7" s="4">
        <f ca="1">VLOOKUP($H7,OFFSET(floors!$A$1,0,0,COUNTA(floors!$A:$A),MATCH(J$1,floors!$1:$1,0)-MATCH($H$1,floors!$1:$1,0)+1),MATCH(J$1,floors!$1:$1,0)-MATCH($H$1,floors!$1:$1,0)+1,FALSE)</f>
        <v>30</v>
      </c>
      <c r="K7" s="37" t="s">
        <v>53</v>
      </c>
      <c r="L7" s="20">
        <v>579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オーズ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1</v>
      </c>
      <c r="S7" s="24">
        <v>1</v>
      </c>
      <c r="T7" s="104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2864</v>
      </c>
      <c r="U7" s="24">
        <v>1</v>
      </c>
      <c r="V7" s="104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228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7" s="60">
        <v>30047009</v>
      </c>
      <c r="Z7" s="6">
        <v>1</v>
      </c>
      <c r="AA7" s="6">
        <v>100</v>
      </c>
      <c r="AB7" s="6">
        <v>0</v>
      </c>
      <c r="AC7" s="17">
        <v>1</v>
      </c>
      <c r="AD7" s="23">
        <f t="shared" si="3"/>
        <v>579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オーズ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7">
        <v>1</v>
      </c>
      <c r="AI7" s="23">
        <f t="shared" ca="1" si="4"/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8">
        <v>1</v>
      </c>
    </row>
    <row r="8" spans="1:42" ht="21" customHeight="1" x14ac:dyDescent="0.15">
      <c r="A8" s="16" t="str">
        <f t="shared" si="0"/>
        <v>30047_2-2/592&lt;lv30&gt;s2</v>
      </c>
      <c r="B8" s="164">
        <v>30047</v>
      </c>
      <c r="C8" s="21">
        <v>2</v>
      </c>
      <c r="D8" s="2" t="str">
        <f t="shared" si="1"/>
        <v>30047_2</v>
      </c>
      <c r="E8" s="4" t="str">
        <f ca="1">VLOOKUP($B8,OFFSET([2]quests!$A$1,0,0,COUNTA([2]quests!$A:$A),MATCH(E$1,[2]quests!$1:$1,0)-MATCH($B$1,[2]quests!$1:$1,0)+1),MATCH(E$1,[2]quests!$1:$1,0)-MATCH($B$1,[2]quests!$1:$1,0)+1,FALSE)</f>
        <v>終末の旋律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【上級】終末の旋律</v>
      </c>
      <c r="G8" s="21">
        <v>2</v>
      </c>
      <c r="H8" s="15" t="str">
        <f t="shared" si="2"/>
        <v>30047_2-2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>
        <v>1</v>
      </c>
      <c r="L8" s="20">
        <v>592</v>
      </c>
      <c r="M8" s="17" t="str">
        <f ca="1">VLOOKUP($L8,OFFSET([3]enemies!$A$1,0,0,COUNTA([3]enemies!$A:$A),MATCH(M$1,[3]enemies!$1:$1,0)-MATCH($L$1,[3]enemies!$1:$1,0)+1),MATCH(M$1,[3]enemies!$1:$1,0)-MATCH($L$1,[3]enemies!$1:$1,0)+1,FALSE)</f>
        <v>財宝への執着 ファフニール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dragon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30</v>
      </c>
      <c r="S8" s="24">
        <v>1.2</v>
      </c>
      <c r="T8" s="104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50859.6</v>
      </c>
      <c r="U8" s="24">
        <v>1.2</v>
      </c>
      <c r="V8" s="104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3718.7999999999997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ハートパネルを青のダメージパネルに23個変換</v>
      </c>
      <c r="Y8" s="60">
        <v>30047010</v>
      </c>
      <c r="Z8" s="6">
        <v>1</v>
      </c>
      <c r="AA8" s="6">
        <v>100</v>
      </c>
      <c r="AB8" s="6">
        <v>0</v>
      </c>
      <c r="AC8" s="17">
        <v>2</v>
      </c>
      <c r="AD8" s="23">
        <f t="shared" si="3"/>
        <v>592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財宝への執着 ファフニール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8" s="7">
        <v>1</v>
      </c>
      <c r="AI8" s="23">
        <f t="shared" ca="1" si="4"/>
        <v>4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8">
        <v>1</v>
      </c>
    </row>
    <row r="9" spans="1:42" ht="21" customHeight="1" x14ac:dyDescent="0.15">
      <c r="A9" s="16" t="str">
        <f t="shared" si="0"/>
        <v>30047_2-3/586&lt;lv25&gt;s2</v>
      </c>
      <c r="B9" s="164">
        <v>30047</v>
      </c>
      <c r="C9" s="21">
        <v>2</v>
      </c>
      <c r="D9" s="2" t="str">
        <f t="shared" si="1"/>
        <v>30047_2</v>
      </c>
      <c r="E9" s="4" t="str">
        <f ca="1">VLOOKUP($B9,OFFSET([2]quests!$A$1,0,0,COUNTA([2]quests!$A:$A),MATCH(E$1,[2]quests!$1:$1,0)-MATCH($B$1,[2]quests!$1:$1,0)+1),MATCH(E$1,[2]quests!$1:$1,0)-MATCH($B$1,[2]quests!$1:$1,0)+1,FALSE)</f>
        <v>終末の旋律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【上級】終末の旋律</v>
      </c>
      <c r="G9" s="21">
        <v>3</v>
      </c>
      <c r="H9" s="15" t="str">
        <f t="shared" si="2"/>
        <v>30047_2-3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7" t="s">
        <v>53</v>
      </c>
      <c r="L9" s="20">
        <v>586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ユミル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machine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25</v>
      </c>
      <c r="S9" s="24">
        <v>0.9</v>
      </c>
      <c r="T9" s="104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44957.700000000004</v>
      </c>
      <c r="U9" s="24">
        <v>1.4</v>
      </c>
      <c r="V9" s="104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3262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9" s="60">
        <v>30047012</v>
      </c>
      <c r="Z9" s="6">
        <v>1</v>
      </c>
      <c r="AA9" s="6">
        <v>100</v>
      </c>
      <c r="AB9" s="6">
        <v>0</v>
      </c>
      <c r="AC9" s="17">
        <v>2</v>
      </c>
      <c r="AD9" s="23">
        <f t="shared" si="3"/>
        <v>586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ユミル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9" s="7">
        <v>1</v>
      </c>
      <c r="AI9" s="23">
        <f t="shared" ca="1" si="4"/>
        <v>4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8">
        <v>1</v>
      </c>
    </row>
    <row r="10" spans="1:42" ht="21" customHeight="1" x14ac:dyDescent="0.15">
      <c r="A10" s="16" t="str">
        <f t="shared" si="0"/>
        <v>30047_2-3/599&lt;lv60&gt;s2</v>
      </c>
      <c r="B10" s="165">
        <v>30047</v>
      </c>
      <c r="C10" s="108">
        <v>2</v>
      </c>
      <c r="D10" s="109" t="str">
        <f t="shared" si="1"/>
        <v>30047_2</v>
      </c>
      <c r="E10" s="110" t="str">
        <f ca="1">VLOOKUP($B10,OFFSET([2]quests!$A$1,0,0,COUNTA([2]quests!$A:$A),MATCH(E$1,[2]quests!$1:$1,0)-MATCH($B$1,[2]quests!$1:$1,0)+1),MATCH(E$1,[2]quests!$1:$1,0)-MATCH($B$1,[2]quests!$1:$1,0)+1,FALSE)</f>
        <v>終末の旋律</v>
      </c>
      <c r="F10" s="110" t="str">
        <f ca="1">VLOOKUP($D10,OFFSET([2]stages!$A$1,0,0,COUNTA([2]stages!$A:$A),MATCH(F$1,[2]stages!$2:$2,0)-MATCH($D$1,[2]stages!$2:$2,0)+1),MATCH(F$1,[2]stages!$2:$2,0)-MATCH($D$1,[2]stages!$2:$2,0)+1,FALSE)</f>
        <v>【上級】終末の旋律</v>
      </c>
      <c r="G10" s="108">
        <v>3</v>
      </c>
      <c r="H10" s="109" t="str">
        <f t="shared" si="2"/>
        <v>30047_2-3</v>
      </c>
      <c r="I10" s="110">
        <f ca="1">VLOOKUP($H10,OFFSET(floors!$A$1,0,0,COUNTA(floors!$A:$A),MATCH(I$1,floors!$1:$1,0)-MATCH($H$1,floors!$1:$1,0)+1),MATCH(I$1,floors!$1:$1,0)-MATCH($H$1,floors!$1:$1,0)+1,FALSE)</f>
        <v>60</v>
      </c>
      <c r="J10" s="110">
        <f ca="1">VLOOKUP($H10,OFFSET(floors!$A$1,0,0,COUNTA(floors!$A:$A),MATCH(J$1,floors!$1:$1,0)-MATCH($H$1,floors!$1:$1,0)+1),MATCH(J$1,floors!$1:$1,0)-MATCH($H$1,floors!$1:$1,0)+1,FALSE)</f>
        <v>60</v>
      </c>
      <c r="K10" s="111">
        <v>1</v>
      </c>
      <c r="L10" s="112">
        <v>599</v>
      </c>
      <c r="M10" s="113" t="str">
        <f ca="1">VLOOKUP($L10,OFFSET([3]enemies!$A$1,0,0,COUNTA([3]enemies!$A:$A),MATCH(M$1,[3]enemies!$1:$1,0)-MATCH($L$1,[3]enemies!$1:$1,0)+1),MATCH(M$1,[3]enemies!$1:$1,0)-MATCH($L$1,[3]enemies!$1:$1,0)+1,FALSE)</f>
        <v>ニーズヘッグ</v>
      </c>
      <c r="N10" s="113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13" t="str">
        <f ca="1">VLOOKUP($L10,OFFSET([4]characters!$A$1,0,0,COUNTA([4]characters!$A:$A),MATCH(O$1,[4]characters!$1:$1,0)-MATCH($L$1,[4]characters!$1:$1,0)+1),MATCH(O$1,[4]characters!$1:$1,0)-MATCH($L$1,[4]characters!$1:$1,0)+1,FALSE)</f>
        <v>PremiumS</v>
      </c>
      <c r="P10" s="113" t="str">
        <f ca="1">VLOOKUP($L10,OFFSET([3]enemies!$A$1,0,0,COUNTA([3]enemies!$A:$A),MATCH(P$1,[3]enemies!$1:$1,0)-MATCH($L$1,[3]enemies!$1:$1,0)+1),MATCH(P$1,[3]enemies!$1:$1,0)-MATCH($L$1,[3]enemies!$1:$1,0)+1,FALSE)</f>
        <v>dragon</v>
      </c>
      <c r="Q10" s="113">
        <f ca="1">VLOOKUP($L10,OFFSET([3]enemies!$A$1,0,0,COUNTA([3]enemies!$A:$A),MATCH(Q$1,[3]enemies!$1:$1,0)-MATCH($L$1,[3]enemies!$1:$1,0)+1),MATCH(Q$1,[3]enemies!$1:$1,0)-MATCH($L$1,[3]enemies!$1:$1,0)+1,FALSE)</f>
        <v>25</v>
      </c>
      <c r="R10" s="114">
        <v>60</v>
      </c>
      <c r="S10" s="115">
        <v>30</v>
      </c>
      <c r="T10" s="116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2597010</v>
      </c>
      <c r="U10" s="115">
        <v>0</v>
      </c>
      <c r="V10" s="116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0</v>
      </c>
      <c r="W10" s="114">
        <v>0</v>
      </c>
      <c r="X10" s="110" t="str">
        <f ca="1">VLOOKUP($Y10,OFFSET(enemy_skill_sets!$B$1,0,0,COUNTA(enemy_skill_sets!$B:$B),MATCH(M$1,enemy_skill_sets!$1:$1,0)-MATCH($Y$1,enemy_skill_sets!$1:$1,0)+2),MATCH(M$1,enemy_skill_sets!$1:$1,0)-MATCH($Y$1,enemy_skill_sets!$1:$1,0)+2,FALSE)</f>
        <v>自身の防御力激烈UP+状態異常耐性</v>
      </c>
      <c r="Y10" s="117">
        <v>30047013</v>
      </c>
      <c r="Z10" s="118">
        <v>1</v>
      </c>
      <c r="AA10" s="118">
        <v>100</v>
      </c>
      <c r="AB10" s="118">
        <v>0</v>
      </c>
      <c r="AC10" s="113">
        <v>2</v>
      </c>
      <c r="AD10" s="119">
        <f t="shared" si="3"/>
        <v>599</v>
      </c>
      <c r="AE10" s="110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ニーズヘッグ</v>
      </c>
      <c r="AF10" s="110">
        <f ca="1">VLOOKUP($AD10,OFFSET([4]characters!$A$1,0,0,COUNTA([4]characters!$A:$A),MATCH(AF$1,[4]characters!$1:$1,0)-MATCH("character_id",[4]characters!$1:$1,0)+1),MATCH(AF$1,[4]characters!$1:$1,0)-MATCH("character_id",[4]characters!$1:$1,0)+1,FALSE)</f>
        <v>3</v>
      </c>
      <c r="AG10" s="110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0" s="120">
        <v>1</v>
      </c>
      <c r="AI10" s="119">
        <f t="shared" ca="1" si="4"/>
        <v>3</v>
      </c>
      <c r="AJ10" s="121">
        <v>0</v>
      </c>
      <c r="AK10" s="120">
        <v>0</v>
      </c>
      <c r="AL10" s="120">
        <v>0</v>
      </c>
      <c r="AM10" s="120">
        <v>0</v>
      </c>
      <c r="AN10" s="120">
        <v>0</v>
      </c>
      <c r="AO10" s="120">
        <v>1</v>
      </c>
      <c r="AP10" s="122">
        <v>1</v>
      </c>
    </row>
    <row r="11" spans="1:42" ht="21" customHeight="1" thickBot="1" x14ac:dyDescent="0.2">
      <c r="A11" s="123" t="str">
        <f t="shared" si="0"/>
        <v>30047_2-4/1252&lt;lv35&gt;s2</v>
      </c>
      <c r="B11" s="166">
        <v>30047</v>
      </c>
      <c r="C11" s="124">
        <v>2</v>
      </c>
      <c r="D11" s="125" t="str">
        <f t="shared" si="1"/>
        <v>30047_2</v>
      </c>
      <c r="E11" s="126" t="str">
        <f ca="1">VLOOKUP($B11,OFFSET([2]quests!$A$1,0,0,COUNTA([2]quests!$A:$A),MATCH(E$1,[2]quests!$1:$1,0)-MATCH($B$1,[2]quests!$1:$1,0)+1),MATCH(E$1,[2]quests!$1:$1,0)-MATCH($B$1,[2]quests!$1:$1,0)+1,FALSE)</f>
        <v>終末の旋律</v>
      </c>
      <c r="F11" s="126" t="str">
        <f ca="1">VLOOKUP($D11,OFFSET([2]stages!$A$1,0,0,COUNTA([2]stages!$A:$A),MATCH(F$1,[2]stages!$2:$2,0)-MATCH($D$1,[2]stages!$2:$2,0)+1),MATCH(F$1,[2]stages!$2:$2,0)-MATCH($D$1,[2]stages!$2:$2,0)+1,FALSE)</f>
        <v>【上級】終末の旋律</v>
      </c>
      <c r="G11" s="124">
        <v>4</v>
      </c>
      <c r="H11" s="125" t="str">
        <f t="shared" si="2"/>
        <v>30047_2-4</v>
      </c>
      <c r="I11" s="126">
        <f ca="1">VLOOKUP($H11,OFFSET(floors!$A$1,0,0,COUNTA(floors!$A:$A),MATCH(I$1,floors!$1:$1,0)-MATCH($H$1,floors!$1:$1,0)+1),MATCH(I$1,floors!$1:$1,0)-MATCH($H$1,floors!$1:$1,0)+1,FALSE)</f>
        <v>60</v>
      </c>
      <c r="J11" s="126">
        <f ca="1">VLOOKUP($H11,OFFSET(floors!$A$1,0,0,COUNTA(floors!$A:$A),MATCH(J$1,floors!$1:$1,0)-MATCH($H$1,floors!$1:$1,0)+1),MATCH(J$1,floors!$1:$1,0)-MATCH($H$1,floors!$1:$1,0)+1,FALSE)</f>
        <v>60</v>
      </c>
      <c r="K11" s="127">
        <v>1</v>
      </c>
      <c r="L11" s="128">
        <v>1252</v>
      </c>
      <c r="M11" s="129" t="str">
        <f ca="1">VLOOKUP($L11,OFFSET([3]enemies!$A$1,0,0,COUNTA([3]enemies!$A:$A),MATCH(M$1,[3]enemies!$1:$1,0)-MATCH($L$1,[3]enemies!$1:$1,0)+1),MATCH(M$1,[3]enemies!$1:$1,0)-MATCH($L$1,[3]enemies!$1:$1,0)+1,FALSE)</f>
        <v>ギャラルホルン</v>
      </c>
      <c r="N11" s="129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29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29" t="str">
        <f ca="1">VLOOKUP($L11,OFFSET([3]enemies!$A$1,0,0,COUNTA([3]enemies!$A:$A),MATCH(P$1,[3]enemies!$1:$1,0)-MATCH($L$1,[3]enemies!$1:$1,0)+1),MATCH(P$1,[3]enemies!$1:$1,0)-MATCH($L$1,[3]enemies!$1:$1,0)+1,FALSE)</f>
        <v>god</v>
      </c>
      <c r="Q11" s="129">
        <f ca="1">VLOOKUP($L11,OFFSET([3]enemies!$A$1,0,0,COUNTA([3]enemies!$A:$A),MATCH(Q$1,[3]enemies!$1:$1,0)-MATCH($L$1,[3]enemies!$1:$1,0)+1),MATCH(Q$1,[3]enemies!$1:$1,0)-MATCH($L$1,[3]enemies!$1:$1,0)+1,FALSE)</f>
        <v>30</v>
      </c>
      <c r="R11" s="130">
        <v>35</v>
      </c>
      <c r="S11" s="131">
        <v>2.4</v>
      </c>
      <c r="T11" s="132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109324.8</v>
      </c>
      <c r="U11" s="131">
        <v>1.1000000000000001</v>
      </c>
      <c r="V11" s="132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5412</v>
      </c>
      <c r="W11" s="130">
        <v>0</v>
      </c>
      <c r="X11" s="126" t="str">
        <f ca="1">VLOOKUP($Y11,OFFSET(enemy_skill_sets!$B$1,0,0,COUNTA(enemy_skill_sets!$B:$B),MATCH(M$1,enemy_skill_sets!$1:$1,0)-MATCH($Y$1,enemy_skill_sets!$1:$1,0)+2),MATCH(M$1,enemy_skill_sets!$1:$1,0)-MATCH($Y$1,enemy_skill_sets!$1:$1,0)+2,FALSE)</f>
        <v>青パネルドロップ率UP</v>
      </c>
      <c r="Y11" s="133">
        <v>30047015</v>
      </c>
      <c r="Z11" s="134">
        <v>1</v>
      </c>
      <c r="AA11" s="134">
        <v>100</v>
      </c>
      <c r="AB11" s="134">
        <v>1</v>
      </c>
      <c r="AC11" s="129">
        <v>2</v>
      </c>
      <c r="AD11" s="135">
        <f t="shared" si="3"/>
        <v>1252</v>
      </c>
      <c r="AE11" s="126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ギャラルホルン</v>
      </c>
      <c r="AF11" s="126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126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Drop2N</v>
      </c>
      <c r="AH11" s="136">
        <v>1</v>
      </c>
      <c r="AI11" s="135">
        <f t="shared" ca="1" si="4"/>
        <v>4</v>
      </c>
      <c r="AJ11" s="137">
        <v>50</v>
      </c>
      <c r="AK11" s="136">
        <v>0</v>
      </c>
      <c r="AL11" s="136">
        <v>0</v>
      </c>
      <c r="AM11" s="136">
        <v>0</v>
      </c>
      <c r="AN11" s="136">
        <v>0</v>
      </c>
      <c r="AO11" s="136">
        <v>1</v>
      </c>
      <c r="AP11" s="138">
        <v>1</v>
      </c>
    </row>
    <row r="12" spans="1:42" ht="21" customHeight="1" x14ac:dyDescent="0.15">
      <c r="A12" s="16" t="str">
        <f t="shared" si="0"/>
        <v>30047_1-1/579&lt;lv1&gt;s1</v>
      </c>
      <c r="B12" s="161">
        <v>30047</v>
      </c>
      <c r="C12" s="21">
        <v>1</v>
      </c>
      <c r="D12" s="2" t="str">
        <f t="shared" si="1"/>
        <v>30047_1</v>
      </c>
      <c r="E12" s="4" t="str">
        <f ca="1">VLOOKUP($B12,OFFSET([2]quests!$A$1,0,0,COUNTA([2]quests!$A:$A),MATCH(E$1,[2]quests!$1:$1,0)-MATCH($B$1,[2]quests!$1:$1,0)+1),MATCH(E$1,[2]quests!$1:$1,0)-MATCH($B$1,[2]quests!$1:$1,0)+1,FALSE)</f>
        <v>終末の旋律</v>
      </c>
      <c r="F12" s="4" t="str">
        <f ca="1">VLOOKUP($D12,OFFSET([2]stages!$A$1,0,0,COUNTA([2]stages!$A:$A),MATCH(F$1,[2]stages!$2:$2,0)-MATCH($D$1,[2]stages!$2:$2,0)+1),MATCH(F$1,[2]stages!$2:$2,0)-MATCH($D$1,[2]stages!$2:$2,0)+1,FALSE)</f>
        <v>【中級】終末の旋律</v>
      </c>
      <c r="G12" s="21">
        <v>1</v>
      </c>
      <c r="H12" s="15" t="str">
        <f t="shared" si="2"/>
        <v>30047_1-1</v>
      </c>
      <c r="I12" s="4">
        <f ca="1">VLOOKUP($H12,OFFSET(floors!$A$1,0,0,COUNTA(floors!$A:$A),MATCH(I$1,floors!$1:$1,0)-MATCH($H$1,floors!$1:$1,0)+1),MATCH(I$1,floors!$1:$1,0)-MATCH($H$1,floors!$1:$1,0)+1,FALSE)</f>
        <v>30</v>
      </c>
      <c r="J12" s="4">
        <f ca="1">VLOOKUP($H12,OFFSET(floors!$A$1,0,0,COUNTA(floors!$A:$A),MATCH(J$1,floors!$1:$1,0)-MATCH($H$1,floors!$1:$1,0)+1),MATCH(J$1,floors!$1:$1,0)-MATCH($H$1,floors!$1:$1,0)+1,FALSE)</f>
        <v>30</v>
      </c>
      <c r="K12" s="37" t="s">
        <v>53</v>
      </c>
      <c r="L12" s="20">
        <v>579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オーズ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Drop2N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god</v>
      </c>
      <c r="Q12" s="17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1</v>
      </c>
      <c r="S12" s="24">
        <v>1</v>
      </c>
      <c r="T12" s="104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2864</v>
      </c>
      <c r="U12" s="24">
        <v>1</v>
      </c>
      <c r="V12" s="104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228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12" s="60">
        <v>30047017</v>
      </c>
      <c r="Z12" s="6">
        <v>1</v>
      </c>
      <c r="AA12" s="6">
        <v>100</v>
      </c>
      <c r="AB12" s="6">
        <v>0</v>
      </c>
      <c r="AC12" s="17">
        <v>1</v>
      </c>
      <c r="AD12" s="23">
        <f t="shared" si="3"/>
        <v>579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オーズ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4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Drop2N</v>
      </c>
      <c r="AH12" s="7">
        <v>1</v>
      </c>
      <c r="AI12" s="23">
        <f t="shared" ca="1" si="4"/>
        <v>4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8">
        <v>1</v>
      </c>
    </row>
    <row r="13" spans="1:42" ht="21" customHeight="1" x14ac:dyDescent="0.15">
      <c r="A13" s="16" t="str">
        <f t="shared" si="0"/>
        <v>30047_1-2/592&lt;lv20&gt;s2</v>
      </c>
      <c r="B13" s="161">
        <v>30047</v>
      </c>
      <c r="C13" s="21">
        <v>1</v>
      </c>
      <c r="D13" s="2" t="str">
        <f t="shared" si="1"/>
        <v>30047_1</v>
      </c>
      <c r="E13" s="4" t="str">
        <f ca="1">VLOOKUP($B13,OFFSET([2]quests!$A$1,0,0,COUNTA([2]quests!$A:$A),MATCH(E$1,[2]quests!$1:$1,0)-MATCH($B$1,[2]quests!$1:$1,0)+1),MATCH(E$1,[2]quests!$1:$1,0)-MATCH($B$1,[2]quests!$1:$1,0)+1,FALSE)</f>
        <v>終末の旋律</v>
      </c>
      <c r="F13" s="4" t="str">
        <f ca="1">VLOOKUP($D13,OFFSET([2]stages!$A$1,0,0,COUNTA([2]stages!$A:$A),MATCH(F$1,[2]stages!$2:$2,0)-MATCH($D$1,[2]stages!$2:$2,0)+1),MATCH(F$1,[2]stages!$2:$2,0)-MATCH($D$1,[2]stages!$2:$2,0)+1,FALSE)</f>
        <v>【中級】終末の旋律</v>
      </c>
      <c r="G13" s="21">
        <v>2</v>
      </c>
      <c r="H13" s="15" t="str">
        <f t="shared" si="2"/>
        <v>30047_1-2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7">
        <v>1</v>
      </c>
      <c r="L13" s="20">
        <v>592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財宝への執着 ファフニール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PremiumS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dragon</v>
      </c>
      <c r="Q13" s="17">
        <f ca="1">VLOOKUP($L13,OFFSET([3]enemies!$A$1,0,0,COUNTA([3]enemies!$A:$A),MATCH(Q$1,[3]enemies!$1:$1,0)-MATCH($L$1,[3]enemies!$1:$1,0)+1),MATCH(Q$1,[3]enemies!$1:$1,0)-MATCH($L$1,[3]enemies!$1:$1,0)+1,FALSE)</f>
        <v>30</v>
      </c>
      <c r="R13" s="5">
        <v>20</v>
      </c>
      <c r="S13" s="24">
        <v>1.2</v>
      </c>
      <c r="T13" s="104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34713.599999999999</v>
      </c>
      <c r="U13" s="24">
        <v>1.2</v>
      </c>
      <c r="V13" s="104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2538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ハートパネルを青のダメージパネルに23個変換</v>
      </c>
      <c r="Y13" s="60">
        <v>30047018</v>
      </c>
      <c r="Z13" s="6">
        <v>1</v>
      </c>
      <c r="AA13" s="6">
        <v>100</v>
      </c>
      <c r="AB13" s="6">
        <v>0</v>
      </c>
      <c r="AC13" s="17">
        <v>2</v>
      </c>
      <c r="AD13" s="23">
        <f t="shared" si="3"/>
        <v>592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財宝への執着 ファフニール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4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3" s="7">
        <v>1</v>
      </c>
      <c r="AI13" s="23">
        <f t="shared" ca="1" si="4"/>
        <v>4</v>
      </c>
      <c r="AJ13" s="8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8">
        <v>1</v>
      </c>
    </row>
    <row r="14" spans="1:42" ht="21" customHeight="1" x14ac:dyDescent="0.15">
      <c r="A14" s="16" t="str">
        <f t="shared" si="0"/>
        <v>30047_1-3/586&lt;lv15&gt;s2</v>
      </c>
      <c r="B14" s="161">
        <v>30047</v>
      </c>
      <c r="C14" s="21">
        <v>1</v>
      </c>
      <c r="D14" s="2" t="str">
        <f t="shared" si="1"/>
        <v>30047_1</v>
      </c>
      <c r="E14" s="4" t="str">
        <f ca="1">VLOOKUP($B14,OFFSET([2]quests!$A$1,0,0,COUNTA([2]quests!$A:$A),MATCH(E$1,[2]quests!$1:$1,0)-MATCH($B$1,[2]quests!$1:$1,0)+1),MATCH(E$1,[2]quests!$1:$1,0)-MATCH($B$1,[2]quests!$1:$1,0)+1,FALSE)</f>
        <v>終末の旋律</v>
      </c>
      <c r="F14" s="4" t="str">
        <f ca="1">VLOOKUP($D14,OFFSET([2]stages!$A$1,0,0,COUNTA([2]stages!$A:$A),MATCH(F$1,[2]stages!$2:$2,0)-MATCH($D$1,[2]stages!$2:$2,0)+1),MATCH(F$1,[2]stages!$2:$2,0)-MATCH($D$1,[2]stages!$2:$2,0)+1,FALSE)</f>
        <v>【中級】終末の旋律</v>
      </c>
      <c r="G14" s="21">
        <v>3</v>
      </c>
      <c r="H14" s="15" t="str">
        <f t="shared" si="2"/>
        <v>30047_1-3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7" t="s">
        <v>53</v>
      </c>
      <c r="L14" s="20">
        <v>586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ユミル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PremiumSS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machine</v>
      </c>
      <c r="Q14" s="17">
        <f ca="1">VLOOKUP($L14,OFFSET([3]enemies!$A$1,0,0,COUNTA([3]enemies!$A:$A),MATCH(Q$1,[3]enemies!$1:$1,0)-MATCH($L$1,[3]enemies!$1:$1,0)+1),MATCH(Q$1,[3]enemies!$1:$1,0)-MATCH($L$1,[3]enemies!$1:$1,0)+1,FALSE)</f>
        <v>30</v>
      </c>
      <c r="R14" s="5">
        <v>15</v>
      </c>
      <c r="S14" s="24">
        <v>0.9</v>
      </c>
      <c r="T14" s="104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27992.7</v>
      </c>
      <c r="U14" s="24">
        <v>1.4</v>
      </c>
      <c r="V14" s="104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2031.3999999999999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14" s="60">
        <v>30047020</v>
      </c>
      <c r="Z14" s="6">
        <v>1</v>
      </c>
      <c r="AA14" s="6">
        <v>100</v>
      </c>
      <c r="AB14" s="6">
        <v>0</v>
      </c>
      <c r="AC14" s="17">
        <v>2</v>
      </c>
      <c r="AD14" s="23">
        <f t="shared" si="3"/>
        <v>586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ユミル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4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4" s="7">
        <v>1</v>
      </c>
      <c r="AI14" s="23">
        <f t="shared" ca="1" si="4"/>
        <v>4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8">
        <v>1</v>
      </c>
    </row>
    <row r="15" spans="1:42" ht="21" customHeight="1" x14ac:dyDescent="0.15">
      <c r="A15" s="16" t="str">
        <f t="shared" si="0"/>
        <v>30047_1-3/599&lt;lv60&gt;s2</v>
      </c>
      <c r="B15" s="162">
        <v>30047</v>
      </c>
      <c r="C15" s="108">
        <v>1</v>
      </c>
      <c r="D15" s="109" t="str">
        <f t="shared" si="1"/>
        <v>30047_1</v>
      </c>
      <c r="E15" s="110" t="str">
        <f ca="1">VLOOKUP($B15,OFFSET([2]quests!$A$1,0,0,COUNTA([2]quests!$A:$A),MATCH(E$1,[2]quests!$1:$1,0)-MATCH($B$1,[2]quests!$1:$1,0)+1),MATCH(E$1,[2]quests!$1:$1,0)-MATCH($B$1,[2]quests!$1:$1,0)+1,FALSE)</f>
        <v>終末の旋律</v>
      </c>
      <c r="F15" s="110" t="str">
        <f ca="1">VLOOKUP($D15,OFFSET([2]stages!$A$1,0,0,COUNTA([2]stages!$A:$A),MATCH(F$1,[2]stages!$2:$2,0)-MATCH($D$1,[2]stages!$2:$2,0)+1),MATCH(F$1,[2]stages!$2:$2,0)-MATCH($D$1,[2]stages!$2:$2,0)+1,FALSE)</f>
        <v>【中級】終末の旋律</v>
      </c>
      <c r="G15" s="108">
        <v>3</v>
      </c>
      <c r="H15" s="109" t="str">
        <f t="shared" si="2"/>
        <v>30047_1-3</v>
      </c>
      <c r="I15" s="110">
        <f ca="1">VLOOKUP($H15,OFFSET(floors!$A$1,0,0,COUNTA(floors!$A:$A),MATCH(I$1,floors!$1:$1,0)-MATCH($H$1,floors!$1:$1,0)+1),MATCH(I$1,floors!$1:$1,0)-MATCH($H$1,floors!$1:$1,0)+1,FALSE)</f>
        <v>60</v>
      </c>
      <c r="J15" s="110">
        <f ca="1">VLOOKUP($H15,OFFSET(floors!$A$1,0,0,COUNTA(floors!$A:$A),MATCH(J$1,floors!$1:$1,0)-MATCH($H$1,floors!$1:$1,0)+1),MATCH(J$1,floors!$1:$1,0)-MATCH($H$1,floors!$1:$1,0)+1,FALSE)</f>
        <v>60</v>
      </c>
      <c r="K15" s="111">
        <v>1</v>
      </c>
      <c r="L15" s="112">
        <v>599</v>
      </c>
      <c r="M15" s="113" t="str">
        <f ca="1">VLOOKUP($L15,OFFSET([3]enemies!$A$1,0,0,COUNTA([3]enemies!$A:$A),MATCH(M$1,[3]enemies!$1:$1,0)-MATCH($L$1,[3]enemies!$1:$1,0)+1),MATCH(M$1,[3]enemies!$1:$1,0)-MATCH($L$1,[3]enemies!$1:$1,0)+1,FALSE)</f>
        <v>ニーズヘッグ</v>
      </c>
      <c r="N15" s="113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13" t="str">
        <f ca="1">VLOOKUP($L15,OFFSET([4]characters!$A$1,0,0,COUNTA([4]characters!$A:$A),MATCH(O$1,[4]characters!$1:$1,0)-MATCH($L$1,[4]characters!$1:$1,0)+1),MATCH(O$1,[4]characters!$1:$1,0)-MATCH($L$1,[4]characters!$1:$1,0)+1,FALSE)</f>
        <v>PremiumS</v>
      </c>
      <c r="P15" s="113" t="str">
        <f ca="1">VLOOKUP($L15,OFFSET([3]enemies!$A$1,0,0,COUNTA([3]enemies!$A:$A),MATCH(P$1,[3]enemies!$1:$1,0)-MATCH($L$1,[3]enemies!$1:$1,0)+1),MATCH(P$1,[3]enemies!$1:$1,0)-MATCH($L$1,[3]enemies!$1:$1,0)+1,FALSE)</f>
        <v>dragon</v>
      </c>
      <c r="Q15" s="113">
        <f ca="1">VLOOKUP($L15,OFFSET([3]enemies!$A$1,0,0,COUNTA([3]enemies!$A:$A),MATCH(Q$1,[3]enemies!$1:$1,0)-MATCH($L$1,[3]enemies!$1:$1,0)+1),MATCH(Q$1,[3]enemies!$1:$1,0)-MATCH($L$1,[3]enemies!$1:$1,0)+1,FALSE)</f>
        <v>25</v>
      </c>
      <c r="R15" s="114">
        <v>60</v>
      </c>
      <c r="S15" s="115">
        <v>30</v>
      </c>
      <c r="T15" s="116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2597010</v>
      </c>
      <c r="U15" s="115">
        <v>0</v>
      </c>
      <c r="V15" s="116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0</v>
      </c>
      <c r="W15" s="114">
        <v>0</v>
      </c>
      <c r="X15" s="110" t="str">
        <f ca="1">VLOOKUP($Y15,OFFSET(enemy_skill_sets!$B$1,0,0,COUNTA(enemy_skill_sets!$B:$B),MATCH(M$1,enemy_skill_sets!$1:$1,0)-MATCH($Y$1,enemy_skill_sets!$1:$1,0)+2),MATCH(M$1,enemy_skill_sets!$1:$1,0)-MATCH($Y$1,enemy_skill_sets!$1:$1,0)+2,FALSE)</f>
        <v>自身の防御力激烈UP+状態異常耐性</v>
      </c>
      <c r="Y15" s="117">
        <v>30047021</v>
      </c>
      <c r="Z15" s="118">
        <v>1</v>
      </c>
      <c r="AA15" s="118">
        <v>100</v>
      </c>
      <c r="AB15" s="118">
        <v>0</v>
      </c>
      <c r="AC15" s="113">
        <v>2</v>
      </c>
      <c r="AD15" s="119">
        <f t="shared" si="3"/>
        <v>599</v>
      </c>
      <c r="AE15" s="110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ニーズヘッグ</v>
      </c>
      <c r="AF15" s="110">
        <f ca="1">VLOOKUP($AD15,OFFSET([4]characters!$A$1,0,0,COUNTA([4]characters!$A:$A),MATCH(AF$1,[4]characters!$1:$1,0)-MATCH("character_id",[4]characters!$1:$1,0)+1),MATCH(AF$1,[4]characters!$1:$1,0)-MATCH("character_id",[4]characters!$1:$1,0)+1,FALSE)</f>
        <v>3</v>
      </c>
      <c r="AG15" s="110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5" s="120">
        <v>1</v>
      </c>
      <c r="AI15" s="119">
        <f t="shared" ca="1" si="4"/>
        <v>3</v>
      </c>
      <c r="AJ15" s="121">
        <v>0</v>
      </c>
      <c r="AK15" s="120">
        <v>0</v>
      </c>
      <c r="AL15" s="120">
        <v>0</v>
      </c>
      <c r="AM15" s="120">
        <v>0</v>
      </c>
      <c r="AN15" s="120">
        <v>0</v>
      </c>
      <c r="AO15" s="120">
        <v>1</v>
      </c>
      <c r="AP15" s="122">
        <v>1</v>
      </c>
    </row>
    <row r="16" spans="1:42" ht="21" customHeight="1" thickBot="1" x14ac:dyDescent="0.2">
      <c r="A16" s="123" t="str">
        <f t="shared" si="0"/>
        <v>30047_1-4/1252&lt;lv25&gt;s2</v>
      </c>
      <c r="B16" s="163">
        <v>30047</v>
      </c>
      <c r="C16" s="124">
        <v>1</v>
      </c>
      <c r="D16" s="125" t="str">
        <f t="shared" si="1"/>
        <v>30047_1</v>
      </c>
      <c r="E16" s="126" t="str">
        <f ca="1">VLOOKUP($B16,OFFSET([2]quests!$A$1,0,0,COUNTA([2]quests!$A:$A),MATCH(E$1,[2]quests!$1:$1,0)-MATCH($B$1,[2]quests!$1:$1,0)+1),MATCH(E$1,[2]quests!$1:$1,0)-MATCH($B$1,[2]quests!$1:$1,0)+1,FALSE)</f>
        <v>終末の旋律</v>
      </c>
      <c r="F16" s="126" t="str">
        <f ca="1">VLOOKUP($D16,OFFSET([2]stages!$A$1,0,0,COUNTA([2]stages!$A:$A),MATCH(F$1,[2]stages!$2:$2,0)-MATCH($D$1,[2]stages!$2:$2,0)+1),MATCH(F$1,[2]stages!$2:$2,0)-MATCH($D$1,[2]stages!$2:$2,0)+1,FALSE)</f>
        <v>【中級】終末の旋律</v>
      </c>
      <c r="G16" s="124">
        <v>4</v>
      </c>
      <c r="H16" s="125" t="str">
        <f t="shared" si="2"/>
        <v>30047_1-4</v>
      </c>
      <c r="I16" s="126">
        <f ca="1">VLOOKUP($H16,OFFSET(floors!$A$1,0,0,COUNTA(floors!$A:$A),MATCH(I$1,floors!$1:$1,0)-MATCH($H$1,floors!$1:$1,0)+1),MATCH(I$1,floors!$1:$1,0)-MATCH($H$1,floors!$1:$1,0)+1,FALSE)</f>
        <v>60</v>
      </c>
      <c r="J16" s="126">
        <f ca="1">VLOOKUP($H16,OFFSET(floors!$A$1,0,0,COUNTA(floors!$A:$A),MATCH(J$1,floors!$1:$1,0)-MATCH($H$1,floors!$1:$1,0)+1),MATCH(J$1,floors!$1:$1,0)-MATCH($H$1,floors!$1:$1,0)+1,FALSE)</f>
        <v>60</v>
      </c>
      <c r="K16" s="127">
        <v>1</v>
      </c>
      <c r="L16" s="128">
        <v>1252</v>
      </c>
      <c r="M16" s="129" t="str">
        <f ca="1">VLOOKUP($L16,OFFSET([3]enemies!$A$1,0,0,COUNTA([3]enemies!$A:$A),MATCH(M$1,[3]enemies!$1:$1,0)-MATCH($L$1,[3]enemies!$1:$1,0)+1),MATCH(M$1,[3]enemies!$1:$1,0)-MATCH($L$1,[3]enemies!$1:$1,0)+1,FALSE)</f>
        <v>ギャラルホルン</v>
      </c>
      <c r="N16" s="129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29" t="str">
        <f ca="1">VLOOKUP($L16,OFFSET([4]characters!$A$1,0,0,COUNTA([4]characters!$A:$A),MATCH(O$1,[4]characters!$1:$1,0)-MATCH($L$1,[4]characters!$1:$1,0)+1),MATCH(O$1,[4]characters!$1:$1,0)-MATCH($L$1,[4]characters!$1:$1,0)+1,FALSE)</f>
        <v>Drop2N</v>
      </c>
      <c r="P16" s="129" t="str">
        <f ca="1">VLOOKUP($L16,OFFSET([3]enemies!$A$1,0,0,COUNTA([3]enemies!$A:$A),MATCH(P$1,[3]enemies!$1:$1,0)-MATCH($L$1,[3]enemies!$1:$1,0)+1),MATCH(P$1,[3]enemies!$1:$1,0)-MATCH($L$1,[3]enemies!$1:$1,0)+1,FALSE)</f>
        <v>god</v>
      </c>
      <c r="Q16" s="129">
        <f ca="1">VLOOKUP($L16,OFFSET([3]enemies!$A$1,0,0,COUNTA([3]enemies!$A:$A),MATCH(Q$1,[3]enemies!$1:$1,0)-MATCH($L$1,[3]enemies!$1:$1,0)+1),MATCH(Q$1,[3]enemies!$1:$1,0)-MATCH($L$1,[3]enemies!$1:$1,0)+1,FALSE)</f>
        <v>30</v>
      </c>
      <c r="R16" s="130">
        <v>25</v>
      </c>
      <c r="S16" s="131">
        <v>2.4</v>
      </c>
      <c r="T16" s="132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79372.800000000003</v>
      </c>
      <c r="U16" s="131">
        <v>1.1000000000000001</v>
      </c>
      <c r="V16" s="132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3929.2000000000003</v>
      </c>
      <c r="W16" s="130">
        <v>0</v>
      </c>
      <c r="X16" s="126" t="str">
        <f ca="1">VLOOKUP($Y16,OFFSET(enemy_skill_sets!$B$1,0,0,COUNTA(enemy_skill_sets!$B:$B),MATCH(M$1,enemy_skill_sets!$1:$1,0)-MATCH($Y$1,enemy_skill_sets!$1:$1,0)+2),MATCH(M$1,enemy_skill_sets!$1:$1,0)-MATCH($Y$1,enemy_skill_sets!$1:$1,0)+2,FALSE)</f>
        <v>青パネルドロップ率UP</v>
      </c>
      <c r="Y16" s="133">
        <v>30047023</v>
      </c>
      <c r="Z16" s="134">
        <v>1</v>
      </c>
      <c r="AA16" s="134">
        <v>100</v>
      </c>
      <c r="AB16" s="134">
        <v>1</v>
      </c>
      <c r="AC16" s="129">
        <v>2</v>
      </c>
      <c r="AD16" s="135">
        <f t="shared" si="3"/>
        <v>1252</v>
      </c>
      <c r="AE16" s="126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ギャラルホルン</v>
      </c>
      <c r="AF16" s="126">
        <f ca="1">VLOOKUP($AD16,OFFSET([4]characters!$A$1,0,0,COUNTA([4]characters!$A:$A),MATCH(AF$1,[4]characters!$1:$1,0)-MATCH("character_id",[4]characters!$1:$1,0)+1),MATCH(AF$1,[4]characters!$1:$1,0)-MATCH("character_id",[4]characters!$1:$1,0)+1,FALSE)</f>
        <v>4</v>
      </c>
      <c r="AG16" s="126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Drop2N</v>
      </c>
      <c r="AH16" s="136">
        <v>1</v>
      </c>
      <c r="AI16" s="135">
        <f t="shared" ca="1" si="4"/>
        <v>4</v>
      </c>
      <c r="AJ16" s="137">
        <v>20</v>
      </c>
      <c r="AK16" s="136">
        <v>0</v>
      </c>
      <c r="AL16" s="136">
        <v>0</v>
      </c>
      <c r="AM16" s="136">
        <v>0</v>
      </c>
      <c r="AN16" s="136">
        <v>0</v>
      </c>
      <c r="AO16" s="136">
        <v>1</v>
      </c>
      <c r="AP16" s="138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0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Z3" sqref="Z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103" t="s">
        <v>256</v>
      </c>
      <c r="V1" s="25" t="s">
        <v>50</v>
      </c>
      <c r="W1" s="103" t="s">
        <v>257</v>
      </c>
      <c r="X1" s="25" t="s">
        <v>52</v>
      </c>
      <c r="Y1" s="27" t="s">
        <v>130</v>
      </c>
      <c r="Z1" s="28" t="s">
        <v>129</v>
      </c>
      <c r="AA1" s="27" t="s">
        <v>8</v>
      </c>
    </row>
    <row r="2" spans="1:27" ht="21" customHeight="1" x14ac:dyDescent="0.15">
      <c r="A2" s="16" t="str">
        <f t="shared" ref="A2:A10" si="0">B2&amp;"_"&amp;C2&amp;"-"&amp;G2&amp;"/"&amp;M2&amp;"&lt;lv"&amp;S2&amp;"&gt;sq"&amp;K2&amp;"st"&amp;L2</f>
        <v>30047_3-2/593&lt;lv50&gt;sq1st2</v>
      </c>
      <c r="B2" s="140">
        <v>30047</v>
      </c>
      <c r="C2" s="108">
        <v>3</v>
      </c>
      <c r="D2" s="109" t="str">
        <f t="shared" ref="D2:D10" si="1">B2&amp;"_"&amp;C2</f>
        <v>30047_3</v>
      </c>
      <c r="E2" s="110" t="str">
        <f ca="1">VLOOKUP($B2,OFFSET([2]quests!$A$1,0,0,COUNTA([2]quests!$A:$A),MATCH(E$1,[2]quests!$1:$1,0)-MATCH($B$1,[2]quests!$1:$1,0)+1),MATCH(E$1,[2]quests!$1:$1,0)-MATCH($B$1,[2]quests!$1:$1,0)+1,FALSE)</f>
        <v>終末の旋律</v>
      </c>
      <c r="F2" s="110" t="str">
        <f ca="1">VLOOKUP($D2,OFFSET([2]stages!$A$1,0,0,COUNTA([2]stages!$A:$A),MATCH(F$1,[2]stages!$2:$2,0)-MATCH($D$1,[2]stages!$2:$2,0)+1),MATCH(F$1,[2]stages!$2:$2,0)-MATCH($D$1,[2]stages!$2:$2,0)+1,FALSE)</f>
        <v>【超級】終末の旋律</v>
      </c>
      <c r="G2" s="108">
        <v>2</v>
      </c>
      <c r="H2" s="109" t="str">
        <f t="shared" ref="H2:H10" si="2">B2&amp;"_"&amp;C2&amp;"-"&amp;G2</f>
        <v>30047_3-2</v>
      </c>
      <c r="I2" s="110">
        <f ca="1">VLOOKUP($H2,OFFSET(floors!$A$1,0,0,COUNTA(floors!$A:$A),MATCH(I$1,floors!$1:$1,0)-MATCH($H$1,floors!$1:$1,0)+1),MATCH(I$1,floors!$1:$1,0)-MATCH($H$1,floors!$1:$1,0)+1,FALSE)</f>
        <v>60</v>
      </c>
      <c r="J2" s="110">
        <f ca="1">VLOOKUP($H2,OFFSET(floors!$A$1,0,0,COUNTA(floors!$A:$A),MATCH(J$1,floors!$1:$1,0)-MATCH($H$1,floors!$1:$1,0)+1),MATCH(J$1,floors!$1:$1,0)-MATCH($H$1,floors!$1:$1,0)+1,FALSE)</f>
        <v>60</v>
      </c>
      <c r="K2" s="111">
        <v>1</v>
      </c>
      <c r="L2" s="111">
        <v>2</v>
      </c>
      <c r="M2" s="112">
        <v>593</v>
      </c>
      <c r="N2" s="113" t="str">
        <f ca="1">VLOOKUP($M2,OFFSET([3]enemies!$A$1,0,0,COUNTA([3]enemies!$A:$A),MATCH(N$1,[3]enemies!$1:$1,0)-MATCH($M$1,[3]enemies!$1:$1,0)+1),MATCH(N$1,[3]enemies!$1:$1,0)-MATCH($M$1,[3]enemies!$1:$1,0)+1,FALSE)</f>
        <v>妄執する邪毒龍 ファフニール</v>
      </c>
      <c r="O2" s="113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13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13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13">
        <f ca="1">VLOOKUP($M2,OFFSET([3]enemies!$A$1,0,0,COUNTA([3]enemies!$A:$A),MATCH(R$1,[3]enemies!$1:$1,0)-MATCH($M$1,[3]enemies!$1:$1,0)+1),MATCH(R$1,[3]enemies!$1:$1,0)-MATCH($M$1,[3]enemies!$1:$1,0)+1,FALSE)</f>
        <v>60</v>
      </c>
      <c r="S2" s="114">
        <v>50</v>
      </c>
      <c r="T2" s="115">
        <v>0.9</v>
      </c>
      <c r="U2" s="116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81552.600000000006</v>
      </c>
      <c r="V2" s="115">
        <v>1.2</v>
      </c>
      <c r="W2" s="116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6547.2</v>
      </c>
      <c r="X2" s="114">
        <v>0</v>
      </c>
      <c r="Y2" s="110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110">
        <v>30047003</v>
      </c>
      <c r="AA2" s="142">
        <v>2</v>
      </c>
    </row>
    <row r="3" spans="1:27" ht="21" customHeight="1" x14ac:dyDescent="0.15">
      <c r="A3" s="16" t="str">
        <f t="shared" si="0"/>
        <v>30047_3-3/600&lt;lv50&gt;sq1st2</v>
      </c>
      <c r="B3" s="191">
        <v>30047</v>
      </c>
      <c r="C3" s="108">
        <v>3</v>
      </c>
      <c r="D3" s="109" t="str">
        <f t="shared" si="1"/>
        <v>30047_3</v>
      </c>
      <c r="E3" s="110" t="str">
        <f ca="1">VLOOKUP($B3,OFFSET([2]quests!$A$1,0,0,COUNTA([2]quests!$A:$A),MATCH(E$1,[2]quests!$1:$1,0)-MATCH($B$1,[2]quests!$1:$1,0)+1),MATCH(E$1,[2]quests!$1:$1,0)-MATCH($B$1,[2]quests!$1:$1,0)+1,FALSE)</f>
        <v>終末の旋律</v>
      </c>
      <c r="F3" s="110" t="str">
        <f ca="1">VLOOKUP($D3,OFFSET([2]stages!$A$1,0,0,COUNTA([2]stages!$A:$A),MATCH(F$1,[2]stages!$2:$2,0)-MATCH($D$1,[2]stages!$2:$2,0)+1),MATCH(F$1,[2]stages!$2:$2,0)-MATCH($D$1,[2]stages!$2:$2,0)+1,FALSE)</f>
        <v>【超級】終末の旋律</v>
      </c>
      <c r="G3" s="108">
        <v>3</v>
      </c>
      <c r="H3" s="109" t="str">
        <f t="shared" si="2"/>
        <v>30047_3-3</v>
      </c>
      <c r="I3" s="110">
        <f ca="1">VLOOKUP($H3,OFFSET(floors!$A$1,0,0,COUNTA(floors!$A:$A),MATCH(I$1,floors!$1:$1,0)-MATCH($H$1,floors!$1:$1,0)+1),MATCH(I$1,floors!$1:$1,0)-MATCH($H$1,floors!$1:$1,0)+1,FALSE)</f>
        <v>60</v>
      </c>
      <c r="J3" s="110">
        <f ca="1">VLOOKUP($H3,OFFSET(floors!$A$1,0,0,COUNTA(floors!$A:$A),MATCH(J$1,floors!$1:$1,0)-MATCH($H$1,floors!$1:$1,0)+1),MATCH(J$1,floors!$1:$1,0)-MATCH($H$1,floors!$1:$1,0)+1,FALSE)</f>
        <v>60</v>
      </c>
      <c r="K3" s="111">
        <v>1</v>
      </c>
      <c r="L3" s="111">
        <v>2</v>
      </c>
      <c r="M3" s="107">
        <v>600</v>
      </c>
      <c r="N3" s="18" t="str">
        <f ca="1">VLOOKUP($M3,OFFSET([3]enemies!$A$1,0,0,COUNTA([3]enemies!$A:$A),MATCH(N$1,[3]enemies!$1:$1,0)-MATCH($M$1,[3]enemies!$1:$1,0)+1),MATCH(N$1,[3]enemies!$1:$1,0)-MATCH($M$1,[3]enemies!$1:$1,0)+1,FALSE)</f>
        <v>界下に潜む蛇 ニーズヘッグ</v>
      </c>
      <c r="O3" s="18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8" t="str">
        <f ca="1">VLOOKUP($M3,OFFSET([4]characters!$A$1,0,0,COUNTA([4]characters!$A:$A),MATCH(P$1,[4]characters!$1:$1,0)-MATCH($M$1,[4]characters!$1:$1,0)+1),MATCH(P$1,[4]characters!$1:$1,0)-MATCH($M$1,[4]characters!$1:$1,0)+1,FALSE)</f>
        <v>PremiumS</v>
      </c>
      <c r="Q3" s="18" t="str">
        <f ca="1">VLOOKUP($M3,OFFSET([3]enemies!$A$1,0,0,COUNTA([3]enemies!$A:$A),MATCH(Q$1,[3]enemies!$1:$1,0)-MATCH($M$1,[3]enemies!$1:$1,0)+1),MATCH(Q$1,[3]enemies!$1:$1,0)-MATCH($M$1,[3]enemies!$1:$1,0)+1,FALSE)</f>
        <v>dragon</v>
      </c>
      <c r="R3" s="18">
        <f ca="1">VLOOKUP($M3,OFFSET([3]enemies!$A$1,0,0,COUNTA([3]enemies!$A:$A),MATCH(R$1,[3]enemies!$1:$1,0)-MATCH($M$1,[3]enemies!$1:$1,0)+1),MATCH(R$1,[3]enemies!$1:$1,0)-MATCH($M$1,[3]enemies!$1:$1,0)+1,FALSE)</f>
        <v>30</v>
      </c>
      <c r="S3" s="195">
        <v>50</v>
      </c>
      <c r="T3" s="196">
        <v>1</v>
      </c>
      <c r="U3" s="104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78532</v>
      </c>
      <c r="V3" s="196">
        <v>0.8</v>
      </c>
      <c r="W3" s="116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5989.6</v>
      </c>
      <c r="X3" s="197">
        <v>0</v>
      </c>
      <c r="Y3" s="18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18">
        <v>30047006</v>
      </c>
      <c r="AA3" s="193">
        <v>2</v>
      </c>
    </row>
    <row r="4" spans="1:27" ht="21" customHeight="1" thickBot="1" x14ac:dyDescent="0.2">
      <c r="A4" s="123" t="str">
        <f t="shared" si="0"/>
        <v>30047_3-4/1253&lt;lv60&gt;sq1st2</v>
      </c>
      <c r="B4" s="141">
        <v>30047</v>
      </c>
      <c r="C4" s="124">
        <v>3</v>
      </c>
      <c r="D4" s="125" t="str">
        <f t="shared" si="1"/>
        <v>30047_3</v>
      </c>
      <c r="E4" s="126" t="str">
        <f ca="1">VLOOKUP($B4,OFFSET([2]quests!$A$1,0,0,COUNTA([2]quests!$A:$A),MATCH(E$1,[2]quests!$1:$1,0)-MATCH($B$1,[2]quests!$1:$1,0)+1),MATCH(E$1,[2]quests!$1:$1,0)-MATCH($B$1,[2]quests!$1:$1,0)+1,FALSE)</f>
        <v>終末の旋律</v>
      </c>
      <c r="F4" s="126" t="str">
        <f ca="1">VLOOKUP($D4,OFFSET([2]stages!$A$1,0,0,COUNTA([2]stages!$A:$A),MATCH(F$1,[2]stages!$2:$2,0)-MATCH($D$1,[2]stages!$2:$2,0)+1),MATCH(F$1,[2]stages!$2:$2,0)-MATCH($D$1,[2]stages!$2:$2,0)+1,FALSE)</f>
        <v>【超級】終末の旋律</v>
      </c>
      <c r="G4" s="124">
        <v>4</v>
      </c>
      <c r="H4" s="125" t="str">
        <f t="shared" si="2"/>
        <v>30047_3-4</v>
      </c>
      <c r="I4" s="126">
        <f ca="1">VLOOKUP($H4,OFFSET(floors!$A$1,0,0,COUNTA(floors!$A:$A),MATCH(I$1,floors!$1:$1,0)-MATCH($H$1,floors!$1:$1,0)+1),MATCH(I$1,floors!$1:$1,0)-MATCH($H$1,floors!$1:$1,0)+1,FALSE)</f>
        <v>60</v>
      </c>
      <c r="J4" s="126">
        <f ca="1">VLOOKUP($H4,OFFSET(floors!$A$1,0,0,COUNTA(floors!$A:$A),MATCH(J$1,floors!$1:$1,0)-MATCH($H$1,floors!$1:$1,0)+1),MATCH(J$1,floors!$1:$1,0)-MATCH($H$1,floors!$1:$1,0)+1,FALSE)</f>
        <v>60</v>
      </c>
      <c r="K4" s="127">
        <v>1</v>
      </c>
      <c r="L4" s="127">
        <v>2</v>
      </c>
      <c r="M4" s="128">
        <v>1253</v>
      </c>
      <c r="N4" s="129" t="str">
        <f ca="1">VLOOKUP($M4,OFFSET([3]enemies!$A$1,0,0,COUNTA([3]enemies!$A:$A),MATCH(N$1,[3]enemies!$1:$1,0)-MATCH($M$1,[3]enemies!$1:$1,0)+1),MATCH(N$1,[3]enemies!$1:$1,0)-MATCH($M$1,[3]enemies!$1:$1,0)+1,FALSE)</f>
        <v>吹聴する廃徊者 ギャラルホルン</v>
      </c>
      <c r="O4" s="129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29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29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29">
        <f ca="1">VLOOKUP($M4,OFFSET([3]enemies!$A$1,0,0,COUNTA([3]enemies!$A:$A),MATCH(R$1,[3]enemies!$1:$1,0)-MATCH($M$1,[3]enemies!$1:$1,0)+1),MATCH(R$1,[3]enemies!$1:$1,0)-MATCH($M$1,[3]enemies!$1:$1,0)+1,FALSE)</f>
        <v>60</v>
      </c>
      <c r="S4" s="130">
        <v>60</v>
      </c>
      <c r="T4" s="131">
        <v>2</v>
      </c>
      <c r="U4" s="132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200736</v>
      </c>
      <c r="V4" s="131">
        <v>0.8</v>
      </c>
      <c r="W4" s="13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7142.4000000000005</v>
      </c>
      <c r="X4" s="130">
        <v>0</v>
      </c>
      <c r="Y4" s="126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126">
        <v>30047008</v>
      </c>
      <c r="AA4" s="143">
        <v>1</v>
      </c>
    </row>
    <row r="5" spans="1:27" ht="21" customHeight="1" x14ac:dyDescent="0.15">
      <c r="A5" s="16" t="str">
        <f t="shared" si="0"/>
        <v>30047_2-2/593&lt;lv30&gt;sq1st2</v>
      </c>
      <c r="B5" s="165">
        <v>30047</v>
      </c>
      <c r="C5" s="108">
        <v>2</v>
      </c>
      <c r="D5" s="109" t="str">
        <f t="shared" si="1"/>
        <v>30047_2</v>
      </c>
      <c r="E5" s="110" t="str">
        <f ca="1">VLOOKUP($B5,OFFSET([2]quests!$A$1,0,0,COUNTA([2]quests!$A:$A),MATCH(E$1,[2]quests!$1:$1,0)-MATCH($B$1,[2]quests!$1:$1,0)+1),MATCH(E$1,[2]quests!$1:$1,0)-MATCH($B$1,[2]quests!$1:$1,0)+1,FALSE)</f>
        <v>終末の旋律</v>
      </c>
      <c r="F5" s="110" t="str">
        <f ca="1">VLOOKUP($D5,OFFSET([2]stages!$A$1,0,0,COUNTA([2]stages!$A:$A),MATCH(F$1,[2]stages!$2:$2,0)-MATCH($D$1,[2]stages!$2:$2,0)+1),MATCH(F$1,[2]stages!$2:$2,0)-MATCH($D$1,[2]stages!$2:$2,0)+1,FALSE)</f>
        <v>【上級】終末の旋律</v>
      </c>
      <c r="G5" s="108">
        <v>2</v>
      </c>
      <c r="H5" s="109" t="str">
        <f t="shared" si="2"/>
        <v>30047_2-2</v>
      </c>
      <c r="I5" s="110">
        <f ca="1">VLOOKUP($H5,OFFSET(floors!$A$1,0,0,COUNTA(floors!$A:$A),MATCH(I$1,floors!$1:$1,0)-MATCH($H$1,floors!$1:$1,0)+1),MATCH(I$1,floors!$1:$1,0)-MATCH($H$1,floors!$1:$1,0)+1,FALSE)</f>
        <v>60</v>
      </c>
      <c r="J5" s="110">
        <f ca="1">VLOOKUP($H5,OFFSET(floors!$A$1,0,0,COUNTA(floors!$A:$A),MATCH(J$1,floors!$1:$1,0)-MATCH($H$1,floors!$1:$1,0)+1),MATCH(J$1,floors!$1:$1,0)-MATCH($H$1,floors!$1:$1,0)+1,FALSE)</f>
        <v>60</v>
      </c>
      <c r="K5" s="111">
        <v>1</v>
      </c>
      <c r="L5" s="111">
        <v>2</v>
      </c>
      <c r="M5" s="112">
        <v>593</v>
      </c>
      <c r="N5" s="113" t="str">
        <f ca="1">VLOOKUP($M5,OFFSET([3]enemies!$A$1,0,0,COUNTA([3]enemies!$A:$A),MATCH(N$1,[3]enemies!$1:$1,0)-MATCH($M$1,[3]enemies!$1:$1,0)+1),MATCH(N$1,[3]enemies!$1:$1,0)-MATCH($M$1,[3]enemies!$1:$1,0)+1,FALSE)</f>
        <v>妄執する邪毒龍 ファフニール</v>
      </c>
      <c r="O5" s="113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13" t="str">
        <f ca="1">VLOOKUP($M5,OFFSET([4]characters!$A$1,0,0,COUNTA([4]characters!$A:$A),MATCH(P$1,[4]characters!$1:$1,0)-MATCH($M$1,[4]characters!$1:$1,0)+1),MATCH(P$1,[4]characters!$1:$1,0)-MATCH($M$1,[4]characters!$1:$1,0)+1,FALSE)</f>
        <v>PremiumS</v>
      </c>
      <c r="Q5" s="113" t="str">
        <f ca="1">VLOOKUP($M5,OFFSET([3]enemies!$A$1,0,0,COUNTA([3]enemies!$A:$A),MATCH(Q$1,[3]enemies!$1:$1,0)-MATCH($M$1,[3]enemies!$1:$1,0)+1),MATCH(Q$1,[3]enemies!$1:$1,0)-MATCH($M$1,[3]enemies!$1:$1,0)+1,FALSE)</f>
        <v>dragon</v>
      </c>
      <c r="R5" s="113">
        <f ca="1">VLOOKUP($M5,OFFSET([3]enemies!$A$1,0,0,COUNTA([3]enemies!$A:$A),MATCH(R$1,[3]enemies!$1:$1,0)-MATCH($M$1,[3]enemies!$1:$1,0)+1),MATCH(R$1,[3]enemies!$1:$1,0)-MATCH($M$1,[3]enemies!$1:$1,0)+1,FALSE)</f>
        <v>60</v>
      </c>
      <c r="S5" s="114">
        <v>30</v>
      </c>
      <c r="T5" s="115">
        <v>0.9</v>
      </c>
      <c r="U5" s="116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49881.599999999999</v>
      </c>
      <c r="V5" s="115">
        <v>1.2</v>
      </c>
      <c r="W5" s="116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4004.3999999999996</v>
      </c>
      <c r="X5" s="114">
        <v>0</v>
      </c>
      <c r="Y5" s="110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110">
        <v>30047011</v>
      </c>
      <c r="AA5" s="142">
        <v>2</v>
      </c>
    </row>
    <row r="6" spans="1:27" ht="21" customHeight="1" x14ac:dyDescent="0.15">
      <c r="A6" s="16" t="str">
        <f t="shared" si="0"/>
        <v>30047_2-3/600&lt;lv30&gt;sq1st2</v>
      </c>
      <c r="B6" s="192">
        <v>30047</v>
      </c>
      <c r="C6" s="108">
        <v>2</v>
      </c>
      <c r="D6" s="109" t="str">
        <f t="shared" si="1"/>
        <v>30047_2</v>
      </c>
      <c r="E6" s="110" t="str">
        <f ca="1">VLOOKUP($B6,OFFSET([2]quests!$A$1,0,0,COUNTA([2]quests!$A:$A),MATCH(E$1,[2]quests!$1:$1,0)-MATCH($B$1,[2]quests!$1:$1,0)+1),MATCH(E$1,[2]quests!$1:$1,0)-MATCH($B$1,[2]quests!$1:$1,0)+1,FALSE)</f>
        <v>終末の旋律</v>
      </c>
      <c r="F6" s="110" t="str">
        <f ca="1">VLOOKUP($D6,OFFSET([2]stages!$A$1,0,0,COUNTA([2]stages!$A:$A),MATCH(F$1,[2]stages!$2:$2,0)-MATCH($D$1,[2]stages!$2:$2,0)+1),MATCH(F$1,[2]stages!$2:$2,0)-MATCH($D$1,[2]stages!$2:$2,0)+1,FALSE)</f>
        <v>【上級】終末の旋律</v>
      </c>
      <c r="G6" s="108">
        <v>3</v>
      </c>
      <c r="H6" s="109" t="str">
        <f t="shared" si="2"/>
        <v>30047_2-3</v>
      </c>
      <c r="I6" s="110">
        <f ca="1">VLOOKUP($H6,OFFSET(floors!$A$1,0,0,COUNTA(floors!$A:$A),MATCH(I$1,floors!$1:$1,0)-MATCH($H$1,floors!$1:$1,0)+1),MATCH(I$1,floors!$1:$1,0)-MATCH($H$1,floors!$1:$1,0)+1,FALSE)</f>
        <v>60</v>
      </c>
      <c r="J6" s="110">
        <f ca="1">VLOOKUP($H6,OFFSET(floors!$A$1,0,0,COUNTA(floors!$A:$A),MATCH(J$1,floors!$1:$1,0)-MATCH($H$1,floors!$1:$1,0)+1),MATCH(J$1,floors!$1:$1,0)-MATCH($H$1,floors!$1:$1,0)+1,FALSE)</f>
        <v>60</v>
      </c>
      <c r="K6" s="111">
        <v>1</v>
      </c>
      <c r="L6" s="111">
        <v>2</v>
      </c>
      <c r="M6" s="107">
        <v>600</v>
      </c>
      <c r="N6" s="18" t="str">
        <f ca="1">VLOOKUP($M6,OFFSET([3]enemies!$A$1,0,0,COUNTA([3]enemies!$A:$A),MATCH(N$1,[3]enemies!$1:$1,0)-MATCH($M$1,[3]enemies!$1:$1,0)+1),MATCH(N$1,[3]enemies!$1:$1,0)-MATCH($M$1,[3]enemies!$1:$1,0)+1,FALSE)</f>
        <v>界下に潜む蛇 ニーズヘッグ</v>
      </c>
      <c r="O6" s="18" t="str">
        <f ca="1">VLOOKUP($M6,OFFSET([3]enemies!$A$1,0,0,COUNTA([3]enemies!$A:$A),MATCH(O$1,[3]enemies!$1:$1,0)-MATCH($M$1,[3]enemies!$1:$1,0)+1),MATCH(O$1,[3]enemies!$1:$1,0)-MATCH($M$1,[3]enemies!$1:$1,0)+1,FALSE)</f>
        <v>green</v>
      </c>
      <c r="P6" s="18" t="str">
        <f ca="1">VLOOKUP($M6,OFFSET([4]characters!$A$1,0,0,COUNTA([4]characters!$A:$A),MATCH(P$1,[4]characters!$1:$1,0)-MATCH($M$1,[4]characters!$1:$1,0)+1),MATCH(P$1,[4]characters!$1:$1,0)-MATCH($M$1,[4]characters!$1:$1,0)+1,FALSE)</f>
        <v>PremiumS</v>
      </c>
      <c r="Q6" s="18" t="str">
        <f ca="1">VLOOKUP($M6,OFFSET([3]enemies!$A$1,0,0,COUNTA([3]enemies!$A:$A),MATCH(Q$1,[3]enemies!$1:$1,0)-MATCH($M$1,[3]enemies!$1:$1,0)+1),MATCH(Q$1,[3]enemies!$1:$1,0)-MATCH($M$1,[3]enemies!$1:$1,0)+1,FALSE)</f>
        <v>dragon</v>
      </c>
      <c r="R6" s="18">
        <f ca="1">VLOOKUP($M6,OFFSET([3]enemies!$A$1,0,0,COUNTA([3]enemies!$A:$A),MATCH(R$1,[3]enemies!$1:$1,0)-MATCH($M$1,[3]enemies!$1:$1,0)+1),MATCH(R$1,[3]enemies!$1:$1,0)-MATCH($M$1,[3]enemies!$1:$1,0)+1,FALSE)</f>
        <v>30</v>
      </c>
      <c r="S6" s="195">
        <v>30</v>
      </c>
      <c r="T6" s="196">
        <v>1</v>
      </c>
      <c r="U6" s="104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48034</v>
      </c>
      <c r="V6" s="196">
        <v>0.8</v>
      </c>
      <c r="W6" s="104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3664</v>
      </c>
      <c r="X6" s="195">
        <v>0</v>
      </c>
      <c r="Y6" s="18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18">
        <v>30047014</v>
      </c>
      <c r="AA6" s="18">
        <v>2</v>
      </c>
    </row>
    <row r="7" spans="1:27" ht="21" customHeight="1" thickBot="1" x14ac:dyDescent="0.2">
      <c r="A7" s="123" t="str">
        <f t="shared" si="0"/>
        <v>30047_2-4/1253&lt;lv35&gt;sq1st2</v>
      </c>
      <c r="B7" s="166">
        <v>30047</v>
      </c>
      <c r="C7" s="124">
        <v>2</v>
      </c>
      <c r="D7" s="125" t="str">
        <f t="shared" si="1"/>
        <v>30047_2</v>
      </c>
      <c r="E7" s="126" t="str">
        <f ca="1">VLOOKUP($B7,OFFSET([2]quests!$A$1,0,0,COUNTA([2]quests!$A:$A),MATCH(E$1,[2]quests!$1:$1,0)-MATCH($B$1,[2]quests!$1:$1,0)+1),MATCH(E$1,[2]quests!$1:$1,0)-MATCH($B$1,[2]quests!$1:$1,0)+1,FALSE)</f>
        <v>終末の旋律</v>
      </c>
      <c r="F7" s="126" t="str">
        <f ca="1">VLOOKUP($D7,OFFSET([2]stages!$A$1,0,0,COUNTA([2]stages!$A:$A),MATCH(F$1,[2]stages!$2:$2,0)-MATCH($D$1,[2]stages!$2:$2,0)+1),MATCH(F$1,[2]stages!$2:$2,0)-MATCH($D$1,[2]stages!$2:$2,0)+1,FALSE)</f>
        <v>【上級】終末の旋律</v>
      </c>
      <c r="G7" s="124">
        <v>4</v>
      </c>
      <c r="H7" s="125" t="str">
        <f t="shared" si="2"/>
        <v>30047_2-4</v>
      </c>
      <c r="I7" s="126">
        <f ca="1">VLOOKUP($H7,OFFSET(floors!$A$1,0,0,COUNTA(floors!$A:$A),MATCH(I$1,floors!$1:$1,0)-MATCH($H$1,floors!$1:$1,0)+1),MATCH(I$1,floors!$1:$1,0)-MATCH($H$1,floors!$1:$1,0)+1,FALSE)</f>
        <v>60</v>
      </c>
      <c r="J7" s="126">
        <f ca="1">VLOOKUP($H7,OFFSET(floors!$A$1,0,0,COUNTA(floors!$A:$A),MATCH(J$1,floors!$1:$1,0)-MATCH($H$1,floors!$1:$1,0)+1),MATCH(J$1,floors!$1:$1,0)-MATCH($H$1,floors!$1:$1,0)+1,FALSE)</f>
        <v>60</v>
      </c>
      <c r="K7" s="127">
        <v>1</v>
      </c>
      <c r="L7" s="127">
        <v>2</v>
      </c>
      <c r="M7" s="128">
        <v>1253</v>
      </c>
      <c r="N7" s="129" t="str">
        <f ca="1">VLOOKUP($M7,OFFSET([3]enemies!$A$1,0,0,COUNTA([3]enemies!$A:$A),MATCH(N$1,[3]enemies!$1:$1,0)-MATCH($M$1,[3]enemies!$1:$1,0)+1),MATCH(N$1,[3]enemies!$1:$1,0)-MATCH($M$1,[3]enemies!$1:$1,0)+1,FALSE)</f>
        <v>吹聴する廃徊者 ギャラルホルン</v>
      </c>
      <c r="O7" s="129" t="str">
        <f ca="1">VLOOKUP($M7,OFFSET([3]enemies!$A$1,0,0,COUNTA([3]enemies!$A:$A),MATCH(O$1,[3]enemies!$1:$1,0)-MATCH($M$1,[3]enemies!$1:$1,0)+1),MATCH(O$1,[3]enemies!$1:$1,0)-MATCH($M$1,[3]enemies!$1:$1,0)+1,FALSE)</f>
        <v>blue</v>
      </c>
      <c r="P7" s="129" t="str">
        <f ca="1">VLOOKUP($M7,OFFSET([4]characters!$A$1,0,0,COUNTA([4]characters!$A:$A),MATCH(P$1,[4]characters!$1:$1,0)-MATCH($M$1,[4]characters!$1:$1,0)+1),MATCH(P$1,[4]characters!$1:$1,0)-MATCH($M$1,[4]characters!$1:$1,0)+1,FALSE)</f>
        <v>Drop2N</v>
      </c>
      <c r="Q7" s="129" t="str">
        <f ca="1">VLOOKUP($M7,OFFSET([3]enemies!$A$1,0,0,COUNTA([3]enemies!$A:$A),MATCH(Q$1,[3]enemies!$1:$1,0)-MATCH($M$1,[3]enemies!$1:$1,0)+1),MATCH(Q$1,[3]enemies!$1:$1,0)-MATCH($M$1,[3]enemies!$1:$1,0)+1,FALSE)</f>
        <v>god</v>
      </c>
      <c r="R7" s="129">
        <f ca="1">VLOOKUP($M7,OFFSET([3]enemies!$A$1,0,0,COUNTA([3]enemies!$A:$A),MATCH(R$1,[3]enemies!$1:$1,0)-MATCH($M$1,[3]enemies!$1:$1,0)+1),MATCH(R$1,[3]enemies!$1:$1,0)-MATCH($M$1,[3]enemies!$1:$1,0)+1,FALSE)</f>
        <v>60</v>
      </c>
      <c r="S7" s="130">
        <v>35</v>
      </c>
      <c r="T7" s="131">
        <v>2</v>
      </c>
      <c r="U7" s="132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119136</v>
      </c>
      <c r="V7" s="131">
        <v>0.8</v>
      </c>
      <c r="W7" s="132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4239.2</v>
      </c>
      <c r="X7" s="130">
        <v>0</v>
      </c>
      <c r="Y7" s="126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7" s="126">
        <v>30047016</v>
      </c>
      <c r="AA7" s="143">
        <v>1</v>
      </c>
    </row>
    <row r="8" spans="1:27" ht="21" customHeight="1" x14ac:dyDescent="0.15">
      <c r="A8" s="16" t="str">
        <f t="shared" si="0"/>
        <v>30047_1-2/593&lt;lv20&gt;sq1st2</v>
      </c>
      <c r="B8" s="162">
        <v>30047</v>
      </c>
      <c r="C8" s="108">
        <v>1</v>
      </c>
      <c r="D8" s="109" t="str">
        <f t="shared" si="1"/>
        <v>30047_1</v>
      </c>
      <c r="E8" s="110" t="str">
        <f ca="1">VLOOKUP($B8,OFFSET([2]quests!$A$1,0,0,COUNTA([2]quests!$A:$A),MATCH(E$1,[2]quests!$1:$1,0)-MATCH($B$1,[2]quests!$1:$1,0)+1),MATCH(E$1,[2]quests!$1:$1,0)-MATCH($B$1,[2]quests!$1:$1,0)+1,FALSE)</f>
        <v>終末の旋律</v>
      </c>
      <c r="F8" s="110" t="str">
        <f ca="1">VLOOKUP($D8,OFFSET([2]stages!$A$1,0,0,COUNTA([2]stages!$A:$A),MATCH(F$1,[2]stages!$2:$2,0)-MATCH($D$1,[2]stages!$2:$2,0)+1),MATCH(F$1,[2]stages!$2:$2,0)-MATCH($D$1,[2]stages!$2:$2,0)+1,FALSE)</f>
        <v>【中級】終末の旋律</v>
      </c>
      <c r="G8" s="108">
        <v>2</v>
      </c>
      <c r="H8" s="109" t="str">
        <f t="shared" si="2"/>
        <v>30047_1-2</v>
      </c>
      <c r="I8" s="110">
        <f ca="1">VLOOKUP($H8,OFFSET(floors!$A$1,0,0,COUNTA(floors!$A:$A),MATCH(I$1,floors!$1:$1,0)-MATCH($H$1,floors!$1:$1,0)+1),MATCH(I$1,floors!$1:$1,0)-MATCH($H$1,floors!$1:$1,0)+1,FALSE)</f>
        <v>60</v>
      </c>
      <c r="J8" s="110">
        <f ca="1">VLOOKUP($H8,OFFSET(floors!$A$1,0,0,COUNTA(floors!$A:$A),MATCH(J$1,floors!$1:$1,0)-MATCH($H$1,floors!$1:$1,0)+1),MATCH(J$1,floors!$1:$1,0)-MATCH($H$1,floors!$1:$1,0)+1,FALSE)</f>
        <v>60</v>
      </c>
      <c r="K8" s="111">
        <v>1</v>
      </c>
      <c r="L8" s="111">
        <v>2</v>
      </c>
      <c r="M8" s="112">
        <v>593</v>
      </c>
      <c r="N8" s="113" t="str">
        <f ca="1">VLOOKUP($M8,OFFSET([3]enemies!$A$1,0,0,COUNTA([3]enemies!$A:$A),MATCH(N$1,[3]enemies!$1:$1,0)-MATCH($M$1,[3]enemies!$1:$1,0)+1),MATCH(N$1,[3]enemies!$1:$1,0)-MATCH($M$1,[3]enemies!$1:$1,0)+1,FALSE)</f>
        <v>妄執する邪毒龍 ファフニール</v>
      </c>
      <c r="O8" s="113" t="str">
        <f ca="1">VLOOKUP($M8,OFFSET([3]enemies!$A$1,0,0,COUNTA([3]enemies!$A:$A),MATCH(O$1,[3]enemies!$1:$1,0)-MATCH($M$1,[3]enemies!$1:$1,0)+1),MATCH(O$1,[3]enemies!$1:$1,0)-MATCH($M$1,[3]enemies!$1:$1,0)+1,FALSE)</f>
        <v>blue</v>
      </c>
      <c r="P8" s="113" t="str">
        <f ca="1">VLOOKUP($M8,OFFSET([4]characters!$A$1,0,0,COUNTA([4]characters!$A:$A),MATCH(P$1,[4]characters!$1:$1,0)-MATCH($M$1,[4]characters!$1:$1,0)+1),MATCH(P$1,[4]characters!$1:$1,0)-MATCH($M$1,[4]characters!$1:$1,0)+1,FALSE)</f>
        <v>PremiumS</v>
      </c>
      <c r="Q8" s="113" t="str">
        <f ca="1">VLOOKUP($M8,OFFSET([3]enemies!$A$1,0,0,COUNTA([3]enemies!$A:$A),MATCH(Q$1,[3]enemies!$1:$1,0)-MATCH($M$1,[3]enemies!$1:$1,0)+1),MATCH(Q$1,[3]enemies!$1:$1,0)-MATCH($M$1,[3]enemies!$1:$1,0)+1,FALSE)</f>
        <v>dragon</v>
      </c>
      <c r="R8" s="113">
        <f ca="1">VLOOKUP($M8,OFFSET([3]enemies!$A$1,0,0,COUNTA([3]enemies!$A:$A),MATCH(R$1,[3]enemies!$1:$1,0)-MATCH($M$1,[3]enemies!$1:$1,0)+1),MATCH(R$1,[3]enemies!$1:$1,0)-MATCH($M$1,[3]enemies!$1:$1,0)+1,FALSE)</f>
        <v>60</v>
      </c>
      <c r="S8" s="114">
        <v>20</v>
      </c>
      <c r="T8" s="115">
        <v>0.9</v>
      </c>
      <c r="U8" s="116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34046.1</v>
      </c>
      <c r="V8" s="115">
        <v>1.2</v>
      </c>
      <c r="W8" s="116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2733.6</v>
      </c>
      <c r="X8" s="114">
        <v>0</v>
      </c>
      <c r="Y8" s="110" t="e">
        <f ca="1">VLOOKUP($Z8,OFFSET([5]enemy_skill_sets!$B$1,0,0,COUNTA([5]enemy_skill_sets!$B:$B),MATCH(N$1,[5]enemy_skill_sets!$1:$1,0)-MATCH($Z$1,[5]enemy_skill_sets!$1:$1,0)+2),MATCH(N$1,[5]enemy_skill_sets!$1:$1,0)-MATCH($Z$1,[5]enemy_skill_sets!$1:$1,0)+2,FALSE)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8" s="110">
        <v>30047019</v>
      </c>
      <c r="AA8" s="142">
        <v>2</v>
      </c>
    </row>
    <row r="9" spans="1:27" ht="21" customHeight="1" x14ac:dyDescent="0.15">
      <c r="A9" s="16" t="str">
        <f t="shared" si="0"/>
        <v>30047_1-3/600&lt;lv20&gt;sq1st2</v>
      </c>
      <c r="B9" s="194">
        <v>30047</v>
      </c>
      <c r="C9" s="106">
        <v>1</v>
      </c>
      <c r="D9" s="15" t="str">
        <f t="shared" si="1"/>
        <v>30047_1</v>
      </c>
      <c r="E9" s="18" t="str">
        <f ca="1">VLOOKUP($B9,OFFSET([2]quests!$A$1,0,0,COUNTA([2]quests!$A:$A),MATCH(E$1,[2]quests!$1:$1,0)-MATCH($B$1,[2]quests!$1:$1,0)+1),MATCH(E$1,[2]quests!$1:$1,0)-MATCH($B$1,[2]quests!$1:$1,0)+1,FALSE)</f>
        <v>終末の旋律</v>
      </c>
      <c r="F9" s="18" t="str">
        <f ca="1">VLOOKUP($D9,OFFSET([2]stages!$A$1,0,0,COUNTA([2]stages!$A:$A),MATCH(F$1,[2]stages!$2:$2,0)-MATCH($D$1,[2]stages!$2:$2,0)+1),MATCH(F$1,[2]stages!$2:$2,0)-MATCH($D$1,[2]stages!$2:$2,0)+1,FALSE)</f>
        <v>【中級】終末の旋律</v>
      </c>
      <c r="G9" s="106">
        <v>3</v>
      </c>
      <c r="H9" s="15" t="str">
        <f t="shared" si="2"/>
        <v>30047_1-3</v>
      </c>
      <c r="I9" s="18">
        <f ca="1">VLOOKUP($H9,OFFSET(floors!$A$1,0,0,COUNTA(floors!$A:$A),MATCH(I$1,floors!$1:$1,0)-MATCH($H$1,floors!$1:$1,0)+1),MATCH(I$1,floors!$1:$1,0)-MATCH($H$1,floors!$1:$1,0)+1,FALSE)</f>
        <v>60</v>
      </c>
      <c r="J9" s="18">
        <f ca="1">VLOOKUP($H9,OFFSET(floors!$A$1,0,0,COUNTA(floors!$A:$A),MATCH(J$1,floors!$1:$1,0)-MATCH($H$1,floors!$1:$1,0)+1),MATCH(J$1,floors!$1:$1,0)-MATCH($H$1,floors!$1:$1,0)+1,FALSE)</f>
        <v>60</v>
      </c>
      <c r="K9" s="37">
        <v>1</v>
      </c>
      <c r="L9" s="37">
        <v>2</v>
      </c>
      <c r="M9" s="107">
        <v>600</v>
      </c>
      <c r="N9" s="18" t="str">
        <f ca="1">VLOOKUP($M9,OFFSET([3]enemies!$A$1,0,0,COUNTA([3]enemies!$A:$A),MATCH(N$1,[3]enemies!$1:$1,0)-MATCH($M$1,[3]enemies!$1:$1,0)+1),MATCH(N$1,[3]enemies!$1:$1,0)-MATCH($M$1,[3]enemies!$1:$1,0)+1,FALSE)</f>
        <v>界下に潜む蛇 ニーズヘッグ</v>
      </c>
      <c r="O9" s="18" t="str">
        <f ca="1">VLOOKUP($M9,OFFSET([3]enemies!$A$1,0,0,COUNTA([3]enemies!$A:$A),MATCH(O$1,[3]enemies!$1:$1,0)-MATCH($M$1,[3]enemies!$1:$1,0)+1),MATCH(O$1,[3]enemies!$1:$1,0)-MATCH($M$1,[3]enemies!$1:$1,0)+1,FALSE)</f>
        <v>green</v>
      </c>
      <c r="P9" s="18" t="str">
        <f ca="1">VLOOKUP($M9,OFFSET([4]characters!$A$1,0,0,COUNTA([4]characters!$A:$A),MATCH(P$1,[4]characters!$1:$1,0)-MATCH($M$1,[4]characters!$1:$1,0)+1),MATCH(P$1,[4]characters!$1:$1,0)-MATCH($M$1,[4]characters!$1:$1,0)+1,FALSE)</f>
        <v>PremiumS</v>
      </c>
      <c r="Q9" s="18" t="str">
        <f ca="1">VLOOKUP($M9,OFFSET([3]enemies!$A$1,0,0,COUNTA([3]enemies!$A:$A),MATCH(Q$1,[3]enemies!$1:$1,0)-MATCH($M$1,[3]enemies!$1:$1,0)+1),MATCH(Q$1,[3]enemies!$1:$1,0)-MATCH($M$1,[3]enemies!$1:$1,0)+1,FALSE)</f>
        <v>dragon</v>
      </c>
      <c r="R9" s="18">
        <f ca="1">VLOOKUP($M9,OFFSET([3]enemies!$A$1,0,0,COUNTA([3]enemies!$A:$A),MATCH(R$1,[3]enemies!$1:$1,0)-MATCH($M$1,[3]enemies!$1:$1,0)+1),MATCH(R$1,[3]enemies!$1:$1,0)-MATCH($M$1,[3]enemies!$1:$1,0)+1,FALSE)</f>
        <v>30</v>
      </c>
      <c r="S9" s="195">
        <v>20</v>
      </c>
      <c r="T9" s="196">
        <v>1</v>
      </c>
      <c r="U9" s="104">
        <f ca="1">ROUND(VLOOKUP(S9,[3]enemy_base_stats!$A:$F,2,FALSE) *INDIRECT("[EnemyMasterData.xlsm]enemies!Y"&amp;(M9+1))*  INDIRECT("[EnemyMasterData.xlsm]enemies!J"&amp;(M9+1))* INDIRECT("[EnemyMasterData.xlsm]enemies!O"&amp;(M9+1))* INDIRECT("[EnemyMasterData.xlsm]enemies!E"&amp;(M9+1))* INDIRECT("[EnemyMasterData.xlsm]enemies!S"&amp;(M9+1))* INDIRECT("[EnemyMasterData.xlsm]enemies!AD"&amp;(M9+1))*[4]ステータス!$B$2,0)*T9</f>
        <v>32785</v>
      </c>
      <c r="V9" s="196">
        <v>0.8</v>
      </c>
      <c r="W9" s="104">
        <f ca="1">ROUND(VLOOKUP(S9,[3]enemy_base_stats!$A:$F,3,FALSE) *INDIRECT("[EnemyMasterData.xlsm]enemies!Z"&amp;(M9+1))*  INDIRECT("[EnemyMasterData.xlsm]enemies!K"&amp;(M9+1))* INDIRECT("[EnemyMasterData.xlsm]enemies!P"&amp;(M9+1))* INDIRECT("[EnemyMasterData.xlsm]enemies!F"&amp;(M9+1))* INDIRECT("[EnemyMasterData.xlsm]enemies!T"&amp;(M9+1))* INDIRECT("[EnemyMasterData.xlsm]enemies!AE"&amp;(M9+1))*[4]ステータス!$C$2,0)*V9</f>
        <v>2500.8000000000002</v>
      </c>
      <c r="X9" s="195">
        <v>0</v>
      </c>
      <c r="Y9" s="18" t="e">
        <f ca="1">VLOOKUP($Z9,OFFSET([5]enemy_skill_sets!$B$1,0,0,COUNTA([5]enemy_skill_sets!$B:$B),MATCH(N$1,[5]enemy_skill_sets!$1:$1,0)-MATCH($Z$1,[5]enemy_skill_sets!$1:$1,0)+2),MATCH(N$1,[5]enemy_skill_sets!$1:$1,0)-MATCH($Z$1,[5]enemy_skill_sets!$1:$1,0)+2,FALSE)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9" s="18">
        <v>30047022</v>
      </c>
      <c r="AA9" s="193">
        <v>2</v>
      </c>
    </row>
    <row r="10" spans="1:27" ht="21" customHeight="1" thickBot="1" x14ac:dyDescent="0.2">
      <c r="A10" s="123" t="str">
        <f t="shared" si="0"/>
        <v>30047_1-4/1253&lt;lv25&gt;sq1st2</v>
      </c>
      <c r="B10" s="163">
        <v>30047</v>
      </c>
      <c r="C10" s="124">
        <v>1</v>
      </c>
      <c r="D10" s="125" t="str">
        <f t="shared" si="1"/>
        <v>30047_1</v>
      </c>
      <c r="E10" s="126" t="str">
        <f ca="1">VLOOKUP($B10,OFFSET([2]quests!$A$1,0,0,COUNTA([2]quests!$A:$A),MATCH(E$1,[2]quests!$1:$1,0)-MATCH($B$1,[2]quests!$1:$1,0)+1),MATCH(E$1,[2]quests!$1:$1,0)-MATCH($B$1,[2]quests!$1:$1,0)+1,FALSE)</f>
        <v>終末の旋律</v>
      </c>
      <c r="F10" s="126" t="str">
        <f ca="1">VLOOKUP($D10,OFFSET([2]stages!$A$1,0,0,COUNTA([2]stages!$A:$A),MATCH(F$1,[2]stages!$2:$2,0)-MATCH($D$1,[2]stages!$2:$2,0)+1),MATCH(F$1,[2]stages!$2:$2,0)-MATCH($D$1,[2]stages!$2:$2,0)+1,FALSE)</f>
        <v>【中級】終末の旋律</v>
      </c>
      <c r="G10" s="124">
        <v>4</v>
      </c>
      <c r="H10" s="125" t="str">
        <f t="shared" si="2"/>
        <v>30047_1-4</v>
      </c>
      <c r="I10" s="126">
        <f ca="1">VLOOKUP($H10,OFFSET(floors!$A$1,0,0,COUNTA(floors!$A:$A),MATCH(I$1,floors!$1:$1,0)-MATCH($H$1,floors!$1:$1,0)+1),MATCH(I$1,floors!$1:$1,0)-MATCH($H$1,floors!$1:$1,0)+1,FALSE)</f>
        <v>60</v>
      </c>
      <c r="J10" s="126">
        <f ca="1">VLOOKUP($H10,OFFSET(floors!$A$1,0,0,COUNTA(floors!$A:$A),MATCH(J$1,floors!$1:$1,0)-MATCH($H$1,floors!$1:$1,0)+1),MATCH(J$1,floors!$1:$1,0)-MATCH($H$1,floors!$1:$1,0)+1,FALSE)</f>
        <v>60</v>
      </c>
      <c r="K10" s="127">
        <v>1</v>
      </c>
      <c r="L10" s="127">
        <v>2</v>
      </c>
      <c r="M10" s="128">
        <v>1253</v>
      </c>
      <c r="N10" s="129" t="str">
        <f ca="1">VLOOKUP($M10,OFFSET([3]enemies!$A$1,0,0,COUNTA([3]enemies!$A:$A),MATCH(N$1,[3]enemies!$1:$1,0)-MATCH($M$1,[3]enemies!$1:$1,0)+1),MATCH(N$1,[3]enemies!$1:$1,0)-MATCH($M$1,[3]enemies!$1:$1,0)+1,FALSE)</f>
        <v>吹聴する廃徊者 ギャラルホルン</v>
      </c>
      <c r="O10" s="129" t="str">
        <f ca="1">VLOOKUP($M10,OFFSET([3]enemies!$A$1,0,0,COUNTA([3]enemies!$A:$A),MATCH(O$1,[3]enemies!$1:$1,0)-MATCH($M$1,[3]enemies!$1:$1,0)+1),MATCH(O$1,[3]enemies!$1:$1,0)-MATCH($M$1,[3]enemies!$1:$1,0)+1,FALSE)</f>
        <v>blue</v>
      </c>
      <c r="P10" s="129" t="str">
        <f ca="1">VLOOKUP($M10,OFFSET([4]characters!$A$1,0,0,COUNTA([4]characters!$A:$A),MATCH(P$1,[4]characters!$1:$1,0)-MATCH($M$1,[4]characters!$1:$1,0)+1),MATCH(P$1,[4]characters!$1:$1,0)-MATCH($M$1,[4]characters!$1:$1,0)+1,FALSE)</f>
        <v>Drop2N</v>
      </c>
      <c r="Q10" s="129" t="str">
        <f ca="1">VLOOKUP($M10,OFFSET([3]enemies!$A$1,0,0,COUNTA([3]enemies!$A:$A),MATCH(Q$1,[3]enemies!$1:$1,0)-MATCH($M$1,[3]enemies!$1:$1,0)+1),MATCH(Q$1,[3]enemies!$1:$1,0)-MATCH($M$1,[3]enemies!$1:$1,0)+1,FALSE)</f>
        <v>god</v>
      </c>
      <c r="R10" s="129">
        <f ca="1">VLOOKUP($M10,OFFSET([3]enemies!$A$1,0,0,COUNTA([3]enemies!$A:$A),MATCH(R$1,[3]enemies!$1:$1,0)-MATCH($M$1,[3]enemies!$1:$1,0)+1),MATCH(R$1,[3]enemies!$1:$1,0)-MATCH($M$1,[3]enemies!$1:$1,0)+1,FALSE)</f>
        <v>60</v>
      </c>
      <c r="S10" s="130">
        <v>25</v>
      </c>
      <c r="T10" s="131">
        <v>2</v>
      </c>
      <c r="U10" s="132">
        <f ca="1">ROUND(VLOOKUP(S10,[3]enemy_base_stats!$A:$F,2,FALSE) *INDIRECT("[EnemyMasterData.xlsm]enemies!Y"&amp;(M10+1))*  INDIRECT("[EnemyMasterData.xlsm]enemies!J"&amp;(M10+1))* INDIRECT("[EnemyMasterData.xlsm]enemies!O"&amp;(M10+1))* INDIRECT("[EnemyMasterData.xlsm]enemies!E"&amp;(M10+1))* INDIRECT("[EnemyMasterData.xlsm]enemies!S"&amp;(M10+1))* INDIRECT("[EnemyMasterData.xlsm]enemies!AD"&amp;(M10+1))*[4]ステータス!$B$2,0)*T10</f>
        <v>86496</v>
      </c>
      <c r="V10" s="131">
        <v>0.8</v>
      </c>
      <c r="W10" s="132">
        <f ca="1">ROUND(VLOOKUP(S10,[3]enemy_base_stats!$A:$F,3,FALSE) *INDIRECT("[EnemyMasterData.xlsm]enemies!Z"&amp;(M10+1))*  INDIRECT("[EnemyMasterData.xlsm]enemies!K"&amp;(M10+1))* INDIRECT("[EnemyMasterData.xlsm]enemies!P"&amp;(M10+1))* INDIRECT("[EnemyMasterData.xlsm]enemies!F"&amp;(M10+1))* INDIRECT("[EnemyMasterData.xlsm]enemies!T"&amp;(M10+1))* INDIRECT("[EnemyMasterData.xlsm]enemies!AE"&amp;(M10+1))*[4]ステータス!$C$2,0)*V10</f>
        <v>3077.6000000000004</v>
      </c>
      <c r="X10" s="130">
        <v>0</v>
      </c>
      <c r="Y10" s="126" t="e">
        <f ca="1">VLOOKUP($Z10,OFFSET([5]enemy_skill_sets!$B$1,0,0,COUNTA([5]enemy_skill_sets!$B:$B),MATCH(N$1,[5]enemy_skill_sets!$1:$1,0)-MATCH($Z$1,[5]enemy_skill_sets!$1:$1,0)+2),MATCH(N$1,[5]enemy_skill_sets!$1:$1,0)-MATCH($Z$1,[5]enemy_skill_sets!$1:$1,0)+2,FALSE)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0" s="126">
        <v>30047024</v>
      </c>
      <c r="AA10" s="143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82"/>
  <sheetViews>
    <sheetView showGridLines="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67.1640625" style="47" customWidth="1"/>
    <col min="3" max="4" width="12.83203125" style="47"/>
    <col min="5" max="5" width="23.6640625" style="47" bestFit="1" customWidth="1"/>
    <col min="6" max="6" width="44.16406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23.6640625" style="47" customWidth="1" collapsed="1"/>
    <col min="13" max="18" width="23.6640625" style="47" hidden="1" customWidth="1" outlineLevel="1"/>
    <col min="19" max="19" width="23.6640625" style="47" customWidth="1" collapsed="1"/>
    <col min="20" max="24" width="23.6640625" style="47" hidden="1" customWidth="1" outlineLevel="1"/>
    <col min="25" max="25" width="23.6640625" style="47" customWidth="1" collapsed="1"/>
    <col min="26" max="27" width="12.83203125" style="47"/>
    <col min="28" max="28" width="44.5" style="47" customWidth="1"/>
    <col min="29" max="16384" width="12.83203125" style="47"/>
  </cols>
  <sheetData>
    <row r="1" spans="1:28" ht="21" customHeight="1" x14ac:dyDescent="0.15">
      <c r="A1" s="39" t="s">
        <v>79</v>
      </c>
      <c r="B1" s="39" t="s">
        <v>80</v>
      </c>
      <c r="C1" s="39" t="s">
        <v>81</v>
      </c>
      <c r="D1" s="39" t="s">
        <v>127</v>
      </c>
      <c r="E1" s="39" t="s">
        <v>82</v>
      </c>
      <c r="F1" s="39" t="s">
        <v>83</v>
      </c>
      <c r="G1" s="40" t="s">
        <v>133</v>
      </c>
      <c r="H1" s="40" t="s">
        <v>139</v>
      </c>
      <c r="I1" s="40" t="s">
        <v>141</v>
      </c>
      <c r="J1" s="40" t="s">
        <v>140</v>
      </c>
      <c r="K1" s="40" t="s">
        <v>142</v>
      </c>
      <c r="L1" s="40" t="s">
        <v>134</v>
      </c>
      <c r="M1" s="40" t="s">
        <v>132</v>
      </c>
      <c r="N1" s="40" t="s">
        <v>135</v>
      </c>
      <c r="O1" s="40" t="s">
        <v>143</v>
      </c>
      <c r="P1" s="40" t="s">
        <v>144</v>
      </c>
      <c r="Q1" s="40" t="s">
        <v>145</v>
      </c>
      <c r="R1" s="40" t="s">
        <v>146</v>
      </c>
      <c r="S1" s="40" t="s">
        <v>136</v>
      </c>
      <c r="T1" s="40" t="s">
        <v>137</v>
      </c>
      <c r="U1" s="40" t="s">
        <v>147</v>
      </c>
      <c r="V1" s="40" t="s">
        <v>148</v>
      </c>
      <c r="W1" s="40" t="s">
        <v>149</v>
      </c>
      <c r="X1" s="40" t="s">
        <v>150</v>
      </c>
      <c r="Y1" s="40" t="s">
        <v>138</v>
      </c>
      <c r="Z1" s="40" t="s">
        <v>76</v>
      </c>
      <c r="AA1" s="40" t="s">
        <v>77</v>
      </c>
      <c r="AB1" s="40" t="s">
        <v>78</v>
      </c>
    </row>
    <row r="2" spans="1:28" ht="70" x14ac:dyDescent="0.15">
      <c r="A2" s="190">
        <v>30047001</v>
      </c>
      <c r="B2" s="150" t="s">
        <v>355</v>
      </c>
      <c r="C2" s="151">
        <v>3</v>
      </c>
      <c r="D2" s="151" t="s">
        <v>128</v>
      </c>
      <c r="E2" s="152" t="s">
        <v>315</v>
      </c>
      <c r="F2" s="152" t="s">
        <v>301</v>
      </c>
      <c r="G2" s="153" t="str">
        <f t="shared" ref="G2:G22" si="0">IFERROR(LEFT(B2,FIND("],",B2)),B2)</f>
        <v>[effect:enemy_message, val1:1.7, val2:0]</v>
      </c>
      <c r="H2" s="153">
        <f t="shared" ref="H2:H22" si="1">FIND("effect:",G2)+7</f>
        <v>9</v>
      </c>
      <c r="I2" s="153">
        <f t="shared" ref="I2:I22" si="2">IFERROR(FIND(",",G2),LEN(G2))</f>
        <v>22</v>
      </c>
      <c r="J2" s="153" t="e">
        <f t="shared" ref="J2:J22" si="3">FIND("target:",G2)+7</f>
        <v>#VALUE!</v>
      </c>
      <c r="K2" s="153">
        <f t="shared" ref="K2:K22" si="4">FIND(",",G2,I2+1)</f>
        <v>32</v>
      </c>
      <c r="L2" s="153" t="str">
        <f>IFERROR(VLOOKUP(MID(G2,J2,K2-J2),[6]skilldef!$C:$D,2,FALSE),"-") &amp; " / " &amp; IFERROR(VLOOKUP(MID(G2,H2,I2-H2),[6]skilldef!$A:$B,2,FALSE),"-")</f>
        <v>- / -</v>
      </c>
      <c r="M2" s="153" t="str">
        <f t="shared" ref="M2:M28" si="5">IFERROR(RIGHT(B2,LEN(B2)-FIND("],",B2)-1),"none")</f>
        <v>[effect:ability_lock, target:unit_all, turn:1],[effect:sleep, target:unit_all, turn:1, rate:1],[effect:fix_speed, target:myself, turn:1]</v>
      </c>
      <c r="N2" s="154" t="str">
        <f>IFERROR(LEFT(M2,FIND("],",M2)+S12),M2)</f>
        <v>[effect:ability_lock, target:unit_all, turn:1],[effect:sleep, target:unit_all, turn:1, rate:1],[effect:fix_speed, target:myself, turn:1]</v>
      </c>
      <c r="O2" s="153">
        <f t="shared" ref="O2:O28" si="6">FIND("effect:",N2)+7</f>
        <v>9</v>
      </c>
      <c r="P2" s="153">
        <f t="shared" ref="P2:P28" si="7">IFERROR(FIND(",",N2),LEN(N2))</f>
        <v>21</v>
      </c>
      <c r="Q2" s="153">
        <f t="shared" ref="Q2:Q28" si="8">FIND("target:",N2)+7</f>
        <v>30</v>
      </c>
      <c r="R2" s="153">
        <f t="shared" ref="R2:R28" si="9">FIND(",",N2,P2+1)</f>
        <v>38</v>
      </c>
      <c r="S2" s="153" t="str">
        <f>IFERROR(VLOOKUP(MID(N2,Q2,R2-Q2),[6]skilldef!$C:$D,2,FALSE),"-") &amp; " / " &amp; IFERROR(VLOOKUP(MID(N2,O2,P2-O2),[6]skilldef!$A:$B,2,FALSE),"-")</f>
        <v>味方全体に / -</v>
      </c>
      <c r="T2" s="154" t="str">
        <f t="shared" ref="T2:T28" si="10">IFERROR(RIGHT(M2,LEN(M2)-FIND("],",M2)-1),"none")</f>
        <v>[effect:sleep, target:unit_all, turn:1, rate:1],[effect:fix_speed, target:myself, turn:1]</v>
      </c>
      <c r="U2" s="153">
        <f t="shared" ref="U2:U28" si="11">FIND("effect:",T2)+7</f>
        <v>9</v>
      </c>
      <c r="V2" s="153">
        <f t="shared" ref="V2:V28" si="12">IFERROR(FIND(",",T2),LEN(T2))</f>
        <v>14</v>
      </c>
      <c r="W2" s="153">
        <f t="shared" ref="W2:W28" si="13">FIND("target:",T2)+7</f>
        <v>23</v>
      </c>
      <c r="X2" s="153">
        <f t="shared" ref="X2:X28" si="14">FIND(",",T2,V2+1)</f>
        <v>31</v>
      </c>
      <c r="Y2" s="153" t="str">
        <f>IFERROR(VLOOKUP(MID(T2,W2,X2-W2),[6]skilldef!$C:$D,2,FALSE),"-") &amp; " / " &amp; IFERROR(VLOOKUP(MID(T2,U2,V2-U2),[6]skilldef!$A:$B,2,FALSE),"-")</f>
        <v>味方全体に / スリープ</v>
      </c>
      <c r="Z2" s="151"/>
      <c r="AA2" s="155"/>
      <c r="AB2" s="151"/>
    </row>
    <row r="3" spans="1:28" ht="127" thickBot="1" x14ac:dyDescent="0.2">
      <c r="A3" s="156">
        <v>30047002</v>
      </c>
      <c r="B3" s="144" t="s">
        <v>356</v>
      </c>
      <c r="C3" s="145">
        <v>3</v>
      </c>
      <c r="D3" s="145" t="s">
        <v>128</v>
      </c>
      <c r="E3" s="146" t="s">
        <v>258</v>
      </c>
      <c r="F3" s="146" t="s">
        <v>316</v>
      </c>
      <c r="G3" s="147" t="str">
        <f t="shared" si="0"/>
        <v>[effect:enemy_message, val1:1.8, val2:3.1]</v>
      </c>
      <c r="H3" s="147">
        <f t="shared" si="1"/>
        <v>9</v>
      </c>
      <c r="I3" s="147">
        <f t="shared" si="2"/>
        <v>22</v>
      </c>
      <c r="J3" s="147" t="e">
        <f t="shared" si="3"/>
        <v>#VALUE!</v>
      </c>
      <c r="K3" s="147">
        <f t="shared" si="4"/>
        <v>32</v>
      </c>
      <c r="L3" s="147" t="str">
        <f>IFERROR(VLOOKUP(MID(G3,J3,K3-J3),[6]skilldef!$C:$D,2,FALSE),"-") &amp; " / " &amp; IFERROR(VLOOKUP(MID(G3,H3,I3-H3),[6]skilldef!$A:$B,2,FALSE),"-")</f>
        <v>- / -</v>
      </c>
      <c r="M3" s="147" t="str">
        <f t="shared" si="5"/>
        <v>[effect:force_change_block, new_block:block_heart, target:block_all, count:0, val:0, animation:change_block],[effect:change_panel_ratio, turn:-1, block_type:heal, val:0.3, animation:block_incidence04],[effect:suicide, target:myself, val:1, dead_type:escape]</v>
      </c>
      <c r="N3" s="148" t="str">
        <f>IFERROR(LEFT(M3,FIND("],",M3)+S13),M3)</f>
        <v>[effect:force_change_block, new_block:block_heart, target:block_all, count:0, val:0, animation:change_block],[effect:change_panel_ratio, turn:-1, block_type:heal, val:0.3, animation:block_incidence04],[effect:suicide, target:myself, val:1, dead_type:escape]</v>
      </c>
      <c r="O3" s="147">
        <f t="shared" si="6"/>
        <v>9</v>
      </c>
      <c r="P3" s="147">
        <f t="shared" si="7"/>
        <v>27</v>
      </c>
      <c r="Q3" s="147">
        <f t="shared" si="8"/>
        <v>59</v>
      </c>
      <c r="R3" s="147">
        <f t="shared" si="9"/>
        <v>50</v>
      </c>
      <c r="S3" s="147" t="str">
        <f>IFERROR(VLOOKUP(MID(N3,Q3,R3-Q3),[6]skilldef!$C:$D,2,FALSE),"-") &amp; " / " &amp; IFERROR(VLOOKUP(MID(N3,O3,P3-O3),[6]skilldef!$A:$B,2,FALSE),"-")</f>
        <v>- / -</v>
      </c>
      <c r="T3" s="148" t="str">
        <f t="shared" si="10"/>
        <v>[effect:change_panel_ratio, turn:-1, block_type:heal, val:0.3, animation:block_incidence04],[effect:suicide, target:myself, val:1, dead_type:escape]</v>
      </c>
      <c r="U3" s="147">
        <f t="shared" si="11"/>
        <v>9</v>
      </c>
      <c r="V3" s="147">
        <f t="shared" si="12"/>
        <v>27</v>
      </c>
      <c r="W3" s="147">
        <f t="shared" si="13"/>
        <v>117</v>
      </c>
      <c r="X3" s="147">
        <f t="shared" si="14"/>
        <v>36</v>
      </c>
      <c r="Y3" s="147" t="str">
        <f>IFERROR(VLOOKUP(MID(T3,W3,X3-W3),[6]skilldef!$C:$D,2,FALSE),"-") &amp; " / " &amp; IFERROR(VLOOKUP(MID(T3,U3,V3-U3),[6]skilldef!$A:$B,2,FALSE),"-")</f>
        <v>- / -</v>
      </c>
      <c r="Z3" s="145"/>
      <c r="AA3" s="149"/>
      <c r="AB3" s="145"/>
    </row>
    <row r="4" spans="1:28" ht="21" customHeight="1" x14ac:dyDescent="0.15">
      <c r="A4" s="167">
        <v>30047003</v>
      </c>
      <c r="B4" s="150" t="s">
        <v>321</v>
      </c>
      <c r="C4" s="151">
        <v>3</v>
      </c>
      <c r="D4" s="151" t="s">
        <v>128</v>
      </c>
      <c r="E4" s="152" t="s">
        <v>260</v>
      </c>
      <c r="F4" s="152" t="s">
        <v>280</v>
      </c>
      <c r="G4" s="153" t="str">
        <f t="shared" si="0"/>
        <v>[effect:enemy_message, val1:1.2, val2:2]</v>
      </c>
      <c r="H4" s="153">
        <f t="shared" si="1"/>
        <v>9</v>
      </c>
      <c r="I4" s="153">
        <f t="shared" si="2"/>
        <v>22</v>
      </c>
      <c r="J4" s="153" t="e">
        <f t="shared" si="3"/>
        <v>#VALUE!</v>
      </c>
      <c r="K4" s="153">
        <f t="shared" si="4"/>
        <v>32</v>
      </c>
      <c r="L4" s="153" t="str">
        <f>IFERROR(VLOOKUP(MID(G4,J4,K4-J4),[6]skilldef!$C:$D,2,FALSE),"-") &amp; " / " &amp; IFERROR(VLOOKUP(MID(G4,H4,I4-H4),[6]skilldef!$A:$B,2,FALSE),"-")</f>
        <v>- / -</v>
      </c>
      <c r="M4" s="153" t="str">
        <f t="shared" si="5"/>
        <v>[effect:force_change_block, new_block:damage, target:block_heart, color:block_blue, count:23, val:0.06, animation:change_block]</v>
      </c>
      <c r="N4" s="154" t="str">
        <f>IFERROR(LEFT(M4,FIND("],",M4)+S13),M4)</f>
        <v>[effect:force_change_block, new_block:damage, target:block_heart, color:block_blue, count:23, val:0.06, animation:change_block]</v>
      </c>
      <c r="O4" s="153">
        <f t="shared" si="6"/>
        <v>9</v>
      </c>
      <c r="P4" s="153">
        <f t="shared" si="7"/>
        <v>27</v>
      </c>
      <c r="Q4" s="153">
        <f t="shared" si="8"/>
        <v>54</v>
      </c>
      <c r="R4" s="153">
        <f t="shared" si="9"/>
        <v>45</v>
      </c>
      <c r="S4" s="153" t="str">
        <f>IFERROR(VLOOKUP(MID(N4,Q4,R4-Q4),[6]skilldef!$C:$D,2,FALSE),"-") &amp; " / " &amp; IFERROR(VLOOKUP(MID(N4,O4,P4-O4),[6]skilldef!$A:$B,2,FALSE),"-")</f>
        <v>- / -</v>
      </c>
      <c r="T4" s="154" t="str">
        <f t="shared" si="10"/>
        <v>none</v>
      </c>
      <c r="U4" s="153" t="e">
        <f t="shared" si="11"/>
        <v>#VALUE!</v>
      </c>
      <c r="V4" s="153">
        <f t="shared" si="12"/>
        <v>4</v>
      </c>
      <c r="W4" s="153" t="e">
        <f t="shared" si="13"/>
        <v>#VALUE!</v>
      </c>
      <c r="X4" s="153" t="e">
        <f t="shared" si="14"/>
        <v>#VALUE!</v>
      </c>
      <c r="Y4" s="153" t="str">
        <f>IFERROR(VLOOKUP(MID(T4,W4,X4-W4),[6]skilldef!$C:$D,2,FALSE),"-") &amp; " / " &amp; IFERROR(VLOOKUP(MID(T4,U4,V4-U4),[6]skilldef!$A:$B,2,FALSE),"-")</f>
        <v>- / -</v>
      </c>
      <c r="Z4" s="151"/>
      <c r="AA4" s="155"/>
      <c r="AB4" s="151"/>
    </row>
    <row r="5" spans="1:28" ht="21" customHeight="1" thickBot="1" x14ac:dyDescent="0.2">
      <c r="A5" s="168">
        <v>30047004</v>
      </c>
      <c r="B5" s="144" t="s">
        <v>322</v>
      </c>
      <c r="C5" s="145">
        <v>3</v>
      </c>
      <c r="D5" s="145" t="s">
        <v>128</v>
      </c>
      <c r="E5" s="146" t="s">
        <v>259</v>
      </c>
      <c r="F5" s="146" t="s">
        <v>303</v>
      </c>
      <c r="G5" s="147" t="str">
        <f t="shared" si="0"/>
        <v>[effect:enemy_message, val1:1.2, val2:1.9]</v>
      </c>
      <c r="H5" s="147">
        <f t="shared" si="1"/>
        <v>9</v>
      </c>
      <c r="I5" s="147">
        <f t="shared" si="2"/>
        <v>22</v>
      </c>
      <c r="J5" s="147" t="e">
        <f t="shared" si="3"/>
        <v>#VALUE!</v>
      </c>
      <c r="K5" s="147">
        <f t="shared" si="4"/>
        <v>32</v>
      </c>
      <c r="L5" s="147" t="str">
        <f>IFERROR(VLOOKUP(MID(G5,J5,K5-J5),[6]skilldef!$C:$D,2,FALSE),"-") &amp; " / " &amp; IFERROR(VLOOKUP(MID(G5,H5,I5-H5),[6]skilldef!$A:$B,2,FALSE),"-")</f>
        <v>- / -</v>
      </c>
      <c r="M5" s="147" t="str">
        <f t="shared" si="5"/>
        <v>[effect:damage_anti_color, target:unit_one, color:blue, val1:1, val2:0.7]</v>
      </c>
      <c r="N5" s="148" t="str">
        <f>IFERROR(LEFT(M5,FIND("],",M5)+S18),M5)</f>
        <v>[effect:damage_anti_color, target:unit_one, color:blue, val1:1, val2:0.7]</v>
      </c>
      <c r="O5" s="147">
        <f t="shared" si="6"/>
        <v>9</v>
      </c>
      <c r="P5" s="147">
        <f t="shared" si="7"/>
        <v>26</v>
      </c>
      <c r="Q5" s="147">
        <f t="shared" si="8"/>
        <v>35</v>
      </c>
      <c r="R5" s="147">
        <f t="shared" si="9"/>
        <v>43</v>
      </c>
      <c r="S5" s="147" t="str">
        <f>IFERROR(VLOOKUP(MID(N5,Q5,R5-Q5),[6]skilldef!$C:$D,2,FALSE),"-") &amp; " / " &amp; IFERROR(VLOOKUP(MID(N5,O5,P5-O5),[6]skilldef!$A:$B,2,FALSE),"-")</f>
        <v>味方単体に / 属性キラー</v>
      </c>
      <c r="T5" s="148" t="str">
        <f t="shared" si="10"/>
        <v>none</v>
      </c>
      <c r="U5" s="147" t="e">
        <f t="shared" si="11"/>
        <v>#VALUE!</v>
      </c>
      <c r="V5" s="147">
        <f t="shared" si="12"/>
        <v>4</v>
      </c>
      <c r="W5" s="147" t="e">
        <f t="shared" si="13"/>
        <v>#VALUE!</v>
      </c>
      <c r="X5" s="147" t="e">
        <f t="shared" si="14"/>
        <v>#VALUE!</v>
      </c>
      <c r="Y5" s="147" t="str">
        <f>IFERROR(VLOOKUP(MID(T5,W5,X5-W5),[6]skilldef!$C:$D,2,FALSE),"-") &amp; " / " &amp; IFERROR(VLOOKUP(MID(T5,U5,V5-U5),[6]skilldef!$A:$B,2,FALSE),"-")</f>
        <v>- / -</v>
      </c>
      <c r="Z5" s="145"/>
      <c r="AA5" s="149"/>
      <c r="AB5" s="145"/>
    </row>
    <row r="6" spans="1:28" ht="98" x14ac:dyDescent="0.15">
      <c r="A6" s="167">
        <v>30047005</v>
      </c>
      <c r="B6" s="150" t="s">
        <v>352</v>
      </c>
      <c r="C6" s="151">
        <v>3</v>
      </c>
      <c r="D6" s="151" t="s">
        <v>128</v>
      </c>
      <c r="E6" s="152" t="s">
        <v>261</v>
      </c>
      <c r="F6" s="152" t="s">
        <v>282</v>
      </c>
      <c r="G6" s="153" t="str">
        <f t="shared" si="0"/>
        <v>[effect:enemy_message, val1:1.2, val2:2.6]</v>
      </c>
      <c r="H6" s="153">
        <f t="shared" si="1"/>
        <v>9</v>
      </c>
      <c r="I6" s="153">
        <f t="shared" si="2"/>
        <v>22</v>
      </c>
      <c r="J6" s="153" t="e">
        <f t="shared" si="3"/>
        <v>#VALUE!</v>
      </c>
      <c r="K6" s="153">
        <f t="shared" si="4"/>
        <v>32</v>
      </c>
      <c r="L6" s="153" t="str">
        <f>IFERROR(VLOOKUP(MID(G6,J6,K6-J6),[6]skilldef!$C:$D,2,FALSE),"-") &amp; " / " &amp; IFERROR(VLOOKUP(MID(G6,H6,I6-H6),[6]skilldef!$A:$B,2,FALSE),"-")</f>
        <v>- / -</v>
      </c>
      <c r="M6" s="153" t="str">
        <f t="shared" si="5"/>
        <v>[effect:force_change_block, new_block:damage, target:block_heart, color:block_blue, count:5, val:0.06, animation:change_block],[effect:critical, val:0.7]</v>
      </c>
      <c r="N6" s="154" t="str">
        <f>IFERROR(LEFT(M6,FIND("],",M6)+S20),M6)</f>
        <v>[effect:force_change_block, new_block:damage, target:block_heart, color:block_blue, count:5, val:0.06, animation:change_block],[effect:critical, val:0.7]</v>
      </c>
      <c r="O6" s="153">
        <f t="shared" si="6"/>
        <v>9</v>
      </c>
      <c r="P6" s="153">
        <f t="shared" si="7"/>
        <v>27</v>
      </c>
      <c r="Q6" s="153">
        <f t="shared" si="8"/>
        <v>54</v>
      </c>
      <c r="R6" s="153">
        <f t="shared" si="9"/>
        <v>45</v>
      </c>
      <c r="S6" s="153" t="str">
        <f>IFERROR(VLOOKUP(MID(N6,Q6,R6-Q6),[6]skilldef!$C:$D,2,FALSE),"-") &amp; " / " &amp; IFERROR(VLOOKUP(MID(N6,O6,P6-O6),[6]skilldef!$A:$B,2,FALSE),"-")</f>
        <v>- / -</v>
      </c>
      <c r="T6" s="154" t="str">
        <f t="shared" si="10"/>
        <v>[effect:critical, val:0.7]</v>
      </c>
      <c r="U6" s="153">
        <f t="shared" si="11"/>
        <v>9</v>
      </c>
      <c r="V6" s="153">
        <f t="shared" si="12"/>
        <v>17</v>
      </c>
      <c r="W6" s="153" t="e">
        <f t="shared" si="13"/>
        <v>#VALUE!</v>
      </c>
      <c r="X6" s="153" t="e">
        <f t="shared" si="14"/>
        <v>#VALUE!</v>
      </c>
      <c r="Y6" s="153" t="str">
        <f>IFERROR(VLOOKUP(MID(T6,W6,X6-W6),[6]skilldef!$C:$D,2,FALSE),"-") &amp; " / " &amp; IFERROR(VLOOKUP(MID(T6,U6,V6-U6),[6]skilldef!$A:$B,2,FALSE),"-")</f>
        <v>- / 大攻撃</v>
      </c>
      <c r="Z6" s="151"/>
      <c r="AA6" s="155"/>
      <c r="AB6" s="151"/>
    </row>
    <row r="7" spans="1:28" ht="21" customHeight="1" thickBot="1" x14ac:dyDescent="0.2">
      <c r="A7" s="168">
        <v>30047006</v>
      </c>
      <c r="B7" s="144" t="s">
        <v>323</v>
      </c>
      <c r="C7" s="145">
        <v>3</v>
      </c>
      <c r="D7" s="145" t="s">
        <v>128</v>
      </c>
      <c r="E7" s="146" t="s">
        <v>262</v>
      </c>
      <c r="F7" s="146" t="s">
        <v>306</v>
      </c>
      <c r="G7" s="147" t="str">
        <f t="shared" si="0"/>
        <v>[effect:enemy_message, val1:1.2, val2:1.2]</v>
      </c>
      <c r="H7" s="147">
        <f t="shared" si="1"/>
        <v>9</v>
      </c>
      <c r="I7" s="147">
        <f t="shared" si="2"/>
        <v>22</v>
      </c>
      <c r="J7" s="147" t="e">
        <f t="shared" si="3"/>
        <v>#VALUE!</v>
      </c>
      <c r="K7" s="147">
        <f t="shared" si="4"/>
        <v>32</v>
      </c>
      <c r="L7" s="147" t="str">
        <f>IFERROR(VLOOKUP(MID(G7,J7,K7-J7),[6]skilldef!$C:$D,2,FALSE),"-") &amp; " / " &amp; IFERROR(VLOOKUP(MID(G7,H7,I7-H7),[6]skilldef!$A:$B,2,FALSE),"-")</f>
        <v>- / -</v>
      </c>
      <c r="M7" s="147" t="str">
        <f t="shared" si="5"/>
        <v>[effect:enhance_enemy, target:myself, turn:-1, status:attack, val:0.5, calc:mul, animation:enemy_enhance_attack]</v>
      </c>
      <c r="N7" s="148" t="str">
        <f>IFERROR(LEFT(M7,FIND("],",M7)+S22),M7)</f>
        <v>[effect:enhance_enemy, target:myself, turn:-1, status:attack, val:0.5, calc:mul, animation:enemy_enhance_attack]</v>
      </c>
      <c r="O7" s="147">
        <f t="shared" si="6"/>
        <v>9</v>
      </c>
      <c r="P7" s="147">
        <f t="shared" si="7"/>
        <v>22</v>
      </c>
      <c r="Q7" s="147">
        <f t="shared" si="8"/>
        <v>31</v>
      </c>
      <c r="R7" s="147">
        <f t="shared" si="9"/>
        <v>37</v>
      </c>
      <c r="S7" s="147" t="str">
        <f>IFERROR(VLOOKUP(MID(N7,Q7,R7-Q7),[6]skilldef!$C:$D,2,FALSE),"-") &amp; " / " &amp; IFERROR(VLOOKUP(MID(N7,O7,P7-O7),[6]skilldef!$A:$B,2,FALSE),"-")</f>
        <v>自分自身に / ステータス強化</v>
      </c>
      <c r="T7" s="148" t="str">
        <f t="shared" si="10"/>
        <v>none</v>
      </c>
      <c r="U7" s="147" t="e">
        <f t="shared" si="11"/>
        <v>#VALUE!</v>
      </c>
      <c r="V7" s="147">
        <f t="shared" si="12"/>
        <v>4</v>
      </c>
      <c r="W7" s="147" t="e">
        <f t="shared" si="13"/>
        <v>#VALUE!</v>
      </c>
      <c r="X7" s="147" t="e">
        <f t="shared" si="14"/>
        <v>#VALUE!</v>
      </c>
      <c r="Y7" s="147" t="str">
        <f>IFERROR(VLOOKUP(MID(T7,W7,X7-W7),[6]skilldef!$C:$D,2,FALSE),"-") &amp; " / " &amp; IFERROR(VLOOKUP(MID(T7,U7,V7-U7),[6]skilldef!$A:$B,2,FALSE),"-")</f>
        <v>- / -</v>
      </c>
      <c r="Z7" s="145"/>
      <c r="AA7" s="149"/>
      <c r="AB7" s="145"/>
    </row>
    <row r="8" spans="1:28" ht="21" customHeight="1" thickBot="1" x14ac:dyDescent="0.2">
      <c r="A8" s="160">
        <v>30047007</v>
      </c>
      <c r="B8" s="144" t="s">
        <v>324</v>
      </c>
      <c r="C8" s="145">
        <v>3</v>
      </c>
      <c r="D8" s="145" t="s">
        <v>128</v>
      </c>
      <c r="E8" s="146" t="s">
        <v>264</v>
      </c>
      <c r="F8" s="146" t="s">
        <v>263</v>
      </c>
      <c r="G8" s="147" t="str">
        <f t="shared" si="0"/>
        <v>[effect:enemy_message, val1:1.2, val2:1.2]</v>
      </c>
      <c r="H8" s="147">
        <f t="shared" si="1"/>
        <v>9</v>
      </c>
      <c r="I8" s="147">
        <f t="shared" si="2"/>
        <v>22</v>
      </c>
      <c r="J8" s="147" t="e">
        <f t="shared" si="3"/>
        <v>#VALUE!</v>
      </c>
      <c r="K8" s="147">
        <f t="shared" si="4"/>
        <v>32</v>
      </c>
      <c r="L8" s="147" t="str">
        <f>IFERROR(VLOOKUP(MID(G8,J8,K8-J8),[6]skilldef!$C:$D,2,FALSE),"-") &amp; " / " &amp; IFERROR(VLOOKUP(MID(G8,H8,I8-H8),[6]skilldef!$A:$B,2,FALSE),"-")</f>
        <v>- / -</v>
      </c>
      <c r="M8" s="147" t="str">
        <f t="shared" si="5"/>
        <v>[effect:critical, val:1.2]</v>
      </c>
      <c r="N8" s="148" t="str">
        <f>IFERROR(LEFT(M8,FIND("],",M8)+S28),M8)</f>
        <v>[effect:critical, val:1.2]</v>
      </c>
      <c r="O8" s="147">
        <f t="shared" si="6"/>
        <v>9</v>
      </c>
      <c r="P8" s="147">
        <f t="shared" si="7"/>
        <v>17</v>
      </c>
      <c r="Q8" s="147" t="e">
        <f t="shared" si="8"/>
        <v>#VALUE!</v>
      </c>
      <c r="R8" s="147" t="e">
        <f t="shared" si="9"/>
        <v>#VALUE!</v>
      </c>
      <c r="S8" s="147" t="str">
        <f>IFERROR(VLOOKUP(MID(N8,Q8,R8-Q8),[6]skilldef!$C:$D,2,FALSE),"-") &amp; " / " &amp; IFERROR(VLOOKUP(MID(N8,O8,P8-O8),[6]skilldef!$A:$B,2,FALSE),"-")</f>
        <v>- / 大攻撃</v>
      </c>
      <c r="T8" s="148" t="str">
        <f t="shared" si="10"/>
        <v>none</v>
      </c>
      <c r="U8" s="147" t="e">
        <f t="shared" si="11"/>
        <v>#VALUE!</v>
      </c>
      <c r="V8" s="147">
        <f t="shared" si="12"/>
        <v>4</v>
      </c>
      <c r="W8" s="147" t="e">
        <f t="shared" si="13"/>
        <v>#VALUE!</v>
      </c>
      <c r="X8" s="147" t="e">
        <f t="shared" si="14"/>
        <v>#VALUE!</v>
      </c>
      <c r="Y8" s="147" t="str">
        <f>IFERROR(VLOOKUP(MID(T8,W8,X8-W8),[6]skilldef!$C:$D,2,FALSE),"-") &amp; " / " &amp; IFERROR(VLOOKUP(MID(T8,U8,V8-U8),[6]skilldef!$A:$B,2,FALSE),"-")</f>
        <v>- / -</v>
      </c>
      <c r="Z8" s="145"/>
      <c r="AA8" s="149"/>
      <c r="AB8" s="145"/>
    </row>
    <row r="9" spans="1:28" ht="21" customHeight="1" x14ac:dyDescent="0.15">
      <c r="A9" s="159">
        <v>30047008</v>
      </c>
      <c r="B9" s="150" t="s">
        <v>325</v>
      </c>
      <c r="C9" s="151">
        <v>3</v>
      </c>
      <c r="D9" s="151" t="s">
        <v>128</v>
      </c>
      <c r="E9" s="152" t="s">
        <v>265</v>
      </c>
      <c r="F9" s="152" t="s">
        <v>320</v>
      </c>
      <c r="G9" s="153" t="str">
        <f t="shared" si="0"/>
        <v>[effect:enemy_message, val1:1.2, val2:1.7]</v>
      </c>
      <c r="H9" s="153">
        <f t="shared" si="1"/>
        <v>9</v>
      </c>
      <c r="I9" s="153">
        <f t="shared" si="2"/>
        <v>22</v>
      </c>
      <c r="J9" s="153" t="e">
        <f t="shared" si="3"/>
        <v>#VALUE!</v>
      </c>
      <c r="K9" s="153">
        <f t="shared" si="4"/>
        <v>32</v>
      </c>
      <c r="L9" s="153" t="str">
        <f>IFERROR(VLOOKUP(MID(G9,J9,K9-J9),[6]skilldef!$C:$D,2,FALSE),"-") &amp; " / " &amp; IFERROR(VLOOKUP(MID(G9,H9,I9-H9),[6]skilldef!$A:$B,2,FALSE),"-")</f>
        <v>- / -</v>
      </c>
      <c r="M9" s="153" t="str">
        <f t="shared" si="5"/>
        <v>[effect:enhance_enemy, target:myself, turn:-1, status:defense, val:53000000, calc:add, animation:enemy_enhance_defense],[effect:tolerance, target:myself, turn:-1, count:-1, tolerance_effect:all, animation:enemy_tolerance]</v>
      </c>
      <c r="N9" s="154" t="str">
        <f>IFERROR(LEFT(M9,FIND("],",M9)+S26),M9)</f>
        <v>[effect:enhance_enemy, target:myself, turn:-1, status:defense, val:53000000, calc:add, animation:enemy_enhance_defense],[effect:tolerance, target:myself, turn:-1, count:-1, tolerance_effect:all, animation:enemy_tolerance]</v>
      </c>
      <c r="O9" s="153">
        <f t="shared" si="6"/>
        <v>9</v>
      </c>
      <c r="P9" s="153">
        <f t="shared" si="7"/>
        <v>22</v>
      </c>
      <c r="Q9" s="153">
        <f t="shared" si="8"/>
        <v>31</v>
      </c>
      <c r="R9" s="153">
        <f t="shared" si="9"/>
        <v>37</v>
      </c>
      <c r="S9" s="153" t="str">
        <f>IFERROR(VLOOKUP(MID(N9,Q9,R9-Q9),[6]skilldef!$C:$D,2,FALSE),"-") &amp; " / " &amp; IFERROR(VLOOKUP(MID(N9,O9,P9-O9),[6]skilldef!$A:$B,2,FALSE),"-")</f>
        <v>自分自身に / ステータス強化</v>
      </c>
      <c r="T9" s="154" t="str">
        <f t="shared" si="10"/>
        <v>[effect:tolerance, target:myself, turn:-1, count:-1, tolerance_effect:all, animation:enemy_tolerance]</v>
      </c>
      <c r="U9" s="153">
        <f t="shared" si="11"/>
        <v>9</v>
      </c>
      <c r="V9" s="153">
        <f t="shared" si="12"/>
        <v>18</v>
      </c>
      <c r="W9" s="153">
        <f t="shared" si="13"/>
        <v>27</v>
      </c>
      <c r="X9" s="153">
        <f t="shared" si="14"/>
        <v>33</v>
      </c>
      <c r="Y9" s="153" t="str">
        <f>IFERROR(VLOOKUP(MID(T9,W9,X9-W9),[6]skilldef!$C:$D,2,FALSE),"-") &amp; " / " &amp; IFERROR(VLOOKUP(MID(T9,U9,V9-U9),[6]skilldef!$A:$B,2,FALSE),"-")</f>
        <v>自分自身に / 状態異常耐性</v>
      </c>
      <c r="Z9" s="151"/>
      <c r="AA9" s="155"/>
      <c r="AB9" s="151"/>
    </row>
    <row r="10" spans="1:28" ht="21" customHeight="1" x14ac:dyDescent="0.15">
      <c r="A10" s="159">
        <v>30047009</v>
      </c>
      <c r="B10" s="150" t="s">
        <v>326</v>
      </c>
      <c r="C10" s="151">
        <v>3</v>
      </c>
      <c r="D10" s="151" t="s">
        <v>128</v>
      </c>
      <c r="E10" s="152" t="s">
        <v>266</v>
      </c>
      <c r="F10" s="152" t="s">
        <v>279</v>
      </c>
      <c r="G10" s="153" t="str">
        <f t="shared" si="0"/>
        <v>[effect:enemy_message, val1:1.2, val2:1.9]</v>
      </c>
      <c r="H10" s="153">
        <f t="shared" si="1"/>
        <v>9</v>
      </c>
      <c r="I10" s="153">
        <f t="shared" si="2"/>
        <v>22</v>
      </c>
      <c r="J10" s="153" t="e">
        <f t="shared" si="3"/>
        <v>#VALUE!</v>
      </c>
      <c r="K10" s="153">
        <f t="shared" si="4"/>
        <v>32</v>
      </c>
      <c r="L10" s="153" t="str">
        <f>IFERROR(VLOOKUP(MID(G10,J10,K10-J10),[6]skilldef!$C:$D,2,FALSE),"-") &amp; " / " &amp; IFERROR(VLOOKUP(MID(G10,H10,I10-H10),[6]skilldef!$A:$B,2,FALSE),"-")</f>
        <v>- / -</v>
      </c>
      <c r="M10" s="153" t="str">
        <f t="shared" si="5"/>
        <v>[effect:force_change_block, new_block:damage, target:block_green, color:block_green, count:4, val:0.06, animation:change_block]</v>
      </c>
      <c r="N10" s="154" t="str">
        <f t="shared" ref="N10:N17" si="15">IFERROR(LEFT(M10,FIND("],",M10)+S28),M10)</f>
        <v>[effect:force_change_block, new_block:damage, target:block_green, color:block_green, count:4, val:0.06, animation:change_block]</v>
      </c>
      <c r="O10" s="153">
        <f t="shared" si="6"/>
        <v>9</v>
      </c>
      <c r="P10" s="153">
        <f t="shared" si="7"/>
        <v>27</v>
      </c>
      <c r="Q10" s="153">
        <f t="shared" si="8"/>
        <v>54</v>
      </c>
      <c r="R10" s="153">
        <f t="shared" si="9"/>
        <v>45</v>
      </c>
      <c r="S10" s="153" t="str">
        <f>IFERROR(VLOOKUP(MID(N10,Q10,R10-Q10),[6]skilldef!$C:$D,2,FALSE),"-") &amp; " / " &amp; IFERROR(VLOOKUP(MID(N10,O10,P10-O10),[6]skilldef!$A:$B,2,FALSE),"-")</f>
        <v>- / -</v>
      </c>
      <c r="T10" s="154" t="str">
        <f t="shared" si="10"/>
        <v>none</v>
      </c>
      <c r="U10" s="153" t="e">
        <f t="shared" si="11"/>
        <v>#VALUE!</v>
      </c>
      <c r="V10" s="153">
        <f t="shared" si="12"/>
        <v>4</v>
      </c>
      <c r="W10" s="153" t="e">
        <f t="shared" si="13"/>
        <v>#VALUE!</v>
      </c>
      <c r="X10" s="153" t="e">
        <f t="shared" si="14"/>
        <v>#VALUE!</v>
      </c>
      <c r="Y10" s="153" t="str">
        <f>IFERROR(VLOOKUP(MID(T10,W10,X10-W10),[6]skilldef!$C:$D,2,FALSE),"-") &amp; " / " &amp; IFERROR(VLOOKUP(MID(T10,U10,V10-U10),[6]skilldef!$A:$B,2,FALSE),"-")</f>
        <v>- / -</v>
      </c>
      <c r="Z10" s="151"/>
      <c r="AA10" s="155"/>
      <c r="AB10" s="151"/>
    </row>
    <row r="11" spans="1:28" ht="21" customHeight="1" x14ac:dyDescent="0.15">
      <c r="A11" s="159">
        <v>30047010</v>
      </c>
      <c r="B11" s="150" t="s">
        <v>327</v>
      </c>
      <c r="C11" s="151">
        <v>3</v>
      </c>
      <c r="D11" s="151" t="s">
        <v>128</v>
      </c>
      <c r="E11" s="152" t="s">
        <v>309</v>
      </c>
      <c r="F11" s="152" t="s">
        <v>304</v>
      </c>
      <c r="G11" s="153" t="str">
        <f t="shared" si="0"/>
        <v>[effect:enemy_message, val1:1.2, val2:1.4]</v>
      </c>
      <c r="H11" s="153">
        <f t="shared" si="1"/>
        <v>9</v>
      </c>
      <c r="I11" s="153">
        <f t="shared" si="2"/>
        <v>22</v>
      </c>
      <c r="J11" s="153" t="e">
        <f t="shared" si="3"/>
        <v>#VALUE!</v>
      </c>
      <c r="K11" s="153">
        <f t="shared" si="4"/>
        <v>32</v>
      </c>
      <c r="L11" s="153" t="str">
        <f>IFERROR(VLOOKUP(MID(G11,J11,K11-J11),[6]skilldef!$C:$D,2,FALSE),"-") &amp; " / " &amp; IFERROR(VLOOKUP(MID(G11,H11,I11-H11),[6]skilldef!$A:$B,2,FALSE),"-")</f>
        <v>- / -</v>
      </c>
      <c r="M11" s="153" t="str">
        <f t="shared" si="5"/>
        <v>[effect:enhance_enemy, target:enemy_red, turn:2, status:attack, val:0.5, calc:mul, animation:enemy_enhance_attack]</v>
      </c>
      <c r="N11" s="154" t="str">
        <f t="shared" si="15"/>
        <v>[effect:enhance_enemy, target:enemy_red, turn:2, status:attack, val:0.5, calc:mul, animation:enemy_enhance_attack]</v>
      </c>
      <c r="O11" s="153">
        <f t="shared" si="6"/>
        <v>9</v>
      </c>
      <c r="P11" s="153">
        <f t="shared" si="7"/>
        <v>22</v>
      </c>
      <c r="Q11" s="153">
        <f t="shared" si="8"/>
        <v>31</v>
      </c>
      <c r="R11" s="153">
        <f t="shared" si="9"/>
        <v>40</v>
      </c>
      <c r="S11" s="153" t="str">
        <f>IFERROR(VLOOKUP(MID(N11,Q11,R11-Q11),[6]skilldef!$C:$D,2,FALSE),"-") &amp; " / " &amp; IFERROR(VLOOKUP(MID(N11,O11,P11-O11),[6]skilldef!$A:$B,2,FALSE),"-")</f>
        <v>赤の敵に / ステータス強化</v>
      </c>
      <c r="T11" s="154" t="str">
        <f t="shared" si="10"/>
        <v>none</v>
      </c>
      <c r="U11" s="153" t="e">
        <f t="shared" si="11"/>
        <v>#VALUE!</v>
      </c>
      <c r="V11" s="153">
        <f t="shared" si="12"/>
        <v>4</v>
      </c>
      <c r="W11" s="153" t="e">
        <f t="shared" si="13"/>
        <v>#VALUE!</v>
      </c>
      <c r="X11" s="153" t="e">
        <f t="shared" si="14"/>
        <v>#VALUE!</v>
      </c>
      <c r="Y11" s="153" t="str">
        <f>IFERROR(VLOOKUP(MID(T11,W11,X11-W11),[6]skilldef!$C:$D,2,FALSE),"-") &amp; " / " &amp; IFERROR(VLOOKUP(MID(T11,U11,V11-U11),[6]skilldef!$A:$B,2,FALSE),"-")</f>
        <v>- / -</v>
      </c>
      <c r="Z11" s="151"/>
      <c r="AA11" s="155"/>
      <c r="AB11" s="151"/>
    </row>
    <row r="12" spans="1:28" ht="21" customHeight="1" x14ac:dyDescent="0.15">
      <c r="A12" s="159">
        <v>30047011</v>
      </c>
      <c r="B12" s="150" t="s">
        <v>328</v>
      </c>
      <c r="C12" s="151">
        <v>3</v>
      </c>
      <c r="D12" s="151" t="s">
        <v>128</v>
      </c>
      <c r="E12" s="152" t="s">
        <v>286</v>
      </c>
      <c r="F12" s="152" t="s">
        <v>305</v>
      </c>
      <c r="G12" s="153" t="str">
        <f t="shared" si="0"/>
        <v>[effect:enemy_message, val1:1.2, val2:2]</v>
      </c>
      <c r="H12" s="153">
        <f t="shared" si="1"/>
        <v>9</v>
      </c>
      <c r="I12" s="153">
        <f t="shared" si="2"/>
        <v>22</v>
      </c>
      <c r="J12" s="153" t="e">
        <f t="shared" si="3"/>
        <v>#VALUE!</v>
      </c>
      <c r="K12" s="153">
        <f t="shared" si="4"/>
        <v>32</v>
      </c>
      <c r="L12" s="153" t="str">
        <f>IFERROR(VLOOKUP(MID(G12,J12,K12-J12),[6]skilldef!$C:$D,2,FALSE),"-") &amp; " / " &amp; IFERROR(VLOOKUP(MID(G12,H12,I12-H12),[6]skilldef!$A:$B,2,FALSE),"-")</f>
        <v>- / -</v>
      </c>
      <c r="M12" s="153" t="str">
        <f t="shared" si="5"/>
        <v>[effect:degrade_unit, target:unit_all, turn:2, status:heal, val:0.5, calc:mul, animation:degrade_unit_all_heal]</v>
      </c>
      <c r="N12" s="154" t="str">
        <f t="shared" si="15"/>
        <v>[effect:degrade_unit, target:unit_all, turn:2, status:heal, val:0.5, calc:mul, animation:degrade_unit_all_heal]</v>
      </c>
      <c r="O12" s="153">
        <f t="shared" si="6"/>
        <v>9</v>
      </c>
      <c r="P12" s="153">
        <f t="shared" si="7"/>
        <v>21</v>
      </c>
      <c r="Q12" s="153">
        <f t="shared" si="8"/>
        <v>30</v>
      </c>
      <c r="R12" s="153">
        <f t="shared" si="9"/>
        <v>38</v>
      </c>
      <c r="S12" s="153" t="str">
        <f>IFERROR(VLOOKUP(MID(N12,Q12,R12-Q12),[6]skilldef!$C:$D,2,FALSE),"-") &amp; " / " &amp; IFERROR(VLOOKUP(MID(N12,O12,P12-O12),[6]skilldef!$A:$B,2,FALSE),"-")</f>
        <v>味方全体に / ステータスDOWN</v>
      </c>
      <c r="T12" s="154" t="str">
        <f t="shared" si="10"/>
        <v>none</v>
      </c>
      <c r="U12" s="153" t="e">
        <f t="shared" si="11"/>
        <v>#VALUE!</v>
      </c>
      <c r="V12" s="153">
        <f t="shared" si="12"/>
        <v>4</v>
      </c>
      <c r="W12" s="153" t="e">
        <f t="shared" si="13"/>
        <v>#VALUE!</v>
      </c>
      <c r="X12" s="153" t="e">
        <f t="shared" si="14"/>
        <v>#VALUE!</v>
      </c>
      <c r="Y12" s="153" t="str">
        <f>IFERROR(VLOOKUP(MID(T12,W12,X12-W12),[6]skilldef!$C:$D,2,FALSE),"-") &amp; " / " &amp; IFERROR(VLOOKUP(MID(T12,U12,V12-U12),[6]skilldef!$A:$B,2,FALSE),"-")</f>
        <v>- / -</v>
      </c>
      <c r="Z12" s="151"/>
      <c r="AA12" s="155"/>
      <c r="AB12" s="151"/>
    </row>
    <row r="13" spans="1:28" ht="21" customHeight="1" thickBot="1" x14ac:dyDescent="0.2">
      <c r="A13" s="160">
        <v>30047012</v>
      </c>
      <c r="B13" s="144" t="s">
        <v>329</v>
      </c>
      <c r="C13" s="145">
        <v>3</v>
      </c>
      <c r="D13" s="145" t="s">
        <v>128</v>
      </c>
      <c r="E13" s="146" t="s">
        <v>267</v>
      </c>
      <c r="F13" s="146" t="s">
        <v>359</v>
      </c>
      <c r="G13" s="147" t="str">
        <f t="shared" si="0"/>
        <v>[effect:enemy_message, val1:1.2, val2:1.2]</v>
      </c>
      <c r="H13" s="147">
        <f t="shared" si="1"/>
        <v>9</v>
      </c>
      <c r="I13" s="147">
        <f t="shared" si="2"/>
        <v>22</v>
      </c>
      <c r="J13" s="147" t="e">
        <f t="shared" si="3"/>
        <v>#VALUE!</v>
      </c>
      <c r="K13" s="147">
        <f t="shared" si="4"/>
        <v>32</v>
      </c>
      <c r="L13" s="147" t="str">
        <f>IFERROR(VLOOKUP(MID(G13,J13,K13-J13),[6]skilldef!$C:$D,2,FALSE),"-") &amp; " / " &amp; IFERROR(VLOOKUP(MID(G13,H13,I13-H13),[6]skilldef!$A:$B,2,FALSE),"-")</f>
        <v>- / -</v>
      </c>
      <c r="M13" s="147" t="str">
        <f t="shared" si="5"/>
        <v>[effect:suicide, target:myself, val:1, dead_type:suicide]</v>
      </c>
      <c r="N13" s="148" t="str">
        <f t="shared" si="15"/>
        <v>[effect:suicide, target:myself, val:1, dead_type:suicide]</v>
      </c>
      <c r="O13" s="147">
        <f t="shared" si="6"/>
        <v>9</v>
      </c>
      <c r="P13" s="147">
        <f t="shared" si="7"/>
        <v>16</v>
      </c>
      <c r="Q13" s="147">
        <f t="shared" si="8"/>
        <v>25</v>
      </c>
      <c r="R13" s="147">
        <f t="shared" si="9"/>
        <v>31</v>
      </c>
      <c r="S13" s="147" t="str">
        <f>IFERROR(VLOOKUP(MID(N13,Q13,R13-Q13),[6]skilldef!$C:$D,2,FALSE),"-") &amp; " / " &amp; IFERROR(VLOOKUP(MID(N13,O13,P13-O13),[6]skilldef!$A:$B,2,FALSE),"-")</f>
        <v>自分自身に / -</v>
      </c>
      <c r="T13" s="148" t="str">
        <f t="shared" si="10"/>
        <v>none</v>
      </c>
      <c r="U13" s="147" t="e">
        <f t="shared" si="11"/>
        <v>#VALUE!</v>
      </c>
      <c r="V13" s="147">
        <f t="shared" si="12"/>
        <v>4</v>
      </c>
      <c r="W13" s="147" t="e">
        <f t="shared" si="13"/>
        <v>#VALUE!</v>
      </c>
      <c r="X13" s="147" t="e">
        <f t="shared" si="14"/>
        <v>#VALUE!</v>
      </c>
      <c r="Y13" s="147" t="str">
        <f>IFERROR(VLOOKUP(MID(T13,W13,X13-W13),[6]skilldef!$C:$D,2,FALSE),"-") &amp; " / " &amp; IFERROR(VLOOKUP(MID(T13,U13,V13-U13),[6]skilldef!$A:$B,2,FALSE),"-")</f>
        <v>- / -</v>
      </c>
      <c r="Z13" s="145"/>
      <c r="AA13" s="149"/>
      <c r="AB13" s="145"/>
    </row>
    <row r="14" spans="1:28" ht="21" customHeight="1" x14ac:dyDescent="0.15">
      <c r="A14" s="188">
        <v>30047013</v>
      </c>
      <c r="B14" s="150" t="s">
        <v>330</v>
      </c>
      <c r="C14" s="151">
        <v>3</v>
      </c>
      <c r="D14" s="151" t="s">
        <v>128</v>
      </c>
      <c r="E14" s="152" t="s">
        <v>293</v>
      </c>
      <c r="F14" s="152" t="s">
        <v>276</v>
      </c>
      <c r="G14" s="153" t="str">
        <f t="shared" si="0"/>
        <v>[effect:enemy_message, val1:1.2, val2:1.9]</v>
      </c>
      <c r="H14" s="153">
        <f t="shared" si="1"/>
        <v>9</v>
      </c>
      <c r="I14" s="153">
        <f t="shared" si="2"/>
        <v>22</v>
      </c>
      <c r="J14" s="153" t="e">
        <f t="shared" si="3"/>
        <v>#VALUE!</v>
      </c>
      <c r="K14" s="153">
        <f t="shared" si="4"/>
        <v>32</v>
      </c>
      <c r="L14" s="153" t="str">
        <f>IFERROR(VLOOKUP(MID(G14,J14,K14-J14),[6]skilldef!$C:$D,2,FALSE),"-") &amp; " / " &amp; IFERROR(VLOOKUP(MID(G14,H14,I14-H14),[6]skilldef!$A:$B,2,FALSE),"-")</f>
        <v>- / -</v>
      </c>
      <c r="M14" s="153" t="str">
        <f t="shared" si="5"/>
        <v>[effect:force_change_block, new_block:damage, target:block_green, color:block_green, count:3, val:0.06, animation:change_block]</v>
      </c>
      <c r="N14" s="154" t="str">
        <f t="shared" si="15"/>
        <v>[effect:force_change_block, new_block:damage, target:block_green, color:block_green, count:3, val:0.06, animation:change_block]</v>
      </c>
      <c r="O14" s="153">
        <f t="shared" si="6"/>
        <v>9</v>
      </c>
      <c r="P14" s="153">
        <f t="shared" si="7"/>
        <v>27</v>
      </c>
      <c r="Q14" s="153">
        <f t="shared" si="8"/>
        <v>54</v>
      </c>
      <c r="R14" s="153">
        <f t="shared" si="9"/>
        <v>45</v>
      </c>
      <c r="S14" s="153" t="str">
        <f>IFERROR(VLOOKUP(MID(N14,Q14,R14-Q14),[6]skilldef!$C:$D,2,FALSE),"-") &amp; " / " &amp; IFERROR(VLOOKUP(MID(N14,O14,P14-O14),[6]skilldef!$A:$B,2,FALSE),"-")</f>
        <v>- / -</v>
      </c>
      <c r="T14" s="154" t="str">
        <f t="shared" si="10"/>
        <v>none</v>
      </c>
      <c r="U14" s="153" t="e">
        <f t="shared" si="11"/>
        <v>#VALUE!</v>
      </c>
      <c r="V14" s="153">
        <f t="shared" si="12"/>
        <v>4</v>
      </c>
      <c r="W14" s="153" t="e">
        <f t="shared" si="13"/>
        <v>#VALUE!</v>
      </c>
      <c r="X14" s="153" t="e">
        <f t="shared" si="14"/>
        <v>#VALUE!</v>
      </c>
      <c r="Y14" s="153" t="str">
        <f>IFERROR(VLOOKUP(MID(T14,W14,X14-W14),[6]skilldef!$C:$D,2,FALSE),"-") &amp; " / " &amp; IFERROR(VLOOKUP(MID(T14,U14,V14-U14),[6]skilldef!$A:$B,2,FALSE),"-")</f>
        <v>- / -</v>
      </c>
      <c r="Z14" s="151"/>
      <c r="AA14" s="155"/>
      <c r="AB14" s="151"/>
    </row>
    <row r="15" spans="1:28" ht="21" customHeight="1" x14ac:dyDescent="0.15">
      <c r="A15" s="159">
        <v>30047014</v>
      </c>
      <c r="B15" s="150" t="s">
        <v>331</v>
      </c>
      <c r="C15" s="151">
        <v>3</v>
      </c>
      <c r="D15" s="151" t="s">
        <v>128</v>
      </c>
      <c r="E15" s="152" t="s">
        <v>285</v>
      </c>
      <c r="F15" s="152" t="s">
        <v>313</v>
      </c>
      <c r="G15" s="153" t="str">
        <f t="shared" si="0"/>
        <v>[effect:enemy_message, val1:1.2, val2:2]</v>
      </c>
      <c r="H15" s="153">
        <f t="shared" si="1"/>
        <v>9</v>
      </c>
      <c r="I15" s="153">
        <f t="shared" si="2"/>
        <v>22</v>
      </c>
      <c r="J15" s="153" t="e">
        <f t="shared" si="3"/>
        <v>#VALUE!</v>
      </c>
      <c r="K15" s="153">
        <f t="shared" si="4"/>
        <v>32</v>
      </c>
      <c r="L15" s="153" t="str">
        <f>IFERROR(VLOOKUP(MID(G15,J15,K15-J15),[6]skilldef!$C:$D,2,FALSE),"-") &amp; " / " &amp; IFERROR(VLOOKUP(MID(G15,H15,I15-H15),[6]skilldef!$A:$B,2,FALSE),"-")</f>
        <v>- / -</v>
      </c>
      <c r="M15" s="153" t="str">
        <f t="shared" si="5"/>
        <v>[effect:break_attack, target:unit_one, val:0.1, lowest_val:5000, count:4, color:green, block01:damage]</v>
      </c>
      <c r="N15" s="154" t="str">
        <f t="shared" si="15"/>
        <v>[effect:break_attack, target:unit_one, val:0.1, lowest_val:5000, count:4, color:green, block01:damage]</v>
      </c>
      <c r="O15" s="153">
        <f t="shared" si="6"/>
        <v>9</v>
      </c>
      <c r="P15" s="153">
        <f t="shared" si="7"/>
        <v>21</v>
      </c>
      <c r="Q15" s="153">
        <f t="shared" si="8"/>
        <v>30</v>
      </c>
      <c r="R15" s="153">
        <f t="shared" si="9"/>
        <v>38</v>
      </c>
      <c r="S15" s="153" t="str">
        <f>IFERROR(VLOOKUP(MID(N15,Q15,R15-Q15),[6]skilldef!$C:$D,2,FALSE),"-") &amp; " / " &amp; IFERROR(VLOOKUP(MID(N15,O15,P15-O15),[6]skilldef!$A:$B,2,FALSE),"-")</f>
        <v>味方単体に / -</v>
      </c>
      <c r="T15" s="154" t="str">
        <f t="shared" si="10"/>
        <v>none</v>
      </c>
      <c r="U15" s="153" t="e">
        <f t="shared" si="11"/>
        <v>#VALUE!</v>
      </c>
      <c r="V15" s="153">
        <f t="shared" si="12"/>
        <v>4</v>
      </c>
      <c r="W15" s="153" t="e">
        <f t="shared" si="13"/>
        <v>#VALUE!</v>
      </c>
      <c r="X15" s="153" t="e">
        <f t="shared" si="14"/>
        <v>#VALUE!</v>
      </c>
      <c r="Y15" s="153" t="str">
        <f>IFERROR(VLOOKUP(MID(T15,W15,X15-W15),[6]skilldef!$C:$D,2,FALSE),"-") &amp; " / " &amp; IFERROR(VLOOKUP(MID(T15,U15,V15-U15),[6]skilldef!$A:$B,2,FALSE),"-")</f>
        <v>- / -</v>
      </c>
      <c r="Z15" s="151"/>
      <c r="AA15" s="155"/>
      <c r="AB15" s="151"/>
    </row>
    <row r="16" spans="1:28" ht="21" customHeight="1" x14ac:dyDescent="0.15">
      <c r="A16" s="159">
        <v>30047015</v>
      </c>
      <c r="B16" s="150" t="s">
        <v>332</v>
      </c>
      <c r="C16" s="151">
        <v>3</v>
      </c>
      <c r="D16" s="151" t="s">
        <v>128</v>
      </c>
      <c r="E16" s="152" t="s">
        <v>294</v>
      </c>
      <c r="F16" s="152" t="s">
        <v>277</v>
      </c>
      <c r="G16" s="153" t="str">
        <f t="shared" si="0"/>
        <v>[effect:enemy_message, val1:1.2, val2:1.9]</v>
      </c>
      <c r="H16" s="153">
        <f t="shared" si="1"/>
        <v>9</v>
      </c>
      <c r="I16" s="153">
        <f t="shared" si="2"/>
        <v>22</v>
      </c>
      <c r="J16" s="153" t="e">
        <f t="shared" si="3"/>
        <v>#VALUE!</v>
      </c>
      <c r="K16" s="153">
        <f t="shared" si="4"/>
        <v>32</v>
      </c>
      <c r="L16" s="153" t="str">
        <f>IFERROR(VLOOKUP(MID(G16,J16,K16-J16),[6]skilldef!$C:$D,2,FALSE),"-") &amp; " / " &amp; IFERROR(VLOOKUP(MID(G16,H16,I16-H16),[6]skilldef!$A:$B,2,FALSE),"-")</f>
        <v>- / -</v>
      </c>
      <c r="M16" s="153" t="str">
        <f t="shared" si="5"/>
        <v>[effect:force_change_block, new_block:damage, target:block_green, color:block_green, count:5, val:0.06, animation:change_block]</v>
      </c>
      <c r="N16" s="154" t="str">
        <f t="shared" si="15"/>
        <v>[effect:force_change_block, new_block:damage, target:block_green, color:block_green, count:5, val:0.06, animation:change_block]</v>
      </c>
      <c r="O16" s="153">
        <f t="shared" si="6"/>
        <v>9</v>
      </c>
      <c r="P16" s="153">
        <f t="shared" si="7"/>
        <v>27</v>
      </c>
      <c r="Q16" s="153">
        <f t="shared" si="8"/>
        <v>54</v>
      </c>
      <c r="R16" s="153">
        <f t="shared" si="9"/>
        <v>45</v>
      </c>
      <c r="S16" s="153" t="str">
        <f>IFERROR(VLOOKUP(MID(N16,Q16,R16-Q16),[6]skilldef!$C:$D,2,FALSE),"-") &amp; " / " &amp; IFERROR(VLOOKUP(MID(N16,O16,P16-O16),[6]skilldef!$A:$B,2,FALSE),"-")</f>
        <v>- / -</v>
      </c>
      <c r="T16" s="154" t="str">
        <f t="shared" si="10"/>
        <v>none</v>
      </c>
      <c r="U16" s="153" t="e">
        <f t="shared" si="11"/>
        <v>#VALUE!</v>
      </c>
      <c r="V16" s="153">
        <f t="shared" si="12"/>
        <v>4</v>
      </c>
      <c r="W16" s="153" t="e">
        <f t="shared" si="13"/>
        <v>#VALUE!</v>
      </c>
      <c r="X16" s="153" t="e">
        <f t="shared" si="14"/>
        <v>#VALUE!</v>
      </c>
      <c r="Y16" s="153" t="str">
        <f>IFERROR(VLOOKUP(MID(T16,W16,X16-W16),[6]skilldef!$C:$D,2,FALSE),"-") &amp; " / " &amp; IFERROR(VLOOKUP(MID(T16,U16,V16-U16),[6]skilldef!$A:$B,2,FALSE),"-")</f>
        <v>- / -</v>
      </c>
      <c r="Z16" s="151"/>
      <c r="AA16" s="155"/>
      <c r="AB16" s="151"/>
    </row>
    <row r="17" spans="1:28" ht="21" customHeight="1" thickBot="1" x14ac:dyDescent="0.2">
      <c r="A17" s="160">
        <v>30047016</v>
      </c>
      <c r="B17" s="144" t="s">
        <v>331</v>
      </c>
      <c r="C17" s="145">
        <v>3</v>
      </c>
      <c r="D17" s="145" t="s">
        <v>128</v>
      </c>
      <c r="E17" s="146" t="s">
        <v>285</v>
      </c>
      <c r="F17" s="146" t="s">
        <v>313</v>
      </c>
      <c r="G17" s="147" t="str">
        <f t="shared" si="0"/>
        <v>[effect:enemy_message, val1:1.2, val2:2]</v>
      </c>
      <c r="H17" s="147">
        <f t="shared" si="1"/>
        <v>9</v>
      </c>
      <c r="I17" s="147">
        <f t="shared" si="2"/>
        <v>22</v>
      </c>
      <c r="J17" s="147" t="e">
        <f t="shared" si="3"/>
        <v>#VALUE!</v>
      </c>
      <c r="K17" s="147">
        <f t="shared" si="4"/>
        <v>32</v>
      </c>
      <c r="L17" s="147" t="str">
        <f>IFERROR(VLOOKUP(MID(G17,J17,K17-J17),[6]skilldef!$C:$D,2,FALSE),"-") &amp; " / " &amp; IFERROR(VLOOKUP(MID(G17,H17,I17-H17),[6]skilldef!$A:$B,2,FALSE),"-")</f>
        <v>- / -</v>
      </c>
      <c r="M17" s="147" t="str">
        <f t="shared" si="5"/>
        <v>[effect:break_attack, target:unit_one, val:0.1, lowest_val:5000, count:4, color:green, block01:damage]</v>
      </c>
      <c r="N17" s="148" t="str">
        <f t="shared" si="15"/>
        <v>[effect:break_attack, target:unit_one, val:0.1, lowest_val:5000, count:4, color:green, block01:damage]</v>
      </c>
      <c r="O17" s="147">
        <f t="shared" si="6"/>
        <v>9</v>
      </c>
      <c r="P17" s="147">
        <f t="shared" si="7"/>
        <v>21</v>
      </c>
      <c r="Q17" s="147">
        <f t="shared" si="8"/>
        <v>30</v>
      </c>
      <c r="R17" s="147">
        <f t="shared" si="9"/>
        <v>38</v>
      </c>
      <c r="S17" s="147" t="str">
        <f>IFERROR(VLOOKUP(MID(N17,Q17,R17-Q17),[6]skilldef!$C:$D,2,FALSE),"-") &amp; " / " &amp; IFERROR(VLOOKUP(MID(N17,O17,P17-O17),[6]skilldef!$A:$B,2,FALSE),"-")</f>
        <v>味方単体に / -</v>
      </c>
      <c r="T17" s="154" t="str">
        <f t="shared" si="10"/>
        <v>none</v>
      </c>
      <c r="U17" s="153" t="e">
        <f t="shared" si="11"/>
        <v>#VALUE!</v>
      </c>
      <c r="V17" s="153">
        <f t="shared" si="12"/>
        <v>4</v>
      </c>
      <c r="W17" s="153" t="e">
        <f t="shared" si="13"/>
        <v>#VALUE!</v>
      </c>
      <c r="X17" s="153" t="e">
        <f t="shared" si="14"/>
        <v>#VALUE!</v>
      </c>
      <c r="Y17" s="147" t="str">
        <f>IFERROR(VLOOKUP(MID(T17,W17,X17-W17),[6]skilldef!$C:$D,2,FALSE),"-") &amp; " / " &amp; IFERROR(VLOOKUP(MID(T17,U17,V17-U17),[6]skilldef!$A:$B,2,FALSE),"-")</f>
        <v>- / -</v>
      </c>
      <c r="Z17" s="145"/>
      <c r="AA17" s="149"/>
      <c r="AB17" s="145"/>
    </row>
    <row r="18" spans="1:28" ht="21" customHeight="1" x14ac:dyDescent="0.15">
      <c r="A18" s="178">
        <v>30047017</v>
      </c>
      <c r="B18" s="184" t="s">
        <v>333</v>
      </c>
      <c r="C18" s="198">
        <v>3</v>
      </c>
      <c r="D18" s="198" t="s">
        <v>128</v>
      </c>
      <c r="E18" s="199" t="s">
        <v>290</v>
      </c>
      <c r="F18" s="199" t="s">
        <v>268</v>
      </c>
      <c r="G18" s="200" t="str">
        <f t="shared" si="0"/>
        <v>[effect:enemy_message, val1:1.2, val2:1.2]</v>
      </c>
      <c r="H18" s="200">
        <f t="shared" si="1"/>
        <v>9</v>
      </c>
      <c r="I18" s="200">
        <f t="shared" si="2"/>
        <v>22</v>
      </c>
      <c r="J18" s="200" t="e">
        <f t="shared" si="3"/>
        <v>#VALUE!</v>
      </c>
      <c r="K18" s="200">
        <f t="shared" si="4"/>
        <v>32</v>
      </c>
      <c r="L18" s="200" t="str">
        <f>IFERROR(VLOOKUP(MID(G18,J18,K18-J18),[6]skilldef!$C:$D,2,FALSE),"-") &amp; " / " &amp; IFERROR(VLOOKUP(MID(G18,H18,I18-H18),[6]skilldef!$A:$B,2,FALSE),"-")</f>
        <v>- / -</v>
      </c>
      <c r="M18" s="200" t="str">
        <f t="shared" si="5"/>
        <v>[effect:change_panel_ratio, turn:-1, block_type:blue, val:0.8, animation:block_incidence04]</v>
      </c>
      <c r="N18" s="185" t="str">
        <f>IFERROR(LEFT(M18,FIND("],",M18)+S32),M18)</f>
        <v>[effect:change_panel_ratio, turn:-1, block_type:blue, val:0.8, animation:block_incidence04]</v>
      </c>
      <c r="O18" s="200">
        <f t="shared" si="6"/>
        <v>9</v>
      </c>
      <c r="P18" s="200">
        <f t="shared" si="7"/>
        <v>27</v>
      </c>
      <c r="Q18" s="200" t="e">
        <f t="shared" si="8"/>
        <v>#VALUE!</v>
      </c>
      <c r="R18" s="200">
        <f t="shared" si="9"/>
        <v>36</v>
      </c>
      <c r="S18" s="200" t="str">
        <f>IFERROR(VLOOKUP(MID(N18,Q18,R18-Q18),[6]skilldef!$C:$D,2,FALSE),"-") &amp; " / " &amp; IFERROR(VLOOKUP(MID(N18,O18,P18-O18),[6]skilldef!$A:$B,2,FALSE),"-")</f>
        <v>- / -</v>
      </c>
      <c r="T18" s="154" t="str">
        <f t="shared" si="10"/>
        <v>none</v>
      </c>
      <c r="U18" s="153" t="e">
        <f t="shared" si="11"/>
        <v>#VALUE!</v>
      </c>
      <c r="V18" s="153">
        <f t="shared" si="12"/>
        <v>4</v>
      </c>
      <c r="W18" s="153" t="e">
        <f t="shared" si="13"/>
        <v>#VALUE!</v>
      </c>
      <c r="X18" s="153" t="e">
        <f t="shared" si="14"/>
        <v>#VALUE!</v>
      </c>
      <c r="Y18" s="200" t="str">
        <f>IFERROR(VLOOKUP(MID(T18,W18,X18-W18),[6]skilldef!$C:$D,2,FALSE),"-") &amp; " / " &amp; IFERROR(VLOOKUP(MID(T18,U18,V18-U18),[6]skilldef!$A:$B,2,FALSE),"-")</f>
        <v>- / -</v>
      </c>
      <c r="Z18" s="198"/>
      <c r="AA18" s="201"/>
      <c r="AB18" s="198"/>
    </row>
    <row r="19" spans="1:28" ht="21" customHeight="1" x14ac:dyDescent="0.15">
      <c r="A19" s="179">
        <v>30047018</v>
      </c>
      <c r="B19" s="150" t="s">
        <v>334</v>
      </c>
      <c r="C19" s="48">
        <v>3</v>
      </c>
      <c r="D19" s="48" t="s">
        <v>128</v>
      </c>
      <c r="E19" s="152" t="s">
        <v>335</v>
      </c>
      <c r="F19" s="152" t="s">
        <v>278</v>
      </c>
      <c r="G19" s="153" t="str">
        <f t="shared" si="0"/>
        <v>[effect:enemy_message, val1:1.2, val2:1.9]</v>
      </c>
      <c r="H19" s="153">
        <f t="shared" si="1"/>
        <v>9</v>
      </c>
      <c r="I19" s="153">
        <f t="shared" si="2"/>
        <v>22</v>
      </c>
      <c r="J19" s="153" t="e">
        <f t="shared" si="3"/>
        <v>#VALUE!</v>
      </c>
      <c r="K19" s="153">
        <f t="shared" si="4"/>
        <v>32</v>
      </c>
      <c r="L19" s="153" t="str">
        <f>IFERROR(VLOOKUP(MID(G19,J19,K19-J19),[6]skilldef!$C:$D,2,FALSE),"-") &amp; " / " &amp; IFERROR(VLOOKUP(MID(G19,H19,I19-H19),[6]skilldef!$A:$B,2,FALSE),"-")</f>
        <v>- / -</v>
      </c>
      <c r="M19" s="153" t="str">
        <f t="shared" si="5"/>
        <v>[effect:force_change_block, new_block:damage, target:block_blue, color:block_blue, count:3, val:0.1, animation:change_block]</v>
      </c>
      <c r="N19" s="154" t="str">
        <f>IFERROR(LEFT(M19,FIND("],",M19)+S32),M19)</f>
        <v>[effect:force_change_block, new_block:damage, target:block_blue, color:block_blue, count:3, val:0.1, animation:change_block]</v>
      </c>
      <c r="O19" s="153">
        <f t="shared" si="6"/>
        <v>9</v>
      </c>
      <c r="P19" s="153">
        <f t="shared" si="7"/>
        <v>27</v>
      </c>
      <c r="Q19" s="153">
        <f t="shared" si="8"/>
        <v>54</v>
      </c>
      <c r="R19" s="153">
        <f t="shared" si="9"/>
        <v>45</v>
      </c>
      <c r="S19" s="153" t="str">
        <f>IFERROR(VLOOKUP(MID(N19,Q19,R19-Q19),[6]skilldef!$C:$D,2,FALSE),"-") &amp; " / " &amp; IFERROR(VLOOKUP(MID(N19,O19,P19-O19),[6]skilldef!$A:$B,2,FALSE),"-")</f>
        <v>- / -</v>
      </c>
      <c r="T19" s="154" t="str">
        <f t="shared" si="10"/>
        <v>none</v>
      </c>
      <c r="U19" s="153" t="e">
        <f t="shared" si="11"/>
        <v>#VALUE!</v>
      </c>
      <c r="V19" s="153">
        <f t="shared" si="12"/>
        <v>4</v>
      </c>
      <c r="W19" s="153" t="e">
        <f t="shared" si="13"/>
        <v>#VALUE!</v>
      </c>
      <c r="X19" s="153" t="e">
        <f t="shared" si="14"/>
        <v>#VALUE!</v>
      </c>
      <c r="Y19" s="153" t="str">
        <f>IFERROR(VLOOKUP(MID(T19,W19,X19-W19),[6]skilldef!$C:$D,2,FALSE),"-") &amp; " / " &amp; IFERROR(VLOOKUP(MID(T19,U19,V19-U19),[6]skilldef!$A:$B,2,FALSE),"-")</f>
        <v>- / -</v>
      </c>
      <c r="Z19" s="151"/>
      <c r="AA19" s="155"/>
      <c r="AB19" s="151"/>
    </row>
    <row r="20" spans="1:28" ht="21" customHeight="1" x14ac:dyDescent="0.15">
      <c r="A20" s="179">
        <v>30047019</v>
      </c>
      <c r="B20" s="150" t="s">
        <v>337</v>
      </c>
      <c r="C20" s="151">
        <v>3</v>
      </c>
      <c r="D20" s="151" t="s">
        <v>128</v>
      </c>
      <c r="E20" s="152" t="s">
        <v>336</v>
      </c>
      <c r="F20" s="152" t="s">
        <v>284</v>
      </c>
      <c r="G20" s="153" t="str">
        <f t="shared" si="0"/>
        <v>[effect:enemy_message, val1:1.2, val2:1.2]</v>
      </c>
      <c r="H20" s="153">
        <f t="shared" si="1"/>
        <v>9</v>
      </c>
      <c r="I20" s="153">
        <f t="shared" si="2"/>
        <v>22</v>
      </c>
      <c r="J20" s="153" t="e">
        <f t="shared" si="3"/>
        <v>#VALUE!</v>
      </c>
      <c r="K20" s="153">
        <f t="shared" si="4"/>
        <v>32</v>
      </c>
      <c r="L20" s="153" t="str">
        <f>IFERROR(VLOOKUP(MID(G20,J20,K20-J20),[6]skilldef!$C:$D,2,FALSE),"-") &amp; " / " &amp; IFERROR(VLOOKUP(MID(G20,H20,I20-H20),[6]skilldef!$A:$B,2,FALSE),"-")</f>
        <v>- / -</v>
      </c>
      <c r="M20" s="153" t="str">
        <f t="shared" si="5"/>
        <v>[effect:rush, count:6, val:0.2]</v>
      </c>
      <c r="N20" s="154" t="str">
        <f>IFERROR(LEFT(M20,FIND("],",M20)+S33),M20)</f>
        <v>[effect:rush, count:6, val:0.2]</v>
      </c>
      <c r="O20" s="153">
        <f t="shared" si="6"/>
        <v>9</v>
      </c>
      <c r="P20" s="153">
        <f t="shared" si="7"/>
        <v>13</v>
      </c>
      <c r="Q20" s="153" t="e">
        <f t="shared" si="8"/>
        <v>#VALUE!</v>
      </c>
      <c r="R20" s="153">
        <f t="shared" si="9"/>
        <v>22</v>
      </c>
      <c r="S20" s="153" t="str">
        <f>IFERROR(VLOOKUP(MID(N20,Q20,R20-Q20),[6]skilldef!$C:$D,2,FALSE),"-") &amp; " / " &amp; IFERROR(VLOOKUP(MID(N20,O20,P20-O20),[6]skilldef!$A:$B,2,FALSE),"-")</f>
        <v>- / 連続攻撃</v>
      </c>
      <c r="T20" s="154" t="str">
        <f t="shared" si="10"/>
        <v>none</v>
      </c>
      <c r="U20" s="153" t="e">
        <f t="shared" si="11"/>
        <v>#VALUE!</v>
      </c>
      <c r="V20" s="153">
        <f t="shared" si="12"/>
        <v>4</v>
      </c>
      <c r="W20" s="153" t="e">
        <f t="shared" si="13"/>
        <v>#VALUE!</v>
      </c>
      <c r="X20" s="153" t="e">
        <f t="shared" si="14"/>
        <v>#VALUE!</v>
      </c>
      <c r="Y20" s="153" t="str">
        <f>IFERROR(VLOOKUP(MID(T20,W20,X20-W20),[6]skilldef!$C:$D,2,FALSE),"-") &amp; " / " &amp; IFERROR(VLOOKUP(MID(T20,U20,V20-U20),[6]skilldef!$A:$B,2,FALSE),"-")</f>
        <v>- / -</v>
      </c>
      <c r="Z20" s="151"/>
      <c r="AA20" s="155"/>
      <c r="AB20" s="151"/>
    </row>
    <row r="21" spans="1:28" ht="21" customHeight="1" x14ac:dyDescent="0.15">
      <c r="A21" s="157">
        <v>30047020</v>
      </c>
      <c r="B21" s="150" t="s">
        <v>357</v>
      </c>
      <c r="C21" s="48">
        <v>3</v>
      </c>
      <c r="D21" s="48" t="s">
        <v>128</v>
      </c>
      <c r="E21" s="152" t="s">
        <v>269</v>
      </c>
      <c r="F21" s="152" t="s">
        <v>283</v>
      </c>
      <c r="G21" s="153" t="str">
        <f t="shared" si="0"/>
        <v>[effect:enemy_message, val1:1.2, val2:2.4]</v>
      </c>
      <c r="H21" s="153">
        <f t="shared" si="1"/>
        <v>9</v>
      </c>
      <c r="I21" s="153">
        <f t="shared" si="2"/>
        <v>22</v>
      </c>
      <c r="J21" s="153" t="e">
        <f t="shared" si="3"/>
        <v>#VALUE!</v>
      </c>
      <c r="K21" s="153">
        <f t="shared" si="4"/>
        <v>32</v>
      </c>
      <c r="L21" s="153" t="str">
        <f>IFERROR(VLOOKUP(MID(G21,J21,K21-J21),[6]skilldef!$C:$D,2,FALSE),"-") &amp; " / " &amp; IFERROR(VLOOKUP(MID(G21,H21,I21-H21),[6]skilldef!$A:$B,2,FALSE),"-")</f>
        <v>- / -</v>
      </c>
      <c r="M21" s="153" t="str">
        <f t="shared" si="5"/>
        <v>[effect:force_change_block, new_block:damage, target:block_blue, color:block_blue, count:3, val:0.1, animation:change_block],[effect:critical, val:0.8]</v>
      </c>
      <c r="N21" s="154" t="str">
        <f>IFERROR(LEFT(M21,FIND("],",M21)+S34),M21)</f>
        <v>[effect:force_change_block, new_block:damage, target:block_blue, color:block_blue, count:3, val:0.1, animation:change_block],[effect:critical, val:0.8]</v>
      </c>
      <c r="O21" s="153">
        <f t="shared" si="6"/>
        <v>9</v>
      </c>
      <c r="P21" s="153">
        <f t="shared" si="7"/>
        <v>27</v>
      </c>
      <c r="Q21" s="153">
        <f t="shared" si="8"/>
        <v>54</v>
      </c>
      <c r="R21" s="153">
        <f t="shared" si="9"/>
        <v>45</v>
      </c>
      <c r="S21" s="153" t="str">
        <f>IFERROR(VLOOKUP(MID(N21,Q21,R21-Q21),[6]skilldef!$C:$D,2,FALSE),"-") &amp; " / " &amp; IFERROR(VLOOKUP(MID(N21,O21,P21-O21),[6]skilldef!$A:$B,2,FALSE),"-")</f>
        <v>- / -</v>
      </c>
      <c r="T21" s="154" t="str">
        <f t="shared" si="10"/>
        <v>[effect:critical, val:0.8]</v>
      </c>
      <c r="U21" s="153">
        <f t="shared" si="11"/>
        <v>9</v>
      </c>
      <c r="V21" s="153">
        <f t="shared" si="12"/>
        <v>17</v>
      </c>
      <c r="W21" s="153" t="e">
        <f t="shared" si="13"/>
        <v>#VALUE!</v>
      </c>
      <c r="X21" s="153" t="e">
        <f t="shared" si="14"/>
        <v>#VALUE!</v>
      </c>
      <c r="Y21" s="153" t="str">
        <f>IFERROR(VLOOKUP(MID(T21,W21,X21-W21),[6]skilldef!$C:$D,2,FALSE),"-") &amp; " / " &amp; IFERROR(VLOOKUP(MID(T21,U21,V21-U21),[6]skilldef!$A:$B,2,FALSE),"-")</f>
        <v>- / 大攻撃</v>
      </c>
      <c r="Z21" s="151"/>
      <c r="AA21" s="155"/>
      <c r="AB21" s="151"/>
    </row>
    <row r="22" spans="1:28" ht="21" customHeight="1" x14ac:dyDescent="0.15">
      <c r="A22" s="179">
        <v>30047021</v>
      </c>
      <c r="B22" s="150" t="s">
        <v>357</v>
      </c>
      <c r="C22" s="48">
        <v>3</v>
      </c>
      <c r="D22" s="48" t="s">
        <v>128</v>
      </c>
      <c r="E22" s="152" t="s">
        <v>269</v>
      </c>
      <c r="F22" s="152" t="s">
        <v>283</v>
      </c>
      <c r="G22" s="62" t="str">
        <f t="shared" si="0"/>
        <v>[effect:enemy_message, val1:1.2, val2:2.4]</v>
      </c>
      <c r="H22" s="62">
        <f t="shared" si="1"/>
        <v>9</v>
      </c>
      <c r="I22" s="62">
        <f t="shared" si="2"/>
        <v>22</v>
      </c>
      <c r="J22" s="62" t="e">
        <f t="shared" si="3"/>
        <v>#VALUE!</v>
      </c>
      <c r="K22" s="62">
        <f t="shared" si="4"/>
        <v>32</v>
      </c>
      <c r="L22" s="62" t="str">
        <f>IFERROR(VLOOKUP(MID(G22,J22,K22-J22),[6]skilldef!$C:$D,2,FALSE),"-") &amp; " / " &amp; IFERROR(VLOOKUP(MID(G22,H22,I22-H22),[6]skilldef!$A:$B,2,FALSE),"-")</f>
        <v>- / -</v>
      </c>
      <c r="M22" s="62" t="str">
        <f t="shared" si="5"/>
        <v>[effect:force_change_block, new_block:damage, target:block_blue, color:block_blue, count:3, val:0.1, animation:change_block],[effect:critical, val:0.8]</v>
      </c>
      <c r="N22" s="46" t="str">
        <f>IFERROR(LEFT(M22,FIND("],",M22)+S36),M22)</f>
        <v>[effect:force_change_block, new_block:damage, target:block_blue, color:block_blue, count:3, val:0.1, animation:change_block],[effect:critical, val:0.8]</v>
      </c>
      <c r="O22" s="62">
        <f t="shared" si="6"/>
        <v>9</v>
      </c>
      <c r="P22" s="62">
        <f t="shared" si="7"/>
        <v>27</v>
      </c>
      <c r="Q22" s="62">
        <f t="shared" si="8"/>
        <v>54</v>
      </c>
      <c r="R22" s="62">
        <f t="shared" si="9"/>
        <v>45</v>
      </c>
      <c r="S22" s="62" t="str">
        <f>IFERROR(VLOOKUP(MID(N22,Q22,R22-Q22),[6]skilldef!$C:$D,2,FALSE),"-") &amp; " / " &amp; IFERROR(VLOOKUP(MID(N22,O22,P22-O22),[6]skilldef!$A:$B,2,FALSE),"-")</f>
        <v>- / -</v>
      </c>
      <c r="T22" s="46" t="str">
        <f t="shared" si="10"/>
        <v>[effect:critical, val:0.8]</v>
      </c>
      <c r="U22" s="62">
        <f t="shared" si="11"/>
        <v>9</v>
      </c>
      <c r="V22" s="62">
        <f t="shared" si="12"/>
        <v>17</v>
      </c>
      <c r="W22" s="62" t="e">
        <f t="shared" si="13"/>
        <v>#VALUE!</v>
      </c>
      <c r="X22" s="62" t="e">
        <f t="shared" si="14"/>
        <v>#VALUE!</v>
      </c>
      <c r="Y22" s="62" t="str">
        <f>IFERROR(VLOOKUP(MID(T22,W22,X22-W22),[6]skilldef!$C:$D,2,FALSE),"-") &amp; " / " &amp; IFERROR(VLOOKUP(MID(T22,U22,V22-U22),[6]skilldef!$A:$B,2,FALSE),"-")</f>
        <v>- / 大攻撃</v>
      </c>
      <c r="Z22" s="48"/>
      <c r="AA22" s="50"/>
      <c r="AB22" s="48"/>
    </row>
    <row r="23" spans="1:28" ht="21" customHeight="1" thickBot="1" x14ac:dyDescent="0.2">
      <c r="A23" s="158">
        <v>30047022</v>
      </c>
      <c r="B23" s="144" t="s">
        <v>357</v>
      </c>
      <c r="C23" s="145">
        <v>3</v>
      </c>
      <c r="D23" s="145" t="s">
        <v>128</v>
      </c>
      <c r="E23" s="146" t="s">
        <v>269</v>
      </c>
      <c r="F23" s="146" t="s">
        <v>283</v>
      </c>
      <c r="G23" s="147"/>
      <c r="H23" s="147"/>
      <c r="I23" s="147"/>
      <c r="J23" s="147"/>
      <c r="K23" s="147"/>
      <c r="L23" s="147" t="str">
        <f>IFERROR(VLOOKUP(MID(G23,J23,K23-J23),[6]skilldef!$C:$D,2,FALSE),"-") &amp; " / " &amp; IFERROR(VLOOKUP(MID(G23,H23,I23-H23),[6]skilldef!$A:$B,2,FALSE),"-")</f>
        <v>- / -</v>
      </c>
      <c r="M23" s="147" t="str">
        <f t="shared" si="5"/>
        <v>[effect:force_change_block, new_block:damage, target:block_blue, color:block_blue, count:3, val:0.1, animation:change_block],[effect:critical, val:0.8]</v>
      </c>
      <c r="N23" s="148" t="str">
        <f>IFERROR(LEFT(M23,FIND("],",M23)+S36),M23)</f>
        <v>[effect:force_change_block, new_block:damage, target:block_blue, color:block_blue, count:3, val:0.1, animation:change_block],[effect:critical, val:0.8]</v>
      </c>
      <c r="O23" s="147">
        <f t="shared" si="6"/>
        <v>9</v>
      </c>
      <c r="P23" s="147">
        <f t="shared" si="7"/>
        <v>27</v>
      </c>
      <c r="Q23" s="147">
        <f t="shared" si="8"/>
        <v>54</v>
      </c>
      <c r="R23" s="147">
        <f t="shared" si="9"/>
        <v>45</v>
      </c>
      <c r="S23" s="147" t="str">
        <f>IFERROR(VLOOKUP(MID(N23,Q23,R23-Q23),[6]skilldef!$C:$D,2,FALSE),"-") &amp; " / " &amp; IFERROR(VLOOKUP(MID(N23,O23,P23-O23),[6]skilldef!$A:$B,2,FALSE),"-")</f>
        <v>- / -</v>
      </c>
      <c r="T23" s="148" t="str">
        <f t="shared" si="10"/>
        <v>[effect:critical, val:0.8]</v>
      </c>
      <c r="U23" s="147">
        <f t="shared" si="11"/>
        <v>9</v>
      </c>
      <c r="V23" s="147">
        <f t="shared" si="12"/>
        <v>17</v>
      </c>
      <c r="W23" s="147" t="e">
        <f t="shared" si="13"/>
        <v>#VALUE!</v>
      </c>
      <c r="X23" s="147" t="e">
        <f t="shared" si="14"/>
        <v>#VALUE!</v>
      </c>
      <c r="Y23" s="147" t="str">
        <f>IFERROR(VLOOKUP(MID(T23,W23,X23-W23),[6]skilldef!$C:$D,2,FALSE),"-") &amp; " / " &amp; IFERROR(VLOOKUP(MID(T23,U23,V23-U23),[6]skilldef!$A:$B,2,FALSE),"-")</f>
        <v>- / 大攻撃</v>
      </c>
      <c r="Z23" s="145"/>
      <c r="AA23" s="149"/>
      <c r="AB23" s="145"/>
    </row>
    <row r="24" spans="1:28" ht="21" customHeight="1" x14ac:dyDescent="0.15">
      <c r="A24" s="178">
        <v>30047023</v>
      </c>
      <c r="B24" s="184" t="s">
        <v>338</v>
      </c>
      <c r="C24" s="198">
        <v>3</v>
      </c>
      <c r="D24" s="198" t="s">
        <v>128</v>
      </c>
      <c r="E24" s="199" t="s">
        <v>275</v>
      </c>
      <c r="F24" s="199" t="s">
        <v>319</v>
      </c>
      <c r="G24" s="200"/>
      <c r="H24" s="200"/>
      <c r="I24" s="200"/>
      <c r="J24" s="200"/>
      <c r="K24" s="200"/>
      <c r="L24" s="153" t="str">
        <f>IFERROR(VLOOKUP(MID(G24,J24,K24-J24),[6]skilldef!$C:$D,2,FALSE),"-") &amp; " / " &amp; IFERROR(VLOOKUP(MID(G24,H24,I24-H24),[6]skilldef!$A:$B,2,FALSE),"-")</f>
        <v>- / -</v>
      </c>
      <c r="M24" s="153" t="str">
        <f t="shared" si="5"/>
        <v>[effect:tolerance, target:myself, turn:-1, count:-1, tolerance_effect:all, animation:enemy_tolerance]</v>
      </c>
      <c r="N24" s="154" t="str">
        <f>IFERROR(LEFT(M24,FIND("],",M24)+S37),M24)</f>
        <v>[effect:tolerance, target:myself, turn:-1, count:-1, tolerance_effect:all, animation:enemy_tolerance]</v>
      </c>
      <c r="O24" s="153">
        <f t="shared" si="6"/>
        <v>9</v>
      </c>
      <c r="P24" s="153">
        <f t="shared" si="7"/>
        <v>18</v>
      </c>
      <c r="Q24" s="153">
        <f t="shared" si="8"/>
        <v>27</v>
      </c>
      <c r="R24" s="153">
        <f t="shared" si="9"/>
        <v>33</v>
      </c>
      <c r="S24" s="153" t="str">
        <f>IFERROR(VLOOKUP(MID(N24,Q24,R24-Q24),[6]skilldef!$C:$D,2,FALSE),"-") &amp; " / " &amp; IFERROR(VLOOKUP(MID(N24,O24,P24-O24),[6]skilldef!$A:$B,2,FALSE),"-")</f>
        <v>自分自身に / 状態異常耐性</v>
      </c>
      <c r="T24" s="154" t="str">
        <f t="shared" si="10"/>
        <v>none</v>
      </c>
      <c r="U24" s="153" t="e">
        <f t="shared" si="11"/>
        <v>#VALUE!</v>
      </c>
      <c r="V24" s="153">
        <f t="shared" si="12"/>
        <v>4</v>
      </c>
      <c r="W24" s="153" t="e">
        <f t="shared" si="13"/>
        <v>#VALUE!</v>
      </c>
      <c r="X24" s="153" t="e">
        <f t="shared" si="14"/>
        <v>#VALUE!</v>
      </c>
      <c r="Y24" s="153" t="str">
        <f>IFERROR(VLOOKUP(MID(T24,W24,X24-W24),[6]skilldef!$C:$D,2,FALSE),"-") &amp; " / " &amp; IFERROR(VLOOKUP(MID(T24,U24,V24-U24),[6]skilldef!$A:$B,2,FALSE),"-")</f>
        <v>- / -</v>
      </c>
      <c r="Z24" s="198"/>
      <c r="AA24" s="201"/>
      <c r="AB24" s="198"/>
    </row>
    <row r="25" spans="1:28" ht="70" x14ac:dyDescent="0.15">
      <c r="A25" s="179">
        <v>30047024</v>
      </c>
      <c r="B25" s="150" t="s">
        <v>353</v>
      </c>
      <c r="C25" s="48">
        <v>3</v>
      </c>
      <c r="D25" s="48" t="s">
        <v>128</v>
      </c>
      <c r="E25" s="49" t="s">
        <v>339</v>
      </c>
      <c r="F25" s="152" t="s">
        <v>307</v>
      </c>
      <c r="G25" s="153"/>
      <c r="H25" s="153"/>
      <c r="I25" s="153"/>
      <c r="J25" s="153"/>
      <c r="K25" s="153"/>
      <c r="L25" s="153" t="str">
        <f>IFERROR(VLOOKUP(MID(G25,J25,K25-J25),[6]skilldef!$C:$D,2,FALSE),"-") &amp; " / " &amp; IFERROR(VLOOKUP(MID(G25,H25,I25-H25),[6]skilldef!$A:$B,2,FALSE),"-")</f>
        <v>- / -</v>
      </c>
      <c r="M25" s="153" t="str">
        <f t="shared" si="5"/>
        <v>[effect:degrade_unit, target:unit_all, turn:3, status:heal, val:0.5, calc:mul, animation:degrade_unit_all_heal],[effect:critical, val:0.8]</v>
      </c>
      <c r="N25" s="154" t="str">
        <f>IFERROR(LEFT(M25,FIND("],",M25)+S38),M25)</f>
        <v>[effect:degrade_unit, target:unit_all, turn:3, status:heal, val:0.5, calc:mul, animation:degrade_unit_all_heal],[effect:critical, val:0.8]</v>
      </c>
      <c r="O25" s="153">
        <f t="shared" si="6"/>
        <v>9</v>
      </c>
      <c r="P25" s="153">
        <f t="shared" si="7"/>
        <v>21</v>
      </c>
      <c r="Q25" s="153">
        <f t="shared" si="8"/>
        <v>30</v>
      </c>
      <c r="R25" s="153">
        <f t="shared" si="9"/>
        <v>38</v>
      </c>
      <c r="S25" s="153" t="str">
        <f>IFERROR(VLOOKUP(MID(N25,Q25,R25-Q25),[6]skilldef!$C:$D,2,FALSE),"-") &amp; " / " &amp; IFERROR(VLOOKUP(MID(N25,O25,P25-O25),[6]skilldef!$A:$B,2,FALSE),"-")</f>
        <v>味方全体に / ステータスDOWN</v>
      </c>
      <c r="T25" s="154" t="str">
        <f t="shared" si="10"/>
        <v>[effect:critical, val:0.8]</v>
      </c>
      <c r="U25" s="153">
        <f t="shared" si="11"/>
        <v>9</v>
      </c>
      <c r="V25" s="153">
        <f t="shared" si="12"/>
        <v>17</v>
      </c>
      <c r="W25" s="153" t="e">
        <f t="shared" si="13"/>
        <v>#VALUE!</v>
      </c>
      <c r="X25" s="153" t="e">
        <f t="shared" si="14"/>
        <v>#VALUE!</v>
      </c>
      <c r="Y25" s="153" t="str">
        <f>IFERROR(VLOOKUP(MID(T25,W25,X25-W25),[6]skilldef!$C:$D,2,FALSE),"-") &amp; " / " &amp; IFERROR(VLOOKUP(MID(T25,U25,V25-U25),[6]skilldef!$A:$B,2,FALSE),"-")</f>
        <v>- / 大攻撃</v>
      </c>
      <c r="Z25" s="151"/>
      <c r="AA25" s="155"/>
      <c r="AB25" s="151"/>
    </row>
    <row r="26" spans="1:28" ht="21" customHeight="1" x14ac:dyDescent="0.15">
      <c r="A26" s="179">
        <v>30047025</v>
      </c>
      <c r="B26" s="150" t="s">
        <v>340</v>
      </c>
      <c r="C26" s="151">
        <v>3</v>
      </c>
      <c r="D26" s="151" t="s">
        <v>128</v>
      </c>
      <c r="E26" s="152" t="s">
        <v>298</v>
      </c>
      <c r="F26" s="152" t="s">
        <v>312</v>
      </c>
      <c r="G26" s="153" t="str">
        <f>IFERROR(LEFT(B26,FIND("],",B26)),B26)</f>
        <v>[effect:enemy_message, val1:1.2, val2:1.5]</v>
      </c>
      <c r="H26" s="153">
        <f>FIND("effect:",G26)+7</f>
        <v>9</v>
      </c>
      <c r="I26" s="153">
        <f>IFERROR(FIND(",",G26),LEN(G26))</f>
        <v>22</v>
      </c>
      <c r="J26" s="153" t="e">
        <f>FIND("target:",G26)+7</f>
        <v>#VALUE!</v>
      </c>
      <c r="K26" s="153">
        <f>FIND(",",G26,I26+1)</f>
        <v>32</v>
      </c>
      <c r="L26" s="153" t="str">
        <f>IFERROR(VLOOKUP(MID(G26,J26,K26-J26),[6]skilldef!$C:$D,2,FALSE),"-") &amp; " / " &amp; IFERROR(VLOOKUP(MID(G26,H26,I26-H26),[6]skilldef!$A:$B,2,FALSE),"-")</f>
        <v>- / -</v>
      </c>
      <c r="M26" s="153" t="str">
        <f t="shared" si="5"/>
        <v>[effect:break_attack, target:unit_one, val:0.09, lowest_val:0, count:-1, color:blue, block01:block_red, block02:block_yellow, block03:block_green]</v>
      </c>
      <c r="N26" s="154" t="str">
        <f>IFERROR(LEFT(M26,FIND("],",M26)+S37),M26)</f>
        <v>[effect:break_attack, target:unit_one, val:0.09, lowest_val:0, count:-1, color:blue, block01:block_red, block02:block_yellow, block03:block_green]</v>
      </c>
      <c r="O26" s="153">
        <f t="shared" si="6"/>
        <v>9</v>
      </c>
      <c r="P26" s="153">
        <f t="shared" si="7"/>
        <v>21</v>
      </c>
      <c r="Q26" s="153">
        <f t="shared" si="8"/>
        <v>30</v>
      </c>
      <c r="R26" s="153">
        <f t="shared" si="9"/>
        <v>38</v>
      </c>
      <c r="S26" s="153" t="str">
        <f>IFERROR(VLOOKUP(MID(N26,Q26,R26-Q26),[6]skilldef!$C:$D,2,FALSE),"-") &amp; " / " &amp; IFERROR(VLOOKUP(MID(N26,O26,P26-O26),[6]skilldef!$A:$B,2,FALSE),"-")</f>
        <v>味方単体に / -</v>
      </c>
      <c r="T26" s="154" t="str">
        <f t="shared" si="10"/>
        <v>none</v>
      </c>
      <c r="U26" s="153" t="e">
        <f t="shared" si="11"/>
        <v>#VALUE!</v>
      </c>
      <c r="V26" s="153">
        <f t="shared" si="12"/>
        <v>4</v>
      </c>
      <c r="W26" s="153" t="e">
        <f t="shared" si="13"/>
        <v>#VALUE!</v>
      </c>
      <c r="X26" s="153" t="e">
        <f t="shared" si="14"/>
        <v>#VALUE!</v>
      </c>
      <c r="Y26" s="153" t="str">
        <f>IFERROR(VLOOKUP(MID(T26,W26,X26-W26),[6]skilldef!$C:$D,2,FALSE),"-") &amp; " / " &amp; IFERROR(VLOOKUP(MID(T26,U26,V26-U26),[6]skilldef!$A:$B,2,FALSE),"-")</f>
        <v>- / -</v>
      </c>
      <c r="Z26" s="151"/>
      <c r="AA26" s="155"/>
      <c r="AB26" s="151"/>
    </row>
    <row r="27" spans="1:28" ht="21" customHeight="1" x14ac:dyDescent="0.15">
      <c r="A27" s="179">
        <v>30047026</v>
      </c>
      <c r="B27" s="45" t="s">
        <v>360</v>
      </c>
      <c r="C27" s="48">
        <v>3</v>
      </c>
      <c r="D27" s="48" t="s">
        <v>128</v>
      </c>
      <c r="E27" s="49" t="s">
        <v>299</v>
      </c>
      <c r="F27" s="49" t="s">
        <v>308</v>
      </c>
      <c r="G27" s="62" t="str">
        <f>IFERROR(LEFT(B27,FIND("],",B27)),B27)</f>
        <v>[effect:enemy_message, val1:1.2, val2:1.9]</v>
      </c>
      <c r="H27" s="62">
        <f>FIND("effect:",G27)+7</f>
        <v>9</v>
      </c>
      <c r="I27" s="62">
        <f>IFERROR(FIND(",",G27),LEN(G27))</f>
        <v>22</v>
      </c>
      <c r="J27" s="62" t="e">
        <f>FIND("target:",G27)+7</f>
        <v>#VALUE!</v>
      </c>
      <c r="K27" s="62">
        <f>FIND(",",G27,I27+1)</f>
        <v>32</v>
      </c>
      <c r="L27" s="62" t="str">
        <f>IFERROR(VLOOKUP(MID(G27,J27,K27-J27),[6]skilldef!$C:$D,2,FALSE),"-") &amp; " / " &amp; IFERROR(VLOOKUP(MID(G27,H27,I27-H27),[6]skilldef!$A:$B,2,FALSE),"-")</f>
        <v>- / -</v>
      </c>
      <c r="M27" s="62" t="str">
        <f t="shared" si="5"/>
        <v>[effect:force_change_block, new_block:damage, target:block_blue, color:block_blue, count:5, val:0.1, animation:change_block]</v>
      </c>
      <c r="N27" s="46" t="str">
        <f>IFERROR(LEFT(M27,FIND("],",M27)+S37),M27)</f>
        <v>[effect:force_change_block, new_block:damage, target:block_blue, color:block_blue, count:5, val:0.1, animation:change_block]</v>
      </c>
      <c r="O27" s="62">
        <f t="shared" si="6"/>
        <v>9</v>
      </c>
      <c r="P27" s="62">
        <f t="shared" si="7"/>
        <v>27</v>
      </c>
      <c r="Q27" s="62">
        <f t="shared" si="8"/>
        <v>54</v>
      </c>
      <c r="R27" s="62">
        <f t="shared" si="9"/>
        <v>45</v>
      </c>
      <c r="S27" s="62" t="str">
        <f>IFERROR(VLOOKUP(MID(N27,Q27,R27-Q27),[6]skilldef!$C:$D,2,FALSE),"-") &amp; " / " &amp; IFERROR(VLOOKUP(MID(N27,O27,P27-O27),[6]skilldef!$A:$B,2,FALSE),"-")</f>
        <v>- / -</v>
      </c>
      <c r="T27" s="46" t="str">
        <f t="shared" si="10"/>
        <v>none</v>
      </c>
      <c r="U27" s="62" t="e">
        <f t="shared" si="11"/>
        <v>#VALUE!</v>
      </c>
      <c r="V27" s="62">
        <f t="shared" si="12"/>
        <v>4</v>
      </c>
      <c r="W27" s="62" t="e">
        <f t="shared" si="13"/>
        <v>#VALUE!</v>
      </c>
      <c r="X27" s="62" t="e">
        <f t="shared" si="14"/>
        <v>#VALUE!</v>
      </c>
      <c r="Y27" s="62" t="str">
        <f>IFERROR(VLOOKUP(MID(T27,W27,X27-W27),[6]skilldef!$C:$D,2,FALSE),"-") &amp; " / " &amp; IFERROR(VLOOKUP(MID(T27,U27,V27-U27),[6]skilldef!$A:$B,2,FALSE),"-")</f>
        <v>- / -</v>
      </c>
      <c r="Z27" s="48"/>
      <c r="AA27" s="50"/>
      <c r="AB27" s="48"/>
    </row>
    <row r="28" spans="1:28" ht="21" customHeight="1" thickBot="1" x14ac:dyDescent="0.2">
      <c r="A28" s="202">
        <v>30047027</v>
      </c>
      <c r="B28" s="172" t="s">
        <v>361</v>
      </c>
      <c r="C28" s="203">
        <v>3</v>
      </c>
      <c r="D28" s="203" t="s">
        <v>128</v>
      </c>
      <c r="E28" s="204" t="s">
        <v>342</v>
      </c>
      <c r="F28" s="204" t="s">
        <v>302</v>
      </c>
      <c r="G28" s="205" t="str">
        <f>IFERROR(LEFT(B28,FIND("],",B28)),B28)</f>
        <v>[effect:enemy_message, val1:1.2, val2:0 dead_type:suicide]</v>
      </c>
      <c r="H28" s="205">
        <f>FIND("effect:",G28)+7</f>
        <v>9</v>
      </c>
      <c r="I28" s="205">
        <f>IFERROR(FIND(",",G28),LEN(G28))</f>
        <v>22</v>
      </c>
      <c r="J28" s="205" t="e">
        <f>FIND("target:",G28)+7</f>
        <v>#VALUE!</v>
      </c>
      <c r="K28" s="205">
        <f>FIND(",",G28,I28+1)</f>
        <v>32</v>
      </c>
      <c r="L28" s="205" t="str">
        <f>IFERROR(VLOOKUP(MID(G28,J28,K28-J28),[6]skilldef!$C:$D,2,FALSE),"-") &amp; " / " &amp; IFERROR(VLOOKUP(MID(G28,H28,I28-H28),[6]skilldef!$A:$B,2,FALSE),"-")</f>
        <v>- / -</v>
      </c>
      <c r="M28" s="205" t="str">
        <f t="shared" si="5"/>
        <v>none</v>
      </c>
      <c r="N28" s="173" t="str">
        <f>IFERROR(LEFT(M28,FIND("],",M28)+S38),M28)</f>
        <v>none</v>
      </c>
      <c r="O28" s="205" t="e">
        <f t="shared" si="6"/>
        <v>#VALUE!</v>
      </c>
      <c r="P28" s="205">
        <f t="shared" si="7"/>
        <v>4</v>
      </c>
      <c r="Q28" s="205" t="e">
        <f t="shared" si="8"/>
        <v>#VALUE!</v>
      </c>
      <c r="R28" s="205" t="e">
        <f t="shared" si="9"/>
        <v>#VALUE!</v>
      </c>
      <c r="S28" s="205" t="str">
        <f>IFERROR(VLOOKUP(MID(N28,Q28,R28-Q28),[6]skilldef!$C:$D,2,FALSE),"-") &amp; " / " &amp; IFERROR(VLOOKUP(MID(N28,O28,P28-O28),[6]skilldef!$A:$B,2,FALSE),"-")</f>
        <v>- / -</v>
      </c>
      <c r="T28" s="173" t="str">
        <f t="shared" si="10"/>
        <v>none</v>
      </c>
      <c r="U28" s="205" t="e">
        <f t="shared" si="11"/>
        <v>#VALUE!</v>
      </c>
      <c r="V28" s="205">
        <f t="shared" si="12"/>
        <v>4</v>
      </c>
      <c r="W28" s="205" t="e">
        <f t="shared" si="13"/>
        <v>#VALUE!</v>
      </c>
      <c r="X28" s="205" t="e">
        <f t="shared" si="14"/>
        <v>#VALUE!</v>
      </c>
      <c r="Y28" s="205" t="str">
        <f>IFERROR(VLOOKUP(MID(T28,W28,X28-W28),[6]skilldef!$C:$D,2,FALSE),"-") &amp; " / " &amp; IFERROR(VLOOKUP(MID(T28,U28,V28-U28),[6]skilldef!$A:$B,2,FALSE),"-")</f>
        <v>- / -</v>
      </c>
      <c r="Z28" s="203"/>
      <c r="AA28" s="206"/>
      <c r="AB28" s="203"/>
    </row>
    <row r="29" spans="1:28" ht="21" customHeight="1" x14ac:dyDescent="0.15">
      <c r="A29" s="190">
        <v>30047028</v>
      </c>
      <c r="B29" s="150" t="s">
        <v>351</v>
      </c>
      <c r="C29" s="151">
        <v>3</v>
      </c>
      <c r="D29" s="151" t="s">
        <v>128</v>
      </c>
      <c r="E29" s="152" t="s">
        <v>315</v>
      </c>
      <c r="F29" s="152" t="s">
        <v>301</v>
      </c>
      <c r="G29" s="153" t="str">
        <f t="shared" ref="G29:G49" si="16">IFERROR(LEFT(B29,FIND("],",B29)),B29)</f>
        <v>[effect:enemy_message, val1:1.7, val2:0]</v>
      </c>
      <c r="H29" s="153">
        <f t="shared" ref="H29:H49" si="17">FIND("effect:",G29)+7</f>
        <v>9</v>
      </c>
      <c r="I29" s="153">
        <f t="shared" ref="I29:I49" si="18">IFERROR(FIND(",",G29),LEN(G29))</f>
        <v>22</v>
      </c>
      <c r="J29" s="153" t="e">
        <f t="shared" ref="J29:J49" si="19">FIND("target:",G29)+7</f>
        <v>#VALUE!</v>
      </c>
      <c r="K29" s="153">
        <f t="shared" ref="K29:K49" si="20">FIND(",",G29,I29+1)</f>
        <v>32</v>
      </c>
      <c r="L29" s="153" t="str">
        <f>IFERROR(VLOOKUP(MID(G29,J29,K29-J29),[6]skilldef!$C:$D,2,FALSE),"-") &amp; " / " &amp; IFERROR(VLOOKUP(MID(G29,H29,I29-H29),[6]skilldef!$A:$B,2,FALSE),"-")</f>
        <v>- / -</v>
      </c>
      <c r="M29" s="153" t="str">
        <f t="shared" ref="M29:M82" si="21">IFERROR(RIGHT(B29,LEN(B29)-FIND("],",B29)-1),"none")</f>
        <v>[effect:ability_lock, target:unit_all, turn:1],[effect:sleep, target:unit_all, turn:1, rate:1],[effect:fix_speed, target:myself, turn:1]</v>
      </c>
      <c r="N29" s="154" t="str">
        <f>IFERROR(LEFT(M29,FIND("],",M29)+S39),M29)</f>
        <v>[effect:ability_lock, target:unit_all, turn:1],[effect:sleep, target:unit_all, turn:1, rate:1],[effect:fix_speed, target:myself, turn:1]</v>
      </c>
      <c r="O29" s="153">
        <f t="shared" ref="O29:O82" si="22">FIND("effect:",N29)+7</f>
        <v>9</v>
      </c>
      <c r="P29" s="153">
        <f t="shared" ref="P29:P82" si="23">IFERROR(FIND(",",N29),LEN(N29))</f>
        <v>21</v>
      </c>
      <c r="Q29" s="153">
        <f t="shared" ref="Q29:Q82" si="24">FIND("target:",N29)+7</f>
        <v>30</v>
      </c>
      <c r="R29" s="153">
        <f t="shared" ref="R29:R82" si="25">FIND(",",N29,P29+1)</f>
        <v>38</v>
      </c>
      <c r="S29" s="153" t="str">
        <f>IFERROR(VLOOKUP(MID(N29,Q29,R29-Q29),[6]skilldef!$C:$D,2,FALSE),"-") &amp; " / " &amp; IFERROR(VLOOKUP(MID(N29,O29,P29-O29),[6]skilldef!$A:$B,2,FALSE),"-")</f>
        <v>味方全体に / -</v>
      </c>
      <c r="T29" s="154" t="str">
        <f t="shared" ref="T29:T82" si="26">IFERROR(RIGHT(M29,LEN(M29)-FIND("],",M29)-1),"none")</f>
        <v>[effect:sleep, target:unit_all, turn:1, rate:1],[effect:fix_speed, target:myself, turn:1]</v>
      </c>
      <c r="U29" s="153">
        <f t="shared" ref="U29:U82" si="27">FIND("effect:",T29)+7</f>
        <v>9</v>
      </c>
      <c r="V29" s="153">
        <f t="shared" ref="V29:V82" si="28">IFERROR(FIND(",",T29),LEN(T29))</f>
        <v>14</v>
      </c>
      <c r="W29" s="153">
        <f t="shared" ref="W29:W82" si="29">FIND("target:",T29)+7</f>
        <v>23</v>
      </c>
      <c r="X29" s="153">
        <f t="shared" ref="X29:X82" si="30">FIND(",",T29,V29+1)</f>
        <v>31</v>
      </c>
      <c r="Y29" s="153" t="str">
        <f>IFERROR(VLOOKUP(MID(T29,W29,X29-W29),[6]skilldef!$C:$D,2,FALSE),"-") &amp; " / " &amp; IFERROR(VLOOKUP(MID(T29,U29,V29-U29),[6]skilldef!$A:$B,2,FALSE),"-")</f>
        <v>味方全体に / スリープ</v>
      </c>
      <c r="Z29" s="151"/>
      <c r="AA29" s="155"/>
      <c r="AB29" s="151"/>
    </row>
    <row r="30" spans="1:28" ht="21" customHeight="1" thickBot="1" x14ac:dyDescent="0.2">
      <c r="A30" s="156">
        <v>30047029</v>
      </c>
      <c r="B30" s="144" t="s">
        <v>356</v>
      </c>
      <c r="C30" s="145">
        <v>3</v>
      </c>
      <c r="D30" s="145" t="s">
        <v>128</v>
      </c>
      <c r="E30" s="146" t="s">
        <v>258</v>
      </c>
      <c r="F30" s="146" t="s">
        <v>316</v>
      </c>
      <c r="G30" s="147" t="str">
        <f t="shared" si="16"/>
        <v>[effect:enemy_message, val1:1.8, val2:3.1]</v>
      </c>
      <c r="H30" s="147">
        <f t="shared" si="17"/>
        <v>9</v>
      </c>
      <c r="I30" s="147">
        <f t="shared" si="18"/>
        <v>22</v>
      </c>
      <c r="J30" s="147" t="e">
        <f t="shared" si="19"/>
        <v>#VALUE!</v>
      </c>
      <c r="K30" s="147">
        <f t="shared" si="20"/>
        <v>32</v>
      </c>
      <c r="L30" s="147" t="str">
        <f>IFERROR(VLOOKUP(MID(G30,J30,K30-J30),[6]skilldef!$C:$D,2,FALSE),"-") &amp; " / " &amp; IFERROR(VLOOKUP(MID(G30,H30,I30-H30),[6]skilldef!$A:$B,2,FALSE),"-")</f>
        <v>- / -</v>
      </c>
      <c r="M30" s="147" t="str">
        <f t="shared" si="21"/>
        <v>[effect:force_change_block, new_block:block_heart, target:block_all, count:0, val:0, animation:change_block],[effect:change_panel_ratio, turn:-1, block_type:heal, val:0.3, animation:block_incidence04],[effect:suicide, target:myself, val:1, dead_type:escape]</v>
      </c>
      <c r="N30" s="148" t="str">
        <f>IFERROR(LEFT(M30,FIND("],",M30)+S40),M30)</f>
        <v>[effect:force_change_block, new_block:block_heart, target:block_all, count:0, val:0, animation:change_block],[effect:change_panel_ratio, turn:-1, block_type:heal, val:0.3, animation:block_incidence04],[effect:suicide, target:myself, val:1, dead_type:escape]</v>
      </c>
      <c r="O30" s="147">
        <f t="shared" si="22"/>
        <v>9</v>
      </c>
      <c r="P30" s="147">
        <f t="shared" si="23"/>
        <v>27</v>
      </c>
      <c r="Q30" s="147">
        <f t="shared" si="24"/>
        <v>59</v>
      </c>
      <c r="R30" s="147">
        <f t="shared" si="25"/>
        <v>50</v>
      </c>
      <c r="S30" s="147" t="str">
        <f>IFERROR(VLOOKUP(MID(N30,Q30,R30-Q30),[6]skilldef!$C:$D,2,FALSE),"-") &amp; " / " &amp; IFERROR(VLOOKUP(MID(N30,O30,P30-O30),[6]skilldef!$A:$B,2,FALSE),"-")</f>
        <v>- / -</v>
      </c>
      <c r="T30" s="148" t="str">
        <f t="shared" si="26"/>
        <v>[effect:change_panel_ratio, turn:-1, block_type:heal, val:0.3, animation:block_incidence04],[effect:suicide, target:myself, val:1, dead_type:escape]</v>
      </c>
      <c r="U30" s="147">
        <f t="shared" si="27"/>
        <v>9</v>
      </c>
      <c r="V30" s="147">
        <f t="shared" si="28"/>
        <v>27</v>
      </c>
      <c r="W30" s="147">
        <f t="shared" si="29"/>
        <v>117</v>
      </c>
      <c r="X30" s="147">
        <f t="shared" si="30"/>
        <v>36</v>
      </c>
      <c r="Y30" s="147" t="str">
        <f>IFERROR(VLOOKUP(MID(T30,W30,X30-W30),[6]skilldef!$C:$D,2,FALSE),"-") &amp; " / " &amp; IFERROR(VLOOKUP(MID(T30,U30,V30-U30),[6]skilldef!$A:$B,2,FALSE),"-")</f>
        <v>- / -</v>
      </c>
      <c r="Z30" s="145"/>
      <c r="AA30" s="149"/>
      <c r="AB30" s="145"/>
    </row>
    <row r="31" spans="1:28" ht="21" customHeight="1" x14ac:dyDescent="0.15">
      <c r="A31" s="167">
        <v>30047030</v>
      </c>
      <c r="B31" s="150" t="s">
        <v>321</v>
      </c>
      <c r="C31" s="151">
        <v>3</v>
      </c>
      <c r="D31" s="151" t="s">
        <v>128</v>
      </c>
      <c r="E31" s="152" t="s">
        <v>260</v>
      </c>
      <c r="F31" s="152" t="s">
        <v>280</v>
      </c>
      <c r="G31" s="153" t="str">
        <f t="shared" si="16"/>
        <v>[effect:enemy_message, val1:1.2, val2:2]</v>
      </c>
      <c r="H31" s="153">
        <f t="shared" si="17"/>
        <v>9</v>
      </c>
      <c r="I31" s="153">
        <f t="shared" si="18"/>
        <v>22</v>
      </c>
      <c r="J31" s="153" t="e">
        <f t="shared" si="19"/>
        <v>#VALUE!</v>
      </c>
      <c r="K31" s="153">
        <f t="shared" si="20"/>
        <v>32</v>
      </c>
      <c r="L31" s="153" t="str">
        <f>IFERROR(VLOOKUP(MID(G31,J31,K31-J31),[6]skilldef!$C:$D,2,FALSE),"-") &amp; " / " &amp; IFERROR(VLOOKUP(MID(G31,H31,I31-H31),[6]skilldef!$A:$B,2,FALSE),"-")</f>
        <v>- / -</v>
      </c>
      <c r="M31" s="153" t="str">
        <f t="shared" si="21"/>
        <v>[effect:force_change_block, new_block:damage, target:block_heart, color:block_blue, count:23, val:0.06, animation:change_block]</v>
      </c>
      <c r="N31" s="154" t="str">
        <f>IFERROR(LEFT(M31,FIND("],",M31)+S40),M31)</f>
        <v>[effect:force_change_block, new_block:damage, target:block_heart, color:block_blue, count:23, val:0.06, animation:change_block]</v>
      </c>
      <c r="O31" s="153">
        <f t="shared" si="22"/>
        <v>9</v>
      </c>
      <c r="P31" s="153">
        <f t="shared" si="23"/>
        <v>27</v>
      </c>
      <c r="Q31" s="153">
        <f t="shared" si="24"/>
        <v>54</v>
      </c>
      <c r="R31" s="153">
        <f t="shared" si="25"/>
        <v>45</v>
      </c>
      <c r="S31" s="153" t="str">
        <f>IFERROR(VLOOKUP(MID(N31,Q31,R31-Q31),[6]skilldef!$C:$D,2,FALSE),"-") &amp; " / " &amp; IFERROR(VLOOKUP(MID(N31,O31,P31-O31),[6]skilldef!$A:$B,2,FALSE),"-")</f>
        <v>- / -</v>
      </c>
      <c r="T31" s="154" t="str">
        <f t="shared" si="26"/>
        <v>none</v>
      </c>
      <c r="U31" s="153" t="e">
        <f t="shared" si="27"/>
        <v>#VALUE!</v>
      </c>
      <c r="V31" s="153">
        <f t="shared" si="28"/>
        <v>4</v>
      </c>
      <c r="W31" s="153" t="e">
        <f t="shared" si="29"/>
        <v>#VALUE!</v>
      </c>
      <c r="X31" s="153" t="e">
        <f t="shared" si="30"/>
        <v>#VALUE!</v>
      </c>
      <c r="Y31" s="153" t="str">
        <f>IFERROR(VLOOKUP(MID(T31,W31,X31-W31),[6]skilldef!$C:$D,2,FALSE),"-") &amp; " / " &amp; IFERROR(VLOOKUP(MID(T31,U31,V31-U31),[6]skilldef!$A:$B,2,FALSE),"-")</f>
        <v>- / -</v>
      </c>
      <c r="Z31" s="151"/>
      <c r="AA31" s="155"/>
      <c r="AB31" s="151"/>
    </row>
    <row r="32" spans="1:28" ht="21" customHeight="1" thickBot="1" x14ac:dyDescent="0.2">
      <c r="A32" s="168">
        <v>30047031</v>
      </c>
      <c r="B32" s="144" t="s">
        <v>322</v>
      </c>
      <c r="C32" s="145">
        <v>3</v>
      </c>
      <c r="D32" s="145" t="s">
        <v>128</v>
      </c>
      <c r="E32" s="146" t="s">
        <v>259</v>
      </c>
      <c r="F32" s="146" t="s">
        <v>303</v>
      </c>
      <c r="G32" s="147" t="str">
        <f t="shared" si="16"/>
        <v>[effect:enemy_message, val1:1.2, val2:1.9]</v>
      </c>
      <c r="H32" s="147">
        <f t="shared" si="17"/>
        <v>9</v>
      </c>
      <c r="I32" s="147">
        <f t="shared" si="18"/>
        <v>22</v>
      </c>
      <c r="J32" s="147" t="e">
        <f t="shared" si="19"/>
        <v>#VALUE!</v>
      </c>
      <c r="K32" s="147">
        <f t="shared" si="20"/>
        <v>32</v>
      </c>
      <c r="L32" s="147" t="str">
        <f>IFERROR(VLOOKUP(MID(G32,J32,K32-J32),[6]skilldef!$C:$D,2,FALSE),"-") &amp; " / " &amp; IFERROR(VLOOKUP(MID(G32,H32,I32-H32),[6]skilldef!$A:$B,2,FALSE),"-")</f>
        <v>- / -</v>
      </c>
      <c r="M32" s="147" t="str">
        <f t="shared" si="21"/>
        <v>[effect:damage_anti_color, target:unit_one, color:blue, val1:1, val2:0.7]</v>
      </c>
      <c r="N32" s="148" t="str">
        <f>IFERROR(LEFT(M32,FIND("],",M32)+S45),M32)</f>
        <v>[effect:damage_anti_color, target:unit_one, color:blue, val1:1, val2:0.7]</v>
      </c>
      <c r="O32" s="147">
        <f t="shared" si="22"/>
        <v>9</v>
      </c>
      <c r="P32" s="147">
        <f t="shared" si="23"/>
        <v>26</v>
      </c>
      <c r="Q32" s="147">
        <f t="shared" si="24"/>
        <v>35</v>
      </c>
      <c r="R32" s="147">
        <f t="shared" si="25"/>
        <v>43</v>
      </c>
      <c r="S32" s="147" t="str">
        <f>IFERROR(VLOOKUP(MID(N32,Q32,R32-Q32),[6]skilldef!$C:$D,2,FALSE),"-") &amp; " / " &amp; IFERROR(VLOOKUP(MID(N32,O32,P32-O32),[6]skilldef!$A:$B,2,FALSE),"-")</f>
        <v>味方単体に / 属性キラー</v>
      </c>
      <c r="T32" s="148" t="str">
        <f t="shared" si="26"/>
        <v>none</v>
      </c>
      <c r="U32" s="147" t="e">
        <f t="shared" si="27"/>
        <v>#VALUE!</v>
      </c>
      <c r="V32" s="147">
        <f t="shared" si="28"/>
        <v>4</v>
      </c>
      <c r="W32" s="147" t="e">
        <f t="shared" si="29"/>
        <v>#VALUE!</v>
      </c>
      <c r="X32" s="147" t="e">
        <f t="shared" si="30"/>
        <v>#VALUE!</v>
      </c>
      <c r="Y32" s="147" t="str">
        <f>IFERROR(VLOOKUP(MID(T32,W32,X32-W32),[6]skilldef!$C:$D,2,FALSE),"-") &amp; " / " &amp; IFERROR(VLOOKUP(MID(T32,U32,V32-U32),[6]skilldef!$A:$B,2,FALSE),"-")</f>
        <v>- / -</v>
      </c>
      <c r="Z32" s="145"/>
      <c r="AA32" s="149"/>
      <c r="AB32" s="145"/>
    </row>
    <row r="33" spans="1:28" ht="21" customHeight="1" x14ac:dyDescent="0.15">
      <c r="A33" s="167">
        <v>30047032</v>
      </c>
      <c r="B33" s="150" t="s">
        <v>352</v>
      </c>
      <c r="C33" s="151">
        <v>3</v>
      </c>
      <c r="D33" s="151" t="s">
        <v>128</v>
      </c>
      <c r="E33" s="152" t="s">
        <v>261</v>
      </c>
      <c r="F33" s="152" t="s">
        <v>282</v>
      </c>
      <c r="G33" s="153" t="str">
        <f t="shared" si="16"/>
        <v>[effect:enemy_message, val1:1.2, val2:2.6]</v>
      </c>
      <c r="H33" s="153">
        <f t="shared" si="17"/>
        <v>9</v>
      </c>
      <c r="I33" s="153">
        <f t="shared" si="18"/>
        <v>22</v>
      </c>
      <c r="J33" s="153" t="e">
        <f t="shared" si="19"/>
        <v>#VALUE!</v>
      </c>
      <c r="K33" s="153">
        <f t="shared" si="20"/>
        <v>32</v>
      </c>
      <c r="L33" s="153" t="str">
        <f>IFERROR(VLOOKUP(MID(G33,J33,K33-J33),[6]skilldef!$C:$D,2,FALSE),"-") &amp; " / " &amp; IFERROR(VLOOKUP(MID(G33,H33,I33-H33),[6]skilldef!$A:$B,2,FALSE),"-")</f>
        <v>- / -</v>
      </c>
      <c r="M33" s="153" t="str">
        <f t="shared" si="21"/>
        <v>[effect:force_change_block, new_block:damage, target:block_heart, color:block_blue, count:5, val:0.06, animation:change_block],[effect:critical, val:0.7]</v>
      </c>
      <c r="N33" s="154" t="str">
        <f>IFERROR(LEFT(M33,FIND("],",M33)+S47),M33)</f>
        <v>[effect:force_change_block, new_block:damage, target:block_heart, color:block_blue, count:5, val:0.06, animation:change_block],[effect:critical, val:0.7]</v>
      </c>
      <c r="O33" s="153">
        <f t="shared" si="22"/>
        <v>9</v>
      </c>
      <c r="P33" s="153">
        <f t="shared" si="23"/>
        <v>27</v>
      </c>
      <c r="Q33" s="153">
        <f t="shared" si="24"/>
        <v>54</v>
      </c>
      <c r="R33" s="153">
        <f t="shared" si="25"/>
        <v>45</v>
      </c>
      <c r="S33" s="153" t="str">
        <f>IFERROR(VLOOKUP(MID(N33,Q33,R33-Q33),[6]skilldef!$C:$D,2,FALSE),"-") &amp; " / " &amp; IFERROR(VLOOKUP(MID(N33,O33,P33-O33),[6]skilldef!$A:$B,2,FALSE),"-")</f>
        <v>- / -</v>
      </c>
      <c r="T33" s="154" t="str">
        <f t="shared" si="26"/>
        <v>[effect:critical, val:0.7]</v>
      </c>
      <c r="U33" s="153">
        <f t="shared" si="27"/>
        <v>9</v>
      </c>
      <c r="V33" s="153">
        <f t="shared" si="28"/>
        <v>17</v>
      </c>
      <c r="W33" s="153" t="e">
        <f t="shared" si="29"/>
        <v>#VALUE!</v>
      </c>
      <c r="X33" s="153" t="e">
        <f t="shared" si="30"/>
        <v>#VALUE!</v>
      </c>
      <c r="Y33" s="153" t="str">
        <f>IFERROR(VLOOKUP(MID(T33,W33,X33-W33),[6]skilldef!$C:$D,2,FALSE),"-") &amp; " / " &amp; IFERROR(VLOOKUP(MID(T33,U33,V33-U33),[6]skilldef!$A:$B,2,FALSE),"-")</f>
        <v>- / 大攻撃</v>
      </c>
      <c r="Z33" s="151"/>
      <c r="AA33" s="155"/>
      <c r="AB33" s="151"/>
    </row>
    <row r="34" spans="1:28" ht="21" customHeight="1" thickBot="1" x14ac:dyDescent="0.2">
      <c r="A34" s="168">
        <v>30047033</v>
      </c>
      <c r="B34" s="144" t="s">
        <v>323</v>
      </c>
      <c r="C34" s="145">
        <v>3</v>
      </c>
      <c r="D34" s="145" t="s">
        <v>128</v>
      </c>
      <c r="E34" s="146" t="s">
        <v>262</v>
      </c>
      <c r="F34" s="146" t="s">
        <v>306</v>
      </c>
      <c r="G34" s="147" t="str">
        <f t="shared" si="16"/>
        <v>[effect:enemy_message, val1:1.2, val2:1.2]</v>
      </c>
      <c r="H34" s="147">
        <f t="shared" si="17"/>
        <v>9</v>
      </c>
      <c r="I34" s="147">
        <f t="shared" si="18"/>
        <v>22</v>
      </c>
      <c r="J34" s="147" t="e">
        <f t="shared" si="19"/>
        <v>#VALUE!</v>
      </c>
      <c r="K34" s="147">
        <f t="shared" si="20"/>
        <v>32</v>
      </c>
      <c r="L34" s="147" t="str">
        <f>IFERROR(VLOOKUP(MID(G34,J34,K34-J34),[6]skilldef!$C:$D,2,FALSE),"-") &amp; " / " &amp; IFERROR(VLOOKUP(MID(G34,H34,I34-H34),[6]skilldef!$A:$B,2,FALSE),"-")</f>
        <v>- / -</v>
      </c>
      <c r="M34" s="147" t="str">
        <f t="shared" si="21"/>
        <v>[effect:enhance_enemy, target:myself, turn:-1, status:attack, val:0.5, calc:mul, animation:enemy_enhance_attack]</v>
      </c>
      <c r="N34" s="148" t="str">
        <f>IFERROR(LEFT(M34,FIND("],",M34)+S49),M34)</f>
        <v>[effect:enhance_enemy, target:myself, turn:-1, status:attack, val:0.5, calc:mul, animation:enemy_enhance_attack]</v>
      </c>
      <c r="O34" s="147">
        <f t="shared" si="22"/>
        <v>9</v>
      </c>
      <c r="P34" s="147">
        <f t="shared" si="23"/>
        <v>22</v>
      </c>
      <c r="Q34" s="147">
        <f t="shared" si="24"/>
        <v>31</v>
      </c>
      <c r="R34" s="147">
        <f t="shared" si="25"/>
        <v>37</v>
      </c>
      <c r="S34" s="147" t="str">
        <f>IFERROR(VLOOKUP(MID(N34,Q34,R34-Q34),[6]skilldef!$C:$D,2,FALSE),"-") &amp; " / " &amp; IFERROR(VLOOKUP(MID(N34,O34,P34-O34),[6]skilldef!$A:$B,2,FALSE),"-")</f>
        <v>自分自身に / ステータス強化</v>
      </c>
      <c r="T34" s="148" t="str">
        <f t="shared" si="26"/>
        <v>none</v>
      </c>
      <c r="U34" s="147" t="e">
        <f t="shared" si="27"/>
        <v>#VALUE!</v>
      </c>
      <c r="V34" s="147">
        <f t="shared" si="28"/>
        <v>4</v>
      </c>
      <c r="W34" s="147" t="e">
        <f t="shared" si="29"/>
        <v>#VALUE!</v>
      </c>
      <c r="X34" s="147" t="e">
        <f t="shared" si="30"/>
        <v>#VALUE!</v>
      </c>
      <c r="Y34" s="147" t="str">
        <f>IFERROR(VLOOKUP(MID(T34,W34,X34-W34),[6]skilldef!$C:$D,2,FALSE),"-") &amp; " / " &amp; IFERROR(VLOOKUP(MID(T34,U34,V34-U34),[6]skilldef!$A:$B,2,FALSE),"-")</f>
        <v>- / -</v>
      </c>
      <c r="Z34" s="145"/>
      <c r="AA34" s="149"/>
      <c r="AB34" s="145"/>
    </row>
    <row r="35" spans="1:28" ht="21" customHeight="1" thickBot="1" x14ac:dyDescent="0.2">
      <c r="A35" s="160">
        <v>30047034</v>
      </c>
      <c r="B35" s="144" t="s">
        <v>324</v>
      </c>
      <c r="C35" s="145">
        <v>3</v>
      </c>
      <c r="D35" s="145" t="s">
        <v>128</v>
      </c>
      <c r="E35" s="146" t="s">
        <v>264</v>
      </c>
      <c r="F35" s="146" t="s">
        <v>263</v>
      </c>
      <c r="G35" s="147" t="str">
        <f t="shared" si="16"/>
        <v>[effect:enemy_message, val1:1.2, val2:1.2]</v>
      </c>
      <c r="H35" s="147">
        <f t="shared" si="17"/>
        <v>9</v>
      </c>
      <c r="I35" s="147">
        <f t="shared" si="18"/>
        <v>22</v>
      </c>
      <c r="J35" s="147" t="e">
        <f t="shared" si="19"/>
        <v>#VALUE!</v>
      </c>
      <c r="K35" s="147">
        <f t="shared" si="20"/>
        <v>32</v>
      </c>
      <c r="L35" s="147" t="str">
        <f>IFERROR(VLOOKUP(MID(G35,J35,K35-J35),[6]skilldef!$C:$D,2,FALSE),"-") &amp; " / " &amp; IFERROR(VLOOKUP(MID(G35,H35,I35-H35),[6]skilldef!$A:$B,2,FALSE),"-")</f>
        <v>- / -</v>
      </c>
      <c r="M35" s="147" t="str">
        <f t="shared" si="21"/>
        <v>[effect:critical, val:1.2]</v>
      </c>
      <c r="N35" s="148" t="str">
        <f>IFERROR(LEFT(M35,FIND("],",M35)+S55),M35)</f>
        <v>[effect:critical, val:1.2]</v>
      </c>
      <c r="O35" s="147">
        <f t="shared" si="22"/>
        <v>9</v>
      </c>
      <c r="P35" s="147">
        <f t="shared" si="23"/>
        <v>17</v>
      </c>
      <c r="Q35" s="147" t="e">
        <f t="shared" si="24"/>
        <v>#VALUE!</v>
      </c>
      <c r="R35" s="147" t="e">
        <f t="shared" si="25"/>
        <v>#VALUE!</v>
      </c>
      <c r="S35" s="147" t="str">
        <f>IFERROR(VLOOKUP(MID(N35,Q35,R35-Q35),[6]skilldef!$C:$D,2,FALSE),"-") &amp; " / " &amp; IFERROR(VLOOKUP(MID(N35,O35,P35-O35),[6]skilldef!$A:$B,2,FALSE),"-")</f>
        <v>- / 大攻撃</v>
      </c>
      <c r="T35" s="148" t="str">
        <f t="shared" si="26"/>
        <v>none</v>
      </c>
      <c r="U35" s="147" t="e">
        <f t="shared" si="27"/>
        <v>#VALUE!</v>
      </c>
      <c r="V35" s="147">
        <f t="shared" si="28"/>
        <v>4</v>
      </c>
      <c r="W35" s="147" t="e">
        <f t="shared" si="29"/>
        <v>#VALUE!</v>
      </c>
      <c r="X35" s="147" t="e">
        <f t="shared" si="30"/>
        <v>#VALUE!</v>
      </c>
      <c r="Y35" s="147" t="str">
        <f>IFERROR(VLOOKUP(MID(T35,W35,X35-W35),[6]skilldef!$C:$D,2,FALSE),"-") &amp; " / " &amp; IFERROR(VLOOKUP(MID(T35,U35,V35-U35),[6]skilldef!$A:$B,2,FALSE),"-")</f>
        <v>- / -</v>
      </c>
      <c r="Z35" s="145"/>
      <c r="AA35" s="149"/>
      <c r="AB35" s="145"/>
    </row>
    <row r="36" spans="1:28" ht="21" customHeight="1" x14ac:dyDescent="0.15">
      <c r="A36" s="159">
        <v>30047035</v>
      </c>
      <c r="B36" s="150" t="s">
        <v>325</v>
      </c>
      <c r="C36" s="151">
        <v>3</v>
      </c>
      <c r="D36" s="151" t="s">
        <v>128</v>
      </c>
      <c r="E36" s="152" t="s">
        <v>265</v>
      </c>
      <c r="F36" s="152" t="s">
        <v>320</v>
      </c>
      <c r="G36" s="153" t="str">
        <f t="shared" si="16"/>
        <v>[effect:enemy_message, val1:1.2, val2:1.7]</v>
      </c>
      <c r="H36" s="153">
        <f t="shared" si="17"/>
        <v>9</v>
      </c>
      <c r="I36" s="153">
        <f t="shared" si="18"/>
        <v>22</v>
      </c>
      <c r="J36" s="153" t="e">
        <f t="shared" si="19"/>
        <v>#VALUE!</v>
      </c>
      <c r="K36" s="153">
        <f t="shared" si="20"/>
        <v>32</v>
      </c>
      <c r="L36" s="153" t="str">
        <f>IFERROR(VLOOKUP(MID(G36,J36,K36-J36),[6]skilldef!$C:$D,2,FALSE),"-") &amp; " / " &amp; IFERROR(VLOOKUP(MID(G36,H36,I36-H36),[6]skilldef!$A:$B,2,FALSE),"-")</f>
        <v>- / -</v>
      </c>
      <c r="M36" s="153" t="str">
        <f t="shared" si="21"/>
        <v>[effect:enhance_enemy, target:myself, turn:-1, status:defense, val:53000000, calc:add, animation:enemy_enhance_defense],[effect:tolerance, target:myself, turn:-1, count:-1, tolerance_effect:all, animation:enemy_tolerance]</v>
      </c>
      <c r="N36" s="154" t="str">
        <f>IFERROR(LEFT(M36,FIND("],",M36)+S53),M36)</f>
        <v>[effect:enhance_enemy, target:myself, turn:-1, status:defense, val:53000000, calc:add, animation:enemy_enhance_defense],[effect:tolerance, target:myself, turn:-1, count:-1, tolerance_effect:all, animation:enemy_tolerance]</v>
      </c>
      <c r="O36" s="153">
        <f t="shared" si="22"/>
        <v>9</v>
      </c>
      <c r="P36" s="153">
        <f t="shared" si="23"/>
        <v>22</v>
      </c>
      <c r="Q36" s="153">
        <f t="shared" si="24"/>
        <v>31</v>
      </c>
      <c r="R36" s="153">
        <f t="shared" si="25"/>
        <v>37</v>
      </c>
      <c r="S36" s="153" t="str">
        <f>IFERROR(VLOOKUP(MID(N36,Q36,R36-Q36),[6]skilldef!$C:$D,2,FALSE),"-") &amp; " / " &amp; IFERROR(VLOOKUP(MID(N36,O36,P36-O36),[6]skilldef!$A:$B,2,FALSE),"-")</f>
        <v>自分自身に / ステータス強化</v>
      </c>
      <c r="T36" s="154" t="str">
        <f t="shared" si="26"/>
        <v>[effect:tolerance, target:myself, turn:-1, count:-1, tolerance_effect:all, animation:enemy_tolerance]</v>
      </c>
      <c r="U36" s="153">
        <f t="shared" si="27"/>
        <v>9</v>
      </c>
      <c r="V36" s="153">
        <f t="shared" si="28"/>
        <v>18</v>
      </c>
      <c r="W36" s="153">
        <f t="shared" si="29"/>
        <v>27</v>
      </c>
      <c r="X36" s="153">
        <f t="shared" si="30"/>
        <v>33</v>
      </c>
      <c r="Y36" s="153" t="str">
        <f>IFERROR(VLOOKUP(MID(T36,W36,X36-W36),[6]skilldef!$C:$D,2,FALSE),"-") &amp; " / " &amp; IFERROR(VLOOKUP(MID(T36,U36,V36-U36),[6]skilldef!$A:$B,2,FALSE),"-")</f>
        <v>自分自身に / 状態異常耐性</v>
      </c>
      <c r="Z36" s="151"/>
      <c r="AA36" s="155"/>
      <c r="AB36" s="151"/>
    </row>
    <row r="37" spans="1:28" ht="21" customHeight="1" x14ac:dyDescent="0.15">
      <c r="A37" s="159">
        <v>30047036</v>
      </c>
      <c r="B37" s="150" t="s">
        <v>326</v>
      </c>
      <c r="C37" s="151">
        <v>3</v>
      </c>
      <c r="D37" s="151" t="s">
        <v>128</v>
      </c>
      <c r="E37" s="152" t="s">
        <v>266</v>
      </c>
      <c r="F37" s="152" t="s">
        <v>279</v>
      </c>
      <c r="G37" s="153" t="str">
        <f t="shared" si="16"/>
        <v>[effect:enemy_message, val1:1.2, val2:1.9]</v>
      </c>
      <c r="H37" s="153">
        <f t="shared" si="17"/>
        <v>9</v>
      </c>
      <c r="I37" s="153">
        <f t="shared" si="18"/>
        <v>22</v>
      </c>
      <c r="J37" s="153" t="e">
        <f t="shared" si="19"/>
        <v>#VALUE!</v>
      </c>
      <c r="K37" s="153">
        <f t="shared" si="20"/>
        <v>32</v>
      </c>
      <c r="L37" s="153" t="str">
        <f>IFERROR(VLOOKUP(MID(G37,J37,K37-J37),[6]skilldef!$C:$D,2,FALSE),"-") &amp; " / " &amp; IFERROR(VLOOKUP(MID(G37,H37,I37-H37),[6]skilldef!$A:$B,2,FALSE),"-")</f>
        <v>- / -</v>
      </c>
      <c r="M37" s="153" t="str">
        <f t="shared" si="21"/>
        <v>[effect:force_change_block, new_block:damage, target:block_green, color:block_green, count:4, val:0.06, animation:change_block]</v>
      </c>
      <c r="N37" s="154" t="str">
        <f t="shared" ref="N37:N44" si="31">IFERROR(LEFT(M37,FIND("],",M37)+S55),M37)</f>
        <v>[effect:force_change_block, new_block:damage, target:block_green, color:block_green, count:4, val:0.06, animation:change_block]</v>
      </c>
      <c r="O37" s="153">
        <f t="shared" si="22"/>
        <v>9</v>
      </c>
      <c r="P37" s="153">
        <f t="shared" si="23"/>
        <v>27</v>
      </c>
      <c r="Q37" s="153">
        <f t="shared" si="24"/>
        <v>54</v>
      </c>
      <c r="R37" s="153">
        <f t="shared" si="25"/>
        <v>45</v>
      </c>
      <c r="S37" s="153" t="str">
        <f>IFERROR(VLOOKUP(MID(N37,Q37,R37-Q37),[6]skilldef!$C:$D,2,FALSE),"-") &amp; " / " &amp; IFERROR(VLOOKUP(MID(N37,O37,P37-O37),[6]skilldef!$A:$B,2,FALSE),"-")</f>
        <v>- / -</v>
      </c>
      <c r="T37" s="154" t="str">
        <f t="shared" si="26"/>
        <v>none</v>
      </c>
      <c r="U37" s="153" t="e">
        <f t="shared" si="27"/>
        <v>#VALUE!</v>
      </c>
      <c r="V37" s="153">
        <f t="shared" si="28"/>
        <v>4</v>
      </c>
      <c r="W37" s="153" t="e">
        <f t="shared" si="29"/>
        <v>#VALUE!</v>
      </c>
      <c r="X37" s="153" t="e">
        <f t="shared" si="30"/>
        <v>#VALUE!</v>
      </c>
      <c r="Y37" s="153" t="str">
        <f>IFERROR(VLOOKUP(MID(T37,W37,X37-W37),[6]skilldef!$C:$D,2,FALSE),"-") &amp; " / " &amp; IFERROR(VLOOKUP(MID(T37,U37,V37-U37),[6]skilldef!$A:$B,2,FALSE),"-")</f>
        <v>- / -</v>
      </c>
      <c r="Z37" s="151"/>
      <c r="AA37" s="155"/>
      <c r="AB37" s="151"/>
    </row>
    <row r="38" spans="1:28" ht="21" customHeight="1" x14ac:dyDescent="0.15">
      <c r="A38" s="159">
        <v>30047037</v>
      </c>
      <c r="B38" s="150" t="s">
        <v>327</v>
      </c>
      <c r="C38" s="151">
        <v>3</v>
      </c>
      <c r="D38" s="151" t="s">
        <v>128</v>
      </c>
      <c r="E38" s="152" t="s">
        <v>309</v>
      </c>
      <c r="F38" s="152" t="s">
        <v>304</v>
      </c>
      <c r="G38" s="153" t="str">
        <f t="shared" si="16"/>
        <v>[effect:enemy_message, val1:1.2, val2:1.4]</v>
      </c>
      <c r="H38" s="153">
        <f t="shared" si="17"/>
        <v>9</v>
      </c>
      <c r="I38" s="153">
        <f t="shared" si="18"/>
        <v>22</v>
      </c>
      <c r="J38" s="153" t="e">
        <f t="shared" si="19"/>
        <v>#VALUE!</v>
      </c>
      <c r="K38" s="153">
        <f t="shared" si="20"/>
        <v>32</v>
      </c>
      <c r="L38" s="153" t="str">
        <f>IFERROR(VLOOKUP(MID(G38,J38,K38-J38),[6]skilldef!$C:$D,2,FALSE),"-") &amp; " / " &amp; IFERROR(VLOOKUP(MID(G38,H38,I38-H38),[6]skilldef!$A:$B,2,FALSE),"-")</f>
        <v>- / -</v>
      </c>
      <c r="M38" s="153" t="str">
        <f t="shared" si="21"/>
        <v>[effect:enhance_enemy, target:enemy_red, turn:2, status:attack, val:0.5, calc:mul, animation:enemy_enhance_attack]</v>
      </c>
      <c r="N38" s="154" t="str">
        <f t="shared" si="31"/>
        <v>[effect:enhance_enemy, target:enemy_red, turn:2, status:attack, val:0.5, calc:mul, animation:enemy_enhance_attack]</v>
      </c>
      <c r="O38" s="153">
        <f t="shared" si="22"/>
        <v>9</v>
      </c>
      <c r="P38" s="153">
        <f t="shared" si="23"/>
        <v>22</v>
      </c>
      <c r="Q38" s="153">
        <f t="shared" si="24"/>
        <v>31</v>
      </c>
      <c r="R38" s="153">
        <f t="shared" si="25"/>
        <v>40</v>
      </c>
      <c r="S38" s="153" t="str">
        <f>IFERROR(VLOOKUP(MID(N38,Q38,R38-Q38),[6]skilldef!$C:$D,2,FALSE),"-") &amp; " / " &amp; IFERROR(VLOOKUP(MID(N38,O38,P38-O38),[6]skilldef!$A:$B,2,FALSE),"-")</f>
        <v>赤の敵に / ステータス強化</v>
      </c>
      <c r="T38" s="154" t="str">
        <f t="shared" si="26"/>
        <v>none</v>
      </c>
      <c r="U38" s="153" t="e">
        <f t="shared" si="27"/>
        <v>#VALUE!</v>
      </c>
      <c r="V38" s="153">
        <f t="shared" si="28"/>
        <v>4</v>
      </c>
      <c r="W38" s="153" t="e">
        <f t="shared" si="29"/>
        <v>#VALUE!</v>
      </c>
      <c r="X38" s="153" t="e">
        <f t="shared" si="30"/>
        <v>#VALUE!</v>
      </c>
      <c r="Y38" s="153" t="str">
        <f>IFERROR(VLOOKUP(MID(T38,W38,X38-W38),[6]skilldef!$C:$D,2,FALSE),"-") &amp; " / " &amp; IFERROR(VLOOKUP(MID(T38,U38,V38-U38),[6]skilldef!$A:$B,2,FALSE),"-")</f>
        <v>- / -</v>
      </c>
      <c r="Z38" s="151"/>
      <c r="AA38" s="155"/>
      <c r="AB38" s="151"/>
    </row>
    <row r="39" spans="1:28" ht="21" customHeight="1" x14ac:dyDescent="0.15">
      <c r="A39" s="159">
        <v>30047038</v>
      </c>
      <c r="B39" s="150" t="s">
        <v>328</v>
      </c>
      <c r="C39" s="151">
        <v>3</v>
      </c>
      <c r="D39" s="151" t="s">
        <v>128</v>
      </c>
      <c r="E39" s="152" t="s">
        <v>286</v>
      </c>
      <c r="F39" s="152" t="s">
        <v>305</v>
      </c>
      <c r="G39" s="153" t="str">
        <f t="shared" si="16"/>
        <v>[effect:enemy_message, val1:1.2, val2:2]</v>
      </c>
      <c r="H39" s="153">
        <f t="shared" si="17"/>
        <v>9</v>
      </c>
      <c r="I39" s="153">
        <f t="shared" si="18"/>
        <v>22</v>
      </c>
      <c r="J39" s="153" t="e">
        <f t="shared" si="19"/>
        <v>#VALUE!</v>
      </c>
      <c r="K39" s="153">
        <f t="shared" si="20"/>
        <v>32</v>
      </c>
      <c r="L39" s="153" t="str">
        <f>IFERROR(VLOOKUP(MID(G39,J39,K39-J39),[6]skilldef!$C:$D,2,FALSE),"-") &amp; " / " &amp; IFERROR(VLOOKUP(MID(G39,H39,I39-H39),[6]skilldef!$A:$B,2,FALSE),"-")</f>
        <v>- / -</v>
      </c>
      <c r="M39" s="153" t="str">
        <f t="shared" si="21"/>
        <v>[effect:degrade_unit, target:unit_all, turn:2, status:heal, val:0.5, calc:mul, animation:degrade_unit_all_heal]</v>
      </c>
      <c r="N39" s="154" t="str">
        <f t="shared" si="31"/>
        <v>[effect:degrade_unit, target:unit_all, turn:2, status:heal, val:0.5, calc:mul, animation:degrade_unit_all_heal]</v>
      </c>
      <c r="O39" s="153">
        <f t="shared" si="22"/>
        <v>9</v>
      </c>
      <c r="P39" s="153">
        <f t="shared" si="23"/>
        <v>21</v>
      </c>
      <c r="Q39" s="153">
        <f t="shared" si="24"/>
        <v>30</v>
      </c>
      <c r="R39" s="153">
        <f t="shared" si="25"/>
        <v>38</v>
      </c>
      <c r="S39" s="153" t="str">
        <f>IFERROR(VLOOKUP(MID(N39,Q39,R39-Q39),[6]skilldef!$C:$D,2,FALSE),"-") &amp; " / " &amp; IFERROR(VLOOKUP(MID(N39,O39,P39-O39),[6]skilldef!$A:$B,2,FALSE),"-")</f>
        <v>味方全体に / ステータスDOWN</v>
      </c>
      <c r="T39" s="154" t="str">
        <f t="shared" si="26"/>
        <v>none</v>
      </c>
      <c r="U39" s="153" t="e">
        <f t="shared" si="27"/>
        <v>#VALUE!</v>
      </c>
      <c r="V39" s="153">
        <f t="shared" si="28"/>
        <v>4</v>
      </c>
      <c r="W39" s="153" t="e">
        <f t="shared" si="29"/>
        <v>#VALUE!</v>
      </c>
      <c r="X39" s="153" t="e">
        <f t="shared" si="30"/>
        <v>#VALUE!</v>
      </c>
      <c r="Y39" s="153" t="str">
        <f>IFERROR(VLOOKUP(MID(T39,W39,X39-W39),[6]skilldef!$C:$D,2,FALSE),"-") &amp; " / " &amp; IFERROR(VLOOKUP(MID(T39,U39,V39-U39),[6]skilldef!$A:$B,2,FALSE),"-")</f>
        <v>- / -</v>
      </c>
      <c r="Z39" s="151"/>
      <c r="AA39" s="155"/>
      <c r="AB39" s="151"/>
    </row>
    <row r="40" spans="1:28" ht="21" customHeight="1" thickBot="1" x14ac:dyDescent="0.2">
      <c r="A40" s="160">
        <v>30047039</v>
      </c>
      <c r="B40" s="144" t="s">
        <v>329</v>
      </c>
      <c r="C40" s="145">
        <v>3</v>
      </c>
      <c r="D40" s="145" t="s">
        <v>128</v>
      </c>
      <c r="E40" s="146" t="s">
        <v>267</v>
      </c>
      <c r="F40" s="146" t="s">
        <v>359</v>
      </c>
      <c r="G40" s="147" t="str">
        <f t="shared" si="16"/>
        <v>[effect:enemy_message, val1:1.2, val2:1.2]</v>
      </c>
      <c r="H40" s="147">
        <f t="shared" si="17"/>
        <v>9</v>
      </c>
      <c r="I40" s="147">
        <f t="shared" si="18"/>
        <v>22</v>
      </c>
      <c r="J40" s="147" t="e">
        <f t="shared" si="19"/>
        <v>#VALUE!</v>
      </c>
      <c r="K40" s="147">
        <f t="shared" si="20"/>
        <v>32</v>
      </c>
      <c r="L40" s="147" t="str">
        <f>IFERROR(VLOOKUP(MID(G40,J40,K40-J40),[6]skilldef!$C:$D,2,FALSE),"-") &amp; " / " &amp; IFERROR(VLOOKUP(MID(G40,H40,I40-H40),[6]skilldef!$A:$B,2,FALSE),"-")</f>
        <v>- / -</v>
      </c>
      <c r="M40" s="147" t="str">
        <f t="shared" si="21"/>
        <v>[effect:suicide, target:myself, val:1, dead_type:suicide]</v>
      </c>
      <c r="N40" s="148" t="str">
        <f t="shared" si="31"/>
        <v>[effect:suicide, target:myself, val:1, dead_type:suicide]</v>
      </c>
      <c r="O40" s="147">
        <f t="shared" si="22"/>
        <v>9</v>
      </c>
      <c r="P40" s="147">
        <f t="shared" si="23"/>
        <v>16</v>
      </c>
      <c r="Q40" s="147">
        <f t="shared" si="24"/>
        <v>25</v>
      </c>
      <c r="R40" s="147">
        <f t="shared" si="25"/>
        <v>31</v>
      </c>
      <c r="S40" s="147" t="str">
        <f>IFERROR(VLOOKUP(MID(N40,Q40,R40-Q40),[6]skilldef!$C:$D,2,FALSE),"-") &amp; " / " &amp; IFERROR(VLOOKUP(MID(N40,O40,P40-O40),[6]skilldef!$A:$B,2,FALSE),"-")</f>
        <v>自分自身に / -</v>
      </c>
      <c r="T40" s="148" t="str">
        <f t="shared" si="26"/>
        <v>none</v>
      </c>
      <c r="U40" s="147" t="e">
        <f t="shared" si="27"/>
        <v>#VALUE!</v>
      </c>
      <c r="V40" s="147">
        <f t="shared" si="28"/>
        <v>4</v>
      </c>
      <c r="W40" s="147" t="e">
        <f t="shared" si="29"/>
        <v>#VALUE!</v>
      </c>
      <c r="X40" s="147" t="e">
        <f t="shared" si="30"/>
        <v>#VALUE!</v>
      </c>
      <c r="Y40" s="147" t="str">
        <f>IFERROR(VLOOKUP(MID(T40,W40,X40-W40),[6]skilldef!$C:$D,2,FALSE),"-") &amp; " / " &amp; IFERROR(VLOOKUP(MID(T40,U40,V40-U40),[6]skilldef!$A:$B,2,FALSE),"-")</f>
        <v>- / -</v>
      </c>
      <c r="Z40" s="145"/>
      <c r="AA40" s="149"/>
      <c r="AB40" s="145"/>
    </row>
    <row r="41" spans="1:28" ht="21" customHeight="1" x14ac:dyDescent="0.15">
      <c r="A41" s="188">
        <v>30047040</v>
      </c>
      <c r="B41" s="150" t="s">
        <v>330</v>
      </c>
      <c r="C41" s="151">
        <v>3</v>
      </c>
      <c r="D41" s="151" t="s">
        <v>128</v>
      </c>
      <c r="E41" s="152" t="s">
        <v>293</v>
      </c>
      <c r="F41" s="152" t="s">
        <v>276</v>
      </c>
      <c r="G41" s="153" t="str">
        <f t="shared" si="16"/>
        <v>[effect:enemy_message, val1:1.2, val2:1.9]</v>
      </c>
      <c r="H41" s="153">
        <f t="shared" si="17"/>
        <v>9</v>
      </c>
      <c r="I41" s="153">
        <f t="shared" si="18"/>
        <v>22</v>
      </c>
      <c r="J41" s="153" t="e">
        <f t="shared" si="19"/>
        <v>#VALUE!</v>
      </c>
      <c r="K41" s="153">
        <f t="shared" si="20"/>
        <v>32</v>
      </c>
      <c r="L41" s="153" t="str">
        <f>IFERROR(VLOOKUP(MID(G41,J41,K41-J41),[6]skilldef!$C:$D,2,FALSE),"-") &amp; " / " &amp; IFERROR(VLOOKUP(MID(G41,H41,I41-H41),[6]skilldef!$A:$B,2,FALSE),"-")</f>
        <v>- / -</v>
      </c>
      <c r="M41" s="153" t="str">
        <f t="shared" si="21"/>
        <v>[effect:force_change_block, new_block:damage, target:block_green, color:block_green, count:3, val:0.06, animation:change_block]</v>
      </c>
      <c r="N41" s="154" t="str">
        <f t="shared" si="31"/>
        <v>[effect:force_change_block, new_block:damage, target:block_green, color:block_green, count:3, val:0.06, animation:change_block]</v>
      </c>
      <c r="O41" s="153">
        <f t="shared" si="22"/>
        <v>9</v>
      </c>
      <c r="P41" s="153">
        <f t="shared" si="23"/>
        <v>27</v>
      </c>
      <c r="Q41" s="153">
        <f t="shared" si="24"/>
        <v>54</v>
      </c>
      <c r="R41" s="153">
        <f t="shared" si="25"/>
        <v>45</v>
      </c>
      <c r="S41" s="153" t="str">
        <f>IFERROR(VLOOKUP(MID(N41,Q41,R41-Q41),[6]skilldef!$C:$D,2,FALSE),"-") &amp; " / " &amp; IFERROR(VLOOKUP(MID(N41,O41,P41-O41),[6]skilldef!$A:$B,2,FALSE),"-")</f>
        <v>- / -</v>
      </c>
      <c r="T41" s="154" t="str">
        <f t="shared" si="26"/>
        <v>none</v>
      </c>
      <c r="U41" s="153" t="e">
        <f t="shared" si="27"/>
        <v>#VALUE!</v>
      </c>
      <c r="V41" s="153">
        <f t="shared" si="28"/>
        <v>4</v>
      </c>
      <c r="W41" s="153" t="e">
        <f t="shared" si="29"/>
        <v>#VALUE!</v>
      </c>
      <c r="X41" s="153" t="e">
        <f t="shared" si="30"/>
        <v>#VALUE!</v>
      </c>
      <c r="Y41" s="153" t="str">
        <f>IFERROR(VLOOKUP(MID(T41,W41,X41-W41),[6]skilldef!$C:$D,2,FALSE),"-") &amp; " / " &amp; IFERROR(VLOOKUP(MID(T41,U41,V41-U41),[6]skilldef!$A:$B,2,FALSE),"-")</f>
        <v>- / -</v>
      </c>
      <c r="Z41" s="151"/>
      <c r="AA41" s="155"/>
      <c r="AB41" s="151"/>
    </row>
    <row r="42" spans="1:28" ht="21" customHeight="1" x14ac:dyDescent="0.15">
      <c r="A42" s="159">
        <v>30047041</v>
      </c>
      <c r="B42" s="150" t="s">
        <v>347</v>
      </c>
      <c r="C42" s="151">
        <v>3</v>
      </c>
      <c r="D42" s="151" t="s">
        <v>128</v>
      </c>
      <c r="E42" s="152" t="s">
        <v>285</v>
      </c>
      <c r="F42" s="152" t="s">
        <v>313</v>
      </c>
      <c r="G42" s="153" t="str">
        <f t="shared" si="16"/>
        <v>[effect:enemy_message, val1:1.2, val2:2]</v>
      </c>
      <c r="H42" s="153">
        <f t="shared" si="17"/>
        <v>9</v>
      </c>
      <c r="I42" s="153">
        <f t="shared" si="18"/>
        <v>22</v>
      </c>
      <c r="J42" s="153" t="e">
        <f t="shared" si="19"/>
        <v>#VALUE!</v>
      </c>
      <c r="K42" s="153">
        <f t="shared" si="20"/>
        <v>32</v>
      </c>
      <c r="L42" s="153" t="str">
        <f>IFERROR(VLOOKUP(MID(G42,J42,K42-J42),[6]skilldef!$C:$D,2,FALSE),"-") &amp; " / " &amp; IFERROR(VLOOKUP(MID(G42,H42,I42-H42),[6]skilldef!$A:$B,2,FALSE),"-")</f>
        <v>- / -</v>
      </c>
      <c r="M42" s="153" t="str">
        <f t="shared" si="21"/>
        <v>[effect:break_attack, target:unit_one, val:0.1, lowest_val:3500, count:4, color:green, block01:damage]</v>
      </c>
      <c r="N42" s="154" t="str">
        <f t="shared" si="31"/>
        <v>[effect:break_attack, target:unit_one, val:0.1, lowest_val:3500, count:4, color:green, block01:damage]</v>
      </c>
      <c r="O42" s="153">
        <f t="shared" si="22"/>
        <v>9</v>
      </c>
      <c r="P42" s="153">
        <f t="shared" si="23"/>
        <v>21</v>
      </c>
      <c r="Q42" s="153">
        <f t="shared" si="24"/>
        <v>30</v>
      </c>
      <c r="R42" s="153">
        <f t="shared" si="25"/>
        <v>38</v>
      </c>
      <c r="S42" s="153" t="str">
        <f>IFERROR(VLOOKUP(MID(N42,Q42,R42-Q42),[6]skilldef!$C:$D,2,FALSE),"-") &amp; " / " &amp; IFERROR(VLOOKUP(MID(N42,O42,P42-O42),[6]skilldef!$A:$B,2,FALSE),"-")</f>
        <v>味方単体に / -</v>
      </c>
      <c r="T42" s="154" t="str">
        <f t="shared" si="26"/>
        <v>none</v>
      </c>
      <c r="U42" s="153" t="e">
        <f t="shared" si="27"/>
        <v>#VALUE!</v>
      </c>
      <c r="V42" s="153">
        <f t="shared" si="28"/>
        <v>4</v>
      </c>
      <c r="W42" s="153" t="e">
        <f t="shared" si="29"/>
        <v>#VALUE!</v>
      </c>
      <c r="X42" s="153" t="e">
        <f t="shared" si="30"/>
        <v>#VALUE!</v>
      </c>
      <c r="Y42" s="153" t="str">
        <f>IFERROR(VLOOKUP(MID(T42,W42,X42-W42),[6]skilldef!$C:$D,2,FALSE),"-") &amp; " / " &amp; IFERROR(VLOOKUP(MID(T42,U42,V42-U42),[6]skilldef!$A:$B,2,FALSE),"-")</f>
        <v>- / -</v>
      </c>
      <c r="Z42" s="151"/>
      <c r="AA42" s="155"/>
      <c r="AB42" s="151"/>
    </row>
    <row r="43" spans="1:28" ht="21" customHeight="1" x14ac:dyDescent="0.15">
      <c r="A43" s="159">
        <v>30047042</v>
      </c>
      <c r="B43" s="150" t="s">
        <v>332</v>
      </c>
      <c r="C43" s="151">
        <v>3</v>
      </c>
      <c r="D43" s="151" t="s">
        <v>128</v>
      </c>
      <c r="E43" s="152" t="s">
        <v>294</v>
      </c>
      <c r="F43" s="152" t="s">
        <v>277</v>
      </c>
      <c r="G43" s="153" t="str">
        <f t="shared" si="16"/>
        <v>[effect:enemy_message, val1:1.2, val2:1.9]</v>
      </c>
      <c r="H43" s="153">
        <f t="shared" si="17"/>
        <v>9</v>
      </c>
      <c r="I43" s="153">
        <f t="shared" si="18"/>
        <v>22</v>
      </c>
      <c r="J43" s="153" t="e">
        <f t="shared" si="19"/>
        <v>#VALUE!</v>
      </c>
      <c r="K43" s="153">
        <f t="shared" si="20"/>
        <v>32</v>
      </c>
      <c r="L43" s="153" t="str">
        <f>IFERROR(VLOOKUP(MID(G43,J43,K43-J43),[6]skilldef!$C:$D,2,FALSE),"-") &amp; " / " &amp; IFERROR(VLOOKUP(MID(G43,H43,I43-H43),[6]skilldef!$A:$B,2,FALSE),"-")</f>
        <v>- / -</v>
      </c>
      <c r="M43" s="153" t="str">
        <f t="shared" si="21"/>
        <v>[effect:force_change_block, new_block:damage, target:block_green, color:block_green, count:5, val:0.06, animation:change_block]</v>
      </c>
      <c r="N43" s="154" t="str">
        <f t="shared" si="31"/>
        <v>[effect:force_change_block, new_block:damage, target:block_green, color:block_green, count:5, val:0.06, animation:change_block]</v>
      </c>
      <c r="O43" s="153">
        <f t="shared" si="22"/>
        <v>9</v>
      </c>
      <c r="P43" s="153">
        <f t="shared" si="23"/>
        <v>27</v>
      </c>
      <c r="Q43" s="153">
        <f t="shared" si="24"/>
        <v>54</v>
      </c>
      <c r="R43" s="153">
        <f t="shared" si="25"/>
        <v>45</v>
      </c>
      <c r="S43" s="153" t="str">
        <f>IFERROR(VLOOKUP(MID(N43,Q43,R43-Q43),[6]skilldef!$C:$D,2,FALSE),"-") &amp; " / " &amp; IFERROR(VLOOKUP(MID(N43,O43,P43-O43),[6]skilldef!$A:$B,2,FALSE),"-")</f>
        <v>- / -</v>
      </c>
      <c r="T43" s="154" t="str">
        <f t="shared" si="26"/>
        <v>none</v>
      </c>
      <c r="U43" s="153" t="e">
        <f t="shared" si="27"/>
        <v>#VALUE!</v>
      </c>
      <c r="V43" s="153">
        <f t="shared" si="28"/>
        <v>4</v>
      </c>
      <c r="W43" s="153" t="e">
        <f t="shared" si="29"/>
        <v>#VALUE!</v>
      </c>
      <c r="X43" s="153" t="e">
        <f t="shared" si="30"/>
        <v>#VALUE!</v>
      </c>
      <c r="Y43" s="153" t="str">
        <f>IFERROR(VLOOKUP(MID(T43,W43,X43-W43),[6]skilldef!$C:$D,2,FALSE),"-") &amp; " / " &amp; IFERROR(VLOOKUP(MID(T43,U43,V43-U43),[6]skilldef!$A:$B,2,FALSE),"-")</f>
        <v>- / -</v>
      </c>
      <c r="Z43" s="151"/>
      <c r="AA43" s="155"/>
      <c r="AB43" s="151"/>
    </row>
    <row r="44" spans="1:28" ht="21" customHeight="1" thickBot="1" x14ac:dyDescent="0.2">
      <c r="A44" s="160">
        <v>30047043</v>
      </c>
      <c r="B44" s="144" t="s">
        <v>347</v>
      </c>
      <c r="C44" s="145">
        <v>3</v>
      </c>
      <c r="D44" s="145" t="s">
        <v>128</v>
      </c>
      <c r="E44" s="146" t="s">
        <v>285</v>
      </c>
      <c r="F44" s="146" t="s">
        <v>313</v>
      </c>
      <c r="G44" s="147" t="str">
        <f t="shared" si="16"/>
        <v>[effect:enemy_message, val1:1.2, val2:2]</v>
      </c>
      <c r="H44" s="147">
        <f t="shared" si="17"/>
        <v>9</v>
      </c>
      <c r="I44" s="147">
        <f t="shared" si="18"/>
        <v>22</v>
      </c>
      <c r="J44" s="147" t="e">
        <f t="shared" si="19"/>
        <v>#VALUE!</v>
      </c>
      <c r="K44" s="147">
        <f t="shared" si="20"/>
        <v>32</v>
      </c>
      <c r="L44" s="147" t="str">
        <f>IFERROR(VLOOKUP(MID(G44,J44,K44-J44),[6]skilldef!$C:$D,2,FALSE),"-") &amp; " / " &amp; IFERROR(VLOOKUP(MID(G44,H44,I44-H44),[6]skilldef!$A:$B,2,FALSE),"-")</f>
        <v>- / -</v>
      </c>
      <c r="M44" s="147" t="str">
        <f t="shared" si="21"/>
        <v>[effect:break_attack, target:unit_one, val:0.1, lowest_val:3500, count:4, color:green, block01:damage]</v>
      </c>
      <c r="N44" s="148" t="str">
        <f t="shared" si="31"/>
        <v>[effect:break_attack, target:unit_one, val:0.1, lowest_val:3500, count:4, color:green, block01:damage]</v>
      </c>
      <c r="O44" s="147">
        <f t="shared" si="22"/>
        <v>9</v>
      </c>
      <c r="P44" s="147">
        <f t="shared" si="23"/>
        <v>21</v>
      </c>
      <c r="Q44" s="147">
        <f t="shared" si="24"/>
        <v>30</v>
      </c>
      <c r="R44" s="147">
        <f t="shared" si="25"/>
        <v>38</v>
      </c>
      <c r="S44" s="147" t="str">
        <f>IFERROR(VLOOKUP(MID(N44,Q44,R44-Q44),[6]skilldef!$C:$D,2,FALSE),"-") &amp; " / " &amp; IFERROR(VLOOKUP(MID(N44,O44,P44-O44),[6]skilldef!$A:$B,2,FALSE),"-")</f>
        <v>味方単体に / -</v>
      </c>
      <c r="T44" s="154" t="str">
        <f t="shared" si="26"/>
        <v>none</v>
      </c>
      <c r="U44" s="153" t="e">
        <f t="shared" si="27"/>
        <v>#VALUE!</v>
      </c>
      <c r="V44" s="153">
        <f t="shared" si="28"/>
        <v>4</v>
      </c>
      <c r="W44" s="153" t="e">
        <f t="shared" si="29"/>
        <v>#VALUE!</v>
      </c>
      <c r="X44" s="153" t="e">
        <f t="shared" si="30"/>
        <v>#VALUE!</v>
      </c>
      <c r="Y44" s="147" t="str">
        <f>IFERROR(VLOOKUP(MID(T44,W44,X44-W44),[6]skilldef!$C:$D,2,FALSE),"-") &amp; " / " &amp; IFERROR(VLOOKUP(MID(T44,U44,V44-U44),[6]skilldef!$A:$B,2,FALSE),"-")</f>
        <v>- / -</v>
      </c>
      <c r="Z44" s="145"/>
      <c r="AA44" s="149"/>
      <c r="AB44" s="145"/>
    </row>
    <row r="45" spans="1:28" ht="21" customHeight="1" x14ac:dyDescent="0.15">
      <c r="A45" s="178">
        <v>30047044</v>
      </c>
      <c r="B45" s="184" t="s">
        <v>333</v>
      </c>
      <c r="C45" s="198">
        <v>3</v>
      </c>
      <c r="D45" s="198" t="s">
        <v>128</v>
      </c>
      <c r="E45" s="199" t="s">
        <v>290</v>
      </c>
      <c r="F45" s="199" t="s">
        <v>268</v>
      </c>
      <c r="G45" s="200" t="str">
        <f t="shared" si="16"/>
        <v>[effect:enemy_message, val1:1.2, val2:1.2]</v>
      </c>
      <c r="H45" s="200">
        <f t="shared" si="17"/>
        <v>9</v>
      </c>
      <c r="I45" s="200">
        <f t="shared" si="18"/>
        <v>22</v>
      </c>
      <c r="J45" s="200" t="e">
        <f t="shared" si="19"/>
        <v>#VALUE!</v>
      </c>
      <c r="K45" s="200">
        <f t="shared" si="20"/>
        <v>32</v>
      </c>
      <c r="L45" s="200" t="str">
        <f>IFERROR(VLOOKUP(MID(G45,J45,K45-J45),[6]skilldef!$C:$D,2,FALSE),"-") &amp; " / " &amp; IFERROR(VLOOKUP(MID(G45,H45,I45-H45),[6]skilldef!$A:$B,2,FALSE),"-")</f>
        <v>- / -</v>
      </c>
      <c r="M45" s="200" t="str">
        <f t="shared" si="21"/>
        <v>[effect:change_panel_ratio, turn:-1, block_type:blue, val:0.8, animation:block_incidence04]</v>
      </c>
      <c r="N45" s="185" t="str">
        <f>IFERROR(LEFT(M45,FIND("],",M45)+S59),M45)</f>
        <v>[effect:change_panel_ratio, turn:-1, block_type:blue, val:0.8, animation:block_incidence04]</v>
      </c>
      <c r="O45" s="200">
        <f t="shared" si="22"/>
        <v>9</v>
      </c>
      <c r="P45" s="200">
        <f t="shared" si="23"/>
        <v>27</v>
      </c>
      <c r="Q45" s="200" t="e">
        <f t="shared" si="24"/>
        <v>#VALUE!</v>
      </c>
      <c r="R45" s="200">
        <f t="shared" si="25"/>
        <v>36</v>
      </c>
      <c r="S45" s="200" t="str">
        <f>IFERROR(VLOOKUP(MID(N45,Q45,R45-Q45),[6]skilldef!$C:$D,2,FALSE),"-") &amp; " / " &amp; IFERROR(VLOOKUP(MID(N45,O45,P45-O45),[6]skilldef!$A:$B,2,FALSE),"-")</f>
        <v>- / -</v>
      </c>
      <c r="T45" s="154" t="str">
        <f t="shared" si="26"/>
        <v>none</v>
      </c>
      <c r="U45" s="153" t="e">
        <f t="shared" si="27"/>
        <v>#VALUE!</v>
      </c>
      <c r="V45" s="153">
        <f t="shared" si="28"/>
        <v>4</v>
      </c>
      <c r="W45" s="153" t="e">
        <f t="shared" si="29"/>
        <v>#VALUE!</v>
      </c>
      <c r="X45" s="153" t="e">
        <f t="shared" si="30"/>
        <v>#VALUE!</v>
      </c>
      <c r="Y45" s="200" t="str">
        <f>IFERROR(VLOOKUP(MID(T45,W45,X45-W45),[6]skilldef!$C:$D,2,FALSE),"-") &amp; " / " &amp; IFERROR(VLOOKUP(MID(T45,U45,V45-U45),[6]skilldef!$A:$B,2,FALSE),"-")</f>
        <v>- / -</v>
      </c>
      <c r="Z45" s="198"/>
      <c r="AA45" s="201"/>
      <c r="AB45" s="198"/>
    </row>
    <row r="46" spans="1:28" ht="21" customHeight="1" x14ac:dyDescent="0.15">
      <c r="A46" s="178">
        <v>30047045</v>
      </c>
      <c r="B46" s="150" t="s">
        <v>334</v>
      </c>
      <c r="C46" s="48">
        <v>3</v>
      </c>
      <c r="D46" s="48" t="s">
        <v>128</v>
      </c>
      <c r="E46" s="152" t="s">
        <v>292</v>
      </c>
      <c r="F46" s="152" t="s">
        <v>278</v>
      </c>
      <c r="G46" s="153" t="str">
        <f t="shared" si="16"/>
        <v>[effect:enemy_message, val1:1.2, val2:1.9]</v>
      </c>
      <c r="H46" s="153">
        <f t="shared" si="17"/>
        <v>9</v>
      </c>
      <c r="I46" s="153">
        <f t="shared" si="18"/>
        <v>22</v>
      </c>
      <c r="J46" s="153" t="e">
        <f t="shared" si="19"/>
        <v>#VALUE!</v>
      </c>
      <c r="K46" s="153">
        <f t="shared" si="20"/>
        <v>32</v>
      </c>
      <c r="L46" s="153" t="str">
        <f>IFERROR(VLOOKUP(MID(G46,J46,K46-J46),[6]skilldef!$C:$D,2,FALSE),"-") &amp; " / " &amp; IFERROR(VLOOKUP(MID(G46,H46,I46-H46),[6]skilldef!$A:$B,2,FALSE),"-")</f>
        <v>- / -</v>
      </c>
      <c r="M46" s="153" t="str">
        <f t="shared" si="21"/>
        <v>[effect:force_change_block, new_block:damage, target:block_blue, color:block_blue, count:3, val:0.1, animation:change_block]</v>
      </c>
      <c r="N46" s="154" t="str">
        <f>IFERROR(LEFT(M46,FIND("],",M46)+S59),M46)</f>
        <v>[effect:force_change_block, new_block:damage, target:block_blue, color:block_blue, count:3, val:0.1, animation:change_block]</v>
      </c>
      <c r="O46" s="153">
        <f t="shared" si="22"/>
        <v>9</v>
      </c>
      <c r="P46" s="153">
        <f t="shared" si="23"/>
        <v>27</v>
      </c>
      <c r="Q46" s="153">
        <f t="shared" si="24"/>
        <v>54</v>
      </c>
      <c r="R46" s="153">
        <f t="shared" si="25"/>
        <v>45</v>
      </c>
      <c r="S46" s="153" t="str">
        <f>IFERROR(VLOOKUP(MID(N46,Q46,R46-Q46),[6]skilldef!$C:$D,2,FALSE),"-") &amp; " / " &amp; IFERROR(VLOOKUP(MID(N46,O46,P46-O46),[6]skilldef!$A:$B,2,FALSE),"-")</f>
        <v>- / -</v>
      </c>
      <c r="T46" s="154" t="str">
        <f t="shared" si="26"/>
        <v>none</v>
      </c>
      <c r="U46" s="153" t="e">
        <f t="shared" si="27"/>
        <v>#VALUE!</v>
      </c>
      <c r="V46" s="153">
        <f t="shared" si="28"/>
        <v>4</v>
      </c>
      <c r="W46" s="153" t="e">
        <f t="shared" si="29"/>
        <v>#VALUE!</v>
      </c>
      <c r="X46" s="153" t="e">
        <f t="shared" si="30"/>
        <v>#VALUE!</v>
      </c>
      <c r="Y46" s="153" t="str">
        <f>IFERROR(VLOOKUP(MID(T46,W46,X46-W46),[6]skilldef!$C:$D,2,FALSE),"-") &amp; " / " &amp; IFERROR(VLOOKUP(MID(T46,U46,V46-U46),[6]skilldef!$A:$B,2,FALSE),"-")</f>
        <v>- / -</v>
      </c>
      <c r="Z46" s="151"/>
      <c r="AA46" s="155"/>
      <c r="AB46" s="151"/>
    </row>
    <row r="47" spans="1:28" ht="21" customHeight="1" x14ac:dyDescent="0.15">
      <c r="A47" s="178">
        <v>30047046</v>
      </c>
      <c r="B47" s="150" t="s">
        <v>337</v>
      </c>
      <c r="C47" s="151">
        <v>3</v>
      </c>
      <c r="D47" s="151" t="s">
        <v>128</v>
      </c>
      <c r="E47" s="152" t="s">
        <v>289</v>
      </c>
      <c r="F47" s="152" t="s">
        <v>284</v>
      </c>
      <c r="G47" s="153" t="str">
        <f t="shared" si="16"/>
        <v>[effect:enemy_message, val1:1.2, val2:1.2]</v>
      </c>
      <c r="H47" s="153">
        <f t="shared" si="17"/>
        <v>9</v>
      </c>
      <c r="I47" s="153">
        <f t="shared" si="18"/>
        <v>22</v>
      </c>
      <c r="J47" s="153" t="e">
        <f t="shared" si="19"/>
        <v>#VALUE!</v>
      </c>
      <c r="K47" s="153">
        <f t="shared" si="20"/>
        <v>32</v>
      </c>
      <c r="L47" s="153" t="str">
        <f>IFERROR(VLOOKUP(MID(G47,J47,K47-J47),[6]skilldef!$C:$D,2,FALSE),"-") &amp; " / " &amp; IFERROR(VLOOKUP(MID(G47,H47,I47-H47),[6]skilldef!$A:$B,2,FALSE),"-")</f>
        <v>- / -</v>
      </c>
      <c r="M47" s="153" t="str">
        <f t="shared" si="21"/>
        <v>[effect:rush, count:6, val:0.2]</v>
      </c>
      <c r="N47" s="154" t="str">
        <f>IFERROR(LEFT(M47,FIND("],",M47)+S60),M47)</f>
        <v>[effect:rush, count:6, val:0.2]</v>
      </c>
      <c r="O47" s="153">
        <f t="shared" si="22"/>
        <v>9</v>
      </c>
      <c r="P47" s="153">
        <f t="shared" si="23"/>
        <v>13</v>
      </c>
      <c r="Q47" s="153" t="e">
        <f t="shared" si="24"/>
        <v>#VALUE!</v>
      </c>
      <c r="R47" s="153">
        <f t="shared" si="25"/>
        <v>22</v>
      </c>
      <c r="S47" s="153" t="str">
        <f>IFERROR(VLOOKUP(MID(N47,Q47,R47-Q47),[6]skilldef!$C:$D,2,FALSE),"-") &amp; " / " &amp; IFERROR(VLOOKUP(MID(N47,O47,P47-O47),[6]skilldef!$A:$B,2,FALSE),"-")</f>
        <v>- / 連続攻撃</v>
      </c>
      <c r="T47" s="154" t="str">
        <f t="shared" si="26"/>
        <v>none</v>
      </c>
      <c r="U47" s="153" t="e">
        <f t="shared" si="27"/>
        <v>#VALUE!</v>
      </c>
      <c r="V47" s="153">
        <f t="shared" si="28"/>
        <v>4</v>
      </c>
      <c r="W47" s="153" t="e">
        <f t="shared" si="29"/>
        <v>#VALUE!</v>
      </c>
      <c r="X47" s="153" t="e">
        <f t="shared" si="30"/>
        <v>#VALUE!</v>
      </c>
      <c r="Y47" s="153" t="str">
        <f>IFERROR(VLOOKUP(MID(T47,W47,X47-W47),[6]skilldef!$C:$D,2,FALSE),"-") &amp; " / " &amp; IFERROR(VLOOKUP(MID(T47,U47,V47-U47),[6]skilldef!$A:$B,2,FALSE),"-")</f>
        <v>- / -</v>
      </c>
      <c r="Z47" s="151"/>
      <c r="AA47" s="155"/>
      <c r="AB47" s="151"/>
    </row>
    <row r="48" spans="1:28" ht="21" customHeight="1" x14ac:dyDescent="0.15">
      <c r="A48" s="178">
        <v>30047047</v>
      </c>
      <c r="B48" s="150" t="s">
        <v>357</v>
      </c>
      <c r="C48" s="48">
        <v>3</v>
      </c>
      <c r="D48" s="48" t="s">
        <v>128</v>
      </c>
      <c r="E48" s="152" t="s">
        <v>269</v>
      </c>
      <c r="F48" s="152" t="s">
        <v>283</v>
      </c>
      <c r="G48" s="153" t="str">
        <f t="shared" si="16"/>
        <v>[effect:enemy_message, val1:1.2, val2:2.4]</v>
      </c>
      <c r="H48" s="153">
        <f t="shared" si="17"/>
        <v>9</v>
      </c>
      <c r="I48" s="153">
        <f t="shared" si="18"/>
        <v>22</v>
      </c>
      <c r="J48" s="153" t="e">
        <f t="shared" si="19"/>
        <v>#VALUE!</v>
      </c>
      <c r="K48" s="153">
        <f t="shared" si="20"/>
        <v>32</v>
      </c>
      <c r="L48" s="153" t="str">
        <f>IFERROR(VLOOKUP(MID(G48,J48,K48-J48),[6]skilldef!$C:$D,2,FALSE),"-") &amp; " / " &amp; IFERROR(VLOOKUP(MID(G48,H48,I48-H48),[6]skilldef!$A:$B,2,FALSE),"-")</f>
        <v>- / -</v>
      </c>
      <c r="M48" s="153" t="str">
        <f t="shared" si="21"/>
        <v>[effect:force_change_block, new_block:damage, target:block_blue, color:block_blue, count:3, val:0.1, animation:change_block],[effect:critical, val:0.8]</v>
      </c>
      <c r="N48" s="154" t="str">
        <f>IFERROR(LEFT(M48,FIND("],",M48)+S61),M48)</f>
        <v>[effect:force_change_block, new_block:damage, target:block_blue, color:block_blue, count:3, val:0.1, animation:change_block],[effect:critical, val:0.8]</v>
      </c>
      <c r="O48" s="153">
        <f t="shared" si="22"/>
        <v>9</v>
      </c>
      <c r="P48" s="153">
        <f t="shared" si="23"/>
        <v>27</v>
      </c>
      <c r="Q48" s="153">
        <f t="shared" si="24"/>
        <v>54</v>
      </c>
      <c r="R48" s="153">
        <f t="shared" si="25"/>
        <v>45</v>
      </c>
      <c r="S48" s="153" t="str">
        <f>IFERROR(VLOOKUP(MID(N48,Q48,R48-Q48),[6]skilldef!$C:$D,2,FALSE),"-") &amp; " / " &amp; IFERROR(VLOOKUP(MID(N48,O48,P48-O48),[6]skilldef!$A:$B,2,FALSE),"-")</f>
        <v>- / -</v>
      </c>
      <c r="T48" s="154" t="str">
        <f t="shared" si="26"/>
        <v>[effect:critical, val:0.8]</v>
      </c>
      <c r="U48" s="153">
        <f t="shared" si="27"/>
        <v>9</v>
      </c>
      <c r="V48" s="153">
        <f t="shared" si="28"/>
        <v>17</v>
      </c>
      <c r="W48" s="153" t="e">
        <f t="shared" si="29"/>
        <v>#VALUE!</v>
      </c>
      <c r="X48" s="153" t="e">
        <f t="shared" si="30"/>
        <v>#VALUE!</v>
      </c>
      <c r="Y48" s="153" t="str">
        <f>IFERROR(VLOOKUP(MID(T48,W48,X48-W48),[6]skilldef!$C:$D,2,FALSE),"-") &amp; " / " &amp; IFERROR(VLOOKUP(MID(T48,U48,V48-U48),[6]skilldef!$A:$B,2,FALSE),"-")</f>
        <v>- / 大攻撃</v>
      </c>
      <c r="Z48" s="151"/>
      <c r="AA48" s="155"/>
      <c r="AB48" s="151"/>
    </row>
    <row r="49" spans="1:28" ht="21" customHeight="1" x14ac:dyDescent="0.15">
      <c r="A49" s="178">
        <v>30047048</v>
      </c>
      <c r="B49" s="150" t="s">
        <v>357</v>
      </c>
      <c r="C49" s="48">
        <v>3</v>
      </c>
      <c r="D49" s="48" t="s">
        <v>128</v>
      </c>
      <c r="E49" s="152" t="s">
        <v>269</v>
      </c>
      <c r="F49" s="152" t="s">
        <v>283</v>
      </c>
      <c r="G49" s="62" t="str">
        <f t="shared" si="16"/>
        <v>[effect:enemy_message, val1:1.2, val2:2.4]</v>
      </c>
      <c r="H49" s="62">
        <f t="shared" si="17"/>
        <v>9</v>
      </c>
      <c r="I49" s="62">
        <f t="shared" si="18"/>
        <v>22</v>
      </c>
      <c r="J49" s="62" t="e">
        <f t="shared" si="19"/>
        <v>#VALUE!</v>
      </c>
      <c r="K49" s="62">
        <f t="shared" si="20"/>
        <v>32</v>
      </c>
      <c r="L49" s="62" t="str">
        <f>IFERROR(VLOOKUP(MID(G49,J49,K49-J49),[6]skilldef!$C:$D,2,FALSE),"-") &amp; " / " &amp; IFERROR(VLOOKUP(MID(G49,H49,I49-H49),[6]skilldef!$A:$B,2,FALSE),"-")</f>
        <v>- / -</v>
      </c>
      <c r="M49" s="62" t="str">
        <f t="shared" si="21"/>
        <v>[effect:force_change_block, new_block:damage, target:block_blue, color:block_blue, count:3, val:0.1, animation:change_block],[effect:critical, val:0.8]</v>
      </c>
      <c r="N49" s="46" t="str">
        <f>IFERROR(LEFT(M49,FIND("],",M49)+S63),M49)</f>
        <v>[effect:force_change_block, new_block:damage, target:block_blue, color:block_blue, count:3, val:0.1, animation:change_block],[effect:critical, val:0.8]</v>
      </c>
      <c r="O49" s="62">
        <f t="shared" si="22"/>
        <v>9</v>
      </c>
      <c r="P49" s="62">
        <f t="shared" si="23"/>
        <v>27</v>
      </c>
      <c r="Q49" s="62">
        <f t="shared" si="24"/>
        <v>54</v>
      </c>
      <c r="R49" s="62">
        <f t="shared" si="25"/>
        <v>45</v>
      </c>
      <c r="S49" s="62" t="str">
        <f>IFERROR(VLOOKUP(MID(N49,Q49,R49-Q49),[6]skilldef!$C:$D,2,FALSE),"-") &amp; " / " &amp; IFERROR(VLOOKUP(MID(N49,O49,P49-O49),[6]skilldef!$A:$B,2,FALSE),"-")</f>
        <v>- / -</v>
      </c>
      <c r="T49" s="46" t="str">
        <f t="shared" si="26"/>
        <v>[effect:critical, val:0.8]</v>
      </c>
      <c r="U49" s="62">
        <f t="shared" si="27"/>
        <v>9</v>
      </c>
      <c r="V49" s="62">
        <f t="shared" si="28"/>
        <v>17</v>
      </c>
      <c r="W49" s="62" t="e">
        <f t="shared" si="29"/>
        <v>#VALUE!</v>
      </c>
      <c r="X49" s="62" t="e">
        <f t="shared" si="30"/>
        <v>#VALUE!</v>
      </c>
      <c r="Y49" s="62" t="str">
        <f>IFERROR(VLOOKUP(MID(T49,W49,X49-W49),[6]skilldef!$C:$D,2,FALSE),"-") &amp; " / " &amp; IFERROR(VLOOKUP(MID(T49,U49,V49-U49),[6]skilldef!$A:$B,2,FALSE),"-")</f>
        <v>- / 大攻撃</v>
      </c>
      <c r="Z49" s="48"/>
      <c r="AA49" s="50"/>
      <c r="AB49" s="48"/>
    </row>
    <row r="50" spans="1:28" ht="21" customHeight="1" thickBot="1" x14ac:dyDescent="0.2">
      <c r="A50" s="158">
        <v>30047049</v>
      </c>
      <c r="B50" s="144" t="s">
        <v>357</v>
      </c>
      <c r="C50" s="145">
        <v>3</v>
      </c>
      <c r="D50" s="145" t="s">
        <v>128</v>
      </c>
      <c r="E50" s="146" t="s">
        <v>269</v>
      </c>
      <c r="F50" s="146" t="s">
        <v>283</v>
      </c>
      <c r="G50" s="147"/>
      <c r="H50" s="147"/>
      <c r="I50" s="147"/>
      <c r="J50" s="147"/>
      <c r="K50" s="147"/>
      <c r="L50" s="147" t="str">
        <f>IFERROR(VLOOKUP(MID(G50,J50,K50-J50),[6]skilldef!$C:$D,2,FALSE),"-") &amp; " / " &amp; IFERROR(VLOOKUP(MID(G50,H50,I50-H50),[6]skilldef!$A:$B,2,FALSE),"-")</f>
        <v>- / -</v>
      </c>
      <c r="M50" s="147" t="str">
        <f t="shared" si="21"/>
        <v>[effect:force_change_block, new_block:damage, target:block_blue, color:block_blue, count:3, val:0.1, animation:change_block],[effect:critical, val:0.8]</v>
      </c>
      <c r="N50" s="148" t="str">
        <f>IFERROR(LEFT(M50,FIND("],",M50)+S63),M50)</f>
        <v>[effect:force_change_block, new_block:damage, target:block_blue, color:block_blue, count:3, val:0.1, animation:change_block],[effect:critical, val:0.8]</v>
      </c>
      <c r="O50" s="147">
        <f t="shared" si="22"/>
        <v>9</v>
      </c>
      <c r="P50" s="147">
        <f t="shared" si="23"/>
        <v>27</v>
      </c>
      <c r="Q50" s="147">
        <f t="shared" si="24"/>
        <v>54</v>
      </c>
      <c r="R50" s="147">
        <f t="shared" si="25"/>
        <v>45</v>
      </c>
      <c r="S50" s="147" t="str">
        <f>IFERROR(VLOOKUP(MID(N50,Q50,R50-Q50),[6]skilldef!$C:$D,2,FALSE),"-") &amp; " / " &amp; IFERROR(VLOOKUP(MID(N50,O50,P50-O50),[6]skilldef!$A:$B,2,FALSE),"-")</f>
        <v>- / -</v>
      </c>
      <c r="T50" s="148" t="str">
        <f t="shared" si="26"/>
        <v>[effect:critical, val:0.8]</v>
      </c>
      <c r="U50" s="147">
        <f t="shared" si="27"/>
        <v>9</v>
      </c>
      <c r="V50" s="147">
        <f t="shared" si="28"/>
        <v>17</v>
      </c>
      <c r="W50" s="147" t="e">
        <f t="shared" si="29"/>
        <v>#VALUE!</v>
      </c>
      <c r="X50" s="147" t="e">
        <f t="shared" si="30"/>
        <v>#VALUE!</v>
      </c>
      <c r="Y50" s="147" t="str">
        <f>IFERROR(VLOOKUP(MID(T50,W50,X50-W50),[6]skilldef!$C:$D,2,FALSE),"-") &amp; " / " &amp; IFERROR(VLOOKUP(MID(T50,U50,V50-U50),[6]skilldef!$A:$B,2,FALSE),"-")</f>
        <v>- / 大攻撃</v>
      </c>
      <c r="Z50" s="145"/>
      <c r="AA50" s="149"/>
      <c r="AB50" s="145"/>
    </row>
    <row r="51" spans="1:28" ht="21" customHeight="1" x14ac:dyDescent="0.15">
      <c r="A51" s="178">
        <v>30047050</v>
      </c>
      <c r="B51" s="184" t="s">
        <v>338</v>
      </c>
      <c r="C51" s="198">
        <v>3</v>
      </c>
      <c r="D51" s="198" t="s">
        <v>128</v>
      </c>
      <c r="E51" s="199" t="s">
        <v>275</v>
      </c>
      <c r="F51" s="199" t="s">
        <v>281</v>
      </c>
      <c r="G51" s="200"/>
      <c r="H51" s="200"/>
      <c r="I51" s="200"/>
      <c r="J51" s="200"/>
      <c r="K51" s="200"/>
      <c r="L51" s="153" t="str">
        <f>IFERROR(VLOOKUP(MID(G51,J51,K51-J51),[6]skilldef!$C:$D,2,FALSE),"-") &amp; " / " &amp; IFERROR(VLOOKUP(MID(G51,H51,I51-H51),[6]skilldef!$A:$B,2,FALSE),"-")</f>
        <v>- / -</v>
      </c>
      <c r="M51" s="153" t="str">
        <f t="shared" si="21"/>
        <v>[effect:tolerance, target:myself, turn:-1, count:-1, tolerance_effect:all, animation:enemy_tolerance]</v>
      </c>
      <c r="N51" s="154" t="str">
        <f>IFERROR(LEFT(M51,FIND("],",M51)+S64),M51)</f>
        <v>[effect:tolerance, target:myself, turn:-1, count:-1, tolerance_effect:all, animation:enemy_tolerance]</v>
      </c>
      <c r="O51" s="153">
        <f t="shared" si="22"/>
        <v>9</v>
      </c>
      <c r="P51" s="153">
        <f t="shared" si="23"/>
        <v>18</v>
      </c>
      <c r="Q51" s="153">
        <f t="shared" si="24"/>
        <v>27</v>
      </c>
      <c r="R51" s="153">
        <f t="shared" si="25"/>
        <v>33</v>
      </c>
      <c r="S51" s="153" t="str">
        <f>IFERROR(VLOOKUP(MID(N51,Q51,R51-Q51),[6]skilldef!$C:$D,2,FALSE),"-") &amp; " / " &amp; IFERROR(VLOOKUP(MID(N51,O51,P51-O51),[6]skilldef!$A:$B,2,FALSE),"-")</f>
        <v>自分自身に / 状態異常耐性</v>
      </c>
      <c r="T51" s="154" t="str">
        <f t="shared" si="26"/>
        <v>none</v>
      </c>
      <c r="U51" s="153" t="e">
        <f t="shared" si="27"/>
        <v>#VALUE!</v>
      </c>
      <c r="V51" s="153">
        <f t="shared" si="28"/>
        <v>4</v>
      </c>
      <c r="W51" s="153" t="e">
        <f t="shared" si="29"/>
        <v>#VALUE!</v>
      </c>
      <c r="X51" s="153" t="e">
        <f t="shared" si="30"/>
        <v>#VALUE!</v>
      </c>
      <c r="Y51" s="153" t="str">
        <f>IFERROR(VLOOKUP(MID(T51,W51,X51-W51),[6]skilldef!$C:$D,2,FALSE),"-") &amp; " / " &amp; IFERROR(VLOOKUP(MID(T51,U51,V51-U51),[6]skilldef!$A:$B,2,FALSE),"-")</f>
        <v>- / -</v>
      </c>
      <c r="Z51" s="198"/>
      <c r="AA51" s="201"/>
      <c r="AB51" s="198"/>
    </row>
    <row r="52" spans="1:28" ht="21" customHeight="1" x14ac:dyDescent="0.15">
      <c r="A52" s="178">
        <v>30047051</v>
      </c>
      <c r="B52" s="150" t="s">
        <v>353</v>
      </c>
      <c r="C52" s="48">
        <v>3</v>
      </c>
      <c r="D52" s="48" t="s">
        <v>128</v>
      </c>
      <c r="E52" s="49" t="s">
        <v>314</v>
      </c>
      <c r="F52" s="152" t="s">
        <v>307</v>
      </c>
      <c r="G52" s="153"/>
      <c r="H52" s="153"/>
      <c r="I52" s="153"/>
      <c r="J52" s="153"/>
      <c r="K52" s="153"/>
      <c r="L52" s="153" t="str">
        <f>IFERROR(VLOOKUP(MID(G52,J52,K52-J52),[6]skilldef!$C:$D,2,FALSE),"-") &amp; " / " &amp; IFERROR(VLOOKUP(MID(G52,H52,I52-H52),[6]skilldef!$A:$B,2,FALSE),"-")</f>
        <v>- / -</v>
      </c>
      <c r="M52" s="153" t="str">
        <f t="shared" si="21"/>
        <v>[effect:degrade_unit, target:unit_all, turn:3, status:heal, val:0.5, calc:mul, animation:degrade_unit_all_heal],[effect:critical, val:0.8]</v>
      </c>
      <c r="N52" s="154" t="str">
        <f>IFERROR(LEFT(M52,FIND("],",M52)+S65),M52)</f>
        <v>[effect:degrade_unit, target:unit_all, turn:3, status:heal, val:0.5, calc:mul, animation:degrade_unit_all_heal],[effect:critical, val:0.8]</v>
      </c>
      <c r="O52" s="153">
        <f t="shared" si="22"/>
        <v>9</v>
      </c>
      <c r="P52" s="153">
        <f t="shared" si="23"/>
        <v>21</v>
      </c>
      <c r="Q52" s="153">
        <f t="shared" si="24"/>
        <v>30</v>
      </c>
      <c r="R52" s="153">
        <f t="shared" si="25"/>
        <v>38</v>
      </c>
      <c r="S52" s="153" t="str">
        <f>IFERROR(VLOOKUP(MID(N52,Q52,R52-Q52),[6]skilldef!$C:$D,2,FALSE),"-") &amp; " / " &amp; IFERROR(VLOOKUP(MID(N52,O52,P52-O52),[6]skilldef!$A:$B,2,FALSE),"-")</f>
        <v>味方全体に / ステータスDOWN</v>
      </c>
      <c r="T52" s="154" t="str">
        <f t="shared" si="26"/>
        <v>[effect:critical, val:0.8]</v>
      </c>
      <c r="U52" s="153">
        <f t="shared" si="27"/>
        <v>9</v>
      </c>
      <c r="V52" s="153">
        <f t="shared" si="28"/>
        <v>17</v>
      </c>
      <c r="W52" s="153" t="e">
        <f t="shared" si="29"/>
        <v>#VALUE!</v>
      </c>
      <c r="X52" s="153" t="e">
        <f t="shared" si="30"/>
        <v>#VALUE!</v>
      </c>
      <c r="Y52" s="153" t="str">
        <f>IFERROR(VLOOKUP(MID(T52,W52,X52-W52),[6]skilldef!$C:$D,2,FALSE),"-") &amp; " / " &amp; IFERROR(VLOOKUP(MID(T52,U52,V52-U52),[6]skilldef!$A:$B,2,FALSE),"-")</f>
        <v>- / 大攻撃</v>
      </c>
      <c r="Z52" s="151"/>
      <c r="AA52" s="155"/>
      <c r="AB52" s="151"/>
    </row>
    <row r="53" spans="1:28" ht="21" customHeight="1" x14ac:dyDescent="0.15">
      <c r="A53" s="178">
        <v>30047052</v>
      </c>
      <c r="B53" s="150" t="s">
        <v>340</v>
      </c>
      <c r="C53" s="151">
        <v>3</v>
      </c>
      <c r="D53" s="151" t="s">
        <v>128</v>
      </c>
      <c r="E53" s="152" t="s">
        <v>298</v>
      </c>
      <c r="F53" s="152" t="s">
        <v>312</v>
      </c>
      <c r="G53" s="153" t="str">
        <f>IFERROR(LEFT(B53,FIND("],",B53)),B53)</f>
        <v>[effect:enemy_message, val1:1.2, val2:1.5]</v>
      </c>
      <c r="H53" s="153">
        <f>FIND("effect:",G53)+7</f>
        <v>9</v>
      </c>
      <c r="I53" s="153">
        <f>IFERROR(FIND(",",G53),LEN(G53))</f>
        <v>22</v>
      </c>
      <c r="J53" s="153" t="e">
        <f>FIND("target:",G53)+7</f>
        <v>#VALUE!</v>
      </c>
      <c r="K53" s="153">
        <f>FIND(",",G53,I53+1)</f>
        <v>32</v>
      </c>
      <c r="L53" s="153" t="str">
        <f>IFERROR(VLOOKUP(MID(G53,J53,K53-J53),[6]skilldef!$C:$D,2,FALSE),"-") &amp; " / " &amp; IFERROR(VLOOKUP(MID(G53,H53,I53-H53),[6]skilldef!$A:$B,2,FALSE),"-")</f>
        <v>- / -</v>
      </c>
      <c r="M53" s="153" t="str">
        <f t="shared" si="21"/>
        <v>[effect:break_attack, target:unit_one, val:0.09, lowest_val:0, count:-1, color:blue, block01:block_red, block02:block_yellow, block03:block_green]</v>
      </c>
      <c r="N53" s="154" t="str">
        <f>IFERROR(LEFT(M53,FIND("],",M53)+S64),M53)</f>
        <v>[effect:break_attack, target:unit_one, val:0.09, lowest_val:0, count:-1, color:blue, block01:block_red, block02:block_yellow, block03:block_green]</v>
      </c>
      <c r="O53" s="153">
        <f t="shared" si="22"/>
        <v>9</v>
      </c>
      <c r="P53" s="153">
        <f t="shared" si="23"/>
        <v>21</v>
      </c>
      <c r="Q53" s="153">
        <f t="shared" si="24"/>
        <v>30</v>
      </c>
      <c r="R53" s="153">
        <f t="shared" si="25"/>
        <v>38</v>
      </c>
      <c r="S53" s="153" t="str">
        <f>IFERROR(VLOOKUP(MID(N53,Q53,R53-Q53),[6]skilldef!$C:$D,2,FALSE),"-") &amp; " / " &amp; IFERROR(VLOOKUP(MID(N53,O53,P53-O53),[6]skilldef!$A:$B,2,FALSE),"-")</f>
        <v>味方単体に / -</v>
      </c>
      <c r="T53" s="154" t="str">
        <f t="shared" si="26"/>
        <v>none</v>
      </c>
      <c r="U53" s="153" t="e">
        <f t="shared" si="27"/>
        <v>#VALUE!</v>
      </c>
      <c r="V53" s="153">
        <f t="shared" si="28"/>
        <v>4</v>
      </c>
      <c r="W53" s="153" t="e">
        <f t="shared" si="29"/>
        <v>#VALUE!</v>
      </c>
      <c r="X53" s="153" t="e">
        <f t="shared" si="30"/>
        <v>#VALUE!</v>
      </c>
      <c r="Y53" s="153" t="str">
        <f>IFERROR(VLOOKUP(MID(T53,W53,X53-W53),[6]skilldef!$C:$D,2,FALSE),"-") &amp; " / " &amp; IFERROR(VLOOKUP(MID(T53,U53,V53-U53),[6]skilldef!$A:$B,2,FALSE),"-")</f>
        <v>- / -</v>
      </c>
      <c r="Z53" s="151"/>
      <c r="AA53" s="155"/>
      <c r="AB53" s="151"/>
    </row>
    <row r="54" spans="1:28" ht="21" customHeight="1" x14ac:dyDescent="0.15">
      <c r="A54" s="178">
        <v>30047053</v>
      </c>
      <c r="B54" s="45" t="s">
        <v>341</v>
      </c>
      <c r="C54" s="48">
        <v>3</v>
      </c>
      <c r="D54" s="48" t="s">
        <v>128</v>
      </c>
      <c r="E54" s="49" t="s">
        <v>299</v>
      </c>
      <c r="F54" s="49" t="s">
        <v>308</v>
      </c>
      <c r="G54" s="62" t="str">
        <f>IFERROR(LEFT(B54,FIND("],",B54)),B54)</f>
        <v>[effect:enemy_message, val1:1.2, val2:1.9]</v>
      </c>
      <c r="H54" s="62">
        <f>FIND("effect:",G54)+7</f>
        <v>9</v>
      </c>
      <c r="I54" s="62">
        <f>IFERROR(FIND(",",G54),LEN(G54))</f>
        <v>22</v>
      </c>
      <c r="J54" s="62" t="e">
        <f>FIND("target:",G54)+7</f>
        <v>#VALUE!</v>
      </c>
      <c r="K54" s="62">
        <f>FIND(",",G54,I54+1)</f>
        <v>32</v>
      </c>
      <c r="L54" s="62" t="str">
        <f>IFERROR(VLOOKUP(MID(G54,J54,K54-J54),[6]skilldef!$C:$D,2,FALSE),"-") &amp; " / " &amp; IFERROR(VLOOKUP(MID(G54,H54,I54-H54),[6]skilldef!$A:$B,2,FALSE),"-")</f>
        <v>- / -</v>
      </c>
      <c r="M54" s="62" t="str">
        <f t="shared" si="21"/>
        <v>[effect:force_change_block, new_block:damage, target:block_blue, color:block_blue, count:5, val:0.1, animation:change_block]</v>
      </c>
      <c r="N54" s="46" t="str">
        <f>IFERROR(LEFT(M54,FIND("],",M54)+S64),M54)</f>
        <v>[effect:force_change_block, new_block:damage, target:block_blue, color:block_blue, count:5, val:0.1, animation:change_block]</v>
      </c>
      <c r="O54" s="62">
        <f t="shared" si="22"/>
        <v>9</v>
      </c>
      <c r="P54" s="62">
        <f t="shared" si="23"/>
        <v>27</v>
      </c>
      <c r="Q54" s="62">
        <f t="shared" si="24"/>
        <v>54</v>
      </c>
      <c r="R54" s="62">
        <f t="shared" si="25"/>
        <v>45</v>
      </c>
      <c r="S54" s="62" t="str">
        <f>IFERROR(VLOOKUP(MID(N54,Q54,R54-Q54),[6]skilldef!$C:$D,2,FALSE),"-") &amp; " / " &amp; IFERROR(VLOOKUP(MID(N54,O54,P54-O54),[6]skilldef!$A:$B,2,FALSE),"-")</f>
        <v>- / -</v>
      </c>
      <c r="T54" s="46" t="str">
        <f t="shared" si="26"/>
        <v>none</v>
      </c>
      <c r="U54" s="62" t="e">
        <f t="shared" si="27"/>
        <v>#VALUE!</v>
      </c>
      <c r="V54" s="62">
        <f t="shared" si="28"/>
        <v>4</v>
      </c>
      <c r="W54" s="62" t="e">
        <f t="shared" si="29"/>
        <v>#VALUE!</v>
      </c>
      <c r="X54" s="62" t="e">
        <f t="shared" si="30"/>
        <v>#VALUE!</v>
      </c>
      <c r="Y54" s="62" t="str">
        <f>IFERROR(VLOOKUP(MID(T54,W54,X54-W54),[6]skilldef!$C:$D,2,FALSE),"-") &amp; " / " &amp; IFERROR(VLOOKUP(MID(T54,U54,V54-U54),[6]skilldef!$A:$B,2,FALSE),"-")</f>
        <v>- / -</v>
      </c>
      <c r="Z54" s="48"/>
      <c r="AA54" s="50"/>
      <c r="AB54" s="48"/>
    </row>
    <row r="55" spans="1:28" ht="21" customHeight="1" thickBot="1" x14ac:dyDescent="0.2">
      <c r="A55" s="158">
        <v>30047054</v>
      </c>
      <c r="B55" s="172" t="s">
        <v>361</v>
      </c>
      <c r="C55" s="203">
        <v>3</v>
      </c>
      <c r="D55" s="203" t="s">
        <v>128</v>
      </c>
      <c r="E55" s="204" t="s">
        <v>291</v>
      </c>
      <c r="F55" s="204" t="s">
        <v>302</v>
      </c>
      <c r="G55" s="205" t="str">
        <f>IFERROR(LEFT(B55,FIND("],",B55)),B55)</f>
        <v>[effect:enemy_message, val1:1.2, val2:0 dead_type:suicide]</v>
      </c>
      <c r="H55" s="205">
        <f>FIND("effect:",G55)+7</f>
        <v>9</v>
      </c>
      <c r="I55" s="205">
        <f>IFERROR(FIND(",",G55),LEN(G55))</f>
        <v>22</v>
      </c>
      <c r="J55" s="205" t="e">
        <f>FIND("target:",G55)+7</f>
        <v>#VALUE!</v>
      </c>
      <c r="K55" s="205">
        <f>FIND(",",G55,I55+1)</f>
        <v>32</v>
      </c>
      <c r="L55" s="205" t="str">
        <f>IFERROR(VLOOKUP(MID(G55,J55,K55-J55),[6]skilldef!$C:$D,2,FALSE),"-") &amp; " / " &amp; IFERROR(VLOOKUP(MID(G55,H55,I55-H55),[6]skilldef!$A:$B,2,FALSE),"-")</f>
        <v>- / -</v>
      </c>
      <c r="M55" s="205" t="str">
        <f t="shared" si="21"/>
        <v>none</v>
      </c>
      <c r="N55" s="173" t="str">
        <f>IFERROR(LEFT(M55,FIND("],",M55)+S65),M55)</f>
        <v>none</v>
      </c>
      <c r="O55" s="205" t="e">
        <f t="shared" si="22"/>
        <v>#VALUE!</v>
      </c>
      <c r="P55" s="205">
        <f t="shared" si="23"/>
        <v>4</v>
      </c>
      <c r="Q55" s="205" t="e">
        <f t="shared" si="24"/>
        <v>#VALUE!</v>
      </c>
      <c r="R55" s="205" t="e">
        <f t="shared" si="25"/>
        <v>#VALUE!</v>
      </c>
      <c r="S55" s="205" t="str">
        <f>IFERROR(VLOOKUP(MID(N55,Q55,R55-Q55),[6]skilldef!$C:$D,2,FALSE),"-") &amp; " / " &amp; IFERROR(VLOOKUP(MID(N55,O55,P55-O55),[6]skilldef!$A:$B,2,FALSE),"-")</f>
        <v>- / -</v>
      </c>
      <c r="T55" s="173" t="str">
        <f t="shared" si="26"/>
        <v>none</v>
      </c>
      <c r="U55" s="205" t="e">
        <f t="shared" si="27"/>
        <v>#VALUE!</v>
      </c>
      <c r="V55" s="205">
        <f t="shared" si="28"/>
        <v>4</v>
      </c>
      <c r="W55" s="205" t="e">
        <f t="shared" si="29"/>
        <v>#VALUE!</v>
      </c>
      <c r="X55" s="205" t="e">
        <f t="shared" si="30"/>
        <v>#VALUE!</v>
      </c>
      <c r="Y55" s="205" t="str">
        <f>IFERROR(VLOOKUP(MID(T55,W55,X55-W55),[6]skilldef!$C:$D,2,FALSE),"-") &amp; " / " &amp; IFERROR(VLOOKUP(MID(T55,U55,V55-U55),[6]skilldef!$A:$B,2,FALSE),"-")</f>
        <v>- / -</v>
      </c>
      <c r="Z55" s="203"/>
      <c r="AA55" s="206"/>
      <c r="AB55" s="203"/>
    </row>
    <row r="56" spans="1:28" ht="21" customHeight="1" x14ac:dyDescent="0.15">
      <c r="A56" s="217">
        <v>30047055</v>
      </c>
      <c r="B56" s="150" t="s">
        <v>351</v>
      </c>
      <c r="C56" s="151">
        <v>3</v>
      </c>
      <c r="D56" s="151" t="s">
        <v>128</v>
      </c>
      <c r="E56" s="152" t="s">
        <v>315</v>
      </c>
      <c r="F56" s="152" t="s">
        <v>301</v>
      </c>
      <c r="G56" s="153" t="str">
        <f t="shared" ref="G56:G76" si="32">IFERROR(LEFT(B56,FIND("],",B56)),B56)</f>
        <v>[effect:enemy_message, val1:1.7, val2:0]</v>
      </c>
      <c r="H56" s="153">
        <f t="shared" ref="H56:H76" si="33">FIND("effect:",G56)+7</f>
        <v>9</v>
      </c>
      <c r="I56" s="153">
        <f t="shared" ref="I56:I76" si="34">IFERROR(FIND(",",G56),LEN(G56))</f>
        <v>22</v>
      </c>
      <c r="J56" s="153" t="e">
        <f t="shared" ref="J56:J76" si="35">FIND("target:",G56)+7</f>
        <v>#VALUE!</v>
      </c>
      <c r="K56" s="153">
        <f t="shared" ref="K56:K76" si="36">FIND(",",G56,I56+1)</f>
        <v>32</v>
      </c>
      <c r="L56" s="153" t="str">
        <f>IFERROR(VLOOKUP(MID(G56,J56,K56-J56),[6]skilldef!$C:$D,2,FALSE),"-") &amp; " / " &amp; IFERROR(VLOOKUP(MID(G56,H56,I56-H56),[6]skilldef!$A:$B,2,FALSE),"-")</f>
        <v>- / -</v>
      </c>
      <c r="M56" s="153" t="str">
        <f t="shared" si="21"/>
        <v>[effect:ability_lock, target:unit_all, turn:1],[effect:sleep, target:unit_all, turn:1, rate:1],[effect:fix_speed, target:myself, turn:1]</v>
      </c>
      <c r="N56" s="154" t="str">
        <f>IFERROR(LEFT(M56,FIND("],",M56)+S66),M56)</f>
        <v>[effect:ability_lock, target:unit_all, turn:1],[effect:sleep, target:unit_all, turn:1, rate:1],[effect:fix_speed, target:myself, turn:1]</v>
      </c>
      <c r="O56" s="153">
        <f t="shared" si="22"/>
        <v>9</v>
      </c>
      <c r="P56" s="153">
        <f t="shared" si="23"/>
        <v>21</v>
      </c>
      <c r="Q56" s="153">
        <f t="shared" si="24"/>
        <v>30</v>
      </c>
      <c r="R56" s="153">
        <f t="shared" si="25"/>
        <v>38</v>
      </c>
      <c r="S56" s="153" t="str">
        <f>IFERROR(VLOOKUP(MID(N56,Q56,R56-Q56),[6]skilldef!$C:$D,2,FALSE),"-") &amp; " / " &amp; IFERROR(VLOOKUP(MID(N56,O56,P56-O56),[6]skilldef!$A:$B,2,FALSE),"-")</f>
        <v>味方全体に / -</v>
      </c>
      <c r="T56" s="154" t="str">
        <f t="shared" si="26"/>
        <v>[effect:sleep, target:unit_all, turn:1, rate:1],[effect:fix_speed, target:myself, turn:1]</v>
      </c>
      <c r="U56" s="153">
        <f t="shared" si="27"/>
        <v>9</v>
      </c>
      <c r="V56" s="153">
        <f t="shared" si="28"/>
        <v>14</v>
      </c>
      <c r="W56" s="153">
        <f t="shared" si="29"/>
        <v>23</v>
      </c>
      <c r="X56" s="153">
        <f t="shared" si="30"/>
        <v>31</v>
      </c>
      <c r="Y56" s="153" t="str">
        <f>IFERROR(VLOOKUP(MID(T56,W56,X56-W56),[6]skilldef!$C:$D,2,FALSE),"-") &amp; " / " &amp; IFERROR(VLOOKUP(MID(T56,U56,V56-U56),[6]skilldef!$A:$B,2,FALSE),"-")</f>
        <v>味方全体に / スリープ</v>
      </c>
      <c r="Z56" s="151"/>
      <c r="AA56" s="155"/>
      <c r="AB56" s="151"/>
    </row>
    <row r="57" spans="1:28" ht="21" customHeight="1" thickBot="1" x14ac:dyDescent="0.2">
      <c r="A57" s="156">
        <v>30047056</v>
      </c>
      <c r="B57" s="144" t="s">
        <v>356</v>
      </c>
      <c r="C57" s="145">
        <v>3</v>
      </c>
      <c r="D57" s="145" t="s">
        <v>128</v>
      </c>
      <c r="E57" s="146" t="s">
        <v>258</v>
      </c>
      <c r="F57" s="146" t="s">
        <v>316</v>
      </c>
      <c r="G57" s="147" t="str">
        <f t="shared" si="32"/>
        <v>[effect:enemy_message, val1:1.8, val2:3.1]</v>
      </c>
      <c r="H57" s="147">
        <f t="shared" si="33"/>
        <v>9</v>
      </c>
      <c r="I57" s="147">
        <f t="shared" si="34"/>
        <v>22</v>
      </c>
      <c r="J57" s="147" t="e">
        <f t="shared" si="35"/>
        <v>#VALUE!</v>
      </c>
      <c r="K57" s="147">
        <f t="shared" si="36"/>
        <v>32</v>
      </c>
      <c r="L57" s="147" t="str">
        <f>IFERROR(VLOOKUP(MID(G57,J57,K57-J57),[6]skilldef!$C:$D,2,FALSE),"-") &amp; " / " &amp; IFERROR(VLOOKUP(MID(G57,H57,I57-H57),[6]skilldef!$A:$B,2,FALSE),"-")</f>
        <v>- / -</v>
      </c>
      <c r="M57" s="147" t="str">
        <f t="shared" si="21"/>
        <v>[effect:force_change_block, new_block:block_heart, target:block_all, count:0, val:0, animation:change_block],[effect:change_panel_ratio, turn:-1, block_type:heal, val:0.3, animation:block_incidence04],[effect:suicide, target:myself, val:1, dead_type:escape]</v>
      </c>
      <c r="N57" s="148" t="str">
        <f>IFERROR(LEFT(M57,FIND("],",M57)+S67),M57)</f>
        <v>[effect:force_change_block, new_block:block_heart, target:block_all, count:0, val:0, animation:change_block],[effect:change_panel_ratio, turn:-1, block_type:heal, val:0.3, animation:block_incidence04],[effect:suicide, target:myself, val:1, dead_type:escape]</v>
      </c>
      <c r="O57" s="147">
        <f t="shared" si="22"/>
        <v>9</v>
      </c>
      <c r="P57" s="147">
        <f t="shared" si="23"/>
        <v>27</v>
      </c>
      <c r="Q57" s="147">
        <f t="shared" si="24"/>
        <v>59</v>
      </c>
      <c r="R57" s="147">
        <f t="shared" si="25"/>
        <v>50</v>
      </c>
      <c r="S57" s="147" t="str">
        <f>IFERROR(VLOOKUP(MID(N57,Q57,R57-Q57),[6]skilldef!$C:$D,2,FALSE),"-") &amp; " / " &amp; IFERROR(VLOOKUP(MID(N57,O57,P57-O57),[6]skilldef!$A:$B,2,FALSE),"-")</f>
        <v>- / -</v>
      </c>
      <c r="T57" s="148" t="str">
        <f t="shared" si="26"/>
        <v>[effect:change_panel_ratio, turn:-1, block_type:heal, val:0.3, animation:block_incidence04],[effect:suicide, target:myself, val:1, dead_type:escape]</v>
      </c>
      <c r="U57" s="147">
        <f t="shared" si="27"/>
        <v>9</v>
      </c>
      <c r="V57" s="147">
        <f t="shared" si="28"/>
        <v>27</v>
      </c>
      <c r="W57" s="147">
        <f t="shared" si="29"/>
        <v>117</v>
      </c>
      <c r="X57" s="147">
        <f t="shared" si="30"/>
        <v>36</v>
      </c>
      <c r="Y57" s="147" t="str">
        <f>IFERROR(VLOOKUP(MID(T57,W57,X57-W57),[6]skilldef!$C:$D,2,FALSE),"-") &amp; " / " &amp; IFERROR(VLOOKUP(MID(T57,U57,V57-U57),[6]skilldef!$A:$B,2,FALSE),"-")</f>
        <v>- / -</v>
      </c>
      <c r="Z57" s="145"/>
      <c r="AA57" s="149"/>
      <c r="AB57" s="145"/>
    </row>
    <row r="58" spans="1:28" ht="21" customHeight="1" x14ac:dyDescent="0.15">
      <c r="A58" s="167">
        <v>30047057</v>
      </c>
      <c r="B58" s="150" t="s">
        <v>343</v>
      </c>
      <c r="C58" s="151">
        <v>3</v>
      </c>
      <c r="D58" s="151" t="s">
        <v>128</v>
      </c>
      <c r="E58" s="152" t="s">
        <v>260</v>
      </c>
      <c r="F58" s="152" t="s">
        <v>280</v>
      </c>
      <c r="G58" s="153" t="str">
        <f t="shared" si="32"/>
        <v>[effect:enemy_message, val1:1.2, val2:2]</v>
      </c>
      <c r="H58" s="153">
        <f t="shared" si="33"/>
        <v>9</v>
      </c>
      <c r="I58" s="153">
        <f t="shared" si="34"/>
        <v>22</v>
      </c>
      <c r="J58" s="153" t="e">
        <f t="shared" si="35"/>
        <v>#VALUE!</v>
      </c>
      <c r="K58" s="153">
        <f t="shared" si="36"/>
        <v>32</v>
      </c>
      <c r="L58" s="153" t="str">
        <f>IFERROR(VLOOKUP(MID(G58,J58,K58-J58),[6]skilldef!$C:$D,2,FALSE),"-") &amp; " / " &amp; IFERROR(VLOOKUP(MID(G58,H58,I58-H58),[6]skilldef!$A:$B,2,FALSE),"-")</f>
        <v>- / -</v>
      </c>
      <c r="M58" s="153" t="str">
        <f t="shared" si="21"/>
        <v>[effect:force_change_block, new_block:damage, target:block_heart, color:block_blue, count:23, val:0.04, animation:change_block]</v>
      </c>
      <c r="N58" s="154" t="str">
        <f>IFERROR(LEFT(M58,FIND("],",M58)+S67),M58)</f>
        <v>[effect:force_change_block, new_block:damage, target:block_heart, color:block_blue, count:23, val:0.04, animation:change_block]</v>
      </c>
      <c r="O58" s="153">
        <f t="shared" si="22"/>
        <v>9</v>
      </c>
      <c r="P58" s="153">
        <f t="shared" si="23"/>
        <v>27</v>
      </c>
      <c r="Q58" s="153">
        <f t="shared" si="24"/>
        <v>54</v>
      </c>
      <c r="R58" s="153">
        <f t="shared" si="25"/>
        <v>45</v>
      </c>
      <c r="S58" s="153" t="str">
        <f>IFERROR(VLOOKUP(MID(N58,Q58,R58-Q58),[6]skilldef!$C:$D,2,FALSE),"-") &amp; " / " &amp; IFERROR(VLOOKUP(MID(N58,O58,P58-O58),[6]skilldef!$A:$B,2,FALSE),"-")</f>
        <v>- / -</v>
      </c>
      <c r="T58" s="154" t="str">
        <f t="shared" si="26"/>
        <v>none</v>
      </c>
      <c r="U58" s="153" t="e">
        <f t="shared" si="27"/>
        <v>#VALUE!</v>
      </c>
      <c r="V58" s="153">
        <f t="shared" si="28"/>
        <v>4</v>
      </c>
      <c r="W58" s="153" t="e">
        <f t="shared" si="29"/>
        <v>#VALUE!</v>
      </c>
      <c r="X58" s="153" t="e">
        <f t="shared" si="30"/>
        <v>#VALUE!</v>
      </c>
      <c r="Y58" s="153" t="str">
        <f>IFERROR(VLOOKUP(MID(T58,W58,X58-W58),[6]skilldef!$C:$D,2,FALSE),"-") &amp; " / " &amp; IFERROR(VLOOKUP(MID(T58,U58,V58-U58),[6]skilldef!$A:$B,2,FALSE),"-")</f>
        <v>- / -</v>
      </c>
      <c r="Z58" s="151"/>
      <c r="AA58" s="155"/>
      <c r="AB58" s="151"/>
    </row>
    <row r="59" spans="1:28" ht="21" customHeight="1" thickBot="1" x14ac:dyDescent="0.2">
      <c r="A59" s="168">
        <v>30047058</v>
      </c>
      <c r="B59" s="144" t="s">
        <v>322</v>
      </c>
      <c r="C59" s="145">
        <v>3</v>
      </c>
      <c r="D59" s="145" t="s">
        <v>128</v>
      </c>
      <c r="E59" s="146" t="s">
        <v>259</v>
      </c>
      <c r="F59" s="146" t="s">
        <v>303</v>
      </c>
      <c r="G59" s="147" t="str">
        <f t="shared" si="32"/>
        <v>[effect:enemy_message, val1:1.2, val2:1.9]</v>
      </c>
      <c r="H59" s="147">
        <f t="shared" si="33"/>
        <v>9</v>
      </c>
      <c r="I59" s="147">
        <f t="shared" si="34"/>
        <v>22</v>
      </c>
      <c r="J59" s="147" t="e">
        <f t="shared" si="35"/>
        <v>#VALUE!</v>
      </c>
      <c r="K59" s="147">
        <f t="shared" si="36"/>
        <v>32</v>
      </c>
      <c r="L59" s="147" t="str">
        <f>IFERROR(VLOOKUP(MID(G59,J59,K59-J59),[6]skilldef!$C:$D,2,FALSE),"-") &amp; " / " &amp; IFERROR(VLOOKUP(MID(G59,H59,I59-H59),[6]skilldef!$A:$B,2,FALSE),"-")</f>
        <v>- / -</v>
      </c>
      <c r="M59" s="147" t="str">
        <f t="shared" si="21"/>
        <v>[effect:damage_anti_color, target:unit_one, color:blue, val1:1, val2:0.7]</v>
      </c>
      <c r="N59" s="148" t="str">
        <f>IFERROR(LEFT(M59,FIND("],",M59)+S72),M59)</f>
        <v>[effect:damage_anti_color, target:unit_one, color:blue, val1:1, val2:0.7]</v>
      </c>
      <c r="O59" s="147">
        <f t="shared" si="22"/>
        <v>9</v>
      </c>
      <c r="P59" s="147">
        <f t="shared" si="23"/>
        <v>26</v>
      </c>
      <c r="Q59" s="147">
        <f t="shared" si="24"/>
        <v>35</v>
      </c>
      <c r="R59" s="147">
        <f t="shared" si="25"/>
        <v>43</v>
      </c>
      <c r="S59" s="147" t="str">
        <f>IFERROR(VLOOKUP(MID(N59,Q59,R59-Q59),[6]skilldef!$C:$D,2,FALSE),"-") &amp; " / " &amp; IFERROR(VLOOKUP(MID(N59,O59,P59-O59),[6]skilldef!$A:$B,2,FALSE),"-")</f>
        <v>味方単体に / 属性キラー</v>
      </c>
      <c r="T59" s="148" t="str">
        <f t="shared" si="26"/>
        <v>none</v>
      </c>
      <c r="U59" s="147" t="e">
        <f t="shared" si="27"/>
        <v>#VALUE!</v>
      </c>
      <c r="V59" s="147">
        <f t="shared" si="28"/>
        <v>4</v>
      </c>
      <c r="W59" s="147" t="e">
        <f t="shared" si="29"/>
        <v>#VALUE!</v>
      </c>
      <c r="X59" s="147" t="e">
        <f t="shared" si="30"/>
        <v>#VALUE!</v>
      </c>
      <c r="Y59" s="147" t="str">
        <f>IFERROR(VLOOKUP(MID(T59,W59,X59-W59),[6]skilldef!$C:$D,2,FALSE),"-") &amp; " / " &amp; IFERROR(VLOOKUP(MID(T59,U59,V59-U59),[6]skilldef!$A:$B,2,FALSE),"-")</f>
        <v>- / -</v>
      </c>
      <c r="Z59" s="145"/>
      <c r="AA59" s="149"/>
      <c r="AB59" s="145"/>
    </row>
    <row r="60" spans="1:28" ht="21" customHeight="1" x14ac:dyDescent="0.15">
      <c r="A60" s="189">
        <v>30047059</v>
      </c>
      <c r="B60" s="150" t="s">
        <v>354</v>
      </c>
      <c r="C60" s="151">
        <v>3</v>
      </c>
      <c r="D60" s="151" t="s">
        <v>128</v>
      </c>
      <c r="E60" s="152" t="s">
        <v>261</v>
      </c>
      <c r="F60" s="152" t="s">
        <v>282</v>
      </c>
      <c r="G60" s="153" t="str">
        <f t="shared" si="32"/>
        <v>[effect:enemy_message, val1:1.2, val2:2.6]</v>
      </c>
      <c r="H60" s="153">
        <f t="shared" si="33"/>
        <v>9</v>
      </c>
      <c r="I60" s="153">
        <f t="shared" si="34"/>
        <v>22</v>
      </c>
      <c r="J60" s="153" t="e">
        <f t="shared" si="35"/>
        <v>#VALUE!</v>
      </c>
      <c r="K60" s="153">
        <f t="shared" si="36"/>
        <v>32</v>
      </c>
      <c r="L60" s="153" t="str">
        <f>IFERROR(VLOOKUP(MID(G60,J60,K60-J60),[6]skilldef!$C:$D,2,FALSE),"-") &amp; " / " &amp; IFERROR(VLOOKUP(MID(G60,H60,I60-H60),[6]skilldef!$A:$B,2,FALSE),"-")</f>
        <v>- / -</v>
      </c>
      <c r="M60" s="153" t="str">
        <f t="shared" si="21"/>
        <v>[effect:force_change_block, new_block:damage, target:block_heart, color:block_blue, count:5, val:0.03, animation:change_block],[effect:critical, val:0.7]</v>
      </c>
      <c r="N60" s="154" t="str">
        <f>IFERROR(LEFT(M60,FIND("],",M60)+S74),M60)</f>
        <v>[effect:force_change_block, new_block:damage, target:block_heart, color:block_blue, count:5, val:0.03, animation:change_block],[effect:critical, val:0.7]</v>
      </c>
      <c r="O60" s="153">
        <f t="shared" si="22"/>
        <v>9</v>
      </c>
      <c r="P60" s="153">
        <f t="shared" si="23"/>
        <v>27</v>
      </c>
      <c r="Q60" s="153">
        <f t="shared" si="24"/>
        <v>54</v>
      </c>
      <c r="R60" s="153">
        <f t="shared" si="25"/>
        <v>45</v>
      </c>
      <c r="S60" s="153" t="str">
        <f>IFERROR(VLOOKUP(MID(N60,Q60,R60-Q60),[6]skilldef!$C:$D,2,FALSE),"-") &amp; " / " &amp; IFERROR(VLOOKUP(MID(N60,O60,P60-O60),[6]skilldef!$A:$B,2,FALSE),"-")</f>
        <v>- / -</v>
      </c>
      <c r="T60" s="154" t="str">
        <f t="shared" si="26"/>
        <v>[effect:critical, val:0.7]</v>
      </c>
      <c r="U60" s="153">
        <f t="shared" si="27"/>
        <v>9</v>
      </c>
      <c r="V60" s="153">
        <f t="shared" si="28"/>
        <v>17</v>
      </c>
      <c r="W60" s="153" t="e">
        <f t="shared" si="29"/>
        <v>#VALUE!</v>
      </c>
      <c r="X60" s="153" t="e">
        <f t="shared" si="30"/>
        <v>#VALUE!</v>
      </c>
      <c r="Y60" s="153" t="str">
        <f>IFERROR(VLOOKUP(MID(T60,W60,X60-W60),[6]skilldef!$C:$D,2,FALSE),"-") &amp; " / " &amp; IFERROR(VLOOKUP(MID(T60,U60,V60-U60),[6]skilldef!$A:$B,2,FALSE),"-")</f>
        <v>- / 大攻撃</v>
      </c>
      <c r="Z60" s="151"/>
      <c r="AA60" s="155"/>
      <c r="AB60" s="151"/>
    </row>
    <row r="61" spans="1:28" ht="21" customHeight="1" thickBot="1" x14ac:dyDescent="0.2">
      <c r="A61" s="168">
        <v>30047060</v>
      </c>
      <c r="B61" s="144" t="s">
        <v>323</v>
      </c>
      <c r="C61" s="145">
        <v>3</v>
      </c>
      <c r="D61" s="145" t="s">
        <v>128</v>
      </c>
      <c r="E61" s="146" t="s">
        <v>262</v>
      </c>
      <c r="F61" s="146" t="s">
        <v>306</v>
      </c>
      <c r="G61" s="147" t="str">
        <f t="shared" si="32"/>
        <v>[effect:enemy_message, val1:1.2, val2:1.2]</v>
      </c>
      <c r="H61" s="147">
        <f t="shared" si="33"/>
        <v>9</v>
      </c>
      <c r="I61" s="147">
        <f t="shared" si="34"/>
        <v>22</v>
      </c>
      <c r="J61" s="147" t="e">
        <f t="shared" si="35"/>
        <v>#VALUE!</v>
      </c>
      <c r="K61" s="147">
        <f t="shared" si="36"/>
        <v>32</v>
      </c>
      <c r="L61" s="147" t="str">
        <f>IFERROR(VLOOKUP(MID(G61,J61,K61-J61),[6]skilldef!$C:$D,2,FALSE),"-") &amp; " / " &amp; IFERROR(VLOOKUP(MID(G61,H61,I61-H61),[6]skilldef!$A:$B,2,FALSE),"-")</f>
        <v>- / -</v>
      </c>
      <c r="M61" s="147" t="str">
        <f t="shared" si="21"/>
        <v>[effect:enhance_enemy, target:myself, turn:-1, status:attack, val:0.5, calc:mul, animation:enemy_enhance_attack]</v>
      </c>
      <c r="N61" s="148" t="str">
        <f>IFERROR(LEFT(M61,FIND("],",M61)+S76),M61)</f>
        <v>[effect:enhance_enemy, target:myself, turn:-1, status:attack, val:0.5, calc:mul, animation:enemy_enhance_attack]</v>
      </c>
      <c r="O61" s="147">
        <f t="shared" si="22"/>
        <v>9</v>
      </c>
      <c r="P61" s="147">
        <f t="shared" si="23"/>
        <v>22</v>
      </c>
      <c r="Q61" s="147">
        <f t="shared" si="24"/>
        <v>31</v>
      </c>
      <c r="R61" s="147">
        <f t="shared" si="25"/>
        <v>37</v>
      </c>
      <c r="S61" s="147" t="str">
        <f>IFERROR(VLOOKUP(MID(N61,Q61,R61-Q61),[6]skilldef!$C:$D,2,FALSE),"-") &amp; " / " &amp; IFERROR(VLOOKUP(MID(N61,O61,P61-O61),[6]skilldef!$A:$B,2,FALSE),"-")</f>
        <v>自分自身に / ステータス強化</v>
      </c>
      <c r="T61" s="148" t="str">
        <f t="shared" si="26"/>
        <v>none</v>
      </c>
      <c r="U61" s="147" t="e">
        <f t="shared" si="27"/>
        <v>#VALUE!</v>
      </c>
      <c r="V61" s="147">
        <f t="shared" si="28"/>
        <v>4</v>
      </c>
      <c r="W61" s="147" t="e">
        <f t="shared" si="29"/>
        <v>#VALUE!</v>
      </c>
      <c r="X61" s="147" t="e">
        <f t="shared" si="30"/>
        <v>#VALUE!</v>
      </c>
      <c r="Y61" s="147" t="str">
        <f>IFERROR(VLOOKUP(MID(T61,W61,X61-W61),[6]skilldef!$C:$D,2,FALSE),"-") &amp; " / " &amp; IFERROR(VLOOKUP(MID(T61,U61,V61-U61),[6]skilldef!$A:$B,2,FALSE),"-")</f>
        <v>- / -</v>
      </c>
      <c r="Z61" s="145"/>
      <c r="AA61" s="149"/>
      <c r="AB61" s="145"/>
    </row>
    <row r="62" spans="1:28" ht="21" customHeight="1" thickBot="1" x14ac:dyDescent="0.2">
      <c r="A62" s="176">
        <v>30047061</v>
      </c>
      <c r="B62" s="144" t="s">
        <v>324</v>
      </c>
      <c r="C62" s="145">
        <v>3</v>
      </c>
      <c r="D62" s="145" t="s">
        <v>128</v>
      </c>
      <c r="E62" s="146" t="s">
        <v>264</v>
      </c>
      <c r="F62" s="146" t="s">
        <v>263</v>
      </c>
      <c r="G62" s="147" t="str">
        <f t="shared" si="32"/>
        <v>[effect:enemy_message, val1:1.2, val2:1.2]</v>
      </c>
      <c r="H62" s="147">
        <f t="shared" si="33"/>
        <v>9</v>
      </c>
      <c r="I62" s="147">
        <f t="shared" si="34"/>
        <v>22</v>
      </c>
      <c r="J62" s="147" t="e">
        <f t="shared" si="35"/>
        <v>#VALUE!</v>
      </c>
      <c r="K62" s="147">
        <f t="shared" si="36"/>
        <v>32</v>
      </c>
      <c r="L62" s="147" t="str">
        <f>IFERROR(VLOOKUP(MID(G62,J62,K62-J62),[6]skilldef!$C:$D,2,FALSE),"-") &amp; " / " &amp; IFERROR(VLOOKUP(MID(G62,H62,I62-H62),[6]skilldef!$A:$B,2,FALSE),"-")</f>
        <v>- / -</v>
      </c>
      <c r="M62" s="147" t="str">
        <f t="shared" si="21"/>
        <v>[effect:critical, val:1.2]</v>
      </c>
      <c r="N62" s="148" t="str">
        <f>IFERROR(LEFT(M62,FIND("],",M62)+S82),M62)</f>
        <v>[effect:critical, val:1.2]</v>
      </c>
      <c r="O62" s="147">
        <f t="shared" si="22"/>
        <v>9</v>
      </c>
      <c r="P62" s="147">
        <f t="shared" si="23"/>
        <v>17</v>
      </c>
      <c r="Q62" s="147" t="e">
        <f t="shared" si="24"/>
        <v>#VALUE!</v>
      </c>
      <c r="R62" s="147" t="e">
        <f t="shared" si="25"/>
        <v>#VALUE!</v>
      </c>
      <c r="S62" s="147" t="str">
        <f>IFERROR(VLOOKUP(MID(N62,Q62,R62-Q62),[6]skilldef!$C:$D,2,FALSE),"-") &amp; " / " &amp; IFERROR(VLOOKUP(MID(N62,O62,P62-O62),[6]skilldef!$A:$B,2,FALSE),"-")</f>
        <v>- / 大攻撃</v>
      </c>
      <c r="T62" s="148" t="str">
        <f t="shared" si="26"/>
        <v>none</v>
      </c>
      <c r="U62" s="147" t="e">
        <f t="shared" si="27"/>
        <v>#VALUE!</v>
      </c>
      <c r="V62" s="147">
        <f t="shared" si="28"/>
        <v>4</v>
      </c>
      <c r="W62" s="147" t="e">
        <f t="shared" si="29"/>
        <v>#VALUE!</v>
      </c>
      <c r="X62" s="147" t="e">
        <f t="shared" si="30"/>
        <v>#VALUE!</v>
      </c>
      <c r="Y62" s="147" t="str">
        <f>IFERROR(VLOOKUP(MID(T62,W62,X62-W62),[6]skilldef!$C:$D,2,FALSE),"-") &amp; " / " &amp; IFERROR(VLOOKUP(MID(T62,U62,V62-U62),[6]skilldef!$A:$B,2,FALSE),"-")</f>
        <v>- / -</v>
      </c>
      <c r="Z62" s="145"/>
      <c r="AA62" s="149"/>
      <c r="AB62" s="145"/>
    </row>
    <row r="63" spans="1:28" ht="21" customHeight="1" x14ac:dyDescent="0.15">
      <c r="A63" s="159">
        <v>30047062</v>
      </c>
      <c r="B63" s="150" t="s">
        <v>325</v>
      </c>
      <c r="C63" s="151">
        <v>3</v>
      </c>
      <c r="D63" s="151" t="s">
        <v>128</v>
      </c>
      <c r="E63" s="152" t="s">
        <v>265</v>
      </c>
      <c r="F63" s="152" t="s">
        <v>320</v>
      </c>
      <c r="G63" s="153" t="str">
        <f t="shared" si="32"/>
        <v>[effect:enemy_message, val1:1.2, val2:1.7]</v>
      </c>
      <c r="H63" s="153">
        <f t="shared" si="33"/>
        <v>9</v>
      </c>
      <c r="I63" s="153">
        <f t="shared" si="34"/>
        <v>22</v>
      </c>
      <c r="J63" s="153" t="e">
        <f t="shared" si="35"/>
        <v>#VALUE!</v>
      </c>
      <c r="K63" s="153">
        <f t="shared" si="36"/>
        <v>32</v>
      </c>
      <c r="L63" s="153" t="str">
        <f>IFERROR(VLOOKUP(MID(G63,J63,K63-J63),[6]skilldef!$C:$D,2,FALSE),"-") &amp; " / " &amp; IFERROR(VLOOKUP(MID(G63,H63,I63-H63),[6]skilldef!$A:$B,2,FALSE),"-")</f>
        <v>- / -</v>
      </c>
      <c r="M63" s="153" t="str">
        <f t="shared" si="21"/>
        <v>[effect:enhance_enemy, target:myself, turn:-1, status:defense, val:53000000, calc:add, animation:enemy_enhance_defense],[effect:tolerance, target:myself, turn:-1, count:-1, tolerance_effect:all, animation:enemy_tolerance]</v>
      </c>
      <c r="N63" s="154" t="str">
        <f>IFERROR(LEFT(M63,FIND("],",M63)+S80),M63)</f>
        <v>[effect:enhance_enemy, target:myself, turn:-1, status:defense, val:53000000, calc:add, animation:enemy_enhance_defense],[effect:tolerance, target:myself, turn:-1, count:-1, tolerance_effect:all, animation:enemy_tolerance]</v>
      </c>
      <c r="O63" s="153">
        <f t="shared" si="22"/>
        <v>9</v>
      </c>
      <c r="P63" s="153">
        <f t="shared" si="23"/>
        <v>22</v>
      </c>
      <c r="Q63" s="153">
        <f t="shared" si="24"/>
        <v>31</v>
      </c>
      <c r="R63" s="153">
        <f t="shared" si="25"/>
        <v>37</v>
      </c>
      <c r="S63" s="153" t="str">
        <f>IFERROR(VLOOKUP(MID(N63,Q63,R63-Q63),[6]skilldef!$C:$D,2,FALSE),"-") &amp; " / " &amp; IFERROR(VLOOKUP(MID(N63,O63,P63-O63),[6]skilldef!$A:$B,2,FALSE),"-")</f>
        <v>自分自身に / ステータス強化</v>
      </c>
      <c r="T63" s="154" t="str">
        <f t="shared" si="26"/>
        <v>[effect:tolerance, target:myself, turn:-1, count:-1, tolerance_effect:all, animation:enemy_tolerance]</v>
      </c>
      <c r="U63" s="153">
        <f t="shared" si="27"/>
        <v>9</v>
      </c>
      <c r="V63" s="153">
        <f t="shared" si="28"/>
        <v>18</v>
      </c>
      <c r="W63" s="153">
        <f t="shared" si="29"/>
        <v>27</v>
      </c>
      <c r="X63" s="153">
        <f t="shared" si="30"/>
        <v>33</v>
      </c>
      <c r="Y63" s="153" t="str">
        <f>IFERROR(VLOOKUP(MID(T63,W63,X63-W63),[6]skilldef!$C:$D,2,FALSE),"-") &amp; " / " &amp; IFERROR(VLOOKUP(MID(T63,U63,V63-U63),[6]skilldef!$A:$B,2,FALSE),"-")</f>
        <v>自分自身に / 状態異常耐性</v>
      </c>
      <c r="Z63" s="151"/>
      <c r="AA63" s="155"/>
      <c r="AB63" s="151"/>
    </row>
    <row r="64" spans="1:28" ht="21" customHeight="1" x14ac:dyDescent="0.15">
      <c r="A64" s="159">
        <v>30047063</v>
      </c>
      <c r="B64" s="150" t="s">
        <v>344</v>
      </c>
      <c r="C64" s="151">
        <v>3</v>
      </c>
      <c r="D64" s="151" t="s">
        <v>128</v>
      </c>
      <c r="E64" s="152" t="s">
        <v>266</v>
      </c>
      <c r="F64" s="152" t="s">
        <v>279</v>
      </c>
      <c r="G64" s="153" t="str">
        <f t="shared" si="32"/>
        <v>[effect:enemy_message, val1:1.2, val2:1.9]</v>
      </c>
      <c r="H64" s="153">
        <f t="shared" si="33"/>
        <v>9</v>
      </c>
      <c r="I64" s="153">
        <f t="shared" si="34"/>
        <v>22</v>
      </c>
      <c r="J64" s="153" t="e">
        <f t="shared" si="35"/>
        <v>#VALUE!</v>
      </c>
      <c r="K64" s="153">
        <f t="shared" si="36"/>
        <v>32</v>
      </c>
      <c r="L64" s="153" t="str">
        <f>IFERROR(VLOOKUP(MID(G64,J64,K64-J64),[6]skilldef!$C:$D,2,FALSE),"-") &amp; " / " &amp; IFERROR(VLOOKUP(MID(G64,H64,I64-H64),[6]skilldef!$A:$B,2,FALSE),"-")</f>
        <v>- / -</v>
      </c>
      <c r="M64" s="153" t="str">
        <f t="shared" si="21"/>
        <v>[effect:force_change_block, new_block:damage, target:block_green, color:block_green, count:4, val:0.03, animation:change_block]</v>
      </c>
      <c r="N64" s="154" t="str">
        <f t="shared" ref="N64:N71" si="37">IFERROR(LEFT(M64,FIND("],",M64)+S82),M64)</f>
        <v>[effect:force_change_block, new_block:damage, target:block_green, color:block_green, count:4, val:0.03, animation:change_block]</v>
      </c>
      <c r="O64" s="153">
        <f t="shared" si="22"/>
        <v>9</v>
      </c>
      <c r="P64" s="153">
        <f t="shared" si="23"/>
        <v>27</v>
      </c>
      <c r="Q64" s="153">
        <f t="shared" si="24"/>
        <v>54</v>
      </c>
      <c r="R64" s="153">
        <f t="shared" si="25"/>
        <v>45</v>
      </c>
      <c r="S64" s="153" t="str">
        <f>IFERROR(VLOOKUP(MID(N64,Q64,R64-Q64),[6]skilldef!$C:$D,2,FALSE),"-") &amp; " / " &amp; IFERROR(VLOOKUP(MID(N64,O64,P64-O64),[6]skilldef!$A:$B,2,FALSE),"-")</f>
        <v>- / -</v>
      </c>
      <c r="T64" s="154" t="str">
        <f t="shared" si="26"/>
        <v>none</v>
      </c>
      <c r="U64" s="153" t="e">
        <f t="shared" si="27"/>
        <v>#VALUE!</v>
      </c>
      <c r="V64" s="153">
        <f t="shared" si="28"/>
        <v>4</v>
      </c>
      <c r="W64" s="153" t="e">
        <f t="shared" si="29"/>
        <v>#VALUE!</v>
      </c>
      <c r="X64" s="153" t="e">
        <f t="shared" si="30"/>
        <v>#VALUE!</v>
      </c>
      <c r="Y64" s="153" t="str">
        <f>IFERROR(VLOOKUP(MID(T64,W64,X64-W64),[6]skilldef!$C:$D,2,FALSE),"-") &amp; " / " &amp; IFERROR(VLOOKUP(MID(T64,U64,V64-U64),[6]skilldef!$A:$B,2,FALSE),"-")</f>
        <v>- / -</v>
      </c>
      <c r="Z64" s="151"/>
      <c r="AA64" s="155"/>
      <c r="AB64" s="151"/>
    </row>
    <row r="65" spans="1:28" ht="21" customHeight="1" x14ac:dyDescent="0.15">
      <c r="A65" s="159">
        <v>30047064</v>
      </c>
      <c r="B65" s="150" t="s">
        <v>327</v>
      </c>
      <c r="C65" s="151">
        <v>3</v>
      </c>
      <c r="D65" s="151" t="s">
        <v>128</v>
      </c>
      <c r="E65" s="152" t="s">
        <v>309</v>
      </c>
      <c r="F65" s="152" t="s">
        <v>304</v>
      </c>
      <c r="G65" s="153" t="str">
        <f t="shared" si="32"/>
        <v>[effect:enemy_message, val1:1.2, val2:1.4]</v>
      </c>
      <c r="H65" s="153">
        <f t="shared" si="33"/>
        <v>9</v>
      </c>
      <c r="I65" s="153">
        <f t="shared" si="34"/>
        <v>22</v>
      </c>
      <c r="J65" s="153" t="e">
        <f t="shared" si="35"/>
        <v>#VALUE!</v>
      </c>
      <c r="K65" s="153">
        <f t="shared" si="36"/>
        <v>32</v>
      </c>
      <c r="L65" s="153" t="str">
        <f>IFERROR(VLOOKUP(MID(G65,J65,K65-J65),[6]skilldef!$C:$D,2,FALSE),"-") &amp; " / " &amp; IFERROR(VLOOKUP(MID(G65,H65,I65-H65),[6]skilldef!$A:$B,2,FALSE),"-")</f>
        <v>- / -</v>
      </c>
      <c r="M65" s="153" t="str">
        <f t="shared" si="21"/>
        <v>[effect:enhance_enemy, target:enemy_red, turn:2, status:attack, val:0.5, calc:mul, animation:enemy_enhance_attack]</v>
      </c>
      <c r="N65" s="154" t="str">
        <f t="shared" si="37"/>
        <v>[effect:enhance_enemy, target:enemy_red, turn:2, status:attack, val:0.5, calc:mul, animation:enemy_enhance_attack]</v>
      </c>
      <c r="O65" s="153">
        <f t="shared" si="22"/>
        <v>9</v>
      </c>
      <c r="P65" s="153">
        <f t="shared" si="23"/>
        <v>22</v>
      </c>
      <c r="Q65" s="153">
        <f t="shared" si="24"/>
        <v>31</v>
      </c>
      <c r="R65" s="153">
        <f t="shared" si="25"/>
        <v>40</v>
      </c>
      <c r="S65" s="153" t="str">
        <f>IFERROR(VLOOKUP(MID(N65,Q65,R65-Q65),[6]skilldef!$C:$D,2,FALSE),"-") &amp; " / " &amp; IFERROR(VLOOKUP(MID(N65,O65,P65-O65),[6]skilldef!$A:$B,2,FALSE),"-")</f>
        <v>赤の敵に / ステータス強化</v>
      </c>
      <c r="T65" s="154" t="str">
        <f t="shared" si="26"/>
        <v>none</v>
      </c>
      <c r="U65" s="153" t="e">
        <f t="shared" si="27"/>
        <v>#VALUE!</v>
      </c>
      <c r="V65" s="153">
        <f t="shared" si="28"/>
        <v>4</v>
      </c>
      <c r="W65" s="153" t="e">
        <f t="shared" si="29"/>
        <v>#VALUE!</v>
      </c>
      <c r="X65" s="153" t="e">
        <f t="shared" si="30"/>
        <v>#VALUE!</v>
      </c>
      <c r="Y65" s="153" t="str">
        <f>IFERROR(VLOOKUP(MID(T65,W65,X65-W65),[6]skilldef!$C:$D,2,FALSE),"-") &amp; " / " &amp; IFERROR(VLOOKUP(MID(T65,U65,V65-U65),[6]skilldef!$A:$B,2,FALSE),"-")</f>
        <v>- / -</v>
      </c>
      <c r="Z65" s="151"/>
      <c r="AA65" s="155"/>
      <c r="AB65" s="151"/>
    </row>
    <row r="66" spans="1:28" ht="21" customHeight="1" x14ac:dyDescent="0.15">
      <c r="A66" s="159">
        <v>30047065</v>
      </c>
      <c r="B66" s="150" t="s">
        <v>328</v>
      </c>
      <c r="C66" s="151">
        <v>3</v>
      </c>
      <c r="D66" s="151" t="s">
        <v>128</v>
      </c>
      <c r="E66" s="152" t="s">
        <v>286</v>
      </c>
      <c r="F66" s="152" t="s">
        <v>305</v>
      </c>
      <c r="G66" s="153" t="str">
        <f t="shared" si="32"/>
        <v>[effect:enemy_message, val1:1.2, val2:2]</v>
      </c>
      <c r="H66" s="153">
        <f t="shared" si="33"/>
        <v>9</v>
      </c>
      <c r="I66" s="153">
        <f t="shared" si="34"/>
        <v>22</v>
      </c>
      <c r="J66" s="153" t="e">
        <f t="shared" si="35"/>
        <v>#VALUE!</v>
      </c>
      <c r="K66" s="153">
        <f t="shared" si="36"/>
        <v>32</v>
      </c>
      <c r="L66" s="153" t="str">
        <f>IFERROR(VLOOKUP(MID(G66,J66,K66-J66),[6]skilldef!$C:$D,2,FALSE),"-") &amp; " / " &amp; IFERROR(VLOOKUP(MID(G66,H66,I66-H66),[6]skilldef!$A:$B,2,FALSE),"-")</f>
        <v>- / -</v>
      </c>
      <c r="M66" s="153" t="str">
        <f t="shared" si="21"/>
        <v>[effect:degrade_unit, target:unit_all, turn:2, status:heal, val:0.5, calc:mul, animation:degrade_unit_all_heal]</v>
      </c>
      <c r="N66" s="154" t="str">
        <f t="shared" si="37"/>
        <v>[effect:degrade_unit, target:unit_all, turn:2, status:heal, val:0.5, calc:mul, animation:degrade_unit_all_heal]</v>
      </c>
      <c r="O66" s="153">
        <f t="shared" si="22"/>
        <v>9</v>
      </c>
      <c r="P66" s="153">
        <f t="shared" si="23"/>
        <v>21</v>
      </c>
      <c r="Q66" s="153">
        <f t="shared" si="24"/>
        <v>30</v>
      </c>
      <c r="R66" s="153">
        <f t="shared" si="25"/>
        <v>38</v>
      </c>
      <c r="S66" s="153" t="str">
        <f>IFERROR(VLOOKUP(MID(N66,Q66,R66-Q66),[6]skilldef!$C:$D,2,FALSE),"-") &amp; " / " &amp; IFERROR(VLOOKUP(MID(N66,O66,P66-O66),[6]skilldef!$A:$B,2,FALSE),"-")</f>
        <v>味方全体に / ステータスDOWN</v>
      </c>
      <c r="T66" s="154" t="str">
        <f t="shared" si="26"/>
        <v>none</v>
      </c>
      <c r="U66" s="153" t="e">
        <f t="shared" si="27"/>
        <v>#VALUE!</v>
      </c>
      <c r="V66" s="153">
        <f t="shared" si="28"/>
        <v>4</v>
      </c>
      <c r="W66" s="153" t="e">
        <f t="shared" si="29"/>
        <v>#VALUE!</v>
      </c>
      <c r="X66" s="153" t="e">
        <f t="shared" si="30"/>
        <v>#VALUE!</v>
      </c>
      <c r="Y66" s="153" t="str">
        <f>IFERROR(VLOOKUP(MID(T66,W66,X66-W66),[6]skilldef!$C:$D,2,FALSE),"-") &amp; " / " &amp; IFERROR(VLOOKUP(MID(T66,U66,V66-U66),[6]skilldef!$A:$B,2,FALSE),"-")</f>
        <v>- / -</v>
      </c>
      <c r="Z66" s="151"/>
      <c r="AA66" s="155"/>
      <c r="AB66" s="151"/>
    </row>
    <row r="67" spans="1:28" ht="21" customHeight="1" thickBot="1" x14ac:dyDescent="0.2">
      <c r="A67" s="160">
        <v>30047066</v>
      </c>
      <c r="B67" s="144" t="s">
        <v>329</v>
      </c>
      <c r="C67" s="145">
        <v>3</v>
      </c>
      <c r="D67" s="145" t="s">
        <v>128</v>
      </c>
      <c r="E67" s="146" t="s">
        <v>267</v>
      </c>
      <c r="F67" s="146" t="s">
        <v>359</v>
      </c>
      <c r="G67" s="147" t="str">
        <f t="shared" si="32"/>
        <v>[effect:enemy_message, val1:1.2, val2:1.2]</v>
      </c>
      <c r="H67" s="147">
        <f t="shared" si="33"/>
        <v>9</v>
      </c>
      <c r="I67" s="147">
        <f t="shared" si="34"/>
        <v>22</v>
      </c>
      <c r="J67" s="147" t="e">
        <f t="shared" si="35"/>
        <v>#VALUE!</v>
      </c>
      <c r="K67" s="147">
        <f t="shared" si="36"/>
        <v>32</v>
      </c>
      <c r="L67" s="147" t="str">
        <f>IFERROR(VLOOKUP(MID(G67,J67,K67-J67),[6]skilldef!$C:$D,2,FALSE),"-") &amp; " / " &amp; IFERROR(VLOOKUP(MID(G67,H67,I67-H67),[6]skilldef!$A:$B,2,FALSE),"-")</f>
        <v>- / -</v>
      </c>
      <c r="M67" s="147" t="str">
        <f t="shared" si="21"/>
        <v>[effect:suicide, target:myself, val:1, dead_type:suicide]</v>
      </c>
      <c r="N67" s="148" t="str">
        <f t="shared" si="37"/>
        <v>[effect:suicide, target:myself, val:1, dead_type:suicide]</v>
      </c>
      <c r="O67" s="147">
        <f t="shared" si="22"/>
        <v>9</v>
      </c>
      <c r="P67" s="147">
        <f t="shared" si="23"/>
        <v>16</v>
      </c>
      <c r="Q67" s="147">
        <f t="shared" si="24"/>
        <v>25</v>
      </c>
      <c r="R67" s="147">
        <f t="shared" si="25"/>
        <v>31</v>
      </c>
      <c r="S67" s="147" t="str">
        <f>IFERROR(VLOOKUP(MID(N67,Q67,R67-Q67),[6]skilldef!$C:$D,2,FALSE),"-") &amp; " / " &amp; IFERROR(VLOOKUP(MID(N67,O67,P67-O67),[6]skilldef!$A:$B,2,FALSE),"-")</f>
        <v>自分自身に / -</v>
      </c>
      <c r="T67" s="148" t="str">
        <f t="shared" si="26"/>
        <v>none</v>
      </c>
      <c r="U67" s="147" t="e">
        <f t="shared" si="27"/>
        <v>#VALUE!</v>
      </c>
      <c r="V67" s="147">
        <f t="shared" si="28"/>
        <v>4</v>
      </c>
      <c r="W67" s="147" t="e">
        <f t="shared" si="29"/>
        <v>#VALUE!</v>
      </c>
      <c r="X67" s="147" t="e">
        <f t="shared" si="30"/>
        <v>#VALUE!</v>
      </c>
      <c r="Y67" s="147" t="str">
        <f>IFERROR(VLOOKUP(MID(T67,W67,X67-W67),[6]skilldef!$C:$D,2,FALSE),"-") &amp; " / " &amp; IFERROR(VLOOKUP(MID(T67,U67,V67-U67),[6]skilldef!$A:$B,2,FALSE),"-")</f>
        <v>- / -</v>
      </c>
      <c r="Z67" s="145"/>
      <c r="AA67" s="149"/>
      <c r="AB67" s="145"/>
    </row>
    <row r="68" spans="1:28" ht="21" customHeight="1" x14ac:dyDescent="0.15">
      <c r="A68" s="188">
        <v>30047067</v>
      </c>
      <c r="B68" s="150" t="s">
        <v>345</v>
      </c>
      <c r="C68" s="151">
        <v>3</v>
      </c>
      <c r="D68" s="151" t="s">
        <v>128</v>
      </c>
      <c r="E68" s="152" t="s">
        <v>293</v>
      </c>
      <c r="F68" s="152" t="s">
        <v>276</v>
      </c>
      <c r="G68" s="153" t="str">
        <f t="shared" si="32"/>
        <v>[effect:enemy_message, val1:1.2, val2:1.9]</v>
      </c>
      <c r="H68" s="153">
        <f t="shared" si="33"/>
        <v>9</v>
      </c>
      <c r="I68" s="153">
        <f t="shared" si="34"/>
        <v>22</v>
      </c>
      <c r="J68" s="153" t="e">
        <f t="shared" si="35"/>
        <v>#VALUE!</v>
      </c>
      <c r="K68" s="153">
        <f t="shared" si="36"/>
        <v>32</v>
      </c>
      <c r="L68" s="153" t="str">
        <f>IFERROR(VLOOKUP(MID(G68,J68,K68-J68),[6]skilldef!$C:$D,2,FALSE),"-") &amp; " / " &amp; IFERROR(VLOOKUP(MID(G68,H68,I68-H68),[6]skilldef!$A:$B,2,FALSE),"-")</f>
        <v>- / -</v>
      </c>
      <c r="M68" s="153" t="str">
        <f t="shared" si="21"/>
        <v>[effect:force_change_block, new_block:damage, target:block_green, color:block_green, count:3, val:0.03, animation:change_block]</v>
      </c>
      <c r="N68" s="154" t="str">
        <f t="shared" si="37"/>
        <v>[effect:force_change_block, new_block:damage, target:block_green, color:block_green, count:3, val:0.03, animation:change_block]</v>
      </c>
      <c r="O68" s="153">
        <f t="shared" si="22"/>
        <v>9</v>
      </c>
      <c r="P68" s="153">
        <f t="shared" si="23"/>
        <v>27</v>
      </c>
      <c r="Q68" s="153">
        <f t="shared" si="24"/>
        <v>54</v>
      </c>
      <c r="R68" s="153">
        <f t="shared" si="25"/>
        <v>45</v>
      </c>
      <c r="S68" s="153" t="str">
        <f>IFERROR(VLOOKUP(MID(N68,Q68,R68-Q68),[6]skilldef!$C:$D,2,FALSE),"-") &amp; " / " &amp; IFERROR(VLOOKUP(MID(N68,O68,P68-O68),[6]skilldef!$A:$B,2,FALSE),"-")</f>
        <v>- / -</v>
      </c>
      <c r="T68" s="154" t="str">
        <f t="shared" si="26"/>
        <v>none</v>
      </c>
      <c r="U68" s="153" t="e">
        <f t="shared" si="27"/>
        <v>#VALUE!</v>
      </c>
      <c r="V68" s="153">
        <f t="shared" si="28"/>
        <v>4</v>
      </c>
      <c r="W68" s="153" t="e">
        <f t="shared" si="29"/>
        <v>#VALUE!</v>
      </c>
      <c r="X68" s="153" t="e">
        <f t="shared" si="30"/>
        <v>#VALUE!</v>
      </c>
      <c r="Y68" s="153" t="str">
        <f>IFERROR(VLOOKUP(MID(T68,W68,X68-W68),[6]skilldef!$C:$D,2,FALSE),"-") &amp; " / " &amp; IFERROR(VLOOKUP(MID(T68,U68,V68-U68),[6]skilldef!$A:$B,2,FALSE),"-")</f>
        <v>- / -</v>
      </c>
      <c r="Z68" s="151"/>
      <c r="AA68" s="155"/>
      <c r="AB68" s="151"/>
    </row>
    <row r="69" spans="1:28" ht="21" customHeight="1" x14ac:dyDescent="0.15">
      <c r="A69" s="159">
        <v>30047068</v>
      </c>
      <c r="B69" s="150" t="s">
        <v>348</v>
      </c>
      <c r="C69" s="151">
        <v>3</v>
      </c>
      <c r="D69" s="151" t="s">
        <v>128</v>
      </c>
      <c r="E69" s="152" t="s">
        <v>285</v>
      </c>
      <c r="F69" s="152" t="s">
        <v>313</v>
      </c>
      <c r="G69" s="153" t="str">
        <f t="shared" si="32"/>
        <v>[effect:enemy_message, val1:1.2, val2:2]</v>
      </c>
      <c r="H69" s="153">
        <f t="shared" si="33"/>
        <v>9</v>
      </c>
      <c r="I69" s="153">
        <f t="shared" si="34"/>
        <v>22</v>
      </c>
      <c r="J69" s="153" t="e">
        <f t="shared" si="35"/>
        <v>#VALUE!</v>
      </c>
      <c r="K69" s="153">
        <f t="shared" si="36"/>
        <v>32</v>
      </c>
      <c r="L69" s="153" t="str">
        <f>IFERROR(VLOOKUP(MID(G69,J69,K69-J69),[6]skilldef!$C:$D,2,FALSE),"-") &amp; " / " &amp; IFERROR(VLOOKUP(MID(G69,H69,I69-H69),[6]skilldef!$A:$B,2,FALSE),"-")</f>
        <v>- / -</v>
      </c>
      <c r="M69" s="153" t="str">
        <f t="shared" si="21"/>
        <v>[effect:break_attack, target:unit_one, val:0.1, lowest_val:2000, count:4, color:green, block01:damage]</v>
      </c>
      <c r="N69" s="154" t="str">
        <f t="shared" si="37"/>
        <v>[effect:break_attack, target:unit_one, val:0.1, lowest_val:2000, count:4, color:green, block01:damage]</v>
      </c>
      <c r="O69" s="153">
        <f t="shared" si="22"/>
        <v>9</v>
      </c>
      <c r="P69" s="153">
        <f t="shared" si="23"/>
        <v>21</v>
      </c>
      <c r="Q69" s="153">
        <f t="shared" si="24"/>
        <v>30</v>
      </c>
      <c r="R69" s="153">
        <f t="shared" si="25"/>
        <v>38</v>
      </c>
      <c r="S69" s="153" t="str">
        <f>IFERROR(VLOOKUP(MID(N69,Q69,R69-Q69),[6]skilldef!$C:$D,2,FALSE),"-") &amp; " / " &amp; IFERROR(VLOOKUP(MID(N69,O69,P69-O69),[6]skilldef!$A:$B,2,FALSE),"-")</f>
        <v>味方単体に / -</v>
      </c>
      <c r="T69" s="154" t="str">
        <f t="shared" si="26"/>
        <v>none</v>
      </c>
      <c r="U69" s="153" t="e">
        <f t="shared" si="27"/>
        <v>#VALUE!</v>
      </c>
      <c r="V69" s="153">
        <f t="shared" si="28"/>
        <v>4</v>
      </c>
      <c r="W69" s="153" t="e">
        <f t="shared" si="29"/>
        <v>#VALUE!</v>
      </c>
      <c r="X69" s="153" t="e">
        <f t="shared" si="30"/>
        <v>#VALUE!</v>
      </c>
      <c r="Y69" s="153" t="str">
        <f>IFERROR(VLOOKUP(MID(T69,W69,X69-W69),[6]skilldef!$C:$D,2,FALSE),"-") &amp; " / " &amp; IFERROR(VLOOKUP(MID(T69,U69,V69-U69),[6]skilldef!$A:$B,2,FALSE),"-")</f>
        <v>- / -</v>
      </c>
      <c r="Z69" s="151"/>
      <c r="AA69" s="155"/>
      <c r="AB69" s="151"/>
    </row>
    <row r="70" spans="1:28" ht="21" customHeight="1" x14ac:dyDescent="0.15">
      <c r="A70" s="159">
        <v>30047069</v>
      </c>
      <c r="B70" s="150" t="s">
        <v>346</v>
      </c>
      <c r="C70" s="151">
        <v>3</v>
      </c>
      <c r="D70" s="151" t="s">
        <v>128</v>
      </c>
      <c r="E70" s="152" t="s">
        <v>294</v>
      </c>
      <c r="F70" s="152" t="s">
        <v>277</v>
      </c>
      <c r="G70" s="153" t="str">
        <f t="shared" si="32"/>
        <v>[effect:enemy_message, val1:1.2, val2:1.9]</v>
      </c>
      <c r="H70" s="153">
        <f t="shared" si="33"/>
        <v>9</v>
      </c>
      <c r="I70" s="153">
        <f t="shared" si="34"/>
        <v>22</v>
      </c>
      <c r="J70" s="153" t="e">
        <f t="shared" si="35"/>
        <v>#VALUE!</v>
      </c>
      <c r="K70" s="153">
        <f t="shared" si="36"/>
        <v>32</v>
      </c>
      <c r="L70" s="153" t="str">
        <f>IFERROR(VLOOKUP(MID(G70,J70,K70-J70),[6]skilldef!$C:$D,2,FALSE),"-") &amp; " / " &amp; IFERROR(VLOOKUP(MID(G70,H70,I70-H70),[6]skilldef!$A:$B,2,FALSE),"-")</f>
        <v>- / -</v>
      </c>
      <c r="M70" s="153" t="str">
        <f t="shared" si="21"/>
        <v>[effect:force_change_block, new_block:damage, target:block_green, color:block_green, count:5, val:0.03, animation:change_block]</v>
      </c>
      <c r="N70" s="154" t="str">
        <f t="shared" si="37"/>
        <v>[effect:force_change_block, new_block:damage, target:block_green, color:block_green, count:5, val:0.03, animation:change_block]</v>
      </c>
      <c r="O70" s="153">
        <f t="shared" si="22"/>
        <v>9</v>
      </c>
      <c r="P70" s="153">
        <f t="shared" si="23"/>
        <v>27</v>
      </c>
      <c r="Q70" s="153">
        <f t="shared" si="24"/>
        <v>54</v>
      </c>
      <c r="R70" s="153">
        <f t="shared" si="25"/>
        <v>45</v>
      </c>
      <c r="S70" s="153" t="str">
        <f>IFERROR(VLOOKUP(MID(N70,Q70,R70-Q70),[6]skilldef!$C:$D,2,FALSE),"-") &amp; " / " &amp; IFERROR(VLOOKUP(MID(N70,O70,P70-O70),[6]skilldef!$A:$B,2,FALSE),"-")</f>
        <v>- / -</v>
      </c>
      <c r="T70" s="154" t="str">
        <f t="shared" si="26"/>
        <v>none</v>
      </c>
      <c r="U70" s="153" t="e">
        <f t="shared" si="27"/>
        <v>#VALUE!</v>
      </c>
      <c r="V70" s="153">
        <f t="shared" si="28"/>
        <v>4</v>
      </c>
      <c r="W70" s="153" t="e">
        <f t="shared" si="29"/>
        <v>#VALUE!</v>
      </c>
      <c r="X70" s="153" t="e">
        <f t="shared" si="30"/>
        <v>#VALUE!</v>
      </c>
      <c r="Y70" s="153" t="str">
        <f>IFERROR(VLOOKUP(MID(T70,W70,X70-W70),[6]skilldef!$C:$D,2,FALSE),"-") &amp; " / " &amp; IFERROR(VLOOKUP(MID(T70,U70,V70-U70),[6]skilldef!$A:$B,2,FALSE),"-")</f>
        <v>- / -</v>
      </c>
      <c r="Z70" s="151"/>
      <c r="AA70" s="155"/>
      <c r="AB70" s="151"/>
    </row>
    <row r="71" spans="1:28" ht="21" customHeight="1" thickBot="1" x14ac:dyDescent="0.2">
      <c r="A71" s="160">
        <v>30047070</v>
      </c>
      <c r="B71" s="144" t="s">
        <v>348</v>
      </c>
      <c r="C71" s="145">
        <v>3</v>
      </c>
      <c r="D71" s="145" t="s">
        <v>128</v>
      </c>
      <c r="E71" s="146" t="s">
        <v>285</v>
      </c>
      <c r="F71" s="146" t="s">
        <v>313</v>
      </c>
      <c r="G71" s="147" t="str">
        <f t="shared" si="32"/>
        <v>[effect:enemy_message, val1:1.2, val2:2]</v>
      </c>
      <c r="H71" s="147">
        <f t="shared" si="33"/>
        <v>9</v>
      </c>
      <c r="I71" s="147">
        <f t="shared" si="34"/>
        <v>22</v>
      </c>
      <c r="J71" s="147" t="e">
        <f t="shared" si="35"/>
        <v>#VALUE!</v>
      </c>
      <c r="K71" s="147">
        <f t="shared" si="36"/>
        <v>32</v>
      </c>
      <c r="L71" s="147" t="str">
        <f>IFERROR(VLOOKUP(MID(G71,J71,K71-J71),[6]skilldef!$C:$D,2,FALSE),"-") &amp; " / " &amp; IFERROR(VLOOKUP(MID(G71,H71,I71-H71),[6]skilldef!$A:$B,2,FALSE),"-")</f>
        <v>- / -</v>
      </c>
      <c r="M71" s="147" t="str">
        <f t="shared" si="21"/>
        <v>[effect:break_attack, target:unit_one, val:0.1, lowest_val:2000, count:4, color:green, block01:damage]</v>
      </c>
      <c r="N71" s="148" t="str">
        <f t="shared" si="37"/>
        <v>[effect:break_attack, target:unit_one, val:0.1, lowest_val:2000, count:4, color:green, block01:damage]</v>
      </c>
      <c r="O71" s="147">
        <f t="shared" si="22"/>
        <v>9</v>
      </c>
      <c r="P71" s="147">
        <f t="shared" si="23"/>
        <v>21</v>
      </c>
      <c r="Q71" s="147">
        <f t="shared" si="24"/>
        <v>30</v>
      </c>
      <c r="R71" s="147">
        <f t="shared" si="25"/>
        <v>38</v>
      </c>
      <c r="S71" s="147" t="str">
        <f>IFERROR(VLOOKUP(MID(N71,Q71,R71-Q71),[6]skilldef!$C:$D,2,FALSE),"-") &amp; " / " &amp; IFERROR(VLOOKUP(MID(N71,O71,P71-O71),[6]skilldef!$A:$B,2,FALSE),"-")</f>
        <v>味方単体に / -</v>
      </c>
      <c r="T71" s="154" t="str">
        <f t="shared" si="26"/>
        <v>none</v>
      </c>
      <c r="U71" s="153" t="e">
        <f t="shared" si="27"/>
        <v>#VALUE!</v>
      </c>
      <c r="V71" s="153">
        <f t="shared" si="28"/>
        <v>4</v>
      </c>
      <c r="W71" s="153" t="e">
        <f t="shared" si="29"/>
        <v>#VALUE!</v>
      </c>
      <c r="X71" s="153" t="e">
        <f t="shared" si="30"/>
        <v>#VALUE!</v>
      </c>
      <c r="Y71" s="147" t="str">
        <f>IFERROR(VLOOKUP(MID(T71,W71,X71-W71),[6]skilldef!$C:$D,2,FALSE),"-") &amp; " / " &amp; IFERROR(VLOOKUP(MID(T71,U71,V71-U71),[6]skilldef!$A:$B,2,FALSE),"-")</f>
        <v>- / -</v>
      </c>
      <c r="Z71" s="145"/>
      <c r="AA71" s="149"/>
      <c r="AB71" s="145"/>
    </row>
    <row r="72" spans="1:28" ht="21" customHeight="1" x14ac:dyDescent="0.15">
      <c r="A72" s="178">
        <v>30047071</v>
      </c>
      <c r="B72" s="184" t="s">
        <v>333</v>
      </c>
      <c r="C72" s="198">
        <v>3</v>
      </c>
      <c r="D72" s="198" t="s">
        <v>128</v>
      </c>
      <c r="E72" s="199" t="s">
        <v>290</v>
      </c>
      <c r="F72" s="199" t="s">
        <v>268</v>
      </c>
      <c r="G72" s="200" t="str">
        <f t="shared" si="32"/>
        <v>[effect:enemy_message, val1:1.2, val2:1.2]</v>
      </c>
      <c r="H72" s="200">
        <f t="shared" si="33"/>
        <v>9</v>
      </c>
      <c r="I72" s="200">
        <f t="shared" si="34"/>
        <v>22</v>
      </c>
      <c r="J72" s="200" t="e">
        <f t="shared" si="35"/>
        <v>#VALUE!</v>
      </c>
      <c r="K72" s="200">
        <f t="shared" si="36"/>
        <v>32</v>
      </c>
      <c r="L72" s="200" t="str">
        <f>IFERROR(VLOOKUP(MID(G72,J72,K72-J72),[6]skilldef!$C:$D,2,FALSE),"-") &amp; " / " &amp; IFERROR(VLOOKUP(MID(G72,H72,I72-H72),[6]skilldef!$A:$B,2,FALSE),"-")</f>
        <v>- / -</v>
      </c>
      <c r="M72" s="200" t="str">
        <f t="shared" si="21"/>
        <v>[effect:change_panel_ratio, turn:-1, block_type:blue, val:0.8, animation:block_incidence04]</v>
      </c>
      <c r="N72" s="185" t="str">
        <f>IFERROR(LEFT(M72,FIND("],",M72)+S86),M72)</f>
        <v>[effect:change_panel_ratio, turn:-1, block_type:blue, val:0.8, animation:block_incidence04]</v>
      </c>
      <c r="O72" s="200">
        <f t="shared" si="22"/>
        <v>9</v>
      </c>
      <c r="P72" s="200">
        <f t="shared" si="23"/>
        <v>27</v>
      </c>
      <c r="Q72" s="200" t="e">
        <f t="shared" si="24"/>
        <v>#VALUE!</v>
      </c>
      <c r="R72" s="200">
        <f t="shared" si="25"/>
        <v>36</v>
      </c>
      <c r="S72" s="200" t="str">
        <f>IFERROR(VLOOKUP(MID(N72,Q72,R72-Q72),[6]skilldef!$C:$D,2,FALSE),"-") &amp; " / " &amp; IFERROR(VLOOKUP(MID(N72,O72,P72-O72),[6]skilldef!$A:$B,2,FALSE),"-")</f>
        <v>- / -</v>
      </c>
      <c r="T72" s="154" t="str">
        <f t="shared" si="26"/>
        <v>none</v>
      </c>
      <c r="U72" s="153" t="e">
        <f t="shared" si="27"/>
        <v>#VALUE!</v>
      </c>
      <c r="V72" s="153">
        <f t="shared" si="28"/>
        <v>4</v>
      </c>
      <c r="W72" s="153" t="e">
        <f t="shared" si="29"/>
        <v>#VALUE!</v>
      </c>
      <c r="X72" s="153" t="e">
        <f t="shared" si="30"/>
        <v>#VALUE!</v>
      </c>
      <c r="Y72" s="200" t="str">
        <f>IFERROR(VLOOKUP(MID(T72,W72,X72-W72),[6]skilldef!$C:$D,2,FALSE),"-") &amp; " / " &amp; IFERROR(VLOOKUP(MID(T72,U72,V72-U72),[6]skilldef!$A:$B,2,FALSE),"-")</f>
        <v>- / -</v>
      </c>
      <c r="Z72" s="198"/>
      <c r="AA72" s="201"/>
      <c r="AB72" s="198"/>
    </row>
    <row r="73" spans="1:28" ht="21" customHeight="1" x14ac:dyDescent="0.15">
      <c r="A73" s="178">
        <v>30047072</v>
      </c>
      <c r="B73" s="150" t="s">
        <v>349</v>
      </c>
      <c r="C73" s="48">
        <v>3</v>
      </c>
      <c r="D73" s="48" t="s">
        <v>128</v>
      </c>
      <c r="E73" s="152" t="s">
        <v>292</v>
      </c>
      <c r="F73" s="152" t="s">
        <v>278</v>
      </c>
      <c r="G73" s="153" t="str">
        <f t="shared" si="32"/>
        <v>[effect:enemy_message, val1:1.2, val2:1.9]</v>
      </c>
      <c r="H73" s="153">
        <f t="shared" si="33"/>
        <v>9</v>
      </c>
      <c r="I73" s="153">
        <f t="shared" si="34"/>
        <v>22</v>
      </c>
      <c r="J73" s="153" t="e">
        <f t="shared" si="35"/>
        <v>#VALUE!</v>
      </c>
      <c r="K73" s="153">
        <f t="shared" si="36"/>
        <v>32</v>
      </c>
      <c r="L73" s="153" t="str">
        <f>IFERROR(VLOOKUP(MID(G73,J73,K73-J73),[6]skilldef!$C:$D,2,FALSE),"-") &amp; " / " &amp; IFERROR(VLOOKUP(MID(G73,H73,I73-H73),[6]skilldef!$A:$B,2,FALSE),"-")</f>
        <v>- / -</v>
      </c>
      <c r="M73" s="153" t="str">
        <f t="shared" si="21"/>
        <v>[effect:force_change_block, new_block:damage, target:block_blue, color:block_blue, count:3, val:0.06, animation:change_block]</v>
      </c>
      <c r="N73" s="154" t="str">
        <f>IFERROR(LEFT(M73,FIND("],",M73)+S86),M73)</f>
        <v>[effect:force_change_block, new_block:damage, target:block_blue, color:block_blue, count:3, val:0.06, animation:change_block]</v>
      </c>
      <c r="O73" s="153">
        <f t="shared" si="22"/>
        <v>9</v>
      </c>
      <c r="P73" s="153">
        <f t="shared" si="23"/>
        <v>27</v>
      </c>
      <c r="Q73" s="153">
        <f t="shared" si="24"/>
        <v>54</v>
      </c>
      <c r="R73" s="153">
        <f t="shared" si="25"/>
        <v>45</v>
      </c>
      <c r="S73" s="153" t="str">
        <f>IFERROR(VLOOKUP(MID(N73,Q73,R73-Q73),[6]skilldef!$C:$D,2,FALSE),"-") &amp; " / " &amp; IFERROR(VLOOKUP(MID(N73,O73,P73-O73),[6]skilldef!$A:$B,2,FALSE),"-")</f>
        <v>- / -</v>
      </c>
      <c r="T73" s="154" t="str">
        <f t="shared" si="26"/>
        <v>none</v>
      </c>
      <c r="U73" s="153" t="e">
        <f t="shared" si="27"/>
        <v>#VALUE!</v>
      </c>
      <c r="V73" s="153">
        <f t="shared" si="28"/>
        <v>4</v>
      </c>
      <c r="W73" s="153" t="e">
        <f t="shared" si="29"/>
        <v>#VALUE!</v>
      </c>
      <c r="X73" s="153" t="e">
        <f t="shared" si="30"/>
        <v>#VALUE!</v>
      </c>
      <c r="Y73" s="153" t="str">
        <f>IFERROR(VLOOKUP(MID(T73,W73,X73-W73),[6]skilldef!$C:$D,2,FALSE),"-") &amp; " / " &amp; IFERROR(VLOOKUP(MID(T73,U73,V73-U73),[6]skilldef!$A:$B,2,FALSE),"-")</f>
        <v>- / -</v>
      </c>
      <c r="Z73" s="151"/>
      <c r="AA73" s="155"/>
      <c r="AB73" s="151"/>
    </row>
    <row r="74" spans="1:28" ht="21" customHeight="1" x14ac:dyDescent="0.15">
      <c r="A74" s="178">
        <v>30047073</v>
      </c>
      <c r="B74" s="150" t="s">
        <v>337</v>
      </c>
      <c r="C74" s="151">
        <v>3</v>
      </c>
      <c r="D74" s="151" t="s">
        <v>128</v>
      </c>
      <c r="E74" s="152" t="s">
        <v>289</v>
      </c>
      <c r="F74" s="152" t="s">
        <v>284</v>
      </c>
      <c r="G74" s="153" t="str">
        <f t="shared" si="32"/>
        <v>[effect:enemy_message, val1:1.2, val2:1.2]</v>
      </c>
      <c r="H74" s="153">
        <f t="shared" si="33"/>
        <v>9</v>
      </c>
      <c r="I74" s="153">
        <f t="shared" si="34"/>
        <v>22</v>
      </c>
      <c r="J74" s="153" t="e">
        <f t="shared" si="35"/>
        <v>#VALUE!</v>
      </c>
      <c r="K74" s="153">
        <f t="shared" si="36"/>
        <v>32</v>
      </c>
      <c r="L74" s="153" t="str">
        <f>IFERROR(VLOOKUP(MID(G74,J74,K74-J74),[6]skilldef!$C:$D,2,FALSE),"-") &amp; " / " &amp; IFERROR(VLOOKUP(MID(G74,H74,I74-H74),[6]skilldef!$A:$B,2,FALSE),"-")</f>
        <v>- / -</v>
      </c>
      <c r="M74" s="153" t="str">
        <f t="shared" si="21"/>
        <v>[effect:rush, count:6, val:0.2]</v>
      </c>
      <c r="N74" s="154" t="str">
        <f>IFERROR(LEFT(M74,FIND("],",M74)+S87),M74)</f>
        <v>[effect:rush, count:6, val:0.2]</v>
      </c>
      <c r="O74" s="153">
        <f t="shared" si="22"/>
        <v>9</v>
      </c>
      <c r="P74" s="153">
        <f t="shared" si="23"/>
        <v>13</v>
      </c>
      <c r="Q74" s="153" t="e">
        <f t="shared" si="24"/>
        <v>#VALUE!</v>
      </c>
      <c r="R74" s="153">
        <f t="shared" si="25"/>
        <v>22</v>
      </c>
      <c r="S74" s="153" t="str">
        <f>IFERROR(VLOOKUP(MID(N74,Q74,R74-Q74),[6]skilldef!$C:$D,2,FALSE),"-") &amp; " / " &amp; IFERROR(VLOOKUP(MID(N74,O74,P74-O74),[6]skilldef!$A:$B,2,FALSE),"-")</f>
        <v>- / 連続攻撃</v>
      </c>
      <c r="T74" s="154" t="str">
        <f t="shared" si="26"/>
        <v>none</v>
      </c>
      <c r="U74" s="153" t="e">
        <f t="shared" si="27"/>
        <v>#VALUE!</v>
      </c>
      <c r="V74" s="153">
        <f t="shared" si="28"/>
        <v>4</v>
      </c>
      <c r="W74" s="153" t="e">
        <f t="shared" si="29"/>
        <v>#VALUE!</v>
      </c>
      <c r="X74" s="153" t="e">
        <f t="shared" si="30"/>
        <v>#VALUE!</v>
      </c>
      <c r="Y74" s="153" t="str">
        <f>IFERROR(VLOOKUP(MID(T74,W74,X74-W74),[6]skilldef!$C:$D,2,FALSE),"-") &amp; " / " &amp; IFERROR(VLOOKUP(MID(T74,U74,V74-U74),[6]skilldef!$A:$B,2,FALSE),"-")</f>
        <v>- / -</v>
      </c>
      <c r="Z74" s="151"/>
      <c r="AA74" s="155"/>
      <c r="AB74" s="151"/>
    </row>
    <row r="75" spans="1:28" ht="21" customHeight="1" x14ac:dyDescent="0.15">
      <c r="A75" s="178">
        <v>30047074</v>
      </c>
      <c r="B75" s="150" t="s">
        <v>358</v>
      </c>
      <c r="C75" s="48">
        <v>3</v>
      </c>
      <c r="D75" s="48" t="s">
        <v>128</v>
      </c>
      <c r="E75" s="152" t="s">
        <v>269</v>
      </c>
      <c r="F75" s="152" t="s">
        <v>283</v>
      </c>
      <c r="G75" s="153" t="str">
        <f t="shared" si="32"/>
        <v>[effect:enemy_message, val1:1.2, val2:2.4]</v>
      </c>
      <c r="H75" s="153">
        <f t="shared" si="33"/>
        <v>9</v>
      </c>
      <c r="I75" s="153">
        <f t="shared" si="34"/>
        <v>22</v>
      </c>
      <c r="J75" s="153" t="e">
        <f t="shared" si="35"/>
        <v>#VALUE!</v>
      </c>
      <c r="K75" s="153">
        <f t="shared" si="36"/>
        <v>32</v>
      </c>
      <c r="L75" s="153" t="str">
        <f>IFERROR(VLOOKUP(MID(G75,J75,K75-J75),[6]skilldef!$C:$D,2,FALSE),"-") &amp; " / " &amp; IFERROR(VLOOKUP(MID(G75,H75,I75-H75),[6]skilldef!$A:$B,2,FALSE),"-")</f>
        <v>- / -</v>
      </c>
      <c r="M75" s="153" t="str">
        <f t="shared" si="21"/>
        <v>[effect:force_change_block, new_block:damage, target:block_blue, color:block_blue, count:3, val:0.06, animation:change_block],[effect:critical, val:0.8]</v>
      </c>
      <c r="N75" s="154" t="str">
        <f>IFERROR(LEFT(M75,FIND("],",M75)+S88),M75)</f>
        <v>[effect:force_change_block, new_block:damage, target:block_blue, color:block_blue, count:3, val:0.06, animation:change_block]</v>
      </c>
      <c r="O75" s="153">
        <f t="shared" si="22"/>
        <v>9</v>
      </c>
      <c r="P75" s="153">
        <f t="shared" si="23"/>
        <v>27</v>
      </c>
      <c r="Q75" s="153">
        <f t="shared" si="24"/>
        <v>54</v>
      </c>
      <c r="R75" s="153">
        <f t="shared" si="25"/>
        <v>45</v>
      </c>
      <c r="S75" s="153" t="str">
        <f>IFERROR(VLOOKUP(MID(N75,Q75,R75-Q75),[6]skilldef!$C:$D,2,FALSE),"-") &amp; " / " &amp; IFERROR(VLOOKUP(MID(N75,O75,P75-O75),[6]skilldef!$A:$B,2,FALSE),"-")</f>
        <v>- / -</v>
      </c>
      <c r="T75" s="154" t="str">
        <f t="shared" si="26"/>
        <v>[effect:critical, val:0.8]</v>
      </c>
      <c r="U75" s="153">
        <f t="shared" si="27"/>
        <v>9</v>
      </c>
      <c r="V75" s="153">
        <f t="shared" si="28"/>
        <v>17</v>
      </c>
      <c r="W75" s="153" t="e">
        <f t="shared" si="29"/>
        <v>#VALUE!</v>
      </c>
      <c r="X75" s="153" t="e">
        <f t="shared" si="30"/>
        <v>#VALUE!</v>
      </c>
      <c r="Y75" s="153" t="str">
        <f>IFERROR(VLOOKUP(MID(T75,W75,X75-W75),[6]skilldef!$C:$D,2,FALSE),"-") &amp; " / " &amp; IFERROR(VLOOKUP(MID(T75,U75,V75-U75),[6]skilldef!$A:$B,2,FALSE),"-")</f>
        <v>- / 大攻撃</v>
      </c>
      <c r="Z75" s="151"/>
      <c r="AA75" s="155"/>
      <c r="AB75" s="151"/>
    </row>
    <row r="76" spans="1:28" ht="21" customHeight="1" x14ac:dyDescent="0.15">
      <c r="A76" s="178">
        <v>30047075</v>
      </c>
      <c r="B76" s="150" t="s">
        <v>358</v>
      </c>
      <c r="C76" s="48">
        <v>3</v>
      </c>
      <c r="D76" s="48" t="s">
        <v>128</v>
      </c>
      <c r="E76" s="152" t="s">
        <v>269</v>
      </c>
      <c r="F76" s="152" t="s">
        <v>283</v>
      </c>
      <c r="G76" s="62" t="str">
        <f t="shared" si="32"/>
        <v>[effect:enemy_message, val1:1.2, val2:2.4]</v>
      </c>
      <c r="H76" s="62">
        <f t="shared" si="33"/>
        <v>9</v>
      </c>
      <c r="I76" s="62">
        <f t="shared" si="34"/>
        <v>22</v>
      </c>
      <c r="J76" s="62" t="e">
        <f t="shared" si="35"/>
        <v>#VALUE!</v>
      </c>
      <c r="K76" s="62">
        <f t="shared" si="36"/>
        <v>32</v>
      </c>
      <c r="L76" s="62" t="str">
        <f>IFERROR(VLOOKUP(MID(G76,J76,K76-J76),[6]skilldef!$C:$D,2,FALSE),"-") &amp; " / " &amp; IFERROR(VLOOKUP(MID(G76,H76,I76-H76),[6]skilldef!$A:$B,2,FALSE),"-")</f>
        <v>- / -</v>
      </c>
      <c r="M76" s="62" t="str">
        <f t="shared" si="21"/>
        <v>[effect:force_change_block, new_block:damage, target:block_blue, color:block_blue, count:3, val:0.06, animation:change_block],[effect:critical, val:0.8]</v>
      </c>
      <c r="N76" s="46" t="str">
        <f>IFERROR(LEFT(M76,FIND("],",M76)+S90),M76)</f>
        <v>[effect:force_change_block, new_block:damage, target:block_blue, color:block_blue, count:3, val:0.06, animation:change_block]</v>
      </c>
      <c r="O76" s="62">
        <f t="shared" si="22"/>
        <v>9</v>
      </c>
      <c r="P76" s="62">
        <f t="shared" si="23"/>
        <v>27</v>
      </c>
      <c r="Q76" s="62">
        <f t="shared" si="24"/>
        <v>54</v>
      </c>
      <c r="R76" s="62">
        <f t="shared" si="25"/>
        <v>45</v>
      </c>
      <c r="S76" s="62" t="str">
        <f>IFERROR(VLOOKUP(MID(N76,Q76,R76-Q76),[6]skilldef!$C:$D,2,FALSE),"-") &amp; " / " &amp; IFERROR(VLOOKUP(MID(N76,O76,P76-O76),[6]skilldef!$A:$B,2,FALSE),"-")</f>
        <v>- / -</v>
      </c>
      <c r="T76" s="46" t="str">
        <f t="shared" si="26"/>
        <v>[effect:critical, val:0.8]</v>
      </c>
      <c r="U76" s="62">
        <f t="shared" si="27"/>
        <v>9</v>
      </c>
      <c r="V76" s="62">
        <f t="shared" si="28"/>
        <v>17</v>
      </c>
      <c r="W76" s="62" t="e">
        <f t="shared" si="29"/>
        <v>#VALUE!</v>
      </c>
      <c r="X76" s="62" t="e">
        <f t="shared" si="30"/>
        <v>#VALUE!</v>
      </c>
      <c r="Y76" s="62" t="str">
        <f>IFERROR(VLOOKUP(MID(T76,W76,X76-W76),[6]skilldef!$C:$D,2,FALSE),"-") &amp; " / " &amp; IFERROR(VLOOKUP(MID(T76,U76,V76-U76),[6]skilldef!$A:$B,2,FALSE),"-")</f>
        <v>- / 大攻撃</v>
      </c>
      <c r="Z76" s="48"/>
      <c r="AA76" s="50"/>
      <c r="AB76" s="48"/>
    </row>
    <row r="77" spans="1:28" ht="21" customHeight="1" thickBot="1" x14ac:dyDescent="0.2">
      <c r="A77" s="158">
        <v>30047076</v>
      </c>
      <c r="B77" s="144" t="s">
        <v>358</v>
      </c>
      <c r="C77" s="145">
        <v>3</v>
      </c>
      <c r="D77" s="145" t="s">
        <v>128</v>
      </c>
      <c r="E77" s="146" t="s">
        <v>269</v>
      </c>
      <c r="F77" s="146" t="s">
        <v>283</v>
      </c>
      <c r="G77" s="147"/>
      <c r="H77" s="147"/>
      <c r="I77" s="147"/>
      <c r="J77" s="147"/>
      <c r="K77" s="147"/>
      <c r="L77" s="147" t="str">
        <f>IFERROR(VLOOKUP(MID(G77,J77,K77-J77),[6]skilldef!$C:$D,2,FALSE),"-") &amp; " / " &amp; IFERROR(VLOOKUP(MID(G77,H77,I77-H77),[6]skilldef!$A:$B,2,FALSE),"-")</f>
        <v>- / -</v>
      </c>
      <c r="M77" s="147" t="str">
        <f t="shared" si="21"/>
        <v>[effect:force_change_block, new_block:damage, target:block_blue, color:block_blue, count:3, val:0.06, animation:change_block],[effect:critical, val:0.8]</v>
      </c>
      <c r="N77" s="148" t="str">
        <f>IFERROR(LEFT(M77,FIND("],",M77)+S90),M77)</f>
        <v>[effect:force_change_block, new_block:damage, target:block_blue, color:block_blue, count:3, val:0.06, animation:change_block]</v>
      </c>
      <c r="O77" s="147">
        <f t="shared" si="22"/>
        <v>9</v>
      </c>
      <c r="P77" s="147">
        <f t="shared" si="23"/>
        <v>27</v>
      </c>
      <c r="Q77" s="147">
        <f t="shared" si="24"/>
        <v>54</v>
      </c>
      <c r="R77" s="147">
        <f t="shared" si="25"/>
        <v>45</v>
      </c>
      <c r="S77" s="147" t="str">
        <f>IFERROR(VLOOKUP(MID(N77,Q77,R77-Q77),[6]skilldef!$C:$D,2,FALSE),"-") &amp; " / " &amp; IFERROR(VLOOKUP(MID(N77,O77,P77-O77),[6]skilldef!$A:$B,2,FALSE),"-")</f>
        <v>- / -</v>
      </c>
      <c r="T77" s="148" t="str">
        <f t="shared" si="26"/>
        <v>[effect:critical, val:0.8]</v>
      </c>
      <c r="U77" s="147">
        <f t="shared" si="27"/>
        <v>9</v>
      </c>
      <c r="V77" s="147">
        <f t="shared" si="28"/>
        <v>17</v>
      </c>
      <c r="W77" s="147" t="e">
        <f t="shared" si="29"/>
        <v>#VALUE!</v>
      </c>
      <c r="X77" s="147" t="e">
        <f t="shared" si="30"/>
        <v>#VALUE!</v>
      </c>
      <c r="Y77" s="147" t="str">
        <f>IFERROR(VLOOKUP(MID(T77,W77,X77-W77),[6]skilldef!$C:$D,2,FALSE),"-") &amp; " / " &amp; IFERROR(VLOOKUP(MID(T77,U77,V77-U77),[6]skilldef!$A:$B,2,FALSE),"-")</f>
        <v>- / 大攻撃</v>
      </c>
      <c r="Z77" s="145"/>
      <c r="AA77" s="149"/>
      <c r="AB77" s="145"/>
    </row>
    <row r="78" spans="1:28" ht="21" customHeight="1" x14ac:dyDescent="0.15">
      <c r="A78" s="178">
        <v>30047077</v>
      </c>
      <c r="B78" s="184" t="s">
        <v>338</v>
      </c>
      <c r="C78" s="198">
        <v>3</v>
      </c>
      <c r="D78" s="198" t="s">
        <v>128</v>
      </c>
      <c r="E78" s="199" t="s">
        <v>275</v>
      </c>
      <c r="F78" s="199" t="s">
        <v>317</v>
      </c>
      <c r="G78" s="200"/>
      <c r="H78" s="200"/>
      <c r="I78" s="200"/>
      <c r="J78" s="200"/>
      <c r="K78" s="200"/>
      <c r="L78" s="153" t="str">
        <f>IFERROR(VLOOKUP(MID(G78,J78,K78-J78),[6]skilldef!$C:$D,2,FALSE),"-") &amp; " / " &amp; IFERROR(VLOOKUP(MID(G78,H78,I78-H78),[6]skilldef!$A:$B,2,FALSE),"-")</f>
        <v>- / -</v>
      </c>
      <c r="M78" s="153" t="str">
        <f t="shared" si="21"/>
        <v>[effect:tolerance, target:myself, turn:-1, count:-1, tolerance_effect:all, animation:enemy_tolerance]</v>
      </c>
      <c r="N78" s="154" t="str">
        <f>IFERROR(LEFT(M78,FIND("],",M78)+S91),M78)</f>
        <v>[effect:tolerance, target:myself, turn:-1, count:-1, tolerance_effect:all, animation:enemy_tolerance]</v>
      </c>
      <c r="O78" s="153">
        <f t="shared" si="22"/>
        <v>9</v>
      </c>
      <c r="P78" s="153">
        <f t="shared" si="23"/>
        <v>18</v>
      </c>
      <c r="Q78" s="153">
        <f t="shared" si="24"/>
        <v>27</v>
      </c>
      <c r="R78" s="153">
        <f t="shared" si="25"/>
        <v>33</v>
      </c>
      <c r="S78" s="153" t="str">
        <f>IFERROR(VLOOKUP(MID(N78,Q78,R78-Q78),[6]skilldef!$C:$D,2,FALSE),"-") &amp; " / " &amp; IFERROR(VLOOKUP(MID(N78,O78,P78-O78),[6]skilldef!$A:$B,2,FALSE),"-")</f>
        <v>自分自身に / 状態異常耐性</v>
      </c>
      <c r="T78" s="154" t="str">
        <f t="shared" si="26"/>
        <v>none</v>
      </c>
      <c r="U78" s="153" t="e">
        <f t="shared" si="27"/>
        <v>#VALUE!</v>
      </c>
      <c r="V78" s="153">
        <f t="shared" si="28"/>
        <v>4</v>
      </c>
      <c r="W78" s="153" t="e">
        <f t="shared" si="29"/>
        <v>#VALUE!</v>
      </c>
      <c r="X78" s="153" t="e">
        <f t="shared" si="30"/>
        <v>#VALUE!</v>
      </c>
      <c r="Y78" s="153" t="str">
        <f>IFERROR(VLOOKUP(MID(T78,W78,X78-W78),[6]skilldef!$C:$D,2,FALSE),"-") &amp; " / " &amp; IFERROR(VLOOKUP(MID(T78,U78,V78-U78),[6]skilldef!$A:$B,2,FALSE),"-")</f>
        <v>- / -</v>
      </c>
      <c r="Z78" s="198"/>
      <c r="AA78" s="201"/>
      <c r="AB78" s="198"/>
    </row>
    <row r="79" spans="1:28" ht="21" customHeight="1" x14ac:dyDescent="0.15">
      <c r="A79" s="178">
        <v>30047078</v>
      </c>
      <c r="B79" s="150" t="s">
        <v>353</v>
      </c>
      <c r="C79" s="48">
        <v>3</v>
      </c>
      <c r="D79" s="48" t="s">
        <v>128</v>
      </c>
      <c r="E79" s="49" t="s">
        <v>270</v>
      </c>
      <c r="F79" s="152" t="s">
        <v>307</v>
      </c>
      <c r="G79" s="153"/>
      <c r="H79" s="153"/>
      <c r="I79" s="153"/>
      <c r="J79" s="153"/>
      <c r="K79" s="153"/>
      <c r="L79" s="153" t="str">
        <f>IFERROR(VLOOKUP(MID(G79,J79,K79-J79),[6]skilldef!$C:$D,2,FALSE),"-") &amp; " / " &amp; IFERROR(VLOOKUP(MID(G79,H79,I79-H79),[6]skilldef!$A:$B,2,FALSE),"-")</f>
        <v>- / -</v>
      </c>
      <c r="M79" s="153" t="str">
        <f t="shared" si="21"/>
        <v>[effect:degrade_unit, target:unit_all, turn:3, status:heal, val:0.5, calc:mul, animation:degrade_unit_all_heal],[effect:critical, val:0.8]</v>
      </c>
      <c r="N79" s="154" t="str">
        <f>IFERROR(LEFT(M79,FIND("],",M79)+S92),M79)</f>
        <v>[effect:degrade_unit, target:unit_all, turn:3, status:heal, val:0.5, calc:mul, animation:degrade_unit_all_heal]</v>
      </c>
      <c r="O79" s="153">
        <f t="shared" si="22"/>
        <v>9</v>
      </c>
      <c r="P79" s="153">
        <f t="shared" si="23"/>
        <v>21</v>
      </c>
      <c r="Q79" s="153">
        <f t="shared" si="24"/>
        <v>30</v>
      </c>
      <c r="R79" s="153">
        <f t="shared" si="25"/>
        <v>38</v>
      </c>
      <c r="S79" s="153" t="str">
        <f>IFERROR(VLOOKUP(MID(N79,Q79,R79-Q79),[6]skilldef!$C:$D,2,FALSE),"-") &amp; " / " &amp; IFERROR(VLOOKUP(MID(N79,O79,P79-O79),[6]skilldef!$A:$B,2,FALSE),"-")</f>
        <v>味方全体に / ステータスDOWN</v>
      </c>
      <c r="T79" s="154" t="str">
        <f t="shared" si="26"/>
        <v>[effect:critical, val:0.8]</v>
      </c>
      <c r="U79" s="153">
        <f t="shared" si="27"/>
        <v>9</v>
      </c>
      <c r="V79" s="153">
        <f t="shared" si="28"/>
        <v>17</v>
      </c>
      <c r="W79" s="153" t="e">
        <f t="shared" si="29"/>
        <v>#VALUE!</v>
      </c>
      <c r="X79" s="153" t="e">
        <f t="shared" si="30"/>
        <v>#VALUE!</v>
      </c>
      <c r="Y79" s="153" t="str">
        <f>IFERROR(VLOOKUP(MID(T79,W79,X79-W79),[6]skilldef!$C:$D,2,FALSE),"-") &amp; " / " &amp; IFERROR(VLOOKUP(MID(T79,U79,V79-U79),[6]skilldef!$A:$B,2,FALSE),"-")</f>
        <v>- / 大攻撃</v>
      </c>
      <c r="Z79" s="151"/>
      <c r="AA79" s="155"/>
      <c r="AB79" s="151"/>
    </row>
    <row r="80" spans="1:28" ht="21" customHeight="1" x14ac:dyDescent="0.15">
      <c r="A80" s="178">
        <v>30047079</v>
      </c>
      <c r="B80" s="150" t="s">
        <v>340</v>
      </c>
      <c r="C80" s="151">
        <v>3</v>
      </c>
      <c r="D80" s="151" t="s">
        <v>128</v>
      </c>
      <c r="E80" s="152" t="s">
        <v>298</v>
      </c>
      <c r="F80" s="152" t="s">
        <v>312</v>
      </c>
      <c r="G80" s="153" t="str">
        <f>IFERROR(LEFT(B80,FIND("],",B80)),B80)</f>
        <v>[effect:enemy_message, val1:1.2, val2:1.5]</v>
      </c>
      <c r="H80" s="153">
        <f>FIND("effect:",G80)+7</f>
        <v>9</v>
      </c>
      <c r="I80" s="153">
        <f>IFERROR(FIND(",",G80),LEN(G80))</f>
        <v>22</v>
      </c>
      <c r="J80" s="153" t="e">
        <f>FIND("target:",G80)+7</f>
        <v>#VALUE!</v>
      </c>
      <c r="K80" s="153">
        <f>FIND(",",G80,I80+1)</f>
        <v>32</v>
      </c>
      <c r="L80" s="153" t="str">
        <f>IFERROR(VLOOKUP(MID(G80,J80,K80-J80),[6]skilldef!$C:$D,2,FALSE),"-") &amp; " / " &amp; IFERROR(VLOOKUP(MID(G80,H80,I80-H80),[6]skilldef!$A:$B,2,FALSE),"-")</f>
        <v>- / -</v>
      </c>
      <c r="M80" s="153" t="str">
        <f t="shared" si="21"/>
        <v>[effect:break_attack, target:unit_one, val:0.09, lowest_val:0, count:-1, color:blue, block01:block_red, block02:block_yellow, block03:block_green]</v>
      </c>
      <c r="N80" s="154" t="str">
        <f>IFERROR(LEFT(M80,FIND("],",M80)+S91),M80)</f>
        <v>[effect:break_attack, target:unit_one, val:0.09, lowest_val:0, count:-1, color:blue, block01:block_red, block02:block_yellow, block03:block_green]</v>
      </c>
      <c r="O80" s="153">
        <f t="shared" si="22"/>
        <v>9</v>
      </c>
      <c r="P80" s="153">
        <f t="shared" si="23"/>
        <v>21</v>
      </c>
      <c r="Q80" s="153">
        <f t="shared" si="24"/>
        <v>30</v>
      </c>
      <c r="R80" s="153">
        <f t="shared" si="25"/>
        <v>38</v>
      </c>
      <c r="S80" s="153" t="str">
        <f>IFERROR(VLOOKUP(MID(N80,Q80,R80-Q80),[6]skilldef!$C:$D,2,FALSE),"-") &amp; " / " &amp; IFERROR(VLOOKUP(MID(N80,O80,P80-O80),[6]skilldef!$A:$B,2,FALSE),"-")</f>
        <v>味方単体に / -</v>
      </c>
      <c r="T80" s="154" t="str">
        <f t="shared" si="26"/>
        <v>none</v>
      </c>
      <c r="U80" s="153" t="e">
        <f t="shared" si="27"/>
        <v>#VALUE!</v>
      </c>
      <c r="V80" s="153">
        <f t="shared" si="28"/>
        <v>4</v>
      </c>
      <c r="W80" s="153" t="e">
        <f t="shared" si="29"/>
        <v>#VALUE!</v>
      </c>
      <c r="X80" s="153" t="e">
        <f t="shared" si="30"/>
        <v>#VALUE!</v>
      </c>
      <c r="Y80" s="153" t="str">
        <f>IFERROR(VLOOKUP(MID(T80,W80,X80-W80),[6]skilldef!$C:$D,2,FALSE),"-") &amp; " / " &amp; IFERROR(VLOOKUP(MID(T80,U80,V80-U80),[6]skilldef!$A:$B,2,FALSE),"-")</f>
        <v>- / -</v>
      </c>
      <c r="Z80" s="151"/>
      <c r="AA80" s="155"/>
      <c r="AB80" s="151"/>
    </row>
    <row r="81" spans="1:28" ht="21" customHeight="1" x14ac:dyDescent="0.15">
      <c r="A81" s="178">
        <v>30047080</v>
      </c>
      <c r="B81" s="45" t="s">
        <v>350</v>
      </c>
      <c r="C81" s="48">
        <v>3</v>
      </c>
      <c r="D81" s="48" t="s">
        <v>128</v>
      </c>
      <c r="E81" s="49" t="s">
        <v>299</v>
      </c>
      <c r="F81" s="49" t="s">
        <v>308</v>
      </c>
      <c r="G81" s="62" t="str">
        <f>IFERROR(LEFT(B81,FIND("],",B81)),B81)</f>
        <v>[effect:enemy_message, val1:1.2, val2:1.9]</v>
      </c>
      <c r="H81" s="62">
        <f>FIND("effect:",G81)+7</f>
        <v>9</v>
      </c>
      <c r="I81" s="62">
        <f>IFERROR(FIND(",",G81),LEN(G81))</f>
        <v>22</v>
      </c>
      <c r="J81" s="62" t="e">
        <f>FIND("target:",G81)+7</f>
        <v>#VALUE!</v>
      </c>
      <c r="K81" s="62">
        <f>FIND(",",G81,I81+1)</f>
        <v>32</v>
      </c>
      <c r="L81" s="62" t="str">
        <f>IFERROR(VLOOKUP(MID(G81,J81,K81-J81),[6]skilldef!$C:$D,2,FALSE),"-") &amp; " / " &amp; IFERROR(VLOOKUP(MID(G81,H81,I81-H81),[6]skilldef!$A:$B,2,FALSE),"-")</f>
        <v>- / -</v>
      </c>
      <c r="M81" s="62" t="str">
        <f t="shared" si="21"/>
        <v>[effect:force_change_block, new_block:damage, target:block_blue, color:block_blue, count:5, val:0.06, animation:change_block]</v>
      </c>
      <c r="N81" s="46" t="str">
        <f>IFERROR(LEFT(M81,FIND("],",M81)+S91),M81)</f>
        <v>[effect:force_change_block, new_block:damage, target:block_blue, color:block_blue, count:5, val:0.06, animation:change_block]</v>
      </c>
      <c r="O81" s="62">
        <f t="shared" si="22"/>
        <v>9</v>
      </c>
      <c r="P81" s="62">
        <f t="shared" si="23"/>
        <v>27</v>
      </c>
      <c r="Q81" s="62">
        <f t="shared" si="24"/>
        <v>54</v>
      </c>
      <c r="R81" s="62">
        <f t="shared" si="25"/>
        <v>45</v>
      </c>
      <c r="S81" s="62" t="str">
        <f>IFERROR(VLOOKUP(MID(N81,Q81,R81-Q81),[6]skilldef!$C:$D,2,FALSE),"-") &amp; " / " &amp; IFERROR(VLOOKUP(MID(N81,O81,P81-O81),[6]skilldef!$A:$B,2,FALSE),"-")</f>
        <v>- / -</v>
      </c>
      <c r="T81" s="46" t="str">
        <f t="shared" si="26"/>
        <v>none</v>
      </c>
      <c r="U81" s="62" t="e">
        <f t="shared" si="27"/>
        <v>#VALUE!</v>
      </c>
      <c r="V81" s="62">
        <f t="shared" si="28"/>
        <v>4</v>
      </c>
      <c r="W81" s="62" t="e">
        <f t="shared" si="29"/>
        <v>#VALUE!</v>
      </c>
      <c r="X81" s="62" t="e">
        <f t="shared" si="30"/>
        <v>#VALUE!</v>
      </c>
      <c r="Y81" s="62" t="str">
        <f>IFERROR(VLOOKUP(MID(T81,W81,X81-W81),[6]skilldef!$C:$D,2,FALSE),"-") &amp; " / " &amp; IFERROR(VLOOKUP(MID(T81,U81,V81-U81),[6]skilldef!$A:$B,2,FALSE),"-")</f>
        <v>- / -</v>
      </c>
      <c r="Z81" s="48"/>
      <c r="AA81" s="50"/>
      <c r="AB81" s="48"/>
    </row>
    <row r="82" spans="1:28" ht="21" customHeight="1" thickBot="1" x14ac:dyDescent="0.2">
      <c r="A82" s="158">
        <v>30047081</v>
      </c>
      <c r="B82" s="172" t="s">
        <v>361</v>
      </c>
      <c r="C82" s="203">
        <v>3</v>
      </c>
      <c r="D82" s="203" t="s">
        <v>128</v>
      </c>
      <c r="E82" s="204" t="s">
        <v>291</v>
      </c>
      <c r="F82" s="204" t="s">
        <v>302</v>
      </c>
      <c r="G82" s="205" t="str">
        <f>IFERROR(LEFT(B82,FIND("],",B82)),B82)</f>
        <v>[effect:enemy_message, val1:1.2, val2:0 dead_type:suicide]</v>
      </c>
      <c r="H82" s="205">
        <f>FIND("effect:",G82)+7</f>
        <v>9</v>
      </c>
      <c r="I82" s="205">
        <f>IFERROR(FIND(",",G82),LEN(G82))</f>
        <v>22</v>
      </c>
      <c r="J82" s="205" t="e">
        <f>FIND("target:",G82)+7</f>
        <v>#VALUE!</v>
      </c>
      <c r="K82" s="205">
        <f>FIND(",",G82,I82+1)</f>
        <v>32</v>
      </c>
      <c r="L82" s="205" t="str">
        <f>IFERROR(VLOOKUP(MID(G82,J82,K82-J82),[6]skilldef!$C:$D,2,FALSE),"-") &amp; " / " &amp; IFERROR(VLOOKUP(MID(G82,H82,I82-H82),[6]skilldef!$A:$B,2,FALSE),"-")</f>
        <v>- / -</v>
      </c>
      <c r="M82" s="205" t="str">
        <f t="shared" si="21"/>
        <v>none</v>
      </c>
      <c r="N82" s="173" t="str">
        <f>IFERROR(LEFT(M82,FIND("],",M82)+S92),M82)</f>
        <v>none</v>
      </c>
      <c r="O82" s="205" t="e">
        <f t="shared" si="22"/>
        <v>#VALUE!</v>
      </c>
      <c r="P82" s="205">
        <f t="shared" si="23"/>
        <v>4</v>
      </c>
      <c r="Q82" s="205" t="e">
        <f t="shared" si="24"/>
        <v>#VALUE!</v>
      </c>
      <c r="R82" s="205" t="e">
        <f t="shared" si="25"/>
        <v>#VALUE!</v>
      </c>
      <c r="S82" s="205" t="str">
        <f>IFERROR(VLOOKUP(MID(N82,Q82,R82-Q82),[6]skilldef!$C:$D,2,FALSE),"-") &amp; " / " &amp; IFERROR(VLOOKUP(MID(N82,O82,P82-O82),[6]skilldef!$A:$B,2,FALSE),"-")</f>
        <v>- / -</v>
      </c>
      <c r="T82" s="173" t="str">
        <f t="shared" si="26"/>
        <v>none</v>
      </c>
      <c r="U82" s="205" t="e">
        <f t="shared" si="27"/>
        <v>#VALUE!</v>
      </c>
      <c r="V82" s="205">
        <f t="shared" si="28"/>
        <v>4</v>
      </c>
      <c r="W82" s="205" t="e">
        <f t="shared" si="29"/>
        <v>#VALUE!</v>
      </c>
      <c r="X82" s="205" t="e">
        <f t="shared" si="30"/>
        <v>#VALUE!</v>
      </c>
      <c r="Y82" s="205" t="str">
        <f>IFERROR(VLOOKUP(MID(T82,W82,X82-W82),[6]skilldef!$C:$D,2,FALSE),"-") &amp; " / " &amp; IFERROR(VLOOKUP(MID(T82,U82,V82-U82),[6]skilldef!$A:$B,2,FALSE),"-")</f>
        <v>- / -</v>
      </c>
      <c r="Z82" s="203"/>
      <c r="AA82" s="206"/>
      <c r="AB82" s="203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82"/>
  <sheetViews>
    <sheetView showGridLines="0" workbookViewId="0">
      <pane ySplit="1" topLeftCell="A2" activePane="bottomLeft" state="frozenSplit"/>
      <selection pane="bottomLeft" activeCell="C15" sqref="C15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8" bestFit="1" customWidth="1"/>
    <col min="12" max="16384" width="12.83203125" style="43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1" t="s">
        <v>71</v>
      </c>
      <c r="G1" s="51" t="s">
        <v>72</v>
      </c>
      <c r="H1" s="41" t="s">
        <v>73</v>
      </c>
      <c r="I1" s="41" t="s">
        <v>74</v>
      </c>
      <c r="J1" s="41" t="s">
        <v>75</v>
      </c>
      <c r="K1" s="52" t="s">
        <v>88</v>
      </c>
    </row>
    <row r="2" spans="1:11" ht="21" customHeight="1" x14ac:dyDescent="0.15">
      <c r="A2" s="190">
        <v>30047001</v>
      </c>
      <c r="B2" s="45">
        <v>1</v>
      </c>
      <c r="C2" s="45" t="s">
        <v>89</v>
      </c>
      <c r="D2" s="45">
        <v>100</v>
      </c>
      <c r="E2" s="45" t="s">
        <v>90</v>
      </c>
      <c r="F2" s="45" t="s">
        <v>90</v>
      </c>
      <c r="G2" s="45">
        <v>1</v>
      </c>
      <c r="H2" s="45" t="s">
        <v>90</v>
      </c>
      <c r="I2" s="45" t="s">
        <v>90</v>
      </c>
      <c r="J2" s="46">
        <f t="shared" ref="J2" si="0">D2</f>
        <v>100</v>
      </c>
    </row>
    <row r="3" spans="1:11" ht="21" customHeight="1" thickBot="1" x14ac:dyDescent="0.2">
      <c r="A3" s="156">
        <v>30047002</v>
      </c>
      <c r="B3" s="144">
        <v>0</v>
      </c>
      <c r="C3" s="144" t="s">
        <v>89</v>
      </c>
      <c r="D3" s="144">
        <v>100</v>
      </c>
      <c r="E3" s="144" t="s">
        <v>170</v>
      </c>
      <c r="F3" s="144" t="s">
        <v>90</v>
      </c>
      <c r="G3" s="144">
        <v>1</v>
      </c>
      <c r="H3" s="144" t="s">
        <v>90</v>
      </c>
      <c r="I3" s="144" t="s">
        <v>90</v>
      </c>
      <c r="J3" s="148">
        <f t="shared" ref="J3" si="1">D3</f>
        <v>100</v>
      </c>
      <c r="K3" s="186"/>
    </row>
    <row r="4" spans="1:11" ht="21" customHeight="1" x14ac:dyDescent="0.15">
      <c r="A4" s="167">
        <v>30047003</v>
      </c>
      <c r="B4" s="169">
        <v>1</v>
      </c>
      <c r="C4" s="169" t="s">
        <v>53</v>
      </c>
      <c r="D4" s="169">
        <v>100</v>
      </c>
      <c r="E4" s="169" t="s">
        <v>90</v>
      </c>
      <c r="F4" s="169" t="s">
        <v>90</v>
      </c>
      <c r="G4" s="169">
        <v>1</v>
      </c>
      <c r="H4" s="169" t="s">
        <v>90</v>
      </c>
      <c r="I4" s="169" t="s">
        <v>90</v>
      </c>
      <c r="J4" s="170">
        <f t="shared" ref="J4:J11" si="2">D4</f>
        <v>100</v>
      </c>
    </row>
    <row r="5" spans="1:11" ht="21" customHeight="1" thickBot="1" x14ac:dyDescent="0.2">
      <c r="A5" s="168">
        <v>30047004</v>
      </c>
      <c r="B5" s="144">
        <v>0</v>
      </c>
      <c r="C5" s="144" t="s">
        <v>53</v>
      </c>
      <c r="D5" s="144">
        <v>50</v>
      </c>
      <c r="E5" s="144" t="s">
        <v>90</v>
      </c>
      <c r="F5" s="144" t="s">
        <v>90</v>
      </c>
      <c r="G5" s="144" t="s">
        <v>90</v>
      </c>
      <c r="H5" s="144">
        <v>1</v>
      </c>
      <c r="I5" s="144" t="s">
        <v>90</v>
      </c>
      <c r="J5" s="148">
        <f t="shared" si="2"/>
        <v>50</v>
      </c>
      <c r="K5" s="186"/>
    </row>
    <row r="6" spans="1:11" ht="21" customHeight="1" x14ac:dyDescent="0.15">
      <c r="A6" s="167">
        <v>30047005</v>
      </c>
      <c r="B6" s="169">
        <v>0</v>
      </c>
      <c r="C6" s="169">
        <v>10</v>
      </c>
      <c r="D6" s="169">
        <v>100</v>
      </c>
      <c r="E6" s="169" t="s">
        <v>90</v>
      </c>
      <c r="F6" s="169" t="s">
        <v>90</v>
      </c>
      <c r="G6" s="169" t="s">
        <v>90</v>
      </c>
      <c r="H6" s="169" t="s">
        <v>90</v>
      </c>
      <c r="I6" s="169" t="s">
        <v>90</v>
      </c>
      <c r="J6" s="170">
        <f t="shared" si="2"/>
        <v>100</v>
      </c>
    </row>
    <row r="7" spans="1:11" ht="21" customHeight="1" thickBot="1" x14ac:dyDescent="0.2">
      <c r="A7" s="168">
        <v>30047006</v>
      </c>
      <c r="B7" s="144">
        <v>0</v>
      </c>
      <c r="C7" s="144">
        <v>20</v>
      </c>
      <c r="D7" s="144">
        <v>100</v>
      </c>
      <c r="E7" s="144">
        <v>30</v>
      </c>
      <c r="F7" s="144" t="s">
        <v>170</v>
      </c>
      <c r="G7" s="144">
        <v>1</v>
      </c>
      <c r="H7" s="144" t="s">
        <v>90</v>
      </c>
      <c r="I7" s="144" t="s">
        <v>90</v>
      </c>
      <c r="J7" s="148">
        <f t="shared" si="2"/>
        <v>100</v>
      </c>
      <c r="K7" s="186"/>
    </row>
    <row r="8" spans="1:11" ht="21" customHeight="1" thickBot="1" x14ac:dyDescent="0.2">
      <c r="A8" s="160">
        <v>30047007</v>
      </c>
      <c r="B8" s="172">
        <v>0</v>
      </c>
      <c r="C8" s="172" t="s">
        <v>53</v>
      </c>
      <c r="D8" s="172">
        <v>100</v>
      </c>
      <c r="E8" s="172" t="s">
        <v>90</v>
      </c>
      <c r="F8" s="172" t="s">
        <v>90</v>
      </c>
      <c r="G8" s="172" t="s">
        <v>90</v>
      </c>
      <c r="H8" s="172">
        <v>3</v>
      </c>
      <c r="I8" s="172" t="s">
        <v>90</v>
      </c>
      <c r="J8" s="173">
        <f t="shared" si="2"/>
        <v>100</v>
      </c>
    </row>
    <row r="9" spans="1:11" ht="21" customHeight="1" x14ac:dyDescent="0.15">
      <c r="A9" s="159">
        <v>30047008</v>
      </c>
      <c r="B9" s="169">
        <v>1</v>
      </c>
      <c r="C9" s="169" t="s">
        <v>53</v>
      </c>
      <c r="D9" s="169">
        <v>100</v>
      </c>
      <c r="E9" s="169" t="s">
        <v>90</v>
      </c>
      <c r="F9" s="169" t="s">
        <v>90</v>
      </c>
      <c r="G9" s="169">
        <v>1</v>
      </c>
      <c r="H9" s="169" t="s">
        <v>90</v>
      </c>
      <c r="I9" s="169" t="s">
        <v>90</v>
      </c>
      <c r="J9" s="170">
        <f>D9</f>
        <v>100</v>
      </c>
    </row>
    <row r="10" spans="1:11" ht="21" customHeight="1" x14ac:dyDescent="0.15">
      <c r="A10" s="159">
        <v>30047009</v>
      </c>
      <c r="B10" s="45">
        <v>0</v>
      </c>
      <c r="C10" s="45">
        <v>10</v>
      </c>
      <c r="D10" s="45">
        <v>100</v>
      </c>
      <c r="E10" s="169" t="s">
        <v>90</v>
      </c>
      <c r="F10" s="45" t="s">
        <v>90</v>
      </c>
      <c r="G10" s="169" t="s">
        <v>90</v>
      </c>
      <c r="H10" s="45">
        <v>1</v>
      </c>
      <c r="I10" s="45" t="s">
        <v>90</v>
      </c>
      <c r="J10" s="46">
        <f t="shared" si="2"/>
        <v>100</v>
      </c>
    </row>
    <row r="11" spans="1:11" ht="21" customHeight="1" x14ac:dyDescent="0.15">
      <c r="A11" s="159">
        <v>30047010</v>
      </c>
      <c r="B11" s="45">
        <v>0</v>
      </c>
      <c r="C11" s="45">
        <v>20</v>
      </c>
      <c r="D11" s="45">
        <v>100</v>
      </c>
      <c r="E11" s="169" t="s">
        <v>90</v>
      </c>
      <c r="F11" s="45" t="s">
        <v>90</v>
      </c>
      <c r="G11" s="45" t="s">
        <v>90</v>
      </c>
      <c r="H11" s="45">
        <v>2</v>
      </c>
      <c r="I11" s="45" t="s">
        <v>90</v>
      </c>
      <c r="J11" s="46">
        <f t="shared" si="2"/>
        <v>100</v>
      </c>
    </row>
    <row r="12" spans="1:11" ht="21" customHeight="1" x14ac:dyDescent="0.15">
      <c r="A12" s="159">
        <v>30047011</v>
      </c>
      <c r="B12" s="45">
        <v>0</v>
      </c>
      <c r="C12" s="45">
        <v>30</v>
      </c>
      <c r="D12" s="45">
        <v>100</v>
      </c>
      <c r="E12" s="169" t="s">
        <v>90</v>
      </c>
      <c r="F12" s="45" t="s">
        <v>90</v>
      </c>
      <c r="G12" s="45" t="s">
        <v>90</v>
      </c>
      <c r="H12" s="45">
        <v>3</v>
      </c>
      <c r="I12" s="45" t="s">
        <v>90</v>
      </c>
      <c r="J12" s="46">
        <f t="shared" ref="J12:J24" si="3">D12</f>
        <v>100</v>
      </c>
    </row>
    <row r="13" spans="1:11" ht="21" customHeight="1" thickBot="1" x14ac:dyDescent="0.2">
      <c r="A13" s="160">
        <v>30047012</v>
      </c>
      <c r="B13" s="144">
        <v>0</v>
      </c>
      <c r="C13" s="144" t="s">
        <v>53</v>
      </c>
      <c r="D13" s="144">
        <v>100</v>
      </c>
      <c r="E13" s="144" t="s">
        <v>90</v>
      </c>
      <c r="F13" s="144" t="s">
        <v>90</v>
      </c>
      <c r="G13" s="144" t="s">
        <v>90</v>
      </c>
      <c r="H13" s="144" t="s">
        <v>90</v>
      </c>
      <c r="I13" s="144">
        <v>586</v>
      </c>
      <c r="J13" s="148">
        <f t="shared" si="3"/>
        <v>100</v>
      </c>
      <c r="K13" s="186"/>
    </row>
    <row r="14" spans="1:11" ht="21" customHeight="1" x14ac:dyDescent="0.15">
      <c r="A14" s="188">
        <v>30047013</v>
      </c>
      <c r="B14" s="169">
        <v>1</v>
      </c>
      <c r="C14" s="169" t="s">
        <v>53</v>
      </c>
      <c r="D14" s="169">
        <v>100</v>
      </c>
      <c r="E14" s="169" t="s">
        <v>90</v>
      </c>
      <c r="F14" s="169" t="s">
        <v>90</v>
      </c>
      <c r="G14" s="169">
        <v>1</v>
      </c>
      <c r="H14" s="169" t="s">
        <v>90</v>
      </c>
      <c r="I14" s="169" t="s">
        <v>90</v>
      </c>
      <c r="J14" s="170">
        <f t="shared" si="3"/>
        <v>100</v>
      </c>
    </row>
    <row r="15" spans="1:11" ht="21" customHeight="1" x14ac:dyDescent="0.15">
      <c r="A15" s="159">
        <v>30047014</v>
      </c>
      <c r="B15" s="45">
        <v>0</v>
      </c>
      <c r="C15" s="45" t="s">
        <v>53</v>
      </c>
      <c r="D15" s="45">
        <v>100</v>
      </c>
      <c r="E15" s="169" t="s">
        <v>90</v>
      </c>
      <c r="F15" s="45" t="s">
        <v>170</v>
      </c>
      <c r="G15" s="45">
        <v>1</v>
      </c>
      <c r="H15" s="45" t="s">
        <v>90</v>
      </c>
      <c r="I15" s="45" t="s">
        <v>90</v>
      </c>
      <c r="J15" s="46">
        <f t="shared" si="3"/>
        <v>100</v>
      </c>
    </row>
    <row r="16" spans="1:11" ht="21" customHeight="1" x14ac:dyDescent="0.15">
      <c r="A16" s="159">
        <v>30047015</v>
      </c>
      <c r="B16" s="45">
        <v>0</v>
      </c>
      <c r="C16" s="45">
        <v>10</v>
      </c>
      <c r="D16" s="45">
        <v>100</v>
      </c>
      <c r="E16" s="45" t="s">
        <v>90</v>
      </c>
      <c r="F16" s="45" t="s">
        <v>90</v>
      </c>
      <c r="G16" s="45" t="s">
        <v>90</v>
      </c>
      <c r="H16" s="45">
        <v>3</v>
      </c>
      <c r="I16" s="45" t="s">
        <v>90</v>
      </c>
      <c r="J16" s="46">
        <f t="shared" si="3"/>
        <v>100</v>
      </c>
    </row>
    <row r="17" spans="1:11" ht="21" customHeight="1" thickBot="1" x14ac:dyDescent="0.2">
      <c r="A17" s="160">
        <v>30047016</v>
      </c>
      <c r="B17" s="144">
        <v>0</v>
      </c>
      <c r="C17" s="144">
        <v>20</v>
      </c>
      <c r="D17" s="144">
        <v>100</v>
      </c>
      <c r="E17" s="144" t="s">
        <v>90</v>
      </c>
      <c r="F17" s="144" t="s">
        <v>90</v>
      </c>
      <c r="G17" s="144" t="s">
        <v>90</v>
      </c>
      <c r="H17" s="144">
        <v>4</v>
      </c>
      <c r="I17" s="144" t="s">
        <v>90</v>
      </c>
      <c r="J17" s="148">
        <f t="shared" si="3"/>
        <v>100</v>
      </c>
      <c r="K17" s="186"/>
    </row>
    <row r="18" spans="1:11" ht="21" customHeight="1" thickBot="1" x14ac:dyDescent="0.2">
      <c r="A18" s="178">
        <v>30047017</v>
      </c>
      <c r="B18" s="169">
        <v>1</v>
      </c>
      <c r="C18" s="169" t="s">
        <v>53</v>
      </c>
      <c r="D18" s="169">
        <v>100</v>
      </c>
      <c r="E18" s="169" t="s">
        <v>90</v>
      </c>
      <c r="F18" s="169" t="s">
        <v>90</v>
      </c>
      <c r="G18" s="169">
        <v>1</v>
      </c>
      <c r="H18" s="169" t="s">
        <v>90</v>
      </c>
      <c r="I18" s="169" t="s">
        <v>90</v>
      </c>
      <c r="J18" s="170">
        <f t="shared" si="3"/>
        <v>100</v>
      </c>
      <c r="K18" s="186"/>
    </row>
    <row r="19" spans="1:11" ht="21" customHeight="1" x14ac:dyDescent="0.15">
      <c r="A19" s="179">
        <v>30047018</v>
      </c>
      <c r="B19" s="45">
        <v>0</v>
      </c>
      <c r="C19" s="45">
        <v>100</v>
      </c>
      <c r="D19" s="45">
        <v>100</v>
      </c>
      <c r="E19" s="45" t="s">
        <v>90</v>
      </c>
      <c r="F19" s="45" t="s">
        <v>90</v>
      </c>
      <c r="G19" s="45">
        <v>1</v>
      </c>
      <c r="H19" s="45">
        <v>1</v>
      </c>
      <c r="I19" s="45" t="s">
        <v>90</v>
      </c>
      <c r="J19" s="46">
        <f t="shared" si="3"/>
        <v>100</v>
      </c>
    </row>
    <row r="20" spans="1:11" ht="21" customHeight="1" x14ac:dyDescent="0.15">
      <c r="A20" s="179">
        <v>30047019</v>
      </c>
      <c r="B20" s="45">
        <v>0</v>
      </c>
      <c r="C20" s="45">
        <v>20</v>
      </c>
      <c r="D20" s="45">
        <v>60</v>
      </c>
      <c r="E20" s="45" t="s">
        <v>90</v>
      </c>
      <c r="F20" s="45" t="s">
        <v>90</v>
      </c>
      <c r="G20" s="45" t="s">
        <v>90</v>
      </c>
      <c r="H20" s="45">
        <v>1</v>
      </c>
      <c r="I20" s="45" t="s">
        <v>90</v>
      </c>
      <c r="J20" s="46">
        <f t="shared" si="3"/>
        <v>60</v>
      </c>
    </row>
    <row r="21" spans="1:11" ht="21" customHeight="1" x14ac:dyDescent="0.15">
      <c r="A21" s="157">
        <v>30047020</v>
      </c>
      <c r="B21" s="45">
        <v>0</v>
      </c>
      <c r="C21" s="45">
        <v>30</v>
      </c>
      <c r="D21" s="45">
        <v>100</v>
      </c>
      <c r="E21" s="45" t="s">
        <v>90</v>
      </c>
      <c r="F21" s="45" t="s">
        <v>90</v>
      </c>
      <c r="G21" s="45" t="s">
        <v>90</v>
      </c>
      <c r="H21" s="45">
        <v>3</v>
      </c>
      <c r="I21" s="45" t="s">
        <v>90</v>
      </c>
      <c r="J21" s="46">
        <f t="shared" si="3"/>
        <v>100</v>
      </c>
    </row>
    <row r="22" spans="1:11" ht="21" customHeight="1" x14ac:dyDescent="0.15">
      <c r="A22" s="179">
        <v>30047021</v>
      </c>
      <c r="B22" s="45">
        <v>0</v>
      </c>
      <c r="C22" s="45">
        <v>40</v>
      </c>
      <c r="D22" s="45">
        <v>100</v>
      </c>
      <c r="E22" s="45">
        <v>50</v>
      </c>
      <c r="F22" s="45" t="s">
        <v>90</v>
      </c>
      <c r="G22" s="45" t="s">
        <v>90</v>
      </c>
      <c r="H22" s="45">
        <v>2</v>
      </c>
      <c r="I22" s="45" t="s">
        <v>90</v>
      </c>
      <c r="J22" s="46">
        <f t="shared" si="3"/>
        <v>100</v>
      </c>
    </row>
    <row r="23" spans="1:11" ht="21" customHeight="1" thickBot="1" x14ac:dyDescent="0.2">
      <c r="A23" s="158">
        <v>30047022</v>
      </c>
      <c r="B23" s="144">
        <v>0</v>
      </c>
      <c r="C23" s="144">
        <v>50</v>
      </c>
      <c r="D23" s="144">
        <v>100</v>
      </c>
      <c r="E23" s="144">
        <v>25</v>
      </c>
      <c r="F23" s="144" t="s">
        <v>90</v>
      </c>
      <c r="G23" s="144" t="s">
        <v>90</v>
      </c>
      <c r="H23" s="144">
        <v>1</v>
      </c>
      <c r="I23" s="144" t="s">
        <v>90</v>
      </c>
      <c r="J23" s="148">
        <f t="shared" si="3"/>
        <v>100</v>
      </c>
    </row>
    <row r="24" spans="1:11" ht="21" customHeight="1" thickBot="1" x14ac:dyDescent="0.2">
      <c r="A24" s="178">
        <v>30047023</v>
      </c>
      <c r="B24" s="169">
        <v>1</v>
      </c>
      <c r="C24" s="169" t="s">
        <v>53</v>
      </c>
      <c r="D24" s="169">
        <v>100</v>
      </c>
      <c r="E24" s="169" t="s">
        <v>90</v>
      </c>
      <c r="F24" s="169" t="s">
        <v>90</v>
      </c>
      <c r="G24" s="169">
        <v>1</v>
      </c>
      <c r="H24" s="169" t="s">
        <v>90</v>
      </c>
      <c r="I24" s="169" t="s">
        <v>90</v>
      </c>
      <c r="J24" s="170">
        <f t="shared" si="3"/>
        <v>100</v>
      </c>
      <c r="K24" s="171"/>
    </row>
    <row r="25" spans="1:11" ht="21" customHeight="1" x14ac:dyDescent="0.15">
      <c r="A25" s="179">
        <v>30047024</v>
      </c>
      <c r="B25" s="45">
        <v>0</v>
      </c>
      <c r="C25" s="45" t="s">
        <v>53</v>
      </c>
      <c r="D25" s="45">
        <v>100</v>
      </c>
      <c r="E25" s="45" t="s">
        <v>90</v>
      </c>
      <c r="F25" s="45" t="s">
        <v>90</v>
      </c>
      <c r="G25" s="45">
        <v>1</v>
      </c>
      <c r="H25" s="45">
        <v>2</v>
      </c>
      <c r="I25" s="45" t="s">
        <v>90</v>
      </c>
      <c r="J25" s="46">
        <f t="shared" ref="J25:J35" si="4">D25</f>
        <v>100</v>
      </c>
    </row>
    <row r="26" spans="1:11" ht="21" customHeight="1" x14ac:dyDescent="0.15">
      <c r="A26" s="179">
        <v>30047025</v>
      </c>
      <c r="B26" s="45">
        <v>0</v>
      </c>
      <c r="C26" s="45">
        <v>10</v>
      </c>
      <c r="D26" s="45">
        <v>100</v>
      </c>
      <c r="E26" s="45" t="s">
        <v>90</v>
      </c>
      <c r="F26" s="45" t="s">
        <v>90</v>
      </c>
      <c r="G26" s="45" t="s">
        <v>90</v>
      </c>
      <c r="H26" s="45">
        <v>3</v>
      </c>
      <c r="I26" s="45" t="s">
        <v>90</v>
      </c>
      <c r="J26" s="46">
        <f t="shared" si="4"/>
        <v>100</v>
      </c>
    </row>
    <row r="27" spans="1:11" ht="21" customHeight="1" x14ac:dyDescent="0.15">
      <c r="A27" s="179">
        <v>30047026</v>
      </c>
      <c r="B27" s="45">
        <v>0</v>
      </c>
      <c r="C27" s="45">
        <v>20</v>
      </c>
      <c r="D27" s="45">
        <v>100</v>
      </c>
      <c r="E27" s="45" t="s">
        <v>90</v>
      </c>
      <c r="F27" s="45" t="s">
        <v>90</v>
      </c>
      <c r="G27" s="45" t="s">
        <v>90</v>
      </c>
      <c r="H27" s="45">
        <v>4</v>
      </c>
      <c r="I27" s="45" t="s">
        <v>90</v>
      </c>
      <c r="J27" s="46">
        <f t="shared" si="4"/>
        <v>100</v>
      </c>
    </row>
    <row r="28" spans="1:11" ht="21" customHeight="1" thickBot="1" x14ac:dyDescent="0.2">
      <c r="A28" s="202">
        <v>30047027</v>
      </c>
      <c r="B28" s="144">
        <v>0</v>
      </c>
      <c r="C28" s="144" t="s">
        <v>53</v>
      </c>
      <c r="D28" s="144">
        <v>100</v>
      </c>
      <c r="E28" s="144" t="s">
        <v>90</v>
      </c>
      <c r="F28" s="144" t="s">
        <v>90</v>
      </c>
      <c r="G28" s="144">
        <v>0</v>
      </c>
      <c r="H28" s="144" t="s">
        <v>90</v>
      </c>
      <c r="I28" s="144">
        <v>0</v>
      </c>
      <c r="J28" s="148">
        <f t="shared" si="4"/>
        <v>100</v>
      </c>
    </row>
    <row r="29" spans="1:11" ht="21" customHeight="1" x14ac:dyDescent="0.15">
      <c r="A29" s="190">
        <v>30047028</v>
      </c>
      <c r="B29" s="45">
        <v>1</v>
      </c>
      <c r="C29" s="45" t="s">
        <v>89</v>
      </c>
      <c r="D29" s="45">
        <v>100</v>
      </c>
      <c r="E29" s="45" t="s">
        <v>90</v>
      </c>
      <c r="F29" s="45" t="s">
        <v>90</v>
      </c>
      <c r="G29" s="45">
        <v>1</v>
      </c>
      <c r="H29" s="45" t="s">
        <v>90</v>
      </c>
      <c r="I29" s="45" t="s">
        <v>90</v>
      </c>
      <c r="J29" s="46">
        <f t="shared" si="4"/>
        <v>100</v>
      </c>
    </row>
    <row r="30" spans="1:11" ht="21" customHeight="1" thickBot="1" x14ac:dyDescent="0.2">
      <c r="A30" s="156">
        <v>30047029</v>
      </c>
      <c r="B30" s="144">
        <v>0</v>
      </c>
      <c r="C30" s="144" t="s">
        <v>89</v>
      </c>
      <c r="D30" s="144">
        <v>100</v>
      </c>
      <c r="E30" s="144" t="s">
        <v>170</v>
      </c>
      <c r="F30" s="144" t="s">
        <v>90</v>
      </c>
      <c r="G30" s="144">
        <v>1</v>
      </c>
      <c r="H30" s="144" t="s">
        <v>90</v>
      </c>
      <c r="I30" s="144" t="s">
        <v>90</v>
      </c>
      <c r="J30" s="148">
        <f t="shared" si="4"/>
        <v>100</v>
      </c>
      <c r="K30" s="186"/>
    </row>
    <row r="31" spans="1:11" ht="21" customHeight="1" x14ac:dyDescent="0.15">
      <c r="A31" s="167">
        <v>30047030</v>
      </c>
      <c r="B31" s="169">
        <v>1</v>
      </c>
      <c r="C31" s="169" t="s">
        <v>53</v>
      </c>
      <c r="D31" s="169">
        <v>100</v>
      </c>
      <c r="E31" s="169" t="s">
        <v>90</v>
      </c>
      <c r="F31" s="169" t="s">
        <v>90</v>
      </c>
      <c r="G31" s="169">
        <v>1</v>
      </c>
      <c r="H31" s="169" t="s">
        <v>90</v>
      </c>
      <c r="I31" s="169" t="s">
        <v>90</v>
      </c>
      <c r="J31" s="170">
        <f t="shared" si="4"/>
        <v>100</v>
      </c>
    </row>
    <row r="32" spans="1:11" ht="21" customHeight="1" thickBot="1" x14ac:dyDescent="0.2">
      <c r="A32" s="168">
        <v>30047031</v>
      </c>
      <c r="B32" s="144">
        <v>0</v>
      </c>
      <c r="C32" s="144" t="s">
        <v>53</v>
      </c>
      <c r="D32" s="144">
        <v>50</v>
      </c>
      <c r="E32" s="144" t="s">
        <v>90</v>
      </c>
      <c r="F32" s="144" t="s">
        <v>90</v>
      </c>
      <c r="G32" s="144" t="s">
        <v>90</v>
      </c>
      <c r="H32" s="144">
        <v>1</v>
      </c>
      <c r="I32" s="144" t="s">
        <v>90</v>
      </c>
      <c r="J32" s="148">
        <f t="shared" si="4"/>
        <v>50</v>
      </c>
      <c r="K32" s="186"/>
    </row>
    <row r="33" spans="1:11" ht="21" customHeight="1" x14ac:dyDescent="0.15">
      <c r="A33" s="167">
        <v>30047032</v>
      </c>
      <c r="B33" s="169">
        <v>0</v>
      </c>
      <c r="C33" s="169">
        <v>10</v>
      </c>
      <c r="D33" s="169">
        <v>100</v>
      </c>
      <c r="E33" s="169" t="s">
        <v>90</v>
      </c>
      <c r="F33" s="169" t="s">
        <v>90</v>
      </c>
      <c r="G33" s="169" t="s">
        <v>90</v>
      </c>
      <c r="H33" s="169" t="s">
        <v>90</v>
      </c>
      <c r="I33" s="169" t="s">
        <v>90</v>
      </c>
      <c r="J33" s="170">
        <f t="shared" si="4"/>
        <v>100</v>
      </c>
    </row>
    <row r="34" spans="1:11" ht="21" customHeight="1" thickBot="1" x14ac:dyDescent="0.2">
      <c r="A34" s="168">
        <v>30047033</v>
      </c>
      <c r="B34" s="144">
        <v>0</v>
      </c>
      <c r="C34" s="144">
        <v>20</v>
      </c>
      <c r="D34" s="144">
        <v>100</v>
      </c>
      <c r="E34" s="144">
        <v>30</v>
      </c>
      <c r="F34" s="144" t="s">
        <v>170</v>
      </c>
      <c r="G34" s="144">
        <v>1</v>
      </c>
      <c r="H34" s="144" t="s">
        <v>90</v>
      </c>
      <c r="I34" s="144" t="s">
        <v>90</v>
      </c>
      <c r="J34" s="148">
        <f t="shared" si="4"/>
        <v>100</v>
      </c>
      <c r="K34" s="186"/>
    </row>
    <row r="35" spans="1:11" ht="21" customHeight="1" thickBot="1" x14ac:dyDescent="0.2">
      <c r="A35" s="160">
        <v>30047034</v>
      </c>
      <c r="B35" s="172">
        <v>0</v>
      </c>
      <c r="C35" s="172" t="s">
        <v>53</v>
      </c>
      <c r="D35" s="172">
        <v>100</v>
      </c>
      <c r="E35" s="172" t="s">
        <v>90</v>
      </c>
      <c r="F35" s="172" t="s">
        <v>90</v>
      </c>
      <c r="G35" s="172" t="s">
        <v>90</v>
      </c>
      <c r="H35" s="172">
        <v>3</v>
      </c>
      <c r="I35" s="172" t="s">
        <v>90</v>
      </c>
      <c r="J35" s="173">
        <f t="shared" si="4"/>
        <v>100</v>
      </c>
    </row>
    <row r="36" spans="1:11" ht="21" customHeight="1" x14ac:dyDescent="0.15">
      <c r="A36" s="159">
        <v>30047035</v>
      </c>
      <c r="B36" s="169">
        <v>1</v>
      </c>
      <c r="C36" s="169" t="s">
        <v>53</v>
      </c>
      <c r="D36" s="169">
        <v>100</v>
      </c>
      <c r="E36" s="169" t="s">
        <v>90</v>
      </c>
      <c r="F36" s="169" t="s">
        <v>90</v>
      </c>
      <c r="G36" s="169">
        <v>1</v>
      </c>
      <c r="H36" s="169" t="s">
        <v>90</v>
      </c>
      <c r="I36" s="169" t="s">
        <v>90</v>
      </c>
      <c r="J36" s="170">
        <f>D36</f>
        <v>100</v>
      </c>
    </row>
    <row r="37" spans="1:11" ht="21" customHeight="1" x14ac:dyDescent="0.15">
      <c r="A37" s="159">
        <v>30047036</v>
      </c>
      <c r="B37" s="45">
        <v>0</v>
      </c>
      <c r="C37" s="45">
        <v>10</v>
      </c>
      <c r="D37" s="45">
        <v>100</v>
      </c>
      <c r="E37" s="169" t="s">
        <v>90</v>
      </c>
      <c r="F37" s="45" t="s">
        <v>90</v>
      </c>
      <c r="G37" s="169" t="s">
        <v>90</v>
      </c>
      <c r="H37" s="45">
        <v>1</v>
      </c>
      <c r="I37" s="45" t="s">
        <v>90</v>
      </c>
      <c r="J37" s="46">
        <f t="shared" ref="J37:J62" si="5">D37</f>
        <v>100</v>
      </c>
    </row>
    <row r="38" spans="1:11" ht="21" customHeight="1" x14ac:dyDescent="0.15">
      <c r="A38" s="159">
        <v>30047037</v>
      </c>
      <c r="B38" s="45">
        <v>0</v>
      </c>
      <c r="C38" s="45">
        <v>20</v>
      </c>
      <c r="D38" s="45">
        <v>100</v>
      </c>
      <c r="E38" s="169" t="s">
        <v>90</v>
      </c>
      <c r="F38" s="45" t="s">
        <v>90</v>
      </c>
      <c r="G38" s="45" t="s">
        <v>90</v>
      </c>
      <c r="H38" s="45">
        <v>2</v>
      </c>
      <c r="I38" s="45" t="s">
        <v>90</v>
      </c>
      <c r="J38" s="46">
        <f t="shared" si="5"/>
        <v>100</v>
      </c>
    </row>
    <row r="39" spans="1:11" ht="21" customHeight="1" x14ac:dyDescent="0.15">
      <c r="A39" s="159">
        <v>30047038</v>
      </c>
      <c r="B39" s="45">
        <v>0</v>
      </c>
      <c r="C39" s="45">
        <v>30</v>
      </c>
      <c r="D39" s="45">
        <v>100</v>
      </c>
      <c r="E39" s="169" t="s">
        <v>90</v>
      </c>
      <c r="F39" s="45" t="s">
        <v>90</v>
      </c>
      <c r="G39" s="45" t="s">
        <v>90</v>
      </c>
      <c r="H39" s="45">
        <v>3</v>
      </c>
      <c r="I39" s="45" t="s">
        <v>90</v>
      </c>
      <c r="J39" s="46">
        <f t="shared" si="5"/>
        <v>100</v>
      </c>
    </row>
    <row r="40" spans="1:11" ht="21" customHeight="1" thickBot="1" x14ac:dyDescent="0.2">
      <c r="A40" s="160">
        <v>30047039</v>
      </c>
      <c r="B40" s="144">
        <v>0</v>
      </c>
      <c r="C40" s="144" t="s">
        <v>53</v>
      </c>
      <c r="D40" s="144">
        <v>100</v>
      </c>
      <c r="E40" s="144" t="s">
        <v>90</v>
      </c>
      <c r="F40" s="144" t="s">
        <v>90</v>
      </c>
      <c r="G40" s="144" t="s">
        <v>90</v>
      </c>
      <c r="H40" s="144" t="s">
        <v>90</v>
      </c>
      <c r="I40" s="144">
        <v>586</v>
      </c>
      <c r="J40" s="148">
        <f t="shared" si="5"/>
        <v>100</v>
      </c>
      <c r="K40" s="186"/>
    </row>
    <row r="41" spans="1:11" ht="21" customHeight="1" x14ac:dyDescent="0.15">
      <c r="A41" s="188">
        <v>30047040</v>
      </c>
      <c r="B41" s="169">
        <v>1</v>
      </c>
      <c r="C41" s="169" t="s">
        <v>53</v>
      </c>
      <c r="D41" s="169">
        <v>100</v>
      </c>
      <c r="E41" s="169" t="s">
        <v>90</v>
      </c>
      <c r="F41" s="169" t="s">
        <v>90</v>
      </c>
      <c r="G41" s="169">
        <v>1</v>
      </c>
      <c r="H41" s="169" t="s">
        <v>90</v>
      </c>
      <c r="I41" s="169" t="s">
        <v>90</v>
      </c>
      <c r="J41" s="170">
        <f t="shared" si="5"/>
        <v>100</v>
      </c>
    </row>
    <row r="42" spans="1:11" ht="21" customHeight="1" x14ac:dyDescent="0.15">
      <c r="A42" s="159">
        <v>30047041</v>
      </c>
      <c r="B42" s="45">
        <v>0</v>
      </c>
      <c r="C42" s="45" t="s">
        <v>53</v>
      </c>
      <c r="D42" s="45">
        <v>100</v>
      </c>
      <c r="E42" s="169" t="s">
        <v>90</v>
      </c>
      <c r="F42" s="45" t="s">
        <v>170</v>
      </c>
      <c r="G42" s="45">
        <v>1</v>
      </c>
      <c r="H42" s="45" t="s">
        <v>90</v>
      </c>
      <c r="I42" s="45" t="s">
        <v>90</v>
      </c>
      <c r="J42" s="46">
        <f t="shared" si="5"/>
        <v>100</v>
      </c>
    </row>
    <row r="43" spans="1:11" ht="21" customHeight="1" x14ac:dyDescent="0.15">
      <c r="A43" s="159">
        <v>30047042</v>
      </c>
      <c r="B43" s="45">
        <v>0</v>
      </c>
      <c r="C43" s="45">
        <v>10</v>
      </c>
      <c r="D43" s="45">
        <v>100</v>
      </c>
      <c r="E43" s="45" t="s">
        <v>90</v>
      </c>
      <c r="F43" s="45" t="s">
        <v>90</v>
      </c>
      <c r="G43" s="45" t="s">
        <v>90</v>
      </c>
      <c r="H43" s="45">
        <v>3</v>
      </c>
      <c r="I43" s="45" t="s">
        <v>90</v>
      </c>
      <c r="J43" s="46">
        <f t="shared" si="5"/>
        <v>100</v>
      </c>
    </row>
    <row r="44" spans="1:11" ht="21" customHeight="1" thickBot="1" x14ac:dyDescent="0.2">
      <c r="A44" s="160">
        <v>30047043</v>
      </c>
      <c r="B44" s="144">
        <v>0</v>
      </c>
      <c r="C44" s="144">
        <v>20</v>
      </c>
      <c r="D44" s="144">
        <v>100</v>
      </c>
      <c r="E44" s="144" t="s">
        <v>90</v>
      </c>
      <c r="F44" s="144" t="s">
        <v>90</v>
      </c>
      <c r="G44" s="144" t="s">
        <v>90</v>
      </c>
      <c r="H44" s="144">
        <v>4</v>
      </c>
      <c r="I44" s="144" t="s">
        <v>90</v>
      </c>
      <c r="J44" s="148">
        <f t="shared" si="5"/>
        <v>100</v>
      </c>
      <c r="K44" s="186"/>
    </row>
    <row r="45" spans="1:11" ht="21" customHeight="1" thickBot="1" x14ac:dyDescent="0.2">
      <c r="A45" s="178">
        <v>30047044</v>
      </c>
      <c r="B45" s="169">
        <v>1</v>
      </c>
      <c r="C45" s="169" t="s">
        <v>53</v>
      </c>
      <c r="D45" s="169">
        <v>100</v>
      </c>
      <c r="E45" s="169" t="s">
        <v>90</v>
      </c>
      <c r="F45" s="169" t="s">
        <v>90</v>
      </c>
      <c r="G45" s="169">
        <v>1</v>
      </c>
      <c r="H45" s="169" t="s">
        <v>90</v>
      </c>
      <c r="I45" s="169" t="s">
        <v>90</v>
      </c>
      <c r="J45" s="170">
        <f t="shared" si="5"/>
        <v>100</v>
      </c>
      <c r="K45" s="186"/>
    </row>
    <row r="46" spans="1:11" ht="21" customHeight="1" x14ac:dyDescent="0.15">
      <c r="A46" s="178">
        <v>30047045</v>
      </c>
      <c r="B46" s="45">
        <v>0</v>
      </c>
      <c r="C46" s="45">
        <v>100</v>
      </c>
      <c r="D46" s="45">
        <v>100</v>
      </c>
      <c r="E46" s="45" t="s">
        <v>90</v>
      </c>
      <c r="F46" s="45" t="s">
        <v>90</v>
      </c>
      <c r="G46" s="45">
        <v>1</v>
      </c>
      <c r="H46" s="45">
        <v>1</v>
      </c>
      <c r="I46" s="45" t="s">
        <v>90</v>
      </c>
      <c r="J46" s="46">
        <f t="shared" si="5"/>
        <v>100</v>
      </c>
    </row>
    <row r="47" spans="1:11" ht="21" customHeight="1" x14ac:dyDescent="0.15">
      <c r="A47" s="178">
        <v>30047046</v>
      </c>
      <c r="B47" s="45">
        <v>0</v>
      </c>
      <c r="C47" s="45">
        <v>20</v>
      </c>
      <c r="D47" s="45">
        <v>60</v>
      </c>
      <c r="E47" s="45" t="s">
        <v>90</v>
      </c>
      <c r="F47" s="45" t="s">
        <v>90</v>
      </c>
      <c r="G47" s="45" t="s">
        <v>90</v>
      </c>
      <c r="H47" s="45">
        <v>1</v>
      </c>
      <c r="I47" s="45" t="s">
        <v>90</v>
      </c>
      <c r="J47" s="46">
        <f t="shared" si="5"/>
        <v>60</v>
      </c>
    </row>
    <row r="48" spans="1:11" ht="21" customHeight="1" x14ac:dyDescent="0.15">
      <c r="A48" s="178">
        <v>30047047</v>
      </c>
      <c r="B48" s="45">
        <v>0</v>
      </c>
      <c r="C48" s="45">
        <v>30</v>
      </c>
      <c r="D48" s="45">
        <v>100</v>
      </c>
      <c r="E48" s="45" t="s">
        <v>90</v>
      </c>
      <c r="F48" s="45" t="s">
        <v>90</v>
      </c>
      <c r="G48" s="45" t="s">
        <v>90</v>
      </c>
      <c r="H48" s="45">
        <v>3</v>
      </c>
      <c r="I48" s="45" t="s">
        <v>90</v>
      </c>
      <c r="J48" s="46">
        <f t="shared" si="5"/>
        <v>100</v>
      </c>
    </row>
    <row r="49" spans="1:11" ht="21" customHeight="1" x14ac:dyDescent="0.15">
      <c r="A49" s="178">
        <v>30047048</v>
      </c>
      <c r="B49" s="45">
        <v>0</v>
      </c>
      <c r="C49" s="45">
        <v>40</v>
      </c>
      <c r="D49" s="45">
        <v>100</v>
      </c>
      <c r="E49" s="45">
        <v>50</v>
      </c>
      <c r="F49" s="45" t="s">
        <v>90</v>
      </c>
      <c r="G49" s="45" t="s">
        <v>90</v>
      </c>
      <c r="H49" s="45">
        <v>2</v>
      </c>
      <c r="I49" s="45" t="s">
        <v>90</v>
      </c>
      <c r="J49" s="46">
        <f t="shared" si="5"/>
        <v>100</v>
      </c>
    </row>
    <row r="50" spans="1:11" ht="21" customHeight="1" thickBot="1" x14ac:dyDescent="0.2">
      <c r="A50" s="158">
        <v>30047049</v>
      </c>
      <c r="B50" s="144">
        <v>0</v>
      </c>
      <c r="C50" s="144">
        <v>50</v>
      </c>
      <c r="D50" s="144">
        <v>100</v>
      </c>
      <c r="E50" s="144">
        <v>25</v>
      </c>
      <c r="F50" s="144" t="s">
        <v>90</v>
      </c>
      <c r="G50" s="144" t="s">
        <v>90</v>
      </c>
      <c r="H50" s="144">
        <v>1</v>
      </c>
      <c r="I50" s="144" t="s">
        <v>90</v>
      </c>
      <c r="J50" s="148">
        <f t="shared" si="5"/>
        <v>100</v>
      </c>
    </row>
    <row r="51" spans="1:11" ht="21" customHeight="1" thickBot="1" x14ac:dyDescent="0.2">
      <c r="A51" s="178">
        <v>30047050</v>
      </c>
      <c r="B51" s="169">
        <v>1</v>
      </c>
      <c r="C51" s="169" t="s">
        <v>53</v>
      </c>
      <c r="D51" s="169">
        <v>100</v>
      </c>
      <c r="E51" s="169" t="s">
        <v>90</v>
      </c>
      <c r="F51" s="169" t="s">
        <v>90</v>
      </c>
      <c r="G51" s="169">
        <v>1</v>
      </c>
      <c r="H51" s="169" t="s">
        <v>90</v>
      </c>
      <c r="I51" s="169" t="s">
        <v>90</v>
      </c>
      <c r="J51" s="170">
        <f t="shared" si="5"/>
        <v>100</v>
      </c>
      <c r="K51" s="171"/>
    </row>
    <row r="52" spans="1:11" ht="21" customHeight="1" x14ac:dyDescent="0.15">
      <c r="A52" s="178">
        <v>30047051</v>
      </c>
      <c r="B52" s="45">
        <v>0</v>
      </c>
      <c r="C52" s="45" t="s">
        <v>53</v>
      </c>
      <c r="D52" s="45">
        <v>100</v>
      </c>
      <c r="E52" s="45" t="s">
        <v>90</v>
      </c>
      <c r="F52" s="45" t="s">
        <v>90</v>
      </c>
      <c r="G52" s="45">
        <v>1</v>
      </c>
      <c r="H52" s="45">
        <v>2</v>
      </c>
      <c r="I52" s="45" t="s">
        <v>90</v>
      </c>
      <c r="J52" s="46">
        <f t="shared" si="5"/>
        <v>100</v>
      </c>
    </row>
    <row r="53" spans="1:11" ht="21" customHeight="1" x14ac:dyDescent="0.15">
      <c r="A53" s="178">
        <v>30047052</v>
      </c>
      <c r="B53" s="45">
        <v>0</v>
      </c>
      <c r="C53" s="45">
        <v>10</v>
      </c>
      <c r="D53" s="45">
        <v>100</v>
      </c>
      <c r="E53" s="45" t="s">
        <v>90</v>
      </c>
      <c r="F53" s="45" t="s">
        <v>90</v>
      </c>
      <c r="G53" s="45" t="s">
        <v>90</v>
      </c>
      <c r="H53" s="45">
        <v>3</v>
      </c>
      <c r="I53" s="45" t="s">
        <v>90</v>
      </c>
      <c r="J53" s="46">
        <f t="shared" si="5"/>
        <v>100</v>
      </c>
    </row>
    <row r="54" spans="1:11" ht="21" customHeight="1" x14ac:dyDescent="0.15">
      <c r="A54" s="178">
        <v>30047053</v>
      </c>
      <c r="B54" s="45">
        <v>0</v>
      </c>
      <c r="C54" s="45">
        <v>20</v>
      </c>
      <c r="D54" s="45">
        <v>100</v>
      </c>
      <c r="E54" s="45" t="s">
        <v>90</v>
      </c>
      <c r="F54" s="45" t="s">
        <v>90</v>
      </c>
      <c r="G54" s="45" t="s">
        <v>90</v>
      </c>
      <c r="H54" s="45">
        <v>4</v>
      </c>
      <c r="I54" s="45" t="s">
        <v>90</v>
      </c>
      <c r="J54" s="46">
        <f t="shared" si="5"/>
        <v>100</v>
      </c>
    </row>
    <row r="55" spans="1:11" ht="21" customHeight="1" thickBot="1" x14ac:dyDescent="0.2">
      <c r="A55" s="158">
        <v>30047054</v>
      </c>
      <c r="B55" s="144">
        <v>0</v>
      </c>
      <c r="C55" s="144" t="s">
        <v>53</v>
      </c>
      <c r="D55" s="144">
        <v>100</v>
      </c>
      <c r="E55" s="144" t="s">
        <v>90</v>
      </c>
      <c r="F55" s="144" t="s">
        <v>90</v>
      </c>
      <c r="G55" s="144">
        <v>0</v>
      </c>
      <c r="H55" s="144" t="s">
        <v>90</v>
      </c>
      <c r="I55" s="144">
        <v>0</v>
      </c>
      <c r="J55" s="148">
        <f t="shared" si="5"/>
        <v>100</v>
      </c>
    </row>
    <row r="56" spans="1:11" ht="21" customHeight="1" x14ac:dyDescent="0.15">
      <c r="A56" s="217">
        <v>30047055</v>
      </c>
      <c r="B56" s="45">
        <v>1</v>
      </c>
      <c r="C56" s="45" t="s">
        <v>89</v>
      </c>
      <c r="D56" s="45">
        <v>100</v>
      </c>
      <c r="E56" s="45" t="s">
        <v>90</v>
      </c>
      <c r="F56" s="45" t="s">
        <v>90</v>
      </c>
      <c r="G56" s="45">
        <v>1</v>
      </c>
      <c r="H56" s="45" t="s">
        <v>90</v>
      </c>
      <c r="I56" s="45" t="s">
        <v>90</v>
      </c>
      <c r="J56" s="46">
        <f t="shared" si="5"/>
        <v>100</v>
      </c>
    </row>
    <row r="57" spans="1:11" ht="21" customHeight="1" thickBot="1" x14ac:dyDescent="0.2">
      <c r="A57" s="156">
        <v>30047056</v>
      </c>
      <c r="B57" s="144">
        <v>0</v>
      </c>
      <c r="C57" s="144" t="s">
        <v>89</v>
      </c>
      <c r="D57" s="144">
        <v>100</v>
      </c>
      <c r="E57" s="144" t="s">
        <v>170</v>
      </c>
      <c r="F57" s="144" t="s">
        <v>90</v>
      </c>
      <c r="G57" s="144">
        <v>1</v>
      </c>
      <c r="H57" s="144" t="s">
        <v>90</v>
      </c>
      <c r="I57" s="144" t="s">
        <v>90</v>
      </c>
      <c r="J57" s="148">
        <f t="shared" si="5"/>
        <v>100</v>
      </c>
      <c r="K57" s="186"/>
    </row>
    <row r="58" spans="1:11" ht="21" customHeight="1" x14ac:dyDescent="0.15">
      <c r="A58" s="167">
        <v>30047057</v>
      </c>
      <c r="B58" s="169">
        <v>1</v>
      </c>
      <c r="C58" s="169" t="s">
        <v>53</v>
      </c>
      <c r="D58" s="169">
        <v>100</v>
      </c>
      <c r="E58" s="169" t="s">
        <v>90</v>
      </c>
      <c r="F58" s="169" t="s">
        <v>90</v>
      </c>
      <c r="G58" s="169">
        <v>1</v>
      </c>
      <c r="H58" s="169" t="s">
        <v>90</v>
      </c>
      <c r="I58" s="169" t="s">
        <v>90</v>
      </c>
      <c r="J58" s="170">
        <f t="shared" si="5"/>
        <v>100</v>
      </c>
    </row>
    <row r="59" spans="1:11" ht="21" customHeight="1" thickBot="1" x14ac:dyDescent="0.2">
      <c r="A59" s="168">
        <v>30047058</v>
      </c>
      <c r="B59" s="144">
        <v>0</v>
      </c>
      <c r="C59" s="144" t="s">
        <v>53</v>
      </c>
      <c r="D59" s="144">
        <v>50</v>
      </c>
      <c r="E59" s="144" t="s">
        <v>90</v>
      </c>
      <c r="F59" s="144" t="s">
        <v>90</v>
      </c>
      <c r="G59" s="144" t="s">
        <v>90</v>
      </c>
      <c r="H59" s="144">
        <v>1</v>
      </c>
      <c r="I59" s="144" t="s">
        <v>90</v>
      </c>
      <c r="J59" s="148">
        <f t="shared" si="5"/>
        <v>50</v>
      </c>
      <c r="K59" s="186"/>
    </row>
    <row r="60" spans="1:11" ht="21" customHeight="1" x14ac:dyDescent="0.15">
      <c r="A60" s="189">
        <v>30047059</v>
      </c>
      <c r="B60" s="169">
        <v>0</v>
      </c>
      <c r="C60" s="169">
        <v>10</v>
      </c>
      <c r="D60" s="169">
        <v>100</v>
      </c>
      <c r="E60" s="169" t="s">
        <v>90</v>
      </c>
      <c r="F60" s="169" t="s">
        <v>90</v>
      </c>
      <c r="G60" s="169" t="s">
        <v>90</v>
      </c>
      <c r="H60" s="169" t="s">
        <v>90</v>
      </c>
      <c r="I60" s="169" t="s">
        <v>90</v>
      </c>
      <c r="J60" s="170">
        <f t="shared" si="5"/>
        <v>100</v>
      </c>
    </row>
    <row r="61" spans="1:11" ht="21" customHeight="1" thickBot="1" x14ac:dyDescent="0.2">
      <c r="A61" s="168">
        <v>30047060</v>
      </c>
      <c r="B61" s="144">
        <v>0</v>
      </c>
      <c r="C61" s="144">
        <v>20</v>
      </c>
      <c r="D61" s="144">
        <v>100</v>
      </c>
      <c r="E61" s="144">
        <v>30</v>
      </c>
      <c r="F61" s="144" t="s">
        <v>170</v>
      </c>
      <c r="G61" s="144">
        <v>1</v>
      </c>
      <c r="H61" s="144" t="s">
        <v>90</v>
      </c>
      <c r="I61" s="144" t="s">
        <v>90</v>
      </c>
      <c r="J61" s="148">
        <f t="shared" si="5"/>
        <v>100</v>
      </c>
      <c r="K61" s="186"/>
    </row>
    <row r="62" spans="1:11" ht="21" customHeight="1" thickBot="1" x14ac:dyDescent="0.2">
      <c r="A62" s="176">
        <v>30047061</v>
      </c>
      <c r="B62" s="172">
        <v>0</v>
      </c>
      <c r="C62" s="172" t="s">
        <v>53</v>
      </c>
      <c r="D62" s="172">
        <v>100</v>
      </c>
      <c r="E62" s="172" t="s">
        <v>90</v>
      </c>
      <c r="F62" s="172" t="s">
        <v>90</v>
      </c>
      <c r="G62" s="172" t="s">
        <v>90</v>
      </c>
      <c r="H62" s="172">
        <v>3</v>
      </c>
      <c r="I62" s="172" t="s">
        <v>90</v>
      </c>
      <c r="J62" s="173">
        <f t="shared" si="5"/>
        <v>100</v>
      </c>
    </row>
    <row r="63" spans="1:11" ht="21" customHeight="1" x14ac:dyDescent="0.15">
      <c r="A63" s="159">
        <v>30047062</v>
      </c>
      <c r="B63" s="169">
        <v>1</v>
      </c>
      <c r="C63" s="169" t="s">
        <v>53</v>
      </c>
      <c r="D63" s="169">
        <v>100</v>
      </c>
      <c r="E63" s="169" t="s">
        <v>90</v>
      </c>
      <c r="F63" s="169" t="s">
        <v>90</v>
      </c>
      <c r="G63" s="169">
        <v>1</v>
      </c>
      <c r="H63" s="169" t="s">
        <v>90</v>
      </c>
      <c r="I63" s="169" t="s">
        <v>90</v>
      </c>
      <c r="J63" s="170">
        <f>D63</f>
        <v>100</v>
      </c>
    </row>
    <row r="64" spans="1:11" ht="21" customHeight="1" x14ac:dyDescent="0.15">
      <c r="A64" s="159">
        <v>30047063</v>
      </c>
      <c r="B64" s="45">
        <v>0</v>
      </c>
      <c r="C64" s="45">
        <v>10</v>
      </c>
      <c r="D64" s="45">
        <v>100</v>
      </c>
      <c r="E64" s="169" t="s">
        <v>90</v>
      </c>
      <c r="F64" s="45" t="s">
        <v>90</v>
      </c>
      <c r="G64" s="169" t="s">
        <v>90</v>
      </c>
      <c r="H64" s="45">
        <v>1</v>
      </c>
      <c r="I64" s="45" t="s">
        <v>90</v>
      </c>
      <c r="J64" s="46">
        <f t="shared" ref="J64:J82" si="6">D64</f>
        <v>100</v>
      </c>
    </row>
    <row r="65" spans="1:11" ht="21" customHeight="1" x14ac:dyDescent="0.15">
      <c r="A65" s="159">
        <v>30047064</v>
      </c>
      <c r="B65" s="45">
        <v>0</v>
      </c>
      <c r="C65" s="45">
        <v>20</v>
      </c>
      <c r="D65" s="45">
        <v>100</v>
      </c>
      <c r="E65" s="169" t="s">
        <v>90</v>
      </c>
      <c r="F65" s="45" t="s">
        <v>90</v>
      </c>
      <c r="G65" s="45" t="s">
        <v>90</v>
      </c>
      <c r="H65" s="45">
        <v>2</v>
      </c>
      <c r="I65" s="45" t="s">
        <v>90</v>
      </c>
      <c r="J65" s="46">
        <f t="shared" si="6"/>
        <v>100</v>
      </c>
    </row>
    <row r="66" spans="1:11" ht="21" customHeight="1" x14ac:dyDescent="0.15">
      <c r="A66" s="159">
        <v>30047065</v>
      </c>
      <c r="B66" s="45">
        <v>0</v>
      </c>
      <c r="C66" s="45">
        <v>30</v>
      </c>
      <c r="D66" s="45">
        <v>100</v>
      </c>
      <c r="E66" s="169" t="s">
        <v>90</v>
      </c>
      <c r="F66" s="45" t="s">
        <v>90</v>
      </c>
      <c r="G66" s="45" t="s">
        <v>90</v>
      </c>
      <c r="H66" s="45">
        <v>3</v>
      </c>
      <c r="I66" s="45" t="s">
        <v>90</v>
      </c>
      <c r="J66" s="46">
        <f t="shared" si="6"/>
        <v>100</v>
      </c>
    </row>
    <row r="67" spans="1:11" ht="21" customHeight="1" thickBot="1" x14ac:dyDescent="0.2">
      <c r="A67" s="160">
        <v>30047066</v>
      </c>
      <c r="B67" s="144">
        <v>0</v>
      </c>
      <c r="C67" s="144" t="s">
        <v>53</v>
      </c>
      <c r="D67" s="144">
        <v>100</v>
      </c>
      <c r="E67" s="144" t="s">
        <v>90</v>
      </c>
      <c r="F67" s="144" t="s">
        <v>90</v>
      </c>
      <c r="G67" s="144" t="s">
        <v>90</v>
      </c>
      <c r="H67" s="144" t="s">
        <v>90</v>
      </c>
      <c r="I67" s="144">
        <v>586</v>
      </c>
      <c r="J67" s="148">
        <f t="shared" si="6"/>
        <v>100</v>
      </c>
      <c r="K67" s="186"/>
    </row>
    <row r="68" spans="1:11" ht="21" customHeight="1" x14ac:dyDescent="0.15">
      <c r="A68" s="188">
        <v>30047067</v>
      </c>
      <c r="B68" s="169">
        <v>1</v>
      </c>
      <c r="C68" s="169" t="s">
        <v>53</v>
      </c>
      <c r="D68" s="169">
        <v>100</v>
      </c>
      <c r="E68" s="169" t="s">
        <v>90</v>
      </c>
      <c r="F68" s="169" t="s">
        <v>90</v>
      </c>
      <c r="G68" s="169">
        <v>1</v>
      </c>
      <c r="H68" s="169" t="s">
        <v>90</v>
      </c>
      <c r="I68" s="169" t="s">
        <v>90</v>
      </c>
      <c r="J68" s="170">
        <f t="shared" si="6"/>
        <v>100</v>
      </c>
    </row>
    <row r="69" spans="1:11" ht="21" customHeight="1" x14ac:dyDescent="0.15">
      <c r="A69" s="159">
        <v>30047068</v>
      </c>
      <c r="B69" s="45">
        <v>0</v>
      </c>
      <c r="C69" s="45" t="s">
        <v>53</v>
      </c>
      <c r="D69" s="45">
        <v>100</v>
      </c>
      <c r="E69" s="169" t="s">
        <v>90</v>
      </c>
      <c r="F69" s="45" t="s">
        <v>170</v>
      </c>
      <c r="G69" s="45">
        <v>1</v>
      </c>
      <c r="H69" s="45" t="s">
        <v>90</v>
      </c>
      <c r="I69" s="45" t="s">
        <v>90</v>
      </c>
      <c r="J69" s="46">
        <f t="shared" si="6"/>
        <v>100</v>
      </c>
    </row>
    <row r="70" spans="1:11" ht="21" customHeight="1" x14ac:dyDescent="0.15">
      <c r="A70" s="159">
        <v>30047069</v>
      </c>
      <c r="B70" s="45">
        <v>0</v>
      </c>
      <c r="C70" s="45">
        <v>10</v>
      </c>
      <c r="D70" s="45">
        <v>100</v>
      </c>
      <c r="E70" s="45" t="s">
        <v>90</v>
      </c>
      <c r="F70" s="45" t="s">
        <v>90</v>
      </c>
      <c r="G70" s="45" t="s">
        <v>90</v>
      </c>
      <c r="H70" s="45">
        <v>3</v>
      </c>
      <c r="I70" s="45" t="s">
        <v>90</v>
      </c>
      <c r="J70" s="46">
        <f t="shared" si="6"/>
        <v>100</v>
      </c>
    </row>
    <row r="71" spans="1:11" ht="21" customHeight="1" thickBot="1" x14ac:dyDescent="0.2">
      <c r="A71" s="160">
        <v>30047070</v>
      </c>
      <c r="B71" s="144">
        <v>0</v>
      </c>
      <c r="C71" s="144">
        <v>20</v>
      </c>
      <c r="D71" s="144">
        <v>100</v>
      </c>
      <c r="E71" s="144" t="s">
        <v>90</v>
      </c>
      <c r="F71" s="144" t="s">
        <v>90</v>
      </c>
      <c r="G71" s="144" t="s">
        <v>90</v>
      </c>
      <c r="H71" s="144">
        <v>4</v>
      </c>
      <c r="I71" s="144" t="s">
        <v>90</v>
      </c>
      <c r="J71" s="148">
        <f t="shared" si="6"/>
        <v>100</v>
      </c>
      <c r="K71" s="186"/>
    </row>
    <row r="72" spans="1:11" ht="21" customHeight="1" thickBot="1" x14ac:dyDescent="0.2">
      <c r="A72" s="178">
        <v>30047071</v>
      </c>
      <c r="B72" s="169">
        <v>1</v>
      </c>
      <c r="C72" s="169" t="s">
        <v>53</v>
      </c>
      <c r="D72" s="169">
        <v>100</v>
      </c>
      <c r="E72" s="169" t="s">
        <v>90</v>
      </c>
      <c r="F72" s="169" t="s">
        <v>90</v>
      </c>
      <c r="G72" s="169">
        <v>1</v>
      </c>
      <c r="H72" s="169" t="s">
        <v>90</v>
      </c>
      <c r="I72" s="169" t="s">
        <v>90</v>
      </c>
      <c r="J72" s="170">
        <f t="shared" si="6"/>
        <v>100</v>
      </c>
      <c r="K72" s="186"/>
    </row>
    <row r="73" spans="1:11" ht="21" customHeight="1" x14ac:dyDescent="0.15">
      <c r="A73" s="178">
        <v>30047072</v>
      </c>
      <c r="B73" s="45">
        <v>0</v>
      </c>
      <c r="C73" s="45">
        <v>100</v>
      </c>
      <c r="D73" s="45">
        <v>100</v>
      </c>
      <c r="E73" s="45" t="s">
        <v>90</v>
      </c>
      <c r="F73" s="45" t="s">
        <v>90</v>
      </c>
      <c r="G73" s="45">
        <v>1</v>
      </c>
      <c r="H73" s="45">
        <v>1</v>
      </c>
      <c r="I73" s="45" t="s">
        <v>90</v>
      </c>
      <c r="J73" s="46">
        <f t="shared" si="6"/>
        <v>100</v>
      </c>
    </row>
    <row r="74" spans="1:11" ht="21" customHeight="1" x14ac:dyDescent="0.15">
      <c r="A74" s="178">
        <v>30047073</v>
      </c>
      <c r="B74" s="45">
        <v>0</v>
      </c>
      <c r="C74" s="45">
        <v>20</v>
      </c>
      <c r="D74" s="45">
        <v>60</v>
      </c>
      <c r="E74" s="45" t="s">
        <v>90</v>
      </c>
      <c r="F74" s="45" t="s">
        <v>90</v>
      </c>
      <c r="G74" s="45" t="s">
        <v>90</v>
      </c>
      <c r="H74" s="45">
        <v>1</v>
      </c>
      <c r="I74" s="45" t="s">
        <v>90</v>
      </c>
      <c r="J74" s="46">
        <f t="shared" si="6"/>
        <v>60</v>
      </c>
    </row>
    <row r="75" spans="1:11" ht="21" customHeight="1" x14ac:dyDescent="0.15">
      <c r="A75" s="178">
        <v>30047074</v>
      </c>
      <c r="B75" s="45">
        <v>0</v>
      </c>
      <c r="C75" s="45">
        <v>30</v>
      </c>
      <c r="D75" s="45">
        <v>100</v>
      </c>
      <c r="E75" s="45" t="s">
        <v>90</v>
      </c>
      <c r="F75" s="45" t="s">
        <v>90</v>
      </c>
      <c r="G75" s="45" t="s">
        <v>90</v>
      </c>
      <c r="H75" s="45">
        <v>3</v>
      </c>
      <c r="I75" s="45" t="s">
        <v>90</v>
      </c>
      <c r="J75" s="46">
        <f t="shared" si="6"/>
        <v>100</v>
      </c>
    </row>
    <row r="76" spans="1:11" ht="21" customHeight="1" x14ac:dyDescent="0.15">
      <c r="A76" s="178">
        <v>30047075</v>
      </c>
      <c r="B76" s="45">
        <v>0</v>
      </c>
      <c r="C76" s="45">
        <v>40</v>
      </c>
      <c r="D76" s="45">
        <v>100</v>
      </c>
      <c r="E76" s="45">
        <v>50</v>
      </c>
      <c r="F76" s="45" t="s">
        <v>90</v>
      </c>
      <c r="G76" s="45" t="s">
        <v>90</v>
      </c>
      <c r="H76" s="45">
        <v>2</v>
      </c>
      <c r="I76" s="45" t="s">
        <v>90</v>
      </c>
      <c r="J76" s="46">
        <f t="shared" si="6"/>
        <v>100</v>
      </c>
    </row>
    <row r="77" spans="1:11" ht="21" customHeight="1" thickBot="1" x14ac:dyDescent="0.2">
      <c r="A77" s="158">
        <v>30047076</v>
      </c>
      <c r="B77" s="144">
        <v>0</v>
      </c>
      <c r="C77" s="144">
        <v>50</v>
      </c>
      <c r="D77" s="144">
        <v>100</v>
      </c>
      <c r="E77" s="144">
        <v>25</v>
      </c>
      <c r="F77" s="144" t="s">
        <v>90</v>
      </c>
      <c r="G77" s="144" t="s">
        <v>90</v>
      </c>
      <c r="H77" s="144">
        <v>1</v>
      </c>
      <c r="I77" s="144" t="s">
        <v>90</v>
      </c>
      <c r="J77" s="148">
        <f t="shared" si="6"/>
        <v>100</v>
      </c>
    </row>
    <row r="78" spans="1:11" ht="21" customHeight="1" thickBot="1" x14ac:dyDescent="0.2">
      <c r="A78" s="178">
        <v>30047077</v>
      </c>
      <c r="B78" s="169">
        <v>1</v>
      </c>
      <c r="C78" s="169" t="s">
        <v>53</v>
      </c>
      <c r="D78" s="169">
        <v>100</v>
      </c>
      <c r="E78" s="169" t="s">
        <v>90</v>
      </c>
      <c r="F78" s="169" t="s">
        <v>90</v>
      </c>
      <c r="G78" s="169">
        <v>1</v>
      </c>
      <c r="H78" s="169" t="s">
        <v>90</v>
      </c>
      <c r="I78" s="169" t="s">
        <v>90</v>
      </c>
      <c r="J78" s="170">
        <f t="shared" si="6"/>
        <v>100</v>
      </c>
      <c r="K78" s="171"/>
    </row>
    <row r="79" spans="1:11" ht="21" customHeight="1" x14ac:dyDescent="0.15">
      <c r="A79" s="178">
        <v>30047078</v>
      </c>
      <c r="B79" s="45">
        <v>0</v>
      </c>
      <c r="C79" s="45" t="s">
        <v>53</v>
      </c>
      <c r="D79" s="45">
        <v>100</v>
      </c>
      <c r="E79" s="45" t="s">
        <v>90</v>
      </c>
      <c r="F79" s="45" t="s">
        <v>90</v>
      </c>
      <c r="G79" s="45">
        <v>1</v>
      </c>
      <c r="H79" s="45">
        <v>2</v>
      </c>
      <c r="I79" s="45" t="s">
        <v>90</v>
      </c>
      <c r="J79" s="46">
        <f t="shared" si="6"/>
        <v>100</v>
      </c>
    </row>
    <row r="80" spans="1:11" ht="21" customHeight="1" x14ac:dyDescent="0.15">
      <c r="A80" s="178">
        <v>30047079</v>
      </c>
      <c r="B80" s="45">
        <v>0</v>
      </c>
      <c r="C80" s="45">
        <v>10</v>
      </c>
      <c r="D80" s="45">
        <v>100</v>
      </c>
      <c r="E80" s="45" t="s">
        <v>90</v>
      </c>
      <c r="F80" s="45" t="s">
        <v>90</v>
      </c>
      <c r="G80" s="45" t="s">
        <v>90</v>
      </c>
      <c r="H80" s="45">
        <v>3</v>
      </c>
      <c r="I80" s="45" t="s">
        <v>90</v>
      </c>
      <c r="J80" s="46">
        <f t="shared" si="6"/>
        <v>100</v>
      </c>
    </row>
    <row r="81" spans="1:10" ht="21" customHeight="1" x14ac:dyDescent="0.15">
      <c r="A81" s="178">
        <v>30047080</v>
      </c>
      <c r="B81" s="45">
        <v>0</v>
      </c>
      <c r="C81" s="45">
        <v>20</v>
      </c>
      <c r="D81" s="45">
        <v>100</v>
      </c>
      <c r="E81" s="45" t="s">
        <v>90</v>
      </c>
      <c r="F81" s="45" t="s">
        <v>90</v>
      </c>
      <c r="G81" s="45" t="s">
        <v>90</v>
      </c>
      <c r="H81" s="45">
        <v>4</v>
      </c>
      <c r="I81" s="45" t="s">
        <v>90</v>
      </c>
      <c r="J81" s="46">
        <f t="shared" si="6"/>
        <v>100</v>
      </c>
    </row>
    <row r="82" spans="1:10" ht="21" customHeight="1" thickBot="1" x14ac:dyDescent="0.2">
      <c r="A82" s="158">
        <v>30047081</v>
      </c>
      <c r="B82" s="144">
        <v>0</v>
      </c>
      <c r="C82" s="144" t="s">
        <v>53</v>
      </c>
      <c r="D82" s="144">
        <v>100</v>
      </c>
      <c r="E82" s="144" t="s">
        <v>90</v>
      </c>
      <c r="F82" s="144" t="s">
        <v>90</v>
      </c>
      <c r="G82" s="144">
        <v>0</v>
      </c>
      <c r="H82" s="144" t="s">
        <v>90</v>
      </c>
      <c r="I82" s="144">
        <v>0</v>
      </c>
      <c r="J82" s="148">
        <f t="shared" si="6"/>
        <v>100</v>
      </c>
    </row>
  </sheetData>
  <autoFilter ref="A1:G1"/>
  <phoneticPr fontId="5"/>
  <conditionalFormatting sqref="K25:K28 K1 K3 K83:K1048576">
    <cfRule type="duplicateValues" dxfId="68" priority="71"/>
  </conditionalFormatting>
  <conditionalFormatting sqref="K4">
    <cfRule type="duplicateValues" dxfId="67" priority="70"/>
  </conditionalFormatting>
  <conditionalFormatting sqref="K5">
    <cfRule type="duplicateValues" dxfId="66" priority="69"/>
  </conditionalFormatting>
  <conditionalFormatting sqref="K6">
    <cfRule type="duplicateValues" dxfId="65" priority="68"/>
  </conditionalFormatting>
  <conditionalFormatting sqref="K7">
    <cfRule type="duplicateValues" dxfId="64" priority="67"/>
  </conditionalFormatting>
  <conditionalFormatting sqref="K8">
    <cfRule type="duplicateValues" dxfId="63" priority="66"/>
  </conditionalFormatting>
  <conditionalFormatting sqref="K10">
    <cfRule type="duplicateValues" dxfId="62" priority="65"/>
  </conditionalFormatting>
  <conditionalFormatting sqref="K11">
    <cfRule type="duplicateValues" dxfId="61" priority="64"/>
  </conditionalFormatting>
  <conditionalFormatting sqref="K9">
    <cfRule type="duplicateValues" dxfId="60" priority="63"/>
  </conditionalFormatting>
  <conditionalFormatting sqref="K12">
    <cfRule type="duplicateValues" dxfId="59" priority="62"/>
  </conditionalFormatting>
  <conditionalFormatting sqref="K13">
    <cfRule type="duplicateValues" dxfId="58" priority="61"/>
  </conditionalFormatting>
  <conditionalFormatting sqref="K14">
    <cfRule type="duplicateValues" dxfId="57" priority="60"/>
  </conditionalFormatting>
  <conditionalFormatting sqref="K15">
    <cfRule type="duplicateValues" dxfId="56" priority="59"/>
  </conditionalFormatting>
  <conditionalFormatting sqref="K16">
    <cfRule type="duplicateValues" dxfId="55" priority="58"/>
  </conditionalFormatting>
  <conditionalFormatting sqref="K17">
    <cfRule type="duplicateValues" dxfId="54" priority="57"/>
  </conditionalFormatting>
  <conditionalFormatting sqref="K18">
    <cfRule type="duplicateValues" dxfId="53" priority="56"/>
  </conditionalFormatting>
  <conditionalFormatting sqref="K19">
    <cfRule type="duplicateValues" dxfId="52" priority="55"/>
  </conditionalFormatting>
  <conditionalFormatting sqref="K20">
    <cfRule type="duplicateValues" dxfId="51" priority="54"/>
  </conditionalFormatting>
  <conditionalFormatting sqref="K21">
    <cfRule type="duplicateValues" dxfId="50" priority="53"/>
  </conditionalFormatting>
  <conditionalFormatting sqref="K22">
    <cfRule type="duplicateValues" dxfId="49" priority="52"/>
  </conditionalFormatting>
  <conditionalFormatting sqref="K23">
    <cfRule type="duplicateValues" dxfId="48" priority="51"/>
  </conditionalFormatting>
  <conditionalFormatting sqref="K24">
    <cfRule type="duplicateValues" dxfId="47" priority="50"/>
  </conditionalFormatting>
  <conditionalFormatting sqref="K2">
    <cfRule type="duplicateValues" dxfId="46" priority="47"/>
  </conditionalFormatting>
  <conditionalFormatting sqref="K52:K55 K30">
    <cfRule type="duplicateValues" dxfId="45" priority="46"/>
  </conditionalFormatting>
  <conditionalFormatting sqref="K31">
    <cfRule type="duplicateValues" dxfId="44" priority="45"/>
  </conditionalFormatting>
  <conditionalFormatting sqref="K32">
    <cfRule type="duplicateValues" dxfId="43" priority="44"/>
  </conditionalFormatting>
  <conditionalFormatting sqref="K33">
    <cfRule type="duplicateValues" dxfId="42" priority="43"/>
  </conditionalFormatting>
  <conditionalFormatting sqref="K34">
    <cfRule type="duplicateValues" dxfId="41" priority="42"/>
  </conditionalFormatting>
  <conditionalFormatting sqref="K35">
    <cfRule type="duplicateValues" dxfId="40" priority="41"/>
  </conditionalFormatting>
  <conditionalFormatting sqref="K37">
    <cfRule type="duplicateValues" dxfId="39" priority="40"/>
  </conditionalFormatting>
  <conditionalFormatting sqref="K38">
    <cfRule type="duplicateValues" dxfId="38" priority="39"/>
  </conditionalFormatting>
  <conditionalFormatting sqref="K36">
    <cfRule type="duplicateValues" dxfId="37" priority="38"/>
  </conditionalFormatting>
  <conditionalFormatting sqref="K39">
    <cfRule type="duplicateValues" dxfId="36" priority="37"/>
  </conditionalFormatting>
  <conditionalFormatting sqref="K40">
    <cfRule type="duplicateValues" dxfId="35" priority="36"/>
  </conditionalFormatting>
  <conditionalFormatting sqref="K41">
    <cfRule type="duplicateValues" dxfId="34" priority="35"/>
  </conditionalFormatting>
  <conditionalFormatting sqref="K42">
    <cfRule type="duplicateValues" dxfId="33" priority="34"/>
  </conditionalFormatting>
  <conditionalFormatting sqref="K43">
    <cfRule type="duplicateValues" dxfId="32" priority="33"/>
  </conditionalFormatting>
  <conditionalFormatting sqref="K44">
    <cfRule type="duplicateValues" dxfId="31" priority="32"/>
  </conditionalFormatting>
  <conditionalFormatting sqref="K45">
    <cfRule type="duplicateValues" dxfId="30" priority="31"/>
  </conditionalFormatting>
  <conditionalFormatting sqref="K46">
    <cfRule type="duplicateValues" dxfId="29" priority="30"/>
  </conditionalFormatting>
  <conditionalFormatting sqref="K47">
    <cfRule type="duplicateValues" dxfId="28" priority="29"/>
  </conditionalFormatting>
  <conditionalFormatting sqref="K48">
    <cfRule type="duplicateValues" dxfId="27" priority="28"/>
  </conditionalFormatting>
  <conditionalFormatting sqref="K49">
    <cfRule type="duplicateValues" dxfId="26" priority="27"/>
  </conditionalFormatting>
  <conditionalFormatting sqref="K50">
    <cfRule type="duplicateValues" dxfId="25" priority="26"/>
  </conditionalFormatting>
  <conditionalFormatting sqref="K51">
    <cfRule type="duplicateValues" dxfId="24" priority="25"/>
  </conditionalFormatting>
  <conditionalFormatting sqref="K29">
    <cfRule type="duplicateValues" dxfId="23" priority="24"/>
  </conditionalFormatting>
  <conditionalFormatting sqref="K79:K82 K57">
    <cfRule type="duplicateValues" dxfId="22" priority="23"/>
  </conditionalFormatting>
  <conditionalFormatting sqref="K58">
    <cfRule type="duplicateValues" dxfId="21" priority="22"/>
  </conditionalFormatting>
  <conditionalFormatting sqref="K59">
    <cfRule type="duplicateValues" dxfId="20" priority="21"/>
  </conditionalFormatting>
  <conditionalFormatting sqref="K60">
    <cfRule type="duplicateValues" dxfId="19" priority="20"/>
  </conditionalFormatting>
  <conditionalFormatting sqref="K61">
    <cfRule type="duplicateValues" dxfId="18" priority="19"/>
  </conditionalFormatting>
  <conditionalFormatting sqref="K62">
    <cfRule type="duplicateValues" dxfId="17" priority="18"/>
  </conditionalFormatting>
  <conditionalFormatting sqref="K64">
    <cfRule type="duplicateValues" dxfId="16" priority="17"/>
  </conditionalFormatting>
  <conditionalFormatting sqref="K65">
    <cfRule type="duplicateValues" dxfId="15" priority="16"/>
  </conditionalFormatting>
  <conditionalFormatting sqref="K63">
    <cfRule type="duplicateValues" dxfId="14" priority="15"/>
  </conditionalFormatting>
  <conditionalFormatting sqref="K66">
    <cfRule type="duplicateValues" dxfId="13" priority="14"/>
  </conditionalFormatting>
  <conditionalFormatting sqref="K67">
    <cfRule type="duplicateValues" dxfId="12" priority="13"/>
  </conditionalFormatting>
  <conditionalFormatting sqref="K68">
    <cfRule type="duplicateValues" dxfId="11" priority="12"/>
  </conditionalFormatting>
  <conditionalFormatting sqref="K69">
    <cfRule type="duplicateValues" dxfId="10" priority="11"/>
  </conditionalFormatting>
  <conditionalFormatting sqref="K70">
    <cfRule type="duplicateValues" dxfId="9" priority="10"/>
  </conditionalFormatting>
  <conditionalFormatting sqref="K71">
    <cfRule type="duplicateValues" dxfId="8" priority="9"/>
  </conditionalFormatting>
  <conditionalFormatting sqref="K72">
    <cfRule type="duplicateValues" dxfId="7" priority="8"/>
  </conditionalFormatting>
  <conditionalFormatting sqref="K73">
    <cfRule type="duplicateValues" dxfId="6" priority="7"/>
  </conditionalFormatting>
  <conditionalFormatting sqref="K74">
    <cfRule type="duplicateValues" dxfId="5" priority="6"/>
  </conditionalFormatting>
  <conditionalFormatting sqref="K75">
    <cfRule type="duplicateValues" dxfId="4" priority="5"/>
  </conditionalFormatting>
  <conditionalFormatting sqref="K76">
    <cfRule type="duplicateValues" dxfId="3" priority="4"/>
  </conditionalFormatting>
  <conditionalFormatting sqref="K77">
    <cfRule type="duplicateValues" dxfId="2" priority="3"/>
  </conditionalFormatting>
  <conditionalFormatting sqref="K78">
    <cfRule type="duplicateValues" dxfId="1" priority="2"/>
  </conditionalFormatting>
  <conditionalFormatting sqref="K5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82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30" sqref="E30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8" t="s">
        <v>60</v>
      </c>
      <c r="B1" s="180" t="s">
        <v>61</v>
      </c>
      <c r="C1" s="180" t="s">
        <v>62</v>
      </c>
      <c r="D1" s="181" t="s">
        <v>63</v>
      </c>
      <c r="E1" s="181" t="s">
        <v>64</v>
      </c>
      <c r="F1" s="5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2" t="s">
        <v>71</v>
      </c>
      <c r="L1" s="42" t="s">
        <v>72</v>
      </c>
      <c r="M1" s="42" t="s">
        <v>73</v>
      </c>
      <c r="N1" s="42" t="s">
        <v>74</v>
      </c>
      <c r="O1" s="42" t="s">
        <v>75</v>
      </c>
      <c r="P1" s="181" t="s">
        <v>76</v>
      </c>
      <c r="Q1" s="181" t="s">
        <v>77</v>
      </c>
      <c r="R1" s="181" t="s">
        <v>78</v>
      </c>
    </row>
    <row r="2" spans="1:18" ht="21" customHeight="1" thickBot="1" x14ac:dyDescent="0.2">
      <c r="A2" s="171" t="str">
        <f t="shared" ref="A2" si="0">B2&amp;"_"&amp;C2</f>
        <v>30047001_30047001</v>
      </c>
      <c r="B2" s="190">
        <v>30047001</v>
      </c>
      <c r="C2" s="190">
        <v>30047001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ちょっといいか？_x000D_調査結果が出たんだ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2" s="190">
        <v>30047001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6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5"/>
      <c r="Q2" s="45"/>
      <c r="R2" s="45"/>
    </row>
    <row r="3" spans="1:18" ht="21" customHeight="1" thickBot="1" x14ac:dyDescent="0.2">
      <c r="A3" s="38" t="str">
        <f t="shared" ref="A3:A10" si="1">B3&amp;"_"&amp;C3</f>
        <v>30047001_30047002</v>
      </c>
      <c r="B3" s="156">
        <v>30047001</v>
      </c>
      <c r="C3" s="156">
        <v>30047002</v>
      </c>
      <c r="D3" s="183" t="str">
        <f ca="1">VLOOKUP($C3,OFFSET(enemy_skills!$A$1,0,0,COUNTA(enemy_skills!$A:$A),MATCH(D$1,enemy_skills!$1:$1,0)-MATCH("enemy_skill_id",enemy_skills!$1:$1,0)+1),MATCH(D$1,enemy_skills!$1:$1,0)-MATCH("enemy_skill_id",enemy_skills!$1:$1,0)+1,FALSE)</f>
        <v>心が強ければ相手の攻撃を耐えられる！</v>
      </c>
      <c r="E3" s="183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全パネルをハートパネルに変換+_x000D_ハートパネルドロップ率UP+撤退</v>
      </c>
      <c r="F3" s="156">
        <v>30047002</v>
      </c>
      <c r="G3" s="1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1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1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1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1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1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1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1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1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144"/>
      <c r="Q3" s="144"/>
      <c r="R3" s="144"/>
    </row>
    <row r="4" spans="1:18" ht="21" customHeight="1" thickBot="1" x14ac:dyDescent="0.2">
      <c r="A4" s="171" t="str">
        <f t="shared" si="1"/>
        <v>30047002_30047003</v>
      </c>
      <c r="B4" s="174">
        <v>30047002</v>
      </c>
      <c r="C4" s="167">
        <v>30047003</v>
      </c>
      <c r="D4" s="182" t="str">
        <f ca="1">VLOOKUP($C4,OFFSET(enemy_skills!$A$1,0,0,COUNTA(enemy_skills!$A:$A),MATCH(D$1,enemy_skills!$1:$1,0)-MATCH("enemy_skill_id",enemy_skills!$1:$1,0)+1),MATCH(D$1,enemy_skills!$1:$1,0)-MATCH("enemy_skill_id",enemy_skills!$1:$1,0)+1,FALSE)</f>
        <v>破壊工作</v>
      </c>
      <c r="E4" s="182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ハートパネルを青のダメージパネルに23個変換</v>
      </c>
      <c r="F4" s="189">
        <v>30047003</v>
      </c>
      <c r="G4" s="170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170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170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170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170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170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170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170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170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169"/>
      <c r="Q4" s="169"/>
      <c r="R4" s="169"/>
    </row>
    <row r="5" spans="1:18" ht="21" customHeight="1" thickBot="1" x14ac:dyDescent="0.2">
      <c r="A5" s="38" t="str">
        <f t="shared" si="1"/>
        <v>30047002_30047004</v>
      </c>
      <c r="B5" s="168">
        <v>30047002</v>
      </c>
      <c r="C5" s="168">
        <v>30047004</v>
      </c>
      <c r="D5" s="183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ブルーキラー</v>
      </c>
      <c r="E5" s="183" t="str">
        <f ca="1">VLOOKUP($C5,OFFSET(enemy_skills!$A$1,0,0,COUNTA(enemy_skills!$A:$A),MATCH(E$1,enemy_skills!$1:$1,0)-MATCH("enemy_skill_id",enemy_skills!$1:$1,0)+1),MATCH(E$1,enemy_skills!$1:$1,0)-MATCH("enemy_skill_id",enemy_skills!$1:$1,0)+1,FALSE)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青属性のユニットに大ダメージの単体攻撃</v>
      </c>
      <c r="F5" s="168">
        <v>30047004</v>
      </c>
      <c r="G5" s="1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1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1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" s="1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1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1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1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1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1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" s="144"/>
      <c r="Q5" s="144"/>
      <c r="R5" s="144"/>
    </row>
    <row r="6" spans="1:18" ht="21" customHeight="1" x14ac:dyDescent="0.15">
      <c r="A6" s="38" t="str">
        <f t="shared" si="1"/>
        <v>30047003_30047005</v>
      </c>
      <c r="B6" s="174">
        <v>30047003</v>
      </c>
      <c r="C6" s="167">
        <v>30047005</v>
      </c>
      <c r="D6" s="182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ハウリングボイス</v>
      </c>
      <c r="E6" s="182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ハートパネルを青のダメージパネルに5個変換+_x000D_単体攻撃</v>
      </c>
      <c r="F6" s="189">
        <v>30047005</v>
      </c>
      <c r="G6" s="170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170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" s="170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170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170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170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170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170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170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169"/>
      <c r="Q6" s="169"/>
      <c r="R6" s="169"/>
    </row>
    <row r="7" spans="1:18" ht="21" customHeight="1" thickBot="1" x14ac:dyDescent="0.2">
      <c r="A7" s="171" t="str">
        <f t="shared" si="1"/>
        <v>30047003_30047006</v>
      </c>
      <c r="B7" s="168">
        <v>30047003</v>
      </c>
      <c r="C7" s="168">
        <v>30047006</v>
      </c>
      <c r="D7" s="183" t="str">
        <f ca="1">VLOOKUP($C7,OFFSET(enemy_skills!$A$1,0,0,COUNTA(enemy_skills!$A:$A),MATCH(D$1,enemy_skills!$1:$1,0)-MATCH("enemy_skill_id",enemy_skills!$1:$1,0)+1),MATCH(D$1,enemy_skills!$1:$1,0)-MATCH("enemy_skill_id",enemy_skills!$1:$1,0)+1,FALSE)</f>
        <v>最後の意地</v>
      </c>
      <c r="E7" s="183" t="str">
        <f ca="1">VLOOKUP($C7,OFFSET(enemy_skills!$A$1,0,0,COUNTA(enemy_skills!$A:$A),MATCH(E$1,enemy_skills!$1:$1,0)-MATCH("enemy_skill_id",enemy_skills!$1:$1,0)+1),MATCH(E$1,enemy_skills!$1:$1,0)-MATCH("enemy_skill_id",enemy_skills!$1:$1,0)+1,FALSE)</f>
        <v>自身の攻撃力大UP</v>
      </c>
      <c r="F7" s="168">
        <v>30047006</v>
      </c>
      <c r="G7" s="1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1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7" s="1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1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7" s="1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1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1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1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1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144"/>
      <c r="Q7" s="144"/>
      <c r="R7" s="144"/>
    </row>
    <row r="8" spans="1:18" ht="21" customHeight="1" thickBot="1" x14ac:dyDescent="0.2">
      <c r="A8" s="38" t="str">
        <f t="shared" si="1"/>
        <v>30047004_30047007</v>
      </c>
      <c r="B8" s="207">
        <v>30047004</v>
      </c>
      <c r="C8" s="160">
        <v>30047007</v>
      </c>
      <c r="D8" s="187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リミッター解除</v>
      </c>
      <c r="E8" s="187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" s="176">
        <v>30047007</v>
      </c>
      <c r="G8" s="173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173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173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173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173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173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173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" s="173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173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172"/>
      <c r="Q8" s="172"/>
      <c r="R8" s="172"/>
    </row>
    <row r="9" spans="1:18" ht="21" customHeight="1" thickBot="1" x14ac:dyDescent="0.2">
      <c r="A9" s="171" t="str">
        <f t="shared" si="1"/>
        <v>30047005_30047008</v>
      </c>
      <c r="B9" s="175">
        <v>30047005</v>
      </c>
      <c r="C9" s="159">
        <v>30047008</v>
      </c>
      <c r="D9" s="182" t="str">
        <f ca="1">VLOOKUP($C9,OFFSET(enemy_skills!$A$1,0,0,COUNTA(enemy_skills!$A:$A),MATCH(D$1,enemy_skills!$1:$1,0)-MATCH("enemy_skill_id",enemy_skills!$1:$1,0)+1),MATCH(D$1,enemy_skills!$1:$1,0)-MATCH("enemy_skill_id",enemy_skills!$1:$1,0)+1,FALSE)</f>
        <v>鉄壁</v>
      </c>
      <c r="E9" s="182" t="str">
        <f ca="1">VLOOKUP($C9,OFFSET(enemy_skills!$A$1,0,0,COUNTA(enemy_skills!$A:$A),MATCH(E$1,enemy_skills!$1:$1,0)-MATCH("enemy_skill_id",enemy_skills!$1:$1,0)+1),MATCH(E$1,enemy_skills!$1:$1,0)-MATCH("enemy_skill_id",enemy_skills!$1:$1,0)+1,FALSE)</f>
        <v>自身の防御力激烈UP+状態異常耐性</v>
      </c>
      <c r="F9" s="188">
        <v>30047008</v>
      </c>
      <c r="G9" s="170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170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170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170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170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170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170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170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170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169"/>
      <c r="Q9" s="169"/>
      <c r="R9" s="169"/>
    </row>
    <row r="10" spans="1:18" ht="21" customHeight="1" thickBot="1" x14ac:dyDescent="0.2">
      <c r="A10" s="186" t="str">
        <f t="shared" si="1"/>
        <v>30047005_30047009</v>
      </c>
      <c r="B10" s="177">
        <v>30047005</v>
      </c>
      <c r="C10" s="159">
        <v>30047009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うなり声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緑パネルを緑のダメージパネルに4個変換</v>
      </c>
      <c r="F10" s="159">
        <v>30047009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6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6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5"/>
      <c r="Q10" s="45"/>
      <c r="R10" s="45"/>
    </row>
    <row r="11" spans="1:18" ht="21" customHeight="1" x14ac:dyDescent="0.15">
      <c r="A11" s="38" t="str">
        <f t="shared" ref="A11:A23" si="2">B11&amp;"_"&amp;C11</f>
        <v>30047005_30047010</v>
      </c>
      <c r="B11" s="177">
        <v>30047005</v>
      </c>
      <c r="C11" s="159">
        <v>30047010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鼓舞の舞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2ターンユミルの攻撃力大UP</v>
      </c>
      <c r="F11" s="159">
        <v>30047010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6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5"/>
      <c r="Q11" s="45"/>
      <c r="R11" s="45"/>
    </row>
    <row r="12" spans="1:18" ht="21" customHeight="1" x14ac:dyDescent="0.15">
      <c r="A12" s="38" t="str">
        <f t="shared" si="2"/>
        <v>30047005_30047011</v>
      </c>
      <c r="B12" s="177">
        <v>30047005</v>
      </c>
      <c r="C12" s="159">
        <v>30047011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支配者の眼光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2ターン全ユニットの回復力50%DOWN</v>
      </c>
      <c r="F12" s="159">
        <v>30047011</v>
      </c>
      <c r="G12" s="4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6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" s="4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5"/>
      <c r="Q12" s="45"/>
      <c r="R12" s="45"/>
    </row>
    <row r="13" spans="1:18" ht="21" customHeight="1" thickBot="1" x14ac:dyDescent="0.2">
      <c r="A13" s="171" t="str">
        <f t="shared" si="2"/>
        <v>30047005_30047012</v>
      </c>
      <c r="B13" s="160">
        <v>30047005</v>
      </c>
      <c r="C13" s="160">
        <v>30047012</v>
      </c>
      <c r="D13" s="183" t="str">
        <f ca="1">VLOOKUP($C13,OFFSET(enemy_skills!$A$1,0,0,COUNTA(enemy_skills!$A:$A),MATCH(D$1,enemy_skills!$1:$1,0)-MATCH("enemy_skill_id",enemy_skills!$1:$1,0)+1),MATCH(D$1,enemy_skills!$1:$1,0)-MATCH("enemy_skill_id",enemy_skills!$1:$1,0)+1,FALSE)</f>
        <v>脱皮</v>
      </c>
      <c r="E13" s="183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姿が変わっていく</v>
      </c>
      <c r="F13" s="160">
        <v>30047012</v>
      </c>
      <c r="G13" s="1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1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1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1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1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1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1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1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586</v>
      </c>
      <c r="O13" s="1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144"/>
      <c r="Q13" s="144"/>
      <c r="R13" s="144"/>
    </row>
    <row r="14" spans="1:18" ht="21" customHeight="1" x14ac:dyDescent="0.15">
      <c r="A14" s="38" t="str">
        <f t="shared" si="2"/>
        <v>30047006_30047013</v>
      </c>
      <c r="B14" s="175">
        <v>30047006</v>
      </c>
      <c r="C14" s="188">
        <v>30047013</v>
      </c>
      <c r="D14" s="182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威嚇</v>
      </c>
      <c r="E14" s="182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緑パネルを緑のダメージパネルに3個変換</v>
      </c>
      <c r="F14" s="188">
        <v>30047013</v>
      </c>
      <c r="G14" s="170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170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170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170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170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170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170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170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170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169"/>
      <c r="Q14" s="169"/>
      <c r="R14" s="169"/>
    </row>
    <row r="15" spans="1:18" ht="21" customHeight="1" x14ac:dyDescent="0.15">
      <c r="A15" s="38" t="str">
        <f t="shared" si="2"/>
        <v>30047006_30047014</v>
      </c>
      <c r="B15" s="177">
        <v>30047006</v>
      </c>
      <c r="C15" s="159">
        <v>30047014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丸呑み攻撃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ダメージパネルを吸収して攻撃(最大4個)</v>
      </c>
      <c r="F15" s="159">
        <v>30047014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6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6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5"/>
      <c r="Q15" s="45"/>
      <c r="R15" s="45"/>
    </row>
    <row r="16" spans="1:18" ht="21" customHeight="1" x14ac:dyDescent="0.15">
      <c r="A16" s="38" t="str">
        <f t="shared" si="2"/>
        <v>30047006_30047015</v>
      </c>
      <c r="B16" s="177">
        <v>30047006</v>
      </c>
      <c r="C16" s="159">
        <v>30047015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潜伏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緑パネルを緑のダメージパネルに5個変換</v>
      </c>
      <c r="F16" s="159">
        <v>30047015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6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6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5"/>
      <c r="Q16" s="45"/>
      <c r="R16" s="45"/>
    </row>
    <row r="17" spans="1:18" ht="21" customHeight="1" thickBot="1" x14ac:dyDescent="0.2">
      <c r="A17" s="171" t="str">
        <f t="shared" si="2"/>
        <v>30047006_30047016</v>
      </c>
      <c r="B17" s="160">
        <v>30047006</v>
      </c>
      <c r="C17" s="160">
        <v>30047016</v>
      </c>
      <c r="D17" s="183" t="str">
        <f ca="1">VLOOKUP($C17,OFFSET(enemy_skills!$A$1,0,0,COUNTA(enemy_skills!$A:$A),MATCH(D$1,enemy_skills!$1:$1,0)-MATCH("enemy_skill_id",enemy_skills!$1:$1,0)+1),MATCH(D$1,enemy_skills!$1:$1,0)-MATCH("enemy_skill_id",enemy_skills!$1:$1,0)+1,FALSE)</f>
        <v>丸呑み攻撃</v>
      </c>
      <c r="E17" s="183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ダメージパネルを吸収して攻撃(最大4個)</v>
      </c>
      <c r="F17" s="160">
        <v>30047016</v>
      </c>
      <c r="G17" s="1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1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7" s="1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1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1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1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1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7" s="1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1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144"/>
      <c r="Q17" s="144"/>
      <c r="R17" s="144"/>
    </row>
    <row r="18" spans="1:18" ht="21" customHeight="1" x14ac:dyDescent="0.15">
      <c r="A18" s="38" t="str">
        <f t="shared" si="2"/>
        <v>30047007_30047017</v>
      </c>
      <c r="B18" s="178">
        <v>30047007</v>
      </c>
      <c r="C18" s="178">
        <v>30047017</v>
      </c>
      <c r="D18" s="182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ボクの音を聴いていきなよ</v>
      </c>
      <c r="E18" s="182" t="str">
        <f ca="1">VLOOKUP($C18,OFFSET(enemy_skills!$A$1,0,0,COUNTA(enemy_skills!$A:$A),MATCH(E$1,enemy_skills!$1:$1,0)-MATCH("enemy_skill_id",enemy_skills!$1:$1,0)+1),MATCH(E$1,enemy_skills!$1:$1,0)-MATCH("enemy_skill_id",enemy_skills!$1:$1,0)+1,FALSE)</f>
        <v>青パネルドロップ率UP</v>
      </c>
      <c r="F18" s="178">
        <v>30047017</v>
      </c>
      <c r="G18" s="170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170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170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170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170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170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170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170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170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169"/>
      <c r="Q18" s="169"/>
      <c r="R18" s="169"/>
    </row>
    <row r="19" spans="1:18" ht="21" customHeight="1" x14ac:dyDescent="0.15">
      <c r="A19" s="38" t="str">
        <f t="shared" si="2"/>
        <v>30047007_30047018</v>
      </c>
      <c r="B19" s="179">
        <v>30047007</v>
      </c>
      <c r="C19" s="179">
        <v>30047018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ラグナロクを呼び起こそう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青パネルを青のダメージパネルに3個変換</v>
      </c>
      <c r="F19" s="179">
        <v>30047018</v>
      </c>
      <c r="G19" s="4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6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6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6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5"/>
      <c r="Q19" s="45"/>
      <c r="R19" s="45"/>
    </row>
    <row r="20" spans="1:18" ht="21" customHeight="1" x14ac:dyDescent="0.15">
      <c r="A20" s="38" t="str">
        <f t="shared" si="2"/>
        <v>30047007_30047019</v>
      </c>
      <c r="B20" s="179">
        <v>30047007</v>
      </c>
      <c r="C20" s="179">
        <v>30047019</v>
      </c>
      <c r="D20" s="4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壊れろ…壊れろ…壊れろ…</v>
      </c>
      <c r="E20" s="4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20" s="179">
        <v>30047019</v>
      </c>
      <c r="G20" s="4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6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0" s="4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0" s="46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6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6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6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6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0" s="45"/>
      <c r="Q20" s="45"/>
      <c r="R20" s="45"/>
    </row>
    <row r="21" spans="1:18" ht="21" customHeight="1" x14ac:dyDescent="0.15">
      <c r="A21" s="38" t="str">
        <f t="shared" si="2"/>
        <v>30047007_30047020</v>
      </c>
      <c r="B21" s="179">
        <v>30047007</v>
      </c>
      <c r="C21" s="157">
        <v>30047020</v>
      </c>
      <c r="D21" s="4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破滅を呼び起こそう</v>
      </c>
      <c r="E21" s="4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青パネルを青のダメージパネルに3個変換+_x000D_単体攻撃</v>
      </c>
      <c r="F21" s="157">
        <v>30047020</v>
      </c>
      <c r="G21" s="4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6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1" s="4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6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6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6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1" s="4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5"/>
      <c r="Q21" s="45"/>
      <c r="R21" s="45"/>
    </row>
    <row r="22" spans="1:18" ht="21" customHeight="1" x14ac:dyDescent="0.15">
      <c r="A22" s="38" t="str">
        <f t="shared" si="2"/>
        <v>30047007_30047021</v>
      </c>
      <c r="B22" s="179">
        <v>30047007</v>
      </c>
      <c r="C22" s="179">
        <v>30047021</v>
      </c>
      <c r="D22" s="4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破滅を呼び起こそう</v>
      </c>
      <c r="E22" s="4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青パネルを青のダメージパネルに3個変換+_x000D_単体攻撃</v>
      </c>
      <c r="F22" s="179">
        <v>30047021</v>
      </c>
      <c r="G22" s="4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6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2" s="4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6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2" s="46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6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6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2" s="4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5"/>
      <c r="Q22" s="45"/>
      <c r="R22" s="45"/>
    </row>
    <row r="23" spans="1:18" ht="21" customHeight="1" thickBot="1" x14ac:dyDescent="0.2">
      <c r="A23" s="171" t="str">
        <f t="shared" si="2"/>
        <v>30047007_30047022</v>
      </c>
      <c r="B23" s="158">
        <v>30047007</v>
      </c>
      <c r="C23" s="158">
        <v>30047022</v>
      </c>
      <c r="D23" s="183" t="str">
        <f ca="1">VLOOKUP($C23,OFFSET(enemy_skills!$A$1,0,0,COUNTA(enemy_skills!$A:$A),MATCH(D$1,enemy_skills!$1:$1,0)-MATCH("enemy_skill_id",enemy_skills!$1:$1,0)+1),MATCH(D$1,enemy_skills!$1:$1,0)-MATCH("enemy_skill_id",enemy_skills!$1:$1,0)+1,FALSE)</f>
        <v>破滅を呼び起こそう</v>
      </c>
      <c r="E23" s="183" t="str">
        <f ca="1">VLOOKUP($C23,OFFSET(enemy_skills!$A$1,0,0,COUNTA(enemy_skills!$A:$A),MATCH(E$1,enemy_skills!$1:$1,0)-MATCH("enemy_skill_id",enemy_skills!$1:$1,0)+1),MATCH(E$1,enemy_skills!$1:$1,0)-MATCH("enemy_skill_id",enemy_skills!$1:$1,0)+1,FALSE)</f>
        <v>青パネルを青のダメージパネルに3個変換+_x000D_単体攻撃</v>
      </c>
      <c r="F23" s="158">
        <v>30047022</v>
      </c>
      <c r="G23" s="1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1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3" s="1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1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23" s="1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1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1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1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1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144"/>
      <c r="Q23" s="144"/>
      <c r="R23" s="144"/>
    </row>
    <row r="24" spans="1:18" ht="21" customHeight="1" x14ac:dyDescent="0.15">
      <c r="A24" s="38" t="str">
        <f t="shared" ref="A24:A50" si="3">B24&amp;"_"&amp;C24</f>
        <v>30047008_30047023</v>
      </c>
      <c r="B24" s="178">
        <v>30047008</v>
      </c>
      <c r="C24" s="178">
        <v>30047023</v>
      </c>
      <c r="D24" s="182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そんな雑音聞かせるな</v>
      </c>
      <c r="E24" s="182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4" s="178">
        <v>30047023</v>
      </c>
      <c r="G24" s="170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170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170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170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170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170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170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170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170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169"/>
      <c r="Q24" s="169"/>
      <c r="R24" s="169"/>
    </row>
    <row r="25" spans="1:18" ht="21" customHeight="1" x14ac:dyDescent="0.15">
      <c r="A25" s="38" t="str">
        <f t="shared" si="3"/>
        <v>30047008_30047024</v>
      </c>
      <c r="B25" s="178">
        <v>30047008</v>
      </c>
      <c r="C25" s="179">
        <v>30047024</v>
      </c>
      <c r="D25" s="4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キミはボクの音に耐えられる？</v>
      </c>
      <c r="E25" s="4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3ターン全ユニットの回復力50%DOWN+_x000D_単体攻撃</v>
      </c>
      <c r="F25" s="179">
        <v>30047024</v>
      </c>
      <c r="G25" s="46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6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6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6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6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6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6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5" s="46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6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5"/>
      <c r="Q25" s="45"/>
      <c r="R25" s="45"/>
    </row>
    <row r="26" spans="1:18" ht="21" customHeight="1" x14ac:dyDescent="0.15">
      <c r="A26" s="38" t="str">
        <f t="shared" si="3"/>
        <v>30047008_30047025</v>
      </c>
      <c r="B26" s="178">
        <v>30047008</v>
      </c>
      <c r="C26" s="179">
        <v>30047025</v>
      </c>
      <c r="D26" s="44" t="str">
        <f ca="1">VLOOKUP($C26,OFFSET(enemy_skills!$A$1,0,0,COUNTA(enemy_skills!$A:$A),MATCH(D$1,enemy_skills!$1:$1,0)-MATCH("enemy_skill_id",enemy_skills!$1:$1,0)+1),MATCH(D$1,enemy_skills!$1:$1,0)-MATCH("enemy_skill_id",enemy_skills!$1:$1,0)+1,FALSE)</f>
        <v>響き渡れ…</v>
      </c>
      <c r="E26" s="44" t="str">
        <f ca="1">VLOOKUP($C26,OFFSET(enemy_skills!$A$1,0,0,COUNTA(enemy_skills!$A:$A),MATCH(E$1,enemy_skills!$1:$1,0)-MATCH("enemy_skill_id",enemy_skills!$1:$1,0)+1),MATCH(E$1,enemy_skills!$1:$1,0)-MATCH("enemy_skill_id",enemy_skills!$1:$1,0)+1,FALSE)</f>
        <v>赤・黄・緑パネルを吸収して攻撃</v>
      </c>
      <c r="F26" s="179">
        <v>30047025</v>
      </c>
      <c r="G26" s="46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6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6" s="46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6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6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6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6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6" s="46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6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5"/>
      <c r="Q26" s="45"/>
      <c r="R26" s="45"/>
    </row>
    <row r="27" spans="1:18" ht="21" customHeight="1" x14ac:dyDescent="0.15">
      <c r="A27" s="38" t="str">
        <f t="shared" si="3"/>
        <v>30047008_30047026</v>
      </c>
      <c r="B27" s="178">
        <v>30047008</v>
      </c>
      <c r="C27" s="179">
        <v>30047026</v>
      </c>
      <c r="D27" s="44" t="str">
        <f ca="1">VLOOKUP($C27,OFFSET(enemy_skills!$A$1,0,0,COUNTA(enemy_skills!$A:$A),MATCH(D$1,enemy_skills!$1:$1,0)-MATCH("enemy_skill_id",enemy_skills!$1:$1,0)+1),MATCH(D$1,enemy_skills!$1:$1,0)-MATCH("enemy_skill_id",enemy_skills!$1:$1,0)+1,FALSE)</f>
        <v>破滅の時間だ</v>
      </c>
      <c r="E27" s="44" t="str">
        <f ca="1">VLOOKUP($C27,OFFSET(enemy_skills!$A$1,0,0,COUNTA(enemy_skills!$A:$A),MATCH(E$1,enemy_skills!$1:$1,0)-MATCH("enemy_skill_id",enemy_skills!$1:$1,0)+1),MATCH(E$1,enemy_skills!$1:$1,0)-MATCH("enemy_skill_id",enemy_skills!$1:$1,0)+1,FALSE)</f>
        <v>青パネルを青のダメージパネルに5個変換</v>
      </c>
      <c r="F27" s="179">
        <v>30047026</v>
      </c>
      <c r="G27" s="4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6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7" s="4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6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6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6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6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7" s="46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6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5"/>
      <c r="Q27" s="45"/>
      <c r="R27" s="45"/>
    </row>
    <row r="28" spans="1:18" ht="21" customHeight="1" thickBot="1" x14ac:dyDescent="0.2">
      <c r="A28" s="171" t="str">
        <f t="shared" si="3"/>
        <v>30047008_30047027</v>
      </c>
      <c r="B28" s="158">
        <v>30047008</v>
      </c>
      <c r="C28" s="202">
        <v>30047027</v>
      </c>
      <c r="D28" s="183" t="str">
        <f ca="1">VLOOKUP($C28,OFFSET(enemy_skills!$A$1,0,0,COUNTA(enemy_skills!$A:$A),MATCH(D$1,enemy_skills!$1:$1,0)-MATCH("enemy_skill_id",enemy_skills!$1:$1,0)+1),MATCH(D$1,enemy_skills!$1:$1,0)-MATCH("enemy_skill_id",enemy_skills!$1:$1,0)+1,FALSE)</f>
        <v>美しい音色が…崩れる…</v>
      </c>
      <c r="E28" s="183" t="str">
        <f ca="1">VLOOKUP($C28,OFFSET(enemy_skills!$A$1,0,0,COUNTA(enemy_skills!$A:$A),MATCH(E$1,enemy_skills!$1:$1,0)-MATCH("enemy_skill_id",enemy_skills!$1:$1,0)+1),MATCH(E$1,enemy_skills!$1:$1,0)-MATCH("enemy_skill_id",enemy_skills!$1:$1,0)+1,FALSE)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28" s="158">
        <v>30047027</v>
      </c>
      <c r="G28" s="46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6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6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6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6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6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" s="46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6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8" s="46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5"/>
      <c r="Q28" s="45"/>
      <c r="R28" s="45"/>
    </row>
    <row r="29" spans="1:18" ht="21" customHeight="1" thickBot="1" x14ac:dyDescent="0.2">
      <c r="A29" s="171" t="str">
        <f t="shared" si="3"/>
        <v>30047009_30047028</v>
      </c>
      <c r="B29" s="190">
        <v>30047009</v>
      </c>
      <c r="C29" s="190">
        <v>30047028</v>
      </c>
      <c r="D29" s="44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ちょっといいか？_x000D_調査結果が出たんだ</v>
      </c>
      <c r="E29" s="44" t="str">
        <f ca="1">VLOOKUP($C29,OFFSET(enemy_skills!$A$1,0,0,COUNTA(enemy_skills!$A:$A),MATCH(E$1,enemy_skills!$1:$1,0)-MATCH("enemy_skill_id",enemy_skills!$1:$1,0)+1),MATCH(E$1,enemy_skills!$1:$1,0)-MATCH("enemy_skill_id",enemy_skills!$1:$1,0)+1,FALSE)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29" s="190">
        <v>30047028</v>
      </c>
      <c r="G29" s="46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6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6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6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6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6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6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6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6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5"/>
      <c r="Q29" s="45"/>
      <c r="R29" s="45"/>
    </row>
    <row r="30" spans="1:18" ht="21" customHeight="1" thickBot="1" x14ac:dyDescent="0.2">
      <c r="A30" s="38" t="str">
        <f t="shared" si="3"/>
        <v>30047009_30047029</v>
      </c>
      <c r="B30" s="156">
        <v>30047009</v>
      </c>
      <c r="C30" s="156">
        <v>30047029</v>
      </c>
      <c r="D30" s="183" t="str">
        <f ca="1">VLOOKUP($C30,OFFSET(enemy_skills!$A$1,0,0,COUNTA(enemy_skills!$A:$A),MATCH(D$1,enemy_skills!$1:$1,0)-MATCH("enemy_skill_id",enemy_skills!$1:$1,0)+1),MATCH(D$1,enemy_skills!$1:$1,0)-MATCH("enemy_skill_id",enemy_skills!$1:$1,0)+1,FALSE)</f>
        <v>心が強ければ相手の攻撃を耐えられる！</v>
      </c>
      <c r="E30" s="183" t="str">
        <f ca="1">VLOOKUP($C30,OFFSET(enemy_skills!$A$1,0,0,COUNTA(enemy_skills!$A:$A),MATCH(E$1,enemy_skills!$1:$1,0)-MATCH("enemy_skill_id",enemy_skills!$1:$1,0)+1),MATCH(E$1,enemy_skills!$1:$1,0)-MATCH("enemy_skill_id",enemy_skills!$1:$1,0)+1,FALSE)</f>
        <v>全パネルをハートパネルに変換+_x000D_ハートパネルドロップ率UP+撤退</v>
      </c>
      <c r="F30" s="156">
        <v>30047029</v>
      </c>
      <c r="G30" s="1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148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1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1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1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1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1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1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1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144"/>
      <c r="Q30" s="144"/>
      <c r="R30" s="144"/>
    </row>
    <row r="31" spans="1:18" ht="21" customHeight="1" thickBot="1" x14ac:dyDescent="0.2">
      <c r="A31" s="171" t="str">
        <f t="shared" si="3"/>
        <v>30047010_30047030</v>
      </c>
      <c r="B31" s="174">
        <v>30047010</v>
      </c>
      <c r="C31" s="167">
        <v>30047030</v>
      </c>
      <c r="D31" s="182" t="str">
        <f ca="1">VLOOKUP($C31,OFFSET(enemy_skills!$A$1,0,0,COUNTA(enemy_skills!$A:$A),MATCH(D$1,enemy_skills!$1:$1,0)-MATCH("enemy_skill_id",enemy_skills!$1:$1,0)+1),MATCH(D$1,enemy_skills!$1:$1,0)-MATCH("enemy_skill_id",enemy_skills!$1:$1,0)+1,FALSE)</f>
        <v>破壊工作</v>
      </c>
      <c r="E31" s="182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ハートパネルを青のダメージパネルに23個変換</v>
      </c>
      <c r="F31" s="167">
        <v>30047030</v>
      </c>
      <c r="G31" s="170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170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170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170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170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170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170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170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170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169"/>
      <c r="Q31" s="169"/>
      <c r="R31" s="169"/>
    </row>
    <row r="32" spans="1:18" ht="21" customHeight="1" thickBot="1" x14ac:dyDescent="0.2">
      <c r="A32" s="38" t="str">
        <f t="shared" si="3"/>
        <v>30047010_30047031</v>
      </c>
      <c r="B32" s="168">
        <v>30047010</v>
      </c>
      <c r="C32" s="168">
        <v>30047031</v>
      </c>
      <c r="D32" s="183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ブルーキラー</v>
      </c>
      <c r="E32" s="183" t="str">
        <f ca="1">VLOOKUP($C32,OFFSET(enemy_skills!$A$1,0,0,COUNTA(enemy_skills!$A:$A),MATCH(E$1,enemy_skills!$1:$1,0)-MATCH("enemy_skill_id",enemy_skills!$1:$1,0)+1),MATCH(E$1,enemy_skills!$1:$1,0)-MATCH("enemy_skill_id",enemy_skills!$1:$1,0)+1,FALSE)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青属性のユニットに大ダメージの単体攻撃</v>
      </c>
      <c r="F32" s="168">
        <v>30047031</v>
      </c>
      <c r="G32" s="1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148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1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2" s="1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1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1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1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1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1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2" s="144"/>
      <c r="Q32" s="144"/>
      <c r="R32" s="144"/>
    </row>
    <row r="33" spans="1:18" ht="21" customHeight="1" x14ac:dyDescent="0.15">
      <c r="A33" s="38" t="str">
        <f t="shared" si="3"/>
        <v>30047011_30047032</v>
      </c>
      <c r="B33" s="174">
        <v>30047011</v>
      </c>
      <c r="C33" s="167">
        <v>30047032</v>
      </c>
      <c r="D33" s="182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ハウリングボイス</v>
      </c>
      <c r="E33" s="182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ハートパネルを青のダメージパネルに5個変換+_x000D_単体攻撃</v>
      </c>
      <c r="F33" s="167">
        <v>30047032</v>
      </c>
      <c r="G33" s="170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170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3" s="170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170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170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170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170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170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170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169"/>
      <c r="Q33" s="169"/>
      <c r="R33" s="169"/>
    </row>
    <row r="34" spans="1:18" ht="21" customHeight="1" thickBot="1" x14ac:dyDescent="0.2">
      <c r="A34" s="171" t="str">
        <f t="shared" si="3"/>
        <v>30047011_30047033</v>
      </c>
      <c r="B34" s="168">
        <v>30047011</v>
      </c>
      <c r="C34" s="168">
        <v>30047033</v>
      </c>
      <c r="D34" s="183" t="str">
        <f ca="1">VLOOKUP($C34,OFFSET(enemy_skills!$A$1,0,0,COUNTA(enemy_skills!$A:$A),MATCH(D$1,enemy_skills!$1:$1,0)-MATCH("enemy_skill_id",enemy_skills!$1:$1,0)+1),MATCH(D$1,enemy_skills!$1:$1,0)-MATCH("enemy_skill_id",enemy_skills!$1:$1,0)+1,FALSE)</f>
        <v>最後の意地</v>
      </c>
      <c r="E34" s="183" t="str">
        <f ca="1">VLOOKUP($C34,OFFSET(enemy_skills!$A$1,0,0,COUNTA(enemy_skills!$A:$A),MATCH(E$1,enemy_skills!$1:$1,0)-MATCH("enemy_skill_id",enemy_skills!$1:$1,0)+1),MATCH(E$1,enemy_skills!$1:$1,0)-MATCH("enemy_skill_id",enemy_skills!$1:$1,0)+1,FALSE)</f>
        <v>自身の攻撃力大UP</v>
      </c>
      <c r="F34" s="168">
        <v>30047033</v>
      </c>
      <c r="G34" s="1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1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4" s="1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1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4" s="1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1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1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1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1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144"/>
      <c r="Q34" s="144"/>
      <c r="R34" s="144"/>
    </row>
    <row r="35" spans="1:18" ht="21" customHeight="1" thickBot="1" x14ac:dyDescent="0.2">
      <c r="A35" s="38" t="str">
        <f t="shared" si="3"/>
        <v>30047012_30047034</v>
      </c>
      <c r="B35" s="207">
        <v>30047012</v>
      </c>
      <c r="C35" s="160">
        <v>30047034</v>
      </c>
      <c r="D35" s="187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リミッター解除</v>
      </c>
      <c r="E35" s="187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5" s="160">
        <v>30047034</v>
      </c>
      <c r="G35" s="173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173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173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173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173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173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173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5" s="173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173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172"/>
      <c r="Q35" s="172"/>
      <c r="R35" s="172"/>
    </row>
    <row r="36" spans="1:18" ht="21" customHeight="1" thickBot="1" x14ac:dyDescent="0.2">
      <c r="A36" s="171" t="str">
        <f t="shared" si="3"/>
        <v>30047013_30047035</v>
      </c>
      <c r="B36" s="175">
        <v>30047013</v>
      </c>
      <c r="C36" s="159">
        <v>30047035</v>
      </c>
      <c r="D36" s="182" t="str">
        <f ca="1">VLOOKUP($C36,OFFSET(enemy_skills!$A$1,0,0,COUNTA(enemy_skills!$A:$A),MATCH(D$1,enemy_skills!$1:$1,0)-MATCH("enemy_skill_id",enemy_skills!$1:$1,0)+1),MATCH(D$1,enemy_skills!$1:$1,0)-MATCH("enemy_skill_id",enemy_skills!$1:$1,0)+1,FALSE)</f>
        <v>鉄壁</v>
      </c>
      <c r="E36" s="182" t="str">
        <f ca="1">VLOOKUP($C36,OFFSET(enemy_skills!$A$1,0,0,COUNTA(enemy_skills!$A:$A),MATCH(E$1,enemy_skills!$1:$1,0)-MATCH("enemy_skill_id",enemy_skills!$1:$1,0)+1),MATCH(E$1,enemy_skills!$1:$1,0)-MATCH("enemy_skill_id",enemy_skills!$1:$1,0)+1,FALSE)</f>
        <v>自身の防御力激烈UP+状態異常耐性</v>
      </c>
      <c r="F36" s="159">
        <v>30047035</v>
      </c>
      <c r="G36" s="170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170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170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170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170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170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170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170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170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169"/>
      <c r="Q36" s="169"/>
      <c r="R36" s="169"/>
    </row>
    <row r="37" spans="1:18" ht="21" customHeight="1" thickBot="1" x14ac:dyDescent="0.2">
      <c r="A37" s="186" t="str">
        <f t="shared" si="3"/>
        <v>30047013_30047036</v>
      </c>
      <c r="B37" s="175">
        <v>30047013</v>
      </c>
      <c r="C37" s="159">
        <v>30047036</v>
      </c>
      <c r="D37" s="44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うなり声</v>
      </c>
      <c r="E37" s="44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緑パネルを緑のダメージパネルに4個変換</v>
      </c>
      <c r="F37" s="159">
        <v>30047036</v>
      </c>
      <c r="G37" s="46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6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7" s="46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6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6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6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6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6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6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5"/>
      <c r="Q37" s="45"/>
      <c r="R37" s="45"/>
    </row>
    <row r="38" spans="1:18" ht="21" customHeight="1" x14ac:dyDescent="0.15">
      <c r="A38" s="38" t="str">
        <f t="shared" si="3"/>
        <v>30047013_30047037</v>
      </c>
      <c r="B38" s="175">
        <v>30047013</v>
      </c>
      <c r="C38" s="159">
        <v>30047037</v>
      </c>
      <c r="D38" s="44" t="str">
        <f ca="1">VLOOKUP($C38,OFFSET(enemy_skills!$A$1,0,0,COUNTA(enemy_skills!$A:$A),MATCH(D$1,enemy_skills!$1:$1,0)-MATCH("enemy_skill_id",enemy_skills!$1:$1,0)+1),MATCH(D$1,enemy_skills!$1:$1,0)-MATCH("enemy_skill_id",enemy_skills!$1:$1,0)+1,FALSE)</f>
        <v>鼓舞の舞</v>
      </c>
      <c r="E38" s="44" t="str">
        <f ca="1">VLOOKUP($C38,OFFSET(enemy_skills!$A$1,0,0,COUNTA(enemy_skills!$A:$A),MATCH(E$1,enemy_skills!$1:$1,0)-MATCH("enemy_skill_id",enemy_skills!$1:$1,0)+1),MATCH(E$1,enemy_skills!$1:$1,0)-MATCH("enemy_skill_id",enemy_skills!$1:$1,0)+1,FALSE)</f>
        <v>2ターンユミルの攻撃力大UP</v>
      </c>
      <c r="F38" s="159">
        <v>30047037</v>
      </c>
      <c r="G38" s="46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6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8" s="46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6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6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6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6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8" s="46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6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5"/>
      <c r="Q38" s="45"/>
      <c r="R38" s="45"/>
    </row>
    <row r="39" spans="1:18" ht="21" customHeight="1" x14ac:dyDescent="0.15">
      <c r="A39" s="38" t="str">
        <f t="shared" si="3"/>
        <v>30047013_30047038</v>
      </c>
      <c r="B39" s="175">
        <v>30047013</v>
      </c>
      <c r="C39" s="159">
        <v>30047038</v>
      </c>
      <c r="D39" s="44" t="str">
        <f ca="1">VLOOKUP($C39,OFFSET(enemy_skills!$A$1,0,0,COUNTA(enemy_skills!$A:$A),MATCH(D$1,enemy_skills!$1:$1,0)-MATCH("enemy_skill_id",enemy_skills!$1:$1,0)+1),MATCH(D$1,enemy_skills!$1:$1,0)-MATCH("enemy_skill_id",enemy_skills!$1:$1,0)+1,FALSE)</f>
        <v>支配者の眼光</v>
      </c>
      <c r="E39" s="44" t="str">
        <f ca="1">VLOOKUP($C39,OFFSET(enemy_skills!$A$1,0,0,COUNTA(enemy_skills!$A:$A),MATCH(E$1,enemy_skills!$1:$1,0)-MATCH("enemy_skill_id",enemy_skills!$1:$1,0)+1),MATCH(E$1,enemy_skills!$1:$1,0)-MATCH("enemy_skill_id",enemy_skills!$1:$1,0)+1,FALSE)</f>
        <v>2ターン全ユニットの回復力50%DOWN</v>
      </c>
      <c r="F39" s="159">
        <v>30047038</v>
      </c>
      <c r="G39" s="46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6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9" s="46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6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6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6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6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9" s="46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6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5"/>
      <c r="Q39" s="45"/>
      <c r="R39" s="45"/>
    </row>
    <row r="40" spans="1:18" ht="21" customHeight="1" thickBot="1" x14ac:dyDescent="0.2">
      <c r="A40" s="171" t="str">
        <f t="shared" si="3"/>
        <v>30047013_30047039</v>
      </c>
      <c r="B40" s="160">
        <v>30047013</v>
      </c>
      <c r="C40" s="160">
        <v>30047039</v>
      </c>
      <c r="D40" s="183" t="str">
        <f ca="1">VLOOKUP($C40,OFFSET(enemy_skills!$A$1,0,0,COUNTA(enemy_skills!$A:$A),MATCH(D$1,enemy_skills!$1:$1,0)-MATCH("enemy_skill_id",enemy_skills!$1:$1,0)+1),MATCH(D$1,enemy_skills!$1:$1,0)-MATCH("enemy_skill_id",enemy_skills!$1:$1,0)+1,FALSE)</f>
        <v>脱皮</v>
      </c>
      <c r="E40" s="183" t="str">
        <f ca="1">VLOOKUP($C40,OFFSET(enemy_skills!$A$1,0,0,COUNTA(enemy_skills!$A:$A),MATCH(E$1,enemy_skills!$1:$1,0)-MATCH("enemy_skill_id",enemy_skills!$1:$1,0)+1),MATCH(E$1,enemy_skills!$1:$1,0)-MATCH("enemy_skill_id",enemy_skills!$1:$1,0)+1,FALSE)</f>
        <v>姿が変わっていく</v>
      </c>
      <c r="F40" s="160">
        <v>30047039</v>
      </c>
      <c r="G40" s="1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148" t="str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0" s="1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1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1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1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1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1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586</v>
      </c>
      <c r="O40" s="1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144"/>
      <c r="Q40" s="144"/>
      <c r="R40" s="144"/>
    </row>
    <row r="41" spans="1:18" ht="21" customHeight="1" x14ac:dyDescent="0.15">
      <c r="A41" s="38" t="str">
        <f t="shared" si="3"/>
        <v>30047014_30047040</v>
      </c>
      <c r="B41" s="175">
        <v>30047014</v>
      </c>
      <c r="C41" s="188">
        <v>30047040</v>
      </c>
      <c r="D41" s="182" t="str">
        <f ca="1">VLOOKUP($C41,OFFSET(enemy_skills!$A$1,0,0,COUNTA(enemy_skills!$A:$A),MATCH(D$1,enemy_skills!$1:$1,0)-MATCH("enemy_skill_id",enemy_skills!$1:$1,0)+1),MATCH(D$1,enemy_skills!$1:$1,0)-MATCH("enemy_skill_id",enemy_skills!$1:$1,0)+1,FALSE)</f>
        <v>威嚇</v>
      </c>
      <c r="E41" s="182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緑パネルを緑のダメージパネルに3個変換</v>
      </c>
      <c r="F41" s="188">
        <v>30047040</v>
      </c>
      <c r="G41" s="170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170" t="str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1" s="170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170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170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170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170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170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170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169"/>
      <c r="Q41" s="169"/>
      <c r="R41" s="169"/>
    </row>
    <row r="42" spans="1:18" ht="21" customHeight="1" x14ac:dyDescent="0.15">
      <c r="A42" s="38" t="str">
        <f t="shared" si="3"/>
        <v>30047014_30047041</v>
      </c>
      <c r="B42" s="175">
        <v>30047014</v>
      </c>
      <c r="C42" s="159">
        <v>30047041</v>
      </c>
      <c r="D42" s="44" t="str">
        <f ca="1">VLOOKUP($C42,OFFSET(enemy_skills!$A$1,0,0,COUNTA(enemy_skills!$A:$A),MATCH(D$1,enemy_skills!$1:$1,0)-MATCH("enemy_skill_id",enemy_skills!$1:$1,0)+1),MATCH(D$1,enemy_skills!$1:$1,0)-MATCH("enemy_skill_id",enemy_skills!$1:$1,0)+1,FALSE)</f>
        <v>丸呑み攻撃</v>
      </c>
      <c r="E42" s="44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ダメージパネルを吸収して攻撃(最大4個)</v>
      </c>
      <c r="F42" s="159">
        <v>30047041</v>
      </c>
      <c r="G42" s="46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6" t="str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2" s="46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6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6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6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6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6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6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5"/>
      <c r="Q42" s="45"/>
      <c r="R42" s="45"/>
    </row>
    <row r="43" spans="1:18" ht="21" customHeight="1" x14ac:dyDescent="0.15">
      <c r="A43" s="38" t="str">
        <f t="shared" si="3"/>
        <v>30047014_30047042</v>
      </c>
      <c r="B43" s="175">
        <v>30047014</v>
      </c>
      <c r="C43" s="159">
        <v>30047042</v>
      </c>
      <c r="D43" s="44" t="str">
        <f ca="1">VLOOKUP($C43,OFFSET(enemy_skills!$A$1,0,0,COUNTA(enemy_skills!$A:$A),MATCH(D$1,enemy_skills!$1:$1,0)-MATCH("enemy_skill_id",enemy_skills!$1:$1,0)+1),MATCH(D$1,enemy_skills!$1:$1,0)-MATCH("enemy_skill_id",enemy_skills!$1:$1,0)+1,FALSE)</f>
        <v>潜伏</v>
      </c>
      <c r="E43" s="44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緑パネルを緑のダメージパネルに5個変換</v>
      </c>
      <c r="F43" s="159">
        <v>30047042</v>
      </c>
      <c r="G43" s="46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6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3" s="46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6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6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6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6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3" s="46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6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5"/>
      <c r="Q43" s="45"/>
      <c r="R43" s="45"/>
    </row>
    <row r="44" spans="1:18" ht="21" customHeight="1" thickBot="1" x14ac:dyDescent="0.2">
      <c r="A44" s="171" t="str">
        <f t="shared" si="3"/>
        <v>30047014_30047043</v>
      </c>
      <c r="B44" s="160">
        <v>30047014</v>
      </c>
      <c r="C44" s="160">
        <v>30047043</v>
      </c>
      <c r="D44" s="183" t="str">
        <f ca="1">VLOOKUP($C44,OFFSET(enemy_skills!$A$1,0,0,COUNTA(enemy_skills!$A:$A),MATCH(D$1,enemy_skills!$1:$1,0)-MATCH("enemy_skill_id",enemy_skills!$1:$1,0)+1),MATCH(D$1,enemy_skills!$1:$1,0)-MATCH("enemy_skill_id",enemy_skills!$1:$1,0)+1,FALSE)</f>
        <v>丸呑み攻撃</v>
      </c>
      <c r="E44" s="183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ダメージパネルを吸収して攻撃(最大4個)</v>
      </c>
      <c r="F44" s="160">
        <v>30047043</v>
      </c>
      <c r="G44" s="1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1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4" s="1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1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1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1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1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4" s="1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1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144"/>
      <c r="Q44" s="144"/>
      <c r="R44" s="144"/>
    </row>
    <row r="45" spans="1:18" ht="21" customHeight="1" x14ac:dyDescent="0.15">
      <c r="A45" s="38" t="str">
        <f t="shared" si="3"/>
        <v>30047015_30047044</v>
      </c>
      <c r="B45" s="178">
        <v>30047015</v>
      </c>
      <c r="C45" s="178">
        <v>30047044</v>
      </c>
      <c r="D45" s="182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ボクの音を聴いていきなよ</v>
      </c>
      <c r="E45" s="182" t="str">
        <f ca="1">VLOOKUP($C45,OFFSET(enemy_skills!$A$1,0,0,COUNTA(enemy_skills!$A:$A),MATCH(E$1,enemy_skills!$1:$1,0)-MATCH("enemy_skill_id",enemy_skills!$1:$1,0)+1),MATCH(E$1,enemy_skills!$1:$1,0)-MATCH("enemy_skill_id",enemy_skills!$1:$1,0)+1,FALSE)</f>
        <v>青パネルドロップ率UP</v>
      </c>
      <c r="F45" s="178">
        <v>30047044</v>
      </c>
      <c r="G45" s="170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170" t="str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5" s="170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170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170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170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170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170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170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169"/>
      <c r="Q45" s="169"/>
      <c r="R45" s="169"/>
    </row>
    <row r="46" spans="1:18" ht="21" customHeight="1" x14ac:dyDescent="0.15">
      <c r="A46" s="38" t="str">
        <f t="shared" si="3"/>
        <v>30047015_30047045</v>
      </c>
      <c r="B46" s="178">
        <v>30047015</v>
      </c>
      <c r="C46" s="178">
        <v>30047045</v>
      </c>
      <c r="D46" s="44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ラグナロクを呼び起こそう</v>
      </c>
      <c r="E46" s="44" t="str">
        <f ca="1">VLOOKUP($C46,OFFSET(enemy_skills!$A$1,0,0,COUNTA(enemy_skills!$A:$A),MATCH(E$1,enemy_skills!$1:$1,0)-MATCH("enemy_skill_id",enemy_skills!$1:$1,0)+1),MATCH(E$1,enemy_skills!$1:$1,0)-MATCH("enemy_skill_id",enemy_skills!$1:$1,0)+1,FALSE)</f>
        <v>青パネルを青のダメージパネルに3個変換</v>
      </c>
      <c r="F46" s="178">
        <v>30047045</v>
      </c>
      <c r="G46" s="46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6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6" s="46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6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6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6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6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46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6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5"/>
      <c r="Q46" s="45"/>
      <c r="R46" s="45"/>
    </row>
    <row r="47" spans="1:18" ht="21" customHeight="1" x14ac:dyDescent="0.15">
      <c r="A47" s="38" t="str">
        <f t="shared" si="3"/>
        <v>30047015_30047046</v>
      </c>
      <c r="B47" s="178">
        <v>30047015</v>
      </c>
      <c r="C47" s="178">
        <v>30047046</v>
      </c>
      <c r="D47" s="44" t="str">
        <f ca="1">VLOOKUP($C47,OFFSET(enemy_skills!$A$1,0,0,COUNTA(enemy_skills!$A:$A),MATCH(D$1,enemy_skills!$1:$1,0)-MATCH("enemy_skill_id",enemy_skills!$1:$1,0)+1),MATCH(D$1,enemy_skills!$1:$1,0)-MATCH("enemy_skill_id",enemy_skills!$1:$1,0)+1,FALSE)</f>
        <v>壊れろ…壊れろ…壊れろ…</v>
      </c>
      <c r="E47" s="44" t="str">
        <f ca="1">VLOOKUP($C47,OFFSET(enemy_skills!$A$1,0,0,COUNTA(enemy_skills!$A:$A),MATCH(E$1,enemy_skills!$1:$1,0)-MATCH("enemy_skill_id",enemy_skills!$1:$1,0)+1),MATCH(E$1,enemy_skills!$1:$1,0)-MATCH("enemy_skill_id",enemy_skills!$1:$1,0)+1,FALSE)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47" s="178">
        <v>30047046</v>
      </c>
      <c r="G47" s="46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6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7" s="46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7" s="46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6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6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6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6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6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7" s="45"/>
      <c r="Q47" s="45"/>
      <c r="R47" s="45"/>
    </row>
    <row r="48" spans="1:18" ht="21" customHeight="1" x14ac:dyDescent="0.15">
      <c r="A48" s="38" t="str">
        <f t="shared" si="3"/>
        <v>30047015_30047047</v>
      </c>
      <c r="B48" s="178">
        <v>30047015</v>
      </c>
      <c r="C48" s="178">
        <v>30047047</v>
      </c>
      <c r="D48" s="44" t="str">
        <f ca="1">VLOOKUP($C48,OFFSET(enemy_skills!$A$1,0,0,COUNTA(enemy_skills!$A:$A),MATCH(D$1,enemy_skills!$1:$1,0)-MATCH("enemy_skill_id",enemy_skills!$1:$1,0)+1),MATCH(D$1,enemy_skills!$1:$1,0)-MATCH("enemy_skill_id",enemy_skills!$1:$1,0)+1,FALSE)</f>
        <v>破滅を呼び起こそう</v>
      </c>
      <c r="E48" s="44" t="str">
        <f ca="1">VLOOKUP($C48,OFFSET(enemy_skills!$A$1,0,0,COUNTA(enemy_skills!$A:$A),MATCH(E$1,enemy_skills!$1:$1,0)-MATCH("enemy_skill_id",enemy_skills!$1:$1,0)+1),MATCH(E$1,enemy_skills!$1:$1,0)-MATCH("enemy_skill_id",enemy_skills!$1:$1,0)+1,FALSE)</f>
        <v>青パネルを青のダメージパネルに3個変換+_x000D_単体攻撃</v>
      </c>
      <c r="F48" s="178">
        <v>30047047</v>
      </c>
      <c r="G48" s="46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6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8" s="46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6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6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6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6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8" s="46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6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5"/>
      <c r="Q48" s="45"/>
      <c r="R48" s="45"/>
    </row>
    <row r="49" spans="1:18" ht="21" customHeight="1" x14ac:dyDescent="0.15">
      <c r="A49" s="38" t="str">
        <f t="shared" si="3"/>
        <v>30047015_30047048</v>
      </c>
      <c r="B49" s="178">
        <v>30047015</v>
      </c>
      <c r="C49" s="178">
        <v>30047048</v>
      </c>
      <c r="D49" s="44" t="str">
        <f ca="1">VLOOKUP($C49,OFFSET(enemy_skills!$A$1,0,0,COUNTA(enemy_skills!$A:$A),MATCH(D$1,enemy_skills!$1:$1,0)-MATCH("enemy_skill_id",enemy_skills!$1:$1,0)+1),MATCH(D$1,enemy_skills!$1:$1,0)-MATCH("enemy_skill_id",enemy_skills!$1:$1,0)+1,FALSE)</f>
        <v>破滅を呼び起こそう</v>
      </c>
      <c r="E49" s="44" t="str">
        <f ca="1">VLOOKUP($C49,OFFSET(enemy_skills!$A$1,0,0,COUNTA(enemy_skills!$A:$A),MATCH(E$1,enemy_skills!$1:$1,0)-MATCH("enemy_skill_id",enemy_skills!$1:$1,0)+1),MATCH(E$1,enemy_skills!$1:$1,0)-MATCH("enemy_skill_id",enemy_skills!$1:$1,0)+1,FALSE)</f>
        <v>青パネルを青のダメージパネルに3個変換+_x000D_単体攻撃</v>
      </c>
      <c r="F49" s="178">
        <v>30047048</v>
      </c>
      <c r="G49" s="46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6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9" s="46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6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9" s="46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6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6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9" s="46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6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5"/>
      <c r="Q49" s="45"/>
      <c r="R49" s="45"/>
    </row>
    <row r="50" spans="1:18" ht="21" customHeight="1" thickBot="1" x14ac:dyDescent="0.2">
      <c r="A50" s="171" t="str">
        <f t="shared" si="3"/>
        <v>30047015_30047049</v>
      </c>
      <c r="B50" s="158">
        <v>30047015</v>
      </c>
      <c r="C50" s="158">
        <v>30047049</v>
      </c>
      <c r="D50" s="183" t="str">
        <f ca="1">VLOOKUP($C50,OFFSET(enemy_skills!$A$1,0,0,COUNTA(enemy_skills!$A:$A),MATCH(D$1,enemy_skills!$1:$1,0)-MATCH("enemy_skill_id",enemy_skills!$1:$1,0)+1),MATCH(D$1,enemy_skills!$1:$1,0)-MATCH("enemy_skill_id",enemy_skills!$1:$1,0)+1,FALSE)</f>
        <v>破滅を呼び起こそう</v>
      </c>
      <c r="E50" s="183" t="str">
        <f ca="1">VLOOKUP($C50,OFFSET(enemy_skills!$A$1,0,0,COUNTA(enemy_skills!$A:$A),MATCH(E$1,enemy_skills!$1:$1,0)-MATCH("enemy_skill_id",enemy_skills!$1:$1,0)+1),MATCH(E$1,enemy_skills!$1:$1,0)-MATCH("enemy_skill_id",enemy_skills!$1:$1,0)+1,FALSE)</f>
        <v>青パネルを青のダメージパネルに3個変換+_x000D_単体攻撃</v>
      </c>
      <c r="F50" s="158">
        <v>30047049</v>
      </c>
      <c r="G50" s="1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1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0" s="1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148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50" s="1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1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1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1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1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144"/>
      <c r="Q50" s="144"/>
      <c r="R50" s="144"/>
    </row>
    <row r="51" spans="1:18" ht="21" customHeight="1" x14ac:dyDescent="0.15">
      <c r="A51" s="38" t="str">
        <f t="shared" ref="A51:A82" si="4">B51&amp;"_"&amp;C51</f>
        <v>30047016_30047050</v>
      </c>
      <c r="B51" s="178">
        <v>30047016</v>
      </c>
      <c r="C51" s="178">
        <v>30047050</v>
      </c>
      <c r="D51" s="182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そんな雑音聞かせるな</v>
      </c>
      <c r="E51" s="182" t="str">
        <f ca="1">VLOOKUP($C51,OFFSET(enemy_skills!$A$1,0,0,COUNTA(enemy_skills!$A:$A),MATCH(E$1,enemy_skills!$1:$1,0)-MATCH("enemy_skill_id",enemy_skills!$1:$1,0)+1),MATCH(E$1,enemy_skills!$1:$1,0)-MATCH("enemy_skill_id",enemy_skills!$1:$1,0)+1,FALSE)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51" s="178">
        <v>30047050</v>
      </c>
      <c r="G51" s="170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170" t="str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1" s="170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170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170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170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170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170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170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169"/>
      <c r="Q51" s="169"/>
      <c r="R51" s="169"/>
    </row>
    <row r="52" spans="1:18" ht="21" customHeight="1" x14ac:dyDescent="0.15">
      <c r="A52" s="38" t="str">
        <f t="shared" si="4"/>
        <v>30047016_30047051</v>
      </c>
      <c r="B52" s="178">
        <v>30047016</v>
      </c>
      <c r="C52" s="178">
        <v>30047051</v>
      </c>
      <c r="D52" s="44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キミはボクの音に耐えられる？</v>
      </c>
      <c r="E52" s="44" t="str">
        <f ca="1">VLOOKUP($C52,OFFSET(enemy_skills!$A$1,0,0,COUNTA(enemy_skills!$A:$A),MATCH(E$1,enemy_skills!$1:$1,0)-MATCH("enemy_skill_id",enemy_skills!$1:$1,0)+1),MATCH(E$1,enemy_skills!$1:$1,0)-MATCH("enemy_skill_id",enemy_skills!$1:$1,0)+1,FALSE)</f>
        <v>3ターン全ユニットの回復力50%DOWN+_x000D_単体攻撃</v>
      </c>
      <c r="F52" s="178">
        <v>30047051</v>
      </c>
      <c r="G52" s="46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6" t="str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2" s="46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6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6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6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6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2" s="46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6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5"/>
      <c r="Q52" s="45"/>
      <c r="R52" s="45"/>
    </row>
    <row r="53" spans="1:18" ht="21" customHeight="1" x14ac:dyDescent="0.15">
      <c r="A53" s="38" t="str">
        <f t="shared" si="4"/>
        <v>30047016_30047052</v>
      </c>
      <c r="B53" s="178">
        <v>30047016</v>
      </c>
      <c r="C53" s="178">
        <v>30047052</v>
      </c>
      <c r="D53" s="44" t="str">
        <f ca="1">VLOOKUP($C53,OFFSET(enemy_skills!$A$1,0,0,COUNTA(enemy_skills!$A:$A),MATCH(D$1,enemy_skills!$1:$1,0)-MATCH("enemy_skill_id",enemy_skills!$1:$1,0)+1),MATCH(D$1,enemy_skills!$1:$1,0)-MATCH("enemy_skill_id",enemy_skills!$1:$1,0)+1,FALSE)</f>
        <v>響き渡れ…</v>
      </c>
      <c r="E53" s="44" t="str">
        <f ca="1">VLOOKUP($C53,OFFSET(enemy_skills!$A$1,0,0,COUNTA(enemy_skills!$A:$A),MATCH(E$1,enemy_skills!$1:$1,0)-MATCH("enemy_skill_id",enemy_skills!$1:$1,0)+1),MATCH(E$1,enemy_skills!$1:$1,0)-MATCH("enemy_skill_id",enemy_skills!$1:$1,0)+1,FALSE)</f>
        <v>赤・黄・緑パネルを吸収して攻撃</v>
      </c>
      <c r="F53" s="178">
        <v>30047052</v>
      </c>
      <c r="G53" s="46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6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3" s="46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6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6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6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6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3" s="46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6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5"/>
      <c r="Q53" s="45"/>
      <c r="R53" s="45"/>
    </row>
    <row r="54" spans="1:18" ht="21" customHeight="1" x14ac:dyDescent="0.15">
      <c r="A54" s="38" t="str">
        <f t="shared" si="4"/>
        <v>30047016_30047053</v>
      </c>
      <c r="B54" s="178">
        <v>30047016</v>
      </c>
      <c r="C54" s="178">
        <v>30047053</v>
      </c>
      <c r="D54" s="44" t="str">
        <f ca="1">VLOOKUP($C54,OFFSET(enemy_skills!$A$1,0,0,COUNTA(enemy_skills!$A:$A),MATCH(D$1,enemy_skills!$1:$1,0)-MATCH("enemy_skill_id",enemy_skills!$1:$1,0)+1),MATCH(D$1,enemy_skills!$1:$1,0)-MATCH("enemy_skill_id",enemy_skills!$1:$1,0)+1,FALSE)</f>
        <v>破滅の時間だ</v>
      </c>
      <c r="E54" s="44" t="str">
        <f ca="1">VLOOKUP($C54,OFFSET(enemy_skills!$A$1,0,0,COUNTA(enemy_skills!$A:$A),MATCH(E$1,enemy_skills!$1:$1,0)-MATCH("enemy_skill_id",enemy_skills!$1:$1,0)+1),MATCH(E$1,enemy_skills!$1:$1,0)-MATCH("enemy_skill_id",enemy_skills!$1:$1,0)+1,FALSE)</f>
        <v>青パネルを青のダメージパネルに5個変換</v>
      </c>
      <c r="F54" s="178">
        <v>30047053</v>
      </c>
      <c r="G54" s="46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6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4" s="46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6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6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6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6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4" s="46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6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5"/>
      <c r="Q54" s="45"/>
      <c r="R54" s="45"/>
    </row>
    <row r="55" spans="1:18" ht="21" customHeight="1" thickBot="1" x14ac:dyDescent="0.2">
      <c r="A55" s="171" t="str">
        <f t="shared" si="4"/>
        <v>30047016_30047054</v>
      </c>
      <c r="B55" s="158">
        <v>30047016</v>
      </c>
      <c r="C55" s="158">
        <v>30047054</v>
      </c>
      <c r="D55" s="183" t="str">
        <f ca="1">VLOOKUP($C55,OFFSET(enemy_skills!$A$1,0,0,COUNTA(enemy_skills!$A:$A),MATCH(D$1,enemy_skills!$1:$1,0)-MATCH("enemy_skill_id",enemy_skills!$1:$1,0)+1),MATCH(D$1,enemy_skills!$1:$1,0)-MATCH("enemy_skill_id",enemy_skills!$1:$1,0)+1,FALSE)</f>
        <v>美しい音色が…崩れる…</v>
      </c>
      <c r="E55" s="183" t="str">
        <f ca="1">VLOOKUP($C55,OFFSET(enemy_skills!$A$1,0,0,COUNTA(enemy_skills!$A:$A),MATCH(E$1,enemy_skills!$1:$1,0)-MATCH("enemy_skill_id",enemy_skills!$1:$1,0)+1),MATCH(E$1,enemy_skills!$1:$1,0)-MATCH("enemy_skill_id",enemy_skills!$1:$1,0)+1,FALSE)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55" s="158">
        <v>30047054</v>
      </c>
      <c r="G55" s="46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6" t="str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5" s="46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6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6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6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5" s="46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6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5" s="46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5"/>
      <c r="Q55" s="45"/>
      <c r="R55" s="45"/>
    </row>
    <row r="56" spans="1:18" ht="21" customHeight="1" thickBot="1" x14ac:dyDescent="0.2">
      <c r="A56" s="171" t="str">
        <f t="shared" si="4"/>
        <v>30047017_30047055</v>
      </c>
      <c r="B56" s="219">
        <v>30047017</v>
      </c>
      <c r="C56" s="217">
        <v>30047055</v>
      </c>
      <c r="D56" s="44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ちょっといいか？_x000D_調査結果が出たんだ</v>
      </c>
      <c r="E56" s="44" t="str">
        <f ca="1">VLOOKUP($C56,OFFSET(enemy_skills!$A$1,0,0,COUNTA(enemy_skills!$A:$A),MATCH(E$1,enemy_skills!$1:$1,0)-MATCH("enemy_skill_id",enemy_skills!$1:$1,0)+1),MATCH(E$1,enemy_skills!$1:$1,0)-MATCH("enemy_skill_id",enemy_skills!$1:$1,0)+1,FALSE)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56" s="217">
        <v>30047055</v>
      </c>
      <c r="G56" s="46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6" t="str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6" s="46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6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6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6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6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6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6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5"/>
      <c r="Q56" s="45"/>
      <c r="R56" s="45"/>
    </row>
    <row r="57" spans="1:18" ht="21" customHeight="1" thickBot="1" x14ac:dyDescent="0.2">
      <c r="A57" s="38" t="str">
        <f t="shared" si="4"/>
        <v>30047017_30047056</v>
      </c>
      <c r="B57" s="218">
        <v>30047017</v>
      </c>
      <c r="C57" s="156">
        <v>30047056</v>
      </c>
      <c r="D57" s="183" t="str">
        <f ca="1">VLOOKUP($C57,OFFSET(enemy_skills!$A$1,0,0,COUNTA(enemy_skills!$A:$A),MATCH(D$1,enemy_skills!$1:$1,0)-MATCH("enemy_skill_id",enemy_skills!$1:$1,0)+1),MATCH(D$1,enemy_skills!$1:$1,0)-MATCH("enemy_skill_id",enemy_skills!$1:$1,0)+1,FALSE)</f>
        <v>心が強ければ相手の攻撃を耐えられる！</v>
      </c>
      <c r="E57" s="183" t="str">
        <f ca="1">VLOOKUP($C57,OFFSET(enemy_skills!$A$1,0,0,COUNTA(enemy_skills!$A:$A),MATCH(E$1,enemy_skills!$1:$1,0)-MATCH("enemy_skill_id",enemy_skills!$1:$1,0)+1),MATCH(E$1,enemy_skills!$1:$1,0)-MATCH("enemy_skill_id",enemy_skills!$1:$1,0)+1,FALSE)</f>
        <v>全パネルをハートパネルに変換+_x000D_ハートパネルドロップ率UP+撤退</v>
      </c>
      <c r="F57" s="156">
        <v>30047056</v>
      </c>
      <c r="G57" s="1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148" t="str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7" s="1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1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1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1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1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1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1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144"/>
      <c r="Q57" s="144"/>
      <c r="R57" s="144"/>
    </row>
    <row r="58" spans="1:18" ht="21" customHeight="1" thickBot="1" x14ac:dyDescent="0.2">
      <c r="A58" s="171" t="str">
        <f t="shared" si="4"/>
        <v>30047018_30047057</v>
      </c>
      <c r="B58" s="174">
        <v>30047018</v>
      </c>
      <c r="C58" s="167">
        <v>30047057</v>
      </c>
      <c r="D58" s="182" t="str">
        <f ca="1">VLOOKUP($C58,OFFSET(enemy_skills!$A$1,0,0,COUNTA(enemy_skills!$A:$A),MATCH(D$1,enemy_skills!$1:$1,0)-MATCH("enemy_skill_id",enemy_skills!$1:$1,0)+1),MATCH(D$1,enemy_skills!$1:$1,0)-MATCH("enemy_skill_id",enemy_skills!$1:$1,0)+1,FALSE)</f>
        <v>破壊工作</v>
      </c>
      <c r="E58" s="182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ハートパネルを青のダメージパネルに23個変換</v>
      </c>
      <c r="F58" s="167">
        <v>30047057</v>
      </c>
      <c r="G58" s="170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170" t="str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8" s="170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170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170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170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170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170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170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169"/>
      <c r="Q58" s="169"/>
      <c r="R58" s="169"/>
    </row>
    <row r="59" spans="1:18" ht="21" customHeight="1" thickBot="1" x14ac:dyDescent="0.2">
      <c r="A59" s="38" t="str">
        <f t="shared" si="4"/>
        <v>30047018_30047058</v>
      </c>
      <c r="B59" s="168">
        <v>30047018</v>
      </c>
      <c r="C59" s="168">
        <v>30047058</v>
      </c>
      <c r="D59" s="183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ブルーキラー</v>
      </c>
      <c r="E59" s="183" t="str">
        <f ca="1">VLOOKUP($C59,OFFSET(enemy_skills!$A$1,0,0,COUNTA(enemy_skills!$A:$A),MATCH(E$1,enemy_skills!$1:$1,0)-MATCH("enemy_skill_id",enemy_skills!$1:$1,0)+1),MATCH(E$1,enemy_skills!$1:$1,0)-MATCH("enemy_skill_id",enemy_skills!$1:$1,0)+1,FALSE)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青属性のユニットに大ダメージの単体攻撃</v>
      </c>
      <c r="F59" s="168">
        <v>30047058</v>
      </c>
      <c r="G59" s="1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148" t="str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9" s="1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9" s="1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1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148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1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9" s="1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1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9" s="144"/>
      <c r="Q59" s="144"/>
      <c r="R59" s="144"/>
    </row>
    <row r="60" spans="1:18" ht="21" customHeight="1" x14ac:dyDescent="0.15">
      <c r="A60" s="38" t="str">
        <f t="shared" si="4"/>
        <v>30047019_30047059</v>
      </c>
      <c r="B60" s="174">
        <v>30047019</v>
      </c>
      <c r="C60" s="189">
        <v>30047059</v>
      </c>
      <c r="D60" s="182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ハウリングボイス</v>
      </c>
      <c r="E60" s="182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ハートパネルを青のダメージパネルに5個変換+_x000D_単体攻撃</v>
      </c>
      <c r="F60" s="189">
        <v>30047059</v>
      </c>
      <c r="G60" s="170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170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0" s="170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170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170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170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170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170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170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169"/>
      <c r="Q60" s="169"/>
      <c r="R60" s="169"/>
    </row>
    <row r="61" spans="1:18" ht="21" customHeight="1" thickBot="1" x14ac:dyDescent="0.2">
      <c r="A61" s="171" t="str">
        <f t="shared" si="4"/>
        <v>30047019_30047060</v>
      </c>
      <c r="B61" s="174">
        <v>30047019</v>
      </c>
      <c r="C61" s="168">
        <v>30047060</v>
      </c>
      <c r="D61" s="183" t="str">
        <f ca="1">VLOOKUP($C61,OFFSET(enemy_skills!$A$1,0,0,COUNTA(enemy_skills!$A:$A),MATCH(D$1,enemy_skills!$1:$1,0)-MATCH("enemy_skill_id",enemy_skills!$1:$1,0)+1),MATCH(D$1,enemy_skills!$1:$1,0)-MATCH("enemy_skill_id",enemy_skills!$1:$1,0)+1,FALSE)</f>
        <v>最後の意地</v>
      </c>
      <c r="E61" s="183" t="str">
        <f ca="1">VLOOKUP($C61,OFFSET(enemy_skills!$A$1,0,0,COUNTA(enemy_skills!$A:$A),MATCH(E$1,enemy_skills!$1:$1,0)-MATCH("enemy_skill_id",enemy_skills!$1:$1,0)+1),MATCH(E$1,enemy_skills!$1:$1,0)-MATCH("enemy_skill_id",enemy_skills!$1:$1,0)+1,FALSE)</f>
        <v>自身の攻撃力大UP</v>
      </c>
      <c r="F61" s="168">
        <v>30047060</v>
      </c>
      <c r="G61" s="1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1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1" s="1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148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61" s="1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1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1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1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1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144"/>
      <c r="Q61" s="144"/>
      <c r="R61" s="144"/>
    </row>
    <row r="62" spans="1:18" ht="21" customHeight="1" thickBot="1" x14ac:dyDescent="0.2">
      <c r="A62" s="38" t="str">
        <f t="shared" si="4"/>
        <v>30047020_30047061</v>
      </c>
      <c r="B62" s="207">
        <v>30047020</v>
      </c>
      <c r="C62" s="176">
        <v>30047061</v>
      </c>
      <c r="D62" s="187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リミッター解除</v>
      </c>
      <c r="E62" s="187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62" s="176">
        <v>30047061</v>
      </c>
      <c r="G62" s="173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173" t="str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2" s="173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173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173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173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173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2" s="173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173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172"/>
      <c r="Q62" s="172"/>
      <c r="R62" s="172"/>
    </row>
    <row r="63" spans="1:18" ht="21" customHeight="1" thickBot="1" x14ac:dyDescent="0.2">
      <c r="A63" s="171" t="str">
        <f t="shared" si="4"/>
        <v>30047021_30047062</v>
      </c>
      <c r="B63" s="175">
        <v>30047021</v>
      </c>
      <c r="C63" s="159">
        <v>30047062</v>
      </c>
      <c r="D63" s="182" t="str">
        <f ca="1">VLOOKUP($C63,OFFSET(enemy_skills!$A$1,0,0,COUNTA(enemy_skills!$A:$A),MATCH(D$1,enemy_skills!$1:$1,0)-MATCH("enemy_skill_id",enemy_skills!$1:$1,0)+1),MATCH(D$1,enemy_skills!$1:$1,0)-MATCH("enemy_skill_id",enemy_skills!$1:$1,0)+1,FALSE)</f>
        <v>鉄壁</v>
      </c>
      <c r="E63" s="182" t="str">
        <f ca="1">VLOOKUP($C63,OFFSET(enemy_skills!$A$1,0,0,COUNTA(enemy_skills!$A:$A),MATCH(E$1,enemy_skills!$1:$1,0)-MATCH("enemy_skill_id",enemy_skills!$1:$1,0)+1),MATCH(E$1,enemy_skills!$1:$1,0)-MATCH("enemy_skill_id",enemy_skills!$1:$1,0)+1,FALSE)</f>
        <v>自身の防御力激烈UP+状態異常耐性</v>
      </c>
      <c r="F63" s="159">
        <v>30047062</v>
      </c>
      <c r="G63" s="170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170" t="str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3" s="170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170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170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170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170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170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170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169"/>
      <c r="Q63" s="169"/>
      <c r="R63" s="169"/>
    </row>
    <row r="64" spans="1:18" ht="21" customHeight="1" thickBot="1" x14ac:dyDescent="0.2">
      <c r="A64" s="186" t="str">
        <f t="shared" si="4"/>
        <v>30047021_30047063</v>
      </c>
      <c r="B64" s="175">
        <v>30047021</v>
      </c>
      <c r="C64" s="159">
        <v>30047063</v>
      </c>
      <c r="D64" s="44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うなり声</v>
      </c>
      <c r="E64" s="44" t="str">
        <f ca="1">VLOOKUP($C64,OFFSET(enemy_skills!$A$1,0,0,COUNTA(enemy_skills!$A:$A),MATCH(E$1,enemy_skills!$1:$1,0)-MATCH("enemy_skill_id",enemy_skills!$1:$1,0)+1),MATCH(E$1,enemy_skills!$1:$1,0)-MATCH("enemy_skill_id",enemy_skills!$1:$1,0)+1,FALSE)</f>
        <v>緑パネルを緑のダメージパネルに4個変換</v>
      </c>
      <c r="F64" s="159">
        <v>30047063</v>
      </c>
      <c r="G64" s="46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6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4" s="46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6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6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6" t="str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4" s="46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4" s="46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6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5"/>
      <c r="Q64" s="45"/>
      <c r="R64" s="45"/>
    </row>
    <row r="65" spans="1:18" ht="21" customHeight="1" x14ac:dyDescent="0.15">
      <c r="A65" s="38" t="str">
        <f t="shared" si="4"/>
        <v>30047021_30047064</v>
      </c>
      <c r="B65" s="175">
        <v>30047021</v>
      </c>
      <c r="C65" s="159">
        <v>30047064</v>
      </c>
      <c r="D65" s="44" t="str">
        <f ca="1">VLOOKUP($C65,OFFSET(enemy_skills!$A$1,0,0,COUNTA(enemy_skills!$A:$A),MATCH(D$1,enemy_skills!$1:$1,0)-MATCH("enemy_skill_id",enemy_skills!$1:$1,0)+1),MATCH(D$1,enemy_skills!$1:$1,0)-MATCH("enemy_skill_id",enemy_skills!$1:$1,0)+1,FALSE)</f>
        <v>鼓舞の舞</v>
      </c>
      <c r="E65" s="44" t="str">
        <f ca="1">VLOOKUP($C65,OFFSET(enemy_skills!$A$1,0,0,COUNTA(enemy_skills!$A:$A),MATCH(E$1,enemy_skills!$1:$1,0)-MATCH("enemy_skill_id",enemy_skills!$1:$1,0)+1),MATCH(E$1,enemy_skills!$1:$1,0)-MATCH("enemy_skill_id",enemy_skills!$1:$1,0)+1,FALSE)</f>
        <v>2ターンユミルの攻撃力大UP</v>
      </c>
      <c r="F65" s="159">
        <v>30047064</v>
      </c>
      <c r="G65" s="46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6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5" s="46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6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6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6" t="str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5" s="46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5" s="46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6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5"/>
      <c r="Q65" s="45"/>
      <c r="R65" s="45"/>
    </row>
    <row r="66" spans="1:18" ht="21" customHeight="1" x14ac:dyDescent="0.15">
      <c r="A66" s="38" t="str">
        <f t="shared" si="4"/>
        <v>30047021_30047065</v>
      </c>
      <c r="B66" s="175">
        <v>30047021</v>
      </c>
      <c r="C66" s="159">
        <v>30047065</v>
      </c>
      <c r="D66" s="44" t="str">
        <f ca="1">VLOOKUP($C66,OFFSET(enemy_skills!$A$1,0,0,COUNTA(enemy_skills!$A:$A),MATCH(D$1,enemy_skills!$1:$1,0)-MATCH("enemy_skill_id",enemy_skills!$1:$1,0)+1),MATCH(D$1,enemy_skills!$1:$1,0)-MATCH("enemy_skill_id",enemy_skills!$1:$1,0)+1,FALSE)</f>
        <v>支配者の眼光</v>
      </c>
      <c r="E66" s="44" t="str">
        <f ca="1">VLOOKUP($C66,OFFSET(enemy_skills!$A$1,0,0,COUNTA(enemy_skills!$A:$A),MATCH(E$1,enemy_skills!$1:$1,0)-MATCH("enemy_skill_id",enemy_skills!$1:$1,0)+1),MATCH(E$1,enemy_skills!$1:$1,0)-MATCH("enemy_skill_id",enemy_skills!$1:$1,0)+1,FALSE)</f>
        <v>2ターン全ユニットの回復力50%DOWN</v>
      </c>
      <c r="F66" s="159">
        <v>30047065</v>
      </c>
      <c r="G66" s="46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6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6" s="46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6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6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6" t="str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6" s="46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6" s="46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6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5"/>
      <c r="Q66" s="45"/>
      <c r="R66" s="45"/>
    </row>
    <row r="67" spans="1:18" ht="21" customHeight="1" thickBot="1" x14ac:dyDescent="0.2">
      <c r="A67" s="171" t="str">
        <f t="shared" si="4"/>
        <v>30047021_30047066</v>
      </c>
      <c r="B67" s="160">
        <v>30047021</v>
      </c>
      <c r="C67" s="160">
        <v>30047066</v>
      </c>
      <c r="D67" s="183" t="str">
        <f ca="1">VLOOKUP($C67,OFFSET(enemy_skills!$A$1,0,0,COUNTA(enemy_skills!$A:$A),MATCH(D$1,enemy_skills!$1:$1,0)-MATCH("enemy_skill_id",enemy_skills!$1:$1,0)+1),MATCH(D$1,enemy_skills!$1:$1,0)-MATCH("enemy_skill_id",enemy_skills!$1:$1,0)+1,FALSE)</f>
        <v>脱皮</v>
      </c>
      <c r="E67" s="183" t="str">
        <f ca="1">VLOOKUP($C67,OFFSET(enemy_skills!$A$1,0,0,COUNTA(enemy_skills!$A:$A),MATCH(E$1,enemy_skills!$1:$1,0)-MATCH("enemy_skill_id",enemy_skills!$1:$1,0)+1),MATCH(E$1,enemy_skills!$1:$1,0)-MATCH("enemy_skill_id",enemy_skills!$1:$1,0)+1,FALSE)</f>
        <v>姿が変わっていく</v>
      </c>
      <c r="F67" s="160">
        <v>30047066</v>
      </c>
      <c r="G67" s="1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148" t="str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7" s="1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1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1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148" t="str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7" s="1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1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586</v>
      </c>
      <c r="O67" s="1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144"/>
      <c r="Q67" s="144"/>
      <c r="R67" s="144"/>
    </row>
    <row r="68" spans="1:18" ht="21" customHeight="1" x14ac:dyDescent="0.15">
      <c r="A68" s="38" t="str">
        <f t="shared" si="4"/>
        <v>30047022_30047067</v>
      </c>
      <c r="B68" s="175">
        <v>30047022</v>
      </c>
      <c r="C68" s="188">
        <v>30047067</v>
      </c>
      <c r="D68" s="182" t="str">
        <f ca="1">VLOOKUP($C68,OFFSET(enemy_skills!$A$1,0,0,COUNTA(enemy_skills!$A:$A),MATCH(D$1,enemy_skills!$1:$1,0)-MATCH("enemy_skill_id",enemy_skills!$1:$1,0)+1),MATCH(D$1,enemy_skills!$1:$1,0)-MATCH("enemy_skill_id",enemy_skills!$1:$1,0)+1,FALSE)</f>
        <v>威嚇</v>
      </c>
      <c r="E68" s="182" t="str">
        <f ca="1">VLOOKUP($C68,OFFSET(enemy_skills!$A$1,0,0,COUNTA(enemy_skills!$A:$A),MATCH(E$1,enemy_skills!$1:$1,0)-MATCH("enemy_skill_id",enemy_skills!$1:$1,0)+1),MATCH(E$1,enemy_skills!$1:$1,0)-MATCH("enemy_skill_id",enemy_skills!$1:$1,0)+1,FALSE)</f>
        <v>緑パネルを緑のダメージパネルに3個変換</v>
      </c>
      <c r="F68" s="188">
        <v>30047067</v>
      </c>
      <c r="G68" s="170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170" t="str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8" s="170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170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170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170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170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170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170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169"/>
      <c r="Q68" s="169"/>
      <c r="R68" s="169"/>
    </row>
    <row r="69" spans="1:18" ht="21" customHeight="1" x14ac:dyDescent="0.15">
      <c r="A69" s="38" t="str">
        <f t="shared" si="4"/>
        <v>30047022_30047068</v>
      </c>
      <c r="B69" s="175">
        <v>30047022</v>
      </c>
      <c r="C69" s="159">
        <v>30047068</v>
      </c>
      <c r="D69" s="44" t="str">
        <f ca="1">VLOOKUP($C69,OFFSET(enemy_skills!$A$1,0,0,COUNTA(enemy_skills!$A:$A),MATCH(D$1,enemy_skills!$1:$1,0)-MATCH("enemy_skill_id",enemy_skills!$1:$1,0)+1),MATCH(D$1,enemy_skills!$1:$1,0)-MATCH("enemy_skill_id",enemy_skills!$1:$1,0)+1,FALSE)</f>
        <v>丸呑み攻撃</v>
      </c>
      <c r="E69" s="44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ダメージパネルを吸収して攻撃(最大4個)</v>
      </c>
      <c r="F69" s="159">
        <v>30047068</v>
      </c>
      <c r="G69" s="46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6" t="str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9" s="46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6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6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6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6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6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6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5"/>
      <c r="Q69" s="45"/>
      <c r="R69" s="45"/>
    </row>
    <row r="70" spans="1:18" ht="21" customHeight="1" x14ac:dyDescent="0.15">
      <c r="A70" s="38" t="str">
        <f t="shared" si="4"/>
        <v>30047022_30047069</v>
      </c>
      <c r="B70" s="175">
        <v>30047022</v>
      </c>
      <c r="C70" s="159">
        <v>30047069</v>
      </c>
      <c r="D70" s="44" t="str">
        <f ca="1">VLOOKUP($C70,OFFSET(enemy_skills!$A$1,0,0,COUNTA(enemy_skills!$A:$A),MATCH(D$1,enemy_skills!$1:$1,0)-MATCH("enemy_skill_id",enemy_skills!$1:$1,0)+1),MATCH(D$1,enemy_skills!$1:$1,0)-MATCH("enemy_skill_id",enemy_skills!$1:$1,0)+1,FALSE)</f>
        <v>潜伏</v>
      </c>
      <c r="E70" s="44" t="str">
        <f ca="1">VLOOKUP($C70,OFFSET(enemy_skills!$A$1,0,0,COUNTA(enemy_skills!$A:$A),MATCH(E$1,enemy_skills!$1:$1,0)-MATCH("enemy_skill_id",enemy_skills!$1:$1,0)+1),MATCH(E$1,enemy_skills!$1:$1,0)-MATCH("enemy_skill_id",enemy_skills!$1:$1,0)+1,FALSE)</f>
        <v>緑パネルを緑のダメージパネルに5個変換</v>
      </c>
      <c r="F70" s="159">
        <v>30047069</v>
      </c>
      <c r="G70" s="46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6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0" s="46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6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6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6" t="str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0" s="46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0" s="46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6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5"/>
      <c r="Q70" s="45"/>
      <c r="R70" s="45"/>
    </row>
    <row r="71" spans="1:18" ht="21" customHeight="1" thickBot="1" x14ac:dyDescent="0.2">
      <c r="A71" s="171" t="str">
        <f t="shared" si="4"/>
        <v>30047022_30047070</v>
      </c>
      <c r="B71" s="160">
        <v>30047022</v>
      </c>
      <c r="C71" s="160">
        <v>30047070</v>
      </c>
      <c r="D71" s="183" t="str">
        <f ca="1">VLOOKUP($C71,OFFSET(enemy_skills!$A$1,0,0,COUNTA(enemy_skills!$A:$A),MATCH(D$1,enemy_skills!$1:$1,0)-MATCH("enemy_skill_id",enemy_skills!$1:$1,0)+1),MATCH(D$1,enemy_skills!$1:$1,0)-MATCH("enemy_skill_id",enemy_skills!$1:$1,0)+1,FALSE)</f>
        <v>丸呑み攻撃</v>
      </c>
      <c r="E71" s="183" t="str">
        <f ca="1">VLOOKUP($C71,OFFSET(enemy_skills!$A$1,0,0,COUNTA(enemy_skills!$A:$A),MATCH(E$1,enemy_skills!$1:$1,0)-MATCH("enemy_skill_id",enemy_skills!$1:$1,0)+1),MATCH(E$1,enemy_skills!$1:$1,0)-MATCH("enemy_skill_id",enemy_skills!$1:$1,0)+1,FALSE)</f>
        <v>ダメージパネルを吸収して攻撃(最大4個)</v>
      </c>
      <c r="F71" s="160">
        <v>30047070</v>
      </c>
      <c r="G71" s="1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1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71" s="1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1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1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148" t="str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1" s="148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1" s="1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1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144"/>
      <c r="Q71" s="144"/>
      <c r="R71" s="144"/>
    </row>
    <row r="72" spans="1:18" ht="21" customHeight="1" x14ac:dyDescent="0.15">
      <c r="A72" s="38" t="str">
        <f t="shared" si="4"/>
        <v>30047023_30047071</v>
      </c>
      <c r="B72" s="178">
        <v>30047023</v>
      </c>
      <c r="C72" s="178">
        <v>30047071</v>
      </c>
      <c r="D72" s="182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ボクの音を聴いていきなよ</v>
      </c>
      <c r="E72" s="182" t="str">
        <f ca="1">VLOOKUP($C72,OFFSET(enemy_skills!$A$1,0,0,COUNTA(enemy_skills!$A:$A),MATCH(E$1,enemy_skills!$1:$1,0)-MATCH("enemy_skill_id",enemy_skills!$1:$1,0)+1),MATCH(E$1,enemy_skills!$1:$1,0)-MATCH("enemy_skill_id",enemy_skills!$1:$1,0)+1,FALSE)</f>
        <v>青パネルドロップ率UP</v>
      </c>
      <c r="F72" s="178">
        <v>30047071</v>
      </c>
      <c r="G72" s="170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170" t="str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2" s="170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170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170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170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170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170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170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169"/>
      <c r="Q72" s="169"/>
      <c r="R72" s="169"/>
    </row>
    <row r="73" spans="1:18" ht="21" customHeight="1" x14ac:dyDescent="0.15">
      <c r="A73" s="38" t="str">
        <f t="shared" si="4"/>
        <v>30047023_30047072</v>
      </c>
      <c r="B73" s="178">
        <v>30047023</v>
      </c>
      <c r="C73" s="178">
        <v>30047072</v>
      </c>
      <c r="D73" s="44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ラグナロクを呼び起こそう</v>
      </c>
      <c r="E73" s="44" t="str">
        <f ca="1">VLOOKUP($C73,OFFSET(enemy_skills!$A$1,0,0,COUNTA(enemy_skills!$A:$A),MATCH(E$1,enemy_skills!$1:$1,0)-MATCH("enemy_skill_id",enemy_skills!$1:$1,0)+1),MATCH(E$1,enemy_skills!$1:$1,0)-MATCH("enemy_skill_id",enemy_skills!$1:$1,0)+1,FALSE)</f>
        <v>青パネルを青のダメージパネルに3個変換</v>
      </c>
      <c r="F73" s="178">
        <v>30047072</v>
      </c>
      <c r="G73" s="46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6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3" s="46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6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6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6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6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3" s="46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6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5"/>
      <c r="Q73" s="45"/>
      <c r="R73" s="45"/>
    </row>
    <row r="74" spans="1:18" ht="21" customHeight="1" x14ac:dyDescent="0.15">
      <c r="A74" s="38" t="str">
        <f t="shared" si="4"/>
        <v>30047023_30047073</v>
      </c>
      <c r="B74" s="178">
        <v>30047023</v>
      </c>
      <c r="C74" s="178">
        <v>30047073</v>
      </c>
      <c r="D74" s="44" t="str">
        <f ca="1">VLOOKUP($C74,OFFSET(enemy_skills!$A$1,0,0,COUNTA(enemy_skills!$A:$A),MATCH(D$1,enemy_skills!$1:$1,0)-MATCH("enemy_skill_id",enemy_skills!$1:$1,0)+1),MATCH(D$1,enemy_skills!$1:$1,0)-MATCH("enemy_skill_id",enemy_skills!$1:$1,0)+1,FALSE)</f>
        <v>壊れろ…壊れろ…壊れろ…</v>
      </c>
      <c r="E74" s="44" t="str">
        <f ca="1">VLOOKUP($C74,OFFSET(enemy_skills!$A$1,0,0,COUNTA(enemy_skills!$A:$A),MATCH(E$1,enemy_skills!$1:$1,0)-MATCH("enemy_skill_id",enemy_skills!$1:$1,0)+1),MATCH(E$1,enemy_skills!$1:$1,0)-MATCH("enemy_skill_id",enemy_skills!$1:$1,0)+1,FALSE)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74" s="178">
        <v>30047073</v>
      </c>
      <c r="G74" s="46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6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74" s="46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74" s="46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6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6" t="str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4" s="46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4" s="46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6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74" s="45"/>
      <c r="Q74" s="45"/>
      <c r="R74" s="45"/>
    </row>
    <row r="75" spans="1:18" ht="21" customHeight="1" x14ac:dyDescent="0.15">
      <c r="A75" s="38" t="str">
        <f t="shared" si="4"/>
        <v>30047023_30047074</v>
      </c>
      <c r="B75" s="178">
        <v>30047023</v>
      </c>
      <c r="C75" s="178">
        <v>30047074</v>
      </c>
      <c r="D75" s="44" t="str">
        <f ca="1">VLOOKUP($C75,OFFSET(enemy_skills!$A$1,0,0,COUNTA(enemy_skills!$A:$A),MATCH(D$1,enemy_skills!$1:$1,0)-MATCH("enemy_skill_id",enemy_skills!$1:$1,0)+1),MATCH(D$1,enemy_skills!$1:$1,0)-MATCH("enemy_skill_id",enemy_skills!$1:$1,0)+1,FALSE)</f>
        <v>破滅を呼び起こそう</v>
      </c>
      <c r="E75" s="44" t="str">
        <f ca="1">VLOOKUP($C75,OFFSET(enemy_skills!$A$1,0,0,COUNTA(enemy_skills!$A:$A),MATCH(E$1,enemy_skills!$1:$1,0)-MATCH("enemy_skill_id",enemy_skills!$1:$1,0)+1),MATCH(E$1,enemy_skills!$1:$1,0)-MATCH("enemy_skill_id",enemy_skills!$1:$1,0)+1,FALSE)</f>
        <v>青パネルを青のダメージパネルに3個変換+_x000D_単体攻撃</v>
      </c>
      <c r="F75" s="178">
        <v>30047074</v>
      </c>
      <c r="G75" s="46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6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75" s="46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6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6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6" t="str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5" s="46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5" s="46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6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5"/>
      <c r="Q75" s="45"/>
      <c r="R75" s="45"/>
    </row>
    <row r="76" spans="1:18" ht="21" customHeight="1" x14ac:dyDescent="0.15">
      <c r="A76" s="38" t="str">
        <f t="shared" si="4"/>
        <v>30047023_30047075</v>
      </c>
      <c r="B76" s="178">
        <v>30047023</v>
      </c>
      <c r="C76" s="178">
        <v>30047075</v>
      </c>
      <c r="D76" s="44" t="str">
        <f ca="1">VLOOKUP($C76,OFFSET(enemy_skills!$A$1,0,0,COUNTA(enemy_skills!$A:$A),MATCH(D$1,enemy_skills!$1:$1,0)-MATCH("enemy_skill_id",enemy_skills!$1:$1,0)+1),MATCH(D$1,enemy_skills!$1:$1,0)-MATCH("enemy_skill_id",enemy_skills!$1:$1,0)+1,FALSE)</f>
        <v>破滅を呼び起こそう</v>
      </c>
      <c r="E76" s="44" t="str">
        <f ca="1">VLOOKUP($C76,OFFSET(enemy_skills!$A$1,0,0,COUNTA(enemy_skills!$A:$A),MATCH(E$1,enemy_skills!$1:$1,0)-MATCH("enemy_skill_id",enemy_skills!$1:$1,0)+1),MATCH(E$1,enemy_skills!$1:$1,0)-MATCH("enemy_skill_id",enemy_skills!$1:$1,0)+1,FALSE)</f>
        <v>青パネルを青のダメージパネルに3個変換+_x000D_単体攻撃</v>
      </c>
      <c r="F76" s="178">
        <v>30047075</v>
      </c>
      <c r="G76" s="46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6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76" s="46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6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6" s="46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6" t="str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6" s="46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6" s="46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6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5"/>
      <c r="Q76" s="45"/>
      <c r="R76" s="45"/>
    </row>
    <row r="77" spans="1:18" ht="21" customHeight="1" thickBot="1" x14ac:dyDescent="0.2">
      <c r="A77" s="171" t="str">
        <f t="shared" si="4"/>
        <v>30047023_30047076</v>
      </c>
      <c r="B77" s="158">
        <v>30047023</v>
      </c>
      <c r="C77" s="158">
        <v>30047076</v>
      </c>
      <c r="D77" s="183" t="str">
        <f ca="1">VLOOKUP($C77,OFFSET(enemy_skills!$A$1,0,0,COUNTA(enemy_skills!$A:$A),MATCH(D$1,enemy_skills!$1:$1,0)-MATCH("enemy_skill_id",enemy_skills!$1:$1,0)+1),MATCH(D$1,enemy_skills!$1:$1,0)-MATCH("enemy_skill_id",enemy_skills!$1:$1,0)+1,FALSE)</f>
        <v>破滅を呼び起こそう</v>
      </c>
      <c r="E77" s="183" t="str">
        <f ca="1">VLOOKUP($C77,OFFSET(enemy_skills!$A$1,0,0,COUNTA(enemy_skills!$A:$A),MATCH(E$1,enemy_skills!$1:$1,0)-MATCH("enemy_skill_id",enemy_skills!$1:$1,0)+1),MATCH(E$1,enemy_skills!$1:$1,0)-MATCH("enemy_skill_id",enemy_skills!$1:$1,0)+1,FALSE)</f>
        <v>青パネルを青のダメージパネルに3個変換+_x000D_単体攻撃</v>
      </c>
      <c r="F77" s="158">
        <v>30047076</v>
      </c>
      <c r="G77" s="1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1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7" s="1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148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77" s="1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148" t="str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7" s="148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7" s="1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1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144"/>
      <c r="Q77" s="144"/>
      <c r="R77" s="144"/>
    </row>
    <row r="78" spans="1:18" ht="21" customHeight="1" x14ac:dyDescent="0.15">
      <c r="A78" s="38" t="str">
        <f t="shared" si="4"/>
        <v>30047024_30047077</v>
      </c>
      <c r="B78" s="178">
        <v>30047024</v>
      </c>
      <c r="C78" s="178">
        <v>30047077</v>
      </c>
      <c r="D78" s="182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そんな雑音聞かせるな</v>
      </c>
      <c r="E78" s="182" t="str">
        <f ca="1">VLOOKUP($C78,OFFSET(enemy_skills!$A$1,0,0,COUNTA(enemy_skills!$A:$A),MATCH(E$1,enemy_skills!$1:$1,0)-MATCH("enemy_skill_id",enemy_skills!$1:$1,0)+1),MATCH(E$1,enemy_skills!$1:$1,0)-MATCH("enemy_skill_id",enemy_skills!$1:$1,0)+1,FALSE)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78" s="178">
        <v>30047077</v>
      </c>
      <c r="G78" s="170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8" s="170" t="str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8" s="170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170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170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170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170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170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170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169"/>
      <c r="Q78" s="169"/>
      <c r="R78" s="169"/>
    </row>
    <row r="79" spans="1:18" ht="21" customHeight="1" x14ac:dyDescent="0.15">
      <c r="A79" s="38" t="str">
        <f t="shared" si="4"/>
        <v>30047024_30047078</v>
      </c>
      <c r="B79" s="178">
        <v>30047024</v>
      </c>
      <c r="C79" s="178">
        <v>30047078</v>
      </c>
      <c r="D79" s="44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キミはボクの音に耐えられる？</v>
      </c>
      <c r="E79" s="44" t="str">
        <f ca="1">VLOOKUP($C79,OFFSET(enemy_skills!$A$1,0,0,COUNTA(enemy_skills!$A:$A),MATCH(E$1,enemy_skills!$1:$1,0)-MATCH("enemy_skill_id",enemy_skills!$1:$1,0)+1),MATCH(E$1,enemy_skills!$1:$1,0)-MATCH("enemy_skill_id",enemy_skills!$1:$1,0)+1,FALSE)</f>
        <v>3ターン全ユニットの回復力50%DOWN+_x000D_単体攻撃</v>
      </c>
      <c r="F79" s="178">
        <v>30047078</v>
      </c>
      <c r="G79" s="46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6" t="str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9" s="46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6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6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6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6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9" s="46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6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5"/>
      <c r="Q79" s="45"/>
      <c r="R79" s="45"/>
    </row>
    <row r="80" spans="1:18" ht="21" customHeight="1" x14ac:dyDescent="0.15">
      <c r="A80" s="38" t="str">
        <f t="shared" si="4"/>
        <v>30047024_30047079</v>
      </c>
      <c r="B80" s="178">
        <v>30047024</v>
      </c>
      <c r="C80" s="178">
        <v>30047079</v>
      </c>
      <c r="D80" s="44" t="str">
        <f ca="1">VLOOKUP($C80,OFFSET(enemy_skills!$A$1,0,0,COUNTA(enemy_skills!$A:$A),MATCH(D$1,enemy_skills!$1:$1,0)-MATCH("enemy_skill_id",enemy_skills!$1:$1,0)+1),MATCH(D$1,enemy_skills!$1:$1,0)-MATCH("enemy_skill_id",enemy_skills!$1:$1,0)+1,FALSE)</f>
        <v>響き渡れ…</v>
      </c>
      <c r="E80" s="44" t="str">
        <f ca="1">VLOOKUP($C80,OFFSET(enemy_skills!$A$1,0,0,COUNTA(enemy_skills!$A:$A),MATCH(E$1,enemy_skills!$1:$1,0)-MATCH("enemy_skill_id",enemy_skills!$1:$1,0)+1),MATCH(E$1,enemy_skills!$1:$1,0)-MATCH("enemy_skill_id",enemy_skills!$1:$1,0)+1,FALSE)</f>
        <v>赤・黄・緑パネルを吸収して攻撃</v>
      </c>
      <c r="F80" s="178">
        <v>30047079</v>
      </c>
      <c r="G80" s="46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6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80" s="46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6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6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6" t="str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0" s="46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0" s="46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6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5"/>
      <c r="Q80" s="45"/>
      <c r="R80" s="45"/>
    </row>
    <row r="81" spans="1:18" ht="21" customHeight="1" x14ac:dyDescent="0.15">
      <c r="A81" s="38" t="str">
        <f t="shared" si="4"/>
        <v>30047024_30047080</v>
      </c>
      <c r="B81" s="178">
        <v>30047024</v>
      </c>
      <c r="C81" s="178">
        <v>30047080</v>
      </c>
      <c r="D81" s="44" t="str">
        <f ca="1">VLOOKUP($C81,OFFSET(enemy_skills!$A$1,0,0,COUNTA(enemy_skills!$A:$A),MATCH(D$1,enemy_skills!$1:$1,0)-MATCH("enemy_skill_id",enemy_skills!$1:$1,0)+1),MATCH(D$1,enemy_skills!$1:$1,0)-MATCH("enemy_skill_id",enemy_skills!$1:$1,0)+1,FALSE)</f>
        <v>破滅の時間だ</v>
      </c>
      <c r="E81" s="44" t="str">
        <f ca="1">VLOOKUP($C81,OFFSET(enemy_skills!$A$1,0,0,COUNTA(enemy_skills!$A:$A),MATCH(E$1,enemy_skills!$1:$1,0)-MATCH("enemy_skill_id",enemy_skills!$1:$1,0)+1),MATCH(E$1,enemy_skills!$1:$1,0)-MATCH("enemy_skill_id",enemy_skills!$1:$1,0)+1,FALSE)</f>
        <v>青パネルを青のダメージパネルに5個変換</v>
      </c>
      <c r="F81" s="178">
        <v>30047080</v>
      </c>
      <c r="G81" s="46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6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81" s="46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6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6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6" t="str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1" s="46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81" s="46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6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5"/>
      <c r="Q81" s="45"/>
      <c r="R81" s="45"/>
    </row>
    <row r="82" spans="1:18" ht="21" customHeight="1" thickBot="1" x14ac:dyDescent="0.2">
      <c r="A82" s="171" t="str">
        <f t="shared" si="4"/>
        <v>30047024_30047081</v>
      </c>
      <c r="B82" s="158">
        <v>30047024</v>
      </c>
      <c r="C82" s="158">
        <v>30047081</v>
      </c>
      <c r="D82" s="183" t="str">
        <f ca="1">VLOOKUP($C82,OFFSET(enemy_skills!$A$1,0,0,COUNTA(enemy_skills!$A:$A),MATCH(D$1,enemy_skills!$1:$1,0)-MATCH("enemy_skill_id",enemy_skills!$1:$1,0)+1),MATCH(D$1,enemy_skills!$1:$1,0)-MATCH("enemy_skill_id",enemy_skills!$1:$1,0)+1,FALSE)</f>
        <v>美しい音色が…崩れる…</v>
      </c>
      <c r="E82" s="183" t="str">
        <f ca="1">VLOOKUP($C82,OFFSET(enemy_skills!$A$1,0,0,COUNTA(enemy_skills!$A:$A),MATCH(E$1,enemy_skills!$1:$1,0)-MATCH("enemy_skill_id",enemy_skills!$1:$1,0)+1),MATCH(E$1,enemy_skills!$1:$1,0)-MATCH("enemy_skill_id",enemy_skills!$1:$1,0)+1,FALSE)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82" s="158">
        <v>30047081</v>
      </c>
      <c r="G82" s="46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6" t="str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2" s="46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6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6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6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2" s="46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6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82" s="46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5"/>
      <c r="Q82" s="45"/>
      <c r="R82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workbookViewId="0">
      <selection activeCell="P30" sqref="P30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151</v>
      </c>
      <c r="B1" s="63" t="s">
        <v>152</v>
      </c>
      <c r="C1" s="64" t="s">
        <v>153</v>
      </c>
      <c r="D1" s="70" t="s">
        <v>154</v>
      </c>
      <c r="E1" s="65" t="s">
        <v>155</v>
      </c>
      <c r="F1" s="63" t="s">
        <v>156</v>
      </c>
      <c r="G1" s="63" t="s">
        <v>157</v>
      </c>
      <c r="H1" s="63" t="s">
        <v>158</v>
      </c>
      <c r="I1" s="63" t="s">
        <v>159</v>
      </c>
      <c r="J1" s="63" t="s">
        <v>160</v>
      </c>
      <c r="K1" s="63" t="s">
        <v>161</v>
      </c>
      <c r="L1" s="63" t="s">
        <v>162</v>
      </c>
      <c r="M1" s="63" t="s">
        <v>163</v>
      </c>
      <c r="N1" s="63" t="s">
        <v>164</v>
      </c>
      <c r="O1" s="63" t="s">
        <v>165</v>
      </c>
      <c r="P1" s="63" t="s">
        <v>166</v>
      </c>
      <c r="Q1" s="63" t="s">
        <v>167</v>
      </c>
      <c r="R1" s="63" t="s">
        <v>168</v>
      </c>
    </row>
    <row r="2" spans="1:18" x14ac:dyDescent="0.15">
      <c r="A2" s="224">
        <v>30047</v>
      </c>
      <c r="B2" s="55">
        <v>3</v>
      </c>
      <c r="C2" s="69" t="str">
        <f t="shared" ref="C2:C12" si="0">A2&amp; "_"&amp;B2</f>
        <v>30047_3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5">
        <v>1</v>
      </c>
      <c r="F2" s="55" t="s">
        <v>272</v>
      </c>
      <c r="G2" s="55">
        <v>1252</v>
      </c>
      <c r="H2" s="55">
        <v>1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400</v>
      </c>
      <c r="Q2" s="55" t="s">
        <v>171</v>
      </c>
      <c r="R2" s="55" t="s">
        <v>172</v>
      </c>
    </row>
    <row r="3" spans="1:18" x14ac:dyDescent="0.15">
      <c r="A3" s="224">
        <v>30047</v>
      </c>
      <c r="B3" s="55">
        <v>3</v>
      </c>
      <c r="C3" s="69" t="str">
        <f t="shared" si="0"/>
        <v>30047_3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5">
        <v>2</v>
      </c>
      <c r="F3" s="55" t="s">
        <v>169</v>
      </c>
      <c r="G3" s="55">
        <v>6500</v>
      </c>
      <c r="H3" s="55" t="s">
        <v>89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100</v>
      </c>
      <c r="Q3" s="55" t="s">
        <v>171</v>
      </c>
      <c r="R3" s="55" t="s">
        <v>172</v>
      </c>
    </row>
    <row r="4" spans="1:18" x14ac:dyDescent="0.15">
      <c r="A4" s="224">
        <v>30047</v>
      </c>
      <c r="B4" s="55">
        <v>3</v>
      </c>
      <c r="C4" s="69" t="str">
        <f t="shared" si="0"/>
        <v>30047_3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5">
        <v>3</v>
      </c>
      <c r="F4" s="55" t="s">
        <v>273</v>
      </c>
      <c r="G4" s="55">
        <v>25</v>
      </c>
      <c r="H4" s="55" t="s">
        <v>89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100</v>
      </c>
      <c r="Q4" s="55" t="s">
        <v>171</v>
      </c>
      <c r="R4" s="55" t="s">
        <v>172</v>
      </c>
    </row>
    <row r="5" spans="1:18" x14ac:dyDescent="0.15">
      <c r="A5" s="224">
        <v>30047</v>
      </c>
      <c r="B5" s="55">
        <v>3</v>
      </c>
      <c r="C5" s="69" t="str">
        <f t="shared" si="0"/>
        <v>30047_3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5">
        <v>4</v>
      </c>
      <c r="F5" s="55" t="s">
        <v>272</v>
      </c>
      <c r="G5" s="55">
        <v>340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28</v>
      </c>
      <c r="Q5" s="55" t="s">
        <v>171</v>
      </c>
      <c r="R5" s="55" t="s">
        <v>172</v>
      </c>
    </row>
    <row r="6" spans="1:18" x14ac:dyDescent="0.15">
      <c r="A6" s="224">
        <v>30047</v>
      </c>
      <c r="B6" s="55">
        <v>3</v>
      </c>
      <c r="C6" s="69" t="str">
        <f t="shared" si="0"/>
        <v>30047_3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5">
        <v>5</v>
      </c>
      <c r="F6" s="55" t="s">
        <v>272</v>
      </c>
      <c r="G6" s="55">
        <v>341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56</v>
      </c>
      <c r="Q6" s="55" t="s">
        <v>171</v>
      </c>
      <c r="R6" s="55" t="s">
        <v>172</v>
      </c>
    </row>
    <row r="7" spans="1:18" x14ac:dyDescent="0.15">
      <c r="A7" s="224">
        <v>30047</v>
      </c>
      <c r="B7" s="55">
        <v>3</v>
      </c>
      <c r="C7" s="69" t="str">
        <f t="shared" si="0"/>
        <v>30047_3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5">
        <v>6</v>
      </c>
      <c r="F7" s="55" t="s">
        <v>272</v>
      </c>
      <c r="G7" s="55">
        <v>342</v>
      </c>
      <c r="H7" s="55">
        <v>1</v>
      </c>
      <c r="I7" s="55">
        <v>1</v>
      </c>
      <c r="J7" s="55">
        <v>1</v>
      </c>
      <c r="K7" s="55">
        <v>0</v>
      </c>
      <c r="L7" s="55">
        <v>0</v>
      </c>
      <c r="M7" s="55">
        <v>0</v>
      </c>
      <c r="N7" s="55">
        <v>0</v>
      </c>
      <c r="O7" s="55">
        <v>1</v>
      </c>
      <c r="P7" s="55">
        <v>56</v>
      </c>
      <c r="Q7" s="55" t="s">
        <v>171</v>
      </c>
      <c r="R7" s="55" t="s">
        <v>172</v>
      </c>
    </row>
    <row r="8" spans="1:18" x14ac:dyDescent="0.15">
      <c r="A8" s="224">
        <v>30047</v>
      </c>
      <c r="B8" s="55">
        <v>3</v>
      </c>
      <c r="C8" s="69" t="str">
        <f t="shared" si="0"/>
        <v>30047_3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5">
        <v>7</v>
      </c>
      <c r="F8" s="55" t="s">
        <v>272</v>
      </c>
      <c r="G8" s="55">
        <v>352</v>
      </c>
      <c r="H8" s="55">
        <v>1</v>
      </c>
      <c r="I8" s="55">
        <v>1</v>
      </c>
      <c r="J8" s="55">
        <v>1</v>
      </c>
      <c r="K8" s="55">
        <v>0</v>
      </c>
      <c r="L8" s="55">
        <v>0</v>
      </c>
      <c r="M8" s="55">
        <v>0</v>
      </c>
      <c r="N8" s="55">
        <v>0</v>
      </c>
      <c r="O8" s="55">
        <v>1</v>
      </c>
      <c r="P8" s="55">
        <v>100</v>
      </c>
      <c r="Q8" s="55" t="s">
        <v>171</v>
      </c>
      <c r="R8" s="55" t="s">
        <v>172</v>
      </c>
    </row>
    <row r="9" spans="1:18" x14ac:dyDescent="0.15">
      <c r="A9" s="224">
        <v>30047</v>
      </c>
      <c r="B9" s="55">
        <v>3</v>
      </c>
      <c r="C9" s="69" t="str">
        <f t="shared" si="0"/>
        <v>30047_3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5">
        <v>8</v>
      </c>
      <c r="F9" s="55" t="s">
        <v>272</v>
      </c>
      <c r="G9" s="55">
        <v>121</v>
      </c>
      <c r="H9" s="55">
        <v>1</v>
      </c>
      <c r="I9" s="55">
        <v>1</v>
      </c>
      <c r="J9" s="55">
        <v>1</v>
      </c>
      <c r="K9" s="55">
        <v>0</v>
      </c>
      <c r="L9" s="55">
        <v>0</v>
      </c>
      <c r="M9" s="55">
        <v>0</v>
      </c>
      <c r="N9" s="55">
        <v>0</v>
      </c>
      <c r="O9" s="55">
        <v>1</v>
      </c>
      <c r="P9" s="55">
        <v>50</v>
      </c>
      <c r="Q9" s="55" t="s">
        <v>171</v>
      </c>
      <c r="R9" s="55" t="s">
        <v>172</v>
      </c>
    </row>
    <row r="10" spans="1:18" x14ac:dyDescent="0.15">
      <c r="A10" s="224">
        <v>30047</v>
      </c>
      <c r="B10" s="55">
        <v>3</v>
      </c>
      <c r="C10" s="69" t="str">
        <f t="shared" si="0"/>
        <v>30047_3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5">
        <v>9</v>
      </c>
      <c r="F10" s="55" t="s">
        <v>272</v>
      </c>
      <c r="G10" s="55">
        <v>122</v>
      </c>
      <c r="H10" s="55">
        <v>1</v>
      </c>
      <c r="I10" s="55">
        <v>1</v>
      </c>
      <c r="J10" s="55">
        <v>1</v>
      </c>
      <c r="K10" s="55">
        <v>0</v>
      </c>
      <c r="L10" s="55">
        <v>0</v>
      </c>
      <c r="M10" s="55">
        <v>0</v>
      </c>
      <c r="N10" s="55">
        <v>0</v>
      </c>
      <c r="O10" s="55">
        <v>1</v>
      </c>
      <c r="P10" s="55">
        <v>50</v>
      </c>
      <c r="Q10" s="55" t="s">
        <v>171</v>
      </c>
      <c r="R10" s="55" t="s">
        <v>172</v>
      </c>
    </row>
    <row r="11" spans="1:18" x14ac:dyDescent="0.15">
      <c r="A11" s="224">
        <v>30047</v>
      </c>
      <c r="B11" s="55">
        <v>3</v>
      </c>
      <c r="C11" s="69" t="str">
        <f t="shared" si="0"/>
        <v>30047_3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5">
        <v>10</v>
      </c>
      <c r="F11" s="55" t="s">
        <v>272</v>
      </c>
      <c r="G11" s="55">
        <v>123</v>
      </c>
      <c r="H11" s="55">
        <v>1</v>
      </c>
      <c r="I11" s="55">
        <v>1</v>
      </c>
      <c r="J11" s="55">
        <v>1</v>
      </c>
      <c r="K11" s="55">
        <v>0</v>
      </c>
      <c r="L11" s="55">
        <v>0</v>
      </c>
      <c r="M11" s="55">
        <v>0</v>
      </c>
      <c r="N11" s="55">
        <v>0</v>
      </c>
      <c r="O11" s="55">
        <v>1</v>
      </c>
      <c r="P11" s="55">
        <v>50</v>
      </c>
      <c r="Q11" s="55" t="s">
        <v>171</v>
      </c>
      <c r="R11" s="55" t="s">
        <v>172</v>
      </c>
    </row>
    <row r="12" spans="1:18" ht="16" thickBot="1" x14ac:dyDescent="0.2">
      <c r="A12" s="225">
        <v>30047</v>
      </c>
      <c r="B12" s="222">
        <v>3</v>
      </c>
      <c r="C12" s="223" t="str">
        <f t="shared" si="0"/>
        <v>30047_3</v>
      </c>
      <c r="D12" s="215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222">
        <v>11</v>
      </c>
      <c r="F12" s="222" t="s">
        <v>272</v>
      </c>
      <c r="G12" s="222">
        <v>125</v>
      </c>
      <c r="H12" s="222">
        <v>1</v>
      </c>
      <c r="I12" s="222">
        <v>1</v>
      </c>
      <c r="J12" s="222">
        <v>1</v>
      </c>
      <c r="K12" s="222">
        <v>0</v>
      </c>
      <c r="L12" s="222">
        <v>0</v>
      </c>
      <c r="M12" s="222">
        <v>0</v>
      </c>
      <c r="N12" s="222">
        <v>0</v>
      </c>
      <c r="O12" s="222">
        <v>1</v>
      </c>
      <c r="P12" s="222">
        <v>10</v>
      </c>
      <c r="Q12" s="222" t="s">
        <v>171</v>
      </c>
      <c r="R12" s="222" t="s">
        <v>172</v>
      </c>
    </row>
    <row r="13" spans="1:18" x14ac:dyDescent="0.15">
      <c r="A13" s="226">
        <v>30047</v>
      </c>
      <c r="B13" s="220">
        <v>2</v>
      </c>
      <c r="C13" s="221" t="str">
        <f t="shared" ref="C13:C33" si="1">A13&amp; "_"&amp;B13</f>
        <v>30047_2</v>
      </c>
      <c r="D13" s="209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248">
        <v>12</v>
      </c>
      <c r="F13" s="220" t="s">
        <v>272</v>
      </c>
      <c r="G13" s="220">
        <v>1252</v>
      </c>
      <c r="H13" s="220">
        <v>1</v>
      </c>
      <c r="I13" s="220">
        <v>1</v>
      </c>
      <c r="J13" s="220">
        <v>1</v>
      </c>
      <c r="K13" s="220">
        <v>0</v>
      </c>
      <c r="L13" s="220">
        <v>0</v>
      </c>
      <c r="M13" s="220">
        <v>0</v>
      </c>
      <c r="N13" s="220">
        <v>0</v>
      </c>
      <c r="O13" s="220">
        <v>1</v>
      </c>
      <c r="P13" s="220">
        <v>250</v>
      </c>
      <c r="Q13" s="220" t="s">
        <v>171</v>
      </c>
      <c r="R13" s="220" t="s">
        <v>172</v>
      </c>
    </row>
    <row r="14" spans="1:18" x14ac:dyDescent="0.15">
      <c r="A14" s="227">
        <v>30047</v>
      </c>
      <c r="B14" s="220">
        <v>2</v>
      </c>
      <c r="C14" s="69" t="str">
        <f t="shared" si="1"/>
        <v>30047_2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5">
        <v>13</v>
      </c>
      <c r="F14" s="55" t="s">
        <v>169</v>
      </c>
      <c r="G14" s="55">
        <v>5000</v>
      </c>
      <c r="H14" s="55" t="s">
        <v>89</v>
      </c>
      <c r="I14" s="55">
        <v>1</v>
      </c>
      <c r="J14" s="55">
        <v>1</v>
      </c>
      <c r="K14" s="55">
        <v>0</v>
      </c>
      <c r="L14" s="55">
        <v>0</v>
      </c>
      <c r="M14" s="55">
        <v>0</v>
      </c>
      <c r="N14" s="55">
        <v>0</v>
      </c>
      <c r="O14" s="55">
        <v>1</v>
      </c>
      <c r="P14" s="55">
        <v>200</v>
      </c>
      <c r="Q14" s="55" t="s">
        <v>171</v>
      </c>
      <c r="R14" s="55" t="s">
        <v>172</v>
      </c>
    </row>
    <row r="15" spans="1:18" x14ac:dyDescent="0.15">
      <c r="A15" s="227">
        <v>30047</v>
      </c>
      <c r="B15" s="220">
        <v>2</v>
      </c>
      <c r="C15" s="69" t="str">
        <f t="shared" si="1"/>
        <v>30047_2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5">
        <v>14</v>
      </c>
      <c r="F15" s="55" t="s">
        <v>273</v>
      </c>
      <c r="G15" s="55">
        <v>25</v>
      </c>
      <c r="H15" s="55" t="s">
        <v>89</v>
      </c>
      <c r="I15" s="55">
        <v>1</v>
      </c>
      <c r="J15" s="55">
        <v>1</v>
      </c>
      <c r="K15" s="55">
        <v>0</v>
      </c>
      <c r="L15" s="55">
        <v>0</v>
      </c>
      <c r="M15" s="55">
        <v>0</v>
      </c>
      <c r="N15" s="55">
        <v>0</v>
      </c>
      <c r="O15" s="55">
        <v>1</v>
      </c>
      <c r="P15" s="55">
        <v>150</v>
      </c>
      <c r="Q15" s="55" t="s">
        <v>171</v>
      </c>
      <c r="R15" s="55" t="s">
        <v>172</v>
      </c>
    </row>
    <row r="16" spans="1:18" x14ac:dyDescent="0.15">
      <c r="A16" s="227">
        <v>30047</v>
      </c>
      <c r="B16" s="220">
        <v>2</v>
      </c>
      <c r="C16" s="69" t="str">
        <f t="shared" si="1"/>
        <v>30047_2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5">
        <v>15</v>
      </c>
      <c r="F16" s="55" t="s">
        <v>272</v>
      </c>
      <c r="G16" s="55">
        <v>340</v>
      </c>
      <c r="H16" s="55">
        <v>1</v>
      </c>
      <c r="I16" s="55">
        <v>1</v>
      </c>
      <c r="J16" s="55">
        <v>1</v>
      </c>
      <c r="K16" s="55">
        <v>0</v>
      </c>
      <c r="L16" s="55">
        <v>0</v>
      </c>
      <c r="M16" s="55">
        <v>0</v>
      </c>
      <c r="N16" s="55">
        <v>0</v>
      </c>
      <c r="O16" s="55">
        <v>1</v>
      </c>
      <c r="P16" s="55">
        <v>56</v>
      </c>
      <c r="Q16" s="55" t="s">
        <v>171</v>
      </c>
      <c r="R16" s="55" t="s">
        <v>172</v>
      </c>
    </row>
    <row r="17" spans="1:18" x14ac:dyDescent="0.15">
      <c r="A17" s="227">
        <v>30047</v>
      </c>
      <c r="B17" s="220">
        <v>2</v>
      </c>
      <c r="C17" s="69" t="str">
        <f t="shared" si="1"/>
        <v>30047_2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5">
        <v>16</v>
      </c>
      <c r="F17" s="55" t="s">
        <v>272</v>
      </c>
      <c r="G17" s="55">
        <v>341</v>
      </c>
      <c r="H17" s="55">
        <v>1</v>
      </c>
      <c r="I17" s="55">
        <v>1</v>
      </c>
      <c r="J17" s="55">
        <v>1</v>
      </c>
      <c r="K17" s="55">
        <v>0</v>
      </c>
      <c r="L17" s="55">
        <v>0</v>
      </c>
      <c r="M17" s="55">
        <v>0</v>
      </c>
      <c r="N17" s="55">
        <v>0</v>
      </c>
      <c r="O17" s="55">
        <v>1</v>
      </c>
      <c r="P17" s="55">
        <v>56</v>
      </c>
      <c r="Q17" s="55" t="s">
        <v>171</v>
      </c>
      <c r="R17" s="55" t="s">
        <v>172</v>
      </c>
    </row>
    <row r="18" spans="1:18" x14ac:dyDescent="0.15">
      <c r="A18" s="227">
        <v>30047</v>
      </c>
      <c r="B18" s="220">
        <v>2</v>
      </c>
      <c r="C18" s="69" t="str">
        <f t="shared" si="1"/>
        <v>30047_2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5">
        <v>17</v>
      </c>
      <c r="F18" s="55" t="s">
        <v>272</v>
      </c>
      <c r="G18" s="55">
        <v>342</v>
      </c>
      <c r="H18" s="55">
        <v>1</v>
      </c>
      <c r="I18" s="55">
        <v>1</v>
      </c>
      <c r="J18" s="55">
        <v>1</v>
      </c>
      <c r="K18" s="55">
        <v>0</v>
      </c>
      <c r="L18" s="55">
        <v>0</v>
      </c>
      <c r="M18" s="55">
        <v>0</v>
      </c>
      <c r="N18" s="55">
        <v>0</v>
      </c>
      <c r="O18" s="55">
        <v>1</v>
      </c>
      <c r="P18" s="55">
        <v>28</v>
      </c>
      <c r="Q18" s="55" t="s">
        <v>171</v>
      </c>
      <c r="R18" s="55" t="s">
        <v>172</v>
      </c>
    </row>
    <row r="19" spans="1:18" x14ac:dyDescent="0.15">
      <c r="A19" s="227">
        <v>30047</v>
      </c>
      <c r="B19" s="220">
        <v>2</v>
      </c>
      <c r="C19" s="69" t="str">
        <f t="shared" si="1"/>
        <v>30047_2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55">
        <v>18</v>
      </c>
      <c r="F19" s="55" t="s">
        <v>272</v>
      </c>
      <c r="G19" s="55">
        <v>352</v>
      </c>
      <c r="H19" s="55">
        <v>1</v>
      </c>
      <c r="I19" s="55">
        <v>1</v>
      </c>
      <c r="J19" s="55">
        <v>1</v>
      </c>
      <c r="K19" s="55">
        <v>0</v>
      </c>
      <c r="L19" s="55">
        <v>0</v>
      </c>
      <c r="M19" s="55">
        <v>0</v>
      </c>
      <c r="N19" s="55">
        <v>0</v>
      </c>
      <c r="O19" s="55">
        <v>1</v>
      </c>
      <c r="P19" s="55">
        <v>100</v>
      </c>
      <c r="Q19" s="55" t="s">
        <v>171</v>
      </c>
      <c r="R19" s="55" t="s">
        <v>172</v>
      </c>
    </row>
    <row r="20" spans="1:18" x14ac:dyDescent="0.15">
      <c r="A20" s="227">
        <v>30047</v>
      </c>
      <c r="B20" s="220">
        <v>2</v>
      </c>
      <c r="C20" s="69" t="str">
        <f t="shared" si="1"/>
        <v>30047_2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5">
        <v>19</v>
      </c>
      <c r="F20" s="55" t="s">
        <v>272</v>
      </c>
      <c r="G20" s="55">
        <v>121</v>
      </c>
      <c r="H20" s="55">
        <v>1</v>
      </c>
      <c r="I20" s="55">
        <v>1</v>
      </c>
      <c r="J20" s="55">
        <v>1</v>
      </c>
      <c r="K20" s="55">
        <v>0</v>
      </c>
      <c r="L20" s="55">
        <v>0</v>
      </c>
      <c r="M20" s="55">
        <v>0</v>
      </c>
      <c r="N20" s="55">
        <v>0</v>
      </c>
      <c r="O20" s="55">
        <v>1</v>
      </c>
      <c r="P20" s="55">
        <v>50</v>
      </c>
      <c r="Q20" s="55" t="s">
        <v>171</v>
      </c>
      <c r="R20" s="55" t="s">
        <v>172</v>
      </c>
    </row>
    <row r="21" spans="1:18" x14ac:dyDescent="0.15">
      <c r="A21" s="227">
        <v>30047</v>
      </c>
      <c r="B21" s="220">
        <v>2</v>
      </c>
      <c r="C21" s="69" t="str">
        <f t="shared" si="1"/>
        <v>30047_2</v>
      </c>
      <c r="D21" s="1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55">
        <v>20</v>
      </c>
      <c r="F21" s="55" t="s">
        <v>272</v>
      </c>
      <c r="G21" s="55">
        <v>122</v>
      </c>
      <c r="H21" s="55">
        <v>1</v>
      </c>
      <c r="I21" s="55">
        <v>1</v>
      </c>
      <c r="J21" s="55">
        <v>1</v>
      </c>
      <c r="K21" s="55">
        <v>0</v>
      </c>
      <c r="L21" s="55">
        <v>0</v>
      </c>
      <c r="M21" s="55">
        <v>0</v>
      </c>
      <c r="N21" s="55">
        <v>0</v>
      </c>
      <c r="O21" s="55">
        <v>1</v>
      </c>
      <c r="P21" s="55">
        <v>50</v>
      </c>
      <c r="Q21" s="55" t="s">
        <v>171</v>
      </c>
      <c r="R21" s="55" t="s">
        <v>172</v>
      </c>
    </row>
    <row r="22" spans="1:18" x14ac:dyDescent="0.15">
      <c r="A22" s="227">
        <v>30047</v>
      </c>
      <c r="B22" s="220">
        <v>2</v>
      </c>
      <c r="C22" s="69" t="str">
        <f t="shared" si="1"/>
        <v>30047_2</v>
      </c>
      <c r="D22" s="18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55">
        <v>21</v>
      </c>
      <c r="F22" s="55" t="s">
        <v>272</v>
      </c>
      <c r="G22" s="55">
        <v>123</v>
      </c>
      <c r="H22" s="55">
        <v>1</v>
      </c>
      <c r="I22" s="55">
        <v>1</v>
      </c>
      <c r="J22" s="55">
        <v>1</v>
      </c>
      <c r="K22" s="55">
        <v>0</v>
      </c>
      <c r="L22" s="55">
        <v>0</v>
      </c>
      <c r="M22" s="55">
        <v>0</v>
      </c>
      <c r="N22" s="55">
        <v>0</v>
      </c>
      <c r="O22" s="55">
        <v>1</v>
      </c>
      <c r="P22" s="55">
        <v>50</v>
      </c>
      <c r="Q22" s="55" t="s">
        <v>171</v>
      </c>
      <c r="R22" s="55" t="s">
        <v>172</v>
      </c>
    </row>
    <row r="23" spans="1:18" ht="16" thickBot="1" x14ac:dyDescent="0.2">
      <c r="A23" s="228">
        <v>30047</v>
      </c>
      <c r="B23" s="222">
        <v>2</v>
      </c>
      <c r="C23" s="223" t="str">
        <f t="shared" si="1"/>
        <v>30047_2</v>
      </c>
      <c r="D23" s="215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247">
        <v>22</v>
      </c>
      <c r="F23" s="222" t="s">
        <v>272</v>
      </c>
      <c r="G23" s="222">
        <v>125</v>
      </c>
      <c r="H23" s="222">
        <v>1</v>
      </c>
      <c r="I23" s="222">
        <v>1</v>
      </c>
      <c r="J23" s="222">
        <v>1</v>
      </c>
      <c r="K23" s="222">
        <v>0</v>
      </c>
      <c r="L23" s="222">
        <v>0</v>
      </c>
      <c r="M23" s="222">
        <v>0</v>
      </c>
      <c r="N23" s="222">
        <v>0</v>
      </c>
      <c r="O23" s="222">
        <v>1</v>
      </c>
      <c r="P23" s="222">
        <v>10</v>
      </c>
      <c r="Q23" s="222" t="s">
        <v>171</v>
      </c>
      <c r="R23" s="222" t="s">
        <v>172</v>
      </c>
    </row>
    <row r="24" spans="1:18" x14ac:dyDescent="0.15">
      <c r="A24" s="229">
        <v>30047</v>
      </c>
      <c r="B24" s="220">
        <v>1</v>
      </c>
      <c r="C24" s="221" t="str">
        <f t="shared" si="1"/>
        <v>30047_1</v>
      </c>
      <c r="D24" s="209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249">
        <v>23</v>
      </c>
      <c r="F24" s="220" t="s">
        <v>272</v>
      </c>
      <c r="G24" s="220">
        <v>1252</v>
      </c>
      <c r="H24" s="220">
        <v>1</v>
      </c>
      <c r="I24" s="220">
        <v>1</v>
      </c>
      <c r="J24" s="220">
        <v>1</v>
      </c>
      <c r="K24" s="220">
        <v>0</v>
      </c>
      <c r="L24" s="220">
        <v>0</v>
      </c>
      <c r="M24" s="220">
        <v>0</v>
      </c>
      <c r="N24" s="220">
        <v>0</v>
      </c>
      <c r="O24" s="220">
        <v>1</v>
      </c>
      <c r="P24" s="220">
        <v>200</v>
      </c>
      <c r="Q24" s="220" t="s">
        <v>171</v>
      </c>
      <c r="R24" s="220" t="s">
        <v>172</v>
      </c>
    </row>
    <row r="25" spans="1:18" x14ac:dyDescent="0.15">
      <c r="A25" s="230">
        <v>30047</v>
      </c>
      <c r="B25" s="220">
        <v>1</v>
      </c>
      <c r="C25" s="69" t="str">
        <f t="shared" si="1"/>
        <v>30047_1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5">
        <v>24</v>
      </c>
      <c r="F25" s="55" t="s">
        <v>169</v>
      </c>
      <c r="G25" s="55">
        <v>3200</v>
      </c>
      <c r="H25" s="55" t="s">
        <v>89</v>
      </c>
      <c r="I25" s="55">
        <v>1</v>
      </c>
      <c r="J25" s="55">
        <v>1</v>
      </c>
      <c r="K25" s="55">
        <v>0</v>
      </c>
      <c r="L25" s="55">
        <v>0</v>
      </c>
      <c r="M25" s="55">
        <v>0</v>
      </c>
      <c r="N25" s="55">
        <v>0</v>
      </c>
      <c r="O25" s="55">
        <v>1</v>
      </c>
      <c r="P25" s="55">
        <v>200</v>
      </c>
      <c r="Q25" s="55" t="s">
        <v>171</v>
      </c>
      <c r="R25" s="55" t="s">
        <v>172</v>
      </c>
    </row>
    <row r="26" spans="1:18" x14ac:dyDescent="0.15">
      <c r="A26" s="230">
        <v>30047</v>
      </c>
      <c r="B26" s="220">
        <v>1</v>
      </c>
      <c r="C26" s="69" t="str">
        <f t="shared" si="1"/>
        <v>30047_1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5">
        <v>25</v>
      </c>
      <c r="F26" s="55" t="s">
        <v>273</v>
      </c>
      <c r="G26" s="55">
        <v>20</v>
      </c>
      <c r="H26" s="55" t="s">
        <v>89</v>
      </c>
      <c r="I26" s="55">
        <v>1</v>
      </c>
      <c r="J26" s="55">
        <v>1</v>
      </c>
      <c r="K26" s="55">
        <v>0</v>
      </c>
      <c r="L26" s="55">
        <v>0</v>
      </c>
      <c r="M26" s="55">
        <v>0</v>
      </c>
      <c r="N26" s="55">
        <v>0</v>
      </c>
      <c r="O26" s="55">
        <v>1</v>
      </c>
      <c r="P26" s="55">
        <v>200</v>
      </c>
      <c r="Q26" s="55" t="s">
        <v>171</v>
      </c>
      <c r="R26" s="55" t="s">
        <v>172</v>
      </c>
    </row>
    <row r="27" spans="1:18" x14ac:dyDescent="0.15">
      <c r="A27" s="230">
        <v>30047</v>
      </c>
      <c r="B27" s="220">
        <v>1</v>
      </c>
      <c r="C27" s="69" t="str">
        <f t="shared" si="1"/>
        <v>30047_1</v>
      </c>
      <c r="D27" s="18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5">
        <v>26</v>
      </c>
      <c r="F27" s="55" t="s">
        <v>272</v>
      </c>
      <c r="G27" s="55">
        <v>340</v>
      </c>
      <c r="H27" s="55">
        <v>1</v>
      </c>
      <c r="I27" s="55">
        <v>1</v>
      </c>
      <c r="J27" s="55">
        <v>1</v>
      </c>
      <c r="K27" s="55">
        <v>0</v>
      </c>
      <c r="L27" s="55">
        <v>0</v>
      </c>
      <c r="M27" s="55">
        <v>0</v>
      </c>
      <c r="N27" s="55">
        <v>0</v>
      </c>
      <c r="O27" s="55">
        <v>1</v>
      </c>
      <c r="P27" s="55">
        <v>70</v>
      </c>
      <c r="Q27" s="55" t="s">
        <v>171</v>
      </c>
      <c r="R27" s="55" t="s">
        <v>172</v>
      </c>
    </row>
    <row r="28" spans="1:18" x14ac:dyDescent="0.15">
      <c r="A28" s="230">
        <v>30047</v>
      </c>
      <c r="B28" s="220">
        <v>1</v>
      </c>
      <c r="C28" s="69" t="str">
        <f t="shared" si="1"/>
        <v>30047_1</v>
      </c>
      <c r="D28" s="18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55">
        <v>27</v>
      </c>
      <c r="F28" s="55" t="s">
        <v>272</v>
      </c>
      <c r="G28" s="55">
        <v>341</v>
      </c>
      <c r="H28" s="55">
        <v>1</v>
      </c>
      <c r="I28" s="55">
        <v>1</v>
      </c>
      <c r="J28" s="55">
        <v>1</v>
      </c>
      <c r="K28" s="55">
        <v>0</v>
      </c>
      <c r="L28" s="55">
        <v>0</v>
      </c>
      <c r="M28" s="55">
        <v>0</v>
      </c>
      <c r="N28" s="55">
        <v>0</v>
      </c>
      <c r="O28" s="55">
        <v>1</v>
      </c>
      <c r="P28" s="55">
        <v>70</v>
      </c>
      <c r="Q28" s="55" t="s">
        <v>171</v>
      </c>
      <c r="R28" s="55" t="s">
        <v>172</v>
      </c>
    </row>
    <row r="29" spans="1:18" x14ac:dyDescent="0.15">
      <c r="A29" s="230">
        <v>30047</v>
      </c>
      <c r="B29" s="220">
        <v>1</v>
      </c>
      <c r="C29" s="69" t="str">
        <f t="shared" si="1"/>
        <v>30047_1</v>
      </c>
      <c r="D29" s="18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55">
        <v>28</v>
      </c>
      <c r="F29" s="55" t="s">
        <v>272</v>
      </c>
      <c r="G29" s="55">
        <v>352</v>
      </c>
      <c r="H29" s="55">
        <v>1</v>
      </c>
      <c r="I29" s="55">
        <v>1</v>
      </c>
      <c r="J29" s="55">
        <v>1</v>
      </c>
      <c r="K29" s="55">
        <v>0</v>
      </c>
      <c r="L29" s="55">
        <v>0</v>
      </c>
      <c r="M29" s="55">
        <v>0</v>
      </c>
      <c r="N29" s="55">
        <v>0</v>
      </c>
      <c r="O29" s="55">
        <v>1</v>
      </c>
      <c r="P29" s="55">
        <v>100</v>
      </c>
      <c r="Q29" s="55" t="s">
        <v>171</v>
      </c>
      <c r="R29" s="55" t="s">
        <v>172</v>
      </c>
    </row>
    <row r="30" spans="1:18" x14ac:dyDescent="0.15">
      <c r="A30" s="230">
        <v>30047</v>
      </c>
      <c r="B30" s="220">
        <v>1</v>
      </c>
      <c r="C30" s="69" t="str">
        <f t="shared" si="1"/>
        <v>30047_1</v>
      </c>
      <c r="D30" s="18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55">
        <v>29</v>
      </c>
      <c r="F30" s="55" t="s">
        <v>272</v>
      </c>
      <c r="G30" s="55">
        <v>121</v>
      </c>
      <c r="H30" s="55">
        <v>1</v>
      </c>
      <c r="I30" s="55">
        <v>1</v>
      </c>
      <c r="J30" s="55">
        <v>1</v>
      </c>
      <c r="K30" s="55">
        <v>0</v>
      </c>
      <c r="L30" s="55">
        <v>0</v>
      </c>
      <c r="M30" s="55">
        <v>0</v>
      </c>
      <c r="N30" s="55">
        <v>0</v>
      </c>
      <c r="O30" s="55">
        <v>1</v>
      </c>
      <c r="P30" s="55">
        <v>50</v>
      </c>
      <c r="Q30" s="55" t="s">
        <v>171</v>
      </c>
      <c r="R30" s="55" t="s">
        <v>172</v>
      </c>
    </row>
    <row r="31" spans="1:18" x14ac:dyDescent="0.15">
      <c r="A31" s="230">
        <v>30047</v>
      </c>
      <c r="B31" s="220">
        <v>1</v>
      </c>
      <c r="C31" s="69" t="str">
        <f t="shared" si="1"/>
        <v>30047_1</v>
      </c>
      <c r="D31" s="18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55">
        <v>30</v>
      </c>
      <c r="F31" s="55" t="s">
        <v>272</v>
      </c>
      <c r="G31" s="55">
        <v>122</v>
      </c>
      <c r="H31" s="55">
        <v>1</v>
      </c>
      <c r="I31" s="55">
        <v>1</v>
      </c>
      <c r="J31" s="55">
        <v>1</v>
      </c>
      <c r="K31" s="55">
        <v>0</v>
      </c>
      <c r="L31" s="55">
        <v>0</v>
      </c>
      <c r="M31" s="55">
        <v>0</v>
      </c>
      <c r="N31" s="55">
        <v>0</v>
      </c>
      <c r="O31" s="55">
        <v>1</v>
      </c>
      <c r="P31" s="55">
        <v>50</v>
      </c>
      <c r="Q31" s="55" t="s">
        <v>171</v>
      </c>
      <c r="R31" s="55" t="s">
        <v>172</v>
      </c>
    </row>
    <row r="32" spans="1:18" x14ac:dyDescent="0.15">
      <c r="A32" s="230">
        <v>30047</v>
      </c>
      <c r="B32" s="220">
        <v>1</v>
      </c>
      <c r="C32" s="69" t="str">
        <f t="shared" si="1"/>
        <v>30047_1</v>
      </c>
      <c r="D32" s="18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55">
        <v>31</v>
      </c>
      <c r="F32" s="55" t="s">
        <v>272</v>
      </c>
      <c r="G32" s="55">
        <v>123</v>
      </c>
      <c r="H32" s="55">
        <v>1</v>
      </c>
      <c r="I32" s="55">
        <v>1</v>
      </c>
      <c r="J32" s="55">
        <v>1</v>
      </c>
      <c r="K32" s="55">
        <v>0</v>
      </c>
      <c r="L32" s="55">
        <v>0</v>
      </c>
      <c r="M32" s="55">
        <v>0</v>
      </c>
      <c r="N32" s="55">
        <v>0</v>
      </c>
      <c r="O32" s="55">
        <v>1</v>
      </c>
      <c r="P32" s="55">
        <v>50</v>
      </c>
      <c r="Q32" s="55" t="s">
        <v>171</v>
      </c>
      <c r="R32" s="55" t="s">
        <v>172</v>
      </c>
    </row>
    <row r="33" spans="1:18" x14ac:dyDescent="0.15">
      <c r="A33" s="230">
        <v>30047</v>
      </c>
      <c r="B33" s="220">
        <v>1</v>
      </c>
      <c r="C33" s="69" t="str">
        <f t="shared" si="1"/>
        <v>30047_1</v>
      </c>
      <c r="D33" s="18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55">
        <v>32</v>
      </c>
      <c r="F33" s="55" t="s">
        <v>272</v>
      </c>
      <c r="G33" s="55">
        <v>125</v>
      </c>
      <c r="H33" s="55">
        <v>1</v>
      </c>
      <c r="I33" s="55">
        <v>1</v>
      </c>
      <c r="J33" s="55">
        <v>1</v>
      </c>
      <c r="K33" s="55">
        <v>0</v>
      </c>
      <c r="L33" s="55">
        <v>0</v>
      </c>
      <c r="M33" s="55">
        <v>0</v>
      </c>
      <c r="N33" s="55">
        <v>0</v>
      </c>
      <c r="O33" s="55">
        <v>1</v>
      </c>
      <c r="P33" s="55">
        <v>10</v>
      </c>
      <c r="Q33" s="55" t="s">
        <v>171</v>
      </c>
      <c r="R33" s="55" t="s">
        <v>172</v>
      </c>
    </row>
  </sheetData>
  <phoneticPr fontId="5"/>
  <dataValidations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42" activePane="bottomLeft" state="frozen"/>
      <selection pane="bottomLeft" activeCell="L32" sqref="L32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189</v>
      </c>
      <c r="B1" s="71" t="s">
        <v>190</v>
      </c>
      <c r="C1" s="75" t="s">
        <v>191</v>
      </c>
      <c r="D1" s="75" t="s">
        <v>33</v>
      </c>
      <c r="E1" s="71" t="s">
        <v>192</v>
      </c>
      <c r="F1" s="75" t="s">
        <v>193</v>
      </c>
      <c r="G1" s="75" t="s">
        <v>33</v>
      </c>
      <c r="H1" s="71" t="s">
        <v>194</v>
      </c>
      <c r="I1" s="89" t="s">
        <v>196</v>
      </c>
      <c r="J1" s="77" t="s">
        <v>127</v>
      </c>
      <c r="K1" s="76" t="s">
        <v>188</v>
      </c>
      <c r="L1" s="90" t="s">
        <v>187</v>
      </c>
      <c r="M1" s="78" t="s">
        <v>197</v>
      </c>
    </row>
    <row r="2" spans="1:13" x14ac:dyDescent="0.15">
      <c r="A2" s="79" t="s">
        <v>201</v>
      </c>
      <c r="B2" s="80">
        <f>floors!$C$5</f>
        <v>30047</v>
      </c>
      <c r="C2" s="81" t="str">
        <f ca="1">VLOOKUP($B2,OFFSET([2]quests!$A$1,0,0,COUNTA([2]quests!$A:$A),MATCH(C$1,[2]quests!$1:$1,0)-MATCH($B$1,[2]quests!$1:$1,0)+1),MATCH(C$1,[2]quests!$1:$1,0)-MATCH($B$1,[2]quests!$1:$1,0)+1,FALSE)</f>
        <v>終末の旋律</v>
      </c>
      <c r="D2" s="81" t="str">
        <f ca="1">VLOOKUP($B2,OFFSET([2]quests!$A$1,0,0,COUNTA([2]quests!$A:$A),MATCH(D$1,[2]quests!$1:$1,0)-MATCH($B$1,[2]quests!$1:$1,0)+1),MATCH(D$1,[2]quests!$1:$1,0)-MATCH($B$1,[2]quests!$1:$1,0)+1,FALSE)</f>
        <v>北欧シリーズ第三弾　超級</v>
      </c>
      <c r="E2" s="85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【中級】終末の旋律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北欧シリーズ第三弾　超級</v>
      </c>
      <c r="H2" s="83">
        <v>0</v>
      </c>
      <c r="I2">
        <v>3</v>
      </c>
      <c r="J2" s="82" t="s">
        <v>199</v>
      </c>
      <c r="K2" s="91" t="str">
        <f>VLOOKUP(I2,[7]stage_hints!$A:$C,3,FALSE)</f>
        <v>ターゲット</v>
      </c>
      <c r="L2" s="92" t="str">
        <f>VLOOKUP(I2,[7]stage_hints!$A:$D,4,FALSE)</f>
        <v>敵ユニットをタップすると_x000D_その敵を狙い撃ちできます</v>
      </c>
      <c r="M2" s="55" t="s">
        <v>211</v>
      </c>
    </row>
    <row r="3" spans="1:13" x14ac:dyDescent="0.15">
      <c r="A3" s="79" t="s">
        <v>201</v>
      </c>
      <c r="B3" s="80">
        <f>floors!$C$5</f>
        <v>30047</v>
      </c>
      <c r="C3" s="81" t="str">
        <f ca="1">VLOOKUP($B3,OFFSET([2]quests!$A$1,0,0,COUNTA([2]quests!$A:$A),MATCH(C$1,[2]quests!$1:$1,0)-MATCH($B$1,[2]quests!$1:$1,0)+1),MATCH(C$1,[2]quests!$1:$1,0)-MATCH($B$1,[2]quests!$1:$1,0)+1,FALSE)</f>
        <v>終末の旋律</v>
      </c>
      <c r="D3" s="81" t="str">
        <f ca="1">VLOOKUP($B3,OFFSET([2]quests!$A$1,0,0,COUNTA([2]quests!$A:$A),MATCH(D$1,[2]quests!$1:$1,0)-MATCH($B$1,[2]quests!$1:$1,0)+1),MATCH(D$1,[2]quests!$1:$1,0)-MATCH($B$1,[2]quests!$1:$1,0)+1,FALSE)</f>
        <v>北欧シリーズ第三弾　超級</v>
      </c>
      <c r="E3" s="85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【中級】終末の旋律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北欧シリーズ第三弾　超級</v>
      </c>
      <c r="H3" s="83">
        <v>0</v>
      </c>
      <c r="I3">
        <v>6</v>
      </c>
      <c r="J3" s="82" t="s">
        <v>199</v>
      </c>
      <c r="K3" s="91" t="str">
        <f>VLOOKUP(I3,[7]stage_hints!$A:$C,3,FALSE)</f>
        <v>ユニット強化の属性ボーナス</v>
      </c>
      <c r="L3" s="92" t="str">
        <f>VLOOKUP(I3,[7]stage_hints!$A:$D,4,FALSE)</f>
        <v>同属性ユニットを強化素材にすると_x000D_経験値が多くもらえます</v>
      </c>
      <c r="M3" s="55" t="s">
        <v>211</v>
      </c>
    </row>
    <row r="4" spans="1:13" x14ac:dyDescent="0.15">
      <c r="A4" s="79" t="s">
        <v>201</v>
      </c>
      <c r="B4" s="80">
        <f>floors!$C$5</f>
        <v>30047</v>
      </c>
      <c r="C4" s="81" t="str">
        <f ca="1">VLOOKUP($B4,OFFSET([2]quests!$A$1,0,0,COUNTA([2]quests!$A:$A),MATCH(C$1,[2]quests!$1:$1,0)-MATCH($B$1,[2]quests!$1:$1,0)+1),MATCH(C$1,[2]quests!$1:$1,0)-MATCH($B$1,[2]quests!$1:$1,0)+1,FALSE)</f>
        <v>終末の旋律</v>
      </c>
      <c r="D4" s="81" t="str">
        <f ca="1">VLOOKUP($B4,OFFSET([2]quests!$A$1,0,0,COUNTA([2]quests!$A:$A),MATCH(D$1,[2]quests!$1:$1,0)-MATCH($B$1,[2]quests!$1:$1,0)+1),MATCH(D$1,[2]quests!$1:$1,0)-MATCH($B$1,[2]quests!$1:$1,0)+1,FALSE)</f>
        <v>北欧シリーズ第三弾　超級</v>
      </c>
      <c r="E4" s="85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【中級】終末の旋律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北欧シリーズ第三弾　超級</v>
      </c>
      <c r="H4" s="83">
        <v>0</v>
      </c>
      <c r="I4">
        <v>7</v>
      </c>
      <c r="J4" s="82" t="s">
        <v>199</v>
      </c>
      <c r="K4" s="91" t="str">
        <f>VLOOKUP(I4,[7]stage_hints!$A:$C,3,FALSE)</f>
        <v>メタルダックで経験値を獲得</v>
      </c>
      <c r="L4" s="92" t="str">
        <f>VLOOKUP(I4,[7]stage_hints!$A:$D,4,FALSE)</f>
        <v>「メタルなアヒル」を強化素材にすると_x000D_大量の経験値がもらえます</v>
      </c>
      <c r="M4" s="55" t="s">
        <v>211</v>
      </c>
    </row>
    <row r="5" spans="1:13" x14ac:dyDescent="0.15">
      <c r="A5" s="79" t="s">
        <v>201</v>
      </c>
      <c r="B5" s="80">
        <f>floors!$C$5</f>
        <v>30047</v>
      </c>
      <c r="C5" s="81" t="str">
        <f ca="1">VLOOKUP($B5,OFFSET([2]quests!$A$1,0,0,COUNTA([2]quests!$A:$A),MATCH(C$1,[2]quests!$1:$1,0)-MATCH($B$1,[2]quests!$1:$1,0)+1),MATCH(C$1,[2]quests!$1:$1,0)-MATCH($B$1,[2]quests!$1:$1,0)+1,FALSE)</f>
        <v>終末の旋律</v>
      </c>
      <c r="D5" s="81" t="str">
        <f ca="1">VLOOKUP($B5,OFFSET([2]quests!$A$1,0,0,COUNTA([2]quests!$A:$A),MATCH(D$1,[2]quests!$1:$1,0)-MATCH($B$1,[2]quests!$1:$1,0)+1),MATCH(D$1,[2]quests!$1:$1,0)-MATCH($B$1,[2]quests!$1:$1,0)+1,FALSE)</f>
        <v>北欧シリーズ第三弾　超級</v>
      </c>
      <c r="E5" s="85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【中級】終末の旋律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北欧シリーズ第三弾　超級</v>
      </c>
      <c r="H5" s="83">
        <v>0</v>
      </c>
      <c r="I5">
        <v>8</v>
      </c>
      <c r="J5" s="82" t="s">
        <v>199</v>
      </c>
      <c r="K5" s="91" t="str">
        <f>VLOOKUP(I5,[7]stage_hints!$A:$C,3,FALSE)</f>
        <v>ゲリラクエストは要チェック</v>
      </c>
      <c r="L5" s="92" t="str">
        <f>VLOOKUP(I5,[7]stage_hints!$A:$D,4,FALSE)</f>
        <v>時間限定の「アヒル捕獲作戦」では_x000D_経験値素材ユニットが多く手に入ります</v>
      </c>
      <c r="M5" s="55" t="s">
        <v>211</v>
      </c>
    </row>
    <row r="6" spans="1:13" x14ac:dyDescent="0.15">
      <c r="A6" s="79" t="s">
        <v>201</v>
      </c>
      <c r="B6" s="80">
        <f>floors!$C$5</f>
        <v>30047</v>
      </c>
      <c r="C6" s="81" t="str">
        <f ca="1">VLOOKUP($B6,OFFSET([2]quests!$A$1,0,0,COUNTA([2]quests!$A:$A),MATCH(C$1,[2]quests!$1:$1,0)-MATCH($B$1,[2]quests!$1:$1,0)+1),MATCH(C$1,[2]quests!$1:$1,0)-MATCH($B$1,[2]quests!$1:$1,0)+1,FALSE)</f>
        <v>終末の旋律</v>
      </c>
      <c r="D6" s="81" t="str">
        <f ca="1">VLOOKUP($B6,OFFSET([2]quests!$A$1,0,0,COUNTA([2]quests!$A:$A),MATCH(D$1,[2]quests!$1:$1,0)-MATCH($B$1,[2]quests!$1:$1,0)+1),MATCH(D$1,[2]quests!$1:$1,0)-MATCH($B$1,[2]quests!$1:$1,0)+1,FALSE)</f>
        <v>北欧シリーズ第三弾　超級</v>
      </c>
      <c r="E6" s="85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【中級】終末の旋律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北欧シリーズ第三弾　超級</v>
      </c>
      <c r="H6" s="83">
        <v>0</v>
      </c>
      <c r="I6">
        <v>9</v>
      </c>
      <c r="J6" s="82" t="s">
        <v>199</v>
      </c>
      <c r="K6" s="91" t="str">
        <f>VLOOKUP(I6,[7]stage_hints!$A:$C,3,FALSE)</f>
        <v>ゴールドダックでビットを獲得</v>
      </c>
      <c r="L6" s="92" t="str">
        <f>VLOOKUP(I6,[7]stage_hints!$A:$D,4,FALSE)</f>
        <v>「ゴールドなアヒル」を売却すると_x000D_大量のビットがもらえます</v>
      </c>
      <c r="M6" s="55" t="s">
        <v>211</v>
      </c>
    </row>
    <row r="7" spans="1:13" x14ac:dyDescent="0.15">
      <c r="A7" s="79" t="s">
        <v>201</v>
      </c>
      <c r="B7" s="80">
        <f>floors!$C$5</f>
        <v>30047</v>
      </c>
      <c r="C7" s="81" t="str">
        <f ca="1">VLOOKUP($B7,OFFSET([2]quests!$A$1,0,0,COUNTA([2]quests!$A:$A),MATCH(C$1,[2]quests!$1:$1,0)-MATCH($B$1,[2]quests!$1:$1,0)+1),MATCH(C$1,[2]quests!$1:$1,0)-MATCH($B$1,[2]quests!$1:$1,0)+1,FALSE)</f>
        <v>終末の旋律</v>
      </c>
      <c r="D7" s="81" t="str">
        <f ca="1">VLOOKUP($B7,OFFSET([2]quests!$A$1,0,0,COUNTA([2]quests!$A:$A),MATCH(D$1,[2]quests!$1:$1,0)-MATCH($B$1,[2]quests!$1:$1,0)+1),MATCH(D$1,[2]quests!$1:$1,0)-MATCH($B$1,[2]quests!$1:$1,0)+1,FALSE)</f>
        <v>北欧シリーズ第三弾　超級</v>
      </c>
      <c r="E7" s="85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【中級】終末の旋律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北欧シリーズ第三弾　超級</v>
      </c>
      <c r="H7" s="83">
        <v>0</v>
      </c>
      <c r="I7">
        <v>10</v>
      </c>
      <c r="J7" s="82" t="s">
        <v>199</v>
      </c>
      <c r="K7" s="91" t="str">
        <f>VLOOKUP(I7,[7]stage_hints!$A:$C,3,FALSE)</f>
        <v>土日に大量のビットを獲得</v>
      </c>
      <c r="L7" s="92" t="str">
        <f>VLOOKUP(I7,[7]stage_hints!$A:$D,4,FALSE)</f>
        <v>土日限定の「ゴールドカジノ」では_x000D_売却素材ユニットが多く手に入ります</v>
      </c>
      <c r="M7" s="55" t="s">
        <v>211</v>
      </c>
    </row>
    <row r="8" spans="1:13" x14ac:dyDescent="0.15">
      <c r="A8" s="79" t="s">
        <v>201</v>
      </c>
      <c r="B8" s="80">
        <f>floors!$C$5</f>
        <v>30047</v>
      </c>
      <c r="C8" s="81" t="str">
        <f ca="1">VLOOKUP($B8,OFFSET([2]quests!$A$1,0,0,COUNTA([2]quests!$A:$A),MATCH(C$1,[2]quests!$1:$1,0)-MATCH($B$1,[2]quests!$1:$1,0)+1),MATCH(C$1,[2]quests!$1:$1,0)-MATCH($B$1,[2]quests!$1:$1,0)+1,FALSE)</f>
        <v>終末の旋律</v>
      </c>
      <c r="D8" s="81" t="str">
        <f ca="1">VLOOKUP($B8,OFFSET([2]quests!$A$1,0,0,COUNTA([2]quests!$A:$A),MATCH(D$1,[2]quests!$1:$1,0)-MATCH($B$1,[2]quests!$1:$1,0)+1),MATCH(D$1,[2]quests!$1:$1,0)-MATCH($B$1,[2]quests!$1:$1,0)+1,FALSE)</f>
        <v>北欧シリーズ第三弾　超級</v>
      </c>
      <c r="E8" s="85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【中級】終末の旋律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北欧シリーズ第三弾　超級</v>
      </c>
      <c r="H8" s="83">
        <v>0</v>
      </c>
      <c r="I8">
        <v>11</v>
      </c>
      <c r="J8" s="82" t="s">
        <v>199</v>
      </c>
      <c r="K8" s="91" t="str">
        <f>VLOOKUP(I8,[7]stage_hints!$A:$C,3,FALSE)</f>
        <v>ランク解放クエスト</v>
      </c>
      <c r="L8" s="92" t="str">
        <f>VLOOKUP(I8,[7]stage_hints!$A:$D,4,FALSE)</f>
        <v>一定ランクに到達すると_x000D_報酬付きのランク開放クエストが現れます</v>
      </c>
      <c r="M8" s="55" t="s">
        <v>211</v>
      </c>
    </row>
    <row r="9" spans="1:13" x14ac:dyDescent="0.15">
      <c r="A9" s="79" t="s">
        <v>201</v>
      </c>
      <c r="B9" s="80">
        <f>floors!$C$5</f>
        <v>30047</v>
      </c>
      <c r="C9" s="81" t="str">
        <f ca="1">VLOOKUP($B9,OFFSET([2]quests!$A$1,0,0,COUNTA([2]quests!$A:$A),MATCH(C$1,[2]quests!$1:$1,0)-MATCH($B$1,[2]quests!$1:$1,0)+1),MATCH(C$1,[2]quests!$1:$1,0)-MATCH($B$1,[2]quests!$1:$1,0)+1,FALSE)</f>
        <v>終末の旋律</v>
      </c>
      <c r="D9" s="81" t="str">
        <f ca="1">VLOOKUP($B9,OFFSET([2]quests!$A$1,0,0,COUNTA([2]quests!$A:$A),MATCH(D$1,[2]quests!$1:$1,0)-MATCH($B$1,[2]quests!$1:$1,0)+1),MATCH(D$1,[2]quests!$1:$1,0)-MATCH($B$1,[2]quests!$1:$1,0)+1,FALSE)</f>
        <v>北欧シリーズ第三弾　超級</v>
      </c>
      <c r="E9" s="85">
        <v>1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【中級】終末の旋律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北欧シリーズ第三弾　超級</v>
      </c>
      <c r="H9" s="83">
        <v>0</v>
      </c>
      <c r="I9">
        <v>12</v>
      </c>
      <c r="J9" s="82" t="s">
        <v>199</v>
      </c>
      <c r="K9" s="91" t="str">
        <f>VLOOKUP(I9,[7]stage_hints!$A:$C,3,FALSE)</f>
        <v>ユニットのお気に入り登録</v>
      </c>
      <c r="L9" s="92" t="str">
        <f>VLOOKUP(I9,[7]stage_hints!$A:$D,4,FALSE)</f>
        <v>大事なユニットを誤って消さないように_x000D_フォルダから「お気に入り登録」しましょう</v>
      </c>
      <c r="M9" s="55" t="s">
        <v>211</v>
      </c>
    </row>
    <row r="10" spans="1:13" x14ac:dyDescent="0.15">
      <c r="A10" s="79" t="s">
        <v>201</v>
      </c>
      <c r="B10" s="80">
        <f>floors!$C$5</f>
        <v>30047</v>
      </c>
      <c r="C10" s="81" t="str">
        <f ca="1">VLOOKUP($B10,OFFSET([2]quests!$A$1,0,0,COUNTA([2]quests!$A:$A),MATCH(C$1,[2]quests!$1:$1,0)-MATCH($B$1,[2]quests!$1:$1,0)+1),MATCH(C$1,[2]quests!$1:$1,0)-MATCH($B$1,[2]quests!$1:$1,0)+1,FALSE)</f>
        <v>終末の旋律</v>
      </c>
      <c r="D10" s="81" t="str">
        <f ca="1">VLOOKUP($B10,OFFSET([2]quests!$A$1,0,0,COUNTA([2]quests!$A:$A),MATCH(D$1,[2]quests!$1:$1,0)-MATCH($B$1,[2]quests!$1:$1,0)+1),MATCH(D$1,[2]quests!$1:$1,0)-MATCH($B$1,[2]quests!$1:$1,0)+1,FALSE)</f>
        <v>北欧シリーズ第三弾　超級</v>
      </c>
      <c r="E10" s="85">
        <v>1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【中級】終末の旋律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北欧シリーズ第三弾　超級</v>
      </c>
      <c r="H10" s="83">
        <v>0</v>
      </c>
      <c r="I10">
        <v>13</v>
      </c>
      <c r="J10" s="82" t="s">
        <v>199</v>
      </c>
      <c r="K10" s="91" t="str">
        <f>VLOOKUP(I10,[7]stage_hints!$A:$C,3,FALSE)</f>
        <v>ユニットの覚醒</v>
      </c>
      <c r="L10" s="92" t="str">
        <f>VLOOKUP(I10,[7]stage_hints!$A:$D,4,FALSE)</f>
        <v>ユニットを覚醒させると_x000D_比べものにならない強さが手に入ります</v>
      </c>
      <c r="M10" s="55" t="s">
        <v>211</v>
      </c>
    </row>
    <row r="11" spans="1:13" x14ac:dyDescent="0.15">
      <c r="A11" s="79" t="s">
        <v>201</v>
      </c>
      <c r="B11" s="80">
        <f>floors!$C$5</f>
        <v>30047</v>
      </c>
      <c r="C11" s="81" t="str">
        <f ca="1">VLOOKUP($B11,OFFSET([2]quests!$A$1,0,0,COUNTA([2]quests!$A:$A),MATCH(C$1,[2]quests!$1:$1,0)-MATCH($B$1,[2]quests!$1:$1,0)+1),MATCH(C$1,[2]quests!$1:$1,0)-MATCH($B$1,[2]quests!$1:$1,0)+1,FALSE)</f>
        <v>終末の旋律</v>
      </c>
      <c r="D11" s="81" t="str">
        <f ca="1">VLOOKUP($B11,OFFSET([2]quests!$A$1,0,0,COUNTA([2]quests!$A:$A),MATCH(D$1,[2]quests!$1:$1,0)-MATCH($B$1,[2]quests!$1:$1,0)+1),MATCH(D$1,[2]quests!$1:$1,0)-MATCH($B$1,[2]quests!$1:$1,0)+1,FALSE)</f>
        <v>北欧シリーズ第三弾　超級</v>
      </c>
      <c r="E11" s="85">
        <v>1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【中級】終末の旋律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北欧シリーズ第三弾　超級</v>
      </c>
      <c r="H11" s="83">
        <v>0</v>
      </c>
      <c r="I11">
        <v>14</v>
      </c>
      <c r="J11" s="82" t="s">
        <v>199</v>
      </c>
      <c r="K11" s="91" t="str">
        <f>VLOOKUP(I11,[7]stage_hints!$A:$C,3,FALSE)</f>
        <v>覚醒するにはレベルを最大に</v>
      </c>
      <c r="L11" s="92" t="str">
        <f>VLOOKUP(I11,[7]stage_hints!$A:$D,4,FALSE)</f>
        <v>覚醒するにはユニットのレベルを_x000D_最大まで上げる必要があります</v>
      </c>
      <c r="M11" s="55" t="s">
        <v>211</v>
      </c>
    </row>
    <row r="12" spans="1:13" x14ac:dyDescent="0.15">
      <c r="A12" s="79" t="s">
        <v>201</v>
      </c>
      <c r="B12" s="80">
        <f>floors!$C$5</f>
        <v>30047</v>
      </c>
      <c r="C12" s="81" t="str">
        <f ca="1">VLOOKUP($B12,OFFSET([2]quests!$A$1,0,0,COUNTA([2]quests!$A:$A),MATCH(C$1,[2]quests!$1:$1,0)-MATCH($B$1,[2]quests!$1:$1,0)+1),MATCH(C$1,[2]quests!$1:$1,0)-MATCH($B$1,[2]quests!$1:$1,0)+1,FALSE)</f>
        <v>終末の旋律</v>
      </c>
      <c r="D12" s="81" t="str">
        <f ca="1">VLOOKUP($B12,OFFSET([2]quests!$A$1,0,0,COUNTA([2]quests!$A:$A),MATCH(D$1,[2]quests!$1:$1,0)-MATCH($B$1,[2]quests!$1:$1,0)+1),MATCH(D$1,[2]quests!$1:$1,0)-MATCH($B$1,[2]quests!$1:$1,0)+1,FALSE)</f>
        <v>北欧シリーズ第三弾　超級</v>
      </c>
      <c r="E12" s="85">
        <v>1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【中級】終末の旋律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北欧シリーズ第三弾　超級</v>
      </c>
      <c r="H12" s="83">
        <v>0</v>
      </c>
      <c r="I12">
        <v>15</v>
      </c>
      <c r="J12" s="82" t="s">
        <v>199</v>
      </c>
      <c r="K12" s="91" t="str">
        <f>VLOOKUP(I12,[7]stage_hints!$A:$C,3,FALSE)</f>
        <v>覚醒素材を獲得</v>
      </c>
      <c r="L12" s="92" t="str">
        <f>VLOOKUP(I12,[7]stage_hints!$A:$D,4,FALSE)</f>
        <v>「曜日クエスト」では_x000D_ユニットの覚醒に必要な素材が手に入ります</v>
      </c>
      <c r="M12" s="55" t="s">
        <v>211</v>
      </c>
    </row>
    <row r="13" spans="1:13" x14ac:dyDescent="0.15">
      <c r="A13" s="79" t="s">
        <v>201</v>
      </c>
      <c r="B13" s="80">
        <f>floors!$C$5</f>
        <v>30047</v>
      </c>
      <c r="C13" s="81" t="str">
        <f ca="1">VLOOKUP($B13,OFFSET([2]quests!$A$1,0,0,COUNTA([2]quests!$A:$A),MATCH(C$1,[2]quests!$1:$1,0)-MATCH($B$1,[2]quests!$1:$1,0)+1),MATCH(C$1,[2]quests!$1:$1,0)-MATCH($B$1,[2]quests!$1:$1,0)+1,FALSE)</f>
        <v>終末の旋律</v>
      </c>
      <c r="D13" s="81" t="str">
        <f ca="1">VLOOKUP($B13,OFFSET([2]quests!$A$1,0,0,COUNTA([2]quests!$A:$A),MATCH(D$1,[2]quests!$1:$1,0)-MATCH($B$1,[2]quests!$1:$1,0)+1),MATCH(D$1,[2]quests!$1:$1,0)-MATCH($B$1,[2]quests!$1:$1,0)+1,FALSE)</f>
        <v>北欧シリーズ第三弾　超級</v>
      </c>
      <c r="E13" s="85">
        <v>1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【中級】終末の旋律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北欧シリーズ第三弾　超級</v>
      </c>
      <c r="H13" s="83">
        <v>0</v>
      </c>
      <c r="I13">
        <v>16</v>
      </c>
      <c r="J13" s="82" t="s">
        <v>199</v>
      </c>
      <c r="K13" s="91" t="str">
        <f>VLOOKUP(I13,[7]stage_hints!$A:$C,3,FALSE)</f>
        <v>マルチプレイのメリット（その1）</v>
      </c>
      <c r="L13" s="92" t="str">
        <f>VLOOKUP(I13,[7]stage_hints!$A:$D,4,FALSE)</f>
        <v>他のプレイヤーとマルチプレイで遊ぶと_x000D_ポリゴンがもらえます（100人まで）</v>
      </c>
      <c r="M13" s="55" t="s">
        <v>211</v>
      </c>
    </row>
    <row r="14" spans="1:13" x14ac:dyDescent="0.15">
      <c r="A14" s="79" t="s">
        <v>201</v>
      </c>
      <c r="B14" s="80">
        <f>floors!$C$5</f>
        <v>30047</v>
      </c>
      <c r="C14" s="81" t="str">
        <f ca="1">VLOOKUP($B14,OFFSET([2]quests!$A$1,0,0,COUNTA([2]quests!$A:$A),MATCH(C$1,[2]quests!$1:$1,0)-MATCH($B$1,[2]quests!$1:$1,0)+1),MATCH(C$1,[2]quests!$1:$1,0)-MATCH($B$1,[2]quests!$1:$1,0)+1,FALSE)</f>
        <v>終末の旋律</v>
      </c>
      <c r="D14" s="81" t="str">
        <f ca="1">VLOOKUP($B14,OFFSET([2]quests!$A$1,0,0,COUNTA([2]quests!$A:$A),MATCH(D$1,[2]quests!$1:$1,0)-MATCH($B$1,[2]quests!$1:$1,0)+1),MATCH(D$1,[2]quests!$1:$1,0)-MATCH($B$1,[2]quests!$1:$1,0)+1,FALSE)</f>
        <v>北欧シリーズ第三弾　超級</v>
      </c>
      <c r="E14" s="85">
        <v>1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【中級】終末の旋律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北欧シリーズ第三弾　超級</v>
      </c>
      <c r="H14" s="83">
        <v>0</v>
      </c>
      <c r="I14">
        <v>17</v>
      </c>
      <c r="J14" s="82" t="s">
        <v>199</v>
      </c>
      <c r="K14" s="91" t="str">
        <f>VLOOKUP(I14,[7]stage_hints!$A:$C,3,FALSE)</f>
        <v>リンクガチャ</v>
      </c>
      <c r="L14" s="92" t="str">
        <f>VLOOKUP(I14,[7]stage_hints!$A:$D,4,FALSE)</f>
        <v>無料のリンクガチャを回して_x000D_経験値素材や売却素材を獲得しましょう</v>
      </c>
      <c r="M14" s="55" t="s">
        <v>211</v>
      </c>
    </row>
    <row r="15" spans="1:13" x14ac:dyDescent="0.15">
      <c r="A15" s="79" t="s">
        <v>201</v>
      </c>
      <c r="B15" s="80">
        <f>floors!$C$5</f>
        <v>30047</v>
      </c>
      <c r="C15" s="81" t="str">
        <f ca="1">VLOOKUP($B15,OFFSET([2]quests!$A$1,0,0,COUNTA([2]quests!$A:$A),MATCH(C$1,[2]quests!$1:$1,0)-MATCH($B$1,[2]quests!$1:$1,0)+1),MATCH(C$1,[2]quests!$1:$1,0)-MATCH($B$1,[2]quests!$1:$1,0)+1,FALSE)</f>
        <v>終末の旋律</v>
      </c>
      <c r="D15" s="81" t="str">
        <f ca="1">VLOOKUP($B15,OFFSET([2]quests!$A$1,0,0,COUNTA([2]quests!$A:$A),MATCH(D$1,[2]quests!$1:$1,0)-MATCH($B$1,[2]quests!$1:$1,0)+1),MATCH(D$1,[2]quests!$1:$1,0)-MATCH($B$1,[2]quests!$1:$1,0)+1,FALSE)</f>
        <v>北欧シリーズ第三弾　超級</v>
      </c>
      <c r="E15" s="85">
        <v>1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【中級】終末の旋律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北欧シリーズ第三弾　超級</v>
      </c>
      <c r="H15" s="83">
        <v>0</v>
      </c>
      <c r="I15">
        <v>18</v>
      </c>
      <c r="J15" s="82" t="s">
        <v>199</v>
      </c>
      <c r="K15" s="91" t="str">
        <f>VLOOKUP(I15,[7]stage_hints!$A:$C,3,FALSE)</f>
        <v>マルチプレイのメリット（その2）</v>
      </c>
      <c r="L15" s="92" t="str">
        <f>VLOOKUP(I15,[7]stage_hints!$A:$D,4,FALSE)</f>
        <v>マルチプレイならリンクが2倍もらえます_x000D_リンクガチャをたくさん回しましょう</v>
      </c>
      <c r="M15" s="55" t="s">
        <v>211</v>
      </c>
    </row>
    <row r="16" spans="1:13" x14ac:dyDescent="0.15">
      <c r="A16" s="79" t="s">
        <v>201</v>
      </c>
      <c r="B16" s="80">
        <f>floors!$C$5</f>
        <v>30047</v>
      </c>
      <c r="C16" s="81" t="str">
        <f ca="1">VLOOKUP($B16,OFFSET([2]quests!$A$1,0,0,COUNTA([2]quests!$A:$A),MATCH(C$1,[2]quests!$1:$1,0)-MATCH($B$1,[2]quests!$1:$1,0)+1),MATCH(C$1,[2]quests!$1:$1,0)-MATCH($B$1,[2]quests!$1:$1,0)+1,FALSE)</f>
        <v>終末の旋律</v>
      </c>
      <c r="D16" s="81" t="str">
        <f ca="1">VLOOKUP($B16,OFFSET([2]quests!$A$1,0,0,COUNTA([2]quests!$A:$A),MATCH(D$1,[2]quests!$1:$1,0)-MATCH($B$1,[2]quests!$1:$1,0)+1),MATCH(D$1,[2]quests!$1:$1,0)-MATCH($B$1,[2]quests!$1:$1,0)+1,FALSE)</f>
        <v>北欧シリーズ第三弾　超級</v>
      </c>
      <c r="E16" s="85">
        <v>1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【中級】終末の旋律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北欧シリーズ第三弾　超級</v>
      </c>
      <c r="H16" s="83">
        <v>0</v>
      </c>
      <c r="I16">
        <v>19</v>
      </c>
      <c r="J16" s="82" t="s">
        <v>199</v>
      </c>
      <c r="K16" s="91" t="str">
        <f>VLOOKUP(I16,[7]stage_hints!$A:$C,3,FALSE)</f>
        <v>ソロ専用タワーオブザクイーン</v>
      </c>
      <c r="L16" s="92" t="str">
        <f>VLOOKUP(I16,[7]stage_hints!$A:$D,4,FALSE)</f>
        <v>ソロ専用の「タワーオブザクイーン」は_x000D_期間限定で定期的に開催されます_x000D_ここでしか獲得できない報酬もあるようです</v>
      </c>
      <c r="M16" s="55" t="s">
        <v>211</v>
      </c>
    </row>
    <row r="17" spans="1:13" x14ac:dyDescent="0.15">
      <c r="A17" s="79" t="s">
        <v>201</v>
      </c>
      <c r="B17" s="80">
        <f>floors!$C$5</f>
        <v>30047</v>
      </c>
      <c r="C17" s="81" t="str">
        <f ca="1">VLOOKUP($B17,OFFSET([2]quests!$A$1,0,0,COUNTA([2]quests!$A:$A),MATCH(C$1,[2]quests!$1:$1,0)-MATCH($B$1,[2]quests!$1:$1,0)+1),MATCH(C$1,[2]quests!$1:$1,0)-MATCH($B$1,[2]quests!$1:$1,0)+1,FALSE)</f>
        <v>終末の旋律</v>
      </c>
      <c r="D17" s="81" t="str">
        <f ca="1">VLOOKUP($B17,OFFSET([2]quests!$A$1,0,0,COUNTA([2]quests!$A:$A),MATCH(D$1,[2]quests!$1:$1,0)-MATCH($B$1,[2]quests!$1:$1,0)+1),MATCH(D$1,[2]quests!$1:$1,0)-MATCH($B$1,[2]quests!$1:$1,0)+1,FALSE)</f>
        <v>北欧シリーズ第三弾　超級</v>
      </c>
      <c r="E17" s="85">
        <v>1</v>
      </c>
      <c r="F17" s="81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【中級】終末の旋律</v>
      </c>
      <c r="G17" s="81" t="str">
        <f ca="1">VLOOKUP($B17&amp;"_"&amp;$E17,OFFSET([2]stages!$A$1,0,0,COUNTA([2]stages!$A:$A),MATCH(G$1,[2]stages!$2:$2,0)-MATCH("temp_stage",[2]stages!$2:$2,0)+1),MATCH(G$1,[2]stages!$2:$2,0)-MATCH("temp_stage",[2]stages!$2:$2,0)+1,FALSE)</f>
        <v>北欧シリーズ第三弾　超級</v>
      </c>
      <c r="H17" s="83">
        <v>0</v>
      </c>
      <c r="I17">
        <v>20</v>
      </c>
      <c r="J17" s="82" t="s">
        <v>199</v>
      </c>
      <c r="K17" s="91" t="str">
        <f>VLOOKUP(I17,[7]stage_hints!$A:$C,3,FALSE)</f>
        <v>マルチプレイのメリット（その3）</v>
      </c>
      <c r="L17" s="92" t="str">
        <f>VLOOKUP(I17,[7]stage_hints!$A:$D,4,FALSE)</f>
        <v>マルチプレイへの参加はエナジー消費ゼロ_x000D_いつでも好きなだけ遊ぶことができます</v>
      </c>
      <c r="M17" s="55" t="s">
        <v>211</v>
      </c>
    </row>
    <row r="18" spans="1:13" x14ac:dyDescent="0.15">
      <c r="A18" s="79" t="s">
        <v>201</v>
      </c>
      <c r="B18" s="80">
        <f>floors!$C$5</f>
        <v>30047</v>
      </c>
      <c r="C18" s="81" t="str">
        <f ca="1">VLOOKUP($B18,OFFSET([2]quests!$A$1,0,0,COUNTA([2]quests!$A:$A),MATCH(C$1,[2]quests!$1:$1,0)-MATCH($B$1,[2]quests!$1:$1,0)+1),MATCH(C$1,[2]quests!$1:$1,0)-MATCH($B$1,[2]quests!$1:$1,0)+1,FALSE)</f>
        <v>終末の旋律</v>
      </c>
      <c r="D18" s="81" t="str">
        <f ca="1">VLOOKUP($B18,OFFSET([2]quests!$A$1,0,0,COUNTA([2]quests!$A:$A),MATCH(D$1,[2]quests!$1:$1,0)-MATCH($B$1,[2]quests!$1:$1,0)+1),MATCH(D$1,[2]quests!$1:$1,0)-MATCH($B$1,[2]quests!$1:$1,0)+1,FALSE)</f>
        <v>北欧シリーズ第三弾　超級</v>
      </c>
      <c r="E18" s="85">
        <v>1</v>
      </c>
      <c r="F18" s="81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【中級】終末の旋律</v>
      </c>
      <c r="G18" s="81" t="str">
        <f ca="1">VLOOKUP($B18&amp;"_"&amp;$E18,OFFSET([2]stages!$A$1,0,0,COUNTA([2]stages!$A:$A),MATCH(G$1,[2]stages!$2:$2,0)-MATCH("temp_stage",[2]stages!$2:$2,0)+1),MATCH(G$1,[2]stages!$2:$2,0)-MATCH("temp_stage",[2]stages!$2:$2,0)+1,FALSE)</f>
        <v>北欧シリーズ第三弾　超級</v>
      </c>
      <c r="H18" s="83">
        <v>0</v>
      </c>
      <c r="I18">
        <v>21</v>
      </c>
      <c r="J18" s="82" t="s">
        <v>199</v>
      </c>
      <c r="K18" s="91" t="str">
        <f>VLOOKUP(I18,[7]stage_hints!$A:$C,3,FALSE)</f>
        <v>スキルを有効に</v>
      </c>
      <c r="L18" s="92" t="str">
        <f>VLOOKUP(I18,[7]stage_hints!$A:$D,4,FALSE)</f>
        <v>ターン経過でユニットのスキルが使えます_x000D_強力スキルでバトルを有利に進めましょう</v>
      </c>
      <c r="M18" s="55" t="s">
        <v>211</v>
      </c>
    </row>
    <row r="19" spans="1:13" x14ac:dyDescent="0.15">
      <c r="A19" s="79" t="s">
        <v>201</v>
      </c>
      <c r="B19" s="80">
        <f>floors!$C$5</f>
        <v>30047</v>
      </c>
      <c r="C19" s="81" t="str">
        <f ca="1">VLOOKUP($B19,OFFSET([2]quests!$A$1,0,0,COUNTA([2]quests!$A:$A),MATCH(C$1,[2]quests!$1:$1,0)-MATCH($B$1,[2]quests!$1:$1,0)+1),MATCH(C$1,[2]quests!$1:$1,0)-MATCH($B$1,[2]quests!$1:$1,0)+1,FALSE)</f>
        <v>終末の旋律</v>
      </c>
      <c r="D19" s="81" t="str">
        <f ca="1">VLOOKUP($B19,OFFSET([2]quests!$A$1,0,0,COUNTA([2]quests!$A:$A),MATCH(D$1,[2]quests!$1:$1,0)-MATCH($B$1,[2]quests!$1:$1,0)+1),MATCH(D$1,[2]quests!$1:$1,0)-MATCH($B$1,[2]quests!$1:$1,0)+1,FALSE)</f>
        <v>北欧シリーズ第三弾　超級</v>
      </c>
      <c r="E19" s="85">
        <v>1</v>
      </c>
      <c r="F19" s="81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【中級】終末の旋律</v>
      </c>
      <c r="G19" s="81" t="str">
        <f ca="1">VLOOKUP($B19&amp;"_"&amp;$E19,OFFSET([2]stages!$A$1,0,0,COUNTA([2]stages!$A:$A),MATCH(G$1,[2]stages!$2:$2,0)-MATCH("temp_stage",[2]stages!$2:$2,0)+1),MATCH(G$1,[2]stages!$2:$2,0)-MATCH("temp_stage",[2]stages!$2:$2,0)+1,FALSE)</f>
        <v>北欧シリーズ第三弾　超級</v>
      </c>
      <c r="H19" s="83">
        <v>0</v>
      </c>
      <c r="I19">
        <v>22</v>
      </c>
      <c r="J19" s="82" t="s">
        <v>199</v>
      </c>
      <c r="K19" s="91" t="str">
        <f>VLOOKUP(I19,[7]stage_hints!$A:$C,3,FALSE)</f>
        <v>フィーバーで一発逆転（その1）</v>
      </c>
      <c r="L19" s="92" t="str">
        <f>VLOOKUP(I19,[7]stage_hints!$A:$D,4,FALSE)</f>
        <v>フィーバーは攻撃と回復を兼ね備えます_x000D_ピンチからの一発逆転を狙いましょう</v>
      </c>
      <c r="M19" s="55" t="s">
        <v>211</v>
      </c>
    </row>
    <row r="20" spans="1:13" x14ac:dyDescent="0.15">
      <c r="A20" s="79" t="s">
        <v>201</v>
      </c>
      <c r="B20" s="80">
        <f>floors!$C$5</f>
        <v>30047</v>
      </c>
      <c r="C20" s="81" t="str">
        <f ca="1">VLOOKUP($B20,OFFSET([2]quests!$A$1,0,0,COUNTA([2]quests!$A:$A),MATCH(C$1,[2]quests!$1:$1,0)-MATCH($B$1,[2]quests!$1:$1,0)+1),MATCH(C$1,[2]quests!$1:$1,0)-MATCH($B$1,[2]quests!$1:$1,0)+1,FALSE)</f>
        <v>終末の旋律</v>
      </c>
      <c r="D20" s="81" t="str">
        <f ca="1">VLOOKUP($B20,OFFSET([2]quests!$A$1,0,0,COUNTA([2]quests!$A:$A),MATCH(D$1,[2]quests!$1:$1,0)-MATCH($B$1,[2]quests!$1:$1,0)+1),MATCH(D$1,[2]quests!$1:$1,0)-MATCH($B$1,[2]quests!$1:$1,0)+1,FALSE)</f>
        <v>北欧シリーズ第三弾　超級</v>
      </c>
      <c r="E20" s="85">
        <v>1</v>
      </c>
      <c r="F20" s="81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【中級】終末の旋律</v>
      </c>
      <c r="G20" s="81" t="str">
        <f ca="1">VLOOKUP($B20&amp;"_"&amp;$E20,OFFSET([2]stages!$A$1,0,0,COUNTA([2]stages!$A:$A),MATCH(G$1,[2]stages!$2:$2,0)-MATCH("temp_stage",[2]stages!$2:$2,0)+1),MATCH(G$1,[2]stages!$2:$2,0)-MATCH("temp_stage",[2]stages!$2:$2,0)+1,FALSE)</f>
        <v>北欧シリーズ第三弾　超級</v>
      </c>
      <c r="H20" s="83">
        <v>0</v>
      </c>
      <c r="I20">
        <v>23</v>
      </c>
      <c r="J20" s="82" t="s">
        <v>199</v>
      </c>
      <c r="K20" s="91" t="str">
        <f>VLOOKUP(I20,[7]stage_hints!$A:$C,3,FALSE)</f>
        <v>フィーバーで一発逆転（その2）</v>
      </c>
      <c r="L20" s="92" t="str">
        <f>VLOOKUP(I20,[7]stage_hints!$A:$D,4,FALSE)</f>
        <v>フィーバー中は虹色のボムパネルを狙って_x000D_画面上のパネルを一気に破壊しましょう</v>
      </c>
      <c r="M20" s="55" t="s">
        <v>211</v>
      </c>
    </row>
    <row r="21" spans="1:13" x14ac:dyDescent="0.15">
      <c r="A21" s="79" t="s">
        <v>201</v>
      </c>
      <c r="B21" s="80">
        <f>floors!$C$5</f>
        <v>30047</v>
      </c>
      <c r="C21" s="81" t="str">
        <f ca="1">VLOOKUP($B21,OFFSET([2]quests!$A$1,0,0,COUNTA([2]quests!$A:$A),MATCH(C$1,[2]quests!$1:$1,0)-MATCH($B$1,[2]quests!$1:$1,0)+1),MATCH(C$1,[2]quests!$1:$1,0)-MATCH($B$1,[2]quests!$1:$1,0)+1,FALSE)</f>
        <v>終末の旋律</v>
      </c>
      <c r="D21" s="81" t="str">
        <f ca="1">VLOOKUP($B21,OFFSET([2]quests!$A$1,0,0,COUNTA([2]quests!$A:$A),MATCH(D$1,[2]quests!$1:$1,0)-MATCH($B$1,[2]quests!$1:$1,0)+1),MATCH(D$1,[2]quests!$1:$1,0)-MATCH($B$1,[2]quests!$1:$1,0)+1,FALSE)</f>
        <v>北欧シリーズ第三弾　超級</v>
      </c>
      <c r="E21" s="85">
        <v>1</v>
      </c>
      <c r="F21" s="81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【中級】終末の旋律</v>
      </c>
      <c r="G21" s="81" t="str">
        <f ca="1">VLOOKUP($B21&amp;"_"&amp;$E21,OFFSET([2]stages!$A$1,0,0,COUNTA([2]stages!$A:$A),MATCH(G$1,[2]stages!$2:$2,0)-MATCH("temp_stage",[2]stages!$2:$2,0)+1),MATCH(G$1,[2]stages!$2:$2,0)-MATCH("temp_stage",[2]stages!$2:$2,0)+1,FALSE)</f>
        <v>北欧シリーズ第三弾　超級</v>
      </c>
      <c r="H21" s="83">
        <v>0</v>
      </c>
      <c r="I21">
        <v>24</v>
      </c>
      <c r="J21" s="82" t="s">
        <v>199</v>
      </c>
      <c r="K21" s="91" t="str">
        <f>VLOOKUP(I21,[7]stage_hints!$A:$C,3,FALSE)</f>
        <v>りんごを使って限界突破</v>
      </c>
      <c r="L21" s="92" t="str">
        <f>VLOOKUP(I21,[7]stage_hints!$A:$D,4,FALSE)</f>
        <v>赤りんご(攻撃力) 青りんご(回復力)_x000D_緑りんご(体力)をユニット強化に使うと_x000D_ステータスが限界突破します（計99個迄）</v>
      </c>
      <c r="M21" s="55" t="s">
        <v>211</v>
      </c>
    </row>
    <row r="22" spans="1:13" x14ac:dyDescent="0.15">
      <c r="A22" s="79" t="s">
        <v>201</v>
      </c>
      <c r="B22" s="80">
        <f>floors!$C$5</f>
        <v>30047</v>
      </c>
      <c r="C22" s="81" t="str">
        <f ca="1">VLOOKUP($B22,OFFSET([2]quests!$A$1,0,0,COUNTA([2]quests!$A:$A),MATCH(C$1,[2]quests!$1:$1,0)-MATCH($B$1,[2]quests!$1:$1,0)+1),MATCH(C$1,[2]quests!$1:$1,0)-MATCH($B$1,[2]quests!$1:$1,0)+1,FALSE)</f>
        <v>終末の旋律</v>
      </c>
      <c r="D22" s="81" t="str">
        <f ca="1">VLOOKUP($B22,OFFSET([2]quests!$A$1,0,0,COUNTA([2]quests!$A:$A),MATCH(D$1,[2]quests!$1:$1,0)-MATCH($B$1,[2]quests!$1:$1,0)+1),MATCH(D$1,[2]quests!$1:$1,0)-MATCH($B$1,[2]quests!$1:$1,0)+1,FALSE)</f>
        <v>北欧シリーズ第三弾　超級</v>
      </c>
      <c r="E22" s="85">
        <v>1</v>
      </c>
      <c r="F22" s="81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【中級】終末の旋律</v>
      </c>
      <c r="G22" s="81" t="str">
        <f ca="1">VLOOKUP($B22&amp;"_"&amp;$E22,OFFSET([2]stages!$A$1,0,0,COUNTA([2]stages!$A:$A),MATCH(G$1,[2]stages!$2:$2,0)-MATCH("temp_stage",[2]stages!$2:$2,0)+1),MATCH(G$1,[2]stages!$2:$2,0)-MATCH("temp_stage",[2]stages!$2:$2,0)+1,FALSE)</f>
        <v>北欧シリーズ第三弾　超級</v>
      </c>
      <c r="H22" s="83">
        <v>0</v>
      </c>
      <c r="I22">
        <v>25</v>
      </c>
      <c r="J22" s="82" t="s">
        <v>199</v>
      </c>
      <c r="K22" s="91" t="str">
        <f>VLOOKUP(I22,[7]stage_hints!$A:$C,3,FALSE)</f>
        <v>スキルレベルアップ</v>
      </c>
      <c r="L22" s="92" t="str">
        <f>VLOOKUP(I22,[7]stage_hints!$A:$D,4,FALSE)</f>
        <v>「クリスタルのりんご」を強化に使うと_x000D_スキルレベルを上げることができます</v>
      </c>
      <c r="M22" s="55" t="s">
        <v>211</v>
      </c>
    </row>
    <row r="23" spans="1:13" x14ac:dyDescent="0.15">
      <c r="A23" s="79" t="s">
        <v>201</v>
      </c>
      <c r="B23" s="80">
        <f>floors!$C$5</f>
        <v>30047</v>
      </c>
      <c r="C23" s="81" t="str">
        <f ca="1">VLOOKUP($B23,OFFSET([2]quests!$A$1,0,0,COUNTA([2]quests!$A:$A),MATCH(C$1,[2]quests!$1:$1,0)-MATCH($B$1,[2]quests!$1:$1,0)+1),MATCH(C$1,[2]quests!$1:$1,0)-MATCH($B$1,[2]quests!$1:$1,0)+1,FALSE)</f>
        <v>終末の旋律</v>
      </c>
      <c r="D23" s="81" t="str">
        <f ca="1">VLOOKUP($B23,OFFSET([2]quests!$A$1,0,0,COUNTA([2]quests!$A:$A),MATCH(D$1,[2]quests!$1:$1,0)-MATCH($B$1,[2]quests!$1:$1,0)+1),MATCH(D$1,[2]quests!$1:$1,0)-MATCH($B$1,[2]quests!$1:$1,0)+1,FALSE)</f>
        <v>北欧シリーズ第三弾　超級</v>
      </c>
      <c r="E23" s="85">
        <v>1</v>
      </c>
      <c r="F23" s="81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【中級】終末の旋律</v>
      </c>
      <c r="G23" s="81" t="str">
        <f ca="1">VLOOKUP($B23&amp;"_"&amp;$E23,OFFSET([2]stages!$A$1,0,0,COUNTA([2]stages!$A:$A),MATCH(G$1,[2]stages!$2:$2,0)-MATCH("temp_stage",[2]stages!$2:$2,0)+1),MATCH(G$1,[2]stages!$2:$2,0)-MATCH("temp_stage",[2]stages!$2:$2,0)+1,FALSE)</f>
        <v>北欧シリーズ第三弾　超級</v>
      </c>
      <c r="H23" s="83">
        <v>0</v>
      </c>
      <c r="I23">
        <v>26</v>
      </c>
      <c r="J23" s="82" t="s">
        <v>199</v>
      </c>
      <c r="K23" s="91" t="str">
        <f>VLOOKUP(I23,[7]stage_hints!$A:$C,3,FALSE)</f>
        <v>スキルレベルの効果</v>
      </c>
      <c r="L23" s="92" t="str">
        <f>VLOOKUP(I23,[7]stage_hints!$A:$D,4,FALSE)</f>
        <v>スキルレベルが上がると_x000D_短いターンでスキルを使うことができます</v>
      </c>
      <c r="M23" s="55" t="s">
        <v>211</v>
      </c>
    </row>
    <row r="24" spans="1:13" x14ac:dyDescent="0.15">
      <c r="A24" s="79" t="s">
        <v>201</v>
      </c>
      <c r="B24" s="80">
        <f>floors!$C$5</f>
        <v>30047</v>
      </c>
      <c r="C24" s="81" t="str">
        <f ca="1">VLOOKUP($B24,OFFSET([2]quests!$A$1,0,0,COUNTA([2]quests!$A:$A),MATCH(C$1,[2]quests!$1:$1,0)-MATCH($B$1,[2]quests!$1:$1,0)+1),MATCH(C$1,[2]quests!$1:$1,0)-MATCH($B$1,[2]quests!$1:$1,0)+1,FALSE)</f>
        <v>終末の旋律</v>
      </c>
      <c r="D24" s="81" t="str">
        <f ca="1">VLOOKUP($B24,OFFSET([2]quests!$A$1,0,0,COUNTA([2]quests!$A:$A),MATCH(D$1,[2]quests!$1:$1,0)-MATCH($B$1,[2]quests!$1:$1,0)+1),MATCH(D$1,[2]quests!$1:$1,0)-MATCH($B$1,[2]quests!$1:$1,0)+1,FALSE)</f>
        <v>北欧シリーズ第三弾　超級</v>
      </c>
      <c r="E24" s="85">
        <v>1</v>
      </c>
      <c r="F24" s="81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【中級】終末の旋律</v>
      </c>
      <c r="G24" s="81" t="str">
        <f ca="1">VLOOKUP($B24&amp;"_"&amp;$E24,OFFSET([2]stages!$A$1,0,0,COUNTA([2]stages!$A:$A),MATCH(G$1,[2]stages!$2:$2,0)-MATCH("temp_stage",[2]stages!$2:$2,0)+1),MATCH(G$1,[2]stages!$2:$2,0)-MATCH("temp_stage",[2]stages!$2:$2,0)+1,FALSE)</f>
        <v>北欧シリーズ第三弾　超級</v>
      </c>
      <c r="H24" s="83">
        <v>0</v>
      </c>
      <c r="I24">
        <v>27</v>
      </c>
      <c r="J24" s="82" t="s">
        <v>199</v>
      </c>
      <c r="K24" s="91" t="str">
        <f>VLOOKUP(I24,[7]stage_hints!$A:$C,3,FALSE)</f>
        <v>ホーム画面からデッキを編成</v>
      </c>
      <c r="L24" s="92" t="str">
        <f>VLOOKUP(I24,[7]stage_hints!$A:$D,4,FALSE)</f>
        <v>ホーム画面でユニットを長押しすると_x000D_すぐにパーティ編成に移動できます</v>
      </c>
      <c r="M24" s="55" t="s">
        <v>211</v>
      </c>
    </row>
    <row r="25" spans="1:13" x14ac:dyDescent="0.15">
      <c r="A25" s="79" t="s">
        <v>201</v>
      </c>
      <c r="B25" s="80">
        <f>floors!$C$5</f>
        <v>30047</v>
      </c>
      <c r="C25" s="81" t="str">
        <f ca="1">VLOOKUP($B25,OFFSET([2]quests!$A$1,0,0,COUNTA([2]quests!$A:$A),MATCH(C$1,[2]quests!$1:$1,0)-MATCH($B$1,[2]quests!$1:$1,0)+1),MATCH(C$1,[2]quests!$1:$1,0)-MATCH($B$1,[2]quests!$1:$1,0)+1,FALSE)</f>
        <v>終末の旋律</v>
      </c>
      <c r="D25" s="81" t="str">
        <f ca="1">VLOOKUP($B25,OFFSET([2]quests!$A$1,0,0,COUNTA([2]quests!$A:$A),MATCH(D$1,[2]quests!$1:$1,0)-MATCH($B$1,[2]quests!$1:$1,0)+1),MATCH(D$1,[2]quests!$1:$1,0)-MATCH($B$1,[2]quests!$1:$1,0)+1,FALSE)</f>
        <v>北欧シリーズ第三弾　超級</v>
      </c>
      <c r="E25" s="85">
        <v>1</v>
      </c>
      <c r="F25" s="81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【中級】終末の旋律</v>
      </c>
      <c r="G25" s="81" t="str">
        <f ca="1">VLOOKUP($B25&amp;"_"&amp;$E25,OFFSET([2]stages!$A$1,0,0,COUNTA([2]stages!$A:$A),MATCH(G$1,[2]stages!$2:$2,0)-MATCH("temp_stage",[2]stages!$2:$2,0)+1),MATCH(G$1,[2]stages!$2:$2,0)-MATCH("temp_stage",[2]stages!$2:$2,0)+1,FALSE)</f>
        <v>北欧シリーズ第三弾　超級</v>
      </c>
      <c r="H25" s="83">
        <v>0</v>
      </c>
      <c r="I25">
        <v>28</v>
      </c>
      <c r="J25" s="82" t="s">
        <v>199</v>
      </c>
      <c r="K25" s="91" t="str">
        <f>VLOOKUP(I25,[7]stage_hints!$A:$C,3,FALSE)</f>
        <v>ステータス情報は長押しで</v>
      </c>
      <c r="L25" s="92" t="str">
        <f>VLOOKUP(I25,[7]stage_hints!$A:$D,4,FALSE)</f>
        <v>ユニットのアイコンを長押しすると_x000D_ステータス情報を確認することができます</v>
      </c>
      <c r="M25" s="55" t="s">
        <v>211</v>
      </c>
    </row>
    <row r="26" spans="1:13" x14ac:dyDescent="0.15">
      <c r="A26" s="79" t="s">
        <v>201</v>
      </c>
      <c r="B26" s="80">
        <f>floors!$C$5</f>
        <v>30047</v>
      </c>
      <c r="C26" s="81" t="str">
        <f ca="1">VLOOKUP($B26,OFFSET([2]quests!$A$1,0,0,COUNTA([2]quests!$A:$A),MATCH(C$1,[2]quests!$1:$1,0)-MATCH($B$1,[2]quests!$1:$1,0)+1),MATCH(C$1,[2]quests!$1:$1,0)-MATCH($B$1,[2]quests!$1:$1,0)+1,FALSE)</f>
        <v>終末の旋律</v>
      </c>
      <c r="D26" s="81" t="str">
        <f ca="1">VLOOKUP($B26,OFFSET([2]quests!$A$1,0,0,COUNTA([2]quests!$A:$A),MATCH(D$1,[2]quests!$1:$1,0)-MATCH($B$1,[2]quests!$1:$1,0)+1),MATCH(D$1,[2]quests!$1:$1,0)-MATCH($B$1,[2]quests!$1:$1,0)+1,FALSE)</f>
        <v>北欧シリーズ第三弾　超級</v>
      </c>
      <c r="E26" s="85">
        <v>1</v>
      </c>
      <c r="F26" s="81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【中級】終末の旋律</v>
      </c>
      <c r="G26" s="81" t="str">
        <f ca="1">VLOOKUP($B26&amp;"_"&amp;$E26,OFFSET([2]stages!$A$1,0,0,COUNTA([2]stages!$A:$A),MATCH(G$1,[2]stages!$2:$2,0)-MATCH("temp_stage",[2]stages!$2:$2,0)+1),MATCH(G$1,[2]stages!$2:$2,0)-MATCH("temp_stage",[2]stages!$2:$2,0)+1,FALSE)</f>
        <v>北欧シリーズ第三弾　超級</v>
      </c>
      <c r="H26" s="83">
        <v>0</v>
      </c>
      <c r="I26">
        <v>29</v>
      </c>
      <c r="J26" s="82" t="s">
        <v>199</v>
      </c>
      <c r="K26" s="91" t="str">
        <f>VLOOKUP(I26,[7]stage_hints!$A:$C,3,FALSE)</f>
        <v>「バグ」のメリット</v>
      </c>
      <c r="L26" s="92" t="str">
        <f>VLOOKUP(I26,[7]stage_hints!$A:$D,4,FALSE)</f>
        <v>ユニットの「バグ」を増やすと_x000D_報酬をもらえる確率がアップします</v>
      </c>
      <c r="M26" s="55" t="s">
        <v>211</v>
      </c>
    </row>
    <row r="27" spans="1:13" x14ac:dyDescent="0.15">
      <c r="A27" s="79" t="s">
        <v>201</v>
      </c>
      <c r="B27" s="80">
        <f>floors!$C$5</f>
        <v>30047</v>
      </c>
      <c r="C27" s="81" t="str">
        <f ca="1">VLOOKUP($B27,OFFSET([2]quests!$A$1,0,0,COUNTA([2]quests!$A:$A),MATCH(C$1,[2]quests!$1:$1,0)-MATCH($B$1,[2]quests!$1:$1,0)+1),MATCH(C$1,[2]quests!$1:$1,0)-MATCH($B$1,[2]quests!$1:$1,0)+1,FALSE)</f>
        <v>終末の旋律</v>
      </c>
      <c r="D27" s="81" t="str">
        <f ca="1">VLOOKUP($B27,OFFSET([2]quests!$A$1,0,0,COUNTA([2]quests!$A:$A),MATCH(D$1,[2]quests!$1:$1,0)-MATCH($B$1,[2]quests!$1:$1,0)+1),MATCH(D$1,[2]quests!$1:$1,0)-MATCH($B$1,[2]quests!$1:$1,0)+1,FALSE)</f>
        <v>北欧シリーズ第三弾　超級</v>
      </c>
      <c r="E27" s="85">
        <v>1</v>
      </c>
      <c r="F27" s="81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【中級】終末の旋律</v>
      </c>
      <c r="G27" s="81" t="str">
        <f ca="1">VLOOKUP($B27&amp;"_"&amp;$E27,OFFSET([2]stages!$A$1,0,0,COUNTA([2]stages!$A:$A),MATCH(G$1,[2]stages!$2:$2,0)-MATCH("temp_stage",[2]stages!$2:$2,0)+1),MATCH(G$1,[2]stages!$2:$2,0)-MATCH("temp_stage",[2]stages!$2:$2,0)+1,FALSE)</f>
        <v>北欧シリーズ第三弾　超級</v>
      </c>
      <c r="H27" s="83">
        <v>0</v>
      </c>
      <c r="I27">
        <v>30</v>
      </c>
      <c r="J27" s="82" t="s">
        <v>199</v>
      </c>
      <c r="K27" s="91" t="str">
        <f>VLOOKUP(I27,[7]stage_hints!$A:$C,3,FALSE)</f>
        <v>「バグ」の増やし方</v>
      </c>
      <c r="L27" s="92" t="str">
        <f>VLOOKUP(I27,[7]stage_hints!$A:$D,4,FALSE)</f>
        <v>同じユニット同士を強化で合成すると_x000D_「バグ」を増やすことができます</v>
      </c>
      <c r="M27" s="55" t="s">
        <v>211</v>
      </c>
    </row>
    <row r="28" spans="1:13" x14ac:dyDescent="0.15">
      <c r="A28" s="79" t="s">
        <v>201</v>
      </c>
      <c r="B28" s="80">
        <f>floors!$C$5</f>
        <v>30047</v>
      </c>
      <c r="C28" s="81" t="str">
        <f ca="1">VLOOKUP($B28,OFFSET([2]quests!$A$1,0,0,COUNTA([2]quests!$A:$A),MATCH(C$1,[2]quests!$1:$1,0)-MATCH($B$1,[2]quests!$1:$1,0)+1),MATCH(C$1,[2]quests!$1:$1,0)-MATCH($B$1,[2]quests!$1:$1,0)+1,FALSE)</f>
        <v>終末の旋律</v>
      </c>
      <c r="D28" s="81" t="str">
        <f ca="1">VLOOKUP($B28,OFFSET([2]quests!$A$1,0,0,COUNTA([2]quests!$A:$A),MATCH(D$1,[2]quests!$1:$1,0)-MATCH($B$1,[2]quests!$1:$1,0)+1),MATCH(D$1,[2]quests!$1:$1,0)-MATCH($B$1,[2]quests!$1:$1,0)+1,FALSE)</f>
        <v>北欧シリーズ第三弾　超級</v>
      </c>
      <c r="E28" s="85">
        <v>1</v>
      </c>
      <c r="F28" s="81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【中級】終末の旋律</v>
      </c>
      <c r="G28" s="81" t="str">
        <f ca="1">VLOOKUP($B28&amp;"_"&amp;$E28,OFFSET([2]stages!$A$1,0,0,COUNTA([2]stages!$A:$A),MATCH(G$1,[2]stages!$2:$2,0)-MATCH("temp_stage",[2]stages!$2:$2,0)+1),MATCH(G$1,[2]stages!$2:$2,0)-MATCH("temp_stage",[2]stages!$2:$2,0)+1,FALSE)</f>
        <v>北欧シリーズ第三弾　超級</v>
      </c>
      <c r="H28" s="83">
        <v>0</v>
      </c>
      <c r="I28">
        <v>31</v>
      </c>
      <c r="J28" s="82" t="s">
        <v>199</v>
      </c>
      <c r="K28" s="91" t="str">
        <f>VLOOKUP(I28,[7]stage_hints!$A:$C,3,FALSE)</f>
        <v>イベントはお知らせでチェック</v>
      </c>
      <c r="L28" s="92" t="str">
        <f>VLOOKUP(I28,[7]stage_hints!$A:$D,4,FALSE)</f>
        <v>イベント限定ユニットを取り忘れないように_x000D_お知らせをこまめにチェックしましょう</v>
      </c>
      <c r="M28" s="55" t="s">
        <v>211</v>
      </c>
    </row>
    <row r="29" spans="1:13" x14ac:dyDescent="0.15">
      <c r="A29" s="79" t="s">
        <v>201</v>
      </c>
      <c r="B29" s="80">
        <f>floors!$C$5</f>
        <v>30047</v>
      </c>
      <c r="C29" s="81" t="str">
        <f ca="1">VLOOKUP($B29,OFFSET([2]quests!$A$1,0,0,COUNTA([2]quests!$A:$A),MATCH(C$1,[2]quests!$1:$1,0)-MATCH($B$1,[2]quests!$1:$1,0)+1),MATCH(C$1,[2]quests!$1:$1,0)-MATCH($B$1,[2]quests!$1:$1,0)+1,FALSE)</f>
        <v>終末の旋律</v>
      </c>
      <c r="D29" s="81" t="str">
        <f ca="1">VLOOKUP($B29,OFFSET([2]quests!$A$1,0,0,COUNTA([2]quests!$A:$A),MATCH(D$1,[2]quests!$1:$1,0)-MATCH($B$1,[2]quests!$1:$1,0)+1),MATCH(D$1,[2]quests!$1:$1,0)-MATCH($B$1,[2]quests!$1:$1,0)+1,FALSE)</f>
        <v>北欧シリーズ第三弾　超級</v>
      </c>
      <c r="E29" s="85">
        <v>1</v>
      </c>
      <c r="F29" s="81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【中級】終末の旋律</v>
      </c>
      <c r="G29" s="81" t="str">
        <f ca="1">VLOOKUP($B29&amp;"_"&amp;$E29,OFFSET([2]stages!$A$1,0,0,COUNTA([2]stages!$A:$A),MATCH(G$1,[2]stages!$2:$2,0)-MATCH("temp_stage",[2]stages!$2:$2,0)+1),MATCH(G$1,[2]stages!$2:$2,0)-MATCH("temp_stage",[2]stages!$2:$2,0)+1,FALSE)</f>
        <v>北欧シリーズ第三弾　超級</v>
      </c>
      <c r="H29" s="83">
        <v>0</v>
      </c>
      <c r="I29">
        <v>32</v>
      </c>
      <c r="J29" s="82" t="s">
        <v>199</v>
      </c>
      <c r="K29" s="91" t="str">
        <f>VLOOKUP(I29,[7]stage_hints!$A:$C,3,FALSE)</f>
        <v>敵の連続攻撃には</v>
      </c>
      <c r="L29" s="92" t="str">
        <f>VLOOKUP(I29,[7]stage_hints!$A:$D,4,FALSE)</f>
        <v>カウンタースキルを持つユニットがいれば_x000D_ダメージ回数分の反撃ができます</v>
      </c>
      <c r="M29" s="55" t="s">
        <v>211</v>
      </c>
    </row>
    <row r="30" spans="1:13" x14ac:dyDescent="0.15">
      <c r="A30" s="79" t="s">
        <v>201</v>
      </c>
      <c r="B30" s="80">
        <f>floors!$C$5</f>
        <v>30047</v>
      </c>
      <c r="C30" s="81" t="str">
        <f ca="1">VLOOKUP($B30,OFFSET([2]quests!$A$1,0,0,COUNTA([2]quests!$A:$A),MATCH(C$1,[2]quests!$1:$1,0)-MATCH($B$1,[2]quests!$1:$1,0)+1),MATCH(C$1,[2]quests!$1:$1,0)-MATCH($B$1,[2]quests!$1:$1,0)+1,FALSE)</f>
        <v>終末の旋律</v>
      </c>
      <c r="D30" s="81" t="str">
        <f ca="1">VLOOKUP($B30,OFFSET([2]quests!$A$1,0,0,COUNTA([2]quests!$A:$A),MATCH(D$1,[2]quests!$1:$1,0)-MATCH($B$1,[2]quests!$1:$1,0)+1),MATCH(D$1,[2]quests!$1:$1,0)-MATCH($B$1,[2]quests!$1:$1,0)+1,FALSE)</f>
        <v>北欧シリーズ第三弾　超級</v>
      </c>
      <c r="E30" s="85">
        <v>1</v>
      </c>
      <c r="F30" s="81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【中級】終末の旋律</v>
      </c>
      <c r="G30" s="81" t="str">
        <f ca="1">VLOOKUP($B30&amp;"_"&amp;$E30,OFFSET([2]stages!$A$1,0,0,COUNTA([2]stages!$A:$A),MATCH(G$1,[2]stages!$2:$2,0)-MATCH("temp_stage",[2]stages!$2:$2,0)+1),MATCH(G$1,[2]stages!$2:$2,0)-MATCH("temp_stage",[2]stages!$2:$2,0)+1,FALSE)</f>
        <v>北欧シリーズ第三弾　超級</v>
      </c>
      <c r="H30" s="83">
        <v>0</v>
      </c>
      <c r="I30">
        <v>33</v>
      </c>
      <c r="J30" s="82" t="s">
        <v>199</v>
      </c>
      <c r="K30" s="91" t="str">
        <f>VLOOKUP(I30,[7]stage_hints!$A:$C,3,FALSE)</f>
        <v>敵のカウンター攻撃には</v>
      </c>
      <c r="L30" s="92" t="str">
        <f>VLOOKUP(I30,[7]stage_hints!$A:$D,4,FALSE)</f>
        <v>カウンターブレイクスキルを持っていれば_x000D_敵のカウンターを解除して攻撃ができます</v>
      </c>
      <c r="M30" s="55" t="s">
        <v>211</v>
      </c>
    </row>
    <row r="31" spans="1:13" x14ac:dyDescent="0.15">
      <c r="A31" s="79" t="s">
        <v>201</v>
      </c>
      <c r="B31" s="80">
        <f>floors!$C$5</f>
        <v>30047</v>
      </c>
      <c r="C31" s="81" t="str">
        <f ca="1">VLOOKUP($B31,OFFSET([2]quests!$A$1,0,0,COUNTA([2]quests!$A:$A),MATCH(C$1,[2]quests!$1:$1,0)-MATCH($B$1,[2]quests!$1:$1,0)+1),MATCH(C$1,[2]quests!$1:$1,0)-MATCH($B$1,[2]quests!$1:$1,0)+1,FALSE)</f>
        <v>終末の旋律</v>
      </c>
      <c r="D31" s="81" t="str">
        <f ca="1">VLOOKUP($B31,OFFSET([2]quests!$A$1,0,0,COUNTA([2]quests!$A:$A),MATCH(D$1,[2]quests!$1:$1,0)-MATCH($B$1,[2]quests!$1:$1,0)+1),MATCH(D$1,[2]quests!$1:$1,0)-MATCH($B$1,[2]quests!$1:$1,0)+1,FALSE)</f>
        <v>北欧シリーズ第三弾　超級</v>
      </c>
      <c r="E31" s="85">
        <v>1</v>
      </c>
      <c r="F31" s="81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【中級】終末の旋律</v>
      </c>
      <c r="G31" s="81" t="str">
        <f ca="1">VLOOKUP($B31&amp;"_"&amp;$E31,OFFSET([2]stages!$A$1,0,0,COUNTA([2]stages!$A:$A),MATCH(G$1,[2]stages!$2:$2,0)-MATCH("temp_stage",[2]stages!$2:$2,0)+1),MATCH(G$1,[2]stages!$2:$2,0)-MATCH("temp_stage",[2]stages!$2:$2,0)+1,FALSE)</f>
        <v>北欧シリーズ第三弾　超級</v>
      </c>
      <c r="H31" s="83">
        <v>0</v>
      </c>
      <c r="I31">
        <v>34</v>
      </c>
      <c r="J31" s="82" t="s">
        <v>199</v>
      </c>
      <c r="K31" s="91" t="str">
        <f>VLOOKUP(I31,[7]stage_hints!$A:$C,3,FALSE)</f>
        <v>ステータスをスキルで下げられたら</v>
      </c>
      <c r="L31" s="92" t="str">
        <f>VLOOKUP(I31,[7]stage_hints!$A:$D,4,FALSE)</f>
        <v>ステータスダウンのスキルを受けたら_x000D_ステータスアップスキルで上書きしましょう</v>
      </c>
      <c r="M31" s="55" t="s">
        <v>211</v>
      </c>
    </row>
    <row r="32" spans="1:13" x14ac:dyDescent="0.15">
      <c r="A32" s="79" t="s">
        <v>201</v>
      </c>
      <c r="B32" s="80">
        <f>floors!$C$5</f>
        <v>30047</v>
      </c>
      <c r="C32" s="81" t="str">
        <f ca="1">VLOOKUP($B32,OFFSET([2]quests!$A$1,0,0,COUNTA([2]quests!$A:$A),MATCH(C$1,[2]quests!$1:$1,0)-MATCH($B$1,[2]quests!$1:$1,0)+1),MATCH(C$1,[2]quests!$1:$1,0)-MATCH($B$1,[2]quests!$1:$1,0)+1,FALSE)</f>
        <v>終末の旋律</v>
      </c>
      <c r="D32" s="81" t="str">
        <f ca="1">VLOOKUP($B32,OFFSET([2]quests!$A$1,0,0,COUNTA([2]quests!$A:$A),MATCH(D$1,[2]quests!$1:$1,0)-MATCH($B$1,[2]quests!$1:$1,0)+1),MATCH(D$1,[2]quests!$1:$1,0)-MATCH($B$1,[2]quests!$1:$1,0)+1,FALSE)</f>
        <v>北欧シリーズ第三弾　超級</v>
      </c>
      <c r="E32" s="85">
        <v>1</v>
      </c>
      <c r="F32" s="81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【中級】終末の旋律</v>
      </c>
      <c r="G32" s="81" t="str">
        <f ca="1">VLOOKUP($B32&amp;"_"&amp;$E32,OFFSET([2]stages!$A$1,0,0,COUNTA([2]stages!$A:$A),MATCH(G$1,[2]stages!$2:$2,0)-MATCH("temp_stage",[2]stages!$2:$2,0)+1),MATCH(G$1,[2]stages!$2:$2,0)-MATCH("temp_stage",[2]stages!$2:$2,0)+1,FALSE)</f>
        <v>北欧シリーズ第三弾　超級</v>
      </c>
      <c r="H32" s="83">
        <v>0</v>
      </c>
      <c r="I32">
        <v>35</v>
      </c>
      <c r="J32" s="82" t="s">
        <v>199</v>
      </c>
      <c r="K32" s="91" t="str">
        <f>VLOOKUP(I32,[7]stage_hints!$A:$C,3,FALSE)</f>
        <v>敵のステータスがスキルで上がったら</v>
      </c>
      <c r="L32" s="92" t="str">
        <f>VLOOKUP(I32,[7]stage_hints!$A:$D,4,FALSE)</f>
        <v>敵のステータスがスキルでアップしたときは_x000D_ステータスダウンスキルで上書きしましょう</v>
      </c>
      <c r="M32" s="55" t="s">
        <v>211</v>
      </c>
    </row>
    <row r="33" spans="1:13" x14ac:dyDescent="0.15">
      <c r="A33" s="79" t="s">
        <v>201</v>
      </c>
      <c r="B33" s="80">
        <f>floors!$C$5</f>
        <v>30047</v>
      </c>
      <c r="C33" s="81" t="str">
        <f ca="1">VLOOKUP($B33,OFFSET([2]quests!$A$1,0,0,COUNTA([2]quests!$A:$A),MATCH(C$1,[2]quests!$1:$1,0)-MATCH($B$1,[2]quests!$1:$1,0)+1),MATCH(C$1,[2]quests!$1:$1,0)-MATCH($B$1,[2]quests!$1:$1,0)+1,FALSE)</f>
        <v>終末の旋律</v>
      </c>
      <c r="D33" s="81" t="str">
        <f ca="1">VLOOKUP($B33,OFFSET([2]quests!$A$1,0,0,COUNTA([2]quests!$A:$A),MATCH(D$1,[2]quests!$1:$1,0)-MATCH($B$1,[2]quests!$1:$1,0)+1),MATCH(D$1,[2]quests!$1:$1,0)-MATCH($B$1,[2]quests!$1:$1,0)+1,FALSE)</f>
        <v>北欧シリーズ第三弾　超級</v>
      </c>
      <c r="E33" s="85">
        <v>1</v>
      </c>
      <c r="F33" s="81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【中級】終末の旋律</v>
      </c>
      <c r="G33" s="81" t="str">
        <f ca="1">VLOOKUP($B33&amp;"_"&amp;$E33,OFFSET([2]stages!$A$1,0,0,COUNTA([2]stages!$A:$A),MATCH(G$1,[2]stages!$2:$2,0)-MATCH("temp_stage",[2]stages!$2:$2,0)+1),MATCH(G$1,[2]stages!$2:$2,0)-MATCH("temp_stage",[2]stages!$2:$2,0)+1,FALSE)</f>
        <v>北欧シリーズ第三弾　超級</v>
      </c>
      <c r="H33" s="83">
        <v>0</v>
      </c>
      <c r="I33">
        <v>39</v>
      </c>
      <c r="J33" s="82" t="s">
        <v>199</v>
      </c>
      <c r="K33" s="91" t="str">
        <f>VLOOKUP(I33,[7]stage_hints!$A:$C,3,FALSE)</f>
        <v>システム適合者を確認</v>
      </c>
      <c r="L33" s="92" t="str">
        <f>VLOOKUP(I33,[7]stage_hints!$A:$D,4,FALSE)</f>
        <v>ALICEが 「アナタ」を呼んでいます</v>
      </c>
      <c r="M33" s="55" t="s">
        <v>211</v>
      </c>
    </row>
    <row r="34" spans="1:13" x14ac:dyDescent="0.15">
      <c r="A34" s="79" t="s">
        <v>201</v>
      </c>
      <c r="B34" s="80">
        <f>floors!$C$5</f>
        <v>30047</v>
      </c>
      <c r="C34" s="81" t="str">
        <f ca="1">VLOOKUP($B34,OFFSET([2]quests!$A$1,0,0,COUNTA([2]quests!$A:$A),MATCH(C$1,[2]quests!$1:$1,0)-MATCH($B$1,[2]quests!$1:$1,0)+1),MATCH(C$1,[2]quests!$1:$1,0)-MATCH($B$1,[2]quests!$1:$1,0)+1,FALSE)</f>
        <v>終末の旋律</v>
      </c>
      <c r="D34" s="81" t="str">
        <f ca="1">VLOOKUP($B34,OFFSET([2]quests!$A$1,0,0,COUNTA([2]quests!$A:$A),MATCH(D$1,[2]quests!$1:$1,0)-MATCH($B$1,[2]quests!$1:$1,0)+1),MATCH(D$1,[2]quests!$1:$1,0)-MATCH($B$1,[2]quests!$1:$1,0)+1,FALSE)</f>
        <v>北欧シリーズ第三弾　超級</v>
      </c>
      <c r="E34" s="85">
        <v>2</v>
      </c>
      <c r="F34" s="81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【上級】終末の旋律</v>
      </c>
      <c r="G34" s="81" t="str">
        <f ca="1">VLOOKUP($B34&amp;"_"&amp;$E34,OFFSET([2]stages!$A$1,0,0,COUNTA([2]stages!$A:$A),MATCH(G$1,[2]stages!$2:$2,0)-MATCH("temp_stage",[2]stages!$2:$2,0)+1),MATCH(G$1,[2]stages!$2:$2,0)-MATCH("temp_stage",[2]stages!$2:$2,0)+1,FALSE)</f>
        <v>北欧シリーズ第三弾　超級</v>
      </c>
      <c r="H34" s="83">
        <v>0</v>
      </c>
      <c r="I34" s="94">
        <v>3</v>
      </c>
      <c r="J34" s="82" t="s">
        <v>199</v>
      </c>
      <c r="K34" s="91" t="str">
        <f>VLOOKUP(I34,[7]stage_hints!$A:$C,3,FALSE)</f>
        <v>ターゲット</v>
      </c>
      <c r="L34" s="92" t="str">
        <f>VLOOKUP(I34,[7]stage_hints!$A:$D,4,FALSE)</f>
        <v>敵ユニットをタップすると_x000D_その敵を狙い撃ちできます</v>
      </c>
      <c r="M34" s="55" t="s">
        <v>211</v>
      </c>
    </row>
    <row r="35" spans="1:13" x14ac:dyDescent="0.15">
      <c r="A35" s="79" t="s">
        <v>201</v>
      </c>
      <c r="B35" s="80">
        <f>floors!$C$5</f>
        <v>30047</v>
      </c>
      <c r="C35" s="81" t="str">
        <f ca="1">VLOOKUP($B35,OFFSET([2]quests!$A$1,0,0,COUNTA([2]quests!$A:$A),MATCH(C$1,[2]quests!$1:$1,0)-MATCH($B$1,[2]quests!$1:$1,0)+1),MATCH(C$1,[2]quests!$1:$1,0)-MATCH($B$1,[2]quests!$1:$1,0)+1,FALSE)</f>
        <v>終末の旋律</v>
      </c>
      <c r="D35" s="81" t="str">
        <f ca="1">VLOOKUP($B35,OFFSET([2]quests!$A$1,0,0,COUNTA([2]quests!$A:$A),MATCH(D$1,[2]quests!$1:$1,0)-MATCH($B$1,[2]quests!$1:$1,0)+1),MATCH(D$1,[2]quests!$1:$1,0)-MATCH($B$1,[2]quests!$1:$1,0)+1,FALSE)</f>
        <v>北欧シリーズ第三弾　超級</v>
      </c>
      <c r="E35" s="85">
        <v>2</v>
      </c>
      <c r="F35" s="81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【上級】終末の旋律</v>
      </c>
      <c r="G35" s="81" t="str">
        <f ca="1">VLOOKUP($B35&amp;"_"&amp;$E35,OFFSET([2]stages!$A$1,0,0,COUNTA([2]stages!$A:$A),MATCH(G$1,[2]stages!$2:$2,0)-MATCH("temp_stage",[2]stages!$2:$2,0)+1),MATCH(G$1,[2]stages!$2:$2,0)-MATCH("temp_stage",[2]stages!$2:$2,0)+1,FALSE)</f>
        <v>北欧シリーズ第三弾　超級</v>
      </c>
      <c r="H35" s="83">
        <v>0</v>
      </c>
      <c r="I35" s="94">
        <v>6</v>
      </c>
      <c r="J35" s="82" t="s">
        <v>199</v>
      </c>
      <c r="K35" s="91" t="str">
        <f>VLOOKUP(I35,[7]stage_hints!$A:$C,3,FALSE)</f>
        <v>ユニット強化の属性ボーナス</v>
      </c>
      <c r="L35" s="92" t="str">
        <f>VLOOKUP(I35,[7]stage_hints!$A:$D,4,FALSE)</f>
        <v>同属性ユニットを強化素材にすると_x000D_経験値が多くもらえます</v>
      </c>
      <c r="M35" s="55" t="s">
        <v>211</v>
      </c>
    </row>
    <row r="36" spans="1:13" x14ac:dyDescent="0.15">
      <c r="A36" s="79" t="s">
        <v>201</v>
      </c>
      <c r="B36" s="80">
        <f>floors!$C$5</f>
        <v>30047</v>
      </c>
      <c r="C36" s="81" t="str">
        <f ca="1">VLOOKUP($B36,OFFSET([2]quests!$A$1,0,0,COUNTA([2]quests!$A:$A),MATCH(C$1,[2]quests!$1:$1,0)-MATCH($B$1,[2]quests!$1:$1,0)+1),MATCH(C$1,[2]quests!$1:$1,0)-MATCH($B$1,[2]quests!$1:$1,0)+1,FALSE)</f>
        <v>終末の旋律</v>
      </c>
      <c r="D36" s="81" t="str">
        <f ca="1">VLOOKUP($B36,OFFSET([2]quests!$A$1,0,0,COUNTA([2]quests!$A:$A),MATCH(D$1,[2]quests!$1:$1,0)-MATCH($B$1,[2]quests!$1:$1,0)+1),MATCH(D$1,[2]quests!$1:$1,0)-MATCH($B$1,[2]quests!$1:$1,0)+1,FALSE)</f>
        <v>北欧シリーズ第三弾　超級</v>
      </c>
      <c r="E36" s="85">
        <v>2</v>
      </c>
      <c r="F36" s="81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【上級】終末の旋律</v>
      </c>
      <c r="G36" s="81" t="str">
        <f ca="1">VLOOKUP($B36&amp;"_"&amp;$E36,OFFSET([2]stages!$A$1,0,0,COUNTA([2]stages!$A:$A),MATCH(G$1,[2]stages!$2:$2,0)-MATCH("temp_stage",[2]stages!$2:$2,0)+1),MATCH(G$1,[2]stages!$2:$2,0)-MATCH("temp_stage",[2]stages!$2:$2,0)+1,FALSE)</f>
        <v>北欧シリーズ第三弾　超級</v>
      </c>
      <c r="H36" s="83">
        <v>0</v>
      </c>
      <c r="I36" s="94">
        <v>7</v>
      </c>
      <c r="J36" s="82" t="s">
        <v>199</v>
      </c>
      <c r="K36" s="91" t="str">
        <f>VLOOKUP(I36,[7]stage_hints!$A:$C,3,FALSE)</f>
        <v>メタルダックで経験値を獲得</v>
      </c>
      <c r="L36" s="92" t="str">
        <f>VLOOKUP(I36,[7]stage_hints!$A:$D,4,FALSE)</f>
        <v>「メタルなアヒル」を強化素材にすると_x000D_大量の経験値がもらえます</v>
      </c>
      <c r="M36" s="55" t="s">
        <v>211</v>
      </c>
    </row>
    <row r="37" spans="1:13" x14ac:dyDescent="0.15">
      <c r="A37" s="79" t="s">
        <v>201</v>
      </c>
      <c r="B37" s="80">
        <f>floors!$C$5</f>
        <v>30047</v>
      </c>
      <c r="C37" s="81" t="str">
        <f ca="1">VLOOKUP($B37,OFFSET([2]quests!$A$1,0,0,COUNTA([2]quests!$A:$A),MATCH(C$1,[2]quests!$1:$1,0)-MATCH($B$1,[2]quests!$1:$1,0)+1),MATCH(C$1,[2]quests!$1:$1,0)-MATCH($B$1,[2]quests!$1:$1,0)+1,FALSE)</f>
        <v>終末の旋律</v>
      </c>
      <c r="D37" s="81" t="str">
        <f ca="1">VLOOKUP($B37,OFFSET([2]quests!$A$1,0,0,COUNTA([2]quests!$A:$A),MATCH(D$1,[2]quests!$1:$1,0)-MATCH($B$1,[2]quests!$1:$1,0)+1),MATCH(D$1,[2]quests!$1:$1,0)-MATCH($B$1,[2]quests!$1:$1,0)+1,FALSE)</f>
        <v>北欧シリーズ第三弾　超級</v>
      </c>
      <c r="E37" s="85">
        <v>2</v>
      </c>
      <c r="F37" s="81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【上級】終末の旋律</v>
      </c>
      <c r="G37" s="81" t="str">
        <f ca="1">VLOOKUP($B37&amp;"_"&amp;$E37,OFFSET([2]stages!$A$1,0,0,COUNTA([2]stages!$A:$A),MATCH(G$1,[2]stages!$2:$2,0)-MATCH("temp_stage",[2]stages!$2:$2,0)+1),MATCH(G$1,[2]stages!$2:$2,0)-MATCH("temp_stage",[2]stages!$2:$2,0)+1,FALSE)</f>
        <v>北欧シリーズ第三弾　超級</v>
      </c>
      <c r="H37" s="83">
        <v>0</v>
      </c>
      <c r="I37" s="94">
        <v>8</v>
      </c>
      <c r="J37" s="82" t="s">
        <v>199</v>
      </c>
      <c r="K37" s="91" t="str">
        <f>VLOOKUP(I37,[7]stage_hints!$A:$C,3,FALSE)</f>
        <v>ゲリラクエストは要チェック</v>
      </c>
      <c r="L37" s="92" t="str">
        <f>VLOOKUP(I37,[7]stage_hints!$A:$D,4,FALSE)</f>
        <v>時間限定の「アヒル捕獲作戦」では_x000D_経験値素材ユニットが多く手に入ります</v>
      </c>
      <c r="M37" s="55" t="s">
        <v>211</v>
      </c>
    </row>
    <row r="38" spans="1:13" x14ac:dyDescent="0.15">
      <c r="A38" s="79" t="s">
        <v>201</v>
      </c>
      <c r="B38" s="80">
        <f>floors!$C$5</f>
        <v>30047</v>
      </c>
      <c r="C38" s="81" t="str">
        <f ca="1">VLOOKUP($B38,OFFSET([2]quests!$A$1,0,0,COUNTA([2]quests!$A:$A),MATCH(C$1,[2]quests!$1:$1,0)-MATCH($B$1,[2]quests!$1:$1,0)+1),MATCH(C$1,[2]quests!$1:$1,0)-MATCH($B$1,[2]quests!$1:$1,0)+1,FALSE)</f>
        <v>終末の旋律</v>
      </c>
      <c r="D38" s="81" t="str">
        <f ca="1">VLOOKUP($B38,OFFSET([2]quests!$A$1,0,0,COUNTA([2]quests!$A:$A),MATCH(D$1,[2]quests!$1:$1,0)-MATCH($B$1,[2]quests!$1:$1,0)+1),MATCH(D$1,[2]quests!$1:$1,0)-MATCH($B$1,[2]quests!$1:$1,0)+1,FALSE)</f>
        <v>北欧シリーズ第三弾　超級</v>
      </c>
      <c r="E38" s="85">
        <v>2</v>
      </c>
      <c r="F38" s="81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【上級】終末の旋律</v>
      </c>
      <c r="G38" s="81" t="str">
        <f ca="1">VLOOKUP($B38&amp;"_"&amp;$E38,OFFSET([2]stages!$A$1,0,0,COUNTA([2]stages!$A:$A),MATCH(G$1,[2]stages!$2:$2,0)-MATCH("temp_stage",[2]stages!$2:$2,0)+1),MATCH(G$1,[2]stages!$2:$2,0)-MATCH("temp_stage",[2]stages!$2:$2,0)+1,FALSE)</f>
        <v>北欧シリーズ第三弾　超級</v>
      </c>
      <c r="H38" s="83">
        <v>0</v>
      </c>
      <c r="I38" s="94">
        <v>9</v>
      </c>
      <c r="J38" s="82" t="s">
        <v>199</v>
      </c>
      <c r="K38" s="91" t="str">
        <f>VLOOKUP(I38,[7]stage_hints!$A:$C,3,FALSE)</f>
        <v>ゴールドダックでビットを獲得</v>
      </c>
      <c r="L38" s="92" t="str">
        <f>VLOOKUP(I38,[7]stage_hints!$A:$D,4,FALSE)</f>
        <v>「ゴールドなアヒル」を売却すると_x000D_大量のビットがもらえます</v>
      </c>
      <c r="M38" s="55" t="s">
        <v>211</v>
      </c>
    </row>
    <row r="39" spans="1:13" x14ac:dyDescent="0.15">
      <c r="A39" s="79" t="s">
        <v>201</v>
      </c>
      <c r="B39" s="80">
        <f>floors!$C$5</f>
        <v>30047</v>
      </c>
      <c r="C39" s="81" t="str">
        <f ca="1">VLOOKUP($B39,OFFSET([2]quests!$A$1,0,0,COUNTA([2]quests!$A:$A),MATCH(C$1,[2]quests!$1:$1,0)-MATCH($B$1,[2]quests!$1:$1,0)+1),MATCH(C$1,[2]quests!$1:$1,0)-MATCH($B$1,[2]quests!$1:$1,0)+1,FALSE)</f>
        <v>終末の旋律</v>
      </c>
      <c r="D39" s="81" t="str">
        <f ca="1">VLOOKUP($B39,OFFSET([2]quests!$A$1,0,0,COUNTA([2]quests!$A:$A),MATCH(D$1,[2]quests!$1:$1,0)-MATCH($B$1,[2]quests!$1:$1,0)+1),MATCH(D$1,[2]quests!$1:$1,0)-MATCH($B$1,[2]quests!$1:$1,0)+1,FALSE)</f>
        <v>北欧シリーズ第三弾　超級</v>
      </c>
      <c r="E39" s="85">
        <v>2</v>
      </c>
      <c r="F39" s="81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【上級】終末の旋律</v>
      </c>
      <c r="G39" s="81" t="str">
        <f ca="1">VLOOKUP($B39&amp;"_"&amp;$E39,OFFSET([2]stages!$A$1,0,0,COUNTA([2]stages!$A:$A),MATCH(G$1,[2]stages!$2:$2,0)-MATCH("temp_stage",[2]stages!$2:$2,0)+1),MATCH(G$1,[2]stages!$2:$2,0)-MATCH("temp_stage",[2]stages!$2:$2,0)+1,FALSE)</f>
        <v>北欧シリーズ第三弾　超級</v>
      </c>
      <c r="H39" s="83">
        <v>0</v>
      </c>
      <c r="I39" s="94">
        <v>10</v>
      </c>
      <c r="J39" s="82" t="s">
        <v>199</v>
      </c>
      <c r="K39" s="91" t="str">
        <f>VLOOKUP(I39,[7]stage_hints!$A:$C,3,FALSE)</f>
        <v>土日に大量のビットを獲得</v>
      </c>
      <c r="L39" s="92" t="str">
        <f>VLOOKUP(I39,[7]stage_hints!$A:$D,4,FALSE)</f>
        <v>土日限定の「ゴールドカジノ」では_x000D_売却素材ユニットが多く手に入ります</v>
      </c>
      <c r="M39" s="55" t="s">
        <v>211</v>
      </c>
    </row>
    <row r="40" spans="1:13" x14ac:dyDescent="0.15">
      <c r="A40" s="79" t="s">
        <v>201</v>
      </c>
      <c r="B40" s="80">
        <f>floors!$C$5</f>
        <v>30047</v>
      </c>
      <c r="C40" s="81" t="str">
        <f ca="1">VLOOKUP($B40,OFFSET([2]quests!$A$1,0,0,COUNTA([2]quests!$A:$A),MATCH(C$1,[2]quests!$1:$1,0)-MATCH($B$1,[2]quests!$1:$1,0)+1),MATCH(C$1,[2]quests!$1:$1,0)-MATCH($B$1,[2]quests!$1:$1,0)+1,FALSE)</f>
        <v>終末の旋律</v>
      </c>
      <c r="D40" s="81" t="str">
        <f ca="1">VLOOKUP($B40,OFFSET([2]quests!$A$1,0,0,COUNTA([2]quests!$A:$A),MATCH(D$1,[2]quests!$1:$1,0)-MATCH($B$1,[2]quests!$1:$1,0)+1),MATCH(D$1,[2]quests!$1:$1,0)-MATCH($B$1,[2]quests!$1:$1,0)+1,FALSE)</f>
        <v>北欧シリーズ第三弾　超級</v>
      </c>
      <c r="E40" s="85">
        <v>2</v>
      </c>
      <c r="F40" s="81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【上級】終末の旋律</v>
      </c>
      <c r="G40" s="81" t="str">
        <f ca="1">VLOOKUP($B40&amp;"_"&amp;$E40,OFFSET([2]stages!$A$1,0,0,COUNTA([2]stages!$A:$A),MATCH(G$1,[2]stages!$2:$2,0)-MATCH("temp_stage",[2]stages!$2:$2,0)+1),MATCH(G$1,[2]stages!$2:$2,0)-MATCH("temp_stage",[2]stages!$2:$2,0)+1,FALSE)</f>
        <v>北欧シリーズ第三弾　超級</v>
      </c>
      <c r="H40" s="83">
        <v>0</v>
      </c>
      <c r="I40" s="94">
        <v>11</v>
      </c>
      <c r="J40" s="82" t="s">
        <v>199</v>
      </c>
      <c r="K40" s="91" t="str">
        <f>VLOOKUP(I40,[7]stage_hints!$A:$C,3,FALSE)</f>
        <v>ランク解放クエスト</v>
      </c>
      <c r="L40" s="92" t="str">
        <f>VLOOKUP(I40,[7]stage_hints!$A:$D,4,FALSE)</f>
        <v>一定ランクに到達すると_x000D_報酬付きのランク開放クエストが現れます</v>
      </c>
      <c r="M40" s="55" t="s">
        <v>211</v>
      </c>
    </row>
    <row r="41" spans="1:13" x14ac:dyDescent="0.15">
      <c r="A41" s="79" t="s">
        <v>201</v>
      </c>
      <c r="B41" s="80">
        <f>floors!$C$5</f>
        <v>30047</v>
      </c>
      <c r="C41" s="81" t="str">
        <f ca="1">VLOOKUP($B41,OFFSET([2]quests!$A$1,0,0,COUNTA([2]quests!$A:$A),MATCH(C$1,[2]quests!$1:$1,0)-MATCH($B$1,[2]quests!$1:$1,0)+1),MATCH(C$1,[2]quests!$1:$1,0)-MATCH($B$1,[2]quests!$1:$1,0)+1,FALSE)</f>
        <v>終末の旋律</v>
      </c>
      <c r="D41" s="81" t="str">
        <f ca="1">VLOOKUP($B41,OFFSET([2]quests!$A$1,0,0,COUNTA([2]quests!$A:$A),MATCH(D$1,[2]quests!$1:$1,0)-MATCH($B$1,[2]quests!$1:$1,0)+1),MATCH(D$1,[2]quests!$1:$1,0)-MATCH($B$1,[2]quests!$1:$1,0)+1,FALSE)</f>
        <v>北欧シリーズ第三弾　超級</v>
      </c>
      <c r="E41" s="85">
        <v>2</v>
      </c>
      <c r="F41" s="81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【上級】終末の旋律</v>
      </c>
      <c r="G41" s="81" t="str">
        <f ca="1">VLOOKUP($B41&amp;"_"&amp;$E41,OFFSET([2]stages!$A$1,0,0,COUNTA([2]stages!$A:$A),MATCH(G$1,[2]stages!$2:$2,0)-MATCH("temp_stage",[2]stages!$2:$2,0)+1),MATCH(G$1,[2]stages!$2:$2,0)-MATCH("temp_stage",[2]stages!$2:$2,0)+1,FALSE)</f>
        <v>北欧シリーズ第三弾　超級</v>
      </c>
      <c r="H41" s="83">
        <v>0</v>
      </c>
      <c r="I41" s="94">
        <v>12</v>
      </c>
      <c r="J41" s="82" t="s">
        <v>199</v>
      </c>
      <c r="K41" s="91" t="str">
        <f>VLOOKUP(I41,[7]stage_hints!$A:$C,3,FALSE)</f>
        <v>ユニットのお気に入り登録</v>
      </c>
      <c r="L41" s="92" t="str">
        <f>VLOOKUP(I41,[7]stage_hints!$A:$D,4,FALSE)</f>
        <v>大事なユニットを誤って消さないように_x000D_フォルダから「お気に入り登録」しましょう</v>
      </c>
      <c r="M41" s="55" t="s">
        <v>211</v>
      </c>
    </row>
    <row r="42" spans="1:13" x14ac:dyDescent="0.15">
      <c r="A42" s="79" t="s">
        <v>201</v>
      </c>
      <c r="B42" s="80">
        <f>floors!$C$5</f>
        <v>30047</v>
      </c>
      <c r="C42" s="81" t="str">
        <f ca="1">VLOOKUP($B42,OFFSET([2]quests!$A$1,0,0,COUNTA([2]quests!$A:$A),MATCH(C$1,[2]quests!$1:$1,0)-MATCH($B$1,[2]quests!$1:$1,0)+1),MATCH(C$1,[2]quests!$1:$1,0)-MATCH($B$1,[2]quests!$1:$1,0)+1,FALSE)</f>
        <v>終末の旋律</v>
      </c>
      <c r="D42" s="81" t="str">
        <f ca="1">VLOOKUP($B42,OFFSET([2]quests!$A$1,0,0,COUNTA([2]quests!$A:$A),MATCH(D$1,[2]quests!$1:$1,0)-MATCH($B$1,[2]quests!$1:$1,0)+1),MATCH(D$1,[2]quests!$1:$1,0)-MATCH($B$1,[2]quests!$1:$1,0)+1,FALSE)</f>
        <v>北欧シリーズ第三弾　超級</v>
      </c>
      <c r="E42" s="85">
        <v>2</v>
      </c>
      <c r="F42" s="81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【上級】終末の旋律</v>
      </c>
      <c r="G42" s="81" t="str">
        <f ca="1">VLOOKUP($B42&amp;"_"&amp;$E42,OFFSET([2]stages!$A$1,0,0,COUNTA([2]stages!$A:$A),MATCH(G$1,[2]stages!$2:$2,0)-MATCH("temp_stage",[2]stages!$2:$2,0)+1),MATCH(G$1,[2]stages!$2:$2,0)-MATCH("temp_stage",[2]stages!$2:$2,0)+1,FALSE)</f>
        <v>北欧シリーズ第三弾　超級</v>
      </c>
      <c r="H42" s="83">
        <v>0</v>
      </c>
      <c r="I42" s="94">
        <v>13</v>
      </c>
      <c r="J42" s="82" t="s">
        <v>199</v>
      </c>
      <c r="K42" s="91" t="str">
        <f>VLOOKUP(I42,[7]stage_hints!$A:$C,3,FALSE)</f>
        <v>ユニットの覚醒</v>
      </c>
      <c r="L42" s="92" t="str">
        <f>VLOOKUP(I42,[7]stage_hints!$A:$D,4,FALSE)</f>
        <v>ユニットを覚醒させると_x000D_比べものにならない強さが手に入ります</v>
      </c>
      <c r="M42" s="55" t="s">
        <v>211</v>
      </c>
    </row>
    <row r="43" spans="1:13" x14ac:dyDescent="0.15">
      <c r="A43" s="79" t="s">
        <v>201</v>
      </c>
      <c r="B43" s="80">
        <f>floors!$C$5</f>
        <v>30047</v>
      </c>
      <c r="C43" s="81" t="str">
        <f ca="1">VLOOKUP($B43,OFFSET([2]quests!$A$1,0,0,COUNTA([2]quests!$A:$A),MATCH(C$1,[2]quests!$1:$1,0)-MATCH($B$1,[2]quests!$1:$1,0)+1),MATCH(C$1,[2]quests!$1:$1,0)-MATCH($B$1,[2]quests!$1:$1,0)+1,FALSE)</f>
        <v>終末の旋律</v>
      </c>
      <c r="D43" s="81" t="str">
        <f ca="1">VLOOKUP($B43,OFFSET([2]quests!$A$1,0,0,COUNTA([2]quests!$A:$A),MATCH(D$1,[2]quests!$1:$1,0)-MATCH($B$1,[2]quests!$1:$1,0)+1),MATCH(D$1,[2]quests!$1:$1,0)-MATCH($B$1,[2]quests!$1:$1,0)+1,FALSE)</f>
        <v>北欧シリーズ第三弾　超級</v>
      </c>
      <c r="E43" s="85">
        <v>2</v>
      </c>
      <c r="F43" s="81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【上級】終末の旋律</v>
      </c>
      <c r="G43" s="81" t="str">
        <f ca="1">VLOOKUP($B43&amp;"_"&amp;$E43,OFFSET([2]stages!$A$1,0,0,COUNTA([2]stages!$A:$A),MATCH(G$1,[2]stages!$2:$2,0)-MATCH("temp_stage",[2]stages!$2:$2,0)+1),MATCH(G$1,[2]stages!$2:$2,0)-MATCH("temp_stage",[2]stages!$2:$2,0)+1,FALSE)</f>
        <v>北欧シリーズ第三弾　超級</v>
      </c>
      <c r="H43" s="83">
        <v>0</v>
      </c>
      <c r="I43" s="94">
        <v>14</v>
      </c>
      <c r="J43" s="82" t="s">
        <v>199</v>
      </c>
      <c r="K43" s="91" t="str">
        <f>VLOOKUP(I43,[7]stage_hints!$A:$C,3,FALSE)</f>
        <v>覚醒するにはレベルを最大に</v>
      </c>
      <c r="L43" s="92" t="str">
        <f>VLOOKUP(I43,[7]stage_hints!$A:$D,4,FALSE)</f>
        <v>覚醒するにはユニットのレベルを_x000D_最大まで上げる必要があります</v>
      </c>
      <c r="M43" s="55" t="s">
        <v>211</v>
      </c>
    </row>
    <row r="44" spans="1:13" x14ac:dyDescent="0.15">
      <c r="A44" s="79" t="s">
        <v>201</v>
      </c>
      <c r="B44" s="80">
        <f>floors!$C$5</f>
        <v>30047</v>
      </c>
      <c r="C44" s="81" t="str">
        <f ca="1">VLOOKUP($B44,OFFSET([2]quests!$A$1,0,0,COUNTA([2]quests!$A:$A),MATCH(C$1,[2]quests!$1:$1,0)-MATCH($B$1,[2]quests!$1:$1,0)+1),MATCH(C$1,[2]quests!$1:$1,0)-MATCH($B$1,[2]quests!$1:$1,0)+1,FALSE)</f>
        <v>終末の旋律</v>
      </c>
      <c r="D44" s="81" t="str">
        <f ca="1">VLOOKUP($B44,OFFSET([2]quests!$A$1,0,0,COUNTA([2]quests!$A:$A),MATCH(D$1,[2]quests!$1:$1,0)-MATCH($B$1,[2]quests!$1:$1,0)+1),MATCH(D$1,[2]quests!$1:$1,0)-MATCH($B$1,[2]quests!$1:$1,0)+1,FALSE)</f>
        <v>北欧シリーズ第三弾　超級</v>
      </c>
      <c r="E44" s="85">
        <v>2</v>
      </c>
      <c r="F44" s="81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【上級】終末の旋律</v>
      </c>
      <c r="G44" s="81" t="str">
        <f ca="1">VLOOKUP($B44&amp;"_"&amp;$E44,OFFSET([2]stages!$A$1,0,0,COUNTA([2]stages!$A:$A),MATCH(G$1,[2]stages!$2:$2,0)-MATCH("temp_stage",[2]stages!$2:$2,0)+1),MATCH(G$1,[2]stages!$2:$2,0)-MATCH("temp_stage",[2]stages!$2:$2,0)+1,FALSE)</f>
        <v>北欧シリーズ第三弾　超級</v>
      </c>
      <c r="H44" s="83">
        <v>0</v>
      </c>
      <c r="I44" s="94">
        <v>15</v>
      </c>
      <c r="J44" s="82" t="s">
        <v>199</v>
      </c>
      <c r="K44" s="91" t="str">
        <f>VLOOKUP(I44,[7]stage_hints!$A:$C,3,FALSE)</f>
        <v>覚醒素材を獲得</v>
      </c>
      <c r="L44" s="92" t="str">
        <f>VLOOKUP(I44,[7]stage_hints!$A:$D,4,FALSE)</f>
        <v>「曜日クエスト」では_x000D_ユニットの覚醒に必要な素材が手に入ります</v>
      </c>
      <c r="M44" s="55" t="s">
        <v>211</v>
      </c>
    </row>
    <row r="45" spans="1:13" x14ac:dyDescent="0.15">
      <c r="A45" s="79" t="s">
        <v>201</v>
      </c>
      <c r="B45" s="80">
        <f>floors!$C$5</f>
        <v>30047</v>
      </c>
      <c r="C45" s="81" t="str">
        <f ca="1">VLOOKUP($B45,OFFSET([2]quests!$A$1,0,0,COUNTA([2]quests!$A:$A),MATCH(C$1,[2]quests!$1:$1,0)-MATCH($B$1,[2]quests!$1:$1,0)+1),MATCH(C$1,[2]quests!$1:$1,0)-MATCH($B$1,[2]quests!$1:$1,0)+1,FALSE)</f>
        <v>終末の旋律</v>
      </c>
      <c r="D45" s="81" t="str">
        <f ca="1">VLOOKUP($B45,OFFSET([2]quests!$A$1,0,0,COUNTA([2]quests!$A:$A),MATCH(D$1,[2]quests!$1:$1,0)-MATCH($B$1,[2]quests!$1:$1,0)+1),MATCH(D$1,[2]quests!$1:$1,0)-MATCH($B$1,[2]quests!$1:$1,0)+1,FALSE)</f>
        <v>北欧シリーズ第三弾　超級</v>
      </c>
      <c r="E45" s="85">
        <v>2</v>
      </c>
      <c r="F45" s="81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【上級】終末の旋律</v>
      </c>
      <c r="G45" s="81" t="str">
        <f ca="1">VLOOKUP($B45&amp;"_"&amp;$E45,OFFSET([2]stages!$A$1,0,0,COUNTA([2]stages!$A:$A),MATCH(G$1,[2]stages!$2:$2,0)-MATCH("temp_stage",[2]stages!$2:$2,0)+1),MATCH(G$1,[2]stages!$2:$2,0)-MATCH("temp_stage",[2]stages!$2:$2,0)+1,FALSE)</f>
        <v>北欧シリーズ第三弾　超級</v>
      </c>
      <c r="H45" s="83">
        <v>0</v>
      </c>
      <c r="I45" s="94">
        <v>16</v>
      </c>
      <c r="J45" s="82" t="s">
        <v>199</v>
      </c>
      <c r="K45" s="91" t="str">
        <f>VLOOKUP(I45,[7]stage_hints!$A:$C,3,FALSE)</f>
        <v>マルチプレイのメリット（その1）</v>
      </c>
      <c r="L45" s="92" t="str">
        <f>VLOOKUP(I45,[7]stage_hints!$A:$D,4,FALSE)</f>
        <v>他のプレイヤーとマルチプレイで遊ぶと_x000D_ポリゴンがもらえます（100人まで）</v>
      </c>
      <c r="M45" s="55" t="s">
        <v>211</v>
      </c>
    </row>
    <row r="46" spans="1:13" x14ac:dyDescent="0.15">
      <c r="A46" s="79" t="s">
        <v>201</v>
      </c>
      <c r="B46" s="80">
        <f>floors!$C$5</f>
        <v>30047</v>
      </c>
      <c r="C46" s="81" t="str">
        <f ca="1">VLOOKUP($B46,OFFSET([2]quests!$A$1,0,0,COUNTA([2]quests!$A:$A),MATCH(C$1,[2]quests!$1:$1,0)-MATCH($B$1,[2]quests!$1:$1,0)+1),MATCH(C$1,[2]quests!$1:$1,0)-MATCH($B$1,[2]quests!$1:$1,0)+1,FALSE)</f>
        <v>終末の旋律</v>
      </c>
      <c r="D46" s="81" t="str">
        <f ca="1">VLOOKUP($B46,OFFSET([2]quests!$A$1,0,0,COUNTA([2]quests!$A:$A),MATCH(D$1,[2]quests!$1:$1,0)-MATCH($B$1,[2]quests!$1:$1,0)+1),MATCH(D$1,[2]quests!$1:$1,0)-MATCH($B$1,[2]quests!$1:$1,0)+1,FALSE)</f>
        <v>北欧シリーズ第三弾　超級</v>
      </c>
      <c r="E46" s="85">
        <v>2</v>
      </c>
      <c r="F46" s="81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【上級】終末の旋律</v>
      </c>
      <c r="G46" s="81" t="str">
        <f ca="1">VLOOKUP($B46&amp;"_"&amp;$E46,OFFSET([2]stages!$A$1,0,0,COUNTA([2]stages!$A:$A),MATCH(G$1,[2]stages!$2:$2,0)-MATCH("temp_stage",[2]stages!$2:$2,0)+1),MATCH(G$1,[2]stages!$2:$2,0)-MATCH("temp_stage",[2]stages!$2:$2,0)+1,FALSE)</f>
        <v>北欧シリーズ第三弾　超級</v>
      </c>
      <c r="H46" s="83">
        <v>0</v>
      </c>
      <c r="I46" s="94">
        <v>17</v>
      </c>
      <c r="J46" s="82" t="s">
        <v>199</v>
      </c>
      <c r="K46" s="91" t="str">
        <f>VLOOKUP(I46,[7]stage_hints!$A:$C,3,FALSE)</f>
        <v>リンクガチャ</v>
      </c>
      <c r="L46" s="92" t="str">
        <f>VLOOKUP(I46,[7]stage_hints!$A:$D,4,FALSE)</f>
        <v>無料のリンクガチャを回して_x000D_経験値素材や売却素材を獲得しましょう</v>
      </c>
      <c r="M46" s="55" t="s">
        <v>211</v>
      </c>
    </row>
    <row r="47" spans="1:13" x14ac:dyDescent="0.15">
      <c r="A47" s="79" t="s">
        <v>201</v>
      </c>
      <c r="B47" s="80">
        <f>floors!$C$5</f>
        <v>30047</v>
      </c>
      <c r="C47" s="81" t="str">
        <f ca="1">VLOOKUP($B47,OFFSET([2]quests!$A$1,0,0,COUNTA([2]quests!$A:$A),MATCH(C$1,[2]quests!$1:$1,0)-MATCH($B$1,[2]quests!$1:$1,0)+1),MATCH(C$1,[2]quests!$1:$1,0)-MATCH($B$1,[2]quests!$1:$1,0)+1,FALSE)</f>
        <v>終末の旋律</v>
      </c>
      <c r="D47" s="81" t="str">
        <f ca="1">VLOOKUP($B47,OFFSET([2]quests!$A$1,0,0,COUNTA([2]quests!$A:$A),MATCH(D$1,[2]quests!$1:$1,0)-MATCH($B$1,[2]quests!$1:$1,0)+1),MATCH(D$1,[2]quests!$1:$1,0)-MATCH($B$1,[2]quests!$1:$1,0)+1,FALSE)</f>
        <v>北欧シリーズ第三弾　超級</v>
      </c>
      <c r="E47" s="85">
        <v>2</v>
      </c>
      <c r="F47" s="81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【上級】終末の旋律</v>
      </c>
      <c r="G47" s="81" t="str">
        <f ca="1">VLOOKUP($B47&amp;"_"&amp;$E47,OFFSET([2]stages!$A$1,0,0,COUNTA([2]stages!$A:$A),MATCH(G$1,[2]stages!$2:$2,0)-MATCH("temp_stage",[2]stages!$2:$2,0)+1),MATCH(G$1,[2]stages!$2:$2,0)-MATCH("temp_stage",[2]stages!$2:$2,0)+1,FALSE)</f>
        <v>北欧シリーズ第三弾　超級</v>
      </c>
      <c r="H47" s="83">
        <v>0</v>
      </c>
      <c r="I47" s="94">
        <v>18</v>
      </c>
      <c r="J47" s="82" t="s">
        <v>199</v>
      </c>
      <c r="K47" s="91" t="str">
        <f>VLOOKUP(I47,[7]stage_hints!$A:$C,3,FALSE)</f>
        <v>マルチプレイのメリット（その2）</v>
      </c>
      <c r="L47" s="92" t="str">
        <f>VLOOKUP(I47,[7]stage_hints!$A:$D,4,FALSE)</f>
        <v>マルチプレイならリンクが2倍もらえます_x000D_リンクガチャをたくさん回しましょう</v>
      </c>
      <c r="M47" s="55" t="s">
        <v>211</v>
      </c>
    </row>
    <row r="48" spans="1:13" x14ac:dyDescent="0.15">
      <c r="A48" s="79" t="s">
        <v>201</v>
      </c>
      <c r="B48" s="80">
        <f>floors!$C$5</f>
        <v>30047</v>
      </c>
      <c r="C48" s="81" t="str">
        <f ca="1">VLOOKUP($B48,OFFSET([2]quests!$A$1,0,0,COUNTA([2]quests!$A:$A),MATCH(C$1,[2]quests!$1:$1,0)-MATCH($B$1,[2]quests!$1:$1,0)+1),MATCH(C$1,[2]quests!$1:$1,0)-MATCH($B$1,[2]quests!$1:$1,0)+1,FALSE)</f>
        <v>終末の旋律</v>
      </c>
      <c r="D48" s="81" t="str">
        <f ca="1">VLOOKUP($B48,OFFSET([2]quests!$A$1,0,0,COUNTA([2]quests!$A:$A),MATCH(D$1,[2]quests!$1:$1,0)-MATCH($B$1,[2]quests!$1:$1,0)+1),MATCH(D$1,[2]quests!$1:$1,0)-MATCH($B$1,[2]quests!$1:$1,0)+1,FALSE)</f>
        <v>北欧シリーズ第三弾　超級</v>
      </c>
      <c r="E48" s="85">
        <v>2</v>
      </c>
      <c r="F48" s="81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【上級】終末の旋律</v>
      </c>
      <c r="G48" s="81" t="str">
        <f ca="1">VLOOKUP($B48&amp;"_"&amp;$E48,OFFSET([2]stages!$A$1,0,0,COUNTA([2]stages!$A:$A),MATCH(G$1,[2]stages!$2:$2,0)-MATCH("temp_stage",[2]stages!$2:$2,0)+1),MATCH(G$1,[2]stages!$2:$2,0)-MATCH("temp_stage",[2]stages!$2:$2,0)+1,FALSE)</f>
        <v>北欧シリーズ第三弾　超級</v>
      </c>
      <c r="H48" s="83">
        <v>0</v>
      </c>
      <c r="I48" s="94">
        <v>19</v>
      </c>
      <c r="J48" s="82" t="s">
        <v>199</v>
      </c>
      <c r="K48" s="91" t="str">
        <f>VLOOKUP(I48,[7]stage_hints!$A:$C,3,FALSE)</f>
        <v>ソロ専用タワーオブザクイーン</v>
      </c>
      <c r="L48" s="92" t="str">
        <f>VLOOKUP(I48,[7]stage_hints!$A:$D,4,FALSE)</f>
        <v>ソロ専用の「タワーオブザクイーン」は_x000D_期間限定で定期的に開催されます_x000D_ここでしか獲得できない報酬もあるようです</v>
      </c>
      <c r="M48" s="55" t="s">
        <v>211</v>
      </c>
    </row>
    <row r="49" spans="1:13" x14ac:dyDescent="0.15">
      <c r="A49" s="79" t="s">
        <v>201</v>
      </c>
      <c r="B49" s="80">
        <f>floors!$C$5</f>
        <v>30047</v>
      </c>
      <c r="C49" s="81" t="str">
        <f ca="1">VLOOKUP($B49,OFFSET([2]quests!$A$1,0,0,COUNTA([2]quests!$A:$A),MATCH(C$1,[2]quests!$1:$1,0)-MATCH($B$1,[2]quests!$1:$1,0)+1),MATCH(C$1,[2]quests!$1:$1,0)-MATCH($B$1,[2]quests!$1:$1,0)+1,FALSE)</f>
        <v>終末の旋律</v>
      </c>
      <c r="D49" s="81" t="str">
        <f ca="1">VLOOKUP($B49,OFFSET([2]quests!$A$1,0,0,COUNTA([2]quests!$A:$A),MATCH(D$1,[2]quests!$1:$1,0)-MATCH($B$1,[2]quests!$1:$1,0)+1),MATCH(D$1,[2]quests!$1:$1,0)-MATCH($B$1,[2]quests!$1:$1,0)+1,FALSE)</f>
        <v>北欧シリーズ第三弾　超級</v>
      </c>
      <c r="E49" s="85">
        <v>2</v>
      </c>
      <c r="F49" s="81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【上級】終末の旋律</v>
      </c>
      <c r="G49" s="81" t="str">
        <f ca="1">VLOOKUP($B49&amp;"_"&amp;$E49,OFFSET([2]stages!$A$1,0,0,COUNTA([2]stages!$A:$A),MATCH(G$1,[2]stages!$2:$2,0)-MATCH("temp_stage",[2]stages!$2:$2,0)+1),MATCH(G$1,[2]stages!$2:$2,0)-MATCH("temp_stage",[2]stages!$2:$2,0)+1,FALSE)</f>
        <v>北欧シリーズ第三弾　超級</v>
      </c>
      <c r="H49" s="83">
        <v>0</v>
      </c>
      <c r="I49" s="94">
        <v>20</v>
      </c>
      <c r="J49" s="82" t="s">
        <v>199</v>
      </c>
      <c r="K49" s="91" t="str">
        <f>VLOOKUP(I49,[7]stage_hints!$A:$C,3,FALSE)</f>
        <v>マルチプレイのメリット（その3）</v>
      </c>
      <c r="L49" s="92" t="str">
        <f>VLOOKUP(I49,[7]stage_hints!$A:$D,4,FALSE)</f>
        <v>マルチプレイへの参加はエナジー消費ゼロ_x000D_いつでも好きなだけ遊ぶことができます</v>
      </c>
      <c r="M49" s="55" t="s">
        <v>211</v>
      </c>
    </row>
    <row r="50" spans="1:13" x14ac:dyDescent="0.15">
      <c r="A50" s="79" t="s">
        <v>201</v>
      </c>
      <c r="B50" s="80">
        <f>floors!$C$5</f>
        <v>30047</v>
      </c>
      <c r="C50" s="81" t="str">
        <f ca="1">VLOOKUP($B50,OFFSET([2]quests!$A$1,0,0,COUNTA([2]quests!$A:$A),MATCH(C$1,[2]quests!$1:$1,0)-MATCH($B$1,[2]quests!$1:$1,0)+1),MATCH(C$1,[2]quests!$1:$1,0)-MATCH($B$1,[2]quests!$1:$1,0)+1,FALSE)</f>
        <v>終末の旋律</v>
      </c>
      <c r="D50" s="81" t="str">
        <f ca="1">VLOOKUP($B50,OFFSET([2]quests!$A$1,0,0,COUNTA([2]quests!$A:$A),MATCH(D$1,[2]quests!$1:$1,0)-MATCH($B$1,[2]quests!$1:$1,0)+1),MATCH(D$1,[2]quests!$1:$1,0)-MATCH($B$1,[2]quests!$1:$1,0)+1,FALSE)</f>
        <v>北欧シリーズ第三弾　超級</v>
      </c>
      <c r="E50" s="85">
        <v>2</v>
      </c>
      <c r="F50" s="81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【上級】終末の旋律</v>
      </c>
      <c r="G50" s="81" t="str">
        <f ca="1">VLOOKUP($B50&amp;"_"&amp;$E50,OFFSET([2]stages!$A$1,0,0,COUNTA([2]stages!$A:$A),MATCH(G$1,[2]stages!$2:$2,0)-MATCH("temp_stage",[2]stages!$2:$2,0)+1),MATCH(G$1,[2]stages!$2:$2,0)-MATCH("temp_stage",[2]stages!$2:$2,0)+1,FALSE)</f>
        <v>北欧シリーズ第三弾　超級</v>
      </c>
      <c r="H50" s="83">
        <v>0</v>
      </c>
      <c r="I50" s="94">
        <v>21</v>
      </c>
      <c r="J50" s="82" t="s">
        <v>199</v>
      </c>
      <c r="K50" s="91" t="str">
        <f>VLOOKUP(I50,[7]stage_hints!$A:$C,3,FALSE)</f>
        <v>スキルを有効に</v>
      </c>
      <c r="L50" s="92" t="str">
        <f>VLOOKUP(I50,[7]stage_hints!$A:$D,4,FALSE)</f>
        <v>ターン経過でユニットのスキルが使えます_x000D_強力スキルでバトルを有利に進めましょう</v>
      </c>
      <c r="M50" s="55" t="s">
        <v>211</v>
      </c>
    </row>
    <row r="51" spans="1:13" x14ac:dyDescent="0.15">
      <c r="A51" s="79" t="s">
        <v>201</v>
      </c>
      <c r="B51" s="80">
        <f>floors!$C$5</f>
        <v>30047</v>
      </c>
      <c r="C51" s="81" t="str">
        <f ca="1">VLOOKUP($B51,OFFSET([2]quests!$A$1,0,0,COUNTA([2]quests!$A:$A),MATCH(C$1,[2]quests!$1:$1,0)-MATCH($B$1,[2]quests!$1:$1,0)+1),MATCH(C$1,[2]quests!$1:$1,0)-MATCH($B$1,[2]quests!$1:$1,0)+1,FALSE)</f>
        <v>終末の旋律</v>
      </c>
      <c r="D51" s="81" t="str">
        <f ca="1">VLOOKUP($B51,OFFSET([2]quests!$A$1,0,0,COUNTA([2]quests!$A:$A),MATCH(D$1,[2]quests!$1:$1,0)-MATCH($B$1,[2]quests!$1:$1,0)+1),MATCH(D$1,[2]quests!$1:$1,0)-MATCH($B$1,[2]quests!$1:$1,0)+1,FALSE)</f>
        <v>北欧シリーズ第三弾　超級</v>
      </c>
      <c r="E51" s="85">
        <v>2</v>
      </c>
      <c r="F51" s="81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【上級】終末の旋律</v>
      </c>
      <c r="G51" s="81" t="str">
        <f ca="1">VLOOKUP($B51&amp;"_"&amp;$E51,OFFSET([2]stages!$A$1,0,0,COUNTA([2]stages!$A:$A),MATCH(G$1,[2]stages!$2:$2,0)-MATCH("temp_stage",[2]stages!$2:$2,0)+1),MATCH(G$1,[2]stages!$2:$2,0)-MATCH("temp_stage",[2]stages!$2:$2,0)+1,FALSE)</f>
        <v>北欧シリーズ第三弾　超級</v>
      </c>
      <c r="H51" s="83">
        <v>0</v>
      </c>
      <c r="I51" s="94">
        <v>22</v>
      </c>
      <c r="J51" s="82" t="s">
        <v>199</v>
      </c>
      <c r="K51" s="91" t="str">
        <f>VLOOKUP(I51,[7]stage_hints!$A:$C,3,FALSE)</f>
        <v>フィーバーで一発逆転（その1）</v>
      </c>
      <c r="L51" s="92" t="str">
        <f>VLOOKUP(I51,[7]stage_hints!$A:$D,4,FALSE)</f>
        <v>フィーバーは攻撃と回復を兼ね備えます_x000D_ピンチからの一発逆転を狙いましょう</v>
      </c>
      <c r="M51" s="55" t="s">
        <v>211</v>
      </c>
    </row>
    <row r="52" spans="1:13" x14ac:dyDescent="0.15">
      <c r="A52" s="79" t="s">
        <v>201</v>
      </c>
      <c r="B52" s="80">
        <f>floors!$C$5</f>
        <v>30047</v>
      </c>
      <c r="C52" s="81" t="str">
        <f ca="1">VLOOKUP($B52,OFFSET([2]quests!$A$1,0,0,COUNTA([2]quests!$A:$A),MATCH(C$1,[2]quests!$1:$1,0)-MATCH($B$1,[2]quests!$1:$1,0)+1),MATCH(C$1,[2]quests!$1:$1,0)-MATCH($B$1,[2]quests!$1:$1,0)+1,FALSE)</f>
        <v>終末の旋律</v>
      </c>
      <c r="D52" s="81" t="str">
        <f ca="1">VLOOKUP($B52,OFFSET([2]quests!$A$1,0,0,COUNTA([2]quests!$A:$A),MATCH(D$1,[2]quests!$1:$1,0)-MATCH($B$1,[2]quests!$1:$1,0)+1),MATCH(D$1,[2]quests!$1:$1,0)-MATCH($B$1,[2]quests!$1:$1,0)+1,FALSE)</f>
        <v>北欧シリーズ第三弾　超級</v>
      </c>
      <c r="E52" s="85">
        <v>2</v>
      </c>
      <c r="F52" s="81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【上級】終末の旋律</v>
      </c>
      <c r="G52" s="81" t="str">
        <f ca="1">VLOOKUP($B52&amp;"_"&amp;$E52,OFFSET([2]stages!$A$1,0,0,COUNTA([2]stages!$A:$A),MATCH(G$1,[2]stages!$2:$2,0)-MATCH("temp_stage",[2]stages!$2:$2,0)+1),MATCH(G$1,[2]stages!$2:$2,0)-MATCH("temp_stage",[2]stages!$2:$2,0)+1,FALSE)</f>
        <v>北欧シリーズ第三弾　超級</v>
      </c>
      <c r="H52" s="83">
        <v>0</v>
      </c>
      <c r="I52" s="94">
        <v>23</v>
      </c>
      <c r="J52" s="82" t="s">
        <v>199</v>
      </c>
      <c r="K52" s="91" t="str">
        <f>VLOOKUP(I52,[7]stage_hints!$A:$C,3,FALSE)</f>
        <v>フィーバーで一発逆転（その2）</v>
      </c>
      <c r="L52" s="92" t="str">
        <f>VLOOKUP(I52,[7]stage_hints!$A:$D,4,FALSE)</f>
        <v>フィーバー中は虹色のボムパネルを狙って_x000D_画面上のパネルを一気に破壊しましょう</v>
      </c>
      <c r="M52" s="55" t="s">
        <v>211</v>
      </c>
    </row>
    <row r="53" spans="1:13" x14ac:dyDescent="0.15">
      <c r="A53" s="79" t="s">
        <v>201</v>
      </c>
      <c r="B53" s="80">
        <f>floors!$C$5</f>
        <v>30047</v>
      </c>
      <c r="C53" s="81" t="str">
        <f ca="1">VLOOKUP($B53,OFFSET([2]quests!$A$1,0,0,COUNTA([2]quests!$A:$A),MATCH(C$1,[2]quests!$1:$1,0)-MATCH($B$1,[2]quests!$1:$1,0)+1),MATCH(C$1,[2]quests!$1:$1,0)-MATCH($B$1,[2]quests!$1:$1,0)+1,FALSE)</f>
        <v>終末の旋律</v>
      </c>
      <c r="D53" s="81" t="str">
        <f ca="1">VLOOKUP($B53,OFFSET([2]quests!$A$1,0,0,COUNTA([2]quests!$A:$A),MATCH(D$1,[2]quests!$1:$1,0)-MATCH($B$1,[2]quests!$1:$1,0)+1),MATCH(D$1,[2]quests!$1:$1,0)-MATCH($B$1,[2]quests!$1:$1,0)+1,FALSE)</f>
        <v>北欧シリーズ第三弾　超級</v>
      </c>
      <c r="E53" s="85">
        <v>2</v>
      </c>
      <c r="F53" s="81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【上級】終末の旋律</v>
      </c>
      <c r="G53" s="81" t="str">
        <f ca="1">VLOOKUP($B53&amp;"_"&amp;$E53,OFFSET([2]stages!$A$1,0,0,COUNTA([2]stages!$A:$A),MATCH(G$1,[2]stages!$2:$2,0)-MATCH("temp_stage",[2]stages!$2:$2,0)+1),MATCH(G$1,[2]stages!$2:$2,0)-MATCH("temp_stage",[2]stages!$2:$2,0)+1,FALSE)</f>
        <v>北欧シリーズ第三弾　超級</v>
      </c>
      <c r="H53" s="83">
        <v>0</v>
      </c>
      <c r="I53" s="94">
        <v>24</v>
      </c>
      <c r="J53" s="82" t="s">
        <v>199</v>
      </c>
      <c r="K53" s="91" t="str">
        <f>VLOOKUP(I53,[7]stage_hints!$A:$C,3,FALSE)</f>
        <v>りんごを使って限界突破</v>
      </c>
      <c r="L53" s="92" t="str">
        <f>VLOOKUP(I53,[7]stage_hints!$A:$D,4,FALSE)</f>
        <v>赤りんご(攻撃力) 青りんご(回復力)_x000D_緑りんご(体力)をユニット強化に使うと_x000D_ステータスが限界突破します（計99個迄）</v>
      </c>
      <c r="M53" s="55" t="s">
        <v>211</v>
      </c>
    </row>
    <row r="54" spans="1:13" x14ac:dyDescent="0.15">
      <c r="A54" s="79" t="s">
        <v>201</v>
      </c>
      <c r="B54" s="80">
        <f>floors!$C$5</f>
        <v>30047</v>
      </c>
      <c r="C54" s="81" t="str">
        <f ca="1">VLOOKUP($B54,OFFSET([2]quests!$A$1,0,0,COUNTA([2]quests!$A:$A),MATCH(C$1,[2]quests!$1:$1,0)-MATCH($B$1,[2]quests!$1:$1,0)+1),MATCH(C$1,[2]quests!$1:$1,0)-MATCH($B$1,[2]quests!$1:$1,0)+1,FALSE)</f>
        <v>終末の旋律</v>
      </c>
      <c r="D54" s="81" t="str">
        <f ca="1">VLOOKUP($B54,OFFSET([2]quests!$A$1,0,0,COUNTA([2]quests!$A:$A),MATCH(D$1,[2]quests!$1:$1,0)-MATCH($B$1,[2]quests!$1:$1,0)+1),MATCH(D$1,[2]quests!$1:$1,0)-MATCH($B$1,[2]quests!$1:$1,0)+1,FALSE)</f>
        <v>北欧シリーズ第三弾　超級</v>
      </c>
      <c r="E54" s="85">
        <v>2</v>
      </c>
      <c r="F54" s="81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【上級】終末の旋律</v>
      </c>
      <c r="G54" s="81" t="str">
        <f ca="1">VLOOKUP($B54&amp;"_"&amp;$E54,OFFSET([2]stages!$A$1,0,0,COUNTA([2]stages!$A:$A),MATCH(G$1,[2]stages!$2:$2,0)-MATCH("temp_stage",[2]stages!$2:$2,0)+1),MATCH(G$1,[2]stages!$2:$2,0)-MATCH("temp_stage",[2]stages!$2:$2,0)+1,FALSE)</f>
        <v>北欧シリーズ第三弾　超級</v>
      </c>
      <c r="H54" s="83">
        <v>0</v>
      </c>
      <c r="I54" s="94">
        <v>25</v>
      </c>
      <c r="J54" s="82" t="s">
        <v>199</v>
      </c>
      <c r="K54" s="91" t="str">
        <f>VLOOKUP(I54,[7]stage_hints!$A:$C,3,FALSE)</f>
        <v>スキルレベルアップ</v>
      </c>
      <c r="L54" s="92" t="str">
        <f>VLOOKUP(I54,[7]stage_hints!$A:$D,4,FALSE)</f>
        <v>「クリスタルのりんご」を強化に使うと_x000D_スキルレベルを上げることができます</v>
      </c>
      <c r="M54" s="55" t="s">
        <v>211</v>
      </c>
    </row>
    <row r="55" spans="1:13" x14ac:dyDescent="0.15">
      <c r="A55" s="79" t="s">
        <v>201</v>
      </c>
      <c r="B55" s="80">
        <f>floors!$C$5</f>
        <v>30047</v>
      </c>
      <c r="C55" s="81" t="str">
        <f ca="1">VLOOKUP($B55,OFFSET([2]quests!$A$1,0,0,COUNTA([2]quests!$A:$A),MATCH(C$1,[2]quests!$1:$1,0)-MATCH($B$1,[2]quests!$1:$1,0)+1),MATCH(C$1,[2]quests!$1:$1,0)-MATCH($B$1,[2]quests!$1:$1,0)+1,FALSE)</f>
        <v>終末の旋律</v>
      </c>
      <c r="D55" s="81" t="str">
        <f ca="1">VLOOKUP($B55,OFFSET([2]quests!$A$1,0,0,COUNTA([2]quests!$A:$A),MATCH(D$1,[2]quests!$1:$1,0)-MATCH($B$1,[2]quests!$1:$1,0)+1),MATCH(D$1,[2]quests!$1:$1,0)-MATCH($B$1,[2]quests!$1:$1,0)+1,FALSE)</f>
        <v>北欧シリーズ第三弾　超級</v>
      </c>
      <c r="E55" s="85">
        <v>2</v>
      </c>
      <c r="F55" s="81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【上級】終末の旋律</v>
      </c>
      <c r="G55" s="81" t="str">
        <f ca="1">VLOOKUP($B55&amp;"_"&amp;$E55,OFFSET([2]stages!$A$1,0,0,COUNTA([2]stages!$A:$A),MATCH(G$1,[2]stages!$2:$2,0)-MATCH("temp_stage",[2]stages!$2:$2,0)+1),MATCH(G$1,[2]stages!$2:$2,0)-MATCH("temp_stage",[2]stages!$2:$2,0)+1,FALSE)</f>
        <v>北欧シリーズ第三弾　超級</v>
      </c>
      <c r="H55" s="83">
        <v>0</v>
      </c>
      <c r="I55" s="94">
        <v>26</v>
      </c>
      <c r="J55" s="82" t="s">
        <v>199</v>
      </c>
      <c r="K55" s="91" t="str">
        <f>VLOOKUP(I55,[7]stage_hints!$A:$C,3,FALSE)</f>
        <v>スキルレベルの効果</v>
      </c>
      <c r="L55" s="92" t="str">
        <f>VLOOKUP(I55,[7]stage_hints!$A:$D,4,FALSE)</f>
        <v>スキルレベルが上がると_x000D_短いターンでスキルを使うことができます</v>
      </c>
      <c r="M55" s="55" t="s">
        <v>211</v>
      </c>
    </row>
    <row r="56" spans="1:13" x14ac:dyDescent="0.15">
      <c r="A56" s="79" t="s">
        <v>201</v>
      </c>
      <c r="B56" s="80">
        <f>floors!$C$5</f>
        <v>30047</v>
      </c>
      <c r="C56" s="81" t="str">
        <f ca="1">VLOOKUP($B56,OFFSET([2]quests!$A$1,0,0,COUNTA([2]quests!$A:$A),MATCH(C$1,[2]quests!$1:$1,0)-MATCH($B$1,[2]quests!$1:$1,0)+1),MATCH(C$1,[2]quests!$1:$1,0)-MATCH($B$1,[2]quests!$1:$1,0)+1,FALSE)</f>
        <v>終末の旋律</v>
      </c>
      <c r="D56" s="81" t="str">
        <f ca="1">VLOOKUP($B56,OFFSET([2]quests!$A$1,0,0,COUNTA([2]quests!$A:$A),MATCH(D$1,[2]quests!$1:$1,0)-MATCH($B$1,[2]quests!$1:$1,0)+1),MATCH(D$1,[2]quests!$1:$1,0)-MATCH($B$1,[2]quests!$1:$1,0)+1,FALSE)</f>
        <v>北欧シリーズ第三弾　超級</v>
      </c>
      <c r="E56" s="85">
        <v>2</v>
      </c>
      <c r="F56" s="81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【上級】終末の旋律</v>
      </c>
      <c r="G56" s="81" t="str">
        <f ca="1">VLOOKUP($B56&amp;"_"&amp;$E56,OFFSET([2]stages!$A$1,0,0,COUNTA([2]stages!$A:$A),MATCH(G$1,[2]stages!$2:$2,0)-MATCH("temp_stage",[2]stages!$2:$2,0)+1),MATCH(G$1,[2]stages!$2:$2,0)-MATCH("temp_stage",[2]stages!$2:$2,0)+1,FALSE)</f>
        <v>北欧シリーズ第三弾　超級</v>
      </c>
      <c r="H56" s="83">
        <v>0</v>
      </c>
      <c r="I56" s="94">
        <v>27</v>
      </c>
      <c r="J56" s="82" t="s">
        <v>199</v>
      </c>
      <c r="K56" s="91" t="str">
        <f>VLOOKUP(I56,[7]stage_hints!$A:$C,3,FALSE)</f>
        <v>ホーム画面からデッキを編成</v>
      </c>
      <c r="L56" s="92" t="str">
        <f>VLOOKUP(I56,[7]stage_hints!$A:$D,4,FALSE)</f>
        <v>ホーム画面でユニットを長押しすると_x000D_すぐにパーティ編成に移動できます</v>
      </c>
      <c r="M56" s="55" t="s">
        <v>211</v>
      </c>
    </row>
    <row r="57" spans="1:13" x14ac:dyDescent="0.15">
      <c r="A57" s="79" t="s">
        <v>201</v>
      </c>
      <c r="B57" s="80">
        <f>floors!$C$5</f>
        <v>30047</v>
      </c>
      <c r="C57" s="81" t="str">
        <f ca="1">VLOOKUP($B57,OFFSET([2]quests!$A$1,0,0,COUNTA([2]quests!$A:$A),MATCH(C$1,[2]quests!$1:$1,0)-MATCH($B$1,[2]quests!$1:$1,0)+1),MATCH(C$1,[2]quests!$1:$1,0)-MATCH($B$1,[2]quests!$1:$1,0)+1,FALSE)</f>
        <v>終末の旋律</v>
      </c>
      <c r="D57" s="81" t="str">
        <f ca="1">VLOOKUP($B57,OFFSET([2]quests!$A$1,0,0,COUNTA([2]quests!$A:$A),MATCH(D$1,[2]quests!$1:$1,0)-MATCH($B$1,[2]quests!$1:$1,0)+1),MATCH(D$1,[2]quests!$1:$1,0)-MATCH($B$1,[2]quests!$1:$1,0)+1,FALSE)</f>
        <v>北欧シリーズ第三弾　超級</v>
      </c>
      <c r="E57" s="85">
        <v>2</v>
      </c>
      <c r="F57" s="81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【上級】終末の旋律</v>
      </c>
      <c r="G57" s="81" t="str">
        <f ca="1">VLOOKUP($B57&amp;"_"&amp;$E57,OFFSET([2]stages!$A$1,0,0,COUNTA([2]stages!$A:$A),MATCH(G$1,[2]stages!$2:$2,0)-MATCH("temp_stage",[2]stages!$2:$2,0)+1),MATCH(G$1,[2]stages!$2:$2,0)-MATCH("temp_stage",[2]stages!$2:$2,0)+1,FALSE)</f>
        <v>北欧シリーズ第三弾　超級</v>
      </c>
      <c r="H57" s="83">
        <v>0</v>
      </c>
      <c r="I57" s="94">
        <v>28</v>
      </c>
      <c r="J57" s="82" t="s">
        <v>199</v>
      </c>
      <c r="K57" s="91" t="str">
        <f>VLOOKUP(I57,[7]stage_hints!$A:$C,3,FALSE)</f>
        <v>ステータス情報は長押しで</v>
      </c>
      <c r="L57" s="92" t="str">
        <f>VLOOKUP(I57,[7]stage_hints!$A:$D,4,FALSE)</f>
        <v>ユニットのアイコンを長押しすると_x000D_ステータス情報を確認することができます</v>
      </c>
      <c r="M57" s="55" t="s">
        <v>211</v>
      </c>
    </row>
    <row r="58" spans="1:13" x14ac:dyDescent="0.15">
      <c r="A58" s="79" t="s">
        <v>201</v>
      </c>
      <c r="B58" s="80">
        <f>floors!$C$5</f>
        <v>30047</v>
      </c>
      <c r="C58" s="81" t="str">
        <f ca="1">VLOOKUP($B58,OFFSET([2]quests!$A$1,0,0,COUNTA([2]quests!$A:$A),MATCH(C$1,[2]quests!$1:$1,0)-MATCH($B$1,[2]quests!$1:$1,0)+1),MATCH(C$1,[2]quests!$1:$1,0)-MATCH($B$1,[2]quests!$1:$1,0)+1,FALSE)</f>
        <v>終末の旋律</v>
      </c>
      <c r="D58" s="81" t="str">
        <f ca="1">VLOOKUP($B58,OFFSET([2]quests!$A$1,0,0,COUNTA([2]quests!$A:$A),MATCH(D$1,[2]quests!$1:$1,0)-MATCH($B$1,[2]quests!$1:$1,0)+1),MATCH(D$1,[2]quests!$1:$1,0)-MATCH($B$1,[2]quests!$1:$1,0)+1,FALSE)</f>
        <v>北欧シリーズ第三弾　超級</v>
      </c>
      <c r="E58" s="85">
        <v>2</v>
      </c>
      <c r="F58" s="81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【上級】終末の旋律</v>
      </c>
      <c r="G58" s="81" t="str">
        <f ca="1">VLOOKUP($B58&amp;"_"&amp;$E58,OFFSET([2]stages!$A$1,0,0,COUNTA([2]stages!$A:$A),MATCH(G$1,[2]stages!$2:$2,0)-MATCH("temp_stage",[2]stages!$2:$2,0)+1),MATCH(G$1,[2]stages!$2:$2,0)-MATCH("temp_stage",[2]stages!$2:$2,0)+1,FALSE)</f>
        <v>北欧シリーズ第三弾　超級</v>
      </c>
      <c r="H58" s="83">
        <v>0</v>
      </c>
      <c r="I58" s="94">
        <v>29</v>
      </c>
      <c r="J58" s="82" t="s">
        <v>199</v>
      </c>
      <c r="K58" s="91" t="str">
        <f>VLOOKUP(I58,[7]stage_hints!$A:$C,3,FALSE)</f>
        <v>「バグ」のメリット</v>
      </c>
      <c r="L58" s="92" t="str">
        <f>VLOOKUP(I58,[7]stage_hints!$A:$D,4,FALSE)</f>
        <v>ユニットの「バグ」を増やすと_x000D_報酬をもらえる確率がアップします</v>
      </c>
      <c r="M58" s="55" t="s">
        <v>211</v>
      </c>
    </row>
    <row r="59" spans="1:13" x14ac:dyDescent="0.15">
      <c r="A59" s="79" t="s">
        <v>201</v>
      </c>
      <c r="B59" s="80">
        <f>floors!$C$5</f>
        <v>30047</v>
      </c>
      <c r="C59" s="81" t="str">
        <f ca="1">VLOOKUP($B59,OFFSET([2]quests!$A$1,0,0,COUNTA([2]quests!$A:$A),MATCH(C$1,[2]quests!$1:$1,0)-MATCH($B$1,[2]quests!$1:$1,0)+1),MATCH(C$1,[2]quests!$1:$1,0)-MATCH($B$1,[2]quests!$1:$1,0)+1,FALSE)</f>
        <v>終末の旋律</v>
      </c>
      <c r="D59" s="81" t="str">
        <f ca="1">VLOOKUP($B59,OFFSET([2]quests!$A$1,0,0,COUNTA([2]quests!$A:$A),MATCH(D$1,[2]quests!$1:$1,0)-MATCH($B$1,[2]quests!$1:$1,0)+1),MATCH(D$1,[2]quests!$1:$1,0)-MATCH($B$1,[2]quests!$1:$1,0)+1,FALSE)</f>
        <v>北欧シリーズ第三弾　超級</v>
      </c>
      <c r="E59" s="85">
        <v>2</v>
      </c>
      <c r="F59" s="81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【上級】終末の旋律</v>
      </c>
      <c r="G59" s="81" t="str">
        <f ca="1">VLOOKUP($B59&amp;"_"&amp;$E59,OFFSET([2]stages!$A$1,0,0,COUNTA([2]stages!$A:$A),MATCH(G$1,[2]stages!$2:$2,0)-MATCH("temp_stage",[2]stages!$2:$2,0)+1),MATCH(G$1,[2]stages!$2:$2,0)-MATCH("temp_stage",[2]stages!$2:$2,0)+1,FALSE)</f>
        <v>北欧シリーズ第三弾　超級</v>
      </c>
      <c r="H59" s="83">
        <v>0</v>
      </c>
      <c r="I59" s="94">
        <v>30</v>
      </c>
      <c r="J59" s="82" t="s">
        <v>199</v>
      </c>
      <c r="K59" s="91" t="str">
        <f>VLOOKUP(I59,[7]stage_hints!$A:$C,3,FALSE)</f>
        <v>「バグ」の増やし方</v>
      </c>
      <c r="L59" s="92" t="str">
        <f>VLOOKUP(I59,[7]stage_hints!$A:$D,4,FALSE)</f>
        <v>同じユニット同士を強化で合成すると_x000D_「バグ」を増やすことができます</v>
      </c>
      <c r="M59" s="55" t="s">
        <v>211</v>
      </c>
    </row>
    <row r="60" spans="1:13" x14ac:dyDescent="0.15">
      <c r="A60" s="79" t="s">
        <v>201</v>
      </c>
      <c r="B60" s="80">
        <f>floors!$C$5</f>
        <v>30047</v>
      </c>
      <c r="C60" s="81" t="str">
        <f ca="1">VLOOKUP($B60,OFFSET([2]quests!$A$1,0,0,COUNTA([2]quests!$A:$A),MATCH(C$1,[2]quests!$1:$1,0)-MATCH($B$1,[2]quests!$1:$1,0)+1),MATCH(C$1,[2]quests!$1:$1,0)-MATCH($B$1,[2]quests!$1:$1,0)+1,FALSE)</f>
        <v>終末の旋律</v>
      </c>
      <c r="D60" s="81" t="str">
        <f ca="1">VLOOKUP($B60,OFFSET([2]quests!$A$1,0,0,COUNTA([2]quests!$A:$A),MATCH(D$1,[2]quests!$1:$1,0)-MATCH($B$1,[2]quests!$1:$1,0)+1),MATCH(D$1,[2]quests!$1:$1,0)-MATCH($B$1,[2]quests!$1:$1,0)+1,FALSE)</f>
        <v>北欧シリーズ第三弾　超級</v>
      </c>
      <c r="E60" s="85">
        <v>2</v>
      </c>
      <c r="F60" s="81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【上級】終末の旋律</v>
      </c>
      <c r="G60" s="81" t="str">
        <f ca="1">VLOOKUP($B60&amp;"_"&amp;$E60,OFFSET([2]stages!$A$1,0,0,COUNTA([2]stages!$A:$A),MATCH(G$1,[2]stages!$2:$2,0)-MATCH("temp_stage",[2]stages!$2:$2,0)+1),MATCH(G$1,[2]stages!$2:$2,0)-MATCH("temp_stage",[2]stages!$2:$2,0)+1,FALSE)</f>
        <v>北欧シリーズ第三弾　超級</v>
      </c>
      <c r="H60" s="83">
        <v>0</v>
      </c>
      <c r="I60" s="94">
        <v>31</v>
      </c>
      <c r="J60" s="82" t="s">
        <v>199</v>
      </c>
      <c r="K60" s="91" t="str">
        <f>VLOOKUP(I60,[7]stage_hints!$A:$C,3,FALSE)</f>
        <v>イベントはお知らせでチェック</v>
      </c>
      <c r="L60" s="92" t="str">
        <f>VLOOKUP(I60,[7]stage_hints!$A:$D,4,FALSE)</f>
        <v>イベント限定ユニットを取り忘れないように_x000D_お知らせをこまめにチェックしましょう</v>
      </c>
      <c r="M60" s="55" t="s">
        <v>211</v>
      </c>
    </row>
    <row r="61" spans="1:13" x14ac:dyDescent="0.15">
      <c r="A61" s="79" t="s">
        <v>201</v>
      </c>
      <c r="B61" s="80">
        <f>floors!$C$5</f>
        <v>30047</v>
      </c>
      <c r="C61" s="81" t="str">
        <f ca="1">VLOOKUP($B61,OFFSET([2]quests!$A$1,0,0,COUNTA([2]quests!$A:$A),MATCH(C$1,[2]quests!$1:$1,0)-MATCH($B$1,[2]quests!$1:$1,0)+1),MATCH(C$1,[2]quests!$1:$1,0)-MATCH($B$1,[2]quests!$1:$1,0)+1,FALSE)</f>
        <v>終末の旋律</v>
      </c>
      <c r="D61" s="81" t="str">
        <f ca="1">VLOOKUP($B61,OFFSET([2]quests!$A$1,0,0,COUNTA([2]quests!$A:$A),MATCH(D$1,[2]quests!$1:$1,0)-MATCH($B$1,[2]quests!$1:$1,0)+1),MATCH(D$1,[2]quests!$1:$1,0)-MATCH($B$1,[2]quests!$1:$1,0)+1,FALSE)</f>
        <v>北欧シリーズ第三弾　超級</v>
      </c>
      <c r="E61" s="85">
        <v>2</v>
      </c>
      <c r="F61" s="81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【上級】終末の旋律</v>
      </c>
      <c r="G61" s="81" t="str">
        <f ca="1">VLOOKUP($B61&amp;"_"&amp;$E61,OFFSET([2]stages!$A$1,0,0,COUNTA([2]stages!$A:$A),MATCH(G$1,[2]stages!$2:$2,0)-MATCH("temp_stage",[2]stages!$2:$2,0)+1),MATCH(G$1,[2]stages!$2:$2,0)-MATCH("temp_stage",[2]stages!$2:$2,0)+1,FALSE)</f>
        <v>北欧シリーズ第三弾　超級</v>
      </c>
      <c r="H61" s="83">
        <v>0</v>
      </c>
      <c r="I61" s="94">
        <v>32</v>
      </c>
      <c r="J61" s="82" t="s">
        <v>199</v>
      </c>
      <c r="K61" s="91" t="str">
        <f>VLOOKUP(I61,[7]stage_hints!$A:$C,3,FALSE)</f>
        <v>敵の連続攻撃には</v>
      </c>
      <c r="L61" s="92" t="str">
        <f>VLOOKUP(I61,[7]stage_hints!$A:$D,4,FALSE)</f>
        <v>カウンタースキルを持つユニットがいれば_x000D_ダメージ回数分の反撃ができます</v>
      </c>
      <c r="M61" s="55" t="s">
        <v>211</v>
      </c>
    </row>
    <row r="62" spans="1:13" x14ac:dyDescent="0.15">
      <c r="A62" s="79" t="s">
        <v>201</v>
      </c>
      <c r="B62" s="80">
        <f>floors!$C$5</f>
        <v>30047</v>
      </c>
      <c r="C62" s="81" t="str">
        <f ca="1">VLOOKUP($B62,OFFSET([2]quests!$A$1,0,0,COUNTA([2]quests!$A:$A),MATCH(C$1,[2]quests!$1:$1,0)-MATCH($B$1,[2]quests!$1:$1,0)+1),MATCH(C$1,[2]quests!$1:$1,0)-MATCH($B$1,[2]quests!$1:$1,0)+1,FALSE)</f>
        <v>終末の旋律</v>
      </c>
      <c r="D62" s="81" t="str">
        <f ca="1">VLOOKUP($B62,OFFSET([2]quests!$A$1,0,0,COUNTA([2]quests!$A:$A),MATCH(D$1,[2]quests!$1:$1,0)-MATCH($B$1,[2]quests!$1:$1,0)+1),MATCH(D$1,[2]quests!$1:$1,0)-MATCH($B$1,[2]quests!$1:$1,0)+1,FALSE)</f>
        <v>北欧シリーズ第三弾　超級</v>
      </c>
      <c r="E62" s="85">
        <v>2</v>
      </c>
      <c r="F62" s="81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【上級】終末の旋律</v>
      </c>
      <c r="G62" s="81" t="str">
        <f ca="1">VLOOKUP($B62&amp;"_"&amp;$E62,OFFSET([2]stages!$A$1,0,0,COUNTA([2]stages!$A:$A),MATCH(G$1,[2]stages!$2:$2,0)-MATCH("temp_stage",[2]stages!$2:$2,0)+1),MATCH(G$1,[2]stages!$2:$2,0)-MATCH("temp_stage",[2]stages!$2:$2,0)+1,FALSE)</f>
        <v>北欧シリーズ第三弾　超級</v>
      </c>
      <c r="H62" s="83">
        <v>0</v>
      </c>
      <c r="I62" s="94">
        <v>33</v>
      </c>
      <c r="J62" s="82" t="s">
        <v>199</v>
      </c>
      <c r="K62" s="91" t="str">
        <f>VLOOKUP(I62,[7]stage_hints!$A:$C,3,FALSE)</f>
        <v>敵のカウンター攻撃には</v>
      </c>
      <c r="L62" s="92" t="str">
        <f>VLOOKUP(I62,[7]stage_hints!$A:$D,4,FALSE)</f>
        <v>カウンターブレイクスキルを持っていれば_x000D_敵のカウンターを解除して攻撃ができます</v>
      </c>
      <c r="M62" s="55" t="s">
        <v>211</v>
      </c>
    </row>
    <row r="63" spans="1:13" x14ac:dyDescent="0.15">
      <c r="A63" s="79" t="s">
        <v>201</v>
      </c>
      <c r="B63" s="80">
        <f>floors!$C$5</f>
        <v>30047</v>
      </c>
      <c r="C63" s="81" t="str">
        <f ca="1">VLOOKUP($B63,OFFSET([2]quests!$A$1,0,0,COUNTA([2]quests!$A:$A),MATCH(C$1,[2]quests!$1:$1,0)-MATCH($B$1,[2]quests!$1:$1,0)+1),MATCH(C$1,[2]quests!$1:$1,0)-MATCH($B$1,[2]quests!$1:$1,0)+1,FALSE)</f>
        <v>終末の旋律</v>
      </c>
      <c r="D63" s="81" t="str">
        <f ca="1">VLOOKUP($B63,OFFSET([2]quests!$A$1,0,0,COUNTA([2]quests!$A:$A),MATCH(D$1,[2]quests!$1:$1,0)-MATCH($B$1,[2]quests!$1:$1,0)+1),MATCH(D$1,[2]quests!$1:$1,0)-MATCH($B$1,[2]quests!$1:$1,0)+1,FALSE)</f>
        <v>北欧シリーズ第三弾　超級</v>
      </c>
      <c r="E63" s="85">
        <v>2</v>
      </c>
      <c r="F63" s="81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【上級】終末の旋律</v>
      </c>
      <c r="G63" s="81" t="str">
        <f ca="1">VLOOKUP($B63&amp;"_"&amp;$E63,OFFSET([2]stages!$A$1,0,0,COUNTA([2]stages!$A:$A),MATCH(G$1,[2]stages!$2:$2,0)-MATCH("temp_stage",[2]stages!$2:$2,0)+1),MATCH(G$1,[2]stages!$2:$2,0)-MATCH("temp_stage",[2]stages!$2:$2,0)+1,FALSE)</f>
        <v>北欧シリーズ第三弾　超級</v>
      </c>
      <c r="H63" s="83">
        <v>0</v>
      </c>
      <c r="I63" s="94">
        <v>34</v>
      </c>
      <c r="J63" s="82" t="s">
        <v>199</v>
      </c>
      <c r="K63" s="91" t="str">
        <f>VLOOKUP(I63,[7]stage_hints!$A:$C,3,FALSE)</f>
        <v>ステータスをスキルで下げられたら</v>
      </c>
      <c r="L63" s="92" t="str">
        <f>VLOOKUP(I63,[7]stage_hints!$A:$D,4,FALSE)</f>
        <v>ステータスダウンのスキルを受けたら_x000D_ステータスアップスキルで上書きしましょう</v>
      </c>
      <c r="M63" s="55" t="s">
        <v>211</v>
      </c>
    </row>
    <row r="64" spans="1:13" x14ac:dyDescent="0.15">
      <c r="A64" s="79" t="s">
        <v>201</v>
      </c>
      <c r="B64" s="80">
        <f>floors!$C$5</f>
        <v>30047</v>
      </c>
      <c r="C64" s="81" t="str">
        <f ca="1">VLOOKUP($B64,OFFSET([2]quests!$A$1,0,0,COUNTA([2]quests!$A:$A),MATCH(C$1,[2]quests!$1:$1,0)-MATCH($B$1,[2]quests!$1:$1,0)+1),MATCH(C$1,[2]quests!$1:$1,0)-MATCH($B$1,[2]quests!$1:$1,0)+1,FALSE)</f>
        <v>終末の旋律</v>
      </c>
      <c r="D64" s="81" t="str">
        <f ca="1">VLOOKUP($B64,OFFSET([2]quests!$A$1,0,0,COUNTA([2]quests!$A:$A),MATCH(D$1,[2]quests!$1:$1,0)-MATCH($B$1,[2]quests!$1:$1,0)+1),MATCH(D$1,[2]quests!$1:$1,0)-MATCH($B$1,[2]quests!$1:$1,0)+1,FALSE)</f>
        <v>北欧シリーズ第三弾　超級</v>
      </c>
      <c r="E64" s="85">
        <v>2</v>
      </c>
      <c r="F64" s="81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【上級】終末の旋律</v>
      </c>
      <c r="G64" s="81" t="str">
        <f ca="1">VLOOKUP($B64&amp;"_"&amp;$E64,OFFSET([2]stages!$A$1,0,0,COUNTA([2]stages!$A:$A),MATCH(G$1,[2]stages!$2:$2,0)-MATCH("temp_stage",[2]stages!$2:$2,0)+1),MATCH(G$1,[2]stages!$2:$2,0)-MATCH("temp_stage",[2]stages!$2:$2,0)+1,FALSE)</f>
        <v>北欧シリーズ第三弾　超級</v>
      </c>
      <c r="H64" s="83">
        <v>0</v>
      </c>
      <c r="I64" s="94">
        <v>35</v>
      </c>
      <c r="J64" s="82" t="s">
        <v>199</v>
      </c>
      <c r="K64" s="91" t="str">
        <f>VLOOKUP(I64,[7]stage_hints!$A:$C,3,FALSE)</f>
        <v>敵のステータスがスキルで上がったら</v>
      </c>
      <c r="L64" s="92" t="str">
        <f>VLOOKUP(I64,[7]stage_hints!$A:$D,4,FALSE)</f>
        <v>敵のステータスがスキルでアップしたときは_x000D_ステータスダウンスキルで上書きしましょう</v>
      </c>
      <c r="M64" s="55" t="s">
        <v>211</v>
      </c>
    </row>
    <row r="65" spans="1:13" x14ac:dyDescent="0.15">
      <c r="A65" s="79" t="s">
        <v>201</v>
      </c>
      <c r="B65" s="80">
        <f>floors!$C$5</f>
        <v>30047</v>
      </c>
      <c r="C65" s="81" t="str">
        <f ca="1">VLOOKUP($B65,OFFSET([2]quests!$A$1,0,0,COUNTA([2]quests!$A:$A),MATCH(C$1,[2]quests!$1:$1,0)-MATCH($B$1,[2]quests!$1:$1,0)+1),MATCH(C$1,[2]quests!$1:$1,0)-MATCH($B$1,[2]quests!$1:$1,0)+1,FALSE)</f>
        <v>終末の旋律</v>
      </c>
      <c r="D65" s="81" t="str">
        <f ca="1">VLOOKUP($B65,OFFSET([2]quests!$A$1,0,0,COUNTA([2]quests!$A:$A),MATCH(D$1,[2]quests!$1:$1,0)-MATCH($B$1,[2]quests!$1:$1,0)+1),MATCH(D$1,[2]quests!$1:$1,0)-MATCH($B$1,[2]quests!$1:$1,0)+1,FALSE)</f>
        <v>北欧シリーズ第三弾　超級</v>
      </c>
      <c r="E65" s="85">
        <v>2</v>
      </c>
      <c r="F65" s="81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【上級】終末の旋律</v>
      </c>
      <c r="G65" s="81" t="str">
        <f ca="1">VLOOKUP($B65&amp;"_"&amp;$E65,OFFSET([2]stages!$A$1,0,0,COUNTA([2]stages!$A:$A),MATCH(G$1,[2]stages!$2:$2,0)-MATCH("temp_stage",[2]stages!$2:$2,0)+1),MATCH(G$1,[2]stages!$2:$2,0)-MATCH("temp_stage",[2]stages!$2:$2,0)+1,FALSE)</f>
        <v>北欧シリーズ第三弾　超級</v>
      </c>
      <c r="H65" s="83">
        <v>0</v>
      </c>
      <c r="I65" s="94">
        <v>36</v>
      </c>
      <c r="J65" s="82" t="s">
        <v>199</v>
      </c>
      <c r="K65" s="91" t="str">
        <f>VLOOKUP(I65,[7]stage_hints!$A:$C,3,FALSE)</f>
        <v>タワーオブザクイーンのボス</v>
      </c>
      <c r="L65" s="92" t="str">
        <f>VLOOKUP(I65,[7]stage_hints!$A:$D,4,FALSE)</f>
        <v>「タワーオブザクイーン」最上階のボスは_x000D_15階の初回クリア報酬で獲得できるほか_x000D_その階にて低確率でドロップもします</v>
      </c>
      <c r="M65" s="55" t="s">
        <v>211</v>
      </c>
    </row>
    <row r="66" spans="1:13" x14ac:dyDescent="0.15">
      <c r="A66" s="79" t="s">
        <v>201</v>
      </c>
      <c r="B66" s="80">
        <f>floors!$C$5</f>
        <v>30047</v>
      </c>
      <c r="C66" s="81" t="str">
        <f ca="1">VLOOKUP($B66,OFFSET([2]quests!$A$1,0,0,COUNTA([2]quests!$A:$A),MATCH(C$1,[2]quests!$1:$1,0)-MATCH($B$1,[2]quests!$1:$1,0)+1),MATCH(C$1,[2]quests!$1:$1,0)-MATCH($B$1,[2]quests!$1:$1,0)+1,FALSE)</f>
        <v>終末の旋律</v>
      </c>
      <c r="D66" s="81" t="str">
        <f ca="1">VLOOKUP($B66,OFFSET([2]quests!$A$1,0,0,COUNTA([2]quests!$A:$A),MATCH(D$1,[2]quests!$1:$1,0)-MATCH($B$1,[2]quests!$1:$1,0)+1),MATCH(D$1,[2]quests!$1:$1,0)-MATCH($B$1,[2]quests!$1:$1,0)+1,FALSE)</f>
        <v>北欧シリーズ第三弾　超級</v>
      </c>
      <c r="E66" s="85">
        <v>2</v>
      </c>
      <c r="F66" s="81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【上級】終末の旋律</v>
      </c>
      <c r="G66" s="81" t="str">
        <f ca="1">VLOOKUP($B66&amp;"_"&amp;$E66,OFFSET([2]stages!$A$1,0,0,COUNTA([2]stages!$A:$A),MATCH(G$1,[2]stages!$2:$2,0)-MATCH("temp_stage",[2]stages!$2:$2,0)+1),MATCH(G$1,[2]stages!$2:$2,0)-MATCH("temp_stage",[2]stages!$2:$2,0)+1,FALSE)</f>
        <v>北欧シリーズ第三弾　超級</v>
      </c>
      <c r="H66" s="83">
        <v>0</v>
      </c>
      <c r="I66" s="94">
        <v>37</v>
      </c>
      <c r="J66" s="82" t="s">
        <v>199</v>
      </c>
      <c r="K66" s="91" t="str">
        <f>VLOOKUP(I66,[7]stage_hints!$A:$C,3,FALSE)</f>
        <v>限界突破値の引き継ぎ</v>
      </c>
      <c r="L66" s="92" t="str">
        <f>VLOOKUP(I66,[7]stage_hints!$A:$D,4,FALSE)</f>
        <v>同じユニットを強化で合成すると_x000D_限界突破値を引き継げます（覚醒前後も可）</v>
      </c>
      <c r="M66" s="55" t="s">
        <v>211</v>
      </c>
    </row>
    <row r="67" spans="1:13" x14ac:dyDescent="0.15">
      <c r="A67" s="79" t="s">
        <v>201</v>
      </c>
      <c r="B67" s="80">
        <f>floors!$C$5</f>
        <v>30047</v>
      </c>
      <c r="C67" s="81" t="str">
        <f ca="1">VLOOKUP($B67,OFFSET([2]quests!$A$1,0,0,COUNTA([2]quests!$A:$A),MATCH(C$1,[2]quests!$1:$1,0)-MATCH($B$1,[2]quests!$1:$1,0)+1),MATCH(C$1,[2]quests!$1:$1,0)-MATCH($B$1,[2]quests!$1:$1,0)+1,FALSE)</f>
        <v>終末の旋律</v>
      </c>
      <c r="D67" s="81" t="str">
        <f ca="1">VLOOKUP($B67,OFFSET([2]quests!$A$1,0,0,COUNTA([2]quests!$A:$A),MATCH(D$1,[2]quests!$1:$1,0)-MATCH($B$1,[2]quests!$1:$1,0)+1),MATCH(D$1,[2]quests!$1:$1,0)-MATCH($B$1,[2]quests!$1:$1,0)+1,FALSE)</f>
        <v>北欧シリーズ第三弾　超級</v>
      </c>
      <c r="E67" s="85">
        <v>2</v>
      </c>
      <c r="F67" s="81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【上級】終末の旋律</v>
      </c>
      <c r="G67" s="81" t="str">
        <f ca="1">VLOOKUP($B67&amp;"_"&amp;$E67,OFFSET([2]stages!$A$1,0,0,COUNTA([2]stages!$A:$A),MATCH(G$1,[2]stages!$2:$2,0)-MATCH("temp_stage",[2]stages!$2:$2,0)+1),MATCH(G$1,[2]stages!$2:$2,0)-MATCH("temp_stage",[2]stages!$2:$2,0)+1,FALSE)</f>
        <v>北欧シリーズ第三弾　超級</v>
      </c>
      <c r="H67" s="83">
        <v>0</v>
      </c>
      <c r="I67" s="94">
        <v>39</v>
      </c>
      <c r="J67" s="82" t="s">
        <v>199</v>
      </c>
      <c r="K67" s="91" t="str">
        <f>VLOOKUP(I67,[7]stage_hints!$A:$C,3,FALSE)</f>
        <v>システム適合者を確認</v>
      </c>
      <c r="L67" s="92" t="str">
        <f>VLOOKUP(I67,[7]stage_hints!$A:$D,4,FALSE)</f>
        <v>ALICEが 「アナタ」を呼んでいます</v>
      </c>
      <c r="M67" s="55" t="s">
        <v>211</v>
      </c>
    </row>
    <row r="68" spans="1:13" x14ac:dyDescent="0.15">
      <c r="A68" s="79" t="s">
        <v>201</v>
      </c>
      <c r="B68" s="80">
        <f>floors!$C$5</f>
        <v>30047</v>
      </c>
      <c r="C68" s="81" t="str">
        <f ca="1">VLOOKUP($B68,OFFSET([2]quests!$A$1,0,0,COUNTA([2]quests!$A:$A),MATCH(C$1,[2]quests!$1:$1,0)-MATCH($B$1,[2]quests!$1:$1,0)+1),MATCH(C$1,[2]quests!$1:$1,0)-MATCH($B$1,[2]quests!$1:$1,0)+1,FALSE)</f>
        <v>終末の旋律</v>
      </c>
      <c r="D68" s="81" t="str">
        <f ca="1">VLOOKUP($B68,OFFSET([2]quests!$A$1,0,0,COUNTA([2]quests!$A:$A),MATCH(D$1,[2]quests!$1:$1,0)-MATCH($B$1,[2]quests!$1:$1,0)+1),MATCH(D$1,[2]quests!$1:$1,0)-MATCH($B$1,[2]quests!$1:$1,0)+1,FALSE)</f>
        <v>北欧シリーズ第三弾　超級</v>
      </c>
      <c r="E68" s="85">
        <v>3</v>
      </c>
      <c r="F68" s="81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【超級】終末の旋律</v>
      </c>
      <c r="G68" s="81" t="str">
        <f ca="1">VLOOKUP($B68&amp;"_"&amp;$E68,OFFSET([2]stages!$A$1,0,0,COUNTA([2]stages!$A:$A),MATCH(G$1,[2]stages!$2:$2,0)-MATCH("temp_stage",[2]stages!$2:$2,0)+1),MATCH(G$1,[2]stages!$2:$2,0)-MATCH("temp_stage",[2]stages!$2:$2,0)+1,FALSE)</f>
        <v>北欧シリーズ第三弾　超級</v>
      </c>
      <c r="H68" s="83">
        <v>0</v>
      </c>
      <c r="I68">
        <v>12</v>
      </c>
      <c r="J68" s="82" t="s">
        <v>199</v>
      </c>
      <c r="K68" s="91" t="str">
        <f>VLOOKUP(I68,[7]stage_hints!$A:$C,3,FALSE)</f>
        <v>ユニットのお気に入り登録</v>
      </c>
      <c r="L68" s="92" t="str">
        <f>VLOOKUP(I68,[7]stage_hints!$A:$D,4,FALSE)</f>
        <v>大事なユニットを誤って消さないように_x000D_フォルダから「お気に入り登録」しましょう</v>
      </c>
      <c r="M68" s="55" t="s">
        <v>211</v>
      </c>
    </row>
    <row r="69" spans="1:13" x14ac:dyDescent="0.15">
      <c r="A69" s="79" t="s">
        <v>201</v>
      </c>
      <c r="B69" s="80">
        <f>floors!$C$5</f>
        <v>30047</v>
      </c>
      <c r="C69" s="81" t="str">
        <f ca="1">VLOOKUP($B69,OFFSET([2]quests!$A$1,0,0,COUNTA([2]quests!$A:$A),MATCH(C$1,[2]quests!$1:$1,0)-MATCH($B$1,[2]quests!$1:$1,0)+1),MATCH(C$1,[2]quests!$1:$1,0)-MATCH($B$1,[2]quests!$1:$1,0)+1,FALSE)</f>
        <v>終末の旋律</v>
      </c>
      <c r="D69" s="81" t="str">
        <f ca="1">VLOOKUP($B69,OFFSET([2]quests!$A$1,0,0,COUNTA([2]quests!$A:$A),MATCH(D$1,[2]quests!$1:$1,0)-MATCH($B$1,[2]quests!$1:$1,0)+1),MATCH(D$1,[2]quests!$1:$1,0)-MATCH($B$1,[2]quests!$1:$1,0)+1,FALSE)</f>
        <v>北欧シリーズ第三弾　超級</v>
      </c>
      <c r="E69" s="85">
        <v>3</v>
      </c>
      <c r="F69" s="81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【超級】終末の旋律</v>
      </c>
      <c r="G69" s="81" t="str">
        <f ca="1">VLOOKUP($B69&amp;"_"&amp;$E69,OFFSET([2]stages!$A$1,0,0,COUNTA([2]stages!$A:$A),MATCH(G$1,[2]stages!$2:$2,0)-MATCH("temp_stage",[2]stages!$2:$2,0)+1),MATCH(G$1,[2]stages!$2:$2,0)-MATCH("temp_stage",[2]stages!$2:$2,0)+1,FALSE)</f>
        <v>北欧シリーズ第三弾　超級</v>
      </c>
      <c r="H69" s="83">
        <v>0</v>
      </c>
      <c r="I69">
        <v>17</v>
      </c>
      <c r="J69" s="82" t="s">
        <v>199</v>
      </c>
      <c r="K69" s="91" t="str">
        <f>VLOOKUP(I69,[7]stage_hints!$A:$C,3,FALSE)</f>
        <v>リンクガチャ</v>
      </c>
      <c r="L69" s="92" t="str">
        <f>VLOOKUP(I69,[7]stage_hints!$A:$D,4,FALSE)</f>
        <v>無料のリンクガチャを回して_x000D_経験値素材や売却素材を獲得しましょう</v>
      </c>
      <c r="M69" s="55" t="s">
        <v>211</v>
      </c>
    </row>
    <row r="70" spans="1:13" x14ac:dyDescent="0.15">
      <c r="A70" s="79" t="s">
        <v>201</v>
      </c>
      <c r="B70" s="80">
        <f>floors!$C$5</f>
        <v>30047</v>
      </c>
      <c r="C70" s="81" t="str">
        <f ca="1">VLOOKUP($B70,OFFSET([2]quests!$A$1,0,0,COUNTA([2]quests!$A:$A),MATCH(C$1,[2]quests!$1:$1,0)-MATCH($B$1,[2]quests!$1:$1,0)+1),MATCH(C$1,[2]quests!$1:$1,0)-MATCH($B$1,[2]quests!$1:$1,0)+1,FALSE)</f>
        <v>終末の旋律</v>
      </c>
      <c r="D70" s="81" t="str">
        <f ca="1">VLOOKUP($B70,OFFSET([2]quests!$A$1,0,0,COUNTA([2]quests!$A:$A),MATCH(D$1,[2]quests!$1:$1,0)-MATCH($B$1,[2]quests!$1:$1,0)+1),MATCH(D$1,[2]quests!$1:$1,0)-MATCH($B$1,[2]quests!$1:$1,0)+1,FALSE)</f>
        <v>北欧シリーズ第三弾　超級</v>
      </c>
      <c r="E70" s="85">
        <v>3</v>
      </c>
      <c r="F70" s="81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【超級】終末の旋律</v>
      </c>
      <c r="G70" s="81" t="str">
        <f ca="1">VLOOKUP($B70&amp;"_"&amp;$E70,OFFSET([2]stages!$A$1,0,0,COUNTA([2]stages!$A:$A),MATCH(G$1,[2]stages!$2:$2,0)-MATCH("temp_stage",[2]stages!$2:$2,0)+1),MATCH(G$1,[2]stages!$2:$2,0)-MATCH("temp_stage",[2]stages!$2:$2,0)+1,FALSE)</f>
        <v>北欧シリーズ第三弾　超級</v>
      </c>
      <c r="H70" s="83">
        <v>0</v>
      </c>
      <c r="I70">
        <v>19</v>
      </c>
      <c r="J70" s="82" t="s">
        <v>199</v>
      </c>
      <c r="K70" s="91" t="str">
        <f>VLOOKUP(I70,[7]stage_hints!$A:$C,3,FALSE)</f>
        <v>ソロ専用タワーオブザクイーン</v>
      </c>
      <c r="L70" s="92" t="str">
        <f>VLOOKUP(I70,[7]stage_hints!$A:$D,4,FALSE)</f>
        <v>ソロ専用の「タワーオブザクイーン」は_x000D_期間限定で定期的に開催されます_x000D_ここでしか獲得できない報酬もあるようです</v>
      </c>
      <c r="M70" s="55" t="s">
        <v>211</v>
      </c>
    </row>
    <row r="71" spans="1:13" x14ac:dyDescent="0.15">
      <c r="A71" s="79" t="s">
        <v>201</v>
      </c>
      <c r="B71" s="80">
        <f>floors!$C$5</f>
        <v>30047</v>
      </c>
      <c r="C71" s="81" t="str">
        <f ca="1">VLOOKUP($B71,OFFSET([2]quests!$A$1,0,0,COUNTA([2]quests!$A:$A),MATCH(C$1,[2]quests!$1:$1,0)-MATCH($B$1,[2]quests!$1:$1,0)+1),MATCH(C$1,[2]quests!$1:$1,0)-MATCH($B$1,[2]quests!$1:$1,0)+1,FALSE)</f>
        <v>終末の旋律</v>
      </c>
      <c r="D71" s="81" t="str">
        <f ca="1">VLOOKUP($B71,OFFSET([2]quests!$A$1,0,0,COUNTA([2]quests!$A:$A),MATCH(D$1,[2]quests!$1:$1,0)-MATCH($B$1,[2]quests!$1:$1,0)+1),MATCH(D$1,[2]quests!$1:$1,0)-MATCH($B$1,[2]quests!$1:$1,0)+1,FALSE)</f>
        <v>北欧シリーズ第三弾　超級</v>
      </c>
      <c r="E71" s="85">
        <v>3</v>
      </c>
      <c r="F71" s="81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【超級】終末の旋律</v>
      </c>
      <c r="G71" s="81" t="str">
        <f ca="1">VLOOKUP($B71&amp;"_"&amp;$E71,OFFSET([2]stages!$A$1,0,0,COUNTA([2]stages!$A:$A),MATCH(G$1,[2]stages!$2:$2,0)-MATCH("temp_stage",[2]stages!$2:$2,0)+1),MATCH(G$1,[2]stages!$2:$2,0)-MATCH("temp_stage",[2]stages!$2:$2,0)+1,FALSE)</f>
        <v>北欧シリーズ第三弾　超級</v>
      </c>
      <c r="H71" s="83">
        <v>0</v>
      </c>
      <c r="I71">
        <v>21</v>
      </c>
      <c r="J71" s="82" t="s">
        <v>199</v>
      </c>
      <c r="K71" s="91" t="str">
        <f>VLOOKUP(I71,[7]stage_hints!$A:$C,3,FALSE)</f>
        <v>スキルを有効に</v>
      </c>
      <c r="L71" s="92" t="str">
        <f>VLOOKUP(I71,[7]stage_hints!$A:$D,4,FALSE)</f>
        <v>ターン経過でユニットのスキルが使えます_x000D_強力スキルでバトルを有利に進めましょう</v>
      </c>
      <c r="M71" s="55" t="s">
        <v>211</v>
      </c>
    </row>
    <row r="72" spans="1:13" x14ac:dyDescent="0.15">
      <c r="A72" s="79" t="s">
        <v>201</v>
      </c>
      <c r="B72" s="80">
        <f>floors!$C$5</f>
        <v>30047</v>
      </c>
      <c r="C72" s="81" t="str">
        <f ca="1">VLOOKUP($B72,OFFSET([2]quests!$A$1,0,0,COUNTA([2]quests!$A:$A),MATCH(C$1,[2]quests!$1:$1,0)-MATCH($B$1,[2]quests!$1:$1,0)+1),MATCH(C$1,[2]quests!$1:$1,0)-MATCH($B$1,[2]quests!$1:$1,0)+1,FALSE)</f>
        <v>終末の旋律</v>
      </c>
      <c r="D72" s="81" t="str">
        <f ca="1">VLOOKUP($B72,OFFSET([2]quests!$A$1,0,0,COUNTA([2]quests!$A:$A),MATCH(D$1,[2]quests!$1:$1,0)-MATCH($B$1,[2]quests!$1:$1,0)+1),MATCH(D$1,[2]quests!$1:$1,0)-MATCH($B$1,[2]quests!$1:$1,0)+1,FALSE)</f>
        <v>北欧シリーズ第三弾　超級</v>
      </c>
      <c r="E72" s="85">
        <v>3</v>
      </c>
      <c r="F72" s="81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【超級】終末の旋律</v>
      </c>
      <c r="G72" s="81" t="str">
        <f ca="1">VLOOKUP($B72&amp;"_"&amp;$E72,OFFSET([2]stages!$A$1,0,0,COUNTA([2]stages!$A:$A),MATCH(G$1,[2]stages!$2:$2,0)-MATCH("temp_stage",[2]stages!$2:$2,0)+1),MATCH(G$1,[2]stages!$2:$2,0)-MATCH("temp_stage",[2]stages!$2:$2,0)+1,FALSE)</f>
        <v>北欧シリーズ第三弾　超級</v>
      </c>
      <c r="H72" s="83">
        <v>0</v>
      </c>
      <c r="I72">
        <v>27</v>
      </c>
      <c r="J72" s="82" t="s">
        <v>199</v>
      </c>
      <c r="K72" s="91" t="str">
        <f>VLOOKUP(I72,[7]stage_hints!$A:$C,3,FALSE)</f>
        <v>ホーム画面からデッキを編成</v>
      </c>
      <c r="L72" s="92" t="str">
        <f>VLOOKUP(I72,[7]stage_hints!$A:$D,4,FALSE)</f>
        <v>ホーム画面でユニットを長押しすると_x000D_すぐにパーティ編成に移動できます</v>
      </c>
      <c r="M72" s="55" t="s">
        <v>211</v>
      </c>
    </row>
    <row r="73" spans="1:13" x14ac:dyDescent="0.15">
      <c r="A73" s="79" t="s">
        <v>201</v>
      </c>
      <c r="B73" s="80">
        <f>floors!$C$5</f>
        <v>30047</v>
      </c>
      <c r="C73" s="81" t="str">
        <f ca="1">VLOOKUP($B73,OFFSET([2]quests!$A$1,0,0,COUNTA([2]quests!$A:$A),MATCH(C$1,[2]quests!$1:$1,0)-MATCH($B$1,[2]quests!$1:$1,0)+1),MATCH(C$1,[2]quests!$1:$1,0)-MATCH($B$1,[2]quests!$1:$1,0)+1,FALSE)</f>
        <v>終末の旋律</v>
      </c>
      <c r="D73" s="81" t="str">
        <f ca="1">VLOOKUP($B73,OFFSET([2]quests!$A$1,0,0,COUNTA([2]quests!$A:$A),MATCH(D$1,[2]quests!$1:$1,0)-MATCH($B$1,[2]quests!$1:$1,0)+1),MATCH(D$1,[2]quests!$1:$1,0)-MATCH($B$1,[2]quests!$1:$1,0)+1,FALSE)</f>
        <v>北欧シリーズ第三弾　超級</v>
      </c>
      <c r="E73" s="85">
        <v>3</v>
      </c>
      <c r="F73" s="81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【超級】終末の旋律</v>
      </c>
      <c r="G73" s="81" t="str">
        <f ca="1">VLOOKUP($B73&amp;"_"&amp;$E73,OFFSET([2]stages!$A$1,0,0,COUNTA([2]stages!$A:$A),MATCH(G$1,[2]stages!$2:$2,0)-MATCH("temp_stage",[2]stages!$2:$2,0)+1),MATCH(G$1,[2]stages!$2:$2,0)-MATCH("temp_stage",[2]stages!$2:$2,0)+1,FALSE)</f>
        <v>北欧シリーズ第三弾　超級</v>
      </c>
      <c r="H73" s="83">
        <v>0</v>
      </c>
      <c r="I73">
        <v>28</v>
      </c>
      <c r="J73" s="82" t="s">
        <v>199</v>
      </c>
      <c r="K73" s="91" t="str">
        <f>VLOOKUP(I73,[7]stage_hints!$A:$C,3,FALSE)</f>
        <v>ステータス情報は長押しで</v>
      </c>
      <c r="L73" s="92" t="str">
        <f>VLOOKUP(I73,[7]stage_hints!$A:$D,4,FALSE)</f>
        <v>ユニットのアイコンを長押しすると_x000D_ステータス情報を確認することができます</v>
      </c>
      <c r="M73" s="55" t="s">
        <v>211</v>
      </c>
    </row>
    <row r="74" spans="1:13" x14ac:dyDescent="0.15">
      <c r="A74" s="79" t="s">
        <v>201</v>
      </c>
      <c r="B74" s="80">
        <f>floors!$C$5</f>
        <v>30047</v>
      </c>
      <c r="C74" s="81" t="str">
        <f ca="1">VLOOKUP($B74,OFFSET([2]quests!$A$1,0,0,COUNTA([2]quests!$A:$A),MATCH(C$1,[2]quests!$1:$1,0)-MATCH($B$1,[2]quests!$1:$1,0)+1),MATCH(C$1,[2]quests!$1:$1,0)-MATCH($B$1,[2]quests!$1:$1,0)+1,FALSE)</f>
        <v>終末の旋律</v>
      </c>
      <c r="D74" s="81" t="str">
        <f ca="1">VLOOKUP($B74,OFFSET([2]quests!$A$1,0,0,COUNTA([2]quests!$A:$A),MATCH(D$1,[2]quests!$1:$1,0)-MATCH($B$1,[2]quests!$1:$1,0)+1),MATCH(D$1,[2]quests!$1:$1,0)-MATCH($B$1,[2]quests!$1:$1,0)+1,FALSE)</f>
        <v>北欧シリーズ第三弾　超級</v>
      </c>
      <c r="E74" s="85">
        <v>3</v>
      </c>
      <c r="F74" s="81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【超級】終末の旋律</v>
      </c>
      <c r="G74" s="81" t="str">
        <f ca="1">VLOOKUP($B74&amp;"_"&amp;$E74,OFFSET([2]stages!$A$1,0,0,COUNTA([2]stages!$A:$A),MATCH(G$1,[2]stages!$2:$2,0)-MATCH("temp_stage",[2]stages!$2:$2,0)+1),MATCH(G$1,[2]stages!$2:$2,0)-MATCH("temp_stage",[2]stages!$2:$2,0)+1,FALSE)</f>
        <v>北欧シリーズ第三弾　超級</v>
      </c>
      <c r="H74" s="83">
        <v>0</v>
      </c>
      <c r="I74">
        <v>29</v>
      </c>
      <c r="J74" s="82" t="s">
        <v>199</v>
      </c>
      <c r="K74" s="91" t="str">
        <f>VLOOKUP(I74,[7]stage_hints!$A:$C,3,FALSE)</f>
        <v>「バグ」のメリット</v>
      </c>
      <c r="L74" s="92" t="str">
        <f>VLOOKUP(I74,[7]stage_hints!$A:$D,4,FALSE)</f>
        <v>ユニットの「バグ」を増やすと_x000D_報酬をもらえる確率がアップします</v>
      </c>
      <c r="M74" s="55" t="s">
        <v>211</v>
      </c>
    </row>
    <row r="75" spans="1:13" x14ac:dyDescent="0.15">
      <c r="A75" s="79" t="s">
        <v>201</v>
      </c>
      <c r="B75" s="80">
        <f>floors!$C$5</f>
        <v>30047</v>
      </c>
      <c r="C75" s="81" t="str">
        <f ca="1">VLOOKUP($B75,OFFSET([2]quests!$A$1,0,0,COUNTA([2]quests!$A:$A),MATCH(C$1,[2]quests!$1:$1,0)-MATCH($B$1,[2]quests!$1:$1,0)+1),MATCH(C$1,[2]quests!$1:$1,0)-MATCH($B$1,[2]quests!$1:$1,0)+1,FALSE)</f>
        <v>終末の旋律</v>
      </c>
      <c r="D75" s="81" t="str">
        <f ca="1">VLOOKUP($B75,OFFSET([2]quests!$A$1,0,0,COUNTA([2]quests!$A:$A),MATCH(D$1,[2]quests!$1:$1,0)-MATCH($B$1,[2]quests!$1:$1,0)+1),MATCH(D$1,[2]quests!$1:$1,0)-MATCH($B$1,[2]quests!$1:$1,0)+1,FALSE)</f>
        <v>北欧シリーズ第三弾　超級</v>
      </c>
      <c r="E75" s="85">
        <v>3</v>
      </c>
      <c r="F75" s="81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【超級】終末の旋律</v>
      </c>
      <c r="G75" s="81" t="str">
        <f ca="1">VLOOKUP($B75&amp;"_"&amp;$E75,OFFSET([2]stages!$A$1,0,0,COUNTA([2]stages!$A:$A),MATCH(G$1,[2]stages!$2:$2,0)-MATCH("temp_stage",[2]stages!$2:$2,0)+1),MATCH(G$1,[2]stages!$2:$2,0)-MATCH("temp_stage",[2]stages!$2:$2,0)+1,FALSE)</f>
        <v>北欧シリーズ第三弾　超級</v>
      </c>
      <c r="H75" s="83">
        <v>0</v>
      </c>
      <c r="I75">
        <v>30</v>
      </c>
      <c r="J75" s="82" t="s">
        <v>199</v>
      </c>
      <c r="K75" s="91" t="str">
        <f>VLOOKUP(I75,[7]stage_hints!$A:$C,3,FALSE)</f>
        <v>「バグ」の増やし方</v>
      </c>
      <c r="L75" s="92" t="str">
        <f>VLOOKUP(I75,[7]stage_hints!$A:$D,4,FALSE)</f>
        <v>同じユニット同士を強化で合成すると_x000D_「バグ」を増やすことができます</v>
      </c>
      <c r="M75" s="55" t="s">
        <v>211</v>
      </c>
    </row>
    <row r="76" spans="1:13" x14ac:dyDescent="0.15">
      <c r="A76" s="79" t="s">
        <v>201</v>
      </c>
      <c r="B76" s="80">
        <f>floors!$C$5</f>
        <v>30047</v>
      </c>
      <c r="C76" s="81" t="str">
        <f ca="1">VLOOKUP($B76,OFFSET([2]quests!$A$1,0,0,COUNTA([2]quests!$A:$A),MATCH(C$1,[2]quests!$1:$1,0)-MATCH($B$1,[2]quests!$1:$1,0)+1),MATCH(C$1,[2]quests!$1:$1,0)-MATCH($B$1,[2]quests!$1:$1,0)+1,FALSE)</f>
        <v>終末の旋律</v>
      </c>
      <c r="D76" s="81" t="str">
        <f ca="1">VLOOKUP($B76,OFFSET([2]quests!$A$1,0,0,COUNTA([2]quests!$A:$A),MATCH(D$1,[2]quests!$1:$1,0)-MATCH($B$1,[2]quests!$1:$1,0)+1),MATCH(D$1,[2]quests!$1:$1,0)-MATCH($B$1,[2]quests!$1:$1,0)+1,FALSE)</f>
        <v>北欧シリーズ第三弾　超級</v>
      </c>
      <c r="E76" s="85">
        <v>3</v>
      </c>
      <c r="F76" s="81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【超級】終末の旋律</v>
      </c>
      <c r="G76" s="81" t="str">
        <f ca="1">VLOOKUP($B76&amp;"_"&amp;$E76,OFFSET([2]stages!$A$1,0,0,COUNTA([2]stages!$A:$A),MATCH(G$1,[2]stages!$2:$2,0)-MATCH("temp_stage",[2]stages!$2:$2,0)+1),MATCH(G$1,[2]stages!$2:$2,0)-MATCH("temp_stage",[2]stages!$2:$2,0)+1,FALSE)</f>
        <v>北欧シリーズ第三弾　超級</v>
      </c>
      <c r="H76" s="83">
        <v>0</v>
      </c>
      <c r="I76">
        <v>32</v>
      </c>
      <c r="J76" s="82" t="s">
        <v>199</v>
      </c>
      <c r="K76" s="91" t="str">
        <f>VLOOKUP(I76,[7]stage_hints!$A:$C,3,FALSE)</f>
        <v>敵の連続攻撃には</v>
      </c>
      <c r="L76" s="92" t="str">
        <f>VLOOKUP(I76,[7]stage_hints!$A:$D,4,FALSE)</f>
        <v>カウンタースキルを持つユニットがいれば_x000D_ダメージ回数分の反撃ができます</v>
      </c>
      <c r="M76" s="55" t="s">
        <v>211</v>
      </c>
    </row>
    <row r="77" spans="1:13" x14ac:dyDescent="0.15">
      <c r="A77" s="79" t="s">
        <v>201</v>
      </c>
      <c r="B77" s="80">
        <f>floors!$C$5</f>
        <v>30047</v>
      </c>
      <c r="C77" s="81" t="str">
        <f ca="1">VLOOKUP($B77,OFFSET([2]quests!$A$1,0,0,COUNTA([2]quests!$A:$A),MATCH(C$1,[2]quests!$1:$1,0)-MATCH($B$1,[2]quests!$1:$1,0)+1),MATCH(C$1,[2]quests!$1:$1,0)-MATCH($B$1,[2]quests!$1:$1,0)+1,FALSE)</f>
        <v>終末の旋律</v>
      </c>
      <c r="D77" s="81" t="str">
        <f ca="1">VLOOKUP($B77,OFFSET([2]quests!$A$1,0,0,COUNTA([2]quests!$A:$A),MATCH(D$1,[2]quests!$1:$1,0)-MATCH($B$1,[2]quests!$1:$1,0)+1),MATCH(D$1,[2]quests!$1:$1,0)-MATCH($B$1,[2]quests!$1:$1,0)+1,FALSE)</f>
        <v>北欧シリーズ第三弾　超級</v>
      </c>
      <c r="E77" s="85">
        <v>3</v>
      </c>
      <c r="F77" s="81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【超級】終末の旋律</v>
      </c>
      <c r="G77" s="81" t="str">
        <f ca="1">VLOOKUP($B77&amp;"_"&amp;$E77,OFFSET([2]stages!$A$1,0,0,COUNTA([2]stages!$A:$A),MATCH(G$1,[2]stages!$2:$2,0)-MATCH("temp_stage",[2]stages!$2:$2,0)+1),MATCH(G$1,[2]stages!$2:$2,0)-MATCH("temp_stage",[2]stages!$2:$2,0)+1,FALSE)</f>
        <v>北欧シリーズ第三弾　超級</v>
      </c>
      <c r="H77" s="83">
        <v>0</v>
      </c>
      <c r="I77">
        <v>33</v>
      </c>
      <c r="J77" s="82" t="s">
        <v>199</v>
      </c>
      <c r="K77" s="91" t="str">
        <f>VLOOKUP(I77,[7]stage_hints!$A:$C,3,FALSE)</f>
        <v>敵のカウンター攻撃には</v>
      </c>
      <c r="L77" s="92" t="str">
        <f>VLOOKUP(I77,[7]stage_hints!$A:$D,4,FALSE)</f>
        <v>カウンターブレイクスキルを持っていれば_x000D_敵のカウンターを解除して攻撃ができます</v>
      </c>
      <c r="M77" s="55" t="s">
        <v>211</v>
      </c>
    </row>
    <row r="78" spans="1:13" x14ac:dyDescent="0.15">
      <c r="A78" s="79" t="s">
        <v>201</v>
      </c>
      <c r="B78" s="80">
        <f>floors!$C$5</f>
        <v>30047</v>
      </c>
      <c r="C78" s="81" t="str">
        <f ca="1">VLOOKUP($B78,OFFSET([2]quests!$A$1,0,0,COUNTA([2]quests!$A:$A),MATCH(C$1,[2]quests!$1:$1,0)-MATCH($B$1,[2]quests!$1:$1,0)+1),MATCH(C$1,[2]quests!$1:$1,0)-MATCH($B$1,[2]quests!$1:$1,0)+1,FALSE)</f>
        <v>終末の旋律</v>
      </c>
      <c r="D78" s="81" t="str">
        <f ca="1">VLOOKUP($B78,OFFSET([2]quests!$A$1,0,0,COUNTA([2]quests!$A:$A),MATCH(D$1,[2]quests!$1:$1,0)-MATCH($B$1,[2]quests!$1:$1,0)+1),MATCH(D$1,[2]quests!$1:$1,0)-MATCH($B$1,[2]quests!$1:$1,0)+1,FALSE)</f>
        <v>北欧シリーズ第三弾　超級</v>
      </c>
      <c r="E78" s="85">
        <v>3</v>
      </c>
      <c r="F78" s="81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【超級】終末の旋律</v>
      </c>
      <c r="G78" s="81" t="str">
        <f ca="1">VLOOKUP($B78&amp;"_"&amp;$E78,OFFSET([2]stages!$A$1,0,0,COUNTA([2]stages!$A:$A),MATCH(G$1,[2]stages!$2:$2,0)-MATCH("temp_stage",[2]stages!$2:$2,0)+1),MATCH(G$1,[2]stages!$2:$2,0)-MATCH("temp_stage",[2]stages!$2:$2,0)+1,FALSE)</f>
        <v>北欧シリーズ第三弾　超級</v>
      </c>
      <c r="H78" s="83">
        <v>0</v>
      </c>
      <c r="I78">
        <v>34</v>
      </c>
      <c r="J78" s="82" t="s">
        <v>199</v>
      </c>
      <c r="K78" s="91" t="str">
        <f>VLOOKUP(I78,[7]stage_hints!$A:$C,3,FALSE)</f>
        <v>ステータスをスキルで下げられたら</v>
      </c>
      <c r="L78" s="92" t="str">
        <f>VLOOKUP(I78,[7]stage_hints!$A:$D,4,FALSE)</f>
        <v>ステータスダウンのスキルを受けたら_x000D_ステータスアップスキルで上書きしましょう</v>
      </c>
      <c r="M78" s="55" t="s">
        <v>211</v>
      </c>
    </row>
    <row r="79" spans="1:13" x14ac:dyDescent="0.15">
      <c r="A79" s="79" t="s">
        <v>201</v>
      </c>
      <c r="B79" s="80">
        <f>floors!$C$5</f>
        <v>30047</v>
      </c>
      <c r="C79" s="81" t="str">
        <f ca="1">VLOOKUP($B79,OFFSET([2]quests!$A$1,0,0,COUNTA([2]quests!$A:$A),MATCH(C$1,[2]quests!$1:$1,0)-MATCH($B$1,[2]quests!$1:$1,0)+1),MATCH(C$1,[2]quests!$1:$1,0)-MATCH($B$1,[2]quests!$1:$1,0)+1,FALSE)</f>
        <v>終末の旋律</v>
      </c>
      <c r="D79" s="81" t="str">
        <f ca="1">VLOOKUP($B79,OFFSET([2]quests!$A$1,0,0,COUNTA([2]quests!$A:$A),MATCH(D$1,[2]quests!$1:$1,0)-MATCH($B$1,[2]quests!$1:$1,0)+1),MATCH(D$1,[2]quests!$1:$1,0)-MATCH($B$1,[2]quests!$1:$1,0)+1,FALSE)</f>
        <v>北欧シリーズ第三弾　超級</v>
      </c>
      <c r="E79" s="85">
        <v>3</v>
      </c>
      <c r="F79" s="81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【超級】終末の旋律</v>
      </c>
      <c r="G79" s="81" t="str">
        <f ca="1">VLOOKUP($B79&amp;"_"&amp;$E79,OFFSET([2]stages!$A$1,0,0,COUNTA([2]stages!$A:$A),MATCH(G$1,[2]stages!$2:$2,0)-MATCH("temp_stage",[2]stages!$2:$2,0)+1),MATCH(G$1,[2]stages!$2:$2,0)-MATCH("temp_stage",[2]stages!$2:$2,0)+1,FALSE)</f>
        <v>北欧シリーズ第三弾　超級</v>
      </c>
      <c r="H79" s="83">
        <v>0</v>
      </c>
      <c r="I79">
        <v>35</v>
      </c>
      <c r="J79" s="82" t="s">
        <v>199</v>
      </c>
      <c r="K79" s="91" t="str">
        <f>VLOOKUP(I79,[7]stage_hints!$A:$C,3,FALSE)</f>
        <v>敵のステータスがスキルで上がったら</v>
      </c>
      <c r="L79" s="92" t="str">
        <f>VLOOKUP(I79,[7]stage_hints!$A:$D,4,FALSE)</f>
        <v>敵のステータスがスキルでアップしたときは_x000D_ステータスダウンスキルで上書きしましょう</v>
      </c>
      <c r="M79" s="55" t="s">
        <v>211</v>
      </c>
    </row>
    <row r="80" spans="1:13" x14ac:dyDescent="0.15">
      <c r="A80" s="79" t="s">
        <v>201</v>
      </c>
      <c r="B80" s="80">
        <f>floors!$C$5</f>
        <v>30047</v>
      </c>
      <c r="C80" s="81" t="str">
        <f ca="1">VLOOKUP($B80,OFFSET([2]quests!$A$1,0,0,COUNTA([2]quests!$A:$A),MATCH(C$1,[2]quests!$1:$1,0)-MATCH($B$1,[2]quests!$1:$1,0)+1),MATCH(C$1,[2]quests!$1:$1,0)-MATCH($B$1,[2]quests!$1:$1,0)+1,FALSE)</f>
        <v>終末の旋律</v>
      </c>
      <c r="D80" s="81" t="str">
        <f ca="1">VLOOKUP($B80,OFFSET([2]quests!$A$1,0,0,COUNTA([2]quests!$A:$A),MATCH(D$1,[2]quests!$1:$1,0)-MATCH($B$1,[2]quests!$1:$1,0)+1),MATCH(D$1,[2]quests!$1:$1,0)-MATCH($B$1,[2]quests!$1:$1,0)+1,FALSE)</f>
        <v>北欧シリーズ第三弾　超級</v>
      </c>
      <c r="E80" s="85">
        <v>3</v>
      </c>
      <c r="F80" s="81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【超級】終末の旋律</v>
      </c>
      <c r="G80" s="81" t="str">
        <f ca="1">VLOOKUP($B80&amp;"_"&amp;$E80,OFFSET([2]stages!$A$1,0,0,COUNTA([2]stages!$A:$A),MATCH(G$1,[2]stages!$2:$2,0)-MATCH("temp_stage",[2]stages!$2:$2,0)+1),MATCH(G$1,[2]stages!$2:$2,0)-MATCH("temp_stage",[2]stages!$2:$2,0)+1,FALSE)</f>
        <v>北欧シリーズ第三弾　超級</v>
      </c>
      <c r="H80" s="83">
        <v>0</v>
      </c>
      <c r="I80">
        <v>36</v>
      </c>
      <c r="J80" s="82" t="s">
        <v>199</v>
      </c>
      <c r="K80" s="91" t="str">
        <f>VLOOKUP(I80,[7]stage_hints!$A:$C,3,FALSE)</f>
        <v>タワーオブザクイーンのボス</v>
      </c>
      <c r="L80" s="92" t="str">
        <f>VLOOKUP(I80,[7]stage_hints!$A:$D,4,FALSE)</f>
        <v>「タワーオブザクイーン」最上階のボスは_x000D_15階の初回クリア報酬で獲得できるほか_x000D_その階にて低確率でドロップもします</v>
      </c>
      <c r="M80" s="55" t="s">
        <v>211</v>
      </c>
    </row>
    <row r="81" spans="1:13" x14ac:dyDescent="0.15">
      <c r="A81" s="79" t="s">
        <v>201</v>
      </c>
      <c r="B81" s="80">
        <f>floors!$C$5</f>
        <v>30047</v>
      </c>
      <c r="C81" s="81" t="str">
        <f ca="1">VLOOKUP($B81,OFFSET([2]quests!$A$1,0,0,COUNTA([2]quests!$A:$A),MATCH(C$1,[2]quests!$1:$1,0)-MATCH($B$1,[2]quests!$1:$1,0)+1),MATCH(C$1,[2]quests!$1:$1,0)-MATCH($B$1,[2]quests!$1:$1,0)+1,FALSE)</f>
        <v>終末の旋律</v>
      </c>
      <c r="D81" s="81" t="str">
        <f ca="1">VLOOKUP($B81,OFFSET([2]quests!$A$1,0,0,COUNTA([2]quests!$A:$A),MATCH(D$1,[2]quests!$1:$1,0)-MATCH($B$1,[2]quests!$1:$1,0)+1),MATCH(D$1,[2]quests!$1:$1,0)-MATCH($B$1,[2]quests!$1:$1,0)+1,FALSE)</f>
        <v>北欧シリーズ第三弾　超級</v>
      </c>
      <c r="E81" s="85">
        <v>3</v>
      </c>
      <c r="F81" s="81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【超級】終末の旋律</v>
      </c>
      <c r="G81" s="81" t="str">
        <f ca="1">VLOOKUP($B81&amp;"_"&amp;$E81,OFFSET([2]stages!$A$1,0,0,COUNTA([2]stages!$A:$A),MATCH(G$1,[2]stages!$2:$2,0)-MATCH("temp_stage",[2]stages!$2:$2,0)+1),MATCH(G$1,[2]stages!$2:$2,0)-MATCH("temp_stage",[2]stages!$2:$2,0)+1,FALSE)</f>
        <v>北欧シリーズ第三弾　超級</v>
      </c>
      <c r="H81" s="83">
        <v>0</v>
      </c>
      <c r="I81">
        <v>37</v>
      </c>
      <c r="J81" s="82" t="s">
        <v>199</v>
      </c>
      <c r="K81" s="91" t="str">
        <f>VLOOKUP(I81,[7]stage_hints!$A:$C,3,FALSE)</f>
        <v>限界突破値の引き継ぎ</v>
      </c>
      <c r="L81" s="92" t="str">
        <f>VLOOKUP(I81,[7]stage_hints!$A:$D,4,FALSE)</f>
        <v>同じユニットを強化で合成すると_x000D_限界突破値を引き継げます（覚醒前後も可）</v>
      </c>
      <c r="M81" s="55" t="s">
        <v>211</v>
      </c>
    </row>
    <row r="82" spans="1:13" x14ac:dyDescent="0.15">
      <c r="A82" s="79" t="s">
        <v>201</v>
      </c>
      <c r="B82" s="80">
        <f>floors!$C$5</f>
        <v>30047</v>
      </c>
      <c r="C82" s="81" t="str">
        <f ca="1">VLOOKUP($B82,OFFSET([2]quests!$A$1,0,0,COUNTA([2]quests!$A:$A),MATCH(C$1,[2]quests!$1:$1,0)-MATCH($B$1,[2]quests!$1:$1,0)+1),MATCH(C$1,[2]quests!$1:$1,0)-MATCH($B$1,[2]quests!$1:$1,0)+1,FALSE)</f>
        <v>終末の旋律</v>
      </c>
      <c r="D82" s="81" t="str">
        <f ca="1">VLOOKUP($B82,OFFSET([2]quests!$A$1,0,0,COUNTA([2]quests!$A:$A),MATCH(D$1,[2]quests!$1:$1,0)-MATCH($B$1,[2]quests!$1:$1,0)+1),MATCH(D$1,[2]quests!$1:$1,0)-MATCH($B$1,[2]quests!$1:$1,0)+1,FALSE)</f>
        <v>北欧シリーズ第三弾　超級</v>
      </c>
      <c r="E82" s="85">
        <v>3</v>
      </c>
      <c r="F82" s="81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【超級】終末の旋律</v>
      </c>
      <c r="G82" s="81" t="str">
        <f ca="1">VLOOKUP($B82&amp;"_"&amp;$E82,OFFSET([2]stages!$A$1,0,0,COUNTA([2]stages!$A:$A),MATCH(G$1,[2]stages!$2:$2,0)-MATCH("temp_stage",[2]stages!$2:$2,0)+1),MATCH(G$1,[2]stages!$2:$2,0)-MATCH("temp_stage",[2]stages!$2:$2,0)+1,FALSE)</f>
        <v>北欧シリーズ第三弾　超級</v>
      </c>
      <c r="H82" s="83">
        <v>0</v>
      </c>
      <c r="I82">
        <v>39</v>
      </c>
      <c r="J82" s="82" t="s">
        <v>199</v>
      </c>
      <c r="K82" s="91" t="str">
        <f>VLOOKUP(I82,[7]stage_hints!$A:$C,3,FALSE)</f>
        <v>システム適合者を確認</v>
      </c>
      <c r="L82" s="92" t="str">
        <f>VLOOKUP(I82,[7]stage_hints!$A:$D,4,FALSE)</f>
        <v>ALICEが 「アナタ」を呼んでいます</v>
      </c>
      <c r="M82" s="55" t="s">
        <v>211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9"/>
  <sheetViews>
    <sheetView showGridLines="0" workbookViewId="0">
      <pane ySplit="1" topLeftCell="A5" activePane="bottomLeft" state="frozen"/>
      <selection pane="bottomLeft" activeCell="M16" sqref="M16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4" t="s">
        <v>297</v>
      </c>
      <c r="B1" s="71" t="s">
        <v>151</v>
      </c>
      <c r="C1" s="75" t="s">
        <v>191</v>
      </c>
      <c r="D1" s="75" t="s">
        <v>33</v>
      </c>
      <c r="E1" s="71" t="s">
        <v>192</v>
      </c>
      <c r="F1" s="75" t="s">
        <v>18</v>
      </c>
      <c r="G1" s="75" t="s">
        <v>33</v>
      </c>
      <c r="H1" s="71" t="s">
        <v>194</v>
      </c>
      <c r="I1" s="87" t="s">
        <v>195</v>
      </c>
      <c r="J1" s="89" t="s">
        <v>196</v>
      </c>
      <c r="K1" s="77" t="s">
        <v>127</v>
      </c>
      <c r="L1" s="76" t="s">
        <v>188</v>
      </c>
      <c r="M1" s="90" t="s">
        <v>187</v>
      </c>
      <c r="N1" s="78" t="s">
        <v>197</v>
      </c>
    </row>
    <row r="2" spans="1:14" ht="42" x14ac:dyDescent="0.15">
      <c r="A2" s="79" t="s">
        <v>198</v>
      </c>
      <c r="B2" s="80">
        <f>floors!$C$5</f>
        <v>30047</v>
      </c>
      <c r="C2" s="81" t="str">
        <f ca="1">VLOOKUP($B2,OFFSET([2]quests!$A$1,0,0,COUNTA([2]quests!$A:$A),MATCH(C$1,[2]quests!$1:$1,0)-MATCH($B$1,[2]quests!$1:$1,0)+1),MATCH(C$1,[2]quests!$1:$1,0)-MATCH($B$1,[2]quests!$1:$1,0)+1,FALSE)</f>
        <v>終末の旋律</v>
      </c>
      <c r="D2" s="81" t="str">
        <f ca="1">VLOOKUP($B2,OFFSET([2]quests!$A$1,0,0,COUNTA([2]quests!$A:$A),MATCH(D$1,[2]quests!$1:$1,0)-MATCH($B$1,[2]quests!$1:$1,0)+1),MATCH(D$1,[2]quests!$1:$1,0)-MATCH($B$1,[2]quests!$1:$1,0)+1,FALSE)</f>
        <v>北欧シリーズ第三弾　超級</v>
      </c>
      <c r="E2" s="82">
        <v>3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【超級】終末の旋律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北欧シリーズ第三弾　超級</v>
      </c>
      <c r="H2" s="83">
        <v>1</v>
      </c>
      <c r="I2" s="88">
        <f t="shared" ref="I2:I19" si="0">ROW()-1</f>
        <v>1</v>
      </c>
      <c r="J2" s="84" t="str">
        <f t="shared" ref="J2:J7" si="1">B2&amp;TEXT(I2,"00")</f>
        <v>3004701</v>
      </c>
      <c r="K2" s="82" t="s">
        <v>199</v>
      </c>
      <c r="L2" s="85" t="s">
        <v>274</v>
      </c>
      <c r="M2" s="231" t="s">
        <v>295</v>
      </c>
      <c r="N2" s="55" t="s">
        <v>200</v>
      </c>
    </row>
    <row r="3" spans="1:14" ht="42" x14ac:dyDescent="0.15">
      <c r="A3" s="79" t="s">
        <v>198</v>
      </c>
      <c r="B3" s="80">
        <f>floors!$C$5</f>
        <v>30047</v>
      </c>
      <c r="C3" s="81" t="str">
        <f ca="1">VLOOKUP($B3,OFFSET([2]quests!$A$1,0,0,COUNTA([2]quests!$A:$A),MATCH(C$1,[2]quests!$1:$1,0)-MATCH($B$1,[2]quests!$1:$1,0)+1),MATCH(C$1,[2]quests!$1:$1,0)-MATCH($B$1,[2]quests!$1:$1,0)+1,FALSE)</f>
        <v>終末の旋律</v>
      </c>
      <c r="D3" s="81" t="str">
        <f ca="1">VLOOKUP($B3,OFFSET([2]quests!$A$1,0,0,COUNTA([2]quests!$A:$A),MATCH(D$1,[2]quests!$1:$1,0)-MATCH($B$1,[2]quests!$1:$1,0)+1),MATCH(D$1,[2]quests!$1:$1,0)-MATCH($B$1,[2]quests!$1:$1,0)+1,FALSE)</f>
        <v>北欧シリーズ第三弾　超級</v>
      </c>
      <c r="E3" s="82">
        <v>3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【超級】終末の旋律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北欧シリーズ第三弾　超級</v>
      </c>
      <c r="H3" s="83">
        <v>2</v>
      </c>
      <c r="I3" s="88">
        <f t="shared" si="0"/>
        <v>2</v>
      </c>
      <c r="J3" s="84" t="str">
        <f t="shared" si="1"/>
        <v>3004702</v>
      </c>
      <c r="K3" s="82" t="s">
        <v>199</v>
      </c>
      <c r="L3" s="85" t="s">
        <v>274</v>
      </c>
      <c r="M3" s="231" t="s">
        <v>296</v>
      </c>
      <c r="N3" s="55" t="s">
        <v>200</v>
      </c>
    </row>
    <row r="4" spans="1:14" ht="56" x14ac:dyDescent="0.15">
      <c r="A4" s="79" t="s">
        <v>198</v>
      </c>
      <c r="B4" s="80">
        <f>floors!$C$5</f>
        <v>30047</v>
      </c>
      <c r="C4" s="81" t="str">
        <f ca="1">VLOOKUP($B4,OFFSET([2]quests!$A$1,0,0,COUNTA([2]quests!$A:$A),MATCH(C$1,[2]quests!$1:$1,0)-MATCH($B$1,[2]quests!$1:$1,0)+1),MATCH(C$1,[2]quests!$1:$1,0)-MATCH($B$1,[2]quests!$1:$1,0)+1,FALSE)</f>
        <v>終末の旋律</v>
      </c>
      <c r="D4" s="81" t="str">
        <f ca="1">VLOOKUP($B4,OFFSET([2]quests!$A$1,0,0,COUNTA([2]quests!$A:$A),MATCH(D$1,[2]quests!$1:$1,0)-MATCH($B$1,[2]quests!$1:$1,0)+1),MATCH(D$1,[2]quests!$1:$1,0)-MATCH($B$1,[2]quests!$1:$1,0)+1,FALSE)</f>
        <v>北欧シリーズ第三弾　超級</v>
      </c>
      <c r="E4" s="82">
        <v>3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【超級】終末の旋律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北欧シリーズ第三弾　超級</v>
      </c>
      <c r="H4" s="83">
        <v>3</v>
      </c>
      <c r="I4" s="88">
        <f t="shared" si="0"/>
        <v>3</v>
      </c>
      <c r="J4" s="84" t="str">
        <f t="shared" si="1"/>
        <v>3004703</v>
      </c>
      <c r="K4" s="82" t="s">
        <v>199</v>
      </c>
      <c r="L4" s="85" t="s">
        <v>274</v>
      </c>
      <c r="M4" s="231" t="s">
        <v>318</v>
      </c>
      <c r="N4" s="55" t="s">
        <v>200</v>
      </c>
    </row>
    <row r="5" spans="1:14" ht="56" x14ac:dyDescent="0.15">
      <c r="A5" s="79" t="s">
        <v>198</v>
      </c>
      <c r="B5" s="80">
        <f>floors!$C$5</f>
        <v>30047</v>
      </c>
      <c r="C5" s="81" t="str">
        <f ca="1">VLOOKUP($B5,OFFSET([2]quests!$A$1,0,0,COUNTA([2]quests!$A:$A),MATCH(C$1,[2]quests!$1:$1,0)-MATCH($B$1,[2]quests!$1:$1,0)+1),MATCH(C$1,[2]quests!$1:$1,0)-MATCH($B$1,[2]quests!$1:$1,0)+1,FALSE)</f>
        <v>終末の旋律</v>
      </c>
      <c r="D5" s="81" t="str">
        <f ca="1">VLOOKUP($B5,OFFSET([2]quests!$A$1,0,0,COUNTA([2]quests!$A:$A),MATCH(D$1,[2]quests!$1:$1,0)-MATCH($B$1,[2]quests!$1:$1,0)+1),MATCH(D$1,[2]quests!$1:$1,0)-MATCH($B$1,[2]quests!$1:$1,0)+1,FALSE)</f>
        <v>北欧シリーズ第三弾　超級</v>
      </c>
      <c r="E5" s="82">
        <v>3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【超級】終末の旋律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北欧シリーズ第三弾　超級</v>
      </c>
      <c r="H5" s="83">
        <v>3</v>
      </c>
      <c r="I5" s="88">
        <f t="shared" si="0"/>
        <v>4</v>
      </c>
      <c r="J5" s="84" t="str">
        <f t="shared" si="1"/>
        <v>3004704</v>
      </c>
      <c r="K5" s="82" t="s">
        <v>199</v>
      </c>
      <c r="L5" s="85" t="s">
        <v>274</v>
      </c>
      <c r="M5" s="231" t="s">
        <v>300</v>
      </c>
      <c r="N5" s="55" t="s">
        <v>200</v>
      </c>
    </row>
    <row r="6" spans="1:14" ht="42" x14ac:dyDescent="0.15">
      <c r="A6" s="79" t="s">
        <v>198</v>
      </c>
      <c r="B6" s="80">
        <f>floors!$C$5</f>
        <v>30047</v>
      </c>
      <c r="C6" s="81" t="str">
        <f ca="1">VLOOKUP($B6,OFFSET([2]quests!$A$1,0,0,COUNTA([2]quests!$A:$A),MATCH(C$1,[2]quests!$1:$1,0)-MATCH($B$1,[2]quests!$1:$1,0)+1),MATCH(C$1,[2]quests!$1:$1,0)-MATCH($B$1,[2]quests!$1:$1,0)+1,FALSE)</f>
        <v>終末の旋律</v>
      </c>
      <c r="D6" s="81" t="str">
        <f ca="1">VLOOKUP($B6,OFFSET([2]quests!$A$1,0,0,COUNTA([2]quests!$A:$A),MATCH(D$1,[2]quests!$1:$1,0)-MATCH($B$1,[2]quests!$1:$1,0)+1),MATCH(D$1,[2]quests!$1:$1,0)-MATCH($B$1,[2]quests!$1:$1,0)+1,FALSE)</f>
        <v>北欧シリーズ第三弾　超級</v>
      </c>
      <c r="E6" s="82">
        <v>3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【超級】終末の旋律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北欧シリーズ第三弾　超級</v>
      </c>
      <c r="H6" s="83">
        <v>4</v>
      </c>
      <c r="I6" s="88">
        <f t="shared" si="0"/>
        <v>5</v>
      </c>
      <c r="J6" s="84" t="str">
        <f t="shared" si="1"/>
        <v>3004705</v>
      </c>
      <c r="K6" s="82" t="s">
        <v>199</v>
      </c>
      <c r="L6" s="85" t="s">
        <v>274</v>
      </c>
      <c r="M6" s="231" t="s">
        <v>311</v>
      </c>
      <c r="N6" s="55" t="s">
        <v>200</v>
      </c>
    </row>
    <row r="7" spans="1:14" ht="43" thickBot="1" x14ac:dyDescent="0.2">
      <c r="A7" s="238" t="s">
        <v>198</v>
      </c>
      <c r="B7" s="239">
        <f>floors!$C$5</f>
        <v>30047</v>
      </c>
      <c r="C7" s="240" t="str">
        <f ca="1">VLOOKUP($B7,OFFSET([2]quests!$A$1,0,0,COUNTA([2]quests!$A:$A),MATCH(C$1,[2]quests!$1:$1,0)-MATCH($B$1,[2]quests!$1:$1,0)+1),MATCH(C$1,[2]quests!$1:$1,0)-MATCH($B$1,[2]quests!$1:$1,0)+1,FALSE)</f>
        <v>終末の旋律</v>
      </c>
      <c r="D7" s="240" t="str">
        <f ca="1">VLOOKUP($B7,OFFSET([2]quests!$A$1,0,0,COUNTA([2]quests!$A:$A),MATCH(D$1,[2]quests!$1:$1,0)-MATCH($B$1,[2]quests!$1:$1,0)+1),MATCH(D$1,[2]quests!$1:$1,0)-MATCH($B$1,[2]quests!$1:$1,0)+1,FALSE)</f>
        <v>北欧シリーズ第三弾　超級</v>
      </c>
      <c r="E7" s="241">
        <v>3</v>
      </c>
      <c r="F7" s="240" t="str">
        <f ca="1">VLOOKUP($B7&amp;"_"&amp;$E7,OFFSET([2]stages!$A$1,0,0,COUNTA([2]stages!$A:$A),MATCH(F$1,[2]stages!$2:$2,0)-MATCH("temp_stage",[2]stages!$2:$2,0)+1),MATCH(F$1,[2]stages!$2:$2,0)-MATCH("temp_stage",[2]stages!$2:$2,0)+1,FALSE)</f>
        <v>【超級】終末の旋律</v>
      </c>
      <c r="G7" s="240" t="str">
        <f ca="1">VLOOKUP($B7&amp;"_"&amp;$E7,OFFSET([2]stages!$A$1,0,0,COUNTA([2]stages!$A:$A),MATCH(G$1,[2]stages!$2:$2,0)-MATCH("temp_stage",[2]stages!$2:$2,0)+1),MATCH(G$1,[2]stages!$2:$2,0)-MATCH("temp_stage",[2]stages!$2:$2,0)+1,FALSE)</f>
        <v>北欧シリーズ第三弾　超級</v>
      </c>
      <c r="H7" s="242">
        <v>4</v>
      </c>
      <c r="I7" s="243">
        <f t="shared" si="0"/>
        <v>6</v>
      </c>
      <c r="J7" s="244" t="str">
        <f t="shared" si="1"/>
        <v>3004706</v>
      </c>
      <c r="K7" s="241" t="s">
        <v>199</v>
      </c>
      <c r="L7" s="245" t="s">
        <v>274</v>
      </c>
      <c r="M7" s="246" t="s">
        <v>310</v>
      </c>
      <c r="N7" s="222" t="s">
        <v>200</v>
      </c>
    </row>
    <row r="8" spans="1:14" ht="42" x14ac:dyDescent="0.15">
      <c r="A8" s="232" t="s">
        <v>198</v>
      </c>
      <c r="B8" s="233">
        <f>floors!$C$5</f>
        <v>30047</v>
      </c>
      <c r="C8" s="81" t="str">
        <f ca="1">VLOOKUP($B8,OFFSET([2]quests!$A$1,0,0,COUNTA([2]quests!$A:$A),MATCH(C$1,[2]quests!$1:$1,0)-MATCH($B$1,[2]quests!$1:$1,0)+1),MATCH(C$1,[2]quests!$1:$1,0)-MATCH($B$1,[2]quests!$1:$1,0)+1,FALSE)</f>
        <v>終末の旋律</v>
      </c>
      <c r="D8" s="81" t="str">
        <f ca="1">VLOOKUP($B8,OFFSET([2]quests!$A$1,0,0,COUNTA([2]quests!$A:$A),MATCH(D$1,[2]quests!$1:$1,0)-MATCH($B$1,[2]quests!$1:$1,0)+1),MATCH(D$1,[2]quests!$1:$1,0)-MATCH($B$1,[2]quests!$1:$1,0)+1,FALSE)</f>
        <v>北欧シリーズ第三弾　超級</v>
      </c>
      <c r="E8" s="234">
        <v>2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【上級】終末の旋律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北欧シリーズ第三弾　超級</v>
      </c>
      <c r="H8" s="83">
        <v>1</v>
      </c>
      <c r="I8" s="235">
        <f t="shared" si="0"/>
        <v>7</v>
      </c>
      <c r="J8" s="236" t="str">
        <f t="shared" ref="J8:J19" si="2">B8&amp;TEXT(I8,"00")</f>
        <v>3004707</v>
      </c>
      <c r="K8" s="234" t="s">
        <v>199</v>
      </c>
      <c r="L8" s="237" t="s">
        <v>274</v>
      </c>
      <c r="M8" s="231" t="s">
        <v>295</v>
      </c>
      <c r="N8" s="220" t="s">
        <v>200</v>
      </c>
    </row>
    <row r="9" spans="1:14" ht="42" x14ac:dyDescent="0.15">
      <c r="A9" s="79" t="s">
        <v>198</v>
      </c>
      <c r="B9" s="80">
        <f>floors!$C$5</f>
        <v>30047</v>
      </c>
      <c r="C9" s="81" t="str">
        <f ca="1">VLOOKUP($B9,OFFSET([2]quests!$A$1,0,0,COUNTA([2]quests!$A:$A),MATCH(C$1,[2]quests!$1:$1,0)-MATCH($B$1,[2]quests!$1:$1,0)+1),MATCH(C$1,[2]quests!$1:$1,0)-MATCH($B$1,[2]quests!$1:$1,0)+1,FALSE)</f>
        <v>終末の旋律</v>
      </c>
      <c r="D9" s="81" t="str">
        <f ca="1">VLOOKUP($B9,OFFSET([2]quests!$A$1,0,0,COUNTA([2]quests!$A:$A),MATCH(D$1,[2]quests!$1:$1,0)-MATCH($B$1,[2]quests!$1:$1,0)+1),MATCH(D$1,[2]quests!$1:$1,0)-MATCH($B$1,[2]quests!$1:$1,0)+1,FALSE)</f>
        <v>北欧シリーズ第三弾　超級</v>
      </c>
      <c r="E9" s="82">
        <v>2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【上級】終末の旋律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北欧シリーズ第三弾　超級</v>
      </c>
      <c r="H9" s="83">
        <v>2</v>
      </c>
      <c r="I9" s="88">
        <f t="shared" si="0"/>
        <v>8</v>
      </c>
      <c r="J9" s="84" t="str">
        <f t="shared" si="2"/>
        <v>3004708</v>
      </c>
      <c r="K9" s="82" t="s">
        <v>199</v>
      </c>
      <c r="L9" s="85" t="s">
        <v>274</v>
      </c>
      <c r="M9" s="231" t="s">
        <v>296</v>
      </c>
      <c r="N9" s="55" t="s">
        <v>200</v>
      </c>
    </row>
    <row r="10" spans="1:14" ht="56" x14ac:dyDescent="0.15">
      <c r="A10" s="79" t="s">
        <v>198</v>
      </c>
      <c r="B10" s="80">
        <f>floors!$C$5</f>
        <v>30047</v>
      </c>
      <c r="C10" s="81" t="str">
        <f ca="1">VLOOKUP($B10,OFFSET([2]quests!$A$1,0,0,COUNTA([2]quests!$A:$A),MATCH(C$1,[2]quests!$1:$1,0)-MATCH($B$1,[2]quests!$1:$1,0)+1),MATCH(C$1,[2]quests!$1:$1,0)-MATCH($B$1,[2]quests!$1:$1,0)+1,FALSE)</f>
        <v>終末の旋律</v>
      </c>
      <c r="D10" s="81" t="str">
        <f ca="1">VLOOKUP($B10,OFFSET([2]quests!$A$1,0,0,COUNTA([2]quests!$A:$A),MATCH(D$1,[2]quests!$1:$1,0)-MATCH($B$1,[2]quests!$1:$1,0)+1),MATCH(D$1,[2]quests!$1:$1,0)-MATCH($B$1,[2]quests!$1:$1,0)+1,FALSE)</f>
        <v>北欧シリーズ第三弾　超級</v>
      </c>
      <c r="E10" s="82">
        <v>2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【上級】終末の旋律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北欧シリーズ第三弾　超級</v>
      </c>
      <c r="H10" s="83">
        <v>3</v>
      </c>
      <c r="I10" s="88">
        <f t="shared" si="0"/>
        <v>9</v>
      </c>
      <c r="J10" s="84" t="str">
        <f t="shared" si="2"/>
        <v>3004709</v>
      </c>
      <c r="K10" s="82" t="s">
        <v>199</v>
      </c>
      <c r="L10" s="85" t="s">
        <v>274</v>
      </c>
      <c r="M10" s="231" t="s">
        <v>318</v>
      </c>
      <c r="N10" s="55" t="s">
        <v>200</v>
      </c>
    </row>
    <row r="11" spans="1:14" ht="56" x14ac:dyDescent="0.15">
      <c r="A11" s="79" t="s">
        <v>198</v>
      </c>
      <c r="B11" s="80">
        <f>floors!$C$5</f>
        <v>30047</v>
      </c>
      <c r="C11" s="81" t="str">
        <f ca="1">VLOOKUP($B11,OFFSET([2]quests!$A$1,0,0,COUNTA([2]quests!$A:$A),MATCH(C$1,[2]quests!$1:$1,0)-MATCH($B$1,[2]quests!$1:$1,0)+1),MATCH(C$1,[2]quests!$1:$1,0)-MATCH($B$1,[2]quests!$1:$1,0)+1,FALSE)</f>
        <v>終末の旋律</v>
      </c>
      <c r="D11" s="81" t="str">
        <f ca="1">VLOOKUP($B11,OFFSET([2]quests!$A$1,0,0,COUNTA([2]quests!$A:$A),MATCH(D$1,[2]quests!$1:$1,0)-MATCH($B$1,[2]quests!$1:$1,0)+1),MATCH(D$1,[2]quests!$1:$1,0)-MATCH($B$1,[2]quests!$1:$1,0)+1,FALSE)</f>
        <v>北欧シリーズ第三弾　超級</v>
      </c>
      <c r="E11" s="82">
        <v>2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【上級】終末の旋律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北欧シリーズ第三弾　超級</v>
      </c>
      <c r="H11" s="83">
        <v>3</v>
      </c>
      <c r="I11" s="88">
        <f t="shared" si="0"/>
        <v>10</v>
      </c>
      <c r="J11" s="84" t="str">
        <f t="shared" si="2"/>
        <v>3004710</v>
      </c>
      <c r="K11" s="82" t="s">
        <v>199</v>
      </c>
      <c r="L11" s="85" t="s">
        <v>274</v>
      </c>
      <c r="M11" s="231" t="s">
        <v>300</v>
      </c>
      <c r="N11" s="55" t="s">
        <v>200</v>
      </c>
    </row>
    <row r="12" spans="1:14" ht="42" x14ac:dyDescent="0.15">
      <c r="A12" s="79" t="s">
        <v>198</v>
      </c>
      <c r="B12" s="80">
        <f>floors!$C$5</f>
        <v>30047</v>
      </c>
      <c r="C12" s="81" t="str">
        <f ca="1">VLOOKUP($B12,OFFSET([2]quests!$A$1,0,0,COUNTA([2]quests!$A:$A),MATCH(C$1,[2]quests!$1:$1,0)-MATCH($B$1,[2]quests!$1:$1,0)+1),MATCH(C$1,[2]quests!$1:$1,0)-MATCH($B$1,[2]quests!$1:$1,0)+1,FALSE)</f>
        <v>終末の旋律</v>
      </c>
      <c r="D12" s="81" t="str">
        <f ca="1">VLOOKUP($B12,OFFSET([2]quests!$A$1,0,0,COUNTA([2]quests!$A:$A),MATCH(D$1,[2]quests!$1:$1,0)-MATCH($B$1,[2]quests!$1:$1,0)+1),MATCH(D$1,[2]quests!$1:$1,0)-MATCH($B$1,[2]quests!$1:$1,0)+1,FALSE)</f>
        <v>北欧シリーズ第三弾　超級</v>
      </c>
      <c r="E12" s="82">
        <v>2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【上級】終末の旋律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北欧シリーズ第三弾　超級</v>
      </c>
      <c r="H12" s="83">
        <v>4</v>
      </c>
      <c r="I12" s="88">
        <f t="shared" si="0"/>
        <v>11</v>
      </c>
      <c r="J12" s="84" t="str">
        <f t="shared" si="2"/>
        <v>3004711</v>
      </c>
      <c r="K12" s="82" t="s">
        <v>199</v>
      </c>
      <c r="L12" s="85" t="s">
        <v>274</v>
      </c>
      <c r="M12" s="231" t="s">
        <v>311</v>
      </c>
      <c r="N12" s="55" t="s">
        <v>200</v>
      </c>
    </row>
    <row r="13" spans="1:14" ht="43" thickBot="1" x14ac:dyDescent="0.2">
      <c r="A13" s="238" t="s">
        <v>198</v>
      </c>
      <c r="B13" s="239">
        <f>floors!$C$5</f>
        <v>30047</v>
      </c>
      <c r="C13" s="240" t="str">
        <f ca="1">VLOOKUP($B13,OFFSET([2]quests!$A$1,0,0,COUNTA([2]quests!$A:$A),MATCH(C$1,[2]quests!$1:$1,0)-MATCH($B$1,[2]quests!$1:$1,0)+1),MATCH(C$1,[2]quests!$1:$1,0)-MATCH($B$1,[2]quests!$1:$1,0)+1,FALSE)</f>
        <v>終末の旋律</v>
      </c>
      <c r="D13" s="240" t="str">
        <f ca="1">VLOOKUP($B13,OFFSET([2]quests!$A$1,0,0,COUNTA([2]quests!$A:$A),MATCH(D$1,[2]quests!$1:$1,0)-MATCH($B$1,[2]quests!$1:$1,0)+1),MATCH(D$1,[2]quests!$1:$1,0)-MATCH($B$1,[2]quests!$1:$1,0)+1,FALSE)</f>
        <v>北欧シリーズ第三弾　超級</v>
      </c>
      <c r="E13" s="241">
        <v>2</v>
      </c>
      <c r="F13" s="240" t="str">
        <f ca="1">VLOOKUP($B13&amp;"_"&amp;$E13,OFFSET([2]stages!$A$1,0,0,COUNTA([2]stages!$A:$A),MATCH(F$1,[2]stages!$2:$2,0)-MATCH("temp_stage",[2]stages!$2:$2,0)+1),MATCH(F$1,[2]stages!$2:$2,0)-MATCH("temp_stage",[2]stages!$2:$2,0)+1,FALSE)</f>
        <v>【上級】終末の旋律</v>
      </c>
      <c r="G13" s="240" t="str">
        <f ca="1">VLOOKUP($B13&amp;"_"&amp;$E13,OFFSET([2]stages!$A$1,0,0,COUNTA([2]stages!$A:$A),MATCH(G$1,[2]stages!$2:$2,0)-MATCH("temp_stage",[2]stages!$2:$2,0)+1),MATCH(G$1,[2]stages!$2:$2,0)-MATCH("temp_stage",[2]stages!$2:$2,0)+1,FALSE)</f>
        <v>北欧シリーズ第三弾　超級</v>
      </c>
      <c r="H13" s="242">
        <v>4</v>
      </c>
      <c r="I13" s="243">
        <f t="shared" si="0"/>
        <v>12</v>
      </c>
      <c r="J13" s="244" t="str">
        <f t="shared" si="2"/>
        <v>3004712</v>
      </c>
      <c r="K13" s="241" t="s">
        <v>199</v>
      </c>
      <c r="L13" s="245" t="s">
        <v>274</v>
      </c>
      <c r="M13" s="246" t="s">
        <v>310</v>
      </c>
      <c r="N13" s="222" t="s">
        <v>200</v>
      </c>
    </row>
    <row r="14" spans="1:14" ht="42" x14ac:dyDescent="0.15">
      <c r="A14" s="232" t="s">
        <v>198</v>
      </c>
      <c r="B14" s="233">
        <f>floors!$C$5</f>
        <v>30047</v>
      </c>
      <c r="C14" s="81" t="str">
        <f ca="1">VLOOKUP($B14,OFFSET([2]quests!$A$1,0,0,COUNTA([2]quests!$A:$A),MATCH(C$1,[2]quests!$1:$1,0)-MATCH($B$1,[2]quests!$1:$1,0)+1),MATCH(C$1,[2]quests!$1:$1,0)-MATCH($B$1,[2]quests!$1:$1,0)+1,FALSE)</f>
        <v>終末の旋律</v>
      </c>
      <c r="D14" s="81" t="str">
        <f ca="1">VLOOKUP($B14,OFFSET([2]quests!$A$1,0,0,COUNTA([2]quests!$A:$A),MATCH(D$1,[2]quests!$1:$1,0)-MATCH($B$1,[2]quests!$1:$1,0)+1),MATCH(D$1,[2]quests!$1:$1,0)-MATCH($B$1,[2]quests!$1:$1,0)+1,FALSE)</f>
        <v>北欧シリーズ第三弾　超級</v>
      </c>
      <c r="E14" s="234">
        <v>1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【中級】終末の旋律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北欧シリーズ第三弾　超級</v>
      </c>
      <c r="H14" s="83">
        <v>1</v>
      </c>
      <c r="I14" s="235">
        <f t="shared" si="0"/>
        <v>13</v>
      </c>
      <c r="J14" s="236" t="str">
        <f t="shared" si="2"/>
        <v>3004713</v>
      </c>
      <c r="K14" s="234" t="s">
        <v>199</v>
      </c>
      <c r="L14" s="237" t="s">
        <v>274</v>
      </c>
      <c r="M14" s="231" t="s">
        <v>295</v>
      </c>
      <c r="N14" s="220" t="s">
        <v>200</v>
      </c>
    </row>
    <row r="15" spans="1:14" ht="42" x14ac:dyDescent="0.15">
      <c r="A15" s="79" t="s">
        <v>198</v>
      </c>
      <c r="B15" s="80">
        <f>floors!$C$5</f>
        <v>30047</v>
      </c>
      <c r="C15" s="81" t="str">
        <f ca="1">VLOOKUP($B15,OFFSET([2]quests!$A$1,0,0,COUNTA([2]quests!$A:$A),MATCH(C$1,[2]quests!$1:$1,0)-MATCH($B$1,[2]quests!$1:$1,0)+1),MATCH(C$1,[2]quests!$1:$1,0)-MATCH($B$1,[2]quests!$1:$1,0)+1,FALSE)</f>
        <v>終末の旋律</v>
      </c>
      <c r="D15" s="81" t="str">
        <f ca="1">VLOOKUP($B15,OFFSET([2]quests!$A$1,0,0,COUNTA([2]quests!$A:$A),MATCH(D$1,[2]quests!$1:$1,0)-MATCH($B$1,[2]quests!$1:$1,0)+1),MATCH(D$1,[2]quests!$1:$1,0)-MATCH($B$1,[2]quests!$1:$1,0)+1,FALSE)</f>
        <v>北欧シリーズ第三弾　超級</v>
      </c>
      <c r="E15" s="82">
        <v>1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【中級】終末の旋律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北欧シリーズ第三弾　超級</v>
      </c>
      <c r="H15" s="83">
        <v>2</v>
      </c>
      <c r="I15" s="88">
        <f t="shared" si="0"/>
        <v>14</v>
      </c>
      <c r="J15" s="84" t="str">
        <f t="shared" si="2"/>
        <v>3004714</v>
      </c>
      <c r="K15" s="82" t="s">
        <v>199</v>
      </c>
      <c r="L15" s="85" t="s">
        <v>274</v>
      </c>
      <c r="M15" s="231" t="s">
        <v>296</v>
      </c>
      <c r="N15" s="55" t="s">
        <v>200</v>
      </c>
    </row>
    <row r="16" spans="1:14" ht="56" x14ac:dyDescent="0.15">
      <c r="A16" s="79" t="s">
        <v>198</v>
      </c>
      <c r="B16" s="80">
        <f>floors!$C$5</f>
        <v>30047</v>
      </c>
      <c r="C16" s="81" t="str">
        <f ca="1">VLOOKUP($B16,OFFSET([2]quests!$A$1,0,0,COUNTA([2]quests!$A:$A),MATCH(C$1,[2]quests!$1:$1,0)-MATCH($B$1,[2]quests!$1:$1,0)+1),MATCH(C$1,[2]quests!$1:$1,0)-MATCH($B$1,[2]quests!$1:$1,0)+1,FALSE)</f>
        <v>終末の旋律</v>
      </c>
      <c r="D16" s="81" t="str">
        <f ca="1">VLOOKUP($B16,OFFSET([2]quests!$A$1,0,0,COUNTA([2]quests!$A:$A),MATCH(D$1,[2]quests!$1:$1,0)-MATCH($B$1,[2]quests!$1:$1,0)+1),MATCH(D$1,[2]quests!$1:$1,0)-MATCH($B$1,[2]quests!$1:$1,0)+1,FALSE)</f>
        <v>北欧シリーズ第三弾　超級</v>
      </c>
      <c r="E16" s="82">
        <v>1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【中級】終末の旋律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北欧シリーズ第三弾　超級</v>
      </c>
      <c r="H16" s="83">
        <v>3</v>
      </c>
      <c r="I16" s="88">
        <f t="shared" si="0"/>
        <v>15</v>
      </c>
      <c r="J16" s="84" t="str">
        <f t="shared" si="2"/>
        <v>3004715</v>
      </c>
      <c r="K16" s="82" t="s">
        <v>199</v>
      </c>
      <c r="L16" s="85" t="s">
        <v>274</v>
      </c>
      <c r="M16" s="231" t="s">
        <v>318</v>
      </c>
      <c r="N16" s="55" t="s">
        <v>200</v>
      </c>
    </row>
    <row r="17" spans="1:14" ht="56" x14ac:dyDescent="0.15">
      <c r="A17" s="79" t="s">
        <v>198</v>
      </c>
      <c r="B17" s="80">
        <f>floors!$C$5</f>
        <v>30047</v>
      </c>
      <c r="C17" s="81" t="str">
        <f ca="1">VLOOKUP($B17,OFFSET([2]quests!$A$1,0,0,COUNTA([2]quests!$A:$A),MATCH(C$1,[2]quests!$1:$1,0)-MATCH($B$1,[2]quests!$1:$1,0)+1),MATCH(C$1,[2]quests!$1:$1,0)-MATCH($B$1,[2]quests!$1:$1,0)+1,FALSE)</f>
        <v>終末の旋律</v>
      </c>
      <c r="D17" s="81" t="str">
        <f ca="1">VLOOKUP($B17,OFFSET([2]quests!$A$1,0,0,COUNTA([2]quests!$A:$A),MATCH(D$1,[2]quests!$1:$1,0)-MATCH($B$1,[2]quests!$1:$1,0)+1),MATCH(D$1,[2]quests!$1:$1,0)-MATCH($B$1,[2]quests!$1:$1,0)+1,FALSE)</f>
        <v>北欧シリーズ第三弾　超級</v>
      </c>
      <c r="E17" s="82">
        <v>1</v>
      </c>
      <c r="F17" s="81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【中級】終末の旋律</v>
      </c>
      <c r="G17" s="81" t="str">
        <f ca="1">VLOOKUP($B17&amp;"_"&amp;$E17,OFFSET([2]stages!$A$1,0,0,COUNTA([2]stages!$A:$A),MATCH(G$1,[2]stages!$2:$2,0)-MATCH("temp_stage",[2]stages!$2:$2,0)+1),MATCH(G$1,[2]stages!$2:$2,0)-MATCH("temp_stage",[2]stages!$2:$2,0)+1,FALSE)</f>
        <v>北欧シリーズ第三弾　超級</v>
      </c>
      <c r="H17" s="83">
        <v>3</v>
      </c>
      <c r="I17" s="88">
        <f t="shared" si="0"/>
        <v>16</v>
      </c>
      <c r="J17" s="84" t="str">
        <f t="shared" si="2"/>
        <v>3004716</v>
      </c>
      <c r="K17" s="82" t="s">
        <v>199</v>
      </c>
      <c r="L17" s="85" t="s">
        <v>274</v>
      </c>
      <c r="M17" s="231" t="s">
        <v>300</v>
      </c>
      <c r="N17" s="55" t="s">
        <v>200</v>
      </c>
    </row>
    <row r="18" spans="1:14" ht="42" x14ac:dyDescent="0.15">
      <c r="A18" s="79" t="s">
        <v>198</v>
      </c>
      <c r="B18" s="80">
        <f>floors!$C$5</f>
        <v>30047</v>
      </c>
      <c r="C18" s="81" t="str">
        <f ca="1">VLOOKUP($B18,OFFSET([2]quests!$A$1,0,0,COUNTA([2]quests!$A:$A),MATCH(C$1,[2]quests!$1:$1,0)-MATCH($B$1,[2]quests!$1:$1,0)+1),MATCH(C$1,[2]quests!$1:$1,0)-MATCH($B$1,[2]quests!$1:$1,0)+1,FALSE)</f>
        <v>終末の旋律</v>
      </c>
      <c r="D18" s="81" t="str">
        <f ca="1">VLOOKUP($B18,OFFSET([2]quests!$A$1,0,0,COUNTA([2]quests!$A:$A),MATCH(D$1,[2]quests!$1:$1,0)-MATCH($B$1,[2]quests!$1:$1,0)+1),MATCH(D$1,[2]quests!$1:$1,0)-MATCH($B$1,[2]quests!$1:$1,0)+1,FALSE)</f>
        <v>北欧シリーズ第三弾　超級</v>
      </c>
      <c r="E18" s="82">
        <v>1</v>
      </c>
      <c r="F18" s="81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【中級】終末の旋律</v>
      </c>
      <c r="G18" s="81" t="str">
        <f ca="1">VLOOKUP($B18&amp;"_"&amp;$E18,OFFSET([2]stages!$A$1,0,0,COUNTA([2]stages!$A:$A),MATCH(G$1,[2]stages!$2:$2,0)-MATCH("temp_stage",[2]stages!$2:$2,0)+1),MATCH(G$1,[2]stages!$2:$2,0)-MATCH("temp_stage",[2]stages!$2:$2,0)+1,FALSE)</f>
        <v>北欧シリーズ第三弾　超級</v>
      </c>
      <c r="H18" s="83">
        <v>4</v>
      </c>
      <c r="I18" s="88">
        <f t="shared" si="0"/>
        <v>17</v>
      </c>
      <c r="J18" s="84" t="str">
        <f t="shared" si="2"/>
        <v>3004717</v>
      </c>
      <c r="K18" s="82" t="s">
        <v>199</v>
      </c>
      <c r="L18" s="85" t="s">
        <v>274</v>
      </c>
      <c r="M18" s="231" t="s">
        <v>311</v>
      </c>
      <c r="N18" s="55" t="s">
        <v>200</v>
      </c>
    </row>
    <row r="19" spans="1:14" ht="42" x14ac:dyDescent="0.15">
      <c r="A19" s="79" t="s">
        <v>198</v>
      </c>
      <c r="B19" s="80">
        <f>floors!$C$5</f>
        <v>30047</v>
      </c>
      <c r="C19" s="81" t="str">
        <f ca="1">VLOOKUP($B19,OFFSET([2]quests!$A$1,0,0,COUNTA([2]quests!$A:$A),MATCH(C$1,[2]quests!$1:$1,0)-MATCH($B$1,[2]quests!$1:$1,0)+1),MATCH(C$1,[2]quests!$1:$1,0)-MATCH($B$1,[2]quests!$1:$1,0)+1,FALSE)</f>
        <v>終末の旋律</v>
      </c>
      <c r="D19" s="81" t="str">
        <f ca="1">VLOOKUP($B19,OFFSET([2]quests!$A$1,0,0,COUNTA([2]quests!$A:$A),MATCH(D$1,[2]quests!$1:$1,0)-MATCH($B$1,[2]quests!$1:$1,0)+1),MATCH(D$1,[2]quests!$1:$1,0)-MATCH($B$1,[2]quests!$1:$1,0)+1,FALSE)</f>
        <v>北欧シリーズ第三弾　超級</v>
      </c>
      <c r="E19" s="82">
        <v>1</v>
      </c>
      <c r="F19" s="81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【中級】終末の旋律</v>
      </c>
      <c r="G19" s="81" t="str">
        <f ca="1">VLOOKUP($B19&amp;"_"&amp;$E19,OFFSET([2]stages!$A$1,0,0,COUNTA([2]stages!$A:$A),MATCH(G$1,[2]stages!$2:$2,0)-MATCH("temp_stage",[2]stages!$2:$2,0)+1),MATCH(G$1,[2]stages!$2:$2,0)-MATCH("temp_stage",[2]stages!$2:$2,0)+1,FALSE)</f>
        <v>北欧シリーズ第三弾　超級</v>
      </c>
      <c r="H19" s="83">
        <v>4</v>
      </c>
      <c r="I19" s="88">
        <f t="shared" si="0"/>
        <v>18</v>
      </c>
      <c r="J19" s="84" t="str">
        <f t="shared" si="2"/>
        <v>3004718</v>
      </c>
      <c r="K19" s="82" t="s">
        <v>199</v>
      </c>
      <c r="L19" s="85" t="s">
        <v>274</v>
      </c>
      <c r="M19" s="231" t="s">
        <v>310</v>
      </c>
      <c r="N19" s="55" t="s">
        <v>200</v>
      </c>
    </row>
  </sheetData>
  <phoneticPr fontId="5"/>
  <dataValidations count="1">
    <dataValidation type="list" allowBlank="1" showInputMessage="1" showErrorMessage="1" sqref="A2:A1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L7" sqref="L7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5" t="s">
        <v>214</v>
      </c>
      <c r="B1" s="96" t="s">
        <v>215</v>
      </c>
      <c r="C1" s="75" t="s">
        <v>216</v>
      </c>
      <c r="D1" s="75" t="s">
        <v>33</v>
      </c>
      <c r="E1" s="96" t="s">
        <v>217</v>
      </c>
      <c r="F1" s="75" t="s">
        <v>218</v>
      </c>
      <c r="G1" s="75" t="s">
        <v>33</v>
      </c>
      <c r="H1" s="96" t="s">
        <v>219</v>
      </c>
      <c r="I1" s="96" t="s">
        <v>220</v>
      </c>
      <c r="J1" s="96" t="s">
        <v>221</v>
      </c>
      <c r="K1" s="71" t="s">
        <v>222</v>
      </c>
      <c r="L1" s="71" t="s">
        <v>223</v>
      </c>
      <c r="M1" s="71" t="s">
        <v>157</v>
      </c>
      <c r="N1" s="75" t="s">
        <v>16</v>
      </c>
      <c r="O1" s="71" t="s">
        <v>224</v>
      </c>
      <c r="P1" s="71" t="s">
        <v>57</v>
      </c>
      <c r="Q1" s="71" t="s">
        <v>225</v>
      </c>
      <c r="R1" s="71" t="s">
        <v>38</v>
      </c>
      <c r="S1" s="71" t="s">
        <v>40</v>
      </c>
      <c r="T1" s="71" t="s">
        <v>42</v>
      </c>
      <c r="U1" s="71" t="s">
        <v>44</v>
      </c>
      <c r="V1" s="71" t="s">
        <v>46</v>
      </c>
      <c r="W1" s="71" t="s">
        <v>226</v>
      </c>
      <c r="X1" s="71" t="s">
        <v>227</v>
      </c>
    </row>
    <row r="2" spans="1:24" x14ac:dyDescent="0.15">
      <c r="A2" s="97" t="str">
        <f>B2&amp;"_"&amp;E2&amp;"_"&amp;H2&amp;"_"&amp;I2&amp;"_"&amp;J2</f>
        <v>65535_7_everyone_clear_1</v>
      </c>
      <c r="B2" s="80">
        <v>65535</v>
      </c>
      <c r="C2" s="81" t="str">
        <f ca="1">VLOOKUP($B2,OFFSET([2]quests!$A$1,0,0,COUNTA([2]quests!$A:$A),MATCH(C$1,[2]quests!$1:$1,0)-MATCH($B$1,[2]quests!$1:$1,0)+1),MATCH(C$1,[2]quests!$1:$1,0)-MATCH($B$1,[2]quests!$1:$1,0)+1,FALSE)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" s="81" t="str">
        <f ca="1">VLOOKUP($B2,OFFSET([2]quests!$A$1,0,0,COUNTA([2]quests!$A:$A),MATCH(D$1,[2]quests!$1:$1,0)-MATCH($B$1,[2]quests!$1:$1,0)+1),MATCH(D$1,[2]quests!$1:$1,0)-MATCH($B$1,[2]quests!$1:$1,0)+1,FALSE)</f>
        <v>検証</v>
      </c>
      <c r="E2" s="82">
        <v>7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爆風ジャンヌ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83" t="s">
        <v>228</v>
      </c>
      <c r="I2" s="82" t="s">
        <v>229</v>
      </c>
      <c r="J2" s="82">
        <v>1</v>
      </c>
      <c r="K2" s="82">
        <v>610</v>
      </c>
      <c r="L2" s="82" t="s">
        <v>230</v>
      </c>
      <c r="M2" s="82">
        <v>334</v>
      </c>
      <c r="N2" s="98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82">
        <v>1</v>
      </c>
      <c r="P2" s="82">
        <v>1</v>
      </c>
      <c r="Q2" s="82">
        <v>1</v>
      </c>
      <c r="R2" s="82">
        <v>0</v>
      </c>
      <c r="S2" s="82">
        <v>0</v>
      </c>
      <c r="T2" s="82">
        <v>0</v>
      </c>
      <c r="U2" s="82">
        <v>0</v>
      </c>
      <c r="V2" s="82">
        <v>1</v>
      </c>
      <c r="W2" s="99" t="s">
        <v>231</v>
      </c>
      <c r="X2" s="100" t="s">
        <v>232</v>
      </c>
    </row>
    <row r="3" spans="1:24" x14ac:dyDescent="0.15">
      <c r="A3" s="97" t="str">
        <f>B3&amp;"_"&amp;E3&amp;"_"&amp;H3&amp;"_"&amp;I3&amp;"_"&amp;J3</f>
        <v>65535_7_everyone_no_continue_1</v>
      </c>
      <c r="B3" s="80">
        <v>65535</v>
      </c>
      <c r="C3" s="81" t="str">
        <f ca="1">VLOOKUP($B3,OFFSET([2]quests!$A$1,0,0,COUNTA([2]quests!$A:$A),MATCH(C$1,[2]quests!$1:$1,0)-MATCH($B$1,[2]quests!$1:$1,0)+1),MATCH(C$1,[2]quests!$1:$1,0)-MATCH($B$1,[2]quests!$1:$1,0)+1,FALSE)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" s="81" t="str">
        <f ca="1">VLOOKUP($B3,OFFSET([2]quests!$A$1,0,0,COUNTA([2]quests!$A:$A),MATCH(D$1,[2]quests!$1:$1,0)-MATCH($B$1,[2]quests!$1:$1,0)+1),MATCH(D$1,[2]quests!$1:$1,0)-MATCH($B$1,[2]quests!$1:$1,0)+1,FALSE)</f>
        <v>検証</v>
      </c>
      <c r="E3" s="82">
        <v>7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爆風ジャンヌ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検証</v>
      </c>
      <c r="H3" s="83" t="s">
        <v>228</v>
      </c>
      <c r="I3" s="82" t="s">
        <v>233</v>
      </c>
      <c r="J3" s="82">
        <v>1</v>
      </c>
      <c r="K3" s="82">
        <v>610</v>
      </c>
      <c r="L3" s="82" t="s">
        <v>230</v>
      </c>
      <c r="M3" s="82">
        <v>334</v>
      </c>
      <c r="N3" s="98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82">
        <v>1</v>
      </c>
      <c r="P3" s="82">
        <v>1</v>
      </c>
      <c r="Q3" s="82">
        <v>1</v>
      </c>
      <c r="R3" s="82">
        <v>0</v>
      </c>
      <c r="S3" s="82">
        <v>0</v>
      </c>
      <c r="T3" s="82">
        <v>0</v>
      </c>
      <c r="U3" s="82">
        <v>0</v>
      </c>
      <c r="V3" s="82">
        <v>1</v>
      </c>
      <c r="W3" s="99" t="s">
        <v>231</v>
      </c>
      <c r="X3" s="100" t="s">
        <v>232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2017-03-08T05:44:56Z</dcterms:modified>
</cp:coreProperties>
</file>