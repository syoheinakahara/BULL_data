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1" i="54" l="1"/>
  <c r="D11" i="54"/>
  <c r="B11" i="54"/>
  <c r="E10" i="54"/>
  <c r="D10" i="54"/>
  <c r="B10" i="54"/>
  <c r="H6" i="53"/>
  <c r="G6" i="53"/>
  <c r="E6" i="53"/>
  <c r="K6" i="52"/>
  <c r="J6" i="52"/>
  <c r="H6" i="52"/>
  <c r="E6" i="52"/>
  <c r="H6" i="23"/>
  <c r="BR6" i="23"/>
  <c r="G6" i="23"/>
  <c r="BC6" i="23"/>
  <c r="BD6" i="23"/>
  <c r="Q6" i="23"/>
  <c r="U6" i="23"/>
  <c r="W6" i="23"/>
  <c r="AC6" i="23"/>
  <c r="I6" i="23"/>
  <c r="L6" i="23"/>
  <c r="BM6" i="23"/>
  <c r="BE6" i="23"/>
  <c r="BI6" i="23"/>
  <c r="I5" i="23"/>
  <c r="J5" i="23"/>
  <c r="J6" i="23"/>
  <c r="BF6" i="23"/>
  <c r="AX6" i="23"/>
  <c r="AW6" i="23"/>
  <c r="AV6" i="23"/>
  <c r="AU6" i="23"/>
  <c r="AS6" i="23"/>
  <c r="AR6" i="23"/>
  <c r="AQ6" i="23"/>
  <c r="AL6" i="23"/>
  <c r="AK6" i="23"/>
  <c r="AI6" i="23"/>
  <c r="AH6" i="23"/>
  <c r="AF6" i="23"/>
  <c r="AD6" i="23"/>
  <c r="AB6" i="23"/>
  <c r="AA6" i="23"/>
  <c r="Y6" i="23"/>
  <c r="Z6" i="23"/>
  <c r="X6" i="23"/>
  <c r="V6" i="23"/>
  <c r="T6" i="23"/>
  <c r="S6" i="23"/>
  <c r="R6" i="23"/>
  <c r="O6" i="23"/>
  <c r="N6" i="23"/>
  <c r="M6" i="23"/>
  <c r="K6" i="23"/>
  <c r="F6" i="23"/>
  <c r="E6" i="23"/>
  <c r="D6" i="23"/>
  <c r="C6" i="23"/>
  <c r="B6" i="23"/>
  <c r="E9" i="54"/>
  <c r="D9" i="54"/>
  <c r="B9" i="54"/>
  <c r="E8" i="54"/>
  <c r="D8" i="54"/>
  <c r="B8" i="54"/>
  <c r="E7" i="54"/>
  <c r="D7" i="54"/>
  <c r="B7" i="54"/>
  <c r="E6" i="54"/>
  <c r="D6" i="54"/>
  <c r="B6" i="54"/>
  <c r="E5" i="54"/>
  <c r="D5" i="54"/>
  <c r="B5" i="54"/>
  <c r="E4" i="54"/>
  <c r="D4" i="54"/>
  <c r="B4" i="54"/>
  <c r="H5" i="53"/>
  <c r="G5" i="53"/>
  <c r="E5" i="53"/>
  <c r="H4" i="53"/>
  <c r="G4" i="53"/>
  <c r="E4" i="53"/>
  <c r="K5" i="52"/>
  <c r="J5" i="52"/>
  <c r="H5" i="52"/>
  <c r="E5" i="52"/>
  <c r="K4" i="52"/>
  <c r="J4" i="52"/>
  <c r="H4" i="52"/>
  <c r="E4" i="52"/>
  <c r="H5" i="23"/>
  <c r="G5" i="23"/>
  <c r="AL5" i="23"/>
  <c r="H4" i="23"/>
  <c r="G4" i="23"/>
  <c r="AL4" i="23"/>
  <c r="H3" i="23"/>
  <c r="G3" i="23"/>
  <c r="AL3" i="23"/>
  <c r="H2" i="23"/>
  <c r="G2" i="23"/>
  <c r="AL2" i="23"/>
  <c r="BR5" i="23"/>
  <c r="BC5" i="23"/>
  <c r="BD5" i="23"/>
  <c r="Q5" i="23"/>
  <c r="V5" i="23"/>
  <c r="W5" i="23"/>
  <c r="AD5" i="23"/>
  <c r="M5" i="23"/>
  <c r="U5" i="23"/>
  <c r="AC5" i="23"/>
  <c r="L5" i="23"/>
  <c r="BM5" i="23"/>
  <c r="T5" i="23"/>
  <c r="AB5" i="23"/>
  <c r="K5" i="23"/>
  <c r="S5" i="23"/>
  <c r="AA5" i="23"/>
  <c r="BE5" i="23"/>
  <c r="BI5" i="23"/>
  <c r="BF5" i="23"/>
  <c r="AX5" i="23"/>
  <c r="AW5" i="23"/>
  <c r="AV5" i="23"/>
  <c r="AU5" i="23"/>
  <c r="AS5" i="23"/>
  <c r="AR5" i="23"/>
  <c r="AQ5" i="23"/>
  <c r="AK5" i="23"/>
  <c r="AI5" i="23"/>
  <c r="AH5" i="23"/>
  <c r="AF5" i="23"/>
  <c r="Y5" i="23"/>
  <c r="Z5" i="23"/>
  <c r="X5" i="23"/>
  <c r="R5" i="23"/>
  <c r="O5" i="23"/>
  <c r="N5" i="23"/>
  <c r="F5" i="23"/>
  <c r="E5" i="23"/>
  <c r="D5" i="23"/>
  <c r="C5" i="23"/>
  <c r="B5" i="23"/>
  <c r="BR4" i="23"/>
  <c r="BC4" i="23"/>
  <c r="BD4" i="23"/>
  <c r="Q4" i="23"/>
  <c r="V4" i="23"/>
  <c r="W4" i="23"/>
  <c r="AD4" i="23"/>
  <c r="I4" i="23"/>
  <c r="M4" i="23"/>
  <c r="U4" i="23"/>
  <c r="AC4" i="23"/>
  <c r="L4" i="23"/>
  <c r="BM4" i="23"/>
  <c r="T4" i="23"/>
  <c r="AB4" i="23"/>
  <c r="K4" i="23"/>
  <c r="S4" i="23"/>
  <c r="AA4" i="23"/>
  <c r="J4" i="23"/>
  <c r="BE4" i="23"/>
  <c r="BI4" i="23"/>
  <c r="BF4" i="23"/>
  <c r="AX4" i="23"/>
  <c r="AW4" i="23"/>
  <c r="AV4" i="23"/>
  <c r="AU4" i="23"/>
  <c r="AS4" i="23"/>
  <c r="AR4" i="23"/>
  <c r="AQ4" i="23"/>
  <c r="AK4" i="23"/>
  <c r="AI4" i="23"/>
  <c r="AH4" i="23"/>
  <c r="AF4" i="23"/>
  <c r="Y4" i="23"/>
  <c r="Z4" i="23"/>
  <c r="X4" i="23"/>
  <c r="R4" i="23"/>
  <c r="O4" i="23"/>
  <c r="N4" i="23"/>
  <c r="F4" i="23"/>
  <c r="E4" i="23"/>
  <c r="D4" i="23"/>
  <c r="C4" i="23"/>
  <c r="B4" i="23"/>
  <c r="BR3" i="23"/>
  <c r="BR2" i="23"/>
  <c r="E2" i="54"/>
  <c r="E3" i="54"/>
  <c r="D3" i="54"/>
  <c r="B3" i="54"/>
  <c r="BC2" i="23"/>
  <c r="BD2" i="23"/>
  <c r="Q2" i="23"/>
  <c r="S2" i="23"/>
  <c r="W2" i="23"/>
  <c r="AA2" i="23"/>
  <c r="I2" i="23"/>
  <c r="J2" i="23"/>
  <c r="BC3" i="23"/>
  <c r="BD3" i="23"/>
  <c r="Q3" i="23"/>
  <c r="S3" i="23"/>
  <c r="W3" i="23"/>
  <c r="AA3" i="23"/>
  <c r="I3" i="23"/>
  <c r="J3" i="23"/>
  <c r="T3" i="23"/>
  <c r="AB3" i="23"/>
  <c r="K3" i="23"/>
  <c r="T2" i="23"/>
  <c r="AB2" i="23"/>
  <c r="K2" i="23"/>
  <c r="V3" i="23"/>
  <c r="AD3" i="23"/>
  <c r="M3" i="23"/>
  <c r="V2" i="23"/>
  <c r="AD2" i="23"/>
  <c r="M2" i="23"/>
  <c r="D2" i="54"/>
  <c r="B2" i="54"/>
  <c r="G2" i="53"/>
  <c r="AH3" i="2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I3" i="23"/>
  <c r="BF3" i="23"/>
  <c r="AX3" i="23"/>
  <c r="AW3" i="23"/>
  <c r="AV3" i="23"/>
  <c r="AS3" i="23"/>
  <c r="AR3" i="23"/>
  <c r="AK3" i="23"/>
  <c r="AI3" i="23"/>
  <c r="AF3" i="23"/>
  <c r="Y3" i="23"/>
  <c r="Z3" i="23"/>
  <c r="X3" i="23"/>
  <c r="O3" i="23"/>
  <c r="N3" i="23"/>
  <c r="F3" i="23"/>
  <c r="E3" i="23"/>
  <c r="D3" i="23"/>
  <c r="C3" i="23"/>
  <c r="K2" i="52"/>
  <c r="E3" i="49"/>
  <c r="E5" i="49"/>
  <c r="E15" i="49"/>
  <c r="E14" i="49"/>
  <c r="E13" i="49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R2" i="23"/>
  <c r="AS2" i="23"/>
  <c r="AU2" i="23"/>
  <c r="AV2" i="23"/>
  <c r="AW2" i="23"/>
  <c r="AX2" i="23"/>
  <c r="BE2" i="23"/>
  <c r="BF2" i="23"/>
  <c r="BM2" i="23"/>
  <c r="BI2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<sst xmlns="http://schemas.openxmlformats.org/spreadsheetml/2006/main" count="902" uniqueCount="350">
  <si>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</si>
  <si>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</si>
  <si>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</si>
  <si>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</si>
  <si>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</si>
  <si>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</si>
  <si>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</si>
  <si>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</si>
  <si>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</si>
  <si>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</si>
  <si>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</si>
  <si>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</si>
  <si>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</si>
  <si>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</si>
  <si>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</si>
  <si>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</si>
  <si>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</si>
  <si>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</si>
  <si>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</si>
  <si>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</si>
  <si>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</si>
  <si>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</si>
  <si>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</si>
  <si>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</si>
  <si>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</si>
  <si>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</si>
  <si>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</si>
  <si>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</si>
  <si>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</si>
  <si>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</si>
  <si>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</si>
  <si>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</si>
  <si>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</si>
  <si>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</si>
  <si>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</si>
  <si>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</si>
  <si>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</si>
  <si>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</si>
  <si>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</si>
  <si>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</si>
  <si>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</si>
  <si>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</si>
  <si>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</si>
  <si>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</si>
  <si>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</si>
  <si>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</si>
  <si>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</si>
  <si>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</si>
  <si>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</si>
  <si>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</si>
  <si>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</si>
  <si>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</si>
  <si>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</si>
  <si>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</si>
  <si>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</si>
  <si>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</si>
  <si>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</si>
  <si>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</si>
  <si>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</si>
  <si>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</si>
  <si>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</si>
  <si>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</si>
  <si>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</si>
  <si>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</si>
  <si>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</si>
  <si>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</si>
  <si>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</si>
  <si>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</si>
  <si>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</si>
  <si>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</si>
  <si>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</si>
  <si>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</si>
  <si>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</si>
  <si>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</si>
  <si>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</si>
  <si>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</si>
  <si>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</si>
  <si>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</si>
  <si>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</si>
  <si>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</si>
  <si>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</si>
  <si>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</si>
  <si>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</si>
  <si>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</si>
  <si>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</si>
  <si>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</si>
  <si>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</si>
  <si>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</si>
  <si>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</si>
  <si>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</si>
  <si>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</si>
  <si>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</si>
  <si>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</si>
  <si>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</si>
  <si>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</si>
  <si>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</si>
  <si>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</si>
  <si>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</si>
  <si>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</si>
  <si>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</si>
  <si>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</si>
  <si>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</si>
  <si>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</si>
  <si>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</si>
  <si>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</si>
  <si>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</si>
  <si>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</si>
  <si>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</si>
  <si>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</si>
  <si>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</si>
  <si>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</si>
  <si>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</si>
  <si>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</si>
  <si>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</si>
  <si>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</si>
  <si>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</si>
  <si>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</si>
  <si>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</si>
  <si>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</si>
  <si>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</si>
  <si>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</si>
  <si>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</si>
  <si>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</si>
  <si>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</si>
  <si>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</si>
  <si>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</si>
  <si>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</si>
  <si>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</si>
  <si>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</si>
  <si>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</si>
  <si>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</si>
  <si>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</si>
  <si>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</si>
  <si>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</si>
  <si>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</si>
  <si>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</si>
  <si>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</si>
  <si>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</si>
  <si>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</si>
  <si>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</si>
  <si>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</si>
  <si>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</si>
  <si>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</si>
  <si>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</si>
  <si>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</si>
  <si>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</si>
  <si>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</si>
  <si>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</si>
  <si>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</si>
  <si>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</si>
  <si>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</si>
  <si>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</si>
  <si>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</si>
  <si>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</si>
  <si>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</si>
  <si>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</si>
  <si>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</si>
  <si>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</si>
  <si>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</si>
  <si>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</si>
  <si>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</si>
  <si>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</si>
  <si>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</si>
  <si>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</si>
  <si>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</si>
  <si>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</si>
  <si>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</si>
  <si>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</si>
  <si>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</si>
  <si>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</si>
  <si>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</si>
  <si>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</si>
  <si>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</si>
  <si>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</si>
  <si>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</si>
  <si>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</si>
  <si>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</si>
  <si>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</si>
  <si>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</si>
  <si>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</si>
  <si>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</si>
  <si>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</si>
  <si>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</si>
  <si>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</si>
  <si>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</si>
  <si>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</si>
  <si>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</si>
  <si>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</si>
  <si>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</si>
  <si>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</si>
  <si>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</si>
  <si>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</si>
  <si>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</si>
  <si>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</si>
  <si>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</si>
  <si>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</si>
  <si>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</si>
  <si>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</si>
  <si>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</si>
  <si>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</si>
  <si>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</si>
  <si>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</si>
  <si>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</si>
  <si>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</si>
  <si>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</si>
  <si>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</si>
  <si>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</si>
  <si>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</si>
  <si>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</si>
  <si>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</si>
  <si>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</si>
  <si>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</si>
  <si>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</si>
  <si>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</si>
  <si>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</si>
  <si>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</si>
  <si>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</si>
  <si>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</si>
  <si>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</si>
  <si>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</si>
  <si>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</si>
  <si>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</si>
  <si>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</si>
  <si>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</si>
  <si>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</si>
  <si>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</si>
  <si>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</si>
  <si>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</si>
  <si>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</si>
  <si>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</si>
  <si>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</si>
  <si>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</si>
  <si>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</si>
  <si>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</si>
  <si>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</si>
  <si>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</si>
  <si>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</si>
  <si>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</si>
  <si>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</si>
  <si>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</si>
  <si>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</si>
  <si>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</si>
  <si>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</si>
  <si>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</si>
  <si>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</si>
  <si>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</si>
  <si>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</si>
  <si>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</si>
  <si>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</si>
  <si>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</si>
  <si>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</si>
  <si>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</si>
  <si>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</si>
  <si>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</si>
  <si>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</si>
  <si>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</si>
  <si>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</si>
  <si>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</si>
  <si>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</si>
  <si>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</si>
  <si>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</si>
  <si>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</si>
  <si>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</si>
  <si>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</si>
  <si>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</si>
  <si>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</si>
  <si>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</si>
  <si>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</si>
  <si>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</si>
  <si>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</si>
  <si>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</si>
  <si>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</si>
  <si>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</si>
  <si>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</si>
  <si>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</si>
  <si>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</si>
  <si>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</si>
  <si>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</si>
  <si>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</si>
  <si>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</si>
  <si>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</si>
  <si>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</si>
  <si>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</si>
  <si>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</si>
  <si>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</si>
  <si>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</si>
  <si>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</si>
  <si>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</si>
  <si>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</si>
  <si>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</si>
  <si>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</si>
  <si>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</si>
  <si>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</si>
  <si>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</si>
  <si>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</si>
  <si>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</si>
  <si>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</si>
  <si>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</si>
  <si>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</si>
  <si>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</si>
  <si>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</si>
  <si>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</si>
  <si>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</si>
  <si>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</si>
  <si>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</si>
  <si>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</si>
  <si>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</si>
  <si>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</si>
  <si>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</si>
  <si>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</si>
  <si>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</si>
  <si>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</si>
  <si>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</si>
  <si>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</si>
  <si>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</si>
  <si>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</si>
  <si>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</si>
  <si>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</si>
  <si>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</si>
  <si>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</si>
  <si>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</si>
  <si>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</si>
  <si>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</si>
  <si>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</si>
  <si>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</si>
  <si>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</si>
  <si>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</si>
  <si>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</si>
  <si>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</si>
  <si>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</si>
  <si>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</si>
  <si>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</si>
  <si>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</si>
  <si>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</si>
  <si>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</si>
  <si>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</si>
  <si>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eventmaterial01</t>
    <phoneticPr fontId="22"/>
  </si>
  <si>
    <t>700万DL ありがとうグヮ！</t>
    <phoneticPr fontId="22"/>
  </si>
  <si>
    <t>ユニット強化の素材にすると100万経験値、
売却すれば100万ビットをGETできる！</t>
    <phoneticPr fontId="22"/>
  </si>
  <si>
    <t>これからも よろしくグヮッ！</t>
    <phoneticPr fontId="22"/>
  </si>
  <si>
    <t>効果はないグヮ
700万DL ありがとう！</t>
    <phoneticPr fontId="22"/>
  </si>
  <si>
    <t>giza</t>
  </si>
  <si>
    <t>みんなの おかげグヮ！</t>
    <phoneticPr fontId="22"/>
  </si>
  <si>
    <t>old</t>
  </si>
  <si>
    <t>売却素材（2017年お年玉）</t>
    <phoneticPr fontId="22"/>
  </si>
  <si>
    <t>このユニットを売却すると
100万ビットをGETできる！</t>
    <phoneticPr fontId="22"/>
  </si>
  <si>
    <t>謹グヮ新年 二○一七</t>
    <rPh sb="9" eb="10">
      <t>⑦</t>
    </rPh>
    <phoneticPr fontId="22"/>
  </si>
  <si>
    <t>効果はないグヮ
あけまして おめでとう！</t>
    <phoneticPr fontId="22"/>
  </si>
  <si>
    <t>今年もよろしくグヮ！</t>
    <phoneticPr fontId="22"/>
  </si>
  <si>
    <t>あけおめグヮ！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</si>
</sst>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FF00"/>
        <bgColor indexed="31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1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2" borderId="10" xfId="0" applyFont="1" applyFill="1" applyBorder="1" applyAlignment="1">
      <alignment vertical="center"/>
    </xf>
    <xf numFmtId="0" fontId="16" fillId="12" borderId="4" xfId="0" applyFont="1" applyFill="1" applyBorder="1" applyAlignment="1">
      <alignment vertical="center"/>
    </xf>
    <xf numFmtId="0" fontId="13" fillId="11" borderId="4" xfId="0" applyFont="1" applyFill="1" applyBorder="1" applyAlignment="1">
      <alignment horizontal="center" vertical="center" wrapText="1"/>
    </xf>
    <xf numFmtId="0" fontId="16" fillId="11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2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0" borderId="0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center"/>
    </xf>
    <xf numFmtId="0" fontId="13" fillId="10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7" borderId="0" xfId="0" applyFont="1" applyFill="1"/>
    <xf numFmtId="0" fontId="16" fillId="0" borderId="4" xfId="0" applyFont="1" applyFill="1" applyBorder="1" applyAlignment="1">
      <alignment vertical="center"/>
    </xf>
    <xf numFmtId="0" fontId="13" fillId="13" borderId="4" xfId="0" applyFont="1" applyFill="1" applyBorder="1" applyAlignment="1">
      <alignment vertical="center"/>
    </xf>
    <xf numFmtId="0" fontId="16" fillId="13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2" borderId="21" xfId="0" applyFont="1" applyFill="1" applyBorder="1" applyAlignment="1">
      <alignment horizontal="center" vertical="center"/>
    </xf>
    <xf numFmtId="0" fontId="8" fillId="12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4" borderId="4" xfId="0" applyFont="1" applyFill="1" applyBorder="1" applyAlignment="1">
      <alignment horizontal="left" vertical="center"/>
    </xf>
    <xf numFmtId="0" fontId="15" fillId="10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0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5" borderId="16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4" borderId="17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4" borderId="11" xfId="0" applyFont="1" applyFill="1" applyBorder="1" applyAlignment="1">
      <alignment horizontal="left" vertical="center"/>
    </xf>
    <xf numFmtId="0" fontId="19" fillId="14" borderId="12" xfId="0" applyFont="1" applyFill="1" applyBorder="1" applyAlignment="1">
      <alignment horizontal="left" vertical="center"/>
    </xf>
    <xf numFmtId="0" fontId="8" fillId="18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19" borderId="4" xfId="0" applyFont="1" applyFill="1" applyBorder="1"/>
    <xf numFmtId="0" fontId="0" fillId="19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0" borderId="4" xfId="0" applyFill="1" applyBorder="1"/>
    <xf numFmtId="0" fontId="0" fillId="10" borderId="6" xfId="0" applyFill="1" applyBorder="1"/>
    <xf numFmtId="0" fontId="0" fillId="10" borderId="4" xfId="0" applyFill="1" applyBorder="1"/>
    <xf numFmtId="0" fontId="13" fillId="0" borderId="4" xfId="0" applyFont="1" applyFill="1" applyBorder="1" applyAlignment="1">
      <alignment vertical="center"/>
    </xf>
    <xf numFmtId="0" fontId="13" fillId="10" borderId="7" xfId="0" applyFont="1" applyFill="1" applyBorder="1" applyAlignment="1">
      <alignment horizontal="center" vertical="center"/>
    </xf>
    <xf numFmtId="0" fontId="13" fillId="10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0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8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1" borderId="4" xfId="0" applyFill="1" applyBorder="1"/>
    <xf numFmtId="0" fontId="0" fillId="21" borderId="0" xfId="0" applyFill="1"/>
    <xf numFmtId="0" fontId="28" fillId="0" borderId="0" xfId="0" applyFont="1"/>
    <xf numFmtId="0" fontId="16" fillId="22" borderId="3" xfId="0" applyFont="1" applyFill="1" applyBorder="1" applyAlignment="1">
      <alignment horizontal="center" vertical="center"/>
    </xf>
    <xf numFmtId="0" fontId="8" fillId="22" borderId="20" xfId="0" applyFont="1" applyFill="1" applyBorder="1" applyAlignment="1">
      <alignment horizontal="center" vertical="center"/>
    </xf>
    <xf numFmtId="0" fontId="8" fillId="22" borderId="1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vertical="center"/>
    </xf>
    <xf numFmtId="0" fontId="8" fillId="22" borderId="19" xfId="0" applyFont="1" applyFill="1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vertical="center"/>
    </xf>
    <xf numFmtId="0" fontId="8" fillId="22" borderId="23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vertical="center"/>
    </xf>
    <xf numFmtId="0" fontId="16" fillId="23" borderId="4" xfId="0" applyFont="1" applyFill="1" applyBorder="1" applyAlignment="1">
      <alignment vertical="center"/>
    </xf>
    <xf numFmtId="0" fontId="18" fillId="23" borderId="4" xfId="0" applyFont="1" applyFill="1" applyBorder="1" applyAlignment="1">
      <alignment horizontal="center" vertical="center"/>
    </xf>
    <xf numFmtId="0" fontId="17" fillId="23" borderId="4" xfId="0" applyFont="1" applyFill="1" applyBorder="1" applyAlignment="1">
      <alignment horizontal="center" vertical="center" wrapText="1"/>
    </xf>
    <xf numFmtId="0" fontId="8" fillId="23" borderId="1" xfId="0" applyFont="1" applyFill="1" applyBorder="1" applyAlignment="1">
      <alignment vertical="center"/>
    </xf>
    <xf numFmtId="0" fontId="8" fillId="22" borderId="25" xfId="0" applyFont="1" applyFill="1" applyBorder="1" applyAlignment="1">
      <alignment horizontal="center" vertical="center"/>
    </xf>
    <xf numFmtId="0" fontId="8" fillId="22" borderId="12" xfId="0" applyFont="1" applyFill="1" applyBorder="1" applyAlignment="1">
      <alignment horizontal="center" vertical="center"/>
    </xf>
    <xf numFmtId="0" fontId="8" fillId="22" borderId="26" xfId="0" applyFont="1" applyFill="1" applyBorder="1" applyAlignment="1">
      <alignment horizontal="center" vertical="center"/>
    </xf>
    <xf numFmtId="0" fontId="8" fillId="22" borderId="6" xfId="0" applyFont="1" applyFill="1" applyBorder="1" applyAlignment="1">
      <alignment horizontal="center" vertical="center"/>
    </xf>
    <xf numFmtId="0" fontId="8" fillId="22" borderId="27" xfId="0" applyFont="1" applyFill="1" applyBorder="1" applyAlignment="1">
      <alignment horizontal="center" vertical="center"/>
    </xf>
    <xf numFmtId="0" fontId="16" fillId="22" borderId="21" xfId="0" applyFont="1" applyFill="1" applyBorder="1" applyAlignment="1">
      <alignment horizontal="center" vertical="center"/>
    </xf>
    <xf numFmtId="0" fontId="17" fillId="23" borderId="12" xfId="0" applyFont="1" applyFill="1" applyBorder="1" applyAlignment="1">
      <alignment horizontal="center" vertical="center" wrapText="1"/>
    </xf>
    <xf numFmtId="0" fontId="0" fillId="13" borderId="4" xfId="0" applyFill="1" applyBorder="1"/>
    <xf numFmtId="0" fontId="16" fillId="24" borderId="4" xfId="0" applyFont="1" applyFill="1" applyBorder="1" applyAlignment="1">
      <alignment horizontal="center" vertical="center"/>
    </xf>
    <xf numFmtId="0" fontId="0" fillId="24" borderId="4" xfId="0" applyFill="1" applyBorder="1"/>
    <xf numFmtId="0" fontId="13" fillId="24" borderId="15" xfId="0" applyFont="1" applyFill="1" applyBorder="1" applyAlignment="1">
      <alignment horizontal="center" vertical="center"/>
    </xf>
    <xf numFmtId="0" fontId="13" fillId="24" borderId="22" xfId="0" applyFont="1" applyFill="1" applyBorder="1" applyAlignment="1">
      <alignment horizontal="center" vertical="center"/>
    </xf>
    <xf numFmtId="0" fontId="16" fillId="10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1" borderId="15" xfId="0" applyFont="1" applyFill="1" applyBorder="1" applyAlignment="1">
      <alignment horizontal="center" vertical="center"/>
    </xf>
    <xf numFmtId="0" fontId="13" fillId="21" borderId="15" xfId="0" applyFont="1" applyFill="1" applyBorder="1" applyAlignment="1">
      <alignment horizontal="center" vertical="center"/>
    </xf>
    <xf numFmtId="0" fontId="16" fillId="21" borderId="4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3" fillId="25" borderId="4" xfId="0" applyFont="1" applyFill="1" applyBorder="1" applyAlignment="1">
      <alignment horizontal="center" vertical="center" wrapText="1"/>
    </xf>
    <xf numFmtId="0" fontId="12" fillId="26" borderId="4" xfId="0" applyFont="1" applyFill="1" applyBorder="1" applyAlignment="1">
      <alignment horizontal="center"/>
    </xf>
    <xf numFmtId="0" fontId="12" fillId="27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8" fillId="13" borderId="4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left" vertical="center"/>
    </xf>
    <xf numFmtId="0" fontId="16" fillId="13" borderId="1" xfId="0" applyFont="1" applyFill="1" applyBorder="1" applyAlignment="1">
      <alignment vertical="center"/>
    </xf>
    <xf numFmtId="0" fontId="14" fillId="13" borderId="4" xfId="0" applyFont="1" applyFill="1" applyBorder="1" applyAlignment="1">
      <alignment horizontal="left" vertical="center" wrapText="1"/>
    </xf>
    <xf numFmtId="0" fontId="13" fillId="13" borderId="4" xfId="0" applyFont="1" applyFill="1" applyBorder="1" applyAlignment="1">
      <alignment horizontal="left" vertical="center" wrapText="1"/>
    </xf>
    <xf numFmtId="0" fontId="13" fillId="13" borderId="0" xfId="0" applyFont="1" applyFill="1" applyAlignment="1">
      <alignment vertical="center"/>
    </xf>
    <xf numFmtId="0" fontId="16" fillId="13" borderId="8" xfId="0" applyFont="1" applyFill="1" applyBorder="1" applyAlignment="1">
      <alignment horizontal="right" vertical="center"/>
    </xf>
    <xf numFmtId="0" fontId="13" fillId="13" borderId="1" xfId="0" applyFont="1" applyFill="1" applyBorder="1" applyAlignment="1">
      <alignment vertical="center"/>
    </xf>
    <xf numFmtId="0" fontId="16" fillId="28" borderId="3" xfId="0" applyFont="1" applyFill="1" applyBorder="1" applyAlignment="1">
      <alignment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D2">
            <v>1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units"/>
      <sheetName val="awake_materials"/>
      <sheetName val="awake_material_habitats"/>
      <sheetName val="awake_material_habitats_manual"/>
      <sheetName val="limitbreak_materials"/>
      <sheetName val="ghosts_label"/>
      <sheetName val="コスト"/>
      <sheetName val="レベル"/>
      <sheetName val="経験値"/>
      <sheetName val="RC6SV"/>
      <sheetName val="ビット"/>
      <sheetName val="unit_exp_table"/>
      <sheetName val="unit_material_exp"/>
      <sheetName val="unit_soldprice_rate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ラベル</v>
          </cell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</row>
        <row r="2">
          <cell r="A2" t="str">
            <v>DropWizSSS</v>
          </cell>
          <cell r="B2">
            <v>0</v>
          </cell>
          <cell r="C2">
            <v>0</v>
          </cell>
          <cell r="D2" t="str">
            <v>-</v>
          </cell>
          <cell r="E2" t="str">
            <v>required_exp_250</v>
          </cell>
          <cell r="F2" t="str">
            <v>required_exp_250</v>
          </cell>
          <cell r="G2" t="str">
            <v>required_exp_300</v>
          </cell>
          <cell r="H2">
            <v>0</v>
          </cell>
          <cell r="I2">
            <v>0</v>
          </cell>
        </row>
        <row r="3">
          <cell r="A3" t="str">
            <v>DropWizSS</v>
          </cell>
          <cell r="B3">
            <v>0</v>
          </cell>
          <cell r="C3">
            <v>0</v>
          </cell>
          <cell r="D3" t="str">
            <v>required_exp_200</v>
          </cell>
          <cell r="E3" t="str">
            <v>required_exp_200</v>
          </cell>
          <cell r="F3" t="str">
            <v>required_exp_200</v>
          </cell>
          <cell r="G3" t="str">
            <v>required_exp_250</v>
          </cell>
          <cell r="H3">
            <v>0</v>
          </cell>
          <cell r="I3">
            <v>0</v>
          </cell>
        </row>
        <row r="4">
          <cell r="A4" t="str">
            <v>DropWizS</v>
          </cell>
          <cell r="B4">
            <v>0</v>
          </cell>
          <cell r="C4">
            <v>0</v>
          </cell>
          <cell r="D4" t="str">
            <v>required_exp_200</v>
          </cell>
          <cell r="E4" t="str">
            <v>required_exp_200</v>
          </cell>
          <cell r="F4" t="str">
            <v>required_exp_200</v>
          </cell>
          <cell r="G4" t="str">
            <v>required_exp_250</v>
          </cell>
          <cell r="H4">
            <v>0</v>
          </cell>
          <cell r="I4">
            <v>0</v>
          </cell>
        </row>
        <row r="5">
          <cell r="A5" t="str">
            <v>DropWizN</v>
          </cell>
          <cell r="B5">
            <v>0</v>
          </cell>
          <cell r="C5">
            <v>0</v>
          </cell>
          <cell r="D5" t="str">
            <v>required_exp_200</v>
          </cell>
          <cell r="E5" t="str">
            <v>required_exp_200</v>
          </cell>
          <cell r="F5" t="str">
            <v>required_exp_200</v>
          </cell>
          <cell r="G5" t="str">
            <v>required_exp_250</v>
          </cell>
          <cell r="H5">
            <v>0</v>
          </cell>
          <cell r="I5">
            <v>0</v>
          </cell>
        </row>
        <row r="6">
          <cell r="A6" t="str">
            <v>DropWizW</v>
          </cell>
          <cell r="B6">
            <v>0</v>
          </cell>
          <cell r="C6">
            <v>0</v>
          </cell>
          <cell r="D6" t="str">
            <v>required_exp_150</v>
          </cell>
          <cell r="E6" t="str">
            <v>required_exp_150</v>
          </cell>
          <cell r="F6" t="str">
            <v>-</v>
          </cell>
          <cell r="G6" t="str">
            <v>-</v>
          </cell>
          <cell r="H6">
            <v>0</v>
          </cell>
          <cell r="I6">
            <v>0</v>
          </cell>
        </row>
        <row r="7">
          <cell r="A7" t="str">
            <v>PremiumL</v>
          </cell>
          <cell r="B7" t="str">
            <v>-</v>
          </cell>
          <cell r="C7" t="str">
            <v>-</v>
          </cell>
          <cell r="D7" t="str">
            <v>-</v>
          </cell>
          <cell r="E7" t="str">
            <v>-</v>
          </cell>
          <cell r="F7" t="str">
            <v>-</v>
          </cell>
          <cell r="G7" t="str">
            <v>-</v>
          </cell>
          <cell r="H7" t="str">
            <v>-</v>
          </cell>
          <cell r="I7" t="str">
            <v>-</v>
          </cell>
        </row>
        <row r="8">
          <cell r="A8" t="str">
            <v>PremiumSSS</v>
          </cell>
          <cell r="B8" t="str">
            <v>-</v>
          </cell>
          <cell r="C8" t="str">
            <v>-</v>
          </cell>
          <cell r="D8" t="str">
            <v>-</v>
          </cell>
          <cell r="E8" t="str">
            <v>required_exp_250</v>
          </cell>
          <cell r="F8" t="str">
            <v>required_exp_250</v>
          </cell>
          <cell r="G8" t="str">
            <v>required_exp_300</v>
          </cell>
          <cell r="H8" t="str">
            <v>-</v>
          </cell>
          <cell r="I8" t="str">
            <v>-</v>
          </cell>
        </row>
        <row r="9">
          <cell r="A9" t="str">
            <v>PremiumSS</v>
          </cell>
          <cell r="B9" t="str">
            <v>-</v>
          </cell>
          <cell r="C9" t="str">
            <v>-</v>
          </cell>
          <cell r="D9" t="str">
            <v>-</v>
          </cell>
          <cell r="E9" t="str">
            <v>required_exp_200</v>
          </cell>
          <cell r="F9" t="str">
            <v>required_exp_200</v>
          </cell>
          <cell r="G9" t="str">
            <v>required_exp_250</v>
          </cell>
          <cell r="H9" t="str">
            <v>-</v>
          </cell>
          <cell r="I9" t="str">
            <v>-</v>
          </cell>
        </row>
        <row r="10">
          <cell r="A10" t="str">
            <v>PremiumS</v>
          </cell>
          <cell r="B10" t="str">
            <v>-</v>
          </cell>
          <cell r="C10" t="str">
            <v>-</v>
          </cell>
          <cell r="D10" t="str">
            <v>required_exp_200</v>
          </cell>
          <cell r="E10" t="str">
            <v>required_exp_200</v>
          </cell>
          <cell r="F10" t="str">
            <v>required_exp_200</v>
          </cell>
          <cell r="G10" t="str">
            <v>required_exp_250</v>
          </cell>
          <cell r="H10" t="str">
            <v>-</v>
          </cell>
          <cell r="I10" t="str">
            <v>-</v>
          </cell>
        </row>
        <row r="11">
          <cell r="A11" t="str">
            <v>PremiumN</v>
          </cell>
          <cell r="B11" t="str">
            <v>-</v>
          </cell>
          <cell r="C11" t="str">
            <v>-</v>
          </cell>
          <cell r="D11" t="str">
            <v>required_exp_200</v>
          </cell>
          <cell r="E11" t="str">
            <v>required_exp_200</v>
          </cell>
          <cell r="F11" t="str">
            <v>required_exp_200</v>
          </cell>
          <cell r="G11" t="str">
            <v>required_exp_250</v>
          </cell>
          <cell r="H11" t="str">
            <v>-</v>
          </cell>
          <cell r="I11" t="str">
            <v>-</v>
          </cell>
        </row>
        <row r="12">
          <cell r="A12" t="str">
            <v>PremiumW</v>
          </cell>
          <cell r="B12" t="str">
            <v>-</v>
          </cell>
          <cell r="C12" t="str">
            <v>-</v>
          </cell>
          <cell r="D12" t="str">
            <v>required_exp_150</v>
          </cell>
          <cell r="E12" t="str">
            <v>required_exp_150</v>
          </cell>
          <cell r="F12" t="str">
            <v>-</v>
          </cell>
          <cell r="G12" t="str">
            <v>-</v>
          </cell>
          <cell r="H12" t="str">
            <v>-</v>
          </cell>
          <cell r="I12" t="str">
            <v>-</v>
          </cell>
        </row>
        <row r="13">
          <cell r="A13" t="str">
            <v>Drop2S</v>
          </cell>
          <cell r="B13" t="str">
            <v>-</v>
          </cell>
          <cell r="C13" t="str">
            <v>-</v>
          </cell>
          <cell r="D13" t="str">
            <v>required_exp_200</v>
          </cell>
          <cell r="E13" t="str">
            <v>required_exp_200</v>
          </cell>
          <cell r="F13" t="str">
            <v>required_exp_200</v>
          </cell>
          <cell r="G13" t="str">
            <v>-</v>
          </cell>
          <cell r="H13" t="str">
            <v>-</v>
          </cell>
          <cell r="I13" t="str">
            <v>-</v>
          </cell>
        </row>
        <row r="14">
          <cell r="A14" t="str">
            <v>Drop2N</v>
          </cell>
          <cell r="B14" t="str">
            <v>-</v>
          </cell>
          <cell r="C14" t="str">
            <v>-</v>
          </cell>
          <cell r="D14" t="str">
            <v>required_exp_200</v>
          </cell>
          <cell r="E14" t="str">
            <v>required_exp_200</v>
          </cell>
          <cell r="F14" t="str">
            <v>required_exp_200</v>
          </cell>
          <cell r="G14" t="str">
            <v>-</v>
          </cell>
          <cell r="H14" t="str">
            <v>-</v>
          </cell>
          <cell r="I14" t="str">
            <v>-</v>
          </cell>
        </row>
        <row r="15">
          <cell r="A15" t="str">
            <v>Drop2W</v>
          </cell>
          <cell r="B15" t="str">
            <v>-</v>
          </cell>
          <cell r="C15" t="str">
            <v>-</v>
          </cell>
          <cell r="D15" t="str">
            <v>required_exp_150</v>
          </cell>
          <cell r="E15" t="str">
            <v>required_exp_150</v>
          </cell>
          <cell r="F15" t="str">
            <v>-</v>
          </cell>
          <cell r="G15" t="str">
            <v>-</v>
          </cell>
          <cell r="H15" t="str">
            <v>-</v>
          </cell>
          <cell r="I15" t="str">
            <v>-</v>
          </cell>
        </row>
        <row r="16">
          <cell r="A16" t="str">
            <v>Drop1S</v>
          </cell>
          <cell r="B16" t="str">
            <v>-</v>
          </cell>
          <cell r="C16" t="str">
            <v>required_exp_150</v>
          </cell>
          <cell r="D16" t="str">
            <v>required_exp_150</v>
          </cell>
          <cell r="E16" t="str">
            <v>required_exp_150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</row>
        <row r="17">
          <cell r="A17" t="str">
            <v>Drop1N</v>
          </cell>
          <cell r="B17" t="str">
            <v>required_exp_100</v>
          </cell>
          <cell r="C17" t="str">
            <v>required_exp_100</v>
          </cell>
          <cell r="D17" t="str">
            <v>required_exp_100</v>
          </cell>
          <cell r="E17" t="str">
            <v>-</v>
          </cell>
          <cell r="F17" t="str">
            <v>-</v>
          </cell>
          <cell r="G17" t="str">
            <v>-</v>
          </cell>
          <cell r="H17" t="str">
            <v>-</v>
          </cell>
          <cell r="I17" t="str">
            <v>-</v>
          </cell>
        </row>
        <row r="18">
          <cell r="A18" t="str">
            <v>Drop1W</v>
          </cell>
          <cell r="B18" t="str">
            <v>required_exp_70</v>
          </cell>
          <cell r="C18" t="str">
            <v>required_exp_70</v>
          </cell>
          <cell r="D18" t="str">
            <v>-</v>
          </cell>
          <cell r="E18" t="str">
            <v>-</v>
          </cell>
          <cell r="F18" t="str">
            <v>-</v>
          </cell>
          <cell r="G18" t="str">
            <v>-</v>
          </cell>
          <cell r="H18" t="str">
            <v>-</v>
          </cell>
          <cell r="I18" t="str">
            <v>-</v>
          </cell>
        </row>
        <row r="19">
          <cell r="A19" t="str">
            <v>Drop1T</v>
          </cell>
          <cell r="B19" t="str">
            <v>required_exp_50</v>
          </cell>
          <cell r="C19" t="str">
            <v>required_exp_50</v>
          </cell>
          <cell r="D19" t="str">
            <v>-</v>
          </cell>
          <cell r="E19" t="str">
            <v>-</v>
          </cell>
          <cell r="F19" t="str">
            <v>-</v>
          </cell>
          <cell r="G19" t="str">
            <v>-</v>
          </cell>
          <cell r="H19" t="str">
            <v>-</v>
          </cell>
          <cell r="I19" t="str">
            <v>-</v>
          </cell>
        </row>
        <row r="20">
          <cell r="A20" t="str">
            <v>Material</v>
          </cell>
          <cell r="B20" t="str">
            <v>NULL</v>
          </cell>
          <cell r="C20" t="str">
            <v>NULL</v>
          </cell>
          <cell r="D20" t="str">
            <v>NULL</v>
          </cell>
          <cell r="E20" t="str">
            <v>NULL</v>
          </cell>
          <cell r="F20" t="str">
            <v>NULL</v>
          </cell>
          <cell r="G20" t="str">
            <v>NULL</v>
          </cell>
          <cell r="H20" t="str">
            <v>NULL</v>
          </cell>
          <cell r="I20" t="str">
            <v>NULL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G28" sqref="G2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1" t="s">
        <v>125</v>
      </c>
      <c r="B1" s="101" t="s">
        <v>116</v>
      </c>
      <c r="C1" s="101" t="s">
        <v>117</v>
      </c>
      <c r="D1" s="101" t="s">
        <v>118</v>
      </c>
      <c r="E1" s="101" t="s">
        <v>119</v>
      </c>
      <c r="F1" s="101" t="s">
        <v>120</v>
      </c>
      <c r="G1" s="101" t="s">
        <v>121</v>
      </c>
      <c r="H1" s="101"/>
      <c r="I1" s="101"/>
      <c r="J1" s="101"/>
      <c r="K1" s="101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</row>
    <row r="2" spans="1:29" x14ac:dyDescent="0.15">
      <c r="A2" s="103" t="s">
        <v>343</v>
      </c>
      <c r="B2" s="103" t="s">
        <v>129</v>
      </c>
      <c r="C2" s="160" t="s">
        <v>336</v>
      </c>
      <c r="D2" s="103" t="s">
        <v>128</v>
      </c>
      <c r="E2" s="102" t="str">
        <f>B2&amp;C2&amp;D2</f>
        <v>units_eventmaterial01.tmp</v>
      </c>
      <c r="F2" s="103" t="s">
        <v>124</v>
      </c>
      <c r="G2" s="57" t="s">
        <v>17</v>
      </c>
      <c r="H2" s="58" t="s">
        <v>96</v>
      </c>
      <c r="I2" s="58" t="s">
        <v>1</v>
      </c>
      <c r="J2" s="58" t="s">
        <v>3</v>
      </c>
      <c r="K2" s="58" t="s">
        <v>2</v>
      </c>
      <c r="L2" s="58" t="s">
        <v>98</v>
      </c>
      <c r="M2" s="58" t="s">
        <v>20</v>
      </c>
      <c r="N2" s="58" t="s">
        <v>103</v>
      </c>
      <c r="O2" s="58" t="s">
        <v>101</v>
      </c>
      <c r="P2" s="58" t="s">
        <v>39</v>
      </c>
      <c r="Q2" s="58" t="s">
        <v>57</v>
      </c>
      <c r="R2" s="58" t="s">
        <v>314</v>
      </c>
      <c r="S2" s="103"/>
      <c r="T2" s="103"/>
      <c r="U2" s="103"/>
      <c r="V2" s="103"/>
      <c r="W2" s="103"/>
    </row>
    <row r="3" spans="1:29" x14ac:dyDescent="0.15">
      <c r="A3" s="103" t="s">
        <v>343</v>
      </c>
      <c r="B3" s="103" t="s">
        <v>291</v>
      </c>
      <c r="C3" s="160" t="s">
        <v>336</v>
      </c>
      <c r="D3" s="103" t="s">
        <v>128</v>
      </c>
      <c r="E3" s="102" t="str">
        <f>B3&amp;C3&amp;D3</f>
        <v>fork_awake_units_eventmaterial01.tmp</v>
      </c>
      <c r="F3" s="103" t="s">
        <v>292</v>
      </c>
      <c r="G3" s="57" t="s">
        <v>17</v>
      </c>
      <c r="H3" s="58" t="s">
        <v>293</v>
      </c>
      <c r="I3" s="58" t="s">
        <v>294</v>
      </c>
      <c r="J3" s="58" t="s">
        <v>295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</row>
    <row r="4" spans="1:29" x14ac:dyDescent="0.15">
      <c r="A4" s="103" t="s">
        <v>343</v>
      </c>
      <c r="B4" s="103" t="s">
        <v>130</v>
      </c>
      <c r="C4" s="160" t="s">
        <v>336</v>
      </c>
      <c r="D4" s="103" t="s">
        <v>128</v>
      </c>
      <c r="E4" s="102" t="str">
        <f>B4&amp;C4&amp;D4</f>
        <v>awake_materials_eventmaterial01.tmp</v>
      </c>
      <c r="F4" s="103" t="s">
        <v>123</v>
      </c>
      <c r="G4" s="104" t="s">
        <v>38</v>
      </c>
      <c r="H4" s="105" t="s">
        <v>36</v>
      </c>
      <c r="I4" s="105" t="s">
        <v>37</v>
      </c>
      <c r="J4" s="107" t="s">
        <v>126</v>
      </c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</row>
    <row r="5" spans="1:29" x14ac:dyDescent="0.15">
      <c r="A5" s="103" t="s">
        <v>343</v>
      </c>
      <c r="B5" s="103" t="s">
        <v>290</v>
      </c>
      <c r="C5" s="160" t="s">
        <v>336</v>
      </c>
      <c r="D5" s="103" t="s">
        <v>128</v>
      </c>
      <c r="E5" s="102" t="str">
        <f>B5&amp;C5&amp;D5</f>
        <v>fork_awake_materials_eventmaterial01.tmp</v>
      </c>
      <c r="F5" s="103" t="s">
        <v>123</v>
      </c>
      <c r="G5" s="174" t="s">
        <v>296</v>
      </c>
      <c r="H5" s="174" t="s">
        <v>297</v>
      </c>
      <c r="I5" s="174" t="s">
        <v>36</v>
      </c>
      <c r="J5" s="174" t="s">
        <v>37</v>
      </c>
      <c r="K5" s="174" t="s">
        <v>298</v>
      </c>
      <c r="L5" s="174" t="s">
        <v>299</v>
      </c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</row>
    <row r="6" spans="1:29" x14ac:dyDescent="0.15">
      <c r="A6" s="103" t="s">
        <v>343</v>
      </c>
      <c r="B6" s="103" t="s">
        <v>131</v>
      </c>
      <c r="C6" s="160" t="s">
        <v>336</v>
      </c>
      <c r="D6" s="103" t="s">
        <v>132</v>
      </c>
      <c r="E6" s="102" t="str">
        <f t="shared" ref="E6" si="0">B6&amp;C6&amp;D6</f>
        <v>unit_levels_calc_eventmaterial01.tmp</v>
      </c>
      <c r="F6" s="103" t="s">
        <v>122</v>
      </c>
      <c r="G6" s="53" t="s">
        <v>17</v>
      </c>
      <c r="H6" s="54" t="s">
        <v>2</v>
      </c>
      <c r="I6" s="55" t="s">
        <v>79</v>
      </c>
      <c r="J6" s="55" t="s">
        <v>80</v>
      </c>
      <c r="K6" s="55" t="s">
        <v>81</v>
      </c>
      <c r="L6" s="55" t="s">
        <v>82</v>
      </c>
      <c r="M6" s="55" t="s">
        <v>87</v>
      </c>
      <c r="N6" s="55" t="s">
        <v>88</v>
      </c>
      <c r="O6" s="55" t="s">
        <v>89</v>
      </c>
      <c r="P6" s="55" t="s">
        <v>90</v>
      </c>
      <c r="Q6" s="55" t="s">
        <v>91</v>
      </c>
      <c r="R6" s="55" t="s">
        <v>94</v>
      </c>
      <c r="S6" s="55" t="s">
        <v>92</v>
      </c>
      <c r="T6" s="55" t="s">
        <v>93</v>
      </c>
      <c r="U6" s="55" t="s">
        <v>83</v>
      </c>
      <c r="V6" s="55" t="s">
        <v>84</v>
      </c>
      <c r="W6" s="55" t="s">
        <v>85</v>
      </c>
    </row>
    <row r="7" spans="1:29" x14ac:dyDescent="0.15">
      <c r="A7" s="103" t="s">
        <v>343</v>
      </c>
      <c r="B7" s="103" t="s">
        <v>143</v>
      </c>
      <c r="C7" s="160" t="s">
        <v>336</v>
      </c>
      <c r="D7" s="103" t="s">
        <v>144</v>
      </c>
      <c r="E7" s="102" t="str">
        <f>B7&amp;C7&amp;D7</f>
        <v>unit_skills_data_eventmaterial01.tmp</v>
      </c>
      <c r="F7" s="103" t="s">
        <v>145</v>
      </c>
      <c r="G7" s="110" t="s">
        <v>20</v>
      </c>
      <c r="H7" s="110" t="s">
        <v>146</v>
      </c>
      <c r="I7" s="110" t="s">
        <v>2</v>
      </c>
      <c r="J7" s="110" t="s">
        <v>147</v>
      </c>
      <c r="K7" s="110" t="s">
        <v>148</v>
      </c>
      <c r="L7" s="110" t="s">
        <v>4</v>
      </c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</row>
    <row r="8" spans="1:29" x14ac:dyDescent="0.15">
      <c r="A8" s="103" t="s">
        <v>343</v>
      </c>
      <c r="B8" s="103" t="s">
        <v>149</v>
      </c>
      <c r="C8" s="160" t="s">
        <v>336</v>
      </c>
      <c r="D8" s="103" t="s">
        <v>128</v>
      </c>
      <c r="E8" s="102" t="str">
        <f>B8&amp;C8&amp;D8</f>
        <v>unit_skills_i18n_eventmaterial01.tmp</v>
      </c>
      <c r="F8" s="103" t="s">
        <v>145</v>
      </c>
      <c r="G8" s="110" t="s">
        <v>150</v>
      </c>
      <c r="H8" s="110" t="s">
        <v>134</v>
      </c>
      <c r="I8" s="110" t="s">
        <v>151</v>
      </c>
      <c r="J8" s="110" t="s">
        <v>152</v>
      </c>
      <c r="K8" s="106"/>
      <c r="L8" s="106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</row>
    <row r="9" spans="1:29" x14ac:dyDescent="0.15">
      <c r="A9" s="103" t="s">
        <v>343</v>
      </c>
      <c r="B9" s="103" t="s">
        <v>153</v>
      </c>
      <c r="C9" s="160" t="s">
        <v>336</v>
      </c>
      <c r="D9" s="103" t="s">
        <v>154</v>
      </c>
      <c r="E9" s="102" t="str">
        <f>B9&amp;C9&amp;D9</f>
        <v>crash_skills_data_eventmaterial01.tmp</v>
      </c>
      <c r="F9" s="103" t="s">
        <v>155</v>
      </c>
      <c r="G9" s="110" t="s">
        <v>156</v>
      </c>
      <c r="H9" s="110" t="s">
        <v>148</v>
      </c>
      <c r="I9" s="110" t="s">
        <v>4</v>
      </c>
      <c r="J9" s="106"/>
      <c r="K9" s="106"/>
      <c r="L9" s="106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</row>
    <row r="10" spans="1:29" x14ac:dyDescent="0.15">
      <c r="A10" s="103" t="s">
        <v>343</v>
      </c>
      <c r="B10" s="103" t="s">
        <v>157</v>
      </c>
      <c r="C10" s="160" t="s">
        <v>336</v>
      </c>
      <c r="D10" s="103" t="s">
        <v>158</v>
      </c>
      <c r="E10" s="102" t="str">
        <f t="shared" ref="E10" si="1">B10&amp;C10&amp;D10</f>
        <v>crash_skills_i18n_eventmaterial01.tmp</v>
      </c>
      <c r="F10" s="103" t="s">
        <v>155</v>
      </c>
      <c r="G10" s="110" t="s">
        <v>159</v>
      </c>
      <c r="H10" s="110" t="s">
        <v>160</v>
      </c>
      <c r="I10" s="110" t="s">
        <v>161</v>
      </c>
      <c r="J10" s="110" t="s">
        <v>162</v>
      </c>
      <c r="K10" s="111"/>
      <c r="L10" s="111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</row>
    <row r="11" spans="1:29" x14ac:dyDescent="0.15">
      <c r="A11" s="103" t="s">
        <v>343</v>
      </c>
      <c r="B11" s="106" t="s">
        <v>135</v>
      </c>
      <c r="C11" s="160" t="s">
        <v>336</v>
      </c>
      <c r="D11" s="103" t="s">
        <v>158</v>
      </c>
      <c r="E11" s="102" t="str">
        <f t="shared" ref="E11:E12" si="2">B11&amp;C11&amp;D11</f>
        <v>unit_serifs_data_eventmaterial01.tmp</v>
      </c>
      <c r="F11" s="106" t="s">
        <v>137</v>
      </c>
      <c r="G11" s="109" t="s">
        <v>138</v>
      </c>
      <c r="H11" s="110" t="s">
        <v>139</v>
      </c>
      <c r="I11" s="110" t="s">
        <v>133</v>
      </c>
      <c r="J11" s="108" t="s">
        <v>191</v>
      </c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</row>
    <row r="12" spans="1:29" x14ac:dyDescent="0.15">
      <c r="A12" s="103" t="s">
        <v>343</v>
      </c>
      <c r="B12" s="106" t="s">
        <v>136</v>
      </c>
      <c r="C12" s="160" t="s">
        <v>336</v>
      </c>
      <c r="D12" s="103" t="s">
        <v>158</v>
      </c>
      <c r="E12" s="102" t="str">
        <f t="shared" si="2"/>
        <v>unit_serifs_i18n_eventmaterial01.tmp</v>
      </c>
      <c r="F12" s="106" t="s">
        <v>137</v>
      </c>
      <c r="G12" s="109" t="s">
        <v>140</v>
      </c>
      <c r="H12" s="110" t="s">
        <v>141</v>
      </c>
      <c r="I12" s="110" t="s">
        <v>142</v>
      </c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</row>
    <row r="13" spans="1:29" x14ac:dyDescent="0.15">
      <c r="A13" s="103" t="s">
        <v>184</v>
      </c>
      <c r="B13" s="103" t="s">
        <v>313</v>
      </c>
      <c r="C13" s="160" t="s">
        <v>336</v>
      </c>
      <c r="D13" s="103" t="s">
        <v>253</v>
      </c>
      <c r="E13" s="102" t="str">
        <f>B13&amp;C13&amp;D13</f>
        <v>abilities_tmp_eventmaterial01.tmp</v>
      </c>
      <c r="F13" s="103" t="s">
        <v>254</v>
      </c>
      <c r="G13" s="161" t="s">
        <v>255</v>
      </c>
      <c r="H13" s="161" t="s">
        <v>256</v>
      </c>
      <c r="I13" s="161" t="s">
        <v>257</v>
      </c>
      <c r="J13" s="161"/>
      <c r="K13" s="162"/>
      <c r="L13" s="103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</row>
    <row r="14" spans="1:29" x14ac:dyDescent="0.15">
      <c r="A14" s="103" t="s">
        <v>184</v>
      </c>
      <c r="B14" s="103" t="s">
        <v>258</v>
      </c>
      <c r="C14" s="160" t="s">
        <v>336</v>
      </c>
      <c r="D14" s="103" t="s">
        <v>128</v>
      </c>
      <c r="E14" s="102" t="str">
        <f>B14&amp;C14&amp;D14</f>
        <v>abilities_i18n_eventmaterial01.tmp</v>
      </c>
      <c r="F14" s="103" t="s">
        <v>259</v>
      </c>
      <c r="G14" s="161" t="s">
        <v>255</v>
      </c>
      <c r="H14" s="161" t="s">
        <v>141</v>
      </c>
      <c r="I14" s="161" t="s">
        <v>260</v>
      </c>
      <c r="J14" s="161" t="s">
        <v>152</v>
      </c>
      <c r="K14" s="162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</row>
    <row r="15" spans="1:29" x14ac:dyDescent="0.15">
      <c r="A15" s="103" t="s">
        <v>184</v>
      </c>
      <c r="B15" s="103" t="s">
        <v>261</v>
      </c>
      <c r="C15" s="160" t="s">
        <v>336</v>
      </c>
      <c r="D15" s="103" t="s">
        <v>128</v>
      </c>
      <c r="E15" s="102" t="str">
        <f>B15&amp;C15&amp;D15</f>
        <v>unit_abilities_eventmaterial01.tmp</v>
      </c>
      <c r="F15" s="103" t="s">
        <v>262</v>
      </c>
      <c r="G15" s="161" t="s">
        <v>138</v>
      </c>
      <c r="H15" s="163" t="s">
        <v>263</v>
      </c>
      <c r="I15" s="163" t="s">
        <v>264</v>
      </c>
      <c r="J15" s="164" t="s">
        <v>265</v>
      </c>
      <c r="K15" s="161" t="s">
        <v>266</v>
      </c>
      <c r="L15" s="103"/>
      <c r="M15" s="103"/>
      <c r="N15" s="103"/>
      <c r="O15" s="103"/>
      <c r="P15" s="103"/>
      <c r="Q15" s="103"/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6"/>
  <sheetViews>
    <sheetView showGridLines="0" workbookViewId="0">
      <pane xSplit="9" ySplit="1" topLeftCell="BF2" activePane="bottomRight" state="frozen"/>
      <selection pane="topRight" activeCell="J1" sqref="J1"/>
      <selection pane="bottomLeft" activeCell="A3" sqref="A3"/>
      <selection pane="bottomRight" activeCell="BF19" sqref="BF19"/>
    </sheetView>
  </sheetViews>
  <sheetFormatPr baseColWidth="12" defaultColWidth="8.83203125" defaultRowHeight="21" customHeight="1" outlineLevelCol="1" x14ac:dyDescent="0.15"/>
  <cols>
    <col min="1" max="1" width="12.83203125" style="10" customWidth="1"/>
    <col min="2" max="2" width="21.5" style="11" bestFit="1" customWidth="1" collapsed="1"/>
    <col min="3" max="3" width="23.6640625" style="11" hidden="1" customWidth="1" outlineLevel="1"/>
    <col min="4" max="4" width="8.6640625" style="11" hidden="1" customWidth="1" outlineLevel="1"/>
    <col min="5" max="5" width="8" style="11" hidden="1" customWidth="1" outlineLevel="1"/>
    <col min="6" max="6" width="7.1640625" style="11" hidden="1" customWidth="1" outlineLevel="1"/>
    <col min="7" max="7" width="9.6640625" style="11" bestFit="1" customWidth="1"/>
    <col min="8" max="8" width="13.6640625" style="11" bestFit="1" customWidth="1"/>
    <col min="9" max="9" width="10.5" style="11" bestFit="1" customWidth="1" collapsed="1"/>
    <col min="10" max="10" width="59.5" style="11" hidden="1" customWidth="1" outlineLevel="1"/>
    <col min="11" max="13" width="13.6640625" style="11" hidden="1" customWidth="1" outlineLevel="1"/>
    <col min="14" max="14" width="10" style="11" bestFit="1" customWidth="1"/>
    <col min="15" max="15" width="13.5" style="11" bestFit="1" customWidth="1"/>
    <col min="16" max="16" width="13.5" style="11" customWidth="1"/>
    <col min="17" max="17" width="18.83203125" style="11" bestFit="1" customWidth="1"/>
    <col min="18" max="18" width="14.1640625" style="11" customWidth="1"/>
    <col min="19" max="19" width="12.33203125" style="11" customWidth="1" outlineLevel="1"/>
    <col min="20" max="22" width="13.6640625" style="11" customWidth="1" outlineLevel="1"/>
    <col min="23" max="23" width="22.83203125" style="10" bestFit="1" customWidth="1"/>
    <col min="24" max="24" width="14.1640625" style="11" customWidth="1"/>
    <col min="25" max="25" width="22" style="11" customWidth="1" outlineLevel="1"/>
    <col min="26" max="26" width="14.1640625" style="11" customWidth="1" outlineLevel="1"/>
    <col min="27" max="27" width="12.33203125" style="11" customWidth="1" outlineLevel="1"/>
    <col min="28" max="30" width="13.6640625" style="11" customWidth="1" outlineLevel="1"/>
    <col min="31" max="31" width="20.1640625" style="10" bestFit="1" customWidth="1"/>
    <col min="32" max="32" width="18.83203125" style="11" bestFit="1" customWidth="1"/>
    <col min="33" max="34" width="18.83203125" style="11" customWidth="1"/>
    <col min="35" max="35" width="15.1640625" style="11" customWidth="1"/>
    <col min="36" max="36" width="13.1640625" style="10" customWidth="1"/>
    <col min="37" max="37" width="15.33203125" style="11" bestFit="1" customWidth="1"/>
    <col min="38" max="38" width="13.33203125" style="11" bestFit="1" customWidth="1"/>
    <col min="39" max="39" width="15.33203125" style="12" bestFit="1" customWidth="1"/>
    <col min="40" max="40" width="14" style="12" bestFit="1" customWidth="1"/>
    <col min="41" max="41" width="16" style="40" bestFit="1" customWidth="1"/>
    <col min="42" max="42" width="14.33203125" style="13" bestFit="1" customWidth="1"/>
    <col min="43" max="43" width="20.83203125" style="11" customWidth="1"/>
    <col min="44" max="44" width="80.6640625" style="11" customWidth="1" outlineLevel="1"/>
    <col min="45" max="45" width="6.83203125" style="11" customWidth="1"/>
    <col min="46" max="46" width="15.6640625" style="10" bestFit="1" customWidth="1"/>
    <col min="47" max="47" width="43.6640625" style="11" customWidth="1"/>
    <col min="48" max="48" width="43.6640625" style="11" customWidth="1" outlineLevel="1"/>
    <col min="49" max="49" width="6.83203125" style="11" customWidth="1"/>
    <col min="50" max="50" width="11.33203125" style="11" bestFit="1" customWidth="1"/>
    <col min="51" max="54" width="8.33203125" style="10" customWidth="1"/>
    <col min="55" max="56" width="12" style="11" bestFit="1" customWidth="1"/>
    <col min="57" max="57" width="14.33203125" style="11" customWidth="1" outlineLevel="1"/>
    <col min="58" max="58" width="16.1640625" style="11" customWidth="1" outlineLevel="1"/>
    <col min="59" max="62" width="11.83203125" style="11" customWidth="1"/>
    <col min="63" max="66" width="11.83203125" style="10" customWidth="1"/>
    <col min="67" max="67" width="12.83203125" style="10" bestFit="1" customWidth="1"/>
    <col min="68" max="68" width="12.6640625" style="10" bestFit="1" customWidth="1"/>
    <col min="69" max="69" width="13.5" style="10" bestFit="1" customWidth="1"/>
    <col min="70" max="16384" width="8.83203125" style="10"/>
  </cols>
  <sheetData>
    <row r="1" spans="1:70" ht="21" customHeight="1" x14ac:dyDescent="0.15">
      <c r="A1" s="75" t="s">
        <v>108</v>
      </c>
      <c r="B1" s="77" t="s">
        <v>44</v>
      </c>
      <c r="C1" s="80" t="s">
        <v>27</v>
      </c>
      <c r="D1" s="80" t="s">
        <v>30</v>
      </c>
      <c r="E1" s="80" t="s">
        <v>28</v>
      </c>
      <c r="F1" s="80" t="s">
        <v>29</v>
      </c>
      <c r="G1" s="75" t="s">
        <v>1</v>
      </c>
      <c r="H1" s="78" t="s">
        <v>19</v>
      </c>
      <c r="I1" s="79" t="s">
        <v>0</v>
      </c>
      <c r="J1" s="81" t="s">
        <v>49</v>
      </c>
      <c r="K1" s="81" t="s">
        <v>48</v>
      </c>
      <c r="L1" s="81" t="s">
        <v>50</v>
      </c>
      <c r="M1" s="81" t="s">
        <v>51</v>
      </c>
      <c r="N1" s="75" t="s">
        <v>3</v>
      </c>
      <c r="O1" s="82" t="s">
        <v>2</v>
      </c>
      <c r="P1" s="75" t="s">
        <v>97</v>
      </c>
      <c r="Q1" s="83" t="s">
        <v>18</v>
      </c>
      <c r="R1" s="74" t="s">
        <v>52</v>
      </c>
      <c r="S1" s="84" t="s">
        <v>23</v>
      </c>
      <c r="T1" s="84" t="s">
        <v>24</v>
      </c>
      <c r="U1" s="84" t="s">
        <v>26</v>
      </c>
      <c r="V1" s="84" t="s">
        <v>25</v>
      </c>
      <c r="W1" s="79" t="s">
        <v>32</v>
      </c>
      <c r="X1" s="80" t="s">
        <v>53</v>
      </c>
      <c r="Y1" s="79" t="s">
        <v>33</v>
      </c>
      <c r="Z1" s="80" t="s">
        <v>53</v>
      </c>
      <c r="AA1" s="81" t="s">
        <v>23</v>
      </c>
      <c r="AB1" s="81" t="s">
        <v>24</v>
      </c>
      <c r="AC1" s="81" t="s">
        <v>26</v>
      </c>
      <c r="AD1" s="81" t="s">
        <v>25</v>
      </c>
      <c r="AE1" s="85" t="s">
        <v>100</v>
      </c>
      <c r="AF1" s="74" t="s">
        <v>45</v>
      </c>
      <c r="AG1" s="86" t="s">
        <v>58</v>
      </c>
      <c r="AH1" s="74" t="s">
        <v>45</v>
      </c>
      <c r="AI1" s="86" t="s">
        <v>46</v>
      </c>
      <c r="AJ1" s="76" t="s">
        <v>67</v>
      </c>
      <c r="AK1" s="74" t="s">
        <v>21</v>
      </c>
      <c r="AL1" s="87" t="s">
        <v>68</v>
      </c>
      <c r="AM1" s="88" t="s">
        <v>66</v>
      </c>
      <c r="AN1" s="88" t="s">
        <v>69</v>
      </c>
      <c r="AO1" s="89" t="s">
        <v>31</v>
      </c>
      <c r="AP1" s="85" t="s">
        <v>20</v>
      </c>
      <c r="AQ1" s="90" t="s">
        <v>113</v>
      </c>
      <c r="AR1" s="90" t="s">
        <v>107</v>
      </c>
      <c r="AS1" s="74" t="s">
        <v>104</v>
      </c>
      <c r="AT1" s="85" t="s">
        <v>102</v>
      </c>
      <c r="AU1" s="74" t="s">
        <v>110</v>
      </c>
      <c r="AV1" s="90" t="s">
        <v>107</v>
      </c>
      <c r="AW1" s="74" t="s">
        <v>104</v>
      </c>
      <c r="AX1" s="80" t="s">
        <v>4</v>
      </c>
      <c r="AY1" s="91" t="s">
        <v>54</v>
      </c>
      <c r="AZ1" s="91" t="s">
        <v>55</v>
      </c>
      <c r="BA1" s="91" t="s">
        <v>114</v>
      </c>
      <c r="BB1" s="91" t="s">
        <v>56</v>
      </c>
      <c r="BC1" s="5" t="s">
        <v>22</v>
      </c>
      <c r="BD1" s="94" t="s">
        <v>34</v>
      </c>
      <c r="BE1" s="92" t="s">
        <v>5</v>
      </c>
      <c r="BF1" s="93" t="s">
        <v>6</v>
      </c>
      <c r="BG1" s="95" t="s">
        <v>70</v>
      </c>
      <c r="BH1" s="95" t="s">
        <v>71</v>
      </c>
      <c r="BI1" s="95" t="s">
        <v>72</v>
      </c>
      <c r="BJ1" s="95" t="s">
        <v>73</v>
      </c>
      <c r="BK1" s="96" t="s">
        <v>74</v>
      </c>
      <c r="BL1" s="96" t="s">
        <v>95</v>
      </c>
      <c r="BM1" s="96" t="s">
        <v>75</v>
      </c>
      <c r="BN1" s="96" t="s">
        <v>76</v>
      </c>
      <c r="BO1" s="97" t="s">
        <v>77</v>
      </c>
      <c r="BP1" s="98" t="s">
        <v>78</v>
      </c>
      <c r="BQ1" s="98" t="s">
        <v>86</v>
      </c>
      <c r="BR1" s="8" t="s">
        <v>315</v>
      </c>
    </row>
    <row r="2" spans="1:70" ht="26" customHeight="1" x14ac:dyDescent="0.15">
      <c r="A2" s="179">
        <v>1414</v>
      </c>
      <c r="B2" s="51" t="str">
        <f ca="1">VLOOKUP($A2,OFFSET([1]characters!$A$1,0,0,COUNTA([1]characters!$A:$A),MATCH(B$1,[1]characters!$1:$1,0)-MATCH($A$1,[1]characters!$1:$1,0)+1),MATCH(B$1,[1]characters!$1:$1,0)-MATCH($A$1,[1]characters!$1:$1,0)+1,FALSE)</f>
        <v>炎のミリオンダック 7</v>
      </c>
      <c r="C2" s="51" t="str">
        <f ca="1">VLOOKUP($A2,OFFSET([1]characters!$A$1,0,0,COUNTA([1]characters!$A:$A),MATCH(C$1,[1]characters!$1:$1,0)-MATCH($A$1,[1]characters!$1:$1,0)+1),MATCH(C$1,[1]characters!$1:$1,0)-MATCH($A$1,[1]characters!$1:$1,0)+1,FALSE)</f>
        <v>未定</v>
      </c>
      <c r="D2" s="51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1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1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1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1" t="str">
        <f ca="1">VLOOKUP($A2,OFFSET([1]characters!$A$1,0,0,COUNTA([1]characters!$A:$A),MATCH(H$1,[1]characters!$1:$1,0)-MATCH($A$1,[1]characters!$1:$1,0)+1),MATCH(H$1,[1]characters!$1:$1,0)-MATCH($A$1,[1]characters!$1:$1,0)+1,FALSE)</f>
        <v>Material</v>
      </c>
      <c r="I2" s="51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9">
        <f ca="1">VLOOKUP(I2,[1]属性!$A:$E,2,FALSE)</f>
        <v>1</v>
      </c>
      <c r="K2" s="9">
        <f ca="1">VLOOKUP(I2,[1]属性!$A:$E,3,FALSE)</f>
        <v>1.02</v>
      </c>
      <c r="L2" s="9">
        <f ca="1">VLOOKUP(I2,[1]属性!$A:$E,4,FALSE)</f>
        <v>1</v>
      </c>
      <c r="M2" s="9">
        <f ca="1">VLOOKUP(I2,[1]属性!$A:$E,5,FALSE)</f>
        <v>0.98</v>
      </c>
      <c r="N2" s="9">
        <f ca="1">INDEX(コスト!$A$1:$I$21,MATCH(H2,コスト!$A$1:$A$21,FALSE),MATCH(G2,コスト!$A$1:$I$1,FALSE))</f>
        <v>99</v>
      </c>
      <c r="O2" s="9">
        <f ca="1">INDEX(レベル!$A$1:$I$22,MATCH(H2,レベル!$A$1:$A$22,FALSE),MATCH(G2,レベル!$A$1:$I$1,FALSE))</f>
        <v>1</v>
      </c>
      <c r="P2" s="184">
        <v>1</v>
      </c>
      <c r="Q2" s="51" t="str">
        <f ca="1">VLOOKUP($A2,OFFSET([1]characters!$A$1,0,0,COUNTA([1]characters!$A:$A),MATCH(Q$1,[1]characters!$1:$1,0)-MATCH($A$1,[1]characters!$1:$1,0)+1),MATCH(Q$1,[1]characters!$1:$1,0)-MATCH($A$1,[1]characters!$1:$1,0)+1,FALSE)</f>
        <v>exp</v>
      </c>
      <c r="R2" s="5" t="str">
        <f ca="1">VLOOKUP(Q2,[1]character_type_i18n!$A:$H,3,FALSE)</f>
        <v>強化素材タイプ</v>
      </c>
      <c r="S2" s="9">
        <f ca="1">VLOOKUP(Q2,[1]character_type_i18n!$A:$H,4,FALSE)</f>
        <v>0.1</v>
      </c>
      <c r="T2" s="9">
        <f ca="1">VLOOKUP(Q2,[1]character_type_i18n!$A:$H,5,FALSE)</f>
        <v>0.05</v>
      </c>
      <c r="U2" s="9">
        <f ca="1">VLOOKUP(Q2,[1]character_type_i18n!$A:$H,6,FALSE)</f>
        <v>1</v>
      </c>
      <c r="V2" s="9">
        <f ca="1">VLOOKUP(Q2,[1]character_type_i18n!$A:$H,7,FALSE)</f>
        <v>0.05</v>
      </c>
      <c r="W2" s="51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1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9">
        <f ca="1">VLOOKUP(W2,[1]character_tribe_i18n!$A:$H,4,FALSE)</f>
        <v>1</v>
      </c>
      <c r="AB2" s="9">
        <f ca="1">VLOOKUP(W2,[1]character_tribe_i18n!$A:$H,5,FALSE)</f>
        <v>1</v>
      </c>
      <c r="AC2" s="9">
        <f ca="1">VLOOKUP(W2,[1]character_tribe_i18n!$A:$H,6,FALSE)</f>
        <v>1</v>
      </c>
      <c r="AD2" s="9">
        <f ca="1">VLOOKUP(W2,[1]character_tribe_i18n!$A:$H,7,FALSE)</f>
        <v>1</v>
      </c>
      <c r="AE2" s="180" t="s">
        <v>183</v>
      </c>
      <c r="AF2" s="56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0">
        <v>1414</v>
      </c>
      <c r="AH2" s="56" t="str">
        <f ca="1">VLOOKUP($AG2,OFFSET([1]characters!$A$1,0,0,COUNTA([1]characters!$A:$A),MATCH(AH$1,[1]characters!$1:$1,0)-MATCH($A$1,[1]characters!$1:$1,0)+1),MATCH(AH$1,[1]characters!$1:$1,0)-MATCH($A$1,[1]characters!$1:$1,0)+1,FALSE)</f>
        <v>炎のミリオンダック 7</v>
      </c>
      <c r="AI2" s="9" t="str">
        <f>IF(AE2="NULL","NULL",VLOOKUP(G2,ビット!$A$2:$B$7,2))</f>
        <v>NULL</v>
      </c>
      <c r="AJ2" s="6">
        <v>2</v>
      </c>
      <c r="AK2" s="7" t="str">
        <f t="shared" ref="AK2" si="0">IF(AJ2=1,"早熟",IF(AJ2=2,"普通",IF(AJ2=3,"晩成","")))</f>
        <v>普通</v>
      </c>
      <c r="AL2" s="9" t="str">
        <f ca="1">INDEX([2]経験値!$A$1:$I$20,MATCH(H2,[2]経験値!$A$1:$A$20,FALSE),MATCH(G2,[2]経験値!$A$1:$I$1,FALSE))</f>
        <v>NULL</v>
      </c>
      <c r="AM2" s="186">
        <v>1000000</v>
      </c>
      <c r="AN2" s="186">
        <v>1000000</v>
      </c>
      <c r="AO2" s="39"/>
      <c r="AP2" s="61">
        <v>1414</v>
      </c>
      <c r="AQ2" s="51" t="str">
        <f ca="1">VLOOKUP($AP2,OFFSET(unit_skills!$A$1,0,0,COUNTA(unit_skills!$A:$A),MATCH(AQ$1,unit_skills!$1:$1,0)-MATCH($AP$1,unit_skills!$1:$1,0)+1),MATCH(AQ$1,unit_skills!$1:$1,0)-MATCH($AP$1,unit_skills!$1:$1,0)+1,FALSE)</f>
        <v>700万DL ありがとうグヮ！</v>
      </c>
      <c r="AR2" s="51" t="str">
        <f ca="1">VLOOKUP($AP2,OFFSET(unit_skills!$A$1,0,0,COUNTA(unit_skills!$A:$A),MATCH(AR$1,unit_skills!$1:$1,0)-MATCH($AP$1,unit_skills!$1:$1,0)+1),MATCH(AR$1,unit_skills!$1:$1,0)-MATCH($AP$1,unit_skills!$1:$1,0)+1,FALSE)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2" s="51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1">
        <v>1414</v>
      </c>
      <c r="AU2" s="51" t="str">
        <f ca="1">VLOOKUP($AT2,OFFSET(crash_skills!$A$1,0,0,COUNTA(crash_skills!$A:$A),MATCH(AU$1,crash_skills!$1:$1,0)-MATCH($AT$1,crash_skills!$1:$1,0)+1),MATCH(AU$1,crash_skills!$1:$1,0)-MATCH($AT$1,crash_skills!$1:$1,0)+1,FALSE)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2" s="51" t="str">
        <f ca="1">VLOOKUP($AT2,OFFSET(crash_skills!$A$1,0,0,COUNTA(crash_skills!$A:$A),MATCH(AV$1,crash_skills!$1:$1,0)-MATCH($AT$1,crash_skills!$1:$1,0)+1),MATCH(AV$1,crash_skills!$1:$1,0)-MATCH($AT$1,crash_skills!$1:$1,0)+1,FALSE)</f>
        <v>効果はないグヮ_x000D_700万DL ありがとう！</v>
      </c>
      <c r="AW2" s="51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2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2">
        <v>1</v>
      </c>
      <c r="AZ2" s="62">
        <v>1</v>
      </c>
      <c r="BA2" s="62">
        <v>0</v>
      </c>
      <c r="BB2" s="62">
        <v>1</v>
      </c>
      <c r="BC2" s="9">
        <f ca="1">INDEX('RC6SV'!$A$1:$G$21,MATCH(H2,'RC6SV'!$A$1:$A$21,FALSE),MATCH(G2,'RC6SV'!$A$1:$G$1,FALSE))</f>
        <v>1000</v>
      </c>
      <c r="BD2" s="42">
        <f t="shared" ref="BD2" ca="1" si="1">ROUND(BC2*IF(AJ2=1,0.95,IF(AJ2=2,1,IF(AJ2,1.05,0))),0)</f>
        <v>1000</v>
      </c>
      <c r="BE2" s="9">
        <f ca="1">ROUND(IFERROR(INDIRECT(ADDRESS(MATCH($A2,$AE:$AE,0),MATCH($BC$1,$1:$1,0))),0),0)</f>
        <v>0</v>
      </c>
      <c r="BF2" s="9">
        <f ca="1">ROUND(IFERROR(INDIRECT(ADDRESS(MATCH($A2,$AE:$AE,0),10)),INDIRECT(ADDRESS(MATCH($A2,$A:$A,0),10))),0)</f>
        <v>1</v>
      </c>
      <c r="BG2" s="185">
        <v>700</v>
      </c>
      <c r="BH2" s="185">
        <v>700</v>
      </c>
      <c r="BI2" s="14">
        <f ca="1">IF($BE2&lt;=0,ROUND(BM2*0.5,0), ROUND($BE2*U2*AC2*L2*BA2*0.8*[1]ステータス!$D$2,0))</f>
        <v>0</v>
      </c>
      <c r="BJ2" s="185">
        <v>700</v>
      </c>
      <c r="BK2" s="185">
        <v>700</v>
      </c>
      <c r="BL2" s="185">
        <v>700</v>
      </c>
      <c r="BM2" s="9">
        <f ca="1">ROUND(BD2*U2*AC2*L2*BA2*[1]ステータス!$D$2,0)</f>
        <v>0</v>
      </c>
      <c r="BN2" s="185">
        <v>700</v>
      </c>
      <c r="BO2" s="8">
        <v>0</v>
      </c>
      <c r="BP2" s="8">
        <v>1</v>
      </c>
      <c r="BQ2" s="34" t="s">
        <v>47</v>
      </c>
      <c r="BR2" s="8">
        <f ca="1">VLOOKUP(H2,[3]ghosts_label!$A$2:$B$19,2,FALSE)</f>
        <v>0</v>
      </c>
    </row>
    <row r="3" spans="1:70" ht="26" customHeight="1" x14ac:dyDescent="0.15">
      <c r="A3" s="179">
        <v>1415</v>
      </c>
      <c r="B3" s="51" t="str">
        <f ca="1">VLOOKUP($A3,OFFSET([1]characters!$A$1,0,0,COUNTA([1]characters!$A:$A),MATCH(B$1,[1]characters!$1:$1,0)-MATCH($A$1,[1]characters!$1:$1,0)+1),MATCH(B$1,[1]characters!$1:$1,0)-MATCH($A$1,[1]characters!$1:$1,0)+1,FALSE)</f>
        <v>森のミリオンダック 7</v>
      </c>
      <c r="C3" s="51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1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1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1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1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1" t="str">
        <f ca="1">VLOOKUP($A3,OFFSET([1]characters!$A$1,0,0,COUNTA([1]characters!$A:$A),MATCH(H$1,[1]characters!$1:$1,0)-MATCH($A$1,[1]characters!$1:$1,0)+1),MATCH(H$1,[1]characters!$1:$1,0)-MATCH($A$1,[1]characters!$1:$1,0)+1,FALSE)</f>
        <v>Material</v>
      </c>
      <c r="I3" s="51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9">
        <f ca="1">VLOOKUP(I3,[1]属性!$A:$E,2,FALSE)</f>
        <v>1.02</v>
      </c>
      <c r="K3" s="9">
        <f ca="1">VLOOKUP(I3,[1]属性!$A:$E,3,FALSE)</f>
        <v>0.98</v>
      </c>
      <c r="L3" s="9">
        <f ca="1">VLOOKUP(I3,[1]属性!$A:$E,4,FALSE)</f>
        <v>1</v>
      </c>
      <c r="M3" s="9">
        <f ca="1">VLOOKUP(I3,[1]属性!$A:$E,5,FALSE)</f>
        <v>1</v>
      </c>
      <c r="N3" s="9">
        <f ca="1">INDEX(コスト!$A$1:$I$21,MATCH(H3,コスト!$A$1:$A$21,FALSE),MATCH(G3,コスト!$A$1:$I$1,FALSE))</f>
        <v>99</v>
      </c>
      <c r="O3" s="9">
        <f ca="1">INDEX(レベル!$A$1:$I$22,MATCH(H3,レベル!$A$1:$A$22,FALSE),MATCH(G3,レベル!$A$1:$I$1,FALSE))</f>
        <v>1</v>
      </c>
      <c r="P3" s="184">
        <v>1</v>
      </c>
      <c r="Q3" s="51" t="str">
        <f ca="1">VLOOKUP($A3,OFFSET([1]characters!$A$1,0,0,COUNTA([1]characters!$A:$A),MATCH(Q$1,[1]characters!$1:$1,0)-MATCH($A$1,[1]characters!$1:$1,0)+1),MATCH(Q$1,[1]characters!$1:$1,0)-MATCH($A$1,[1]characters!$1:$1,0)+1,FALSE)</f>
        <v>exp</v>
      </c>
      <c r="R3" s="5" t="str">
        <f ca="1">VLOOKUP(Q3,[1]character_type_i18n!$A:$H,3,FALSE)</f>
        <v>強化素材タイプ</v>
      </c>
      <c r="S3" s="9">
        <f ca="1">VLOOKUP(Q3,[1]character_type_i18n!$A:$H,4,FALSE)</f>
        <v>0.1</v>
      </c>
      <c r="T3" s="9">
        <f ca="1">VLOOKUP(Q3,[1]character_type_i18n!$A:$H,5,FALSE)</f>
        <v>0.05</v>
      </c>
      <c r="U3" s="9">
        <f ca="1">VLOOKUP(Q3,[1]character_type_i18n!$A:$H,6,FALSE)</f>
        <v>1</v>
      </c>
      <c r="V3" s="9">
        <f ca="1">VLOOKUP(Q3,[1]character_type_i18n!$A:$H,7,FALSE)</f>
        <v>0.05</v>
      </c>
      <c r="W3" s="51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1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9">
        <f ca="1">VLOOKUP(W3,[1]character_tribe_i18n!$A:$H,4,FALSE)</f>
        <v>1</v>
      </c>
      <c r="AB3" s="9">
        <f ca="1">VLOOKUP(W3,[1]character_tribe_i18n!$A:$H,5,FALSE)</f>
        <v>1</v>
      </c>
      <c r="AC3" s="9">
        <f ca="1">VLOOKUP(W3,[1]character_tribe_i18n!$A:$H,6,FALSE)</f>
        <v>1</v>
      </c>
      <c r="AD3" s="9">
        <f ca="1">VLOOKUP(W3,[1]character_tribe_i18n!$A:$H,7,FALSE)</f>
        <v>1</v>
      </c>
      <c r="AE3" s="180" t="s">
        <v>183</v>
      </c>
      <c r="AF3" s="56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0">
        <v>1415</v>
      </c>
      <c r="AH3" s="56" t="str">
        <f ca="1">VLOOKUP($AG3,OFFSET([1]characters!$A$1,0,0,COUNTA([1]characters!$A:$A),MATCH(AH$1,[1]characters!$1:$1,0)-MATCH($A$1,[1]characters!$1:$1,0)+1),MATCH(AH$1,[1]characters!$1:$1,0)-MATCH($A$1,[1]characters!$1:$1,0)+1,FALSE)</f>
        <v>森のミリオンダック 7</v>
      </c>
      <c r="AI3" s="9" t="str">
        <f>IF(AE3="NULL","NULL",VLOOKUP(G3,ビット!$A$2:$B$7,2))</f>
        <v>NULL</v>
      </c>
      <c r="AJ3" s="6">
        <v>2</v>
      </c>
      <c r="AK3" s="7" t="str">
        <f t="shared" ref="AK3:AK4" si="2">IF(AJ3=1,"早熟",IF(AJ3=2,"普通",IF(AJ3=3,"晩成","")))</f>
        <v>普通</v>
      </c>
      <c r="AL3" s="9" t="str">
        <f ca="1">INDEX([2]経験値!$A$1:$I$20,MATCH(H3,[2]経験値!$A$1:$A$20,FALSE),MATCH(G3,[2]経験値!$A$1:$I$1,FALSE))</f>
        <v>NULL</v>
      </c>
      <c r="AM3" s="186">
        <v>1000000</v>
      </c>
      <c r="AN3" s="186">
        <v>1000000</v>
      </c>
      <c r="AO3" s="39"/>
      <c r="AP3" s="61">
        <v>1415</v>
      </c>
      <c r="AQ3" s="51" t="str">
        <f ca="1">VLOOKUP($AP3,OFFSET(unit_skills!$A$1,0,0,COUNTA(unit_skills!$A:$A),MATCH(AQ$1,unit_skills!$1:$1,0)-MATCH($AP$1,unit_skills!$1:$1,0)+1),MATCH(AQ$1,unit_skills!$1:$1,0)-MATCH($AP$1,unit_skills!$1:$1,0)+1,FALSE)</f>
        <v>700万DL ありがとうグヮ！</v>
      </c>
      <c r="AR3" s="51" t="str">
        <f ca="1">VLOOKUP($AP3,OFFSET(unit_skills!$A$1,0,0,COUNTA(unit_skills!$A:$A),MATCH(AR$1,unit_skills!$1:$1,0)-MATCH($AP$1,unit_skills!$1:$1,0)+1),MATCH(AR$1,unit_skills!$1:$1,0)-MATCH($AP$1,unit_skills!$1:$1,0)+1,FALSE)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3" s="51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1">
        <v>1415</v>
      </c>
      <c r="AU3" s="51" t="str">
        <f ca="1">VLOOKUP($AT3,OFFSET(crash_skills!$A$1,0,0,COUNTA(crash_skills!$A:$A),MATCH(AU$1,crash_skills!$1:$1,0)-MATCH($AT$1,crash_skills!$1:$1,0)+1),MATCH(AU$1,crash_skills!$1:$1,0)-MATCH($AT$1,crash_skills!$1:$1,0)+1,FALSE)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3" s="51" t="str">
        <f ca="1">VLOOKUP($AT3,OFFSET(crash_skills!$A$1,0,0,COUNTA(crash_skills!$A:$A),MATCH(AV$1,crash_skills!$1:$1,0)-MATCH($AT$1,crash_skills!$1:$1,0)+1),MATCH(AV$1,crash_skills!$1:$1,0)-MATCH($AT$1,crash_skills!$1:$1,0)+1,FALSE)</f>
        <v>効果はないグヮ_x000D_700万DL ありがとう！</v>
      </c>
      <c r="AW3" s="51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2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2">
        <v>1</v>
      </c>
      <c r="AZ3" s="62">
        <v>1</v>
      </c>
      <c r="BA3" s="62">
        <v>0</v>
      </c>
      <c r="BB3" s="62">
        <v>1</v>
      </c>
      <c r="BC3" s="9">
        <f ca="1">INDEX('RC6SV'!$A$1:$G$21,MATCH(H3,'RC6SV'!$A$1:$A$21,FALSE),MATCH(G3,'RC6SV'!$A$1:$G$1,FALSE))</f>
        <v>1000</v>
      </c>
      <c r="BD3" s="42">
        <f t="shared" ref="BD3:BD4" ca="1" si="3">ROUND(BC3*IF(AJ3=1,0.95,IF(AJ3=2,1,IF(AJ3,1.05,0))),0)</f>
        <v>1000</v>
      </c>
      <c r="BE3" s="9">
        <f ca="1">ROUND(IFERROR(INDIRECT(ADDRESS(MATCH($A3,$AE:$AE,0),MATCH($BC$1,$1:$1,0))),0),0)</f>
        <v>0</v>
      </c>
      <c r="BF3" s="9">
        <f ca="1">ROUND(IFERROR(INDIRECT(ADDRESS(MATCH($A3,$AE:$AE,0),10)),INDIRECT(ADDRESS(MATCH($A3,$A:$A,0),10))),0)</f>
        <v>1</v>
      </c>
      <c r="BG3" s="185">
        <v>700</v>
      </c>
      <c r="BH3" s="185">
        <v>700</v>
      </c>
      <c r="BI3" s="14">
        <f ca="1">IF($BE3&lt;=0,ROUND(BM3*0.5,0), ROUND($BE3*U3*AC3*L3*BA3*0.8*[1]ステータス!$D$2,0))</f>
        <v>0</v>
      </c>
      <c r="BJ3" s="185">
        <v>700</v>
      </c>
      <c r="BK3" s="185">
        <v>700</v>
      </c>
      <c r="BL3" s="185">
        <v>700</v>
      </c>
      <c r="BM3" s="9">
        <f ca="1">ROUND(BD3*U3*AC3*L3*BA3*[1]ステータス!$D$2,0)</f>
        <v>0</v>
      </c>
      <c r="BN3" s="185">
        <v>700</v>
      </c>
      <c r="BO3" s="8">
        <v>0</v>
      </c>
      <c r="BP3" s="8">
        <v>1</v>
      </c>
      <c r="BQ3" s="8" t="s">
        <v>47</v>
      </c>
      <c r="BR3" s="8">
        <f ca="1">VLOOKUP(H3,[3]ghosts_label!$A$2:$B$19,2,FALSE)</f>
        <v>0</v>
      </c>
    </row>
    <row r="4" spans="1:70" ht="26" customHeight="1" x14ac:dyDescent="0.15">
      <c r="A4" s="179">
        <v>1416</v>
      </c>
      <c r="B4" s="51" t="str">
        <f ca="1">VLOOKUP($A4,OFFSET([1]characters!$A$1,0,0,COUNTA([1]characters!$A:$A),MATCH(B$1,[1]characters!$1:$1,0)-MATCH($A$1,[1]characters!$1:$1,0)+1),MATCH(B$1,[1]characters!$1:$1,0)-MATCH($A$1,[1]characters!$1:$1,0)+1,FALSE)</f>
        <v>水のミリオンダック 7</v>
      </c>
      <c r="C4" s="51" t="str">
        <f ca="1">VLOOKUP($A4,OFFSET([1]characters!$A$1,0,0,COUNTA([1]characters!$A:$A),MATCH(C$1,[1]characters!$1:$1,0)-MATCH($A$1,[1]characters!$1:$1,0)+1),MATCH(C$1,[1]characters!$1:$1,0)-MATCH($A$1,[1]characters!$1:$1,0)+1,FALSE)</f>
        <v>未定</v>
      </c>
      <c r="D4" s="51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1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1" t="str">
        <f ca="1">VLOOKUP($A4,OFFSET([1]characters!$A$1,0,0,COUNTA([1]characters!$A:$A),MATCH(F$1,[1]characters!$1:$1,0)-MATCH($A$1,[1]characters!$1:$1,0)+1),MATCH(F$1,[1]characters!$1:$1,0)-MATCH($A$1,[1]characters!$1:$1,0)+1,FALSE)</f>
        <v>不明</v>
      </c>
      <c r="G4" s="51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1" t="str">
        <f ca="1">VLOOKUP($A4,OFFSET([1]characters!$A$1,0,0,COUNTA([1]characters!$A:$A),MATCH(H$1,[1]characters!$1:$1,0)-MATCH($A$1,[1]characters!$1:$1,0)+1),MATCH(H$1,[1]characters!$1:$1,0)-MATCH($A$1,[1]characters!$1:$1,0)+1,FALSE)</f>
        <v>Material</v>
      </c>
      <c r="I4" s="51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9">
        <f ca="1">VLOOKUP(I4,[1]属性!$A:$E,2,FALSE)</f>
        <v>1</v>
      </c>
      <c r="K4" s="9">
        <f ca="1">VLOOKUP(I4,[1]属性!$A:$E,3,FALSE)</f>
        <v>0.98</v>
      </c>
      <c r="L4" s="9">
        <f ca="1">VLOOKUP(I4,[1]属性!$A:$E,4,FALSE)</f>
        <v>1</v>
      </c>
      <c r="M4" s="9">
        <f ca="1">VLOOKUP(I4,[1]属性!$A:$E,5,FALSE)</f>
        <v>1.02</v>
      </c>
      <c r="N4" s="9">
        <f ca="1">INDEX(コスト!$A$1:$I$21,MATCH(H4,コスト!$A$1:$A$21,FALSE),MATCH(G4,コスト!$A$1:$I$1,FALSE))</f>
        <v>99</v>
      </c>
      <c r="O4" s="9">
        <f ca="1">INDEX(レベル!$A$1:$I$22,MATCH(H4,レベル!$A$1:$A$22,FALSE),MATCH(G4,レベル!$A$1:$I$1,FALSE))</f>
        <v>1</v>
      </c>
      <c r="P4" s="184">
        <v>1</v>
      </c>
      <c r="Q4" s="51" t="str">
        <f ca="1">VLOOKUP($A4,OFFSET([1]characters!$A$1,0,0,COUNTA([1]characters!$A:$A),MATCH(Q$1,[1]characters!$1:$1,0)-MATCH($A$1,[1]characters!$1:$1,0)+1),MATCH(Q$1,[1]characters!$1:$1,0)-MATCH($A$1,[1]characters!$1:$1,0)+1,FALSE)</f>
        <v>exp</v>
      </c>
      <c r="R4" s="5" t="str">
        <f ca="1">VLOOKUP(Q4,[1]character_type_i18n!$A:$H,3,FALSE)</f>
        <v>強化素材タイプ</v>
      </c>
      <c r="S4" s="9">
        <f ca="1">VLOOKUP(Q4,[1]character_type_i18n!$A:$H,4,FALSE)</f>
        <v>0.1</v>
      </c>
      <c r="T4" s="9">
        <f ca="1">VLOOKUP(Q4,[1]character_type_i18n!$A:$H,5,FALSE)</f>
        <v>0.05</v>
      </c>
      <c r="U4" s="9">
        <f ca="1">VLOOKUP(Q4,[1]character_type_i18n!$A:$H,6,FALSE)</f>
        <v>1</v>
      </c>
      <c r="V4" s="9">
        <f ca="1">VLOOKUP(Q4,[1]character_type_i18n!$A:$H,7,FALSE)</f>
        <v>0.05</v>
      </c>
      <c r="W4" s="51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1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9">
        <f ca="1">VLOOKUP(W4,[1]character_tribe_i18n!$A:$H,4,FALSE)</f>
        <v>1</v>
      </c>
      <c r="AB4" s="9">
        <f ca="1">VLOOKUP(W4,[1]character_tribe_i18n!$A:$H,5,FALSE)</f>
        <v>1</v>
      </c>
      <c r="AC4" s="9">
        <f ca="1">VLOOKUP(W4,[1]character_tribe_i18n!$A:$H,6,FALSE)</f>
        <v>1</v>
      </c>
      <c r="AD4" s="9">
        <f ca="1">VLOOKUP(W4,[1]character_tribe_i18n!$A:$H,7,FALSE)</f>
        <v>1</v>
      </c>
      <c r="AE4" s="180" t="s">
        <v>183</v>
      </c>
      <c r="AF4" s="56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180">
        <v>1416</v>
      </c>
      <c r="AH4" s="56" t="str">
        <f ca="1">VLOOKUP($AG4,OFFSET([1]characters!$A$1,0,0,COUNTA([1]characters!$A:$A),MATCH(AH$1,[1]characters!$1:$1,0)-MATCH($A$1,[1]characters!$1:$1,0)+1),MATCH(AH$1,[1]characters!$1:$1,0)-MATCH($A$1,[1]characters!$1:$1,0)+1,FALSE)</f>
        <v>水のミリオンダック 7</v>
      </c>
      <c r="AI4" s="9" t="str">
        <f>IF(AE4="NULL","NULL",VLOOKUP(G4,ビット!$A$2:$B$7,2))</f>
        <v>NULL</v>
      </c>
      <c r="AJ4" s="6">
        <v>2</v>
      </c>
      <c r="AK4" s="7" t="str">
        <f t="shared" si="2"/>
        <v>普通</v>
      </c>
      <c r="AL4" s="9" t="str">
        <f ca="1">INDEX([2]経験値!$A$1:$I$20,MATCH(H4,[2]経験値!$A$1:$A$20,FALSE),MATCH(G4,[2]経験値!$A$1:$I$1,FALSE))</f>
        <v>NULL</v>
      </c>
      <c r="AM4" s="186">
        <v>1000000</v>
      </c>
      <c r="AN4" s="186">
        <v>1000000</v>
      </c>
      <c r="AO4" s="39"/>
      <c r="AP4" s="61">
        <v>1416</v>
      </c>
      <c r="AQ4" s="51" t="str">
        <f ca="1">VLOOKUP($AP4,OFFSET(unit_skills!$A$1,0,0,COUNTA(unit_skills!$A:$A),MATCH(AQ$1,unit_skills!$1:$1,0)-MATCH($AP$1,unit_skills!$1:$1,0)+1),MATCH(AQ$1,unit_skills!$1:$1,0)-MATCH($AP$1,unit_skills!$1:$1,0)+1,FALSE)</f>
        <v>700万DL ありがとうグヮ！</v>
      </c>
      <c r="AR4" s="51" t="str">
        <f ca="1">VLOOKUP($AP4,OFFSET(unit_skills!$A$1,0,0,COUNTA(unit_skills!$A:$A),MATCH(AR$1,unit_skills!$1:$1,0)-MATCH($AP$1,unit_skills!$1:$1,0)+1),MATCH(AR$1,unit_skills!$1:$1,0)-MATCH($AP$1,unit_skills!$1:$1,0)+1,FALSE)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4" s="51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1">
        <v>1416</v>
      </c>
      <c r="AU4" s="51" t="str">
        <f ca="1">VLOOKUP($AT4,OFFSET(crash_skills!$A$1,0,0,COUNTA(crash_skills!$A:$A),MATCH(AU$1,crash_skills!$1:$1,0)-MATCH($AT$1,crash_skills!$1:$1,0)+1),MATCH(AU$1,crash_skills!$1:$1,0)-MATCH($AT$1,crash_skills!$1:$1,0)+1,FALSE)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4" s="51" t="str">
        <f ca="1">VLOOKUP($AT4,OFFSET(crash_skills!$A$1,0,0,COUNTA(crash_skills!$A:$A),MATCH(AV$1,crash_skills!$1:$1,0)-MATCH($AT$1,crash_skills!$1:$1,0)+1),MATCH(AV$1,crash_skills!$1:$1,0)-MATCH($AT$1,crash_skills!$1:$1,0)+1,FALSE)</f>
        <v>効果はないグヮ_x000D_700万DL ありがとう！</v>
      </c>
      <c r="AW4" s="51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2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2">
        <v>1</v>
      </c>
      <c r="AZ4" s="62">
        <v>1</v>
      </c>
      <c r="BA4" s="62">
        <v>0</v>
      </c>
      <c r="BB4" s="62">
        <v>1</v>
      </c>
      <c r="BC4" s="9">
        <f ca="1">INDEX('RC6SV'!$A$1:$G$21,MATCH(H4,'RC6SV'!$A$1:$A$21,FALSE),MATCH(G4,'RC6SV'!$A$1:$G$1,FALSE))</f>
        <v>1000</v>
      </c>
      <c r="BD4" s="42">
        <f t="shared" ca="1" si="3"/>
        <v>1000</v>
      </c>
      <c r="BE4" s="9">
        <f ca="1">ROUND(IFERROR(INDIRECT(ADDRESS(MATCH($A4,$AE:$AE,0),MATCH($BC$1,$1:$1,0))),0),0)</f>
        <v>0</v>
      </c>
      <c r="BF4" s="9">
        <f ca="1">ROUND(IFERROR(INDIRECT(ADDRESS(MATCH($A4,$AE:$AE,0),10)),INDIRECT(ADDRESS(MATCH($A4,$A:$A,0),10))),0)</f>
        <v>1</v>
      </c>
      <c r="BG4" s="185">
        <v>700</v>
      </c>
      <c r="BH4" s="185">
        <v>700</v>
      </c>
      <c r="BI4" s="14">
        <f ca="1">IF($BE4&lt;=0,ROUND(BM4*0.5,0), ROUND($BE4*U4*AC4*L4*BA4*0.8*[1]ステータス!$D$2,0))</f>
        <v>0</v>
      </c>
      <c r="BJ4" s="185">
        <v>700</v>
      </c>
      <c r="BK4" s="185">
        <v>700</v>
      </c>
      <c r="BL4" s="185">
        <v>700</v>
      </c>
      <c r="BM4" s="9">
        <f ca="1">ROUND(BD4*U4*AC4*L4*BA4*[1]ステータス!$D$2,0)</f>
        <v>0</v>
      </c>
      <c r="BN4" s="185">
        <v>700</v>
      </c>
      <c r="BO4" s="8">
        <v>0</v>
      </c>
      <c r="BP4" s="8">
        <v>1</v>
      </c>
      <c r="BQ4" s="34" t="s">
        <v>47</v>
      </c>
      <c r="BR4" s="8">
        <f ca="1">VLOOKUP(H4,[3]ghosts_label!$A$2:$B$19,2,FALSE)</f>
        <v>0</v>
      </c>
    </row>
    <row r="5" spans="1:70" ht="26" customHeight="1" x14ac:dyDescent="0.15">
      <c r="A5" s="179">
        <v>1417</v>
      </c>
      <c r="B5" s="51" t="str">
        <f ca="1">VLOOKUP($A5,OFFSET([1]characters!$A$1,0,0,COUNTA([1]characters!$A:$A),MATCH(B$1,[1]characters!$1:$1,0)-MATCH($A$1,[1]characters!$1:$1,0)+1),MATCH(B$1,[1]characters!$1:$1,0)-MATCH($A$1,[1]characters!$1:$1,0)+1,FALSE)</f>
        <v>雷のミリオンダック 7</v>
      </c>
      <c r="C5" s="51" t="str">
        <f ca="1">VLOOKUP($A5,OFFSET([1]characters!$A$1,0,0,COUNTA([1]characters!$A:$A),MATCH(C$1,[1]characters!$1:$1,0)-MATCH($A$1,[1]characters!$1:$1,0)+1),MATCH(C$1,[1]characters!$1:$1,0)-MATCH($A$1,[1]characters!$1:$1,0)+1,FALSE)</f>
        <v>未定</v>
      </c>
      <c r="D5" s="51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1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1" t="str">
        <f ca="1">VLOOKUP($A5,OFFSET([1]characters!$A$1,0,0,COUNTA([1]characters!$A:$A),MATCH(F$1,[1]characters!$1:$1,0)-MATCH($A$1,[1]characters!$1:$1,0)+1),MATCH(F$1,[1]characters!$1:$1,0)-MATCH($A$1,[1]characters!$1:$1,0)+1,FALSE)</f>
        <v>不明</v>
      </c>
      <c r="G5" s="51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1" t="str">
        <f ca="1">VLOOKUP($A5,OFFSET([1]characters!$A$1,0,0,COUNTA([1]characters!$A:$A),MATCH(H$1,[1]characters!$1:$1,0)-MATCH($A$1,[1]characters!$1:$1,0)+1),MATCH(H$1,[1]characters!$1:$1,0)-MATCH($A$1,[1]characters!$1:$1,0)+1,FALSE)</f>
        <v>Material</v>
      </c>
      <c r="I5" s="51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9">
        <f ca="1">VLOOKUP(I5,[1]属性!$A:$E,2,FALSE)</f>
        <v>0.98</v>
      </c>
      <c r="K5" s="9">
        <f ca="1">VLOOKUP(I5,[1]属性!$A:$E,3,FALSE)</f>
        <v>1.01</v>
      </c>
      <c r="L5" s="9">
        <f ca="1">VLOOKUP(I5,[1]属性!$A:$E,4,FALSE)</f>
        <v>1</v>
      </c>
      <c r="M5" s="9">
        <f ca="1">VLOOKUP(I5,[1]属性!$A:$E,5,FALSE)</f>
        <v>1.01</v>
      </c>
      <c r="N5" s="9">
        <f ca="1">INDEX(コスト!$A$1:$I$21,MATCH(H5,コスト!$A$1:$A$21,FALSE),MATCH(G5,コスト!$A$1:$I$1,FALSE))</f>
        <v>99</v>
      </c>
      <c r="O5" s="9">
        <f ca="1">INDEX(レベル!$A$1:$I$22,MATCH(H5,レベル!$A$1:$A$22,FALSE),MATCH(G5,レベル!$A$1:$I$1,FALSE))</f>
        <v>1</v>
      </c>
      <c r="P5" s="184">
        <v>1</v>
      </c>
      <c r="Q5" s="51" t="str">
        <f ca="1">VLOOKUP($A5,OFFSET([1]characters!$A$1,0,0,COUNTA([1]characters!$A:$A),MATCH(Q$1,[1]characters!$1:$1,0)-MATCH($A$1,[1]characters!$1:$1,0)+1),MATCH(Q$1,[1]characters!$1:$1,0)-MATCH($A$1,[1]characters!$1:$1,0)+1,FALSE)</f>
        <v>exp</v>
      </c>
      <c r="R5" s="5" t="str">
        <f ca="1">VLOOKUP(Q5,[1]character_type_i18n!$A:$H,3,FALSE)</f>
        <v>強化素材タイプ</v>
      </c>
      <c r="S5" s="9">
        <f ca="1">VLOOKUP(Q5,[1]character_type_i18n!$A:$H,4,FALSE)</f>
        <v>0.1</v>
      </c>
      <c r="T5" s="9">
        <f ca="1">VLOOKUP(Q5,[1]character_type_i18n!$A:$H,5,FALSE)</f>
        <v>0.05</v>
      </c>
      <c r="U5" s="9">
        <f ca="1">VLOOKUP(Q5,[1]character_type_i18n!$A:$H,6,FALSE)</f>
        <v>1</v>
      </c>
      <c r="V5" s="9">
        <f ca="1">VLOOKUP(Q5,[1]character_type_i18n!$A:$H,7,FALSE)</f>
        <v>0.05</v>
      </c>
      <c r="W5" s="51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1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9">
        <f ca="1">VLOOKUP(W5,[1]character_tribe_i18n!$A:$H,4,FALSE)</f>
        <v>1</v>
      </c>
      <c r="AB5" s="9">
        <f ca="1">VLOOKUP(W5,[1]character_tribe_i18n!$A:$H,5,FALSE)</f>
        <v>1</v>
      </c>
      <c r="AC5" s="9">
        <f ca="1">VLOOKUP(W5,[1]character_tribe_i18n!$A:$H,6,FALSE)</f>
        <v>1</v>
      </c>
      <c r="AD5" s="9">
        <f ca="1">VLOOKUP(W5,[1]character_tribe_i18n!$A:$H,7,FALSE)</f>
        <v>1</v>
      </c>
      <c r="AE5" s="180" t="s">
        <v>183</v>
      </c>
      <c r="AF5" s="56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0">
        <v>1417</v>
      </c>
      <c r="AH5" s="56" t="str">
        <f ca="1">VLOOKUP($AG5,OFFSET([1]characters!$A$1,0,0,COUNTA([1]characters!$A:$A),MATCH(AH$1,[1]characters!$1:$1,0)-MATCH($A$1,[1]characters!$1:$1,0)+1),MATCH(AH$1,[1]characters!$1:$1,0)-MATCH($A$1,[1]characters!$1:$1,0)+1,FALSE)</f>
        <v>雷のミリオンダック 7</v>
      </c>
      <c r="AI5" s="9" t="str">
        <f>IF(AE5="NULL","NULL",VLOOKUP(G5,ビット!$A$2:$B$7,2))</f>
        <v>NULL</v>
      </c>
      <c r="AJ5" s="6">
        <v>2</v>
      </c>
      <c r="AK5" s="7" t="str">
        <f t="shared" ref="AK5" si="4">IF(AJ5=1,"早熟",IF(AJ5=2,"普通",IF(AJ5=3,"晩成","")))</f>
        <v>普通</v>
      </c>
      <c r="AL5" s="9" t="str">
        <f ca="1">INDEX([2]経験値!$A$1:$I$20,MATCH(H5,[2]経験値!$A$1:$A$20,FALSE),MATCH(G5,[2]経験値!$A$1:$I$1,FALSE))</f>
        <v>NULL</v>
      </c>
      <c r="AM5" s="186">
        <v>1000000</v>
      </c>
      <c r="AN5" s="186">
        <v>1000000</v>
      </c>
      <c r="AO5" s="39"/>
      <c r="AP5" s="61">
        <v>1417</v>
      </c>
      <c r="AQ5" s="51" t="str">
        <f ca="1">VLOOKUP($AP5,OFFSET(unit_skills!$A$1,0,0,COUNTA(unit_skills!$A:$A),MATCH(AQ$1,unit_skills!$1:$1,0)-MATCH($AP$1,unit_skills!$1:$1,0)+1),MATCH(AQ$1,unit_skills!$1:$1,0)-MATCH($AP$1,unit_skills!$1:$1,0)+1,FALSE)</f>
        <v>700万DL ありがとうグヮ！</v>
      </c>
      <c r="AR5" s="51" t="str">
        <f ca="1">VLOOKUP($AP5,OFFSET(unit_skills!$A$1,0,0,COUNTA(unit_skills!$A:$A),MATCH(AR$1,unit_skills!$1:$1,0)-MATCH($AP$1,unit_skills!$1:$1,0)+1),MATCH(AR$1,unit_skills!$1:$1,0)-MATCH($AP$1,unit_skills!$1:$1,0)+1,FALSE)</f>
        <v>ユニット強化の素材にすると100万経験値、_x000D_売却すれば100万ビットをGETできる！</v>
      </c>
      <c r="AS5" s="51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1">
        <v>1417</v>
      </c>
      <c r="AU5" s="51" t="str">
        <f ca="1">VLOOKUP($AT5,OFFSET(crash_skills!$A$1,0,0,COUNTA(crash_skills!$A:$A),MATCH(AU$1,crash_skills!$1:$1,0)-MATCH($AT$1,crash_skills!$1:$1,0)+1),MATCH(AU$1,crash_skills!$1:$1,0)-MATCH($AT$1,crash_skills!$1:$1,0)+1,FALSE)</f>
        <v>これからも よろしくグヮッ！</v>
      </c>
      <c r="AV5" s="51" t="str">
        <f ca="1">VLOOKUP($AT5,OFFSET(crash_skills!$A$1,0,0,COUNTA(crash_skills!$A:$A),MATCH(AV$1,crash_skills!$1:$1,0)-MATCH($AT$1,crash_skills!$1:$1,0)+1),MATCH(AV$1,crash_skills!$1:$1,0)-MATCH($AT$1,crash_skills!$1:$1,0)+1,FALSE)</f>
        <v>効果はないグヮ_x000D_700万DL ありがとう！</v>
      </c>
      <c r="AW5" s="51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2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2">
        <v>1</v>
      </c>
      <c r="AZ5" s="62">
        <v>1</v>
      </c>
      <c r="BA5" s="62">
        <v>0</v>
      </c>
      <c r="BB5" s="62">
        <v>1</v>
      </c>
      <c r="BC5" s="9">
        <f ca="1">INDEX('RC6SV'!$A$1:$G$21,MATCH(H5,'RC6SV'!$A$1:$A$21,FALSE),MATCH(G5,'RC6SV'!$A$1:$G$1,FALSE))</f>
        <v>1000</v>
      </c>
      <c r="BD5" s="42">
        <f t="shared" ref="BD5" ca="1" si="5">ROUND(BC5*IF(AJ5=1,0.95,IF(AJ5=2,1,IF(AJ5,1.05,0))),0)</f>
        <v>1000</v>
      </c>
      <c r="BE5" s="9">
        <f ca="1">ROUND(IFERROR(INDIRECT(ADDRESS(MATCH($A5,$AE:$AE,0),MATCH($BC$1,$1:$1,0))),0),0)</f>
        <v>0</v>
      </c>
      <c r="BF5" s="9">
        <f ca="1">ROUND(IFERROR(INDIRECT(ADDRESS(MATCH($A5,$AE:$AE,0),10)),INDIRECT(ADDRESS(MATCH($A5,$A:$A,0),10))),0)</f>
        <v>1</v>
      </c>
      <c r="BG5" s="185">
        <v>700</v>
      </c>
      <c r="BH5" s="185">
        <v>700</v>
      </c>
      <c r="BI5" s="14">
        <f ca="1">IF($BE5&lt;=0,ROUND(BM5*0.5,0), ROUND($BE5*U5*AC5*L5*BA5*0.8*[1]ステータス!$D$2,0))</f>
        <v>0</v>
      </c>
      <c r="BJ5" s="185">
        <v>700</v>
      </c>
      <c r="BK5" s="185">
        <v>700</v>
      </c>
      <c r="BL5" s="185">
        <v>700</v>
      </c>
      <c r="BM5" s="9">
        <f ca="1">ROUND(BD5*U5*AC5*L5*BA5*[1]ステータス!$D$2,0)</f>
        <v>0</v>
      </c>
      <c r="BN5" s="185">
        <v>700</v>
      </c>
      <c r="BO5" s="8">
        <v>0</v>
      </c>
      <c r="BP5" s="8">
        <v>1</v>
      </c>
      <c r="BQ5" s="8" t="s">
        <v>47</v>
      </c>
      <c r="BR5" s="8">
        <f ca="1">VLOOKUP(H5,[3]ghosts_label!$A$2:$B$19,2,FALSE)</f>
        <v>0</v>
      </c>
    </row>
    <row r="6" spans="1:70" ht="26" customHeight="1" x14ac:dyDescent="0.15">
      <c r="A6" s="179">
        <v>785</v>
      </c>
      <c r="B6" s="51" t="str">
        <f ca="1">VLOOKUP($A6,OFFSET([1]characters!$A$1,0,0,COUNTA([1]characters!$A:$A),MATCH(B$1,[1]characters!$1:$1,0)-MATCH($A$1,[1]characters!$1:$1,0)+1),MATCH(B$1,[1]characters!$1:$1,0)-MATCH($A$1,[1]characters!$1:$1,0)+1,FALSE)</f>
        <v>あけおめダック2017</v>
      </c>
      <c r="C6" s="51" t="str">
        <f ca="1">VLOOKUP($A6,OFFSET([1]characters!$A$1,0,0,COUNTA([1]characters!$A:$A),MATCH(C$1,[1]characters!$1:$1,0)-MATCH($A$1,[1]characters!$1:$1,0)+1),MATCH(C$1,[1]characters!$1:$1,0)-MATCH($A$1,[1]characters!$1:$1,0)+1,FALSE)</f>
        <v>イベント:お正月2016</v>
      </c>
      <c r="D6" s="51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1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1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1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1" t="str">
        <f ca="1">VLOOKUP($A6,OFFSET([1]characters!$A$1,0,0,COUNTA([1]characters!$A:$A),MATCH(H$1,[1]characters!$1:$1,0)-MATCH($A$1,[1]characters!$1:$1,0)+1),MATCH(H$1,[1]characters!$1:$1,0)-MATCH($A$1,[1]characters!$1:$1,0)+1,FALSE)</f>
        <v>Material</v>
      </c>
      <c r="I6" s="51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9">
        <f ca="1">VLOOKUP(I6,[1]属性!$A:$E,2,FALSE)</f>
        <v>0.98</v>
      </c>
      <c r="K6" s="9">
        <f ca="1">VLOOKUP(I6,[1]属性!$A:$E,3,FALSE)</f>
        <v>1.01</v>
      </c>
      <c r="L6" s="9">
        <f ca="1">VLOOKUP(I6,[1]属性!$A:$E,4,FALSE)</f>
        <v>1</v>
      </c>
      <c r="M6" s="9">
        <f ca="1">VLOOKUP(I6,[1]属性!$A:$E,5,FALSE)</f>
        <v>1.01</v>
      </c>
      <c r="N6" s="9">
        <f ca="1">INDEX(コスト!$A$1:$I$21,MATCH(H6,コスト!$A$1:$A$21,FALSE),MATCH(G6,コスト!$A$1:$I$1,FALSE))</f>
        <v>99</v>
      </c>
      <c r="O6" s="9">
        <f ca="1">INDEX(レベル!$A$1:$I$22,MATCH(H6,レベル!$A$1:$A$22,FALSE),MATCH(G6,レベル!$A$1:$I$1,FALSE))</f>
        <v>1</v>
      </c>
      <c r="P6" s="184">
        <v>1</v>
      </c>
      <c r="Q6" s="51" t="str">
        <f ca="1">VLOOKUP($A6,OFFSET([1]characters!$A$1,0,0,COUNTA([1]characters!$A:$A),MATCH(Q$1,[1]characters!$1:$1,0)-MATCH($A$1,[1]characters!$1:$1,0)+1),MATCH(Q$1,[1]characters!$1:$1,0)-MATCH($A$1,[1]characters!$1:$1,0)+1,FALSE)</f>
        <v>coin</v>
      </c>
      <c r="R6" s="5" t="str">
        <f ca="1">VLOOKUP(Q6,[1]character_type_i18n!$A:$H,3,FALSE)</f>
        <v>コインタイプ</v>
      </c>
      <c r="S6" s="9">
        <f ca="1">VLOOKUP(Q6,[1]character_type_i18n!$A:$H,4,FALSE)</f>
        <v>0.1</v>
      </c>
      <c r="T6" s="9">
        <f ca="1">VLOOKUP(Q6,[1]character_type_i18n!$A:$H,5,FALSE)</f>
        <v>0.05</v>
      </c>
      <c r="U6" s="9">
        <f ca="1">VLOOKUP(Q6,[1]character_type_i18n!$A:$H,6,FALSE)</f>
        <v>1</v>
      </c>
      <c r="V6" s="9">
        <f ca="1">VLOOKUP(Q6,[1]character_type_i18n!$A:$H,7,FALSE)</f>
        <v>0.05</v>
      </c>
      <c r="W6" s="51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1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9">
        <f ca="1">VLOOKUP(W6,[1]character_tribe_i18n!$A:$H,4,FALSE)</f>
        <v>1</v>
      </c>
      <c r="AB6" s="9">
        <f ca="1">VLOOKUP(W6,[1]character_tribe_i18n!$A:$H,5,FALSE)</f>
        <v>1</v>
      </c>
      <c r="AC6" s="9">
        <f ca="1">VLOOKUP(W6,[1]character_tribe_i18n!$A:$H,6,FALSE)</f>
        <v>1</v>
      </c>
      <c r="AD6" s="9">
        <f ca="1">VLOOKUP(W6,[1]character_tribe_i18n!$A:$H,7,FALSE)</f>
        <v>1</v>
      </c>
      <c r="AE6" s="180" t="s">
        <v>183</v>
      </c>
      <c r="AF6" s="56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180">
        <v>785</v>
      </c>
      <c r="AH6" s="56" t="str">
        <f ca="1">VLOOKUP($AG6,OFFSET([1]characters!$A$1,0,0,COUNTA([1]characters!$A:$A),MATCH(AH$1,[1]characters!$1:$1,0)-MATCH($A$1,[1]characters!$1:$1,0)+1),MATCH(AH$1,[1]characters!$1:$1,0)-MATCH($A$1,[1]characters!$1:$1,0)+1,FALSE)</f>
        <v>あけおめダック2017</v>
      </c>
      <c r="AI6" s="9" t="str">
        <f>IF(AE6="NULL","NULL",VLOOKUP(G6,ビット!$A$2:$B$7,2))</f>
        <v>NULL</v>
      </c>
      <c r="AJ6" s="6">
        <v>2</v>
      </c>
      <c r="AK6" s="7" t="str">
        <f t="shared" ref="AK6" si="6">IF(AJ6=1,"早熟",IF(AJ6=2,"普通",IF(AJ6=3,"晩成","")))</f>
        <v>普通</v>
      </c>
      <c r="AL6" s="9" t="str">
        <f ca="1">INDEX([2]経験値!$A$1:$I$20,MATCH(H6,[2]経験値!$A$1:$A$20,FALSE),MATCH(G6,[2]経験値!$A$1:$I$1,FALSE))</f>
        <v>NULL</v>
      </c>
      <c r="AM6" s="186">
        <v>6400</v>
      </c>
      <c r="AN6" s="186">
        <v>1000000</v>
      </c>
      <c r="AO6" s="39"/>
      <c r="AP6" s="61">
        <v>785</v>
      </c>
      <c r="AQ6" s="51" t="str">
        <f ca="1">VLOOKUP($AP6,OFFSET(unit_skills!$A$1,0,0,COUNTA(unit_skills!$A:$A),MATCH(AQ$1,unit_skills!$1:$1,0)-MATCH($AP$1,unit_skills!$1:$1,0)+1),MATCH(AQ$1,unit_skills!$1:$1,0)-MATCH($AP$1,unit_skills!$1:$1,0)+1,FALSE)</f>
        <v>売却素材（2017年お年玉）</v>
      </c>
      <c r="AR6" s="51" t="str">
        <f ca="1">VLOOKUP($AP6,OFFSET(unit_skills!$A$1,0,0,COUNTA(unit_skills!$A:$A),MATCH(AR$1,unit_skills!$1:$1,0)-MATCH($AP$1,unit_skills!$1:$1,0)+1),MATCH(AR$1,unit_skills!$1:$1,0)-MATCH($AP$1,unit_skills!$1:$1,0)+1,FALSE)</f>
        <v>このユニットを売却すると_x000D_100万ビットをGETできる！</v>
      </c>
      <c r="AS6" s="51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1">
        <v>785</v>
      </c>
      <c r="AU6" s="51" t="str">
        <f ca="1">VLOOKUP($AT6,OFFSET(crash_skills!$A$1,0,0,COUNTA(crash_skills!$A:$A),MATCH(AU$1,crash_skills!$1:$1,0)-MATCH($AT$1,crash_skills!$1:$1,0)+1),MATCH(AU$1,crash_skills!$1:$1,0)-MATCH($AT$1,crash_skills!$1:$1,0)+1,FALSE)</f>
        <v>謹グヮ新年 二○一七</v>
      </c>
      <c r="AV6" s="51" t="str">
        <f ca="1">VLOOKUP($AT6,OFFSET(crash_skills!$A$1,0,0,COUNTA(crash_skills!$A:$A),MATCH(AV$1,crash_skills!$1:$1,0)-MATCH($AT$1,crash_skills!$1:$1,0)+1),MATCH(AV$1,crash_skills!$1:$1,0)-MATCH($AT$1,crash_skills!$1:$1,0)+1,FALSE)</f>
        <v>効果はないグヮ_x000D_あけまして おめでとう！</v>
      </c>
      <c r="AW6" s="51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2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2">
        <v>1</v>
      </c>
      <c r="AZ6" s="62">
        <v>1</v>
      </c>
      <c r="BA6" s="62">
        <v>0</v>
      </c>
      <c r="BB6" s="62">
        <v>1</v>
      </c>
      <c r="BC6" s="9">
        <f ca="1">INDEX('RC6SV'!$A$1:$G$21,MATCH(H6,'RC6SV'!$A$1:$A$21,FALSE),MATCH(G6,'RC6SV'!$A$1:$G$1,FALSE))</f>
        <v>1000</v>
      </c>
      <c r="BD6" s="42">
        <f t="shared" ref="BD6" ca="1" si="7">ROUND(BC6*IF(AJ6=1,0.95,IF(AJ6=2,1,IF(AJ6,1.05,0))),0)</f>
        <v>1000</v>
      </c>
      <c r="BE6" s="9">
        <f ca="1">ROUND(IFERROR(INDIRECT(ADDRESS(MATCH($A6,$AE:$AE,0),MATCH($BC$1,$1:$1,0))),0),0)</f>
        <v>0</v>
      </c>
      <c r="BF6" s="9">
        <f ca="1">ROUND(IFERROR(INDIRECT(ADDRESS(MATCH($A6,$AE:$AE,0),10)),INDIRECT(ADDRESS(MATCH($A6,$A:$A,0),10))),0)</f>
        <v>1</v>
      </c>
      <c r="BG6" s="185">
        <v>17</v>
      </c>
      <c r="BH6" s="185">
        <v>17</v>
      </c>
      <c r="BI6" s="14">
        <f ca="1">IF($BE6&lt;=0,ROUND(BM6*0.5,0), ROUND($BE6*U6*AC6*L6*BA6*0.8*[1]ステータス!$D$2,0))</f>
        <v>0</v>
      </c>
      <c r="BJ6" s="185">
        <v>17</v>
      </c>
      <c r="BK6" s="185">
        <v>17</v>
      </c>
      <c r="BL6" s="185">
        <v>17</v>
      </c>
      <c r="BM6" s="9">
        <f ca="1">ROUND(BD6*U6*AC6*L6*BA6*[1]ステータス!$D$2,0)</f>
        <v>0</v>
      </c>
      <c r="BN6" s="185">
        <v>17</v>
      </c>
      <c r="BO6" s="8">
        <v>0</v>
      </c>
      <c r="BP6" s="8">
        <v>1</v>
      </c>
      <c r="BQ6" s="8" t="s">
        <v>47</v>
      </c>
      <c r="BR6" s="8">
        <f ca="1">VLOOKUP(H6,[3]ghosts_label!$A$2:$B$19,2,FALSE)</f>
        <v>0</v>
      </c>
    </row>
  </sheetData>
  <autoFilter ref="A1:BQ1"/>
  <phoneticPr fontId="10"/>
  <conditionalFormatting sqref="BO1">
    <cfRule type="cellIs" dxfId="37" priority="120" stopIfTrue="1" operator="equal">
      <formula>1</formula>
    </cfRule>
  </conditionalFormatting>
  <conditionalFormatting sqref="BQ1">
    <cfRule type="cellIs" dxfId="3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6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I6" sqref="I6"/>
    </sheetView>
  </sheetViews>
  <sheetFormatPr baseColWidth="12" defaultColWidth="13" defaultRowHeight="21" customHeight="1" outlineLevelCol="1" x14ac:dyDescent="0.15"/>
  <cols>
    <col min="1" max="1" width="16.1640625" style="124" bestFit="1" customWidth="1"/>
    <col min="2" max="2" width="13" style="124" bestFit="1" customWidth="1"/>
    <col min="3" max="3" width="21.83203125" style="124" customWidth="1"/>
    <col min="4" max="4" width="41.83203125" style="124" customWidth="1"/>
    <col min="5" max="5" width="9" style="124" customWidth="1"/>
    <col min="6" max="6" width="7.83203125" style="124" bestFit="1" customWidth="1"/>
    <col min="7" max="7" width="8.1640625" style="124" bestFit="1" customWidth="1"/>
    <col min="8" max="8" width="13.6640625" style="124" bestFit="1" customWidth="1"/>
    <col min="9" max="10" width="51.6640625" style="124" customWidth="1"/>
    <col min="11" max="11" width="10.83203125" style="124" customWidth="1" outlineLevel="1"/>
    <col min="12" max="17" width="9.5" style="123" customWidth="1" outlineLevel="1"/>
    <col min="18" max="18" width="20.33203125" style="124" customWidth="1" outlineLevel="1"/>
    <col min="19" max="19" width="10.33203125" style="124" bestFit="1" customWidth="1"/>
    <col min="20" max="16384" width="13" style="124"/>
  </cols>
  <sheetData>
    <row r="1" spans="1:19" s="123" customFormat="1" ht="21" customHeight="1" x14ac:dyDescent="0.15">
      <c r="A1" s="112" t="s">
        <v>20</v>
      </c>
      <c r="B1" s="113" t="s">
        <v>134</v>
      </c>
      <c r="C1" s="114" t="s">
        <v>40</v>
      </c>
      <c r="D1" s="115" t="s">
        <v>163</v>
      </c>
      <c r="E1" s="115" t="s">
        <v>164</v>
      </c>
      <c r="F1" s="112" t="s">
        <v>146</v>
      </c>
      <c r="G1" s="116" t="s">
        <v>2</v>
      </c>
      <c r="H1" s="116" t="s">
        <v>165</v>
      </c>
      <c r="I1" s="116" t="s">
        <v>166</v>
      </c>
      <c r="J1" s="117" t="s">
        <v>185</v>
      </c>
      <c r="K1" s="116" t="s">
        <v>4</v>
      </c>
      <c r="L1" s="118" t="s">
        <v>167</v>
      </c>
      <c r="M1" s="119" t="s">
        <v>168</v>
      </c>
      <c r="N1" s="119" t="s">
        <v>169</v>
      </c>
      <c r="O1" s="119" t="s">
        <v>170</v>
      </c>
      <c r="P1" s="119" t="s">
        <v>171</v>
      </c>
      <c r="Q1" s="120" t="s">
        <v>172</v>
      </c>
      <c r="R1" s="121" t="s">
        <v>173</v>
      </c>
      <c r="S1" s="122" t="s">
        <v>174</v>
      </c>
    </row>
    <row r="2" spans="1:19" ht="21" customHeight="1" x14ac:dyDescent="0.15">
      <c r="A2" s="179">
        <v>1414</v>
      </c>
      <c r="B2" s="127" t="s">
        <v>186</v>
      </c>
      <c r="C2" s="181" t="s">
        <v>337</v>
      </c>
      <c r="D2" s="181" t="s">
        <v>338</v>
      </c>
      <c r="E2" s="129">
        <f t="shared" ref="E2" si="0">LEN(D2)</f>
        <v>42</v>
      </c>
      <c r="F2" s="61">
        <v>5</v>
      </c>
      <c r="G2" s="111">
        <v>1</v>
      </c>
      <c r="H2" s="130">
        <f>2001</f>
        <v>2001</v>
      </c>
      <c r="I2" s="182"/>
      <c r="J2" s="51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炎のミリオンダック 7</v>
      </c>
      <c r="K2" s="131">
        <f>IFERROR(VLOOKUP(A2,[1]characters!$A:$R,18),0)</f>
        <v>3</v>
      </c>
      <c r="L2" s="132"/>
      <c r="M2" s="133"/>
      <c r="N2" s="133"/>
      <c r="O2" s="133"/>
      <c r="P2" s="133"/>
      <c r="Q2" s="133"/>
      <c r="R2" s="128"/>
      <c r="S2" s="134"/>
    </row>
    <row r="3" spans="1:19" ht="21" customHeight="1" x14ac:dyDescent="0.15">
      <c r="A3" s="179">
        <v>1415</v>
      </c>
      <c r="B3" s="127" t="s">
        <v>186</v>
      </c>
      <c r="C3" s="181" t="s">
        <v>337</v>
      </c>
      <c r="D3" s="181" t="s">
        <v>338</v>
      </c>
      <c r="E3" s="129">
        <f t="shared" ref="E3:E4" si="1">LEN(D3)</f>
        <v>42</v>
      </c>
      <c r="F3" s="61">
        <v>5</v>
      </c>
      <c r="G3" s="111">
        <v>1</v>
      </c>
      <c r="H3" s="130">
        <f>2001</f>
        <v>2001</v>
      </c>
      <c r="I3" s="182"/>
      <c r="J3" s="51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森のミリオンダック 7</v>
      </c>
      <c r="K3" s="131">
        <f>IFERROR(VLOOKUP(A3,[1]characters!$A:$R,18),0)</f>
        <v>3</v>
      </c>
      <c r="L3" s="132"/>
      <c r="M3" s="133"/>
      <c r="N3" s="133"/>
      <c r="O3" s="133"/>
      <c r="P3" s="133"/>
      <c r="Q3" s="133"/>
      <c r="R3" s="128"/>
      <c r="S3" s="134"/>
    </row>
    <row r="4" spans="1:19" ht="21" customHeight="1" x14ac:dyDescent="0.15">
      <c r="A4" s="179">
        <v>1416</v>
      </c>
      <c r="B4" s="127" t="s">
        <v>186</v>
      </c>
      <c r="C4" s="181" t="s">
        <v>337</v>
      </c>
      <c r="D4" s="181" t="s">
        <v>338</v>
      </c>
      <c r="E4" s="129">
        <f t="shared" si="1"/>
        <v>42</v>
      </c>
      <c r="F4" s="61">
        <v>5</v>
      </c>
      <c r="G4" s="111">
        <v>1</v>
      </c>
      <c r="H4" s="130">
        <f>2001</f>
        <v>2001</v>
      </c>
      <c r="I4" s="182"/>
      <c r="J4" s="51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水のミリオンダック 7</v>
      </c>
      <c r="K4" s="131">
        <f>IFERROR(VLOOKUP(A4,[1]characters!$A:$R,18),0)</f>
        <v>3</v>
      </c>
      <c r="L4" s="132"/>
      <c r="M4" s="133"/>
      <c r="N4" s="133"/>
      <c r="O4" s="133"/>
      <c r="P4" s="133"/>
      <c r="Q4" s="133"/>
      <c r="R4" s="128"/>
      <c r="S4" s="134"/>
    </row>
    <row r="5" spans="1:19" ht="21" customHeight="1" x14ac:dyDescent="0.15">
      <c r="A5" s="179">
        <v>1417</v>
      </c>
      <c r="B5" s="127" t="s">
        <v>186</v>
      </c>
      <c r="C5" s="181" t="s">
        <v>337</v>
      </c>
      <c r="D5" s="181" t="s">
        <v>338</v>
      </c>
      <c r="E5" s="129">
        <f t="shared" ref="E5" si="2">LEN(D5)</f>
        <v>42</v>
      </c>
      <c r="F5" s="61">
        <v>5</v>
      </c>
      <c r="G5" s="111">
        <v>1</v>
      </c>
      <c r="H5" s="130">
        <f>2001</f>
        <v>2001</v>
      </c>
      <c r="I5" s="182"/>
      <c r="J5" s="51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雷のミリオンダック 7</v>
      </c>
      <c r="K5" s="131">
        <f>IFERROR(VLOOKUP(A5,[1]characters!$A:$R,18),0)</f>
        <v>3</v>
      </c>
      <c r="L5" s="132"/>
      <c r="M5" s="133"/>
      <c r="N5" s="133"/>
      <c r="O5" s="133"/>
      <c r="P5" s="133"/>
      <c r="Q5" s="133"/>
      <c r="R5" s="128"/>
      <c r="S5" s="134"/>
    </row>
    <row r="6" spans="1:19" ht="21" customHeight="1" x14ac:dyDescent="0.15">
      <c r="A6" s="179">
        <v>785</v>
      </c>
      <c r="B6" s="127" t="s">
        <v>186</v>
      </c>
      <c r="C6" s="181" t="s">
        <v>344</v>
      </c>
      <c r="D6" s="181" t="s">
        <v>345</v>
      </c>
      <c r="E6" s="129">
        <f t="shared" ref="E6" si="3">LEN(D6)</f>
        <v>28</v>
      </c>
      <c r="F6" s="61">
        <v>5</v>
      </c>
      <c r="G6" s="111">
        <v>1</v>
      </c>
      <c r="H6" s="130">
        <f>2001</f>
        <v>2001</v>
      </c>
      <c r="I6" s="182"/>
      <c r="J6" s="51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あけおめダック2017</v>
      </c>
      <c r="K6" s="131">
        <f>IFERROR(VLOOKUP(A6,[1]characters!$A:$R,18),0)</f>
        <v>3</v>
      </c>
      <c r="L6" s="132"/>
      <c r="M6" s="133"/>
      <c r="N6" s="133"/>
      <c r="O6" s="133"/>
      <c r="P6" s="133"/>
      <c r="Q6" s="133"/>
      <c r="R6" s="128"/>
      <c r="S6" s="134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7:E1048576">
    <cfRule type="cellIs" dxfId="35" priority="27" operator="greaterThan">
      <formula>41</formula>
    </cfRule>
  </conditionalFormatting>
  <conditionalFormatting sqref="E2">
    <cfRule type="cellIs" dxfId="34" priority="21" operator="greaterThan">
      <formula>41</formula>
    </cfRule>
  </conditionalFormatting>
  <conditionalFormatting sqref="E3">
    <cfRule type="cellIs" dxfId="33" priority="20" operator="greaterThan">
      <formula>41</formula>
    </cfRule>
  </conditionalFormatting>
  <conditionalFormatting sqref="E4">
    <cfRule type="cellIs" dxfId="32" priority="3" operator="greaterThan">
      <formula>41</formula>
    </cfRule>
  </conditionalFormatting>
  <conditionalFormatting sqref="E5">
    <cfRule type="cellIs" dxfId="31" priority="2" operator="greaterThan">
      <formula>41</formula>
    </cfRule>
  </conditionalFormatting>
  <conditionalFormatting sqref="E6">
    <cfRule type="cellIs" dxfId="30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6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2" sqref="C12"/>
    </sheetView>
  </sheetViews>
  <sheetFormatPr baseColWidth="12" defaultColWidth="13" defaultRowHeight="21" customHeight="1" x14ac:dyDescent="0.15"/>
  <cols>
    <col min="1" max="2" width="12.1640625" style="124" customWidth="1"/>
    <col min="3" max="3" width="48.83203125" style="125" customWidth="1"/>
    <col min="4" max="4" width="23.83203125" style="125" customWidth="1"/>
    <col min="5" max="5" width="10.5" style="125" customWidth="1"/>
    <col min="6" max="7" width="59.1640625" style="125" customWidth="1"/>
    <col min="8" max="8" width="6.83203125" style="124" bestFit="1" customWidth="1"/>
    <col min="9" max="9" width="20.33203125" style="124" customWidth="1"/>
    <col min="10" max="10" width="5" style="124" bestFit="1" customWidth="1"/>
    <col min="11" max="16384" width="13" style="124"/>
  </cols>
  <sheetData>
    <row r="1" spans="1:19" ht="21" customHeight="1" x14ac:dyDescent="0.15">
      <c r="A1" s="112" t="s">
        <v>182</v>
      </c>
      <c r="B1" s="113" t="s">
        <v>181</v>
      </c>
      <c r="C1" s="114" t="s">
        <v>180</v>
      </c>
      <c r="D1" s="115" t="s">
        <v>179</v>
      </c>
      <c r="E1" s="115" t="s">
        <v>178</v>
      </c>
      <c r="F1" s="116" t="s">
        <v>177</v>
      </c>
      <c r="G1" s="117" t="s">
        <v>185</v>
      </c>
      <c r="H1" s="116" t="s">
        <v>176</v>
      </c>
      <c r="I1" s="117" t="s">
        <v>175</v>
      </c>
      <c r="J1" s="121" t="s">
        <v>174</v>
      </c>
    </row>
    <row r="2" spans="1:19" ht="21" customHeight="1" x14ac:dyDescent="0.15">
      <c r="A2" s="179">
        <v>1414</v>
      </c>
      <c r="B2" s="127" t="s">
        <v>187</v>
      </c>
      <c r="C2" s="181" t="s">
        <v>339</v>
      </c>
      <c r="D2" s="181" t="s">
        <v>340</v>
      </c>
      <c r="E2" s="129">
        <f t="shared" ref="E2" si="0">LEN(D2)</f>
        <v>21</v>
      </c>
      <c r="F2" s="183"/>
      <c r="G2" s="51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炎のミリオンダック 7</v>
      </c>
      <c r="H2" s="130">
        <f>IFERROR(VLOOKUP(A2,[1]characters!$A:$R,18),0)</f>
        <v>3</v>
      </c>
      <c r="I2" s="130"/>
      <c r="J2" s="135"/>
      <c r="K2" s="131">
        <v>1</v>
      </c>
      <c r="L2" s="132"/>
      <c r="M2" s="133"/>
      <c r="N2" s="133"/>
      <c r="O2" s="133"/>
      <c r="P2" s="133"/>
      <c r="Q2" s="133"/>
      <c r="R2" s="128"/>
      <c r="S2" s="134"/>
    </row>
    <row r="3" spans="1:19" ht="21" customHeight="1" x14ac:dyDescent="0.15">
      <c r="A3" s="179">
        <v>1415</v>
      </c>
      <c r="B3" s="127" t="s">
        <v>187</v>
      </c>
      <c r="C3" s="181" t="s">
        <v>339</v>
      </c>
      <c r="D3" s="181" t="s">
        <v>340</v>
      </c>
      <c r="E3" s="129">
        <f t="shared" ref="E3:E4" si="1">LEN(D3)</f>
        <v>21</v>
      </c>
      <c r="F3" s="183"/>
      <c r="G3" s="51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森のミリオンダック 7</v>
      </c>
      <c r="H3" s="130">
        <f>IFERROR(VLOOKUP(A3,[1]characters!$A:$R,18),0)</f>
        <v>3</v>
      </c>
      <c r="I3" s="130"/>
      <c r="J3" s="135"/>
      <c r="K3" s="131">
        <v>1</v>
      </c>
      <c r="L3" s="132"/>
      <c r="M3" s="133"/>
      <c r="N3" s="133"/>
      <c r="O3" s="133"/>
      <c r="P3" s="133"/>
      <c r="Q3" s="133"/>
      <c r="R3" s="128"/>
      <c r="S3" s="134"/>
    </row>
    <row r="4" spans="1:19" ht="21" customHeight="1" x14ac:dyDescent="0.15">
      <c r="A4" s="179">
        <v>1416</v>
      </c>
      <c r="B4" s="127" t="s">
        <v>187</v>
      </c>
      <c r="C4" s="181" t="s">
        <v>339</v>
      </c>
      <c r="D4" s="181" t="s">
        <v>340</v>
      </c>
      <c r="E4" s="129">
        <f t="shared" si="1"/>
        <v>21</v>
      </c>
      <c r="F4" s="183"/>
      <c r="G4" s="51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水のミリオンダック 7</v>
      </c>
      <c r="H4" s="130">
        <f>IFERROR(VLOOKUP(A4,[1]characters!$A:$R,18),0)</f>
        <v>3</v>
      </c>
      <c r="I4" s="130"/>
      <c r="J4" s="135"/>
      <c r="K4" s="131">
        <v>1</v>
      </c>
      <c r="L4" s="132"/>
      <c r="M4" s="133"/>
      <c r="N4" s="133"/>
      <c r="O4" s="133"/>
      <c r="P4" s="133"/>
      <c r="Q4" s="133"/>
      <c r="R4" s="128"/>
      <c r="S4" s="134"/>
    </row>
    <row r="5" spans="1:19" ht="21" customHeight="1" x14ac:dyDescent="0.15">
      <c r="A5" s="179">
        <v>1417</v>
      </c>
      <c r="B5" s="127" t="s">
        <v>187</v>
      </c>
      <c r="C5" s="181" t="s">
        <v>339</v>
      </c>
      <c r="D5" s="181" t="s">
        <v>340</v>
      </c>
      <c r="E5" s="129">
        <f t="shared" ref="E5" si="2">LEN(D5)</f>
        <v>21</v>
      </c>
      <c r="F5" s="183"/>
      <c r="G5" s="51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雷のミリオンダック 7</v>
      </c>
      <c r="H5" s="130">
        <f>IFERROR(VLOOKUP(A5,[1]characters!$A:$R,18),0)</f>
        <v>3</v>
      </c>
      <c r="I5" s="130"/>
      <c r="J5" s="135"/>
      <c r="K5" s="131">
        <v>1</v>
      </c>
      <c r="L5" s="132"/>
      <c r="M5" s="133"/>
      <c r="N5" s="133"/>
      <c r="O5" s="133"/>
      <c r="P5" s="133"/>
      <c r="Q5" s="133"/>
      <c r="R5" s="128"/>
      <c r="S5" s="134"/>
    </row>
    <row r="6" spans="1:19" ht="21" customHeight="1" x14ac:dyDescent="0.15">
      <c r="A6" s="179">
        <v>785</v>
      </c>
      <c r="B6" s="127" t="s">
        <v>187</v>
      </c>
      <c r="C6" s="181" t="s">
        <v>346</v>
      </c>
      <c r="D6" s="181" t="s">
        <v>347</v>
      </c>
      <c r="E6" s="129">
        <f t="shared" ref="E6" si="3">LEN(D6)</f>
        <v>20</v>
      </c>
      <c r="F6" s="183"/>
      <c r="G6" s="51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あけおめダック2017</v>
      </c>
      <c r="H6" s="130">
        <f>IFERROR(VLOOKUP(A6,[1]characters!$A:$R,18),0)</f>
        <v>3</v>
      </c>
      <c r="I6" s="130"/>
      <c r="J6" s="135"/>
      <c r="K6" s="131">
        <v>1</v>
      </c>
      <c r="L6" s="132"/>
      <c r="M6" s="133"/>
      <c r="N6" s="133"/>
      <c r="O6" s="133"/>
      <c r="P6" s="133"/>
      <c r="Q6" s="133"/>
      <c r="R6" s="128"/>
      <c r="S6" s="134"/>
    </row>
  </sheetData>
  <sheetProtection selectLockedCells="1" selectUnlockedCells="1"/>
  <autoFilter ref="A1:J1"/>
  <phoneticPr fontId="22"/>
  <conditionalFormatting sqref="E2">
    <cfRule type="cellIs" dxfId="29" priority="21" operator="greaterThan">
      <formula>41</formula>
    </cfRule>
  </conditionalFormatting>
  <conditionalFormatting sqref="E3">
    <cfRule type="cellIs" dxfId="28" priority="20" operator="greaterThan">
      <formula>41</formula>
    </cfRule>
  </conditionalFormatting>
  <conditionalFormatting sqref="E4">
    <cfRule type="cellIs" dxfId="27" priority="3" operator="greaterThan">
      <formula>41</formula>
    </cfRule>
  </conditionalFormatting>
  <conditionalFormatting sqref="E5">
    <cfRule type="cellIs" dxfId="26" priority="2" operator="greaterThan">
      <formula>41</formula>
    </cfRule>
  </conditionalFormatting>
  <conditionalFormatting sqref="E6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1"/>
  <sheetViews>
    <sheetView zoomScale="110" workbookViewId="0">
      <selection activeCell="H16" sqref="H16"/>
    </sheetView>
  </sheetViews>
  <sheetFormatPr baseColWidth="12" defaultRowHeight="15" outlineLevelCol="1" x14ac:dyDescent="0.15"/>
  <cols>
    <col min="2" max="2" width="12.83203125" style="137"/>
    <col min="4" max="4" width="12.83203125" style="137" customWidth="1" outlineLevel="1"/>
    <col min="5" max="5" width="12.83203125" style="137"/>
    <col min="8" max="8" width="26" customWidth="1"/>
  </cols>
  <sheetData>
    <row r="1" spans="1:8" x14ac:dyDescent="0.15">
      <c r="A1" s="108" t="s">
        <v>188</v>
      </c>
      <c r="B1" s="136" t="s">
        <v>189</v>
      </c>
      <c r="C1" s="108" t="s">
        <v>190</v>
      </c>
      <c r="D1" s="136" t="s">
        <v>192</v>
      </c>
      <c r="E1" s="136" t="s">
        <v>193</v>
      </c>
      <c r="F1" s="107" t="s">
        <v>194</v>
      </c>
      <c r="G1" s="108" t="s">
        <v>191</v>
      </c>
      <c r="H1" s="107" t="s">
        <v>195</v>
      </c>
    </row>
    <row r="2" spans="1:8" x14ac:dyDescent="0.15">
      <c r="A2" s="103">
        <v>1414</v>
      </c>
      <c r="B2" s="136" t="str">
        <f>VLOOKUP(A2,[1]characters!$A:$C,3,FALSE)</f>
        <v>炎のミリオンダック 7</v>
      </c>
      <c r="C2" s="103" t="s">
        <v>196</v>
      </c>
      <c r="D2" s="136" t="str">
        <f t="shared" ref="D2" si="0">A2&amp;C2</f>
        <v>1414skill</v>
      </c>
      <c r="E2" s="136" t="str">
        <f>A2&amp;+(COUNTIF(A2:A$93,A2)-1)</f>
        <v>14141</v>
      </c>
      <c r="F2" s="103" t="s">
        <v>197</v>
      </c>
      <c r="G2" s="160" t="s">
        <v>341</v>
      </c>
      <c r="H2" s="160" t="s">
        <v>342</v>
      </c>
    </row>
    <row r="3" spans="1:8" x14ac:dyDescent="0.15">
      <c r="A3" s="103">
        <v>1414</v>
      </c>
      <c r="B3" s="136" t="str">
        <f>VLOOKUP(A3,[1]characters!$A:$C,3,FALSE)</f>
        <v>炎のミリオンダック 7</v>
      </c>
      <c r="C3" s="103" t="s">
        <v>198</v>
      </c>
      <c r="D3" s="136" t="str">
        <f>A3&amp;C3</f>
        <v>1414cskill</v>
      </c>
      <c r="E3" s="136" t="str">
        <f>A3&amp;+(COUNTIF(A3:A$93,A3)-1)</f>
        <v>14140</v>
      </c>
      <c r="F3" s="103" t="s">
        <v>187</v>
      </c>
      <c r="G3" s="160" t="s">
        <v>341</v>
      </c>
      <c r="H3" s="160" t="s">
        <v>337</v>
      </c>
    </row>
    <row r="4" spans="1:8" x14ac:dyDescent="0.15">
      <c r="A4" s="103">
        <v>1415</v>
      </c>
      <c r="B4" s="136" t="str">
        <f>VLOOKUP(A4,[1]characters!$A:$C,3,FALSE)</f>
        <v>森のミリオンダック 7</v>
      </c>
      <c r="C4" s="103" t="s">
        <v>196</v>
      </c>
      <c r="D4" s="136" t="str">
        <f t="shared" ref="D4" si="1">A4&amp;C4</f>
        <v>1415skill</v>
      </c>
      <c r="E4" s="136" t="str">
        <f>A4&amp;+(COUNTIF(A4:A$93,A4)-1)</f>
        <v>14151</v>
      </c>
      <c r="F4" s="103" t="s">
        <v>197</v>
      </c>
      <c r="G4" s="160" t="s">
        <v>341</v>
      </c>
      <c r="H4" s="160" t="s">
        <v>342</v>
      </c>
    </row>
    <row r="5" spans="1:8" x14ac:dyDescent="0.15">
      <c r="A5" s="103">
        <v>1415</v>
      </c>
      <c r="B5" s="136" t="str">
        <f>VLOOKUP(A5,[1]characters!$A:$C,3,FALSE)</f>
        <v>森のミリオンダック 7</v>
      </c>
      <c r="C5" s="103" t="s">
        <v>198</v>
      </c>
      <c r="D5" s="136" t="str">
        <f>A5&amp;C5</f>
        <v>1415cskill</v>
      </c>
      <c r="E5" s="136" t="str">
        <f>A5&amp;+(COUNTIF(A5:A$93,A5)-1)</f>
        <v>14150</v>
      </c>
      <c r="F5" s="103" t="s">
        <v>187</v>
      </c>
      <c r="G5" s="160" t="s">
        <v>341</v>
      </c>
      <c r="H5" s="160" t="s">
        <v>337</v>
      </c>
    </row>
    <row r="6" spans="1:8" x14ac:dyDescent="0.15">
      <c r="A6" s="103">
        <v>1416</v>
      </c>
      <c r="B6" s="136" t="str">
        <f>VLOOKUP(A6,[1]characters!$A:$C,3,FALSE)</f>
        <v>水のミリオンダック 7</v>
      </c>
      <c r="C6" s="103" t="s">
        <v>196</v>
      </c>
      <c r="D6" s="136" t="str">
        <f t="shared" ref="D6" si="2">A6&amp;C6</f>
        <v>1416skill</v>
      </c>
      <c r="E6" s="136" t="str">
        <f>A6&amp;+(COUNTIF(A6:A$93,A6)-1)</f>
        <v>14161</v>
      </c>
      <c r="F6" s="103" t="s">
        <v>197</v>
      </c>
      <c r="G6" s="160" t="s">
        <v>341</v>
      </c>
      <c r="H6" s="160" t="s">
        <v>342</v>
      </c>
    </row>
    <row r="7" spans="1:8" x14ac:dyDescent="0.15">
      <c r="A7" s="103">
        <v>1416</v>
      </c>
      <c r="B7" s="136" t="str">
        <f>VLOOKUP(A7,[1]characters!$A:$C,3,FALSE)</f>
        <v>水のミリオンダック 7</v>
      </c>
      <c r="C7" s="103" t="s">
        <v>198</v>
      </c>
      <c r="D7" s="136" t="str">
        <f>A7&amp;C7</f>
        <v>1416cskill</v>
      </c>
      <c r="E7" s="136" t="str">
        <f>A7&amp;+(COUNTIF(A7:A$93,A7)-1)</f>
        <v>14160</v>
      </c>
      <c r="F7" s="103" t="s">
        <v>187</v>
      </c>
      <c r="G7" s="160" t="s">
        <v>341</v>
      </c>
      <c r="H7" s="160" t="s">
        <v>337</v>
      </c>
    </row>
    <row r="8" spans="1:8" x14ac:dyDescent="0.15">
      <c r="A8" s="103">
        <v>1417</v>
      </c>
      <c r="B8" s="136" t="str">
        <f>VLOOKUP(A8,[1]characters!$A:$C,3,FALSE)</f>
        <v>雷のミリオンダック 7</v>
      </c>
      <c r="C8" s="103" t="s">
        <v>196</v>
      </c>
      <c r="D8" s="136" t="str">
        <f t="shared" ref="D8" si="3">A8&amp;C8</f>
        <v>1417skill</v>
      </c>
      <c r="E8" s="136" t="str">
        <f>A8&amp;+(COUNTIF(A8:A$93,A8)-1)</f>
        <v>14171</v>
      </c>
      <c r="F8" s="103" t="s">
        <v>197</v>
      </c>
      <c r="G8" s="160" t="s">
        <v>341</v>
      </c>
      <c r="H8" s="160" t="s">
        <v>342</v>
      </c>
    </row>
    <row r="9" spans="1:8" x14ac:dyDescent="0.15">
      <c r="A9" s="103">
        <v>1417</v>
      </c>
      <c r="B9" s="136" t="str">
        <f>VLOOKUP(A9,[1]characters!$A:$C,3,FALSE)</f>
        <v>雷のミリオンダック 7</v>
      </c>
      <c r="C9" s="103" t="s">
        <v>198</v>
      </c>
      <c r="D9" s="136" t="str">
        <f>A9&amp;C9</f>
        <v>1417cskill</v>
      </c>
      <c r="E9" s="136" t="str">
        <f>A9&amp;+(COUNTIF(A9:A$93,A9)-1)</f>
        <v>14170</v>
      </c>
      <c r="F9" s="103" t="s">
        <v>187</v>
      </c>
      <c r="G9" s="160" t="s">
        <v>341</v>
      </c>
      <c r="H9" s="160" t="s">
        <v>337</v>
      </c>
    </row>
    <row r="10" spans="1:8" x14ac:dyDescent="0.15">
      <c r="A10" s="103">
        <v>785</v>
      </c>
      <c r="B10" s="136" t="str">
        <f>VLOOKUP(A10,[1]characters!$A:$C,3,FALSE)</f>
        <v>あけおめダック2017</v>
      </c>
      <c r="C10" s="103" t="s">
        <v>198</v>
      </c>
      <c r="D10" s="136" t="str">
        <f t="shared" ref="D10" si="4">A10&amp;C10</f>
        <v>785cskill</v>
      </c>
      <c r="E10" s="136" t="str">
        <f>A10&amp;+(COUNTIF(A10:A$93,A10)-1)</f>
        <v>7851</v>
      </c>
      <c r="F10" s="103" t="s">
        <v>187</v>
      </c>
      <c r="G10" s="160" t="s">
        <v>341</v>
      </c>
      <c r="H10" s="160" t="s">
        <v>348</v>
      </c>
    </row>
    <row r="11" spans="1:8" x14ac:dyDescent="0.15">
      <c r="A11" s="103">
        <v>785</v>
      </c>
      <c r="B11" s="136" t="str">
        <f>VLOOKUP(A11,[1]characters!$A:$C,3,FALSE)</f>
        <v>あけおめダック2017</v>
      </c>
      <c r="C11" s="103" t="s">
        <v>198</v>
      </c>
      <c r="D11" s="136" t="str">
        <f>A11&amp;C11</f>
        <v>785cskill</v>
      </c>
      <c r="E11" s="136" t="str">
        <f>A11&amp;+(COUNTIF(A11:A$93,A11)-1)</f>
        <v>7850</v>
      </c>
      <c r="F11" s="103" t="s">
        <v>187</v>
      </c>
      <c r="G11" s="160" t="s">
        <v>341</v>
      </c>
      <c r="H11" s="160" t="s">
        <v>349</v>
      </c>
    </row>
  </sheetData>
  <phoneticPr fontId="22"/>
  <dataValidations count="2">
    <dataValidation type="list" allowBlank="1" showInputMessage="1" showErrorMessage="1" sqref="G2:G11">
      <formula1>"maru,giza,kumo"</formula1>
    </dataValidation>
    <dataValidation type="list" allowBlank="1" showInputMessage="1" showErrorMessage="1" sqref="C2:C11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A2" sqref="A2:XFD2"/>
    </sheetView>
  </sheetViews>
  <sheetFormatPr baseColWidth="12" defaultColWidth="8.83203125" defaultRowHeight="21" customHeight="1" outlineLevelCol="1" x14ac:dyDescent="0.15"/>
  <cols>
    <col min="1" max="1" width="12.83203125" style="10" customWidth="1"/>
    <col min="2" max="2" width="21.5" style="11" bestFit="1" customWidth="1" collapsed="1"/>
    <col min="3" max="3" width="23.6640625" style="11" hidden="1" customWidth="1" outlineLevel="1"/>
    <col min="4" max="4" width="8.6640625" style="11" hidden="1" customWidth="1" outlineLevel="1"/>
    <col min="5" max="5" width="8" style="11" hidden="1" customWidth="1" outlineLevel="1"/>
    <col min="6" max="6" width="7.1640625" style="11" hidden="1" customWidth="1" outlineLevel="1"/>
    <col min="7" max="7" width="9.6640625" style="11" bestFit="1" customWidth="1"/>
    <col min="8" max="8" width="13.6640625" style="11" bestFit="1" customWidth="1"/>
    <col min="9" max="9" width="10.5" style="11" bestFit="1" customWidth="1" collapsed="1"/>
    <col min="10" max="10" width="22" style="11" hidden="1" customWidth="1" outlineLevel="1"/>
    <col min="11" max="11" width="14.1640625" style="11" hidden="1" customWidth="1" outlineLevel="1"/>
    <col min="12" max="12" width="12.33203125" style="11" hidden="1" customWidth="1" outlineLevel="1"/>
    <col min="13" max="15" width="13.6640625" style="11" hidden="1" customWidth="1" outlineLevel="1"/>
    <col min="16" max="16" width="15.1640625" style="11" customWidth="1"/>
    <col min="17" max="17" width="20.1640625" style="10" bestFit="1" customWidth="1"/>
    <col min="18" max="18" width="18.83203125" style="11" bestFit="1" customWidth="1"/>
    <col min="19" max="20" width="18.83203125" style="11" customWidth="1"/>
    <col min="21" max="21" width="15.1640625" style="11" customWidth="1"/>
    <col min="22" max="16384" width="8.83203125" style="10"/>
  </cols>
  <sheetData>
    <row r="1" spans="1:21" ht="21" customHeight="1" x14ac:dyDescent="0.15">
      <c r="A1" s="75" t="s">
        <v>274</v>
      </c>
      <c r="B1" s="89" t="s">
        <v>275</v>
      </c>
      <c r="C1" s="80" t="s">
        <v>276</v>
      </c>
      <c r="D1" s="80" t="s">
        <v>277</v>
      </c>
      <c r="E1" s="80" t="s">
        <v>278</v>
      </c>
      <c r="F1" s="80" t="s">
        <v>279</v>
      </c>
      <c r="G1" s="80" t="s">
        <v>1</v>
      </c>
      <c r="H1" s="170" t="s">
        <v>19</v>
      </c>
      <c r="I1" s="80" t="s">
        <v>0</v>
      </c>
      <c r="J1" s="79" t="s">
        <v>280</v>
      </c>
      <c r="K1" s="80" t="s">
        <v>275</v>
      </c>
      <c r="L1" s="81" t="s">
        <v>49</v>
      </c>
      <c r="M1" s="81" t="s">
        <v>48</v>
      </c>
      <c r="N1" s="81" t="s">
        <v>281</v>
      </c>
      <c r="O1" s="81" t="s">
        <v>282</v>
      </c>
      <c r="P1" s="86" t="s">
        <v>283</v>
      </c>
      <c r="Q1" s="85" t="s">
        <v>284</v>
      </c>
      <c r="R1" s="74" t="s">
        <v>275</v>
      </c>
      <c r="S1" s="86" t="s">
        <v>285</v>
      </c>
      <c r="T1" s="74" t="s">
        <v>275</v>
      </c>
      <c r="U1" s="86" t="s">
        <v>286</v>
      </c>
    </row>
  </sheetData>
  <autoFilter ref="A1:U1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1"/>
  <sheetViews>
    <sheetView showGridLines="0" topLeftCell="H1" workbookViewId="0">
      <pane ySplit="1" topLeftCell="A2" activePane="bottomLeft" state="frozen"/>
      <selection pane="bottomLeft" activeCell="H2" sqref="A2:XFD5"/>
    </sheetView>
  </sheetViews>
  <sheetFormatPr baseColWidth="12" defaultColWidth="13" defaultRowHeight="15" x14ac:dyDescent="0.15"/>
  <cols>
    <col min="1" max="1" width="11.5" style="59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59" t="s">
        <v>99</v>
      </c>
      <c r="B1" s="37" t="s">
        <v>38</v>
      </c>
      <c r="C1" s="171" t="s">
        <v>287</v>
      </c>
      <c r="D1" s="16" t="s">
        <v>40</v>
      </c>
      <c r="E1" s="16" t="s">
        <v>42</v>
      </c>
      <c r="F1" s="16" t="s">
        <v>43</v>
      </c>
      <c r="G1" s="171" t="s">
        <v>288</v>
      </c>
      <c r="H1" s="16" t="s">
        <v>40</v>
      </c>
      <c r="I1" s="38" t="s">
        <v>36</v>
      </c>
      <c r="J1" s="16" t="s">
        <v>41</v>
      </c>
      <c r="K1" s="15" t="s">
        <v>37</v>
      </c>
      <c r="L1" s="172" t="s">
        <v>127</v>
      </c>
      <c r="M1" s="173" t="s">
        <v>289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19" customFormat="1" ht="21" customHeight="1" x14ac:dyDescent="0.15">
      <c r="A1" s="165" t="s">
        <v>300</v>
      </c>
      <c r="B1" s="113" t="s">
        <v>301</v>
      </c>
      <c r="C1" s="114" t="s">
        <v>302</v>
      </c>
      <c r="D1" s="115" t="s">
        <v>303</v>
      </c>
      <c r="E1" s="115" t="s">
        <v>304</v>
      </c>
      <c r="F1" s="115" t="s">
        <v>305</v>
      </c>
      <c r="G1" s="115" t="s">
        <v>306</v>
      </c>
      <c r="H1" s="115" t="s">
        <v>307</v>
      </c>
      <c r="I1" s="169" t="s">
        <v>308</v>
      </c>
      <c r="J1" s="166" t="s">
        <v>309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"/>
  <sheetViews>
    <sheetView workbookViewId="0">
      <selection activeCell="E35" sqref="E3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19" customFormat="1" ht="21" customHeight="1" x14ac:dyDescent="0.15">
      <c r="A1" s="165" t="s">
        <v>138</v>
      </c>
      <c r="B1" s="167" t="s">
        <v>267</v>
      </c>
      <c r="C1" s="113" t="s">
        <v>268</v>
      </c>
      <c r="D1" s="113" t="s">
        <v>269</v>
      </c>
      <c r="E1" s="168" t="s">
        <v>270</v>
      </c>
      <c r="F1" s="168" t="s">
        <v>271</v>
      </c>
      <c r="G1" s="116" t="s">
        <v>272</v>
      </c>
      <c r="H1" s="165" t="s">
        <v>273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topLeftCell="A9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19"/>
  </cols>
  <sheetData>
    <row r="1" spans="1:9" s="4" customFormat="1" ht="21" customHeight="1" x14ac:dyDescent="0.15">
      <c r="A1" s="26" t="s">
        <v>234</v>
      </c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</row>
    <row r="2" spans="1:9" s="4" customFormat="1" ht="21" customHeight="1" x14ac:dyDescent="0.15">
      <c r="A2" s="139" t="s">
        <v>235</v>
      </c>
      <c r="B2" s="140"/>
      <c r="C2" s="141"/>
      <c r="D2" s="142" t="s">
        <v>236</v>
      </c>
      <c r="E2" s="142">
        <v>30</v>
      </c>
      <c r="F2" s="142">
        <v>40</v>
      </c>
      <c r="G2" s="142">
        <f>15+F2</f>
        <v>55</v>
      </c>
      <c r="H2" s="141"/>
      <c r="I2" s="141"/>
    </row>
    <row r="3" spans="1:9" s="4" customFormat="1" ht="21" customHeight="1" x14ac:dyDescent="0.15">
      <c r="A3" s="139" t="s">
        <v>237</v>
      </c>
      <c r="B3" s="143"/>
      <c r="C3" s="144"/>
      <c r="D3" s="145" t="s">
        <v>236</v>
      </c>
      <c r="E3" s="145">
        <v>25</v>
      </c>
      <c r="F3" s="145">
        <v>35</v>
      </c>
      <c r="G3" s="142">
        <f t="shared" ref="G3:G4" si="0">15+F3</f>
        <v>50</v>
      </c>
      <c r="H3" s="144"/>
      <c r="I3" s="144"/>
    </row>
    <row r="4" spans="1:9" s="4" customFormat="1" ht="21" customHeight="1" x14ac:dyDescent="0.15">
      <c r="A4" s="139" t="s">
        <v>238</v>
      </c>
      <c r="B4" s="146"/>
      <c r="C4" s="147"/>
      <c r="D4" s="148">
        <v>10</v>
      </c>
      <c r="E4" s="148">
        <v>20</v>
      </c>
      <c r="F4" s="148">
        <v>30</v>
      </c>
      <c r="G4" s="148">
        <f t="shared" si="0"/>
        <v>45</v>
      </c>
      <c r="H4" s="147"/>
      <c r="I4" s="147"/>
    </row>
    <row r="5" spans="1:9" s="4" customFormat="1" ht="21" customHeight="1" x14ac:dyDescent="0.15">
      <c r="A5" s="158" t="s">
        <v>239</v>
      </c>
      <c r="B5" s="153"/>
      <c r="C5" s="154"/>
      <c r="D5" s="24">
        <v>9</v>
      </c>
      <c r="E5" s="24">
        <v>18</v>
      </c>
      <c r="F5" s="24">
        <v>28</v>
      </c>
      <c r="G5" s="35">
        <v>38</v>
      </c>
      <c r="H5" s="154"/>
      <c r="I5" s="154"/>
    </row>
    <row r="6" spans="1:9" s="4" customFormat="1" ht="21" customHeight="1" x14ac:dyDescent="0.15">
      <c r="A6" s="158" t="s">
        <v>240</v>
      </c>
      <c r="B6" s="153"/>
      <c r="C6" s="154"/>
      <c r="D6" s="24">
        <v>7</v>
      </c>
      <c r="E6" s="24">
        <v>16</v>
      </c>
      <c r="F6" s="63" t="s">
        <v>11</v>
      </c>
      <c r="G6" s="63" t="s">
        <v>11</v>
      </c>
      <c r="H6" s="154"/>
      <c r="I6" s="154"/>
    </row>
    <row r="7" spans="1:9" ht="21" customHeight="1" x14ac:dyDescent="0.15">
      <c r="A7" s="68" t="s">
        <v>241</v>
      </c>
      <c r="B7" s="41" t="s">
        <v>11</v>
      </c>
      <c r="C7" s="41" t="s">
        <v>11</v>
      </c>
      <c r="D7" s="35" t="s">
        <v>236</v>
      </c>
      <c r="E7" s="35" t="s">
        <v>236</v>
      </c>
      <c r="F7" s="35" t="s">
        <v>236</v>
      </c>
      <c r="G7" s="35" t="s">
        <v>236</v>
      </c>
      <c r="H7" s="35" t="s">
        <v>236</v>
      </c>
      <c r="I7" s="35" t="s">
        <v>236</v>
      </c>
    </row>
    <row r="8" spans="1:9" ht="21" customHeight="1" x14ac:dyDescent="0.15">
      <c r="A8" s="69" t="s">
        <v>242</v>
      </c>
      <c r="B8" s="41" t="s">
        <v>11</v>
      </c>
      <c r="C8" s="41" t="s">
        <v>11</v>
      </c>
      <c r="D8" s="35" t="s">
        <v>236</v>
      </c>
      <c r="E8" s="35">
        <v>30</v>
      </c>
      <c r="F8" s="35">
        <v>40</v>
      </c>
      <c r="G8" s="35">
        <f>15+F8</f>
        <v>55</v>
      </c>
      <c r="H8" s="35" t="s">
        <v>236</v>
      </c>
      <c r="I8" s="35" t="s">
        <v>236</v>
      </c>
    </row>
    <row r="9" spans="1:9" s="40" customFormat="1" ht="21" customHeight="1" x14ac:dyDescent="0.15">
      <c r="A9" s="70" t="s">
        <v>310</v>
      </c>
      <c r="B9" s="24" t="s">
        <v>11</v>
      </c>
      <c r="C9" s="24" t="s">
        <v>11</v>
      </c>
      <c r="D9" s="100" t="s">
        <v>109</v>
      </c>
      <c r="E9" s="100" t="s">
        <v>109</v>
      </c>
      <c r="F9" s="100">
        <v>38</v>
      </c>
      <c r="G9" s="35">
        <f>15+F9</f>
        <v>53</v>
      </c>
      <c r="H9" s="100" t="s">
        <v>109</v>
      </c>
      <c r="I9" s="100" t="s">
        <v>109</v>
      </c>
    </row>
    <row r="10" spans="1:9" s="40" customFormat="1" ht="21" customHeight="1" x14ac:dyDescent="0.15">
      <c r="A10" s="70" t="s">
        <v>243</v>
      </c>
      <c r="B10" s="24" t="s">
        <v>11</v>
      </c>
      <c r="C10" s="24" t="s">
        <v>11</v>
      </c>
      <c r="D10" s="100" t="s">
        <v>236</v>
      </c>
      <c r="E10" s="100">
        <v>25</v>
      </c>
      <c r="F10" s="100">
        <v>35</v>
      </c>
      <c r="G10" s="35">
        <f t="shared" ref="G10:G11" si="1">15+F10</f>
        <v>50</v>
      </c>
      <c r="H10" s="100" t="s">
        <v>236</v>
      </c>
      <c r="I10" s="100" t="s">
        <v>236</v>
      </c>
    </row>
    <row r="11" spans="1:9" ht="21" customHeight="1" x14ac:dyDescent="0.15">
      <c r="A11" s="70" t="s">
        <v>9</v>
      </c>
      <c r="B11" s="63" t="s">
        <v>11</v>
      </c>
      <c r="C11" s="63" t="s">
        <v>11</v>
      </c>
      <c r="D11" s="24">
        <v>10</v>
      </c>
      <c r="E11" s="24">
        <v>20</v>
      </c>
      <c r="F11" s="24">
        <v>30</v>
      </c>
      <c r="G11" s="35">
        <f t="shared" si="1"/>
        <v>45</v>
      </c>
      <c r="H11" s="63" t="s">
        <v>11</v>
      </c>
      <c r="I11" s="63" t="s">
        <v>11</v>
      </c>
    </row>
    <row r="12" spans="1:9" ht="21" customHeight="1" x14ac:dyDescent="0.15">
      <c r="A12" s="70" t="s">
        <v>244</v>
      </c>
      <c r="B12" s="63" t="s">
        <v>11</v>
      </c>
      <c r="C12" s="63" t="s">
        <v>11</v>
      </c>
      <c r="D12" s="24">
        <v>9</v>
      </c>
      <c r="E12" s="24">
        <v>18</v>
      </c>
      <c r="F12" s="24">
        <v>28</v>
      </c>
      <c r="G12" s="35">
        <v>38</v>
      </c>
      <c r="H12" s="63" t="s">
        <v>11</v>
      </c>
      <c r="I12" s="63" t="s">
        <v>11</v>
      </c>
    </row>
    <row r="13" spans="1:9" ht="21" customHeight="1" x14ac:dyDescent="0.15">
      <c r="A13" s="70" t="s">
        <v>245</v>
      </c>
      <c r="B13" s="63" t="s">
        <v>11</v>
      </c>
      <c r="C13" s="63" t="s">
        <v>11</v>
      </c>
      <c r="D13" s="24">
        <v>7</v>
      </c>
      <c r="E13" s="24">
        <v>16</v>
      </c>
      <c r="F13" s="176">
        <v>26</v>
      </c>
      <c r="G13" s="63" t="s">
        <v>11</v>
      </c>
      <c r="H13" s="63" t="s">
        <v>11</v>
      </c>
      <c r="I13" s="63" t="s">
        <v>11</v>
      </c>
    </row>
    <row r="14" spans="1:9" ht="21" customHeight="1" x14ac:dyDescent="0.15">
      <c r="A14" s="99" t="s">
        <v>246</v>
      </c>
      <c r="B14" s="63" t="s">
        <v>11</v>
      </c>
      <c r="C14" s="63" t="s">
        <v>11</v>
      </c>
      <c r="D14" s="24">
        <v>8</v>
      </c>
      <c r="E14" s="24">
        <v>17</v>
      </c>
      <c r="F14" s="24">
        <v>26</v>
      </c>
      <c r="G14" s="63" t="s">
        <v>11</v>
      </c>
      <c r="H14" s="63" t="s">
        <v>11</v>
      </c>
      <c r="I14" s="63" t="s">
        <v>11</v>
      </c>
    </row>
    <row r="15" spans="1:9" ht="21" customHeight="1" x14ac:dyDescent="0.15">
      <c r="A15" s="70" t="s">
        <v>247</v>
      </c>
      <c r="B15" s="63" t="s">
        <v>11</v>
      </c>
      <c r="C15" s="63" t="s">
        <v>11</v>
      </c>
      <c r="D15" s="24">
        <v>8</v>
      </c>
      <c r="E15" s="24">
        <v>17</v>
      </c>
      <c r="F15" s="24">
        <v>26</v>
      </c>
      <c r="G15" s="63" t="s">
        <v>11</v>
      </c>
      <c r="H15" s="63" t="s">
        <v>11</v>
      </c>
      <c r="I15" s="63" t="s">
        <v>11</v>
      </c>
    </row>
    <row r="16" spans="1:9" ht="21" customHeight="1" x14ac:dyDescent="0.15">
      <c r="A16" s="70" t="s">
        <v>248</v>
      </c>
      <c r="B16" s="63" t="s">
        <v>11</v>
      </c>
      <c r="C16" s="63" t="s">
        <v>11</v>
      </c>
      <c r="D16" s="24">
        <v>6</v>
      </c>
      <c r="E16" s="24">
        <v>14</v>
      </c>
      <c r="F16" s="63" t="s">
        <v>11</v>
      </c>
      <c r="G16" s="63" t="s">
        <v>11</v>
      </c>
      <c r="H16" s="63" t="s">
        <v>11</v>
      </c>
      <c r="I16" s="63" t="s">
        <v>11</v>
      </c>
    </row>
    <row r="17" spans="1:9" ht="21" customHeight="1" x14ac:dyDescent="0.15">
      <c r="A17" s="70" t="s">
        <v>249</v>
      </c>
      <c r="B17" s="63" t="s">
        <v>11</v>
      </c>
      <c r="C17" s="24">
        <v>4</v>
      </c>
      <c r="D17" s="24">
        <v>6</v>
      </c>
      <c r="E17" s="24">
        <v>14</v>
      </c>
      <c r="F17" s="63" t="s">
        <v>11</v>
      </c>
      <c r="G17" s="63" t="s">
        <v>11</v>
      </c>
      <c r="H17" s="63" t="s">
        <v>11</v>
      </c>
      <c r="I17" s="63" t="s">
        <v>11</v>
      </c>
    </row>
    <row r="18" spans="1:9" ht="21" customHeight="1" x14ac:dyDescent="0.15">
      <c r="A18" s="70" t="s">
        <v>8</v>
      </c>
      <c r="B18" s="24">
        <v>2</v>
      </c>
      <c r="C18" s="24">
        <v>4</v>
      </c>
      <c r="D18" s="24">
        <v>6</v>
      </c>
      <c r="E18" s="63" t="s">
        <v>11</v>
      </c>
      <c r="F18" s="63" t="s">
        <v>11</v>
      </c>
      <c r="G18" s="63" t="s">
        <v>11</v>
      </c>
      <c r="H18" s="63" t="s">
        <v>11</v>
      </c>
      <c r="I18" s="63" t="s">
        <v>11</v>
      </c>
    </row>
    <row r="19" spans="1:9" ht="21" customHeight="1" x14ac:dyDescent="0.15">
      <c r="A19" s="71" t="s">
        <v>7</v>
      </c>
      <c r="B19" s="27">
        <v>1</v>
      </c>
      <c r="C19" s="27">
        <v>2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250</v>
      </c>
      <c r="B20" s="22">
        <v>1</v>
      </c>
      <c r="C20" s="22">
        <v>1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3" t="s">
        <v>251</v>
      </c>
      <c r="B21" s="32">
        <v>99</v>
      </c>
      <c r="C21" s="32">
        <v>99</v>
      </c>
      <c r="D21" s="32">
        <v>99</v>
      </c>
      <c r="E21" s="32">
        <v>99</v>
      </c>
      <c r="F21" s="32">
        <v>99</v>
      </c>
      <c r="G21" s="32">
        <v>99</v>
      </c>
      <c r="H21" s="32">
        <v>99</v>
      </c>
      <c r="I21" s="32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19"/>
  </cols>
  <sheetData>
    <row r="1" spans="1:9" ht="21" customHeight="1" x14ac:dyDescent="0.15">
      <c r="A1" s="28" t="s">
        <v>10</v>
      </c>
      <c r="B1" s="18">
        <v>1</v>
      </c>
      <c r="C1" s="18">
        <v>2</v>
      </c>
      <c r="D1" s="18">
        <v>3</v>
      </c>
      <c r="E1" s="18">
        <v>4</v>
      </c>
      <c r="F1" s="18">
        <v>5</v>
      </c>
      <c r="G1" s="18">
        <v>6</v>
      </c>
      <c r="H1" s="18">
        <v>7</v>
      </c>
      <c r="I1" s="18">
        <v>8</v>
      </c>
    </row>
    <row r="2" spans="1:9" s="4" customFormat="1" ht="21" customHeight="1" x14ac:dyDescent="0.15">
      <c r="A2" s="139" t="s">
        <v>235</v>
      </c>
      <c r="B2" s="155"/>
      <c r="C2" s="141"/>
      <c r="D2" s="149" t="s">
        <v>109</v>
      </c>
      <c r="E2" s="149">
        <v>60</v>
      </c>
      <c r="F2" s="149">
        <v>80</v>
      </c>
      <c r="G2" s="149">
        <v>99</v>
      </c>
      <c r="H2" s="141"/>
      <c r="I2" s="141"/>
    </row>
    <row r="3" spans="1:9" s="4" customFormat="1" ht="21" customHeight="1" x14ac:dyDescent="0.15">
      <c r="A3" s="139" t="s">
        <v>237</v>
      </c>
      <c r="B3" s="156"/>
      <c r="C3" s="144"/>
      <c r="D3" s="149" t="s">
        <v>109</v>
      </c>
      <c r="E3" s="149">
        <v>60</v>
      </c>
      <c r="F3" s="149">
        <v>80</v>
      </c>
      <c r="G3" s="149">
        <v>99</v>
      </c>
      <c r="H3" s="144"/>
      <c r="I3" s="144"/>
    </row>
    <row r="4" spans="1:9" s="4" customFormat="1" ht="21" customHeight="1" x14ac:dyDescent="0.15">
      <c r="A4" s="139" t="s">
        <v>231</v>
      </c>
      <c r="B4" s="157"/>
      <c r="C4" s="147"/>
      <c r="D4" s="149">
        <v>40</v>
      </c>
      <c r="E4" s="149">
        <v>60</v>
      </c>
      <c r="F4" s="149">
        <v>80</v>
      </c>
      <c r="G4" s="149">
        <v>99</v>
      </c>
      <c r="H4" s="147"/>
      <c r="I4" s="147"/>
    </row>
    <row r="5" spans="1:9" s="4" customFormat="1" ht="21" customHeight="1" x14ac:dyDescent="0.15">
      <c r="A5" s="158" t="s">
        <v>239</v>
      </c>
      <c r="B5" s="153"/>
      <c r="C5" s="154"/>
      <c r="D5" s="149">
        <v>40</v>
      </c>
      <c r="E5" s="149">
        <v>60</v>
      </c>
      <c r="F5" s="149">
        <v>80</v>
      </c>
      <c r="G5" s="149">
        <v>99</v>
      </c>
      <c r="H5" s="154"/>
      <c r="I5" s="154"/>
    </row>
    <row r="6" spans="1:9" s="4" customFormat="1" ht="21" customHeight="1" x14ac:dyDescent="0.15">
      <c r="A6" s="158" t="s">
        <v>240</v>
      </c>
      <c r="B6" s="153"/>
      <c r="C6" s="154"/>
      <c r="D6" s="149">
        <v>40</v>
      </c>
      <c r="E6" s="149">
        <v>60</v>
      </c>
      <c r="F6" s="149" t="s">
        <v>109</v>
      </c>
      <c r="G6" s="149" t="s">
        <v>109</v>
      </c>
      <c r="H6" s="154"/>
      <c r="I6" s="154"/>
    </row>
    <row r="7" spans="1:9" ht="21" customHeight="1" x14ac:dyDescent="0.15">
      <c r="A7" s="68" t="s">
        <v>207</v>
      </c>
      <c r="B7" s="36" t="s">
        <v>109</v>
      </c>
      <c r="C7" s="36" t="s">
        <v>109</v>
      </c>
      <c r="D7" s="36" t="s">
        <v>109</v>
      </c>
      <c r="E7" s="36" t="s">
        <v>109</v>
      </c>
      <c r="F7" s="36" t="s">
        <v>109</v>
      </c>
      <c r="G7" s="36" t="s">
        <v>109</v>
      </c>
      <c r="H7" s="36" t="s">
        <v>109</v>
      </c>
      <c r="I7" s="36" t="s">
        <v>109</v>
      </c>
    </row>
    <row r="8" spans="1:9" ht="21" customHeight="1" x14ac:dyDescent="0.15">
      <c r="A8" s="69" t="s">
        <v>242</v>
      </c>
      <c r="B8" s="36" t="s">
        <v>109</v>
      </c>
      <c r="C8" s="36" t="s">
        <v>109</v>
      </c>
      <c r="D8" s="36" t="s">
        <v>109</v>
      </c>
      <c r="E8" s="36">
        <v>60</v>
      </c>
      <c r="F8" s="36">
        <v>80</v>
      </c>
      <c r="G8" s="36">
        <v>99</v>
      </c>
      <c r="H8" s="36" t="s">
        <v>109</v>
      </c>
      <c r="I8" s="36" t="s">
        <v>109</v>
      </c>
    </row>
    <row r="9" spans="1:9" s="40" customFormat="1" ht="21" customHeight="1" x14ac:dyDescent="0.15">
      <c r="A9" s="70" t="s">
        <v>311</v>
      </c>
      <c r="B9" s="60" t="s">
        <v>109</v>
      </c>
      <c r="C9" s="60" t="s">
        <v>109</v>
      </c>
      <c r="D9" s="60" t="s">
        <v>109</v>
      </c>
      <c r="E9" s="60" t="s">
        <v>109</v>
      </c>
      <c r="F9" s="60">
        <v>80</v>
      </c>
      <c r="G9" s="60">
        <v>99</v>
      </c>
      <c r="H9" s="60" t="s">
        <v>109</v>
      </c>
      <c r="I9" s="60" t="s">
        <v>109</v>
      </c>
    </row>
    <row r="10" spans="1:9" s="40" customFormat="1" ht="21" customHeight="1" x14ac:dyDescent="0.15">
      <c r="A10" s="70" t="s">
        <v>243</v>
      </c>
      <c r="B10" s="60" t="s">
        <v>109</v>
      </c>
      <c r="C10" s="60" t="s">
        <v>109</v>
      </c>
      <c r="D10" s="60" t="s">
        <v>109</v>
      </c>
      <c r="E10" s="60">
        <v>60</v>
      </c>
      <c r="F10" s="60">
        <v>80</v>
      </c>
      <c r="G10" s="60">
        <v>99</v>
      </c>
      <c r="H10" s="60" t="s">
        <v>109</v>
      </c>
      <c r="I10" s="60" t="s">
        <v>109</v>
      </c>
    </row>
    <row r="11" spans="1:9" ht="21" customHeight="1" x14ac:dyDescent="0.15">
      <c r="A11" s="70" t="s">
        <v>9</v>
      </c>
      <c r="B11" s="65" t="s">
        <v>109</v>
      </c>
      <c r="C11" s="65" t="s">
        <v>109</v>
      </c>
      <c r="D11" s="32">
        <v>40</v>
      </c>
      <c r="E11" s="32">
        <v>60</v>
      </c>
      <c r="F11" s="32">
        <v>80</v>
      </c>
      <c r="G11" s="36">
        <v>99</v>
      </c>
      <c r="H11" s="65" t="s">
        <v>109</v>
      </c>
      <c r="I11" s="65" t="s">
        <v>109</v>
      </c>
    </row>
    <row r="12" spans="1:9" ht="21" customHeight="1" x14ac:dyDescent="0.15">
      <c r="A12" s="70" t="s">
        <v>210</v>
      </c>
      <c r="B12" s="65" t="s">
        <v>109</v>
      </c>
      <c r="C12" s="65" t="s">
        <v>109</v>
      </c>
      <c r="D12" s="32">
        <v>40</v>
      </c>
      <c r="E12" s="32">
        <v>60</v>
      </c>
      <c r="F12" s="32">
        <v>80</v>
      </c>
      <c r="G12" s="60">
        <v>99</v>
      </c>
      <c r="H12" s="65" t="s">
        <v>109</v>
      </c>
      <c r="I12" s="65" t="s">
        <v>109</v>
      </c>
    </row>
    <row r="13" spans="1:9" ht="21" customHeight="1" x14ac:dyDescent="0.15">
      <c r="A13" s="70" t="s">
        <v>206</v>
      </c>
      <c r="B13" s="65" t="s">
        <v>109</v>
      </c>
      <c r="C13" s="65" t="s">
        <v>109</v>
      </c>
      <c r="D13" s="32">
        <v>40</v>
      </c>
      <c r="E13" s="32">
        <v>60</v>
      </c>
      <c r="F13" s="177">
        <v>80</v>
      </c>
      <c r="G13" s="65" t="s">
        <v>109</v>
      </c>
      <c r="H13" s="65" t="s">
        <v>109</v>
      </c>
      <c r="I13" s="65" t="s">
        <v>109</v>
      </c>
    </row>
    <row r="14" spans="1:9" ht="21" customHeight="1" x14ac:dyDescent="0.15">
      <c r="A14" s="99" t="s">
        <v>246</v>
      </c>
      <c r="B14" s="65" t="s">
        <v>109</v>
      </c>
      <c r="C14" s="65" t="s">
        <v>109</v>
      </c>
      <c r="D14" s="32">
        <v>40</v>
      </c>
      <c r="E14" s="32">
        <v>60</v>
      </c>
      <c r="F14" s="32">
        <v>80</v>
      </c>
      <c r="G14" s="65" t="s">
        <v>109</v>
      </c>
      <c r="H14" s="65" t="s">
        <v>109</v>
      </c>
      <c r="I14" s="65" t="s">
        <v>109</v>
      </c>
    </row>
    <row r="15" spans="1:9" ht="21" customHeight="1" x14ac:dyDescent="0.15">
      <c r="A15" s="70" t="s">
        <v>247</v>
      </c>
      <c r="B15" s="65" t="s">
        <v>109</v>
      </c>
      <c r="C15" s="65" t="s">
        <v>109</v>
      </c>
      <c r="D15" s="32">
        <v>40</v>
      </c>
      <c r="E15" s="32">
        <v>60</v>
      </c>
      <c r="F15" s="32">
        <v>80</v>
      </c>
      <c r="G15" s="65" t="s">
        <v>109</v>
      </c>
      <c r="H15" s="65" t="s">
        <v>109</v>
      </c>
      <c r="I15" s="65" t="s">
        <v>109</v>
      </c>
    </row>
    <row r="16" spans="1:9" ht="21" customHeight="1" x14ac:dyDescent="0.15">
      <c r="A16" s="70" t="s">
        <v>105</v>
      </c>
      <c r="B16" s="65" t="s">
        <v>109</v>
      </c>
      <c r="C16" s="32">
        <v>30</v>
      </c>
      <c r="D16" s="32">
        <v>40</v>
      </c>
      <c r="E16" s="32">
        <v>60</v>
      </c>
      <c r="F16" s="65" t="s">
        <v>109</v>
      </c>
      <c r="G16" s="65" t="s">
        <v>109</v>
      </c>
      <c r="H16" s="65" t="s">
        <v>109</v>
      </c>
      <c r="I16" s="65" t="s">
        <v>109</v>
      </c>
    </row>
    <row r="17" spans="1:9" ht="21" customHeight="1" x14ac:dyDescent="0.15">
      <c r="A17" s="70" t="s">
        <v>249</v>
      </c>
      <c r="B17" s="65" t="s">
        <v>109</v>
      </c>
      <c r="C17" s="32">
        <v>30</v>
      </c>
      <c r="D17" s="32">
        <v>40</v>
      </c>
      <c r="E17" s="32">
        <v>60</v>
      </c>
      <c r="F17" s="65" t="s">
        <v>109</v>
      </c>
      <c r="G17" s="65" t="s">
        <v>109</v>
      </c>
      <c r="H17" s="65" t="s">
        <v>109</v>
      </c>
      <c r="I17" s="65" t="s">
        <v>109</v>
      </c>
    </row>
    <row r="18" spans="1:9" ht="21" customHeight="1" x14ac:dyDescent="0.15">
      <c r="A18" s="70" t="s">
        <v>8</v>
      </c>
      <c r="B18" s="32">
        <v>15</v>
      </c>
      <c r="C18" s="32">
        <v>30</v>
      </c>
      <c r="D18" s="32">
        <v>40</v>
      </c>
      <c r="E18" s="65" t="s">
        <v>109</v>
      </c>
      <c r="F18" s="65" t="s">
        <v>109</v>
      </c>
      <c r="G18" s="65" t="s">
        <v>109</v>
      </c>
      <c r="H18" s="65" t="s">
        <v>109</v>
      </c>
      <c r="I18" s="65" t="s">
        <v>109</v>
      </c>
    </row>
    <row r="19" spans="1:9" ht="21" customHeight="1" x14ac:dyDescent="0.15">
      <c r="A19" s="71" t="s">
        <v>7</v>
      </c>
      <c r="B19" s="32">
        <v>15</v>
      </c>
      <c r="C19" s="32">
        <v>30</v>
      </c>
      <c r="D19" s="32">
        <v>40</v>
      </c>
      <c r="E19" s="65" t="s">
        <v>216</v>
      </c>
      <c r="F19" s="65" t="s">
        <v>216</v>
      </c>
      <c r="G19" s="65" t="s">
        <v>216</v>
      </c>
      <c r="H19" s="65" t="s">
        <v>216</v>
      </c>
      <c r="I19" s="65" t="s">
        <v>216</v>
      </c>
    </row>
    <row r="20" spans="1:9" ht="21" customHeight="1" x14ac:dyDescent="0.15">
      <c r="A20" s="72" t="s">
        <v>250</v>
      </c>
      <c r="B20" s="32">
        <v>10</v>
      </c>
      <c r="C20" s="32">
        <v>20</v>
      </c>
      <c r="D20" s="65" t="s">
        <v>216</v>
      </c>
      <c r="E20" s="65" t="s">
        <v>216</v>
      </c>
      <c r="F20" s="65" t="s">
        <v>216</v>
      </c>
      <c r="G20" s="65" t="s">
        <v>216</v>
      </c>
      <c r="H20" s="65" t="s">
        <v>216</v>
      </c>
      <c r="I20" s="65" t="s">
        <v>216</v>
      </c>
    </row>
    <row r="21" spans="1:9" ht="21" customHeight="1" x14ac:dyDescent="0.15">
      <c r="A21" s="33" t="s">
        <v>251</v>
      </c>
      <c r="B21" s="32">
        <v>1</v>
      </c>
      <c r="C21" s="32">
        <v>1</v>
      </c>
      <c r="D21" s="32">
        <v>1</v>
      </c>
      <c r="E21" s="32">
        <v>1</v>
      </c>
      <c r="F21" s="32">
        <v>1</v>
      </c>
      <c r="G21" s="32">
        <v>1</v>
      </c>
      <c r="H21" s="32">
        <v>1</v>
      </c>
      <c r="I21" s="32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19"/>
  </cols>
  <sheetData>
    <row r="1" spans="1:11" ht="21" customHeight="1" x14ac:dyDescent="0.15">
      <c r="A1" s="43" t="s">
        <v>10</v>
      </c>
      <c r="B1" s="44">
        <v>1</v>
      </c>
      <c r="C1" s="44">
        <v>2</v>
      </c>
      <c r="D1" s="44">
        <v>3</v>
      </c>
      <c r="E1" s="44">
        <v>4</v>
      </c>
      <c r="F1" s="44">
        <v>5</v>
      </c>
      <c r="G1" s="44">
        <v>6</v>
      </c>
      <c r="H1" s="44">
        <v>7</v>
      </c>
      <c r="I1" s="44">
        <v>8</v>
      </c>
    </row>
    <row r="2" spans="1:11" s="4" customFormat="1" ht="21" customHeight="1" x14ac:dyDescent="0.15">
      <c r="A2" s="139" t="s">
        <v>235</v>
      </c>
      <c r="B2" s="140"/>
      <c r="C2" s="141"/>
      <c r="D2" s="149" t="s">
        <v>109</v>
      </c>
      <c r="E2" s="150" t="s">
        <v>59</v>
      </c>
      <c r="F2" s="150" t="s">
        <v>59</v>
      </c>
      <c r="G2" s="150" t="s">
        <v>252</v>
      </c>
      <c r="H2" s="141"/>
      <c r="I2" s="141"/>
    </row>
    <row r="3" spans="1:11" s="4" customFormat="1" ht="21" customHeight="1" x14ac:dyDescent="0.15">
      <c r="A3" s="139" t="s">
        <v>237</v>
      </c>
      <c r="B3" s="143"/>
      <c r="C3" s="144"/>
      <c r="D3" s="150" t="s">
        <v>59</v>
      </c>
      <c r="E3" s="150" t="s">
        <v>59</v>
      </c>
      <c r="F3" s="150" t="s">
        <v>59</v>
      </c>
      <c r="G3" s="150" t="s">
        <v>230</v>
      </c>
      <c r="H3" s="144"/>
      <c r="I3" s="144"/>
    </row>
    <row r="4" spans="1:11" s="4" customFormat="1" ht="21" customHeight="1" x14ac:dyDescent="0.15">
      <c r="A4" s="139" t="s">
        <v>231</v>
      </c>
      <c r="B4" s="146"/>
      <c r="C4" s="147"/>
      <c r="D4" s="151" t="s">
        <v>59</v>
      </c>
      <c r="E4" s="151" t="s">
        <v>59</v>
      </c>
      <c r="F4" s="151" t="s">
        <v>59</v>
      </c>
      <c r="G4" s="150" t="s">
        <v>230</v>
      </c>
      <c r="H4" s="147"/>
      <c r="I4" s="147"/>
    </row>
    <row r="5" spans="1:11" s="4" customFormat="1" ht="21" customHeight="1" x14ac:dyDescent="0.15">
      <c r="A5" s="158" t="s">
        <v>239</v>
      </c>
      <c r="B5" s="153"/>
      <c r="C5" s="154"/>
      <c r="D5" s="151" t="s">
        <v>59</v>
      </c>
      <c r="E5" s="151" t="s">
        <v>59</v>
      </c>
      <c r="F5" s="151" t="s">
        <v>59</v>
      </c>
      <c r="G5" s="150" t="s">
        <v>220</v>
      </c>
      <c r="H5" s="154"/>
      <c r="I5" s="154"/>
    </row>
    <row r="6" spans="1:11" s="4" customFormat="1" ht="21" customHeight="1" x14ac:dyDescent="0.15">
      <c r="A6" s="158" t="s">
        <v>240</v>
      </c>
      <c r="B6" s="153"/>
      <c r="C6" s="154"/>
      <c r="D6" s="159" t="s">
        <v>60</v>
      </c>
      <c r="E6" s="159" t="s">
        <v>60</v>
      </c>
      <c r="F6" s="149" t="s">
        <v>109</v>
      </c>
      <c r="G6" s="149" t="s">
        <v>109</v>
      </c>
      <c r="H6" s="154"/>
      <c r="I6" s="154"/>
    </row>
    <row r="7" spans="1:11" ht="21" customHeight="1" x14ac:dyDescent="0.15">
      <c r="A7" s="68" t="s">
        <v>207</v>
      </c>
      <c r="B7" s="36" t="s">
        <v>109</v>
      </c>
      <c r="C7" s="36" t="s">
        <v>109</v>
      </c>
      <c r="D7" s="36" t="s">
        <v>109</v>
      </c>
      <c r="E7" s="36" t="s">
        <v>109</v>
      </c>
      <c r="F7" s="36" t="s">
        <v>109</v>
      </c>
      <c r="G7" s="36" t="s">
        <v>109</v>
      </c>
      <c r="H7" s="36" t="s">
        <v>109</v>
      </c>
      <c r="I7" s="36" t="s">
        <v>109</v>
      </c>
    </row>
    <row r="8" spans="1:11" ht="21" customHeight="1" x14ac:dyDescent="0.15">
      <c r="A8" s="69" t="s">
        <v>242</v>
      </c>
      <c r="B8" s="36" t="s">
        <v>109</v>
      </c>
      <c r="C8" s="36" t="s">
        <v>109</v>
      </c>
      <c r="D8" s="36" t="s">
        <v>217</v>
      </c>
      <c r="E8" s="46" t="s">
        <v>115</v>
      </c>
      <c r="F8" s="46" t="s">
        <v>115</v>
      </c>
      <c r="G8" s="46" t="s">
        <v>218</v>
      </c>
      <c r="H8" s="36" t="s">
        <v>217</v>
      </c>
      <c r="I8" s="36" t="s">
        <v>109</v>
      </c>
    </row>
    <row r="9" spans="1:11" s="40" customFormat="1" ht="21" customHeight="1" x14ac:dyDescent="0.15">
      <c r="A9" s="70" t="s">
        <v>310</v>
      </c>
      <c r="B9" s="60" t="s">
        <v>109</v>
      </c>
      <c r="C9" s="60" t="s">
        <v>109</v>
      </c>
      <c r="D9" s="60" t="s">
        <v>109</v>
      </c>
      <c r="E9" s="60" t="s">
        <v>109</v>
      </c>
      <c r="F9" s="46" t="s">
        <v>59</v>
      </c>
      <c r="G9" s="46" t="s">
        <v>115</v>
      </c>
      <c r="H9" s="60" t="s">
        <v>109</v>
      </c>
      <c r="I9" s="60" t="s">
        <v>109</v>
      </c>
    </row>
    <row r="10" spans="1:11" s="40" customFormat="1" ht="21" customHeight="1" x14ac:dyDescent="0.15">
      <c r="A10" s="70" t="s">
        <v>243</v>
      </c>
      <c r="B10" s="60" t="s">
        <v>109</v>
      </c>
      <c r="C10" s="60" t="s">
        <v>109</v>
      </c>
      <c r="D10" s="60" t="s">
        <v>109</v>
      </c>
      <c r="E10" s="46" t="s">
        <v>59</v>
      </c>
      <c r="F10" s="46" t="s">
        <v>59</v>
      </c>
      <c r="G10" s="46" t="s">
        <v>115</v>
      </c>
      <c r="H10" s="60" t="s">
        <v>219</v>
      </c>
      <c r="I10" s="60" t="s">
        <v>219</v>
      </c>
    </row>
    <row r="11" spans="1:11" ht="21" customHeight="1" x14ac:dyDescent="0.15">
      <c r="A11" s="70" t="s">
        <v>9</v>
      </c>
      <c r="B11" s="65" t="s">
        <v>109</v>
      </c>
      <c r="C11" s="65" t="s">
        <v>109</v>
      </c>
      <c r="D11" s="46" t="s">
        <v>59</v>
      </c>
      <c r="E11" s="46" t="s">
        <v>59</v>
      </c>
      <c r="F11" s="46" t="s">
        <v>59</v>
      </c>
      <c r="G11" s="46" t="s">
        <v>220</v>
      </c>
      <c r="H11" s="65" t="s">
        <v>219</v>
      </c>
      <c r="I11" s="65" t="s">
        <v>219</v>
      </c>
      <c r="K11" s="23" t="s">
        <v>12</v>
      </c>
    </row>
    <row r="12" spans="1:11" ht="21" customHeight="1" x14ac:dyDescent="0.15">
      <c r="A12" s="70" t="s">
        <v>210</v>
      </c>
      <c r="B12" s="65" t="s">
        <v>109</v>
      </c>
      <c r="C12" s="65" t="s">
        <v>109</v>
      </c>
      <c r="D12" s="47" t="s">
        <v>59</v>
      </c>
      <c r="E12" s="47" t="s">
        <v>59</v>
      </c>
      <c r="F12" s="47" t="s">
        <v>59</v>
      </c>
      <c r="G12" s="46" t="s">
        <v>220</v>
      </c>
      <c r="H12" s="65" t="s">
        <v>219</v>
      </c>
      <c r="I12" s="65" t="s">
        <v>219</v>
      </c>
      <c r="K12" s="25" t="s">
        <v>13</v>
      </c>
    </row>
    <row r="13" spans="1:11" ht="21" customHeight="1" x14ac:dyDescent="0.15">
      <c r="A13" s="70" t="s">
        <v>206</v>
      </c>
      <c r="B13" s="65" t="s">
        <v>109</v>
      </c>
      <c r="C13" s="65" t="s">
        <v>109</v>
      </c>
      <c r="D13" s="48" t="s">
        <v>60</v>
      </c>
      <c r="E13" s="48" t="s">
        <v>60</v>
      </c>
      <c r="F13" s="178" t="s">
        <v>59</v>
      </c>
      <c r="G13" s="65" t="s">
        <v>109</v>
      </c>
      <c r="H13" s="65" t="s">
        <v>109</v>
      </c>
      <c r="I13" s="65" t="s">
        <v>109</v>
      </c>
      <c r="K13" s="66" t="s">
        <v>35</v>
      </c>
    </row>
    <row r="14" spans="1:11" ht="21" customHeight="1" x14ac:dyDescent="0.15">
      <c r="A14" s="99" t="s">
        <v>246</v>
      </c>
      <c r="B14" s="65" t="s">
        <v>109</v>
      </c>
      <c r="C14" s="65" t="s">
        <v>109</v>
      </c>
      <c r="D14" s="49" t="s">
        <v>59</v>
      </c>
      <c r="E14" s="49" t="s">
        <v>59</v>
      </c>
      <c r="F14" s="49" t="s">
        <v>59</v>
      </c>
      <c r="G14" s="65" t="s">
        <v>109</v>
      </c>
      <c r="H14" s="65" t="s">
        <v>109</v>
      </c>
      <c r="I14" s="65" t="s">
        <v>109</v>
      </c>
      <c r="K14" s="67"/>
    </row>
    <row r="15" spans="1:11" ht="21" customHeight="1" x14ac:dyDescent="0.15">
      <c r="A15" s="70" t="s">
        <v>247</v>
      </c>
      <c r="B15" s="65" t="s">
        <v>109</v>
      </c>
      <c r="C15" s="65" t="s">
        <v>109</v>
      </c>
      <c r="D15" s="49" t="s">
        <v>59</v>
      </c>
      <c r="E15" s="49" t="s">
        <v>59</v>
      </c>
      <c r="F15" s="49" t="s">
        <v>59</v>
      </c>
      <c r="G15" s="65" t="s">
        <v>109</v>
      </c>
      <c r="H15" s="65" t="s">
        <v>109</v>
      </c>
      <c r="I15" s="65" t="s">
        <v>109</v>
      </c>
    </row>
    <row r="16" spans="1:11" ht="21" customHeight="1" x14ac:dyDescent="0.15">
      <c r="A16" s="70" t="s">
        <v>105</v>
      </c>
      <c r="B16" s="65" t="s">
        <v>109</v>
      </c>
      <c r="C16" s="65" t="s">
        <v>109</v>
      </c>
      <c r="D16" s="49" t="s">
        <v>60</v>
      </c>
      <c r="E16" s="49" t="s">
        <v>60</v>
      </c>
      <c r="F16" s="65" t="s">
        <v>109</v>
      </c>
      <c r="G16" s="65" t="s">
        <v>109</v>
      </c>
      <c r="H16" s="65" t="s">
        <v>109</v>
      </c>
      <c r="I16" s="65" t="s">
        <v>109</v>
      </c>
    </row>
    <row r="17" spans="1:9" ht="21" customHeight="1" x14ac:dyDescent="0.15">
      <c r="A17" s="70" t="s">
        <v>249</v>
      </c>
      <c r="B17" s="65" t="s">
        <v>109</v>
      </c>
      <c r="C17" s="49" t="s">
        <v>60</v>
      </c>
      <c r="D17" s="49" t="s">
        <v>60</v>
      </c>
      <c r="E17" s="49" t="s">
        <v>60</v>
      </c>
      <c r="F17" s="65" t="s">
        <v>109</v>
      </c>
      <c r="G17" s="65" t="s">
        <v>109</v>
      </c>
      <c r="H17" s="65" t="s">
        <v>109</v>
      </c>
      <c r="I17" s="65" t="s">
        <v>109</v>
      </c>
    </row>
    <row r="18" spans="1:9" ht="21" customHeight="1" x14ac:dyDescent="0.15">
      <c r="A18" s="70" t="s">
        <v>8</v>
      </c>
      <c r="B18" s="50" t="s">
        <v>61</v>
      </c>
      <c r="C18" s="50" t="s">
        <v>61</v>
      </c>
      <c r="D18" s="50" t="s">
        <v>61</v>
      </c>
      <c r="E18" s="65" t="s">
        <v>109</v>
      </c>
      <c r="F18" s="65" t="s">
        <v>109</v>
      </c>
      <c r="G18" s="65" t="s">
        <v>109</v>
      </c>
      <c r="H18" s="65" t="s">
        <v>109</v>
      </c>
      <c r="I18" s="65" t="s">
        <v>109</v>
      </c>
    </row>
    <row r="19" spans="1:9" ht="21" customHeight="1" x14ac:dyDescent="0.15">
      <c r="A19" s="71" t="s">
        <v>7</v>
      </c>
      <c r="B19" s="45" t="s">
        <v>62</v>
      </c>
      <c r="C19" s="45" t="s">
        <v>62</v>
      </c>
      <c r="D19" s="65" t="s">
        <v>109</v>
      </c>
      <c r="E19" s="65" t="s">
        <v>109</v>
      </c>
      <c r="F19" s="65" t="s">
        <v>109</v>
      </c>
      <c r="G19" s="65" t="s">
        <v>109</v>
      </c>
      <c r="H19" s="65" t="s">
        <v>109</v>
      </c>
      <c r="I19" s="65" t="s">
        <v>109</v>
      </c>
    </row>
    <row r="20" spans="1:9" ht="21" customHeight="1" x14ac:dyDescent="0.15">
      <c r="A20" s="72" t="s">
        <v>250</v>
      </c>
      <c r="B20" s="47" t="s">
        <v>63</v>
      </c>
      <c r="C20" s="47" t="s">
        <v>63</v>
      </c>
      <c r="D20" s="65" t="s">
        <v>109</v>
      </c>
      <c r="E20" s="65" t="s">
        <v>109</v>
      </c>
      <c r="F20" s="65" t="s">
        <v>109</v>
      </c>
      <c r="G20" s="65" t="s">
        <v>109</v>
      </c>
      <c r="H20" s="65" t="s">
        <v>109</v>
      </c>
      <c r="I20" s="65" t="s">
        <v>109</v>
      </c>
    </row>
    <row r="21" spans="1:9" ht="21" customHeight="1" x14ac:dyDescent="0.15">
      <c r="A21" s="33" t="s">
        <v>251</v>
      </c>
      <c r="B21" s="73" t="s">
        <v>47</v>
      </c>
      <c r="C21" s="73" t="s">
        <v>47</v>
      </c>
      <c r="D21" s="73" t="s">
        <v>47</v>
      </c>
      <c r="E21" s="73" t="s">
        <v>47</v>
      </c>
      <c r="F21" s="73" t="s">
        <v>47</v>
      </c>
      <c r="G21" s="73" t="s">
        <v>47</v>
      </c>
      <c r="H21" s="73" t="s">
        <v>47</v>
      </c>
      <c r="I21" s="73" t="s">
        <v>47</v>
      </c>
    </row>
    <row r="26" spans="1:9" ht="21" customHeight="1" x14ac:dyDescent="0.15">
      <c r="A26" s="19" t="s">
        <v>14</v>
      </c>
    </row>
    <row r="27" spans="1:9" ht="21" customHeight="1" x14ac:dyDescent="0.15">
      <c r="A27" s="17" t="s">
        <v>64</v>
      </c>
      <c r="B27" s="17" t="s">
        <v>65</v>
      </c>
    </row>
    <row r="28" spans="1:9" ht="21" customHeight="1" x14ac:dyDescent="0.15">
      <c r="A28" s="20">
        <v>1</v>
      </c>
      <c r="B28" s="20">
        <v>200</v>
      </c>
    </row>
    <row r="29" spans="1:9" ht="21" customHeight="1" x14ac:dyDescent="0.15">
      <c r="A29" s="20">
        <v>2</v>
      </c>
      <c r="B29" s="20">
        <v>600</v>
      </c>
    </row>
    <row r="30" spans="1:9" ht="21" customHeight="1" x14ac:dyDescent="0.15">
      <c r="A30" s="20">
        <v>3</v>
      </c>
      <c r="B30" s="20">
        <v>1500</v>
      </c>
    </row>
    <row r="31" spans="1:9" ht="21" customHeight="1" x14ac:dyDescent="0.15">
      <c r="A31" s="20">
        <v>4</v>
      </c>
      <c r="B31" s="20">
        <v>3400</v>
      </c>
    </row>
    <row r="32" spans="1:9" ht="21" customHeight="1" x14ac:dyDescent="0.15">
      <c r="A32" s="20">
        <v>5</v>
      </c>
      <c r="B32" s="20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19"/>
  </cols>
  <sheetData>
    <row r="1" spans="1:9" s="4" customFormat="1" ht="21" customHeight="1" x14ac:dyDescent="0.15">
      <c r="A1" s="28" t="s">
        <v>10</v>
      </c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</row>
    <row r="2" spans="1:9" s="4" customFormat="1" ht="21" customHeight="1" x14ac:dyDescent="0.15">
      <c r="A2" s="139" t="s">
        <v>228</v>
      </c>
      <c r="B2" s="140"/>
      <c r="C2" s="141"/>
      <c r="D2" s="152" t="s">
        <v>11</v>
      </c>
      <c r="E2" s="152">
        <v>8000</v>
      </c>
      <c r="F2" s="152">
        <v>10000</v>
      </c>
      <c r="G2" s="152">
        <v>14000</v>
      </c>
      <c r="H2" s="141"/>
      <c r="I2" s="141"/>
    </row>
    <row r="3" spans="1:9" s="4" customFormat="1" ht="21" customHeight="1" x14ac:dyDescent="0.15">
      <c r="A3" s="139" t="s">
        <v>229</v>
      </c>
      <c r="B3" s="143"/>
      <c r="C3" s="144"/>
      <c r="D3" s="152" t="s">
        <v>11</v>
      </c>
      <c r="E3" s="152">
        <v>7500</v>
      </c>
      <c r="F3" s="152">
        <v>9500</v>
      </c>
      <c r="G3" s="152">
        <v>13000</v>
      </c>
      <c r="H3" s="144"/>
      <c r="I3" s="144"/>
    </row>
    <row r="4" spans="1:9" s="4" customFormat="1" ht="21" customHeight="1" x14ac:dyDescent="0.15">
      <c r="A4" s="139" t="s">
        <v>231</v>
      </c>
      <c r="B4" s="146"/>
      <c r="C4" s="147"/>
      <c r="D4" s="152">
        <v>5000</v>
      </c>
      <c r="E4" s="152">
        <v>7000</v>
      </c>
      <c r="F4" s="152">
        <v>9000</v>
      </c>
      <c r="G4" s="152">
        <v>12000</v>
      </c>
      <c r="H4" s="147"/>
      <c r="I4" s="147"/>
    </row>
    <row r="5" spans="1:9" s="4" customFormat="1" ht="21" customHeight="1" x14ac:dyDescent="0.15">
      <c r="A5" s="158" t="s">
        <v>232</v>
      </c>
      <c r="B5" s="153"/>
      <c r="C5" s="154"/>
      <c r="D5" s="152">
        <v>4900</v>
      </c>
      <c r="E5" s="152">
        <v>6700</v>
      </c>
      <c r="F5" s="152">
        <v>8500</v>
      </c>
      <c r="G5" s="152">
        <v>11000</v>
      </c>
      <c r="H5" s="154"/>
      <c r="I5" s="154"/>
    </row>
    <row r="6" spans="1:9" s="4" customFormat="1" ht="21" customHeight="1" x14ac:dyDescent="0.15">
      <c r="A6" s="158" t="s">
        <v>233</v>
      </c>
      <c r="B6" s="153"/>
      <c r="C6" s="154"/>
      <c r="D6" s="152">
        <v>4800</v>
      </c>
      <c r="E6" s="152">
        <v>6600</v>
      </c>
      <c r="F6" s="152" t="s">
        <v>11</v>
      </c>
      <c r="G6" s="152" t="s">
        <v>11</v>
      </c>
      <c r="H6" s="154"/>
      <c r="I6" s="154"/>
    </row>
    <row r="7" spans="1:9" ht="21" customHeight="1" x14ac:dyDescent="0.15">
      <c r="A7" s="68" t="s">
        <v>207</v>
      </c>
      <c r="B7" s="41" t="s">
        <v>11</v>
      </c>
      <c r="C7" s="41" t="s">
        <v>11</v>
      </c>
      <c r="D7" s="41" t="s">
        <v>11</v>
      </c>
      <c r="E7" s="41" t="s">
        <v>11</v>
      </c>
      <c r="F7" s="41" t="s">
        <v>11</v>
      </c>
      <c r="G7" s="41" t="s">
        <v>11</v>
      </c>
      <c r="H7" s="41" t="s">
        <v>11</v>
      </c>
      <c r="I7" s="41" t="s">
        <v>11</v>
      </c>
    </row>
    <row r="8" spans="1:9" ht="21" customHeight="1" x14ac:dyDescent="0.15">
      <c r="A8" s="69" t="s">
        <v>208</v>
      </c>
      <c r="B8" s="41" t="s">
        <v>11</v>
      </c>
      <c r="C8" s="41" t="s">
        <v>11</v>
      </c>
      <c r="D8" s="41" t="s">
        <v>11</v>
      </c>
      <c r="E8" s="41">
        <v>8000</v>
      </c>
      <c r="F8" s="24">
        <v>10000</v>
      </c>
      <c r="G8" s="41">
        <v>14000</v>
      </c>
      <c r="H8" s="41" t="s">
        <v>11</v>
      </c>
      <c r="I8" s="41" t="s">
        <v>11</v>
      </c>
    </row>
    <row r="9" spans="1:9" s="40" customFormat="1" ht="21" customHeight="1" x14ac:dyDescent="0.15">
      <c r="A9" s="175" t="s">
        <v>312</v>
      </c>
      <c r="B9" s="24" t="s">
        <v>11</v>
      </c>
      <c r="C9" s="24" t="s">
        <v>11</v>
      </c>
      <c r="D9" s="24" t="s">
        <v>11</v>
      </c>
      <c r="E9" s="24" t="s">
        <v>11</v>
      </c>
      <c r="F9" s="24">
        <v>10000</v>
      </c>
      <c r="G9" s="41">
        <v>14000</v>
      </c>
      <c r="H9" s="24" t="s">
        <v>11</v>
      </c>
      <c r="I9" s="24" t="s">
        <v>11</v>
      </c>
    </row>
    <row r="10" spans="1:9" s="40" customFormat="1" ht="21" customHeight="1" x14ac:dyDescent="0.15">
      <c r="A10" s="70" t="s">
        <v>209</v>
      </c>
      <c r="B10" s="24" t="s">
        <v>11</v>
      </c>
      <c r="C10" s="24" t="s">
        <v>11</v>
      </c>
      <c r="D10" s="24" t="s">
        <v>11</v>
      </c>
      <c r="E10" s="24">
        <v>7500</v>
      </c>
      <c r="F10" s="24">
        <v>9500</v>
      </c>
      <c r="G10" s="41">
        <v>13000</v>
      </c>
      <c r="H10" s="24" t="s">
        <v>11</v>
      </c>
      <c r="I10" s="24" t="s">
        <v>11</v>
      </c>
    </row>
    <row r="11" spans="1:9" ht="21" customHeight="1" x14ac:dyDescent="0.15">
      <c r="A11" s="70" t="s">
        <v>9</v>
      </c>
      <c r="B11" s="63" t="s">
        <v>11</v>
      </c>
      <c r="C11" s="63" t="s">
        <v>11</v>
      </c>
      <c r="D11" s="24">
        <v>5000</v>
      </c>
      <c r="E11" s="24">
        <v>7000</v>
      </c>
      <c r="F11" s="24">
        <v>9000</v>
      </c>
      <c r="G11" s="41">
        <v>12000</v>
      </c>
      <c r="H11" s="63" t="s">
        <v>11</v>
      </c>
      <c r="I11" s="63" t="s">
        <v>11</v>
      </c>
    </row>
    <row r="12" spans="1:9" ht="21" customHeight="1" x14ac:dyDescent="0.15">
      <c r="A12" s="70" t="s">
        <v>210</v>
      </c>
      <c r="B12" s="63" t="s">
        <v>11</v>
      </c>
      <c r="C12" s="63" t="s">
        <v>11</v>
      </c>
      <c r="D12" s="24">
        <v>4900</v>
      </c>
      <c r="E12" s="24">
        <v>6700</v>
      </c>
      <c r="F12" s="24">
        <v>8500</v>
      </c>
      <c r="G12" s="41">
        <v>11000</v>
      </c>
      <c r="H12" s="63" t="s">
        <v>11</v>
      </c>
      <c r="I12" s="63" t="s">
        <v>11</v>
      </c>
    </row>
    <row r="13" spans="1:9" ht="21" customHeight="1" x14ac:dyDescent="0.15">
      <c r="A13" s="70" t="s">
        <v>106</v>
      </c>
      <c r="B13" s="63" t="s">
        <v>11</v>
      </c>
      <c r="C13" s="63" t="s">
        <v>11</v>
      </c>
      <c r="D13" s="24">
        <v>4800</v>
      </c>
      <c r="E13" s="24">
        <v>6600</v>
      </c>
      <c r="F13" s="176">
        <v>9000</v>
      </c>
      <c r="G13" s="63" t="s">
        <v>11</v>
      </c>
      <c r="H13" s="63" t="s">
        <v>11</v>
      </c>
      <c r="I13" s="63" t="s">
        <v>11</v>
      </c>
    </row>
    <row r="14" spans="1:9" ht="21" customHeight="1" x14ac:dyDescent="0.15">
      <c r="A14" s="70" t="s">
        <v>211</v>
      </c>
      <c r="B14" s="63" t="s">
        <v>11</v>
      </c>
      <c r="C14" s="63" t="s">
        <v>11</v>
      </c>
      <c r="D14" s="63" t="s">
        <v>11</v>
      </c>
      <c r="E14" s="24">
        <v>6300</v>
      </c>
      <c r="F14" s="63" t="s">
        <v>11</v>
      </c>
      <c r="G14" s="63" t="s">
        <v>11</v>
      </c>
      <c r="H14" s="63" t="s">
        <v>11</v>
      </c>
      <c r="I14" s="63" t="s">
        <v>11</v>
      </c>
    </row>
    <row r="15" spans="1:9" ht="21" customHeight="1" x14ac:dyDescent="0.15">
      <c r="A15" s="70" t="s">
        <v>212</v>
      </c>
      <c r="B15" s="63" t="s">
        <v>11</v>
      </c>
      <c r="C15" s="63" t="s">
        <v>11</v>
      </c>
      <c r="D15" s="24">
        <v>4600</v>
      </c>
      <c r="E15" s="24">
        <v>5800</v>
      </c>
      <c r="F15" s="24">
        <v>7600</v>
      </c>
      <c r="G15" s="63" t="s">
        <v>11</v>
      </c>
      <c r="H15" s="63" t="s">
        <v>11</v>
      </c>
      <c r="I15" s="63" t="s">
        <v>11</v>
      </c>
    </row>
    <row r="16" spans="1:9" ht="21" customHeight="1" x14ac:dyDescent="0.15">
      <c r="A16" s="70" t="s">
        <v>105</v>
      </c>
      <c r="B16" s="63" t="s">
        <v>11</v>
      </c>
      <c r="C16" s="63" t="s">
        <v>11</v>
      </c>
      <c r="D16" s="24">
        <v>4400</v>
      </c>
      <c r="E16" s="24">
        <v>5600</v>
      </c>
      <c r="F16" s="63" t="s">
        <v>11</v>
      </c>
      <c r="G16" s="63" t="s">
        <v>11</v>
      </c>
      <c r="H16" s="63" t="s">
        <v>11</v>
      </c>
      <c r="I16" s="63" t="s">
        <v>11</v>
      </c>
    </row>
    <row r="17" spans="1:9" ht="21" customHeight="1" x14ac:dyDescent="0.15">
      <c r="A17" s="70" t="s">
        <v>213</v>
      </c>
      <c r="B17" s="63" t="s">
        <v>11</v>
      </c>
      <c r="C17" s="24">
        <v>3000</v>
      </c>
      <c r="D17" s="24">
        <v>4200</v>
      </c>
      <c r="E17" s="24">
        <v>5400</v>
      </c>
      <c r="F17" s="63" t="s">
        <v>11</v>
      </c>
      <c r="G17" s="63" t="s">
        <v>11</v>
      </c>
      <c r="H17" s="63" t="s">
        <v>11</v>
      </c>
      <c r="I17" s="63" t="s">
        <v>11</v>
      </c>
    </row>
    <row r="18" spans="1:9" ht="21" customHeight="1" x14ac:dyDescent="0.15">
      <c r="A18" s="70" t="s">
        <v>8</v>
      </c>
      <c r="B18" s="24">
        <v>2000</v>
      </c>
      <c r="C18" s="24">
        <v>2800</v>
      </c>
      <c r="D18" s="24">
        <v>4000</v>
      </c>
      <c r="E18" s="63" t="s">
        <v>11</v>
      </c>
      <c r="F18" s="63" t="s">
        <v>11</v>
      </c>
      <c r="G18" s="63" t="s">
        <v>11</v>
      </c>
      <c r="H18" s="63" t="s">
        <v>11</v>
      </c>
      <c r="I18" s="63" t="s">
        <v>11</v>
      </c>
    </row>
    <row r="19" spans="1:9" ht="21" customHeight="1" x14ac:dyDescent="0.15">
      <c r="A19" s="71" t="s">
        <v>7</v>
      </c>
      <c r="B19" s="24">
        <v>1750</v>
      </c>
      <c r="C19" s="24">
        <v>2550</v>
      </c>
      <c r="D19" s="63" t="s">
        <v>11</v>
      </c>
      <c r="E19" s="63" t="s">
        <v>11</v>
      </c>
      <c r="F19" s="63" t="s">
        <v>11</v>
      </c>
      <c r="G19" s="63" t="s">
        <v>11</v>
      </c>
      <c r="H19" s="63" t="s">
        <v>11</v>
      </c>
      <c r="I19" s="63" t="s">
        <v>11</v>
      </c>
    </row>
    <row r="20" spans="1:9" ht="21" customHeight="1" x14ac:dyDescent="0.15">
      <c r="A20" s="71" t="s">
        <v>214</v>
      </c>
      <c r="B20" s="24">
        <v>1500</v>
      </c>
      <c r="C20" s="24">
        <v>2300</v>
      </c>
      <c r="D20" s="63" t="s">
        <v>11</v>
      </c>
      <c r="E20" s="63" t="s">
        <v>11</v>
      </c>
      <c r="F20" s="63" t="s">
        <v>11</v>
      </c>
      <c r="G20" s="63" t="s">
        <v>11</v>
      </c>
      <c r="H20" s="63" t="s">
        <v>11</v>
      </c>
      <c r="I20" s="63" t="s">
        <v>11</v>
      </c>
    </row>
    <row r="21" spans="1:9" ht="21" customHeight="1" x14ac:dyDescent="0.15">
      <c r="A21" s="33" t="s">
        <v>215</v>
      </c>
      <c r="B21" s="32">
        <v>1000</v>
      </c>
      <c r="C21" s="32">
        <v>1000</v>
      </c>
      <c r="D21" s="32">
        <v>1000</v>
      </c>
      <c r="E21" s="32">
        <v>1000</v>
      </c>
      <c r="F21" s="32">
        <v>1000</v>
      </c>
      <c r="G21" s="32">
        <v>1000</v>
      </c>
      <c r="H21" s="32">
        <v>1000</v>
      </c>
      <c r="I21" s="32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19"/>
  </cols>
  <sheetData>
    <row r="1" spans="1:8" ht="21" customHeight="1" x14ac:dyDescent="0.15">
      <c r="A1" s="19" t="s">
        <v>111</v>
      </c>
      <c r="G1" s="19" t="s">
        <v>112</v>
      </c>
    </row>
    <row r="2" spans="1:8" ht="21" customHeight="1" x14ac:dyDescent="0.15">
      <c r="A2" s="17" t="s">
        <v>15</v>
      </c>
      <c r="B2" s="17" t="s">
        <v>16</v>
      </c>
      <c r="G2" s="17" t="s">
        <v>15</v>
      </c>
      <c r="H2" s="17" t="s">
        <v>16</v>
      </c>
    </row>
    <row r="3" spans="1:8" ht="21" customHeight="1" x14ac:dyDescent="0.15">
      <c r="A3" s="20">
        <v>1</v>
      </c>
      <c r="B3" s="29">
        <v>5000</v>
      </c>
      <c r="G3" s="20">
        <v>1</v>
      </c>
      <c r="H3" s="20">
        <v>75</v>
      </c>
    </row>
    <row r="4" spans="1:8" ht="21" customHeight="1" x14ac:dyDescent="0.15">
      <c r="A4" s="20">
        <v>2</v>
      </c>
      <c r="B4" s="21">
        <v>10000</v>
      </c>
      <c r="G4" s="20">
        <v>2</v>
      </c>
      <c r="H4" s="20">
        <v>150</v>
      </c>
    </row>
    <row r="5" spans="1:8" ht="21" customHeight="1" x14ac:dyDescent="0.15">
      <c r="A5" s="20">
        <v>3</v>
      </c>
      <c r="B5" s="21">
        <v>20000</v>
      </c>
      <c r="G5" s="20">
        <v>3</v>
      </c>
      <c r="H5" s="20">
        <v>300</v>
      </c>
    </row>
    <row r="6" spans="1:8" ht="21" customHeight="1" x14ac:dyDescent="0.15">
      <c r="A6" s="20">
        <v>4</v>
      </c>
      <c r="B6" s="21">
        <v>50000</v>
      </c>
      <c r="G6" s="20">
        <v>4</v>
      </c>
      <c r="H6" s="20">
        <v>600</v>
      </c>
    </row>
    <row r="7" spans="1:8" ht="21" customHeight="1" x14ac:dyDescent="0.15">
      <c r="A7" s="20">
        <v>5</v>
      </c>
      <c r="B7" s="21">
        <v>200000</v>
      </c>
      <c r="G7" s="20">
        <v>5</v>
      </c>
      <c r="H7" s="20">
        <v>900</v>
      </c>
    </row>
    <row r="8" spans="1:8" ht="21" customHeight="1" x14ac:dyDescent="0.15">
      <c r="A8" s="20">
        <v>6</v>
      </c>
      <c r="B8" s="30">
        <v>0</v>
      </c>
      <c r="G8" s="20">
        <v>6</v>
      </c>
      <c r="H8" s="31">
        <v>1200</v>
      </c>
    </row>
    <row r="9" spans="1:8" ht="21" customHeight="1" x14ac:dyDescent="0.15">
      <c r="A9" s="20">
        <v>7</v>
      </c>
      <c r="B9" s="30"/>
      <c r="G9" s="20">
        <v>7</v>
      </c>
      <c r="H9" s="30"/>
    </row>
    <row r="10" spans="1:8" ht="21" customHeight="1" x14ac:dyDescent="0.15">
      <c r="A10" s="20">
        <v>8</v>
      </c>
      <c r="B10" s="30"/>
      <c r="G10" s="20">
        <v>8</v>
      </c>
      <c r="H10" s="30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316</v>
      </c>
      <c r="B1" t="s">
        <v>317</v>
      </c>
    </row>
    <row r="2" spans="1:2" x14ac:dyDescent="0.15">
      <c r="A2" t="s">
        <v>318</v>
      </c>
      <c r="B2">
        <v>1</v>
      </c>
    </row>
    <row r="3" spans="1:2" x14ac:dyDescent="0.15">
      <c r="A3" t="s">
        <v>319</v>
      </c>
      <c r="B3">
        <v>1</v>
      </c>
    </row>
    <row r="4" spans="1:2" x14ac:dyDescent="0.15">
      <c r="A4" t="s">
        <v>320</v>
      </c>
      <c r="B4">
        <v>1</v>
      </c>
    </row>
    <row r="5" spans="1:2" x14ac:dyDescent="0.15">
      <c r="A5" t="s">
        <v>321</v>
      </c>
      <c r="B5">
        <v>1</v>
      </c>
    </row>
    <row r="6" spans="1:2" x14ac:dyDescent="0.15">
      <c r="A6" t="s">
        <v>322</v>
      </c>
      <c r="B6">
        <v>1</v>
      </c>
    </row>
    <row r="7" spans="1:2" x14ac:dyDescent="0.15">
      <c r="A7" t="s">
        <v>323</v>
      </c>
      <c r="B7">
        <v>1</v>
      </c>
    </row>
    <row r="8" spans="1:2" x14ac:dyDescent="0.15">
      <c r="A8" t="s">
        <v>324</v>
      </c>
      <c r="B8">
        <v>1</v>
      </c>
    </row>
    <row r="9" spans="1:2" x14ac:dyDescent="0.15">
      <c r="A9" t="s">
        <v>325</v>
      </c>
      <c r="B9">
        <v>1</v>
      </c>
    </row>
    <row r="10" spans="1:2" x14ac:dyDescent="0.15">
      <c r="A10" t="s">
        <v>326</v>
      </c>
      <c r="B10">
        <v>1</v>
      </c>
    </row>
    <row r="11" spans="1:2" x14ac:dyDescent="0.15">
      <c r="A11" t="s">
        <v>327</v>
      </c>
      <c r="B11">
        <v>1</v>
      </c>
    </row>
    <row r="12" spans="1:2" x14ac:dyDescent="0.15">
      <c r="A12" t="s">
        <v>328</v>
      </c>
      <c r="B12">
        <v>1</v>
      </c>
    </row>
    <row r="13" spans="1:2" x14ac:dyDescent="0.15">
      <c r="A13" t="s">
        <v>329</v>
      </c>
      <c r="B13">
        <v>0</v>
      </c>
    </row>
    <row r="14" spans="1:2" x14ac:dyDescent="0.15">
      <c r="A14" t="s">
        <v>330</v>
      </c>
      <c r="B14">
        <v>500</v>
      </c>
    </row>
    <row r="15" spans="1:2" x14ac:dyDescent="0.15">
      <c r="A15" t="s">
        <v>331</v>
      </c>
      <c r="B15">
        <v>600</v>
      </c>
    </row>
    <row r="16" spans="1:2" x14ac:dyDescent="0.15">
      <c r="A16" t="s">
        <v>332</v>
      </c>
      <c r="B16">
        <v>700</v>
      </c>
    </row>
    <row r="17" spans="1:2" x14ac:dyDescent="0.15">
      <c r="A17" t="s">
        <v>333</v>
      </c>
      <c r="B17">
        <v>5500</v>
      </c>
    </row>
    <row r="18" spans="1:2" x14ac:dyDescent="0.15">
      <c r="A18" t="s">
        <v>334</v>
      </c>
      <c r="B18">
        <v>6000</v>
      </c>
    </row>
    <row r="19" spans="1:2" x14ac:dyDescent="0.15">
      <c r="A19" t="s">
        <v>335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0">
        <v>591</v>
      </c>
    </row>
    <row r="3" spans="1:4" x14ac:dyDescent="0.15">
      <c r="A3" t="s">
        <v>200</v>
      </c>
      <c r="B3" s="126">
        <v>592</v>
      </c>
    </row>
    <row r="4" spans="1:4" x14ac:dyDescent="0.15">
      <c r="A4" t="s">
        <v>201</v>
      </c>
      <c r="B4" s="126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8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2017-06-06T07:54:38Z</dcterms:modified>
</cp:coreProperties>
</file>