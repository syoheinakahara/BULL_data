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820" yWindow="1640" windowWidth="38400" windowHeight="210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1" i="16"/>
  <c r="C10" i="16"/>
  <c r="C9" i="16"/>
  <c r="C8" i="16"/>
  <c r="C7" i="16"/>
  <c r="C5" i="16"/>
  <c r="C6" i="16"/>
  <c r="C4" i="16"/>
  <c r="C3" i="16"/>
  <c r="C10" i="18"/>
  <c r="D10" i="18"/>
  <c r="O4" i="21"/>
  <c r="I4" i="21"/>
  <c r="G4" i="21"/>
  <c r="F4" i="21"/>
  <c r="D4" i="21"/>
  <c r="C4" i="21"/>
  <c r="O5" i="21"/>
  <c r="I5" i="21"/>
  <c r="G5" i="21"/>
  <c r="F5" i="21"/>
  <c r="D5" i="21"/>
  <c r="C5" i="21"/>
  <c r="O6" i="21"/>
  <c r="I6" i="21"/>
  <c r="G6" i="21"/>
  <c r="F6" i="21"/>
  <c r="D6" i="21"/>
  <c r="C6" i="21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J34" i="11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J33" i="11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32" i="11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J31" i="11"/>
  <c r="O34" i="9"/>
  <c r="N34" i="9"/>
  <c r="M34" i="9"/>
  <c r="L34" i="9"/>
  <c r="K34" i="9"/>
  <c r="J34" i="9"/>
  <c r="I34" i="9"/>
  <c r="H34" i="9"/>
  <c r="G34" i="9"/>
  <c r="E34" i="9"/>
  <c r="D34" i="9"/>
  <c r="A34" i="9"/>
  <c r="O14" i="21"/>
  <c r="I14" i="21"/>
  <c r="G14" i="21"/>
  <c r="F14" i="21"/>
  <c r="D14" i="21"/>
  <c r="C14" i="21"/>
  <c r="O13" i="21"/>
  <c r="I13" i="21"/>
  <c r="G13" i="21"/>
  <c r="F13" i="21"/>
  <c r="D13" i="21"/>
  <c r="C13" i="21"/>
  <c r="O8" i="21"/>
  <c r="I8" i="21"/>
  <c r="G8" i="21"/>
  <c r="F8" i="21"/>
  <c r="D8" i="21"/>
  <c r="C8" i="21"/>
  <c r="O12" i="21"/>
  <c r="I12" i="21"/>
  <c r="G12" i="21"/>
  <c r="F12" i="21"/>
  <c r="D12" i="21"/>
  <c r="C12" i="21"/>
  <c r="O11" i="21"/>
  <c r="I11" i="21"/>
  <c r="G11" i="21"/>
  <c r="F11" i="21"/>
  <c r="D11" i="21"/>
  <c r="C11" i="21"/>
  <c r="O10" i="21"/>
  <c r="I10" i="21"/>
  <c r="G10" i="21"/>
  <c r="F10" i="21"/>
  <c r="D10" i="21"/>
  <c r="C10" i="21"/>
  <c r="O9" i="21"/>
  <c r="I9" i="21"/>
  <c r="G9" i="21"/>
  <c r="F9" i="21"/>
  <c r="D9" i="21"/>
  <c r="C9" i="21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J30" i="11"/>
  <c r="O33" i="9"/>
  <c r="N33" i="9"/>
  <c r="M33" i="9"/>
  <c r="L33" i="9"/>
  <c r="K33" i="9"/>
  <c r="J33" i="9"/>
  <c r="I33" i="9"/>
  <c r="H33" i="9"/>
  <c r="G33" i="9"/>
  <c r="E33" i="9"/>
  <c r="D33" i="9"/>
  <c r="A33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J14" i="11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9" i="11"/>
  <c r="J28" i="11"/>
  <c r="J27" i="11"/>
  <c r="J26" i="11"/>
  <c r="J24" i="11"/>
  <c r="A32" i="9"/>
  <c r="D32" i="9"/>
  <c r="E32" i="9"/>
  <c r="G32" i="9"/>
  <c r="H32" i="9"/>
  <c r="I32" i="9"/>
  <c r="J32" i="9"/>
  <c r="K32" i="9"/>
  <c r="L32" i="9"/>
  <c r="M32" i="9"/>
  <c r="N32" i="9"/>
  <c r="O32" i="9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J23" i="11"/>
  <c r="J21" i="11"/>
  <c r="J20" i="11"/>
  <c r="J19" i="11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O20" i="9"/>
  <c r="N20" i="9"/>
  <c r="M20" i="9"/>
  <c r="L20" i="9"/>
  <c r="K20" i="9"/>
  <c r="J20" i="9"/>
  <c r="I20" i="9"/>
  <c r="H20" i="9"/>
  <c r="G20" i="9"/>
  <c r="E20" i="9"/>
  <c r="D20" i="9"/>
  <c r="A20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J17" i="11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3" i="21"/>
  <c r="O7" i="21"/>
  <c r="O2" i="21"/>
  <c r="I7" i="21"/>
  <c r="G7" i="21"/>
  <c r="F7" i="21"/>
  <c r="D7" i="21"/>
  <c r="C7" i="21"/>
  <c r="I3" i="21"/>
  <c r="G3" i="21"/>
  <c r="F3" i="21"/>
  <c r="D3" i="21"/>
  <c r="C3" i="21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7" i="9"/>
  <c r="H17" i="9"/>
  <c r="I17" i="9"/>
  <c r="J17" i="9"/>
  <c r="K17" i="9"/>
  <c r="L17" i="9"/>
  <c r="M17" i="9"/>
  <c r="N17" i="9"/>
  <c r="G19" i="9"/>
  <c r="H19" i="9"/>
  <c r="I19" i="9"/>
  <c r="J19" i="9"/>
  <c r="K19" i="9"/>
  <c r="L19" i="9"/>
  <c r="M19" i="9"/>
  <c r="N19" i="9"/>
  <c r="G21" i="9"/>
  <c r="H21" i="9"/>
  <c r="I21" i="9"/>
  <c r="J21" i="9"/>
  <c r="K21" i="9"/>
  <c r="L21" i="9"/>
  <c r="M21" i="9"/>
  <c r="N21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J5" i="11"/>
  <c r="J6" i="11"/>
  <c r="J7" i="11"/>
  <c r="J8" i="11"/>
  <c r="J9" i="11"/>
  <c r="J12" i="11"/>
  <c r="J13" i="11"/>
  <c r="J15" i="11"/>
  <c r="O24" i="9"/>
  <c r="E24" i="9"/>
  <c r="D24" i="9"/>
  <c r="A24" i="9"/>
  <c r="O23" i="9"/>
  <c r="E23" i="9"/>
  <c r="D23" i="9"/>
  <c r="A23" i="9"/>
  <c r="O21" i="9"/>
  <c r="E21" i="9"/>
  <c r="D21" i="9"/>
  <c r="A21" i="9"/>
  <c r="O19" i="9"/>
  <c r="E19" i="9"/>
  <c r="D19" i="9"/>
  <c r="A19" i="9"/>
  <c r="O17" i="9"/>
  <c r="E17" i="9"/>
  <c r="D17" i="9"/>
  <c r="A17" i="9"/>
  <c r="O15" i="9"/>
  <c r="E15" i="9"/>
  <c r="D15" i="9"/>
  <c r="A15" i="9"/>
  <c r="O14" i="9"/>
  <c r="E14" i="9"/>
  <c r="D14" i="9"/>
  <c r="A14" i="9"/>
  <c r="O13" i="9"/>
  <c r="E13" i="9"/>
  <c r="D13" i="9"/>
  <c r="A13" i="9"/>
  <c r="O12" i="9"/>
  <c r="E12" i="9"/>
  <c r="D12" i="9"/>
  <c r="A12" i="9"/>
  <c r="O9" i="9"/>
  <c r="E9" i="9"/>
  <c r="D9" i="9"/>
  <c r="A9" i="9"/>
  <c r="O8" i="9"/>
  <c r="E8" i="9"/>
  <c r="D8" i="9"/>
  <c r="A8" i="9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J4" i="11"/>
  <c r="J3" i="11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7" i="9"/>
  <c r="E7" i="9"/>
  <c r="D7" i="9"/>
  <c r="A7" i="9"/>
  <c r="O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G3" i="2"/>
  <c r="H3" i="2"/>
  <c r="E3" i="2"/>
  <c r="D3" i="2"/>
  <c r="A3" i="2"/>
  <c r="H2" i="1"/>
  <c r="H3" i="1"/>
  <c r="B3" i="2"/>
  <c r="W3" i="7"/>
  <c r="U3" i="7"/>
  <c r="R3" i="7"/>
  <c r="Q3" i="7"/>
  <c r="P3" i="7"/>
  <c r="O3" i="7"/>
  <c r="N3" i="7"/>
  <c r="H3" i="7"/>
  <c r="G2" i="2"/>
  <c r="A2" i="2"/>
  <c r="J3" i="7"/>
  <c r="I3" i="7"/>
  <c r="D3" i="7"/>
  <c r="F3" i="7"/>
  <c r="E3" i="7"/>
  <c r="A3" i="7"/>
  <c r="AF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E9" i="16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<sst xmlns="http://schemas.openxmlformats.org/spreadsheetml/2006/main" count="725" uniqueCount="382">
  <si>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</si>
  <si>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</si>
  <si>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</si>
  <si>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</si>
  <si>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</si>
  <si>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</si>
  <si>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</si>
  <si>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</si>
  <si>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</si>
  <si>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</si>
  <si>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</si>
  <si>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</si>
  <si>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</si>
  <si>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</si>
  <si>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</si>
  <si>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</si>
  <si>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</si>
  <si>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</si>
  <si>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</si>
  <si>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</si>
  <si>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</si>
  <si>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</si>
  <si>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</si>
  <si>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</si>
  <si>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</si>
  <si>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</si>
  <si>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</si>
  <si>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</si>
  <si>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</si>
  <si>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</si>
  <si>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</si>
  <si>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</si>
  <si>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</si>
  <si>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</si>
  <si>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</si>
  <si>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</si>
  <si>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</si>
  <si>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</si>
  <si>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</si>
  <si>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</si>
  <si>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</si>
  <si>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</si>
  <si>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</si>
  <si>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</si>
  <si>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</si>
  <si>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</si>
  <si>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</si>
  <si>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</si>
  <si>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</si>
  <si>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</si>
  <si>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</si>
  <si>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</si>
  <si>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</si>
  <si>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</si>
  <si>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</si>
  <si>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</si>
  <si>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</si>
  <si>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</si>
  <si>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</si>
  <si>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</si>
  <si>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</si>
  <si>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</si>
  <si>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</si>
  <si>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</si>
  <si>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</si>
  <si>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</si>
  <si>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</si>
  <si>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</si>
  <si>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</si>
  <si>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</si>
  <si>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</si>
  <si>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</si>
  <si>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</si>
  <si>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</si>
  <si>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</si>
  <si>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</si>
  <si>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</si>
  <si>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</si>
  <si>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</si>
  <si>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</si>
  <si>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</si>
  <si>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</si>
  <si>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</si>
  <si>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</si>
  <si>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</si>
  <si>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</si>
  <si>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</si>
  <si>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</si>
  <si>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</si>
  <si>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</si>
  <si>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</si>
  <si>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</si>
  <si>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</si>
  <si>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</si>
  <si>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</si>
  <si>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</si>
  <si>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</si>
  <si>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</si>
  <si>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</si>
  <si>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</si>
  <si>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</si>
  <si>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</si>
  <si>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</si>
  <si>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</si>
  <si>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</si>
  <si>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</si>
  <si>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</si>
  <si>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</si>
  <si>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</si>
  <si>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</si>
  <si>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</si>
  <si>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</si>
  <si>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</si>
  <si>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</si>
  <si>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</si>
  <si>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</si>
  <si>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</si>
  <si>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</si>
  <si>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</si>
  <si>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</si>
  <si>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</si>
  <si>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</si>
  <si>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</si>
  <si>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</si>
  <si>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</si>
  <si>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</si>
  <si>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</si>
  <si>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</si>
  <si>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</si>
  <si>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</si>
  <si>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</si>
  <si>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</si>
  <si>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</si>
  <si>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</si>
  <si>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</si>
  <si>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</si>
  <si>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</si>
  <si>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</si>
  <si>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</si>
  <si>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</si>
  <si>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</si>
  <si>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</si>
  <si>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</si>
  <si>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</si>
  <si>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</si>
  <si>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</si>
  <si>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</si>
  <si>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</si>
  <si>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</si>
  <si>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</si>
  <si>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</si>
  <si>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</si>
  <si>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</si>
  <si>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</si>
  <si>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</si>
  <si>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</si>
  <si>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</si>
  <si>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</si>
  <si>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</si>
  <si>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</si>
  <si>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</si>
  <si>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</si>
  <si>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</si>
  <si>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</si>
  <si>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</si>
  <si>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</si>
  <si>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</si>
  <si>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</si>
  <si>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</si>
  <si>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</si>
  <si>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</si>
  <si>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</si>
  <si>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</si>
  <si>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</si>
  <si>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</si>
  <si>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</si>
  <si>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</si>
  <si>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</si>
  <si>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</si>
  <si>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</si>
  <si>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</si>
  <si>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</si>
  <si>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</si>
  <si>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</si>
  <si>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</si>
  <si>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</si>
  <si>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</si>
  <si>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</si>
  <si>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</si>
  <si>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</si>
  <si>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</si>
  <si>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</si>
  <si>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</si>
  <si>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</si>
  <si>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</si>
  <si>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</si>
  <si>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</si>
  <si>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</si>
  <si>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</si>
  <si>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</si>
  <si>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</si>
  <si>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</si>
  <si>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</si>
  <si>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</si>
  <si>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</si>
  <si>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</si>
  <si>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</si>
  <si>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</si>
  <si>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</si>
  <si>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</si>
  <si>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</si>
  <si>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</si>
  <si>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</si>
  <si>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</si>
  <si>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</si>
  <si>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</si>
  <si>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</si>
  <si>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</si>
  <si>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</si>
  <si>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</si>
  <si>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</si>
  <si>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</si>
  <si>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</si>
  <si>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</si>
  <si>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</si>
  <si>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</si>
  <si>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</si>
  <si>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</si>
  <si>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</si>
  <si>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</si>
  <si>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</si>
  <si>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</si>
  <si>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</si>
  <si>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</si>
  <si>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</si>
  <si>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</si>
  <si>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</si>
  <si>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</si>
  <si>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</si>
  <si>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</si>
  <si>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</si>
  <si>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</si>
  <si>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</si>
  <si>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</si>
  <si>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</si>
  <si>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</si>
  <si>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</si>
  <si>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</si>
  <si>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</si>
  <si>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</si>
  <si>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</si>
  <si>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</si>
  <si>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ハッピー！</t>
    <phoneticPr fontId="5"/>
  </si>
  <si>
    <t>幸せそうな表情を浮かべている</t>
    <rPh sb="0" eb="1">
      <t>シアワセソウナ</t>
    </rPh>
    <rPh sb="5" eb="7">
      <t>ヒョウジョウ</t>
    </rPh>
    <rPh sb="8" eb="9">
      <t>ウカベテイル</t>
    </rPh>
    <phoneticPr fontId="5"/>
  </si>
  <si>
    <t>[effect:fix_speed, target:myself, turn:1]</t>
    <phoneticPr fontId="5"/>
  </si>
  <si>
    <t>[effect:nothing]</t>
    <phoneticPr fontId="5"/>
  </si>
  <si>
    <t>ハッピー？</t>
    <phoneticPr fontId="5"/>
  </si>
  <si>
    <t>不思議そうにこちらを見つめた</t>
    <rPh sb="0" eb="3">
      <t>フシギソウニ</t>
    </rPh>
    <rPh sb="10" eb="11">
      <t>ミツメタ</t>
    </rPh>
    <phoneticPr fontId="5"/>
  </si>
  <si>
    <t>null</t>
    <phoneticPr fontId="5"/>
  </si>
  <si>
    <t>ハッピー♪</t>
    <phoneticPr fontId="5"/>
  </si>
  <si>
    <t>singleonly</t>
    <phoneticPr fontId="5"/>
  </si>
  <si>
    <t>null</t>
    <phoneticPr fontId="5"/>
  </si>
  <si>
    <t>null</t>
    <phoneticPr fontId="5"/>
  </si>
  <si>
    <t>bit</t>
    <phoneticPr fontId="5"/>
  </si>
  <si>
    <t>bit</t>
    <phoneticPr fontId="5"/>
  </si>
  <si>
    <t>unit</t>
  </si>
  <si>
    <t>link</t>
  </si>
  <si>
    <t>[effect:virus, target:unit_all, turn:2, rate:1, val:3.0, animation:enemy_virus],[effect:rush, count:2, val:0.6]</t>
    <phoneticPr fontId="5"/>
  </si>
  <si>
    <t>null</t>
    <phoneticPr fontId="5"/>
  </si>
  <si>
    <t>2ターン激烈ウィルス+2回連続攻撃</t>
    <rPh sb="4" eb="6">
      <t>ゲキレツ</t>
    </rPh>
    <rPh sb="12" eb="13">
      <t>カイ</t>
    </rPh>
    <rPh sb="13" eb="17">
      <t>レンゾクコウゲキ</t>
    </rPh>
    <phoneticPr fontId="5"/>
  </si>
  <si>
    <t>ボナンザは非常に強力なウィルスを
高い頻度で繰り出します
ウィルス無効のアビリティが必須です</t>
    <rPh sb="5" eb="7">
      <t>ヒジョウニ</t>
    </rPh>
    <rPh sb="8" eb="10">
      <t>キョウリョクナ</t>
    </rPh>
    <rPh sb="17" eb="18">
      <t>タカイヒンド</t>
    </rPh>
    <rPh sb="22" eb="23">
      <t>クリダシマス</t>
    </rPh>
    <rPh sb="34" eb="36">
      <t>ムコウ</t>
    </rPh>
    <rPh sb="43" eb="45">
      <t>ヒッス</t>
    </rPh>
    <phoneticPr fontId="5"/>
  </si>
  <si>
    <t>ボナンザは暗闇を仕掛けてきますが
この暗闇は3ゲージ目の突破に不可欠です
効果が切れないように
迅速な突破を意識しましょう</t>
    <rPh sb="5" eb="7">
      <t>クラヤミ</t>
    </rPh>
    <rPh sb="8" eb="10">
      <t>シカケテキマス</t>
    </rPh>
    <rPh sb="19" eb="21">
      <t>クラヤミ</t>
    </rPh>
    <rPh sb="26" eb="27">
      <t>メ</t>
    </rPh>
    <rPh sb="28" eb="30">
      <t>トッパ</t>
    </rPh>
    <rPh sb="31" eb="34">
      <t>フカケツ</t>
    </rPh>
    <rPh sb="38" eb="40">
      <t>コウカガ</t>
    </rPh>
    <rPh sb="41" eb="42">
      <t>キレルマエニ</t>
    </rPh>
    <rPh sb="49" eb="51">
      <t>ジンソクニ</t>
    </rPh>
    <rPh sb="52" eb="54">
      <t>トッパ</t>
    </rPh>
    <rPh sb="55" eb="57">
      <t>イシキシマショウ</t>
    </rPh>
    <phoneticPr fontId="5"/>
  </si>
  <si>
    <t>ボナンザはタップ時間制限を使用します
効果が永続なうえ打ち消す手段がないので
その場その場の対応力が重要となります</t>
    <rPh sb="8" eb="12">
      <t>ジカンセイゲン</t>
    </rPh>
    <rPh sb="13" eb="15">
      <t>シヨウ</t>
    </rPh>
    <rPh sb="20" eb="22">
      <t>コウカガ</t>
    </rPh>
    <rPh sb="23" eb="25">
      <t>エイゾク</t>
    </rPh>
    <rPh sb="28" eb="29">
      <t>ウチケス</t>
    </rPh>
    <rPh sb="32" eb="34">
      <t>シュダn</t>
    </rPh>
    <rPh sb="47" eb="50">
      <t>タイオウリョク</t>
    </rPh>
    <rPh sb="51" eb="53">
      <t>ジュウヨウ</t>
    </rPh>
    <phoneticPr fontId="5"/>
  </si>
  <si>
    <t>ボナンザは3ゲージ目に入ると
だんだん強くなる全体攻撃を使用します
長期戦は不利なので
可能な限り攻勢に転じましょう</t>
    <rPh sb="9" eb="10">
      <t>メ</t>
    </rPh>
    <rPh sb="11" eb="12">
      <t>ハイルト</t>
    </rPh>
    <rPh sb="19" eb="20">
      <t>ツヨクナル</t>
    </rPh>
    <rPh sb="23" eb="25">
      <t>ゼンタイ</t>
    </rPh>
    <rPh sb="25" eb="27">
      <t>コウゲキ</t>
    </rPh>
    <rPh sb="28" eb="30">
      <t>シヨウ</t>
    </rPh>
    <rPh sb="35" eb="38">
      <t>チョウキセン</t>
    </rPh>
    <rPh sb="39" eb="41">
      <t>フリ</t>
    </rPh>
    <rPh sb="45" eb="47">
      <t>カノウナカギリ</t>
    </rPh>
    <rPh sb="50" eb="52">
      <t>コウセイヲ</t>
    </rPh>
    <rPh sb="53" eb="54">
      <t>テンジ</t>
    </rPh>
    <phoneticPr fontId="5"/>
  </si>
  <si>
    <t>ボナンザは3ゲージ目に入ると
緑と黄属性を行き来するようになります
赤と緑のユニットで挑むと
対処しやすくなるでしょう</t>
    <rPh sb="9" eb="10">
      <t>メ</t>
    </rPh>
    <rPh sb="11" eb="12">
      <t>ハイルト</t>
    </rPh>
    <rPh sb="15" eb="20">
      <t>ミドリゾクセイ</t>
    </rPh>
    <rPh sb="21" eb="22">
      <t>イキキ</t>
    </rPh>
    <rPh sb="35" eb="36">
      <t>アカ</t>
    </rPh>
    <rPh sb="37" eb="38">
      <t>ミドリ</t>
    </rPh>
    <rPh sb="44" eb="45">
      <t>イドメバ</t>
    </rPh>
    <rPh sb="48" eb="50">
      <t>タイショ</t>
    </rPh>
    <phoneticPr fontId="5"/>
  </si>
  <si>
    <t>ボナンザは一定のタイミングで
時限式ダメージパネルドロップを使用します
整地スキルや緑ユニットのCパネルで
対処しましょう</t>
    <rPh sb="5" eb="7">
      <t>イッテイノ</t>
    </rPh>
    <rPh sb="15" eb="18">
      <t>ジゲンシキ</t>
    </rPh>
    <rPh sb="30" eb="32">
      <t>シヨウ</t>
    </rPh>
    <rPh sb="37" eb="39">
      <t>セイチ</t>
    </rPh>
    <rPh sb="43" eb="44">
      <t>ミドリ</t>
    </rPh>
    <rPh sb="55" eb="57">
      <t>タイショ</t>
    </rPh>
    <phoneticPr fontId="5"/>
  </si>
  <si>
    <t>complete</t>
  </si>
  <si>
    <t>null</t>
  </si>
  <si>
    <t>[effect:enemy_message, val1:1, val2:3.0],[effect:damage_anti_abnormal, target:unit_all, target_effect01:dark, val1:0.05, val2:5],[effect:remove_enhancement, target:unit_all, target_effect:dark]</t>
    <phoneticPr fontId="5"/>
  </si>
  <si>
    <t>[effect:enemy_message, val1:1, val2:2.4],[effect:panel_freeze, target:block_all, count:-1],[effect:degrade_unit, target:unit_all, turn:-1, status:action, val:5, calc:add, animation:enemy_tap_down]</t>
    <phoneticPr fontId="5"/>
  </si>
  <si>
    <t>[effect:sp_boost, target:unit_all, val:1, animation:sp_boost_one03],[effect:suicide, val:1, dead_type:escape]</t>
    <phoneticPr fontId="5"/>
  </si>
  <si>
    <t>本当に私の力を狙っているのね</t>
    <rPh sb="0" eb="2">
      <t>ホントウニ</t>
    </rPh>
    <rPh sb="3" eb="4">
      <t>ワタシ</t>
    </rPh>
    <rPh sb="5" eb="6">
      <t>チカラヲ</t>
    </rPh>
    <rPh sb="7" eb="8">
      <t>ネラッテ</t>
    </rPh>
    <phoneticPr fontId="5"/>
  </si>
  <si>
    <t>跪け</t>
    <rPh sb="0" eb="1">
      <t>ヒザマズケ</t>
    </rPh>
    <phoneticPr fontId="5"/>
  </si>
  <si>
    <t>喚くな</t>
    <rPh sb="0" eb="1">
      <t>ワメクナ</t>
    </rPh>
    <phoneticPr fontId="5"/>
  </si>
  <si>
    <t>醜いわね</t>
    <rPh sb="0" eb="1">
      <t>ミニクイワ</t>
    </rPh>
    <phoneticPr fontId="5"/>
  </si>
  <si>
    <t>醜い…醜いわ</t>
    <rPh sb="0" eb="1">
      <t>ミニクイ</t>
    </rPh>
    <rPh sb="3" eb="4">
      <t>ミニクイ</t>
    </rPh>
    <phoneticPr fontId="5"/>
  </si>
  <si>
    <t>跪け。地を嘗めよ</t>
    <rPh sb="0" eb="1">
      <t>ヒザマズケ</t>
    </rPh>
    <rPh sb="3" eb="4">
      <t>チヲ</t>
    </rPh>
    <rPh sb="5" eb="6">
      <t>ナメヨ</t>
    </rPh>
    <phoneticPr fontId="5"/>
  </si>
  <si>
    <t>永劫を巡り悔い改めよ</t>
    <rPh sb="0" eb="2">
      <t>エイゴウ</t>
    </rPh>
    <rPh sb="3" eb="4">
      <t>メグッテ</t>
    </rPh>
    <rPh sb="5" eb="6">
      <t>クイアラタメ</t>
    </rPh>
    <phoneticPr fontId="5"/>
  </si>
  <si>
    <t>好きにさせると思ったか</t>
    <rPh sb="0" eb="1">
      <t>スキニ</t>
    </rPh>
    <rPh sb="7" eb="8">
      <t>オモッタ</t>
    </rPh>
    <phoneticPr fontId="5"/>
  </si>
  <si>
    <t>アヴァルシアの権能</t>
    <rPh sb="7" eb="9">
      <t>ケンノウ</t>
    </rPh>
    <phoneticPr fontId="5"/>
  </si>
  <si>
    <t>これが高みの力よ</t>
    <rPh sb="3" eb="4">
      <t>タカミノ</t>
    </rPh>
    <rPh sb="6" eb="7">
      <t>チカラ</t>
    </rPh>
    <phoneticPr fontId="5"/>
  </si>
  <si>
    <t>[effect:enemy_message, val1:1.2, val2:2.2],[effect:remove_enhancement, target:unit_all, target_effect:enhance, target_type:buff, status:attack],[effect:remove_enhancement, target:unit_all, target_effect:enhance, target_type:buff, status:heal, animation:frozen_wave],[effect:critical, val:1.3, animation:enemy_critical]</t>
    <phoneticPr fontId="5"/>
  </si>
  <si>
    <t>人間の未来には、絶望しか存在しない！</t>
    <rPh sb="0" eb="2">
      <t>ニンゲン</t>
    </rPh>
    <rPh sb="3" eb="5">
      <t>ミライ</t>
    </rPh>
    <rPh sb="8" eb="10">
      <t>ゼツボウ</t>
    </rPh>
    <rPh sb="12" eb="14">
      <t>ソンザイ</t>
    </rPh>
    <phoneticPr fontId="5"/>
  </si>
  <si>
    <t>意志。それは欲望に過ぎない</t>
    <rPh sb="0" eb="2">
      <t>イシ</t>
    </rPh>
    <rPh sb="6" eb="8">
      <t>ヨクボウ</t>
    </rPh>
    <rPh sb="9" eb="10">
      <t>スギナイ</t>
    </rPh>
    <phoneticPr fontId="5"/>
  </si>
  <si>
    <t>理性。それは恐怖に過ぎない</t>
    <rPh sb="0" eb="2">
      <t>リセイ</t>
    </rPh>
    <rPh sb="6" eb="8">
      <t>キョウフ</t>
    </rPh>
    <rPh sb="9" eb="10">
      <t>スギナイ</t>
    </rPh>
    <phoneticPr fontId="5"/>
  </si>
  <si>
    <t>希望。それは虚構に過ぎない</t>
    <rPh sb="0" eb="2">
      <t>キボウ</t>
    </rPh>
    <rPh sb="6" eb="8">
      <t>キョコウ</t>
    </rPh>
    <rPh sb="9" eb="10">
      <t>スギナイ</t>
    </rPh>
    <phoneticPr fontId="5"/>
  </si>
  <si>
    <t>お前たちは不要な存在だ</t>
    <rPh sb="5" eb="7">
      <t>フヨウナ</t>
    </rPh>
    <rPh sb="8" eb="10">
      <t>ソンザイ</t>
    </rPh>
    <phoneticPr fontId="5"/>
  </si>
  <si>
    <t>他の女王にも…示しがつかないわね…</t>
    <rPh sb="0" eb="1">
      <t>ホカノ</t>
    </rPh>
    <rPh sb="2" eb="4">
      <t>ジョオウ</t>
    </rPh>
    <rPh sb="7" eb="8">
      <t>シメシガ</t>
    </rPh>
    <phoneticPr fontId="5"/>
  </si>
  <si>
    <t>＊＊＊＊……私ダメだった……</t>
    <phoneticPr fontId="5"/>
  </si>
  <si>
    <t>この私が直々に葬ってやろう</t>
    <rPh sb="4" eb="5">
      <t>ジキジキニ</t>
    </rPh>
    <rPh sb="7" eb="8">
      <t>ホウムル</t>
    </rPh>
    <phoneticPr fontId="5"/>
  </si>
  <si>
    <t>アヴァルシアの黙示録</t>
    <rPh sb="7" eb="10">
      <t>モクシロク</t>
    </rPh>
    <phoneticPr fontId="5"/>
  </si>
  <si>
    <t>5ターン暗闇+永続タップ時間制限（9秒）</t>
    <rPh sb="4" eb="6">
      <t>クラヤミ</t>
    </rPh>
    <rPh sb="7" eb="9">
      <t>エイゾク</t>
    </rPh>
    <rPh sb="12" eb="14">
      <t>ジカン</t>
    </rPh>
    <rPh sb="14" eb="16">
      <t>セイゲン</t>
    </rPh>
    <rPh sb="18" eb="19">
      <t>ビョウ</t>
    </rPh>
    <phoneticPr fontId="5"/>
  </si>
  <si>
    <t>格の違いを見せつけてやろう</t>
    <rPh sb="0" eb="1">
      <t>カク</t>
    </rPh>
    <rPh sb="2" eb="3">
      <t>チガイヲ</t>
    </rPh>
    <rPh sb="5" eb="6">
      <t>ミセツケテ</t>
    </rPh>
    <phoneticPr fontId="5"/>
  </si>
  <si>
    <t>残りHPの5000%ダメージ！！</t>
    <phoneticPr fontId="5"/>
  </si>
  <si>
    <t>アハハハハッ！
消し飛べ！劣等種ども！！</t>
    <rPh sb="8" eb="9">
      <t>ケシトベ</t>
    </rPh>
    <rPh sb="13" eb="16">
      <t>レットウシュ</t>
    </rPh>
    <phoneticPr fontId="5"/>
  </si>
  <si>
    <t>[effect:enemy_message, val1:1.8, val2:1.8],[effect:fix_speed, target:myself, turn:1],[effect:damage_gravity, val:50, animation:fevergauge_down]</t>
    <phoneticPr fontId="5"/>
  </si>
  <si>
    <t>忌々しい劣等種が…！</t>
    <rPh sb="0" eb="1">
      <t>イマイマシイ</t>
    </rPh>
    <rPh sb="4" eb="7">
      <t>レットウシュ</t>
    </rPh>
    <phoneticPr fontId="5"/>
  </si>
  <si>
    <t>この世界に相応しくない存在だ</t>
    <rPh sb="5" eb="7">
      <t>フサワシクナイ</t>
    </rPh>
    <rPh sb="11" eb="13">
      <t>ソンザイダ</t>
    </rPh>
    <phoneticPr fontId="5"/>
  </si>
  <si>
    <t>ALICEの塵は私が排除する！</t>
    <rPh sb="6" eb="7">
      <t>ゴミ</t>
    </rPh>
    <rPh sb="8" eb="9">
      <t>ワタシガ</t>
    </rPh>
    <rPh sb="10" eb="12">
      <t>ハイジョ</t>
    </rPh>
    <phoneticPr fontId="5"/>
  </si>
  <si>
    <t>消し飛ぶがいい</t>
    <rPh sb="0" eb="1">
      <t>ショウメツ</t>
    </rPh>
    <rPh sb="2" eb="3">
      <t>トブ</t>
    </rPh>
    <phoneticPr fontId="5"/>
  </si>
  <si>
    <t>[effect:enemy_message, val1:1, val2:2.5],[effect:virus, target:unit_all, turn:4, rate:1, val:3.0, animation:enemy_virus],[effect:break_attack, target:unit_all, val:0.03, lowest_val:2500, count:25, color:green, block01:block_green]</t>
    <phoneticPr fontId="5"/>
  </si>
  <si>
    <t>[effect:enemy_message, val1:1.2, val2:2.4],[effect:fix_speed,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</t>
    <phoneticPr fontId="5"/>
  </si>
  <si>
    <t>[effect:enemy_message, val1:2.2, val2:2.4]</t>
    <phoneticPr fontId="5"/>
  </si>
  <si>
    <t>[effect:enemy_message, val1:1, val2:2.6],[effect:spread, val:0.38],[effect:change_attribute, target:myself, turn:-1, color:yellow, animation:change_attribute_yellow],[effect:force_change_block, new_block:jammer, target:block_all, ignore01:crash, ignore02:crack_bomb, ignore03:time_bomb, ignore04:color_break, count:5, val:0, animation:change_block]</t>
    <phoneticPr fontId="5"/>
  </si>
  <si>
    <t>[effect:enemy_message, val1:1, val2:2.6],[effect:spread, val:0.4],[effect:change_attribute, target:myself, turn:-1, color:green, animation:change_attribute_green],[effect:force_change_block, new_block:time_bomb, target:block_all, ignore01:crack_bomb, ignore02:crash, ignore03:color_break, ignore04:time_bomb, count:5, val:5, min_time_count:2, max_time_count:2, animation:change_block]</t>
    <phoneticPr fontId="5"/>
  </si>
  <si>
    <t>[effect:enemy_message, val1:1, val2:2.4],[effect:spread, val:0.5],[effect:hungup, target:unit_all, turn:1, rate:0.5, calc_type:target_one, animation:hungup01]</t>
    <phoneticPr fontId="5"/>
  </si>
  <si>
    <t>[effect:enemy_message, val1:1, val2:2.2],[effect:hungup, target:unit_one, turn:1, rate:1, animation:hungup01],[effect:damage_anti_color, target:unit_all, color:blue, val1:0.7, val2:0.25]</t>
    <phoneticPr fontId="5"/>
  </si>
  <si>
    <t>[effect:enemy_message, val1:1, val2:2.5],[effect:virus, target:unit_all, turn:2, rate:1, val:3.0, animation:enemy_virus],[effect:break_attack, target:unit_all, val:0.03, lowest_val:1500, count:25, color:green, block01:block_green]</t>
    <phoneticPr fontId="5"/>
  </si>
  <si>
    <t>[effect:enemy_message, val1:1, val2:2.2],[effect:hungup, target:unit_one, turn:1, rate:1, animation:hungup01],[effect:damage_anti_color, target:unit_all, color:green, val1:0.7, val2:0.25]</t>
    <phoneticPr fontId="5"/>
  </si>
  <si>
    <t>15回連続攻撃</t>
    <rPh sb="2" eb="5">
      <t>カイレンゾク</t>
    </rPh>
    <rPh sb="5" eb="7">
      <t>コウゲキ</t>
    </rPh>
    <phoneticPr fontId="5"/>
  </si>
  <si>
    <t>[effect:enemy_message, val1:1.6, val2:1.8],[effect:rush, count:15, val:0.18]</t>
    <phoneticPr fontId="5"/>
  </si>
  <si>
    <t>凄まじい力の増幅を感じる！
【3ターン以内にゲージを削りきれ！】</t>
    <rPh sb="0" eb="1">
      <t>スサマジイ</t>
    </rPh>
    <rPh sb="4" eb="5">
      <t>チカラノ</t>
    </rPh>
    <rPh sb="6" eb="8">
      <t>ゾウフク</t>
    </rPh>
    <rPh sb="9" eb="10">
      <t>カンジル</t>
    </rPh>
    <rPh sb="19" eb="21">
      <t>イナイニ</t>
    </rPh>
    <rPh sb="26" eb="27">
      <t>ケズリキレ</t>
    </rPh>
    <phoneticPr fontId="5"/>
  </si>
  <si>
    <t>[effect:enemy_message, val1:1, val2:2.6],[effect:fix_speed, target:myself, turn:3]</t>
    <phoneticPr fontId="5"/>
  </si>
  <si>
    <t>1ターンハートパネル無効+お邪魔パネル10個生成</t>
    <rPh sb="10" eb="12">
      <t>ムコウ</t>
    </rPh>
    <rPh sb="21" eb="22">
      <t>※</t>
    </rPh>
    <rPh sb="22" eb="24">
      <t>セイセイ</t>
    </rPh>
    <phoneticPr fontId="5"/>
  </si>
  <si>
    <t>[effect:dis_heart, turn:1, animation:enemy_dis_heart],[effect:force_change_block, new_block:jammer, target:block_all, ignore01:crash, ignore02:crack_bomb, ignore03:time_bomb, ignore04:color_break, count:10, val:0, animation:change_block]</t>
    <phoneticPr fontId="5"/>
  </si>
  <si>
    <t>[effect:enemy_message, val1:1, val2:2.6],[effect:spread, val:0.25],[effect:change_attribute, target:myself, turn:-1, color:yellow, animation:change_attribute_yellow],[effect:force_change_block, new_block:jammer, target:block_all, ignore01:crash, ignore02:crack_bomb, ignore03:time_bomb, ignore04:color_break, count:3, val:0, animation:change_block]</t>
    <phoneticPr fontId="5"/>
  </si>
  <si>
    <t>[effect:enemy_message, val1:1, val2:2.6],[effect:spread, val:0.28],[effect:change_attribute, target:myself, turn:-1, color:green, animation:change_attribute_green],[effect:force_change_block, new_block:time_bomb, target:block_all, ignore01:crack_bomb, ignore02:crash, ignore03:color_break, ignore04:time_bomb, count:3, val:5, min_time_count:2, max_time_count:2, animation:change_block]</t>
    <phoneticPr fontId="5"/>
  </si>
  <si>
    <t>[effect:enemy_message, val1:1, val2:2.6],[effect:spread, val:0.31],[effect:change_attribute, target:myself, turn:-1, color:yellow, animation:change_attribute_yellow],[effect:force_change_block, new_block:jammer, target:block_all, ignore01:crash, ignore02:crack_bomb, ignore03:time_bomb, ignore04:color_break, count:4, val:0, animation:change_block]</t>
    <phoneticPr fontId="5"/>
  </si>
  <si>
    <t>[effect:enemy_message, val1:1, val2:2.6],[effect:spread, val:0.34],[effect:change_attribute, target:myself, turn:-1, color:green, animation:change_attribute_green],[effect:force_change_block, new_block:time_bomb, target:block_all, ignore01:crack_bomb, ignore02:crash, ignore03:color_break, ignore04:time_bomb, count:4, val:5, min_time_count:2, max_time_count:2, animation:change_block]</t>
    <phoneticPr fontId="5"/>
  </si>
  <si>
    <t>[effect:enemy_message, val1:1.8, val2:1.8],[effect:damage_gravity, val:50, animation:fevergauge_down]</t>
    <phoneticPr fontId="5"/>
  </si>
  <si>
    <t>所詮この程度か、俗物ども</t>
    <rPh sb="0" eb="2">
      <t>ショセンハ</t>
    </rPh>
    <rPh sb="8" eb="10">
      <t>ゾクブツ</t>
    </rPh>
    <phoneticPr fontId="5"/>
  </si>
  <si>
    <t>2ターン全ユニットのアビリティ無効
【ボナンザのHPをどんどん削れ！】</t>
    <rPh sb="4" eb="5">
      <t>ゼn</t>
    </rPh>
    <rPh sb="15" eb="17">
      <t>ムコウ</t>
    </rPh>
    <rPh sb="31" eb="32">
      <t>ケズレ</t>
    </rPh>
    <phoneticPr fontId="5"/>
  </si>
  <si>
    <t>[effect:enemy_message, val1:1, val2:2.5],[effect:ability_lock, target:unit_all, turn:2]</t>
    <phoneticPr fontId="5"/>
  </si>
  <si>
    <t>[effect:enemy_message, val1:1.2, val2:1.8],[effect:break_attack_fix, target:unit_one, val:300, lowest_val:3000, count:-1, color:green, block01:block_all, ignore01:crash, ignore02:crack_bomb, ignore03:time_bomb, ignore04:jammer, ignore05:color_break]</t>
    <phoneticPr fontId="5"/>
  </si>
  <si>
    <t>[effect:enemy_message, val1:1.2, val2:2.2],[effect:crash_growth, val:-46, count:-1, animation:change_block],[effect:crash_condition, target:unit_all, turn:8, val:6, animation:crash_panel_reduce03]</t>
    <phoneticPr fontId="5"/>
  </si>
  <si>
    <t>[effect:damage_anti_color, target:unit_all, color:red, val1:0.7, val2:0.25],[effect:degrade_unit, target:unit_red, turn:4, status:attack, val:0.5]</t>
    <phoneticPr fontId="5"/>
  </si>
  <si>
    <t>ボナンザは一定のタイミングで
ハートパネル無効を使用します
その瞬間はHPを高く保ち
別の回復手段を探しましょう</t>
    <rPh sb="5" eb="7">
      <t>イッテイ</t>
    </rPh>
    <rPh sb="21" eb="23">
      <t>ムコウ</t>
    </rPh>
    <rPh sb="24" eb="26">
      <t>シヨウ</t>
    </rPh>
    <rPh sb="39" eb="40">
      <t>タカク</t>
    </rPh>
    <rPh sb="41" eb="42">
      <t>タモッテ</t>
    </rPh>
    <rPh sb="44" eb="45">
      <t>ベツ</t>
    </rPh>
    <rPh sb="46" eb="48">
      <t>カイフク</t>
    </rPh>
    <rPh sb="48" eb="50">
      <t>シュダン</t>
    </rPh>
    <rPh sb="51" eb="52">
      <t>サガシマショウ</t>
    </rPh>
    <phoneticPr fontId="5"/>
  </si>
  <si>
    <t>ボナンザは赤・青・緑属性を対象に
それぞれキラー攻撃を放ちます
複数属性のパーティで挑めば
その脅威を軽減できます</t>
    <rPh sb="5" eb="6">
      <t>アカ</t>
    </rPh>
    <rPh sb="7" eb="8">
      <t>アオ</t>
    </rPh>
    <rPh sb="9" eb="10">
      <t>ミドリ</t>
    </rPh>
    <rPh sb="10" eb="12">
      <t>ゾクセイ</t>
    </rPh>
    <rPh sb="13" eb="15">
      <t>タイショウ</t>
    </rPh>
    <rPh sb="24" eb="26">
      <t>コウゲキ</t>
    </rPh>
    <rPh sb="27" eb="28">
      <t>ハナチマス</t>
    </rPh>
    <rPh sb="33" eb="35">
      <t>フクスウ</t>
    </rPh>
    <rPh sb="35" eb="37">
      <t>ゾクセイ</t>
    </rPh>
    <rPh sb="43" eb="44">
      <t>イドムト</t>
    </rPh>
    <rPh sb="49" eb="51">
      <t>キョウイヲ</t>
    </rPh>
    <rPh sb="52" eb="54">
      <t>ケイゲn</t>
    </rPh>
    <phoneticPr fontId="5"/>
  </si>
  <si>
    <t>ボナンザは一定のタイミングで
2ターンアビリティ無効を使用します
その状態でウィルスを受けないよう
敵の行動を見極めましょう</t>
    <rPh sb="5" eb="7">
      <t>イッテイノ</t>
    </rPh>
    <rPh sb="24" eb="26">
      <t>ムコウ</t>
    </rPh>
    <rPh sb="27" eb="29">
      <t>シヨウ</t>
    </rPh>
    <rPh sb="36" eb="38">
      <t>ジョウタイ</t>
    </rPh>
    <rPh sb="44" eb="45">
      <t>ウケルト</t>
    </rPh>
    <rPh sb="51" eb="52">
      <t>テキノ</t>
    </rPh>
    <rPh sb="53" eb="55">
      <t>コウドウ</t>
    </rPh>
    <rPh sb="56" eb="58">
      <t>ミキワメマショウ</t>
    </rPh>
    <phoneticPr fontId="5"/>
  </si>
  <si>
    <t>ボナンザが攻撃頻度3になったら
即死攻撃の準備をしている合図です
次の行動が来る前にゲージを削りましょう</t>
    <rPh sb="5" eb="9">
      <t>コウゲキヒンド</t>
    </rPh>
    <rPh sb="16" eb="20">
      <t>ソクシコウゲキ</t>
    </rPh>
    <rPh sb="21" eb="23">
      <t>ジュンビ</t>
    </rPh>
    <rPh sb="28" eb="30">
      <t>アイズ</t>
    </rPh>
    <rPh sb="34" eb="35">
      <t>ツギノ</t>
    </rPh>
    <rPh sb="36" eb="38">
      <t>コウドウ</t>
    </rPh>
    <rPh sb="39" eb="40">
      <t>クルマエニ</t>
    </rPh>
    <rPh sb="47" eb="48">
      <t>ケズリマショウ</t>
    </rPh>
    <phoneticPr fontId="5"/>
  </si>
  <si>
    <t>ボナンザは定期的に
緑パネル吸収攻撃を使用します
吸収数によって大ダメージになるので
常に緑パネルが少ない盤面を保ちましょう</t>
    <rPh sb="5" eb="8">
      <t>テイキテキニ</t>
    </rPh>
    <rPh sb="10" eb="11">
      <t>ミドリ</t>
    </rPh>
    <rPh sb="14" eb="16">
      <t>キュウシュウ</t>
    </rPh>
    <rPh sb="16" eb="18">
      <t>コウゲキ</t>
    </rPh>
    <rPh sb="19" eb="21">
      <t>シヨウ</t>
    </rPh>
    <rPh sb="26" eb="28">
      <t>キュウシュウ</t>
    </rPh>
    <rPh sb="28" eb="29">
      <t>カズ</t>
    </rPh>
    <rPh sb="33" eb="34">
      <t>ダイダメージ</t>
    </rPh>
    <rPh sb="44" eb="45">
      <t>ツネニ</t>
    </rPh>
    <rPh sb="46" eb="47">
      <t>ミドリ</t>
    </rPh>
    <rPh sb="51" eb="52">
      <t>スクナイ</t>
    </rPh>
    <rPh sb="54" eb="56">
      <t>バンメn</t>
    </rPh>
    <rPh sb="57" eb="58">
      <t>タモチマショウ</t>
    </rPh>
    <phoneticPr fontId="5"/>
  </si>
  <si>
    <t>アヴァルシアの踏破おめでとうございます！
ボナンザが残した言葉が気になりますが
今はこの勝利を喜びましょう！</t>
    <rPh sb="7" eb="9">
      <t>トウハ</t>
    </rPh>
    <rPh sb="27" eb="28">
      <t>ノコシタ</t>
    </rPh>
    <rPh sb="30" eb="32">
      <t>コトバ</t>
    </rPh>
    <rPh sb="33" eb="34">
      <t>キニナリマスガ</t>
    </rPh>
    <rPh sb="41" eb="42">
      <t>イマハ</t>
    </rPh>
    <rPh sb="45" eb="47">
      <t>ショウリ</t>
    </rPh>
    <rPh sb="48" eb="49">
      <t>ヨロコビマショウ</t>
    </rPh>
    <phoneticPr fontId="5"/>
  </si>
  <si>
    <t>アヴァルシアの踏破おめでとうございます！
ボナンザは壊れた権限を修復するため
しばしの間眠りについたようです</t>
    <rPh sb="7" eb="9">
      <t>トウハ</t>
    </rPh>
    <rPh sb="27" eb="28">
      <t>コワレタ</t>
    </rPh>
    <rPh sb="30" eb="32">
      <t>ケンゲン</t>
    </rPh>
    <rPh sb="33" eb="35">
      <t>シュウフクスル</t>
    </rPh>
    <rPh sb="44" eb="45">
      <t>アイダ</t>
    </rPh>
    <rPh sb="45" eb="46">
      <t>ネムリニ</t>
    </rPh>
    <phoneticPr fontId="5"/>
  </si>
  <si>
    <t>アヴァルシアの塔・制覇</t>
    <rPh sb="7" eb="8">
      <t>トウ</t>
    </rPh>
    <rPh sb="9" eb="11">
      <t>セイハ</t>
    </rPh>
    <phoneticPr fontId="5"/>
  </si>
  <si>
    <t>身の程を知るがいいわ…人間共
【状態異常耐性】</t>
    <rPh sb="0" eb="1">
      <t>ミノホドヲ</t>
    </rPh>
    <rPh sb="4" eb="5">
      <t>シルガ</t>
    </rPh>
    <rPh sb="11" eb="13">
      <t>ニンゲン</t>
    </rPh>
    <rPh sb="13" eb="14">
      <t>ドモ</t>
    </rPh>
    <rPh sb="16" eb="18">
      <t>ジョウタイイジョウ</t>
    </rPh>
    <rPh sb="18" eb="20">
      <t>イジョウ</t>
    </rPh>
    <rPh sb="20" eb="22">
      <t>タイセイ</t>
    </rPh>
    <phoneticPr fontId="5"/>
  </si>
  <si>
    <t>[effect:enemy_message, val1:1.3, val2:2.4],[effect:fix_speed, target:myself, turn:1],[effect:tolerance, target:myself, turn:-1, count:-1, tolerance_effect:all, animation:enemy_tolerance]</t>
    <phoneticPr fontId="5"/>
  </si>
  <si>
    <t>全ての属性パネルを吸収して緑属性の単体攻撃</t>
    <rPh sb="0" eb="1">
      <t>スベテノ</t>
    </rPh>
    <rPh sb="3" eb="5">
      <t>ゾクセイ</t>
    </rPh>
    <rPh sb="9" eb="11">
      <t>キュウシュウ</t>
    </rPh>
    <rPh sb="13" eb="16">
      <t>ミドリゾクセイ</t>
    </rPh>
    <rPh sb="17" eb="19">
      <t>タンタイ</t>
    </rPh>
    <rPh sb="19" eb="21">
      <t>コウゲキ</t>
    </rPh>
    <phoneticPr fontId="5"/>
  </si>
  <si>
    <t>[effect:enemy_message, val1:1.2, val2:3.4],[effect:fix_speed,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animation:enemy_tolerance],[effect:hungup, target:unit_all, turn:2, rate:1, animation:hungup01],[effect:virus, target:unit_all, turn:2, rate:1, val:3.0, animation:enemy_virus]</t>
    <phoneticPr fontId="5"/>
  </si>
  <si>
    <t>2ターン激烈ウィルス+
緑パネルを吸収して全体攻撃（最大25個）</t>
    <rPh sb="4" eb="6">
      <t>ゲキレツ</t>
    </rPh>
    <phoneticPr fontId="5"/>
  </si>
  <si>
    <t>1ターン単体にスキルバインド+
青属性のユニットに大ダメージの全体攻撃</t>
    <rPh sb="31" eb="33">
      <t>ゼンタイ</t>
    </rPh>
    <rPh sb="33" eb="35">
      <t>コウゲキ</t>
    </rPh>
    <phoneticPr fontId="5"/>
  </si>
  <si>
    <t>5ターンハートパネル無効+
1ターン自身の攻撃力大UP</t>
    <rPh sb="18" eb="20">
      <t>ジシンノ</t>
    </rPh>
    <rPh sb="23" eb="24">
      <t>チカラ</t>
    </rPh>
    <rPh sb="24" eb="25">
      <t>ダイ</t>
    </rPh>
    <phoneticPr fontId="5"/>
  </si>
  <si>
    <t>[effect:enemy_message, val1:1, val2:2.2],[effect:dis_heart, turn:5, animation:enemy_dis_heart],[effect:enhance_enemy, target:myself, turn:1, status:attack, val:0.3, animation:enemy_enhance_attack]</t>
    <phoneticPr fontId="5"/>
  </si>
  <si>
    <t>状態異常耐性+
5ターン緑の時限式ダメージパネルドロップ</t>
    <rPh sb="0" eb="4">
      <t>ジョウタイイジョウ</t>
    </rPh>
    <rPh sb="4" eb="6">
      <t>タイセイ</t>
    </rPh>
    <rPh sb="12" eb="13">
      <t>ミドリ</t>
    </rPh>
    <rPh sb="14" eb="17">
      <t>ジゲンシキ</t>
    </rPh>
    <phoneticPr fontId="5"/>
  </si>
  <si>
    <t>4ターン激烈ウィルス+
緑パネルを吸収して全体攻撃（最大25個）</t>
    <rPh sb="4" eb="6">
      <t>ゲキレツ</t>
    </rPh>
    <rPh sb="12" eb="13">
      <t>ミドリ</t>
    </rPh>
    <rPh sb="17" eb="19">
      <t>キュウシュウ</t>
    </rPh>
    <rPh sb="21" eb="23">
      <t>ゼンタイ</t>
    </rPh>
    <rPh sb="23" eb="25">
      <t>コウゲキ</t>
    </rPh>
    <rPh sb="26" eb="28">
      <t>サイダイ</t>
    </rPh>
    <rPh sb="30" eb="31">
      <t>コ</t>
    </rPh>
    <phoneticPr fontId="5"/>
  </si>
  <si>
    <t>1ターン単体にスキルバインド+
緑属性のユニットに大ダメージの全体攻撃</t>
    <rPh sb="16" eb="17">
      <t>ミドリ</t>
    </rPh>
    <rPh sb="17" eb="19">
      <t>ゾクセイノ</t>
    </rPh>
    <rPh sb="25" eb="26">
      <t>ダイダメージ</t>
    </rPh>
    <rPh sb="31" eb="33">
      <t>ゼンタイ</t>
    </rPh>
    <rPh sb="33" eb="35">
      <t>コウゲキ</t>
    </rPh>
    <phoneticPr fontId="5"/>
  </si>
  <si>
    <t>状態異常耐性+5ターン緑の時限式ダメージパネルドロップ+
2ターン全体スキルバインド＆激烈ウィルス！</t>
    <rPh sb="0" eb="4">
      <t>ジョウタイイジョウ</t>
    </rPh>
    <rPh sb="4" eb="6">
      <t>タイセイ</t>
    </rPh>
    <rPh sb="11" eb="12">
      <t>ミドリ</t>
    </rPh>
    <rPh sb="33" eb="35">
      <t>ゼンタイ</t>
    </rPh>
    <rPh sb="43" eb="45">
      <t>ゲキレツ</t>
    </rPh>
    <phoneticPr fontId="5"/>
  </si>
  <si>
    <t>赤属性のユニットに大ダメージの全体攻撃+
4ターン攻撃力50%DOWN</t>
    <rPh sb="0" eb="1">
      <t>アカ</t>
    </rPh>
    <rPh sb="1" eb="3">
      <t>ゾクセイ</t>
    </rPh>
    <rPh sb="9" eb="10">
      <t>ダイダメージ</t>
    </rPh>
    <rPh sb="15" eb="17">
      <t>ゼンタイ</t>
    </rPh>
    <rPh sb="17" eb="19">
      <t>コウゲキ</t>
    </rPh>
    <rPh sb="25" eb="28">
      <t>コウゲキリョク</t>
    </rPh>
    <phoneticPr fontId="5"/>
  </si>
  <si>
    <t>Cパネルを同色の通常パネルに変換+
8ターンCパネル生成超大延長</t>
    <rPh sb="5" eb="7">
      <t>ドウショク</t>
    </rPh>
    <rPh sb="8" eb="10">
      <t>ツウジョウ</t>
    </rPh>
    <rPh sb="14" eb="16">
      <t>ヘンカn</t>
    </rPh>
    <rPh sb="26" eb="28">
      <t>セイセイ</t>
    </rPh>
    <rPh sb="28" eb="30">
      <t>チョウダイ</t>
    </rPh>
    <rPh sb="30" eb="32">
      <t>エンチョウ</t>
    </rPh>
    <phoneticPr fontId="5"/>
  </si>
  <si>
    <t>攻撃力＆回復力UPの効果を解除+
クリティカル！</t>
    <rPh sb="0" eb="2">
      <t>コウゲキ</t>
    </rPh>
    <rPh sb="2" eb="3">
      <t>チカラ</t>
    </rPh>
    <rPh sb="4" eb="7">
      <t>カイフクリョク</t>
    </rPh>
    <rPh sb="10" eb="12">
      <t>コウカ</t>
    </rPh>
    <rPh sb="13" eb="15">
      <t>カイジョ</t>
    </rPh>
    <phoneticPr fontId="5"/>
  </si>
  <si>
    <t>暗闇状態以外のユニットに即死級の全体攻撃+
暗闇状態が解除される！</t>
    <rPh sb="0" eb="2">
      <t>クラヤミ</t>
    </rPh>
    <rPh sb="2" eb="4">
      <t>ジョウタイ</t>
    </rPh>
    <rPh sb="4" eb="6">
      <t>イガイノ</t>
    </rPh>
    <rPh sb="12" eb="15">
      <t>ソクシキュウ</t>
    </rPh>
    <rPh sb="16" eb="18">
      <t>ゼンタイ</t>
    </rPh>
    <rPh sb="18" eb="20">
      <t>コウゲキ</t>
    </rPh>
    <rPh sb="22" eb="24">
      <t>クラヤミ</t>
    </rPh>
    <rPh sb="24" eb="26">
      <t>ジョウタイ</t>
    </rPh>
    <rPh sb="27" eb="29">
      <t>カイジョ</t>
    </rPh>
    <phoneticPr fontId="5"/>
  </si>
  <si>
    <t>だんだん強くなる全体攻撃+黄属性に変化+
お邪魔パネルを3個生成</t>
    <rPh sb="4" eb="5">
      <t>ツヨクナル</t>
    </rPh>
    <rPh sb="29" eb="30">
      <t>※</t>
    </rPh>
    <rPh sb="30" eb="32">
      <t>セイセイ</t>
    </rPh>
    <phoneticPr fontId="5"/>
  </si>
  <si>
    <t>だんだん強くなる全体攻撃+緑属性に変化+
黄の時限式ダメージパネルを3個生成</t>
    <rPh sb="4" eb="5">
      <t>ツヨクナル</t>
    </rPh>
    <rPh sb="21" eb="22">
      <t>キイロ</t>
    </rPh>
    <rPh sb="23" eb="26">
      <t>ジゲンシキ</t>
    </rPh>
    <rPh sb="35" eb="36">
      <t>コ</t>
    </rPh>
    <rPh sb="36" eb="38">
      <t>セイセイ</t>
    </rPh>
    <phoneticPr fontId="5"/>
  </si>
  <si>
    <t>だんだん強くなる全体攻撃+黄属性に変化+
お邪魔パネルを4個生成</t>
    <rPh sb="4" eb="5">
      <t>ツヨクナル</t>
    </rPh>
    <rPh sb="29" eb="30">
      <t>※</t>
    </rPh>
    <rPh sb="30" eb="32">
      <t>セイセイ</t>
    </rPh>
    <phoneticPr fontId="5"/>
  </si>
  <si>
    <t>だんだん強くなる全体攻撃+緑属性に変化+
黄の時限式ダメージパネルを4個生成</t>
    <rPh sb="4" eb="5">
      <t>ツヨクナル</t>
    </rPh>
    <rPh sb="21" eb="22">
      <t>キイロ</t>
    </rPh>
    <rPh sb="23" eb="26">
      <t>ジゲンシキ</t>
    </rPh>
    <rPh sb="35" eb="36">
      <t>コ</t>
    </rPh>
    <rPh sb="36" eb="38">
      <t>セイセイ</t>
    </rPh>
    <phoneticPr fontId="5"/>
  </si>
  <si>
    <t>だんだん強くなる全体攻撃+黄属性に変化+
お邪魔パネルを5個生成</t>
    <rPh sb="4" eb="5">
      <t>ツヨクナル</t>
    </rPh>
    <rPh sb="29" eb="30">
      <t>※</t>
    </rPh>
    <rPh sb="30" eb="32">
      <t>セイセイ</t>
    </rPh>
    <phoneticPr fontId="5"/>
  </si>
  <si>
    <t>だんだん強くなる全体攻撃+緑属性に変化+
黄の時限式ダメージパネルを5個生成</t>
    <rPh sb="4" eb="5">
      <t>ツヨクナル</t>
    </rPh>
    <rPh sb="21" eb="22">
      <t>キイロ</t>
    </rPh>
    <rPh sb="23" eb="26">
      <t>ジゲンシキ</t>
    </rPh>
    <rPh sb="35" eb="36">
      <t>コ</t>
    </rPh>
    <rPh sb="36" eb="38">
      <t>セイセイ</t>
    </rPh>
    <phoneticPr fontId="5"/>
  </si>
  <si>
    <t>超強力な全体攻撃+
全ユニットに確率で1ターンスキルバインド</t>
    <rPh sb="0" eb="3">
      <t>チョウキョウリョク</t>
    </rPh>
    <rPh sb="10" eb="11">
      <t>ゼン</t>
    </rPh>
    <rPh sb="16" eb="18">
      <t>カクリツ</t>
    </rPh>
    <phoneticPr fontId="5"/>
  </si>
  <si>
    <t>全パネルプロテクト+
解除するまでタップ回数が1になる</t>
    <rPh sb="0" eb="1">
      <t>スベテノ</t>
    </rPh>
    <rPh sb="11" eb="13">
      <t>カイジョ</t>
    </rPh>
    <rPh sb="20" eb="22">
      <t>カイスウ</t>
    </rPh>
    <phoneticPr fontId="5"/>
  </si>
  <si>
    <t>全ユニットのスキルゲージを1上昇して去っていった！</t>
    <rPh sb="0" eb="1">
      <t>ゼン</t>
    </rPh>
    <rPh sb="14" eb="16">
      <t>ジョウショウ</t>
    </rPh>
    <rPh sb="18" eb="19">
      <t>サッテイッタ</t>
    </rPh>
    <phoneticPr fontId="5"/>
  </si>
  <si>
    <t>[effect:dark, target:unit_all, turn:5, animation:enemy_dark],[effect:time_limit, target:unit_all, turn:-1, count:9, animation:enemy_time_limit]</t>
    <phoneticPr fontId="5"/>
  </si>
  <si>
    <t>null</t>
    <phoneticPr fontId="5"/>
  </si>
  <si>
    <t>null</t>
    <phoneticPr fontId="5"/>
  </si>
  <si>
    <t>skip</t>
    <phoneticPr fontId="5"/>
  </si>
  <si>
    <t>skip</t>
    <phoneticPr fontId="5"/>
  </si>
  <si>
    <t>skip</t>
    <phoneticPr fontId="5"/>
  </si>
  <si>
    <t>13302_15</t>
    <phoneticPr fontId="5"/>
  </si>
  <si>
    <t>old</t>
    <phoneticPr fontId="5"/>
  </si>
  <si>
    <t>old</t>
    <phoneticPr fontId="5"/>
  </si>
  <si>
    <t>old</t>
    <phoneticPr fontId="5"/>
  </si>
  <si>
    <t>skip</t>
    <phoneticPr fontId="5"/>
  </si>
  <si>
    <t>old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</si>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</sst>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1" fillId="0" borderId="7" xfId="0" applyFont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52" fillId="33" borderId="7" xfId="0" applyFont="1" applyFill="1" applyBorder="1" applyAlignment="1">
      <alignment vertical="center"/>
    </xf>
    <xf numFmtId="0" fontId="52" fillId="6" borderId="7" xfId="0" applyFont="1" applyFill="1" applyBorder="1" applyAlignment="1">
      <alignment vertical="center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376</v>
      </c>
      <c r="B2" s="57" t="s">
        <v>107</v>
      </c>
      <c r="C2" s="63" t="s">
        <v>375</v>
      </c>
      <c r="D2" s="57" t="s">
        <v>108</v>
      </c>
      <c r="E2" s="56" t="str">
        <f>B2&amp;C2&amp;D2</f>
        <v>floors_13302_15.tmp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377</v>
      </c>
      <c r="B3" s="57" t="s">
        <v>110</v>
      </c>
      <c r="C3" s="63" t="str">
        <f t="shared" ref="C3:C13" si="0">C$2</f>
        <v>13302_15</v>
      </c>
      <c r="D3" s="57" t="s">
        <v>108</v>
      </c>
      <c r="E3" s="56" t="str">
        <f>B3&amp;C3&amp;D3</f>
        <v>enemy_habitats_13302_15.tmp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378</v>
      </c>
      <c r="B4" s="57" t="s">
        <v>112</v>
      </c>
      <c r="C4" s="63" t="str">
        <f t="shared" si="0"/>
        <v>13302_15</v>
      </c>
      <c r="D4" s="57" t="s">
        <v>108</v>
      </c>
      <c r="E4" s="56" t="str">
        <f>B4&amp;C4&amp;D4</f>
        <v>enemy_habitat_S_13302_15.tmp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379</v>
      </c>
      <c r="B5" s="57" t="s">
        <v>114</v>
      </c>
      <c r="C5" s="63" t="str">
        <f t="shared" si="0"/>
        <v>13302_15</v>
      </c>
      <c r="D5" s="57" t="s">
        <v>108</v>
      </c>
      <c r="E5" s="56" t="str">
        <f>B5&amp;C5&amp;D5</f>
        <v>enemy_skill_sets_13302_15.tmp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373</v>
      </c>
      <c r="B6" s="57" t="s">
        <v>116</v>
      </c>
      <c r="C6" s="63" t="str">
        <f t="shared" si="0"/>
        <v>13302_15</v>
      </c>
      <c r="D6" s="57" t="s">
        <v>117</v>
      </c>
      <c r="E6" s="56" t="str">
        <f t="shared" ref="E6:E10" si="1">B6&amp;C6&amp;D6</f>
        <v>enemy_skills_tmp_13302_15.tmp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372</v>
      </c>
      <c r="B7" s="57" t="s">
        <v>118</v>
      </c>
      <c r="C7" s="63" t="str">
        <f t="shared" si="0"/>
        <v>13302_15</v>
      </c>
      <c r="D7" s="57" t="s">
        <v>108</v>
      </c>
      <c r="E7" s="56" t="str">
        <f>B7&amp;C7&amp;D7</f>
        <v>enemy_skills_i18n_13302_15.tmp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374</v>
      </c>
      <c r="B8" s="57" t="s">
        <v>120</v>
      </c>
      <c r="C8" s="63" t="str">
        <f t="shared" si="0"/>
        <v>13302_15</v>
      </c>
      <c r="D8" s="57" t="s">
        <v>121</v>
      </c>
      <c r="E8" s="56" t="str">
        <f t="shared" si="1"/>
        <v>enemy_skill_triggers_13302_15.tmp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380</v>
      </c>
      <c r="B9" s="68" t="s">
        <v>177</v>
      </c>
      <c r="C9" s="63" t="str">
        <f t="shared" si="0"/>
        <v>13302_15</v>
      </c>
      <c r="D9" s="68" t="s">
        <v>171</v>
      </c>
      <c r="E9" s="69" t="str">
        <f t="shared" si="1"/>
        <v>stage_bug_bonuses_13302_15.tmp</v>
      </c>
      <c r="F9" s="68" t="s">
        <v>172</v>
      </c>
      <c r="G9" s="65" t="s">
        <v>151</v>
      </c>
      <c r="H9" s="65" t="s">
        <v>173</v>
      </c>
      <c r="I9" s="65" t="s">
        <v>174</v>
      </c>
      <c r="J9" s="67" t="s">
        <v>175</v>
      </c>
      <c r="K9" s="65" t="s">
        <v>176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372</v>
      </c>
      <c r="B10" s="68" t="s">
        <v>200</v>
      </c>
      <c r="C10" s="63" t="str">
        <f t="shared" si="0"/>
        <v>13302_15</v>
      </c>
      <c r="D10" s="68" t="s">
        <v>180</v>
      </c>
      <c r="E10" s="69" t="str">
        <f t="shared" si="1"/>
        <v>stage_hints_data_c_13302_15.tmp</v>
      </c>
      <c r="F10" s="68" t="s">
        <v>208</v>
      </c>
      <c r="G10" s="73" t="s">
        <v>181</v>
      </c>
      <c r="H10" s="73" t="s">
        <v>173</v>
      </c>
      <c r="I10" s="74" t="s">
        <v>182</v>
      </c>
      <c r="J10" s="67" t="s">
        <v>183</v>
      </c>
      <c r="K10" s="67" t="s">
        <v>184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381</v>
      </c>
      <c r="B11" s="68" t="s">
        <v>201</v>
      </c>
      <c r="C11" s="63" t="str">
        <f t="shared" si="0"/>
        <v>13302_15</v>
      </c>
      <c r="D11" s="68" t="s">
        <v>171</v>
      </c>
      <c r="E11" s="69" t="str">
        <f t="shared" ref="E11:E13" si="2">B11&amp;C11&amp;D11</f>
        <v>stage_hints_data_f_13302_15.tmp</v>
      </c>
      <c r="F11" s="68" t="s">
        <v>209</v>
      </c>
      <c r="G11" s="73" t="s">
        <v>181</v>
      </c>
      <c r="H11" s="73" t="s">
        <v>173</v>
      </c>
      <c r="I11" s="74" t="s">
        <v>182</v>
      </c>
      <c r="J11" s="67" t="s">
        <v>183</v>
      </c>
      <c r="K11" s="67" t="s">
        <v>184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376</v>
      </c>
      <c r="B12" s="68" t="s">
        <v>202</v>
      </c>
      <c r="C12" s="63" t="str">
        <f t="shared" si="0"/>
        <v>13302_15</v>
      </c>
      <c r="D12" s="68" t="s">
        <v>171</v>
      </c>
      <c r="E12" s="69" t="str">
        <f t="shared" si="2"/>
        <v>stage_hints_i18n_13302_15.tmp</v>
      </c>
      <c r="F12" s="68" t="s">
        <v>210</v>
      </c>
      <c r="G12" s="74" t="s">
        <v>203</v>
      </c>
      <c r="H12" s="93" t="s">
        <v>204</v>
      </c>
      <c r="I12" s="73" t="s">
        <v>205</v>
      </c>
      <c r="J12" s="101" t="s">
        <v>206</v>
      </c>
      <c r="K12" s="67" t="s">
        <v>207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376</v>
      </c>
      <c r="B13" s="68" t="s">
        <v>248</v>
      </c>
      <c r="C13" s="63" t="str">
        <f t="shared" si="0"/>
        <v>13302_15</v>
      </c>
      <c r="D13" s="68" t="s">
        <v>229</v>
      </c>
      <c r="E13" s="69" t="str">
        <f t="shared" si="2"/>
        <v>stage_bonuses_13302_15.tmp</v>
      </c>
      <c r="F13" s="68" t="s">
        <v>228</v>
      </c>
      <c r="G13" s="73" t="s">
        <v>230</v>
      </c>
      <c r="H13" s="73" t="s">
        <v>231</v>
      </c>
      <c r="I13" s="73" t="s">
        <v>232</v>
      </c>
      <c r="J13" s="73" t="s">
        <v>233</v>
      </c>
      <c r="K13" s="73" t="s">
        <v>234</v>
      </c>
      <c r="L13" s="73" t="s">
        <v>235</v>
      </c>
      <c r="M13" s="73" t="s">
        <v>236</v>
      </c>
      <c r="N13" s="73" t="s">
        <v>237</v>
      </c>
      <c r="O13" s="73" t="s">
        <v>238</v>
      </c>
      <c r="P13" s="73" t="s">
        <v>239</v>
      </c>
      <c r="Q13" s="73" t="s">
        <v>240</v>
      </c>
      <c r="R13" s="73" t="s">
        <v>241</v>
      </c>
      <c r="S13" s="73" t="s">
        <v>242</v>
      </c>
      <c r="T13" s="73" t="s">
        <v>243</v>
      </c>
      <c r="U13" s="73" t="s">
        <v>244</v>
      </c>
      <c r="V13" s="73" t="s">
        <v>245</v>
      </c>
      <c r="W13" s="73" t="s">
        <v>246</v>
      </c>
      <c r="X13" s="73" t="s">
        <v>247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13302_15-1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15</v>
      </c>
      <c r="G2" s="23" t="str">
        <f>C2&amp;"_"&amp;F2</f>
        <v>13302_15</v>
      </c>
      <c r="H2" s="15" t="str">
        <f ca="1">VLOOKUP($G2,OFFSET([2]stages!$A$1,0,0,COUNTA([2]stages!$A:$A),MATCH(H$1,[2]stages!$2:$2,0)-MATCH($G$1,[2]stages!$2:$2,0)+1),MATCH(H$1,[2]stages!$2:$2,0)-MATCH($G$1,[2]stages!$2:$2,0)+1,FALSE)</f>
        <v>15階 アヴァルシアの女王 ボナンザ</v>
      </c>
      <c r="I2" s="21">
        <v>1</v>
      </c>
      <c r="J2" s="12">
        <v>20</v>
      </c>
      <c r="K2" s="12">
        <v>20</v>
      </c>
    </row>
    <row r="3" spans="1:11" ht="21" customHeight="1" x14ac:dyDescent="0.15">
      <c r="A3" s="16" t="str">
        <f>G3&amp;"-"&amp;I3</f>
        <v>13302_15-2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15</v>
      </c>
      <c r="G3" s="23" t="str">
        <f>C3&amp;"_"&amp;F3</f>
        <v>13302_15</v>
      </c>
      <c r="H3" s="15" t="str">
        <f ca="1">VLOOKUP($G3,OFFSET([2]stages!$A$1,0,0,COUNTA([2]stages!$A:$A),MATCH(H$1,[2]stages!$2:$2,0)-MATCH($G$1,[2]stages!$2:$2,0)+1),MATCH(H$1,[2]stages!$2:$2,0)-MATCH($G$1,[2]stages!$2:$2,0)+1,FALSE)</f>
        <v>15階 アヴァルシアの女王 ボナンザ</v>
      </c>
      <c r="I3" s="21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3"/>
  <sheetViews>
    <sheetView showGridLines="0" tabSelected="1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249</v>
      </c>
      <c r="U1" s="26" t="s">
        <v>50</v>
      </c>
      <c r="V1" s="102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>B2&amp;"_"&amp;C2&amp;"-"&amp;G2&amp;"/"&amp;L2&amp;"&lt;lv"&amp;R2&amp;"&gt;s"&amp;AC2</f>
        <v>13302_15-1/79&lt;lv80&gt;s1</v>
      </c>
      <c r="B2" s="22">
        <v>13302</v>
      </c>
      <c r="C2" s="21">
        <v>15</v>
      </c>
      <c r="D2" s="2" t="str">
        <f>B2&amp;"_"&amp;C2</f>
        <v>13302_15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15階 アヴァルシアの女王 ボナンザ</v>
      </c>
      <c r="G2" s="21">
        <v>1</v>
      </c>
      <c r="H2" s="15" t="str">
        <f>B2&amp;"_"&amp;C2&amp;"-"&amp;G2</f>
        <v>13302_15-1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8" t="s">
        <v>53</v>
      </c>
      <c r="L2" s="20">
        <v>79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ハッピー100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80</v>
      </c>
      <c r="S2" s="25">
        <v>99.9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7308084.6000000006</v>
      </c>
      <c r="U2" s="25">
        <v>1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5831</v>
      </c>
      <c r="W2" s="5">
        <v>100000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幸せそうな表情を浮かべている</v>
      </c>
      <c r="Y2" s="62">
        <v>13301951</v>
      </c>
      <c r="Z2" s="6">
        <v>0</v>
      </c>
      <c r="AA2" s="6">
        <v>100</v>
      </c>
      <c r="AB2" s="6">
        <v>0</v>
      </c>
      <c r="AC2" s="106">
        <v>1</v>
      </c>
      <c r="AD2" s="24">
        <f>L2</f>
        <v>79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ハッピー100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" s="7">
        <v>1</v>
      </c>
      <c r="AI2" s="24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>B3&amp;"_"&amp;C3&amp;"-"&amp;G3&amp;"/"&amp;L3&amp;"&lt;lv"&amp;R3&amp;"&gt;s"&amp;AC3</f>
        <v>13302_15-2/1115&lt;lv80&gt;s1</v>
      </c>
      <c r="B3" s="22">
        <v>13302</v>
      </c>
      <c r="C3" s="21">
        <v>15</v>
      </c>
      <c r="D3" s="2" t="str">
        <f>B3&amp;"_"&amp;C3</f>
        <v>13302_15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15階 アヴァルシアの女王 ボナンザ</v>
      </c>
      <c r="G3" s="21">
        <v>2</v>
      </c>
      <c r="H3" s="15" t="str">
        <f>B3&amp;"_"&amp;C3&amp;"-"&amp;G3</f>
        <v>13302_15-2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20">
        <v>1115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アヴァルシアの女王 ボナンザ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DropWizSSS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80</v>
      </c>
      <c r="S3" s="25">
        <v>11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1399079</v>
      </c>
      <c r="U3" s="25">
        <v>1.4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12089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身の程を知るがいいわ…人間共_x000D_【状態異常耐性】</v>
      </c>
      <c r="Y3" s="62">
        <v>13301952</v>
      </c>
      <c r="Z3" s="6">
        <v>0</v>
      </c>
      <c r="AA3" s="6">
        <v>100</v>
      </c>
      <c r="AB3" s="6">
        <v>0</v>
      </c>
      <c r="AC3" s="106">
        <v>1</v>
      </c>
      <c r="AD3" s="111">
        <v>1114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ボナンザ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3" s="7">
        <v>1</v>
      </c>
      <c r="AI3" s="24">
        <v>5</v>
      </c>
      <c r="AJ3" s="8">
        <v>30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zoomScale="130" zoomScaleNormal="130" zoomScalePageLayoutView="13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249</v>
      </c>
      <c r="V1" s="26" t="s">
        <v>50</v>
      </c>
      <c r="W1" s="102" t="s">
        <v>250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13302_15-2/1115&lt;lv80&gt;sq1st2</v>
      </c>
      <c r="B2" s="22">
        <v>13302</v>
      </c>
      <c r="C2" s="21">
        <v>15</v>
      </c>
      <c r="D2" s="2" t="str">
        <f>B2&amp;"_"&amp;C2</f>
        <v>13302_15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15階 アヴァルシアの女王 ボナンザ</v>
      </c>
      <c r="G2" s="21">
        <v>2</v>
      </c>
      <c r="H2" s="15" t="str">
        <f>B2&amp;"_"&amp;C2&amp;"-"&amp;G2</f>
        <v>13302_15-2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1115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アヴァルシアの女王 ボナンザ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12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1526268</v>
      </c>
      <c r="V2" s="25">
        <v>1.4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12089</v>
      </c>
      <c r="X2" s="5">
        <v>0</v>
      </c>
      <c r="Y2" s="4" t="e">
        <v>#VALUE!</v>
      </c>
      <c r="Z2" s="62">
        <v>13301953</v>
      </c>
      <c r="AA2" s="105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13302_15-2/1115&lt;lv80&gt;sq1st3</v>
      </c>
      <c r="B3" s="22">
        <v>13302</v>
      </c>
      <c r="C3" s="21">
        <v>15</v>
      </c>
      <c r="D3" s="2" t="str">
        <f>B3&amp;"_"&amp;C3</f>
        <v>13302_15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15階 アヴァルシアの女王 ボナンザ</v>
      </c>
      <c r="G3" s="21">
        <v>2</v>
      </c>
      <c r="H3" s="15" t="str">
        <f>B3&amp;"_"&amp;C3&amp;"-"&amp;G3</f>
        <v>13302_15-2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1115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アヴァルシアの女王 ボナンザ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13.5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1717051.5</v>
      </c>
      <c r="V3" s="25">
        <v>1.5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12952.5</v>
      </c>
      <c r="X3" s="5">
        <v>0</v>
      </c>
      <c r="Y3" s="4" t="e">
        <v>#VALUE!</v>
      </c>
      <c r="Z3" s="62">
        <v>13301954</v>
      </c>
      <c r="AA3" s="105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4"/>
  <sheetViews>
    <sheetView showGridLines="0" zoomScale="110" zoomScaleNormal="110" zoomScalePageLayoutView="110" workbookViewId="0">
      <pane xSplit="5" ySplit="1" topLeftCell="F2" activePane="bottomRight" state="frozen"/>
      <selection pane="topRight"/>
      <selection pane="bottomLeft"/>
      <selection pane="bottomRight"/>
    </sheetView>
  </sheetViews>
  <sheetFormatPr baseColWidth="12" defaultColWidth="12.83203125" defaultRowHeight="21" customHeight="1" outlineLevelCol="1" x14ac:dyDescent="0.15"/>
  <cols>
    <col min="1" max="1" width="17.33203125" style="39" customWidth="1"/>
    <col min="2" max="2" width="9.5" style="49" bestFit="1" customWidth="1"/>
    <col min="3" max="3" width="9.6640625" style="49" customWidth="1"/>
    <col min="4" max="4" width="25.33203125" style="49" customWidth="1" outlineLevel="1"/>
    <col min="5" max="5" width="30.5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13301951_13301951</v>
      </c>
      <c r="B2" s="47">
        <v>13301951</v>
      </c>
      <c r="C2" s="47">
        <v>13301951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幸せそうな表情を浮かべている</v>
      </c>
      <c r="F2" s="47">
        <v>13301951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13301951_13301952</v>
      </c>
      <c r="B3" s="47">
        <v>13301951</v>
      </c>
      <c r="C3" s="47">
        <v>13301952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ハッピー？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不思議そうにこちらを見つめた</v>
      </c>
      <c r="F3" s="47">
        <v>13301952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13301951_13301953</v>
      </c>
      <c r="B4" s="47">
        <v>13301951</v>
      </c>
      <c r="C4" s="47">
        <v>13301953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ハッピー♪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全ユニットのスキルゲージを1上昇して去っていった！</v>
      </c>
      <c r="F4" s="47">
        <v>13301953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7" si="3">B5&amp;"_"&amp;C5</f>
        <v>13301952_13301954</v>
      </c>
      <c r="B5" s="109">
        <v>13301952</v>
      </c>
      <c r="C5" s="109">
        <v>13301954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本当に私の力を狙っているのね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身の程を知るがいいわ…人間共_x000D_【状態異常耐性】</v>
      </c>
      <c r="F5" s="109">
        <v>13301954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3"/>
        <v>13301952_13301955</v>
      </c>
      <c r="B6" s="109">
        <v>13301952</v>
      </c>
      <c r="C6" s="109">
        <v>13301955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跪け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2ターン激烈ウィルス+_x000D_緑パネルを吸収して全体攻撃（最大25個）</v>
      </c>
      <c r="F6" s="109">
        <v>13301955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3"/>
        <v>13301952_13301956</v>
      </c>
      <c r="B7" s="109">
        <v>13301952</v>
      </c>
      <c r="C7" s="109">
        <v>13301956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喚くな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2ターン激烈ウィルス+2回連続攻撃</v>
      </c>
      <c r="F7" s="109">
        <v>13301956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21" si="4">B8&amp;"_"&amp;C8</f>
        <v>13301952_13301957</v>
      </c>
      <c r="B8" s="109">
        <v>13301952</v>
      </c>
      <c r="C8" s="109">
        <v>13301957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醜いわね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1ターン単体にスキルバインド+_x000D_青属性のユニットに大ダメージの全体攻撃</v>
      </c>
      <c r="F8" s="109">
        <v>13301957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4"/>
        <v>13301952_13301958</v>
      </c>
      <c r="B9" s="109">
        <v>13301952</v>
      </c>
      <c r="C9" s="109">
        <v>13301958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好きにさせると思ったか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5ターンハートパネル無効+_x000D_1ターン自身の攻撃力大UP</v>
      </c>
      <c r="F9" s="109">
        <v>13301958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5">B10&amp;"_"&amp;C10</f>
        <v>13301952_13301959</v>
      </c>
      <c r="B10" s="109">
        <v>13301952</v>
      </c>
      <c r="C10" s="109">
        <v>13301959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格の違いを見せつけてやろう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凄まじい力の増幅を感じる！_x000D_【3ターン以内にゲージを削りきれ！】</v>
      </c>
      <c r="F10" s="109">
        <v>13301959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" si="6">B11&amp;"_"&amp;C11</f>
        <v>13301952_13301960</v>
      </c>
      <c r="B11" s="109">
        <v>13301952</v>
      </c>
      <c r="C11" s="109">
        <v>13301960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アハハハハッ！_x000D_消し飛べ！劣等種ども！！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残りHPの5000%ダメージ！！</v>
      </c>
      <c r="F11" s="109">
        <v>13301960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68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4"/>
        <v>13301953_13301961</v>
      </c>
      <c r="B12" s="110">
        <v>13301953</v>
      </c>
      <c r="C12" s="110">
        <v>13301961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忌々しい劣等種が…！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状態異常耐性+_x000D_5ターン緑の時限式ダメージパネルドロップ</v>
      </c>
      <c r="F12" s="110">
        <v>13301961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4"/>
        <v>13301953_13301962</v>
      </c>
      <c r="B13" s="110">
        <v>13301953</v>
      </c>
      <c r="C13" s="110">
        <v>13301962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消し飛ぶがいい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4ターン激烈ウィルス+_x000D_緑パネルを吸収して全体攻撃（最大25個）</v>
      </c>
      <c r="F13" s="110">
        <v>13301962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4"/>
        <v>13301953_13301963</v>
      </c>
      <c r="B14" s="110">
        <v>13301953</v>
      </c>
      <c r="C14" s="110">
        <v>13301963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この世界に相応しくない存在だ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2ターン全ユニットのアビリティ無効_x000D_【ボナンザのHPをどんどん削れ！】</v>
      </c>
      <c r="F14" s="110">
        <v>13301963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4"/>
        <v>13301953_13301964</v>
      </c>
      <c r="B15" s="110">
        <v>13301953</v>
      </c>
      <c r="C15" s="110">
        <v>13301964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醜い…醜いわ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1ターン単体にスキルバインド+_x000D_緑属性のユニットに大ダメージの全体攻撃</v>
      </c>
      <c r="F15" s="110">
        <v>13301964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" si="7">B16&amp;"_"&amp;C16</f>
        <v>13301953_13301965</v>
      </c>
      <c r="B16" s="110">
        <v>13301953</v>
      </c>
      <c r="C16" s="110">
        <v>13301965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跪け。地を嘗めよ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1ターンハートパネル無効+お邪魔パネル10個生成</v>
      </c>
      <c r="F16" s="110">
        <v>13301965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4"/>
        <v>13301953_13301966</v>
      </c>
      <c r="B17" s="110">
        <v>13301953</v>
      </c>
      <c r="C17" s="110">
        <v>13301966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永劫を巡り悔い改めよ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5ターン暗闇+永続タップ時間制限（9秒）</v>
      </c>
      <c r="F17" s="110">
        <v>13301966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ref="A18" si="8">B18&amp;"_"&amp;C18</f>
        <v>13301953_13301967</v>
      </c>
      <c r="B18" s="110">
        <v>13301953</v>
      </c>
      <c r="C18" s="110">
        <v>13301967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これが高みの力よ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全パネルプロテクト+_x000D_解除するまでタップ回数が1になる</v>
      </c>
      <c r="F18" s="110">
        <v>13301967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4"/>
        <v>13301954_13301968</v>
      </c>
      <c r="B19" s="109">
        <v>13301954</v>
      </c>
      <c r="C19" s="109">
        <v>13301968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ALICEの塵は私が排除する！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状態異常耐性+5ターン緑の時限式ダメージパネルドロップ+_x000D_2ターン全体スキルバインド＆激烈ウィルス！</v>
      </c>
      <c r="F19" s="109">
        <v>13301968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" si="9">B20&amp;"_"&amp;C20</f>
        <v>13301954_13301969</v>
      </c>
      <c r="B20" s="109">
        <v>13301954</v>
      </c>
      <c r="C20" s="109">
        <v>13301969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お前たちは不要な存在だ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赤属性のユニットに大ダメージの全体攻撃+_x000D_4ターン攻撃力50%DOWN</v>
      </c>
      <c r="F20" s="109">
        <v>13301969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4"/>
        <v>13301954_13301970</v>
      </c>
      <c r="B21" s="109">
        <v>13301954</v>
      </c>
      <c r="C21" s="109">
        <v>13301970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意志。それは欲望に過ぎない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Cパネルを同色の通常パネルに変換+_x000D_8ターンCパネル生成超大延長</v>
      </c>
      <c r="F21" s="109">
        <v>13301970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" si="10">B22&amp;"_"&amp;C22</f>
        <v>13301954_13301971</v>
      </c>
      <c r="B22" s="109">
        <v>13301954</v>
      </c>
      <c r="C22" s="109">
        <v>13301971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理性。それは恐怖に過ぎない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攻撃力＆回復力UPの効果を解除+_x000D_クリティカル！</v>
      </c>
      <c r="F22" s="109">
        <v>13301971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>B23&amp;"_"&amp;C23</f>
        <v>13301954_13301972</v>
      </c>
      <c r="B23" s="109">
        <v>13301954</v>
      </c>
      <c r="C23" s="109">
        <v>13301972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希望。それは虚構に過ぎない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全ての属性パネルを吸収して緑属性の単体攻撃</v>
      </c>
      <c r="F23" s="109">
        <v>13301972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>B24&amp;"_"&amp;C24</f>
        <v>13301954_13301973</v>
      </c>
      <c r="B24" s="109">
        <v>13301954</v>
      </c>
      <c r="C24" s="109">
        <v>13301973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この私が直々に葬ってやろう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暗闇状態以外のユニットに即死級の全体攻撃+_x000D_暗闇状態が解除される！</v>
      </c>
      <c r="F24" s="109">
        <v>13301973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" si="11">B25&amp;"_"&amp;C25</f>
        <v>13301954_13301974</v>
      </c>
      <c r="B25" s="109">
        <v>13301954</v>
      </c>
      <c r="C25" s="109">
        <v>13301974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だんだん強くなる全体攻撃+黄属性に変化+_x000D_お邪魔パネルを3個生成</v>
      </c>
      <c r="F25" s="109">
        <v>13301974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:A27" si="12">B26&amp;"_"&amp;C26</f>
        <v>13301954_13301975</v>
      </c>
      <c r="B26" s="109">
        <v>13301954</v>
      </c>
      <c r="C26" s="109">
        <v>13301975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だんだん強くなる全体攻撃+緑属性に変化+_x000D_黄の時限式ダメージパネルを3個生成</v>
      </c>
      <c r="F26" s="109">
        <v>13301975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2"/>
        <v>13301954_13301976</v>
      </c>
      <c r="B27" s="109">
        <v>13301954</v>
      </c>
      <c r="C27" s="109">
        <v>13301976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だんだん強くなる全体攻撃+黄属性に変化+_x000D_お邪魔パネルを4個生成</v>
      </c>
      <c r="F27" s="109">
        <v>13301976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31" si="13">B28&amp;"_"&amp;C28</f>
        <v>13301954_13301977</v>
      </c>
      <c r="B28" s="109">
        <v>13301954</v>
      </c>
      <c r="C28" s="109">
        <v>13301977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だんだん強くなる全体攻撃+緑属性に変化+_x000D_黄の時限式ダメージパネルを4個生成</v>
      </c>
      <c r="F28" s="109">
        <v>13301977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3"/>
        <v>13301954_13301978</v>
      </c>
      <c r="B29" s="109">
        <v>13301954</v>
      </c>
      <c r="C29" s="109">
        <v>13301978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だんだん強くなる全体攻撃+黄属性に変化+_x000D_お邪魔パネルを5個生成</v>
      </c>
      <c r="F29" s="109">
        <v>13301978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3"/>
        <v>13301954_13301979</v>
      </c>
      <c r="B30" s="109">
        <v>13301954</v>
      </c>
      <c r="C30" s="109">
        <v>13301979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だんだん強くなる全体攻撃+緑属性に変化+_x000D_黄の時限式ダメージパネルを5個生成</v>
      </c>
      <c r="F30" s="109">
        <v>13301979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3"/>
        <v>13301954_13301980</v>
      </c>
      <c r="B31" s="109">
        <v>13301954</v>
      </c>
      <c r="C31" s="109">
        <v>13301980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アヴァルシアの黙示録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超強力な全体攻撃+_x000D_全ユニットに確率で1ターンスキルバインド</v>
      </c>
      <c r="F31" s="109">
        <v>13301980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" si="14">B32&amp;"_"&amp;C32</f>
        <v>13301954_13301981</v>
      </c>
      <c r="B32" s="109">
        <v>13301954</v>
      </c>
      <c r="C32" s="109">
        <v>13301981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人間の未来には、絶望しか存在しない！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15回連続攻撃</v>
      </c>
      <c r="F32" s="109">
        <v>13301981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" si="15">B33&amp;"_"&amp;C33</f>
        <v>13301954_13301982</v>
      </c>
      <c r="B33" s="109">
        <v>13301954</v>
      </c>
      <c r="C33" s="109">
        <v>13301982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＊＊＊＊……私ダメだった……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他の女王にも…示しがつかないわね…</v>
      </c>
      <c r="F33" s="109">
        <v>13301982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" si="16">B34&amp;"_"&amp;C34</f>
        <v>13301954_13301983</v>
      </c>
      <c r="B34" s="109">
        <v>13301954</v>
      </c>
      <c r="C34" s="109">
        <v>13301983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所詮この程度か、俗物ども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残りHPの5000%ダメージ！！</v>
      </c>
      <c r="F34" s="109">
        <v>13301983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54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4"/>
  <sheetViews>
    <sheetView showGridLines="0" zoomScale="120" zoomScaleNormal="120" zoomScalePageLayoutView="120" workbookViewId="0">
      <pane ySplit="1" topLeftCell="A2" activePane="bottomLeft" state="frozenSplit"/>
      <selection pane="bottomLeft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13301951</v>
      </c>
      <c r="B2" s="47" t="s">
        <v>254</v>
      </c>
      <c r="C2" s="50">
        <v>1</v>
      </c>
      <c r="D2" s="50" t="s">
        <v>128</v>
      </c>
      <c r="E2" s="51" t="s">
        <v>252</v>
      </c>
      <c r="F2" s="51" t="s">
        <v>253</v>
      </c>
      <c r="G2" s="64" t="str">
        <f t="shared" ref="G2:G23" si="0">IFERROR(LEFT(B2,FIND("],",B2)),B2)</f>
        <v>[effect:fix_speed, target:myself, turn:1]</v>
      </c>
      <c r="H2" s="64">
        <f t="shared" ref="H2:H23" si="1">FIND("effect:",G2)+7</f>
        <v>9</v>
      </c>
      <c r="I2" s="64">
        <f t="shared" ref="I2:I23" si="2">IFERROR(FIND(",",G2),LEN(G2))</f>
        <v>18</v>
      </c>
      <c r="J2" s="64">
        <f t="shared" ref="J2:J23" si="3">FIND("target:",G2)+7</f>
        <v>27</v>
      </c>
      <c r="K2" s="64">
        <f t="shared" ref="K2:K23" si="4">FIND(",",G2,I2+1)</f>
        <v>33</v>
      </c>
      <c r="L2" s="64" t="str">
        <f>IFERROR(VLOOKUP(MID(G2,J2,K2-J2),[5]skilldef!$C:$D,2,FALSE),"-") &amp; " / " &amp; IFERROR(VLOOKUP(MID(G2,H2,I2-H2),[5]skilldef!$A:$B,2,FALSE),"-")</f>
        <v>自分自身に / 行動値設定</v>
      </c>
      <c r="M2" s="64" t="str">
        <f t="shared" ref="M2:M23" si="5">IFERROR(RIGHT(B2,LEN(B2)-FIND("],",B2)-1),"none")</f>
        <v>none</v>
      </c>
      <c r="N2" s="48" t="str">
        <f>IFERROR(LEFT(M2,FIND("],",M2)+S14),M2)</f>
        <v>none</v>
      </c>
      <c r="O2" s="64" t="e">
        <f t="shared" ref="O2:O23" si="6">FIND("effect:",N2)+7</f>
        <v>#VALUE!</v>
      </c>
      <c r="P2" s="64">
        <f t="shared" ref="P2:P23" si="7">IFERROR(FIND(",",N2),LEN(N2))</f>
        <v>4</v>
      </c>
      <c r="Q2" s="64" t="e">
        <f t="shared" ref="Q2:Q23" si="8">FIND("target:",N2)+7</f>
        <v>#VALUE!</v>
      </c>
      <c r="R2" s="64" t="e">
        <f t="shared" ref="R2:R23" si="9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23" si="10">IFERROR(RIGHT(M2,LEN(M2)-FIND("],",M2)-1),"none")</f>
        <v>none</v>
      </c>
      <c r="U2" s="64" t="e">
        <f t="shared" ref="U2:U23" si="11">FIND("effect:",T2)+7</f>
        <v>#VALUE!</v>
      </c>
      <c r="V2" s="64">
        <f t="shared" ref="V2:V23" si="12">IFERROR(FIND(",",T2),LEN(T2))</f>
        <v>4</v>
      </c>
      <c r="W2" s="64" t="e">
        <f t="shared" ref="W2:W23" si="13">FIND("target:",T2)+7</f>
        <v>#VALUE!</v>
      </c>
      <c r="X2" s="64" t="e">
        <f t="shared" ref="X2:X23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13301952</v>
      </c>
      <c r="B3" s="47" t="s">
        <v>255</v>
      </c>
      <c r="C3" s="50">
        <v>1</v>
      </c>
      <c r="D3" s="50" t="s">
        <v>128</v>
      </c>
      <c r="E3" s="51" t="s">
        <v>256</v>
      </c>
      <c r="F3" s="51" t="s">
        <v>257</v>
      </c>
      <c r="G3" s="64" t="str">
        <f t="shared" si="0"/>
        <v>[effect:nothing]</v>
      </c>
      <c r="H3" s="64">
        <f t="shared" si="1"/>
        <v>9</v>
      </c>
      <c r="I3" s="64">
        <f t="shared" si="2"/>
        <v>16</v>
      </c>
      <c r="J3" s="64" t="e">
        <f t="shared" si="3"/>
        <v>#VALUE!</v>
      </c>
      <c r="K3" s="64" t="e">
        <f t="shared" si="4"/>
        <v>#VALUE!</v>
      </c>
      <c r="L3" s="64" t="str">
        <f>IFERROR(VLOOKUP(MID(G3,J3,K3-J3),[5]skilldef!$C:$D,2,FALSE),"-") &amp; " / " &amp; IFERROR(VLOOKUP(MID(G3,H3,I3-H3),[5]skilldef!$A:$B,2,FALSE),"-")</f>
        <v>- / 何もしない</v>
      </c>
      <c r="M3" s="64" t="str">
        <f t="shared" si="5"/>
        <v>none</v>
      </c>
      <c r="N3" s="48" t="str">
        <f>IFERROR(LEFT(M3,FIND("],",M3)+S15),M3)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13301953</v>
      </c>
      <c r="B4" s="47" t="s">
        <v>280</v>
      </c>
      <c r="C4" s="50">
        <v>1</v>
      </c>
      <c r="D4" s="50" t="s">
        <v>128</v>
      </c>
      <c r="E4" s="51" t="s">
        <v>259</v>
      </c>
      <c r="F4" s="51" t="s">
        <v>368</v>
      </c>
      <c r="G4" s="64" t="str">
        <f t="shared" si="0"/>
        <v>[effect:sp_boost, target:unit_all, val:1, animation:sp_boost_one03]</v>
      </c>
      <c r="H4" s="64">
        <f t="shared" si="1"/>
        <v>9</v>
      </c>
      <c r="I4" s="64">
        <f t="shared" si="2"/>
        <v>17</v>
      </c>
      <c r="J4" s="64">
        <f t="shared" si="3"/>
        <v>26</v>
      </c>
      <c r="K4" s="64">
        <f t="shared" si="4"/>
        <v>34</v>
      </c>
      <c r="L4" s="64" t="str">
        <f>IFERROR(VLOOKUP(MID(G4,J4,K4-J4),[5]skilldef!$C:$D,2,FALSE),"-") &amp; " / " &amp; IFERROR(VLOOKUP(MID(G4,H4,I4-H4),[5]skilldef!$A:$B,2,FALSE),"-")</f>
        <v>味方全体に / -</v>
      </c>
      <c r="M4" s="64" t="str">
        <f t="shared" si="5"/>
        <v>[effect:suicide, val:1, dead_type:escape]</v>
      </c>
      <c r="N4" s="48" t="str">
        <f>IFERROR(LEFT(M4,FIND("],",M4)+S16),M4)</f>
        <v>[effect:suicide, val:1, dead_type:escape]</v>
      </c>
      <c r="O4" s="64">
        <f t="shared" si="6"/>
        <v>9</v>
      </c>
      <c r="P4" s="64">
        <f t="shared" si="7"/>
        <v>16</v>
      </c>
      <c r="Q4" s="64" t="e">
        <f t="shared" si="8"/>
        <v>#VALUE!</v>
      </c>
      <c r="R4" s="64">
        <f t="shared" si="9"/>
        <v>23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37" customHeight="1" x14ac:dyDescent="0.15">
      <c r="A5" s="109">
        <v>13301954</v>
      </c>
      <c r="B5" s="47" t="s">
        <v>345</v>
      </c>
      <c r="C5" s="50">
        <v>1</v>
      </c>
      <c r="D5" s="50" t="s">
        <v>128</v>
      </c>
      <c r="E5" s="51" t="s">
        <v>281</v>
      </c>
      <c r="F5" s="51" t="s">
        <v>344</v>
      </c>
      <c r="G5" s="64" t="str">
        <f t="shared" si="0"/>
        <v>[effect:enemy_message, val1:1.3, val2:2.4]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32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 t="shared" si="5"/>
        <v>[effect:fix_speed, target:myself, turn:1],[effect:tolerance, target:myself, turn:-1, count:-1, tolerance_effect:all, animation:enemy_tolerance]</v>
      </c>
      <c r="N5" s="48" t="str">
        <f>IFERROR(LEFT(M5,FIND("],",M5)+S19),M5)</f>
        <v>[effect:fix_speed, target:myself, turn:1],[effect:tolerance, target:myself, turn:-1, count:-1, tolerance_effect:all, animation:enemy_tolerance]</v>
      </c>
      <c r="O5" s="64">
        <f t="shared" si="6"/>
        <v>9</v>
      </c>
      <c r="P5" s="64">
        <f t="shared" si="7"/>
        <v>18</v>
      </c>
      <c r="Q5" s="64">
        <f t="shared" si="8"/>
        <v>27</v>
      </c>
      <c r="R5" s="64">
        <f t="shared" si="9"/>
        <v>33</v>
      </c>
      <c r="S5" s="64" t="str">
        <f>IFERROR(VLOOKUP(MID(N5,Q5,R5-Q5),[5]skilldef!$C:$D,2,FALSE),"-") &amp; " / " &amp; IFERROR(VLOOKUP(MID(N5,O5,P5-O5),[5]skilldef!$A:$B,2,FALSE),"-")</f>
        <v>自分自身に / 行動値設定</v>
      </c>
      <c r="T5" s="48" t="str">
        <f t="shared" si="10"/>
        <v>[effect:tolerance, target:myself, turn:-1, count:-1, tolerance_effect:all, animation:enemy_tolerance]</v>
      </c>
      <c r="U5" s="64">
        <f t="shared" si="11"/>
        <v>9</v>
      </c>
      <c r="V5" s="64">
        <f t="shared" si="12"/>
        <v>18</v>
      </c>
      <c r="W5" s="64">
        <f t="shared" si="13"/>
        <v>27</v>
      </c>
      <c r="X5" s="64">
        <f t="shared" si="14"/>
        <v>33</v>
      </c>
      <c r="Y5" s="64" t="str">
        <f>IFERROR(VLOOKUP(MID(T5,W5,X5-W5),[5]skilldef!$C:$D,2,FALSE),"-") &amp; " / " &amp; IFERROR(VLOOKUP(MID(T5,U5,V5-U5),[5]skilldef!$A:$B,2,FALSE),"-")</f>
        <v>自分自身に / 状態異常耐性</v>
      </c>
      <c r="Z5" s="50"/>
      <c r="AA5" s="52"/>
      <c r="AB5" s="50"/>
    </row>
    <row r="6" spans="1:28" ht="30" customHeight="1" x14ac:dyDescent="0.15">
      <c r="A6" s="109">
        <v>13301955</v>
      </c>
      <c r="B6" s="47" t="s">
        <v>317</v>
      </c>
      <c r="C6" s="50">
        <v>1</v>
      </c>
      <c r="D6" s="50" t="s">
        <v>128</v>
      </c>
      <c r="E6" s="51" t="s">
        <v>282</v>
      </c>
      <c r="F6" s="51" t="s">
        <v>348</v>
      </c>
      <c r="G6" s="64" t="str">
        <f t="shared" si="0"/>
        <v>[effect:enemy_message, val1:1, val2:2.5]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30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si="5"/>
        <v>[effect:virus, target:unit_all, turn:2, rate:1, val:3.0, animation:enemy_virus],[effect:break_attack, target:unit_all, val:0.03, lowest_val:1500, count:25, color:green, block01:block_green]</v>
      </c>
      <c r="N6" s="48" t="str">
        <f>IFERROR(LEFT(M6,FIND("],",M6)+S20),M6)</f>
        <v>[effect:virus, target:unit_all, turn:2, rate:1, val:3.0, animation:enemy_virus],[effect:break_attack, target:unit_all, val:0.03, lowest_val:1500, count:25, color:green, block01:block_green]</v>
      </c>
      <c r="O6" s="64">
        <f t="shared" si="6"/>
        <v>9</v>
      </c>
      <c r="P6" s="64">
        <f t="shared" si="7"/>
        <v>14</v>
      </c>
      <c r="Q6" s="64">
        <f t="shared" si="8"/>
        <v>23</v>
      </c>
      <c r="R6" s="64">
        <f t="shared" si="9"/>
        <v>31</v>
      </c>
      <c r="S6" s="64" t="str">
        <f>IFERROR(VLOOKUP(MID(N6,Q6,R6-Q6),[5]skilldef!$C:$D,2,FALSE),"-") &amp; " / " &amp; IFERROR(VLOOKUP(MID(N6,O6,P6-O6),[5]skilldef!$A:$B,2,FALSE),"-")</f>
        <v>味方全体に / ウィルス</v>
      </c>
      <c r="T6" s="48" t="str">
        <f t="shared" si="10"/>
        <v>[effect:break_attack, target:unit_all, val:0.03, lowest_val:1500, count:25, color:green, block01:block_green]</v>
      </c>
      <c r="U6" s="64">
        <f t="shared" si="11"/>
        <v>9</v>
      </c>
      <c r="V6" s="64">
        <f t="shared" si="12"/>
        <v>21</v>
      </c>
      <c r="W6" s="64">
        <f t="shared" si="13"/>
        <v>30</v>
      </c>
      <c r="X6" s="64">
        <f t="shared" si="14"/>
        <v>38</v>
      </c>
      <c r="Y6" s="64" t="str">
        <f>IFERROR(VLOOKUP(MID(T6,W6,X6-W6),[5]skilldef!$C:$D,2,FALSE),"-") &amp; " / " &amp; IFERROR(VLOOKUP(MID(T6,U6,V6-U6),[5]skilldef!$A:$B,2,FALSE),"-")</f>
        <v>味方全体に / -</v>
      </c>
      <c r="Z6" s="50"/>
      <c r="AA6" s="52"/>
      <c r="AB6" s="50"/>
    </row>
    <row r="7" spans="1:28" ht="21" customHeight="1" x14ac:dyDescent="0.15">
      <c r="A7" s="109">
        <v>13301956</v>
      </c>
      <c r="B7" s="47" t="s">
        <v>267</v>
      </c>
      <c r="C7" s="50">
        <v>1</v>
      </c>
      <c r="D7" s="50" t="s">
        <v>128</v>
      </c>
      <c r="E7" s="51" t="s">
        <v>283</v>
      </c>
      <c r="F7" s="51" t="s">
        <v>269</v>
      </c>
      <c r="G7" s="64" t="str">
        <f t="shared" si="0"/>
        <v>[effect:virus, target:unit_all, turn:2, rate:1, val:3.0, animation:enemy_virus]</v>
      </c>
      <c r="H7" s="64">
        <f t="shared" si="1"/>
        <v>9</v>
      </c>
      <c r="I7" s="64">
        <f t="shared" si="2"/>
        <v>14</v>
      </c>
      <c r="J7" s="64">
        <f t="shared" si="3"/>
        <v>23</v>
      </c>
      <c r="K7" s="64">
        <f t="shared" si="4"/>
        <v>31</v>
      </c>
      <c r="L7" s="64" t="str">
        <f>IFERROR(VLOOKUP(MID(G7,J7,K7-J7),[5]skilldef!$C:$D,2,FALSE),"-") &amp; " / " &amp; IFERROR(VLOOKUP(MID(G7,H7,I7-H7),[5]skilldef!$A:$B,2,FALSE),"-")</f>
        <v>味方全体に / ウィルス</v>
      </c>
      <c r="M7" s="64" t="str">
        <f t="shared" si="5"/>
        <v>[effect:rush, count:2, val:0.6]</v>
      </c>
      <c r="N7" s="48" t="str">
        <f>IFERROR(LEFT(M7,FIND("],",M7)+#REF!),M7)</f>
        <v>[effect:rush, count:2, val:0.6]</v>
      </c>
      <c r="O7" s="64">
        <f t="shared" si="6"/>
        <v>9</v>
      </c>
      <c r="P7" s="64">
        <f t="shared" si="7"/>
        <v>13</v>
      </c>
      <c r="Q7" s="64" t="e">
        <f t="shared" si="8"/>
        <v>#VALUE!</v>
      </c>
      <c r="R7" s="64">
        <f t="shared" si="9"/>
        <v>22</v>
      </c>
      <c r="S7" s="64" t="str">
        <f>IFERROR(VLOOKUP(MID(N7,Q7,R7-Q7),[5]skilldef!$C:$D,2,FALSE),"-") &amp; " / " &amp; IFERROR(VLOOKUP(MID(N7,O7,P7-O7),[5]skilldef!$A:$B,2,FALSE),"-")</f>
        <v>- / 連続攻撃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32" customHeight="1" x14ac:dyDescent="0.15">
      <c r="A8" s="109">
        <v>13301957</v>
      </c>
      <c r="B8" s="47" t="s">
        <v>316</v>
      </c>
      <c r="C8" s="50">
        <v>1</v>
      </c>
      <c r="D8" s="50" t="s">
        <v>128</v>
      </c>
      <c r="E8" s="51" t="s">
        <v>284</v>
      </c>
      <c r="F8" s="51" t="s">
        <v>349</v>
      </c>
      <c r="G8" s="64" t="str">
        <f t="shared" si="0"/>
        <v>[effect:enemy_message, val1:1, val2:2.2]</v>
      </c>
      <c r="H8" s="64">
        <f t="shared" si="1"/>
        <v>9</v>
      </c>
      <c r="I8" s="64">
        <f t="shared" si="2"/>
        <v>22</v>
      </c>
      <c r="J8" s="64" t="e">
        <f t="shared" si="3"/>
        <v>#VALUE!</v>
      </c>
      <c r="K8" s="64">
        <f t="shared" si="4"/>
        <v>30</v>
      </c>
      <c r="L8" s="64" t="str">
        <f>IFERROR(VLOOKUP(MID(G8,J8,K8-J8),[5]skilldef!$C:$D,2,FALSE),"-") &amp; " / " &amp; IFERROR(VLOOKUP(MID(G8,H8,I8-H8),[5]skilldef!$A:$B,2,FALSE),"-")</f>
        <v>- / -</v>
      </c>
      <c r="M8" s="64" t="str">
        <f t="shared" si="5"/>
        <v>[effect:hungup, target:unit_one, turn:1, rate:1, animation:hungup01],[effect:damage_anti_color, target:unit_all, color:blue, val1:0.7, val2:0.25]</v>
      </c>
      <c r="N8" s="48" t="str">
        <f>IFERROR(LEFT(M8,FIND("],",M8)+S22),M8)</f>
        <v>[effect:hungup, target:unit_one, turn:1, rate:1, animation:hungup01],[effect:damage_anti_color, target:unit_all, color:blue, val1:0.7, val2:0.25]</v>
      </c>
      <c r="O8" s="64">
        <f t="shared" si="6"/>
        <v>9</v>
      </c>
      <c r="P8" s="64">
        <f t="shared" si="7"/>
        <v>15</v>
      </c>
      <c r="Q8" s="64">
        <f t="shared" si="8"/>
        <v>24</v>
      </c>
      <c r="R8" s="64">
        <f t="shared" si="9"/>
        <v>32</v>
      </c>
      <c r="S8" s="64" t="str">
        <f>IFERROR(VLOOKUP(MID(N8,Q8,R8-Q8),[5]skilldef!$C:$D,2,FALSE),"-") &amp; " / " &amp; IFERROR(VLOOKUP(MID(N8,O8,P8-O8),[5]skilldef!$A:$B,2,FALSE),"-")</f>
        <v>味方単体に / ハングアップ</v>
      </c>
      <c r="T8" s="48" t="str">
        <f t="shared" si="10"/>
        <v>[effect:damage_anti_color, target:unit_all, color:blue, val1:0.7, val2:0.25]</v>
      </c>
      <c r="U8" s="64">
        <f t="shared" si="11"/>
        <v>9</v>
      </c>
      <c r="V8" s="64">
        <f t="shared" si="12"/>
        <v>26</v>
      </c>
      <c r="W8" s="64">
        <f t="shared" si="13"/>
        <v>35</v>
      </c>
      <c r="X8" s="64">
        <f t="shared" si="14"/>
        <v>43</v>
      </c>
      <c r="Y8" s="64" t="str">
        <f>IFERROR(VLOOKUP(MID(T8,W8,X8-W8),[5]skilldef!$C:$D,2,FALSE),"-") &amp; " / " &amp; IFERROR(VLOOKUP(MID(T8,U8,V8-U8),[5]skilldef!$A:$B,2,FALSE),"-")</f>
        <v>味方全体に / 属性キラー</v>
      </c>
      <c r="Z8" s="50"/>
      <c r="AA8" s="52"/>
      <c r="AB8" s="50"/>
    </row>
    <row r="9" spans="1:28" ht="47" customHeight="1" x14ac:dyDescent="0.15">
      <c r="A9" s="109">
        <v>13301958</v>
      </c>
      <c r="B9" s="47" t="s">
        <v>351</v>
      </c>
      <c r="C9" s="50">
        <v>1</v>
      </c>
      <c r="D9" s="50" t="s">
        <v>128</v>
      </c>
      <c r="E9" s="51" t="s">
        <v>288</v>
      </c>
      <c r="F9" s="51" t="s">
        <v>350</v>
      </c>
      <c r="G9" s="64" t="str">
        <f t="shared" si="0"/>
        <v>[effect:enemy_message, val1:1, val2:2.2]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30</v>
      </c>
      <c r="L9" s="64" t="str">
        <f>IFERROR(VLOOKUP(MID(G9,J9,K9-J9),[5]skilldef!$C:$D,2,FALSE),"-") &amp; " / " &amp; IFERROR(VLOOKUP(MID(G9,H9,I9-H9),[5]skilldef!$A:$B,2,FALSE),"-")</f>
        <v>- / -</v>
      </c>
      <c r="M9" s="64" t="str">
        <f t="shared" si="5"/>
        <v>[effect:dis_heart, turn:5, animation:enemy_dis_heart],[effect:enhance_enemy, target:myself, turn:1, status:attack, val:0.3, animation:enemy_enhance_attack]</v>
      </c>
      <c r="N9" s="48" t="str">
        <f>IFERROR(LEFT(M9,FIND("],",M9)+S23),M9)</f>
        <v>[effect:dis_heart, turn:5, animation:enemy_dis_heart],[effect:enhance_enemy, target:myself, turn:1, status:attack, val:0.3, animation:enemy_enhance_attack]</v>
      </c>
      <c r="O9" s="64">
        <f t="shared" si="6"/>
        <v>9</v>
      </c>
      <c r="P9" s="64">
        <f t="shared" si="7"/>
        <v>18</v>
      </c>
      <c r="Q9" s="64">
        <f t="shared" si="8"/>
        <v>85</v>
      </c>
      <c r="R9" s="64">
        <f t="shared" si="9"/>
        <v>26</v>
      </c>
      <c r="S9" s="64" t="str">
        <f>IFERROR(VLOOKUP(MID(N9,Q9,R9-Q9),[5]skilldef!$C:$D,2,FALSE),"-") &amp; " / " &amp; IFERROR(VLOOKUP(MID(N9,O9,P9-O9),[5]skilldef!$A:$B,2,FALSE),"-")</f>
        <v>- / ディスハート</v>
      </c>
      <c r="T9" s="48" t="str">
        <f t="shared" si="10"/>
        <v>[effect:enhance_enemy, target:myself, turn:1, status:attack, val:0.3, animation:enemy_enhance_attack]</v>
      </c>
      <c r="U9" s="64">
        <f t="shared" si="11"/>
        <v>9</v>
      </c>
      <c r="V9" s="64">
        <f t="shared" si="12"/>
        <v>22</v>
      </c>
      <c r="W9" s="64">
        <f t="shared" si="13"/>
        <v>31</v>
      </c>
      <c r="X9" s="64">
        <f t="shared" si="14"/>
        <v>37</v>
      </c>
      <c r="Y9" s="64" t="str">
        <f>IFERROR(VLOOKUP(MID(T9,W9,X9-W9),[5]skilldef!$C:$D,2,FALSE),"-") &amp; " / " &amp; IFERROR(VLOOKUP(MID(T9,U9,V9-U9),[5]skilldef!$A:$B,2,FALSE),"-")</f>
        <v>自分自身に / ステータス強化</v>
      </c>
      <c r="Z9" s="50"/>
      <c r="AA9" s="52"/>
      <c r="AB9" s="50"/>
    </row>
    <row r="10" spans="1:28" ht="29" customHeight="1" x14ac:dyDescent="0.15">
      <c r="A10" s="109">
        <v>13301959</v>
      </c>
      <c r="B10" s="47" t="s">
        <v>322</v>
      </c>
      <c r="C10" s="50">
        <v>1</v>
      </c>
      <c r="D10" s="50" t="s">
        <v>128</v>
      </c>
      <c r="E10" s="51" t="s">
        <v>302</v>
      </c>
      <c r="F10" s="51" t="s">
        <v>321</v>
      </c>
      <c r="G10" s="64" t="str">
        <f>IFERROR(LEFT(B10,FIND("],",B10)),B10)</f>
        <v>[effect:enemy_message, val1:1, val2:2.6]</v>
      </c>
      <c r="H10" s="64">
        <f>FIND("effect:",G10)+7</f>
        <v>9</v>
      </c>
      <c r="I10" s="64">
        <f>IFERROR(FIND(",",G10),LEN(G10))</f>
        <v>22</v>
      </c>
      <c r="J10" s="64" t="e">
        <f>FIND("target:",G10)+7</f>
        <v>#VALUE!</v>
      </c>
      <c r="K10" s="64">
        <f>FIND(",",G10,I10+1)</f>
        <v>30</v>
      </c>
      <c r="L10" s="64" t="str">
        <f>IFERROR(VLOOKUP(MID(G10,J10,K10-J10),[5]skilldef!$C:$D,2,FALSE),"-") &amp; " / " &amp; IFERROR(VLOOKUP(MID(G10,H10,I10-H10),[5]skilldef!$A:$B,2,FALSE),"-")</f>
        <v>- / -</v>
      </c>
      <c r="M10" s="64" t="str">
        <f>IFERROR(RIGHT(B10,LEN(B10)-FIND("],",B10)-1),"none")</f>
        <v>[effect:fix_speed, target:myself, turn:3]</v>
      </c>
      <c r="N10" s="48" t="str">
        <f>IFERROR(LEFT(M10,FIND("],",M10)+S42),M10)</f>
        <v>[effect:fix_speed, target:myself, turn:3]</v>
      </c>
      <c r="O10" s="64">
        <f>FIND("effect:",N10)+7</f>
        <v>9</v>
      </c>
      <c r="P10" s="64">
        <f>IFERROR(FIND(",",N10),LEN(N10))</f>
        <v>18</v>
      </c>
      <c r="Q10" s="64">
        <f>FIND("target:",N10)+7</f>
        <v>27</v>
      </c>
      <c r="R10" s="64">
        <f>FIND(",",N10,P10+1)</f>
        <v>33</v>
      </c>
      <c r="S10" s="64" t="str">
        <f>IFERROR(VLOOKUP(MID(N10,Q10,R10-Q10),[5]skilldef!$C:$D,2,FALSE),"-") &amp; " / " &amp; IFERROR(VLOOKUP(MID(N10,O10,P10-O10),[5]skilldef!$A:$B,2,FALSE),"-")</f>
        <v>自分自身に / 行動値設定</v>
      </c>
      <c r="T10" s="48" t="str">
        <f>IFERROR(RIGHT(M10,LEN(M10)-FIND("],",M10)-1),"none")</f>
        <v>none</v>
      </c>
      <c r="U10" s="64" t="e">
        <f>FIND("effect:",T10)+7</f>
        <v>#VALUE!</v>
      </c>
      <c r="V10" s="64">
        <f>IFERROR(FIND(",",T10),LEN(T10))</f>
        <v>4</v>
      </c>
      <c r="W10" s="64" t="e">
        <f>FIND("target:",T10)+7</f>
        <v>#VALUE!</v>
      </c>
      <c r="X10" s="64" t="e">
        <f>FIND(",",T10,V10+1)</f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30" customHeight="1" x14ac:dyDescent="0.15">
      <c r="A11" s="109">
        <v>13301960</v>
      </c>
      <c r="B11" s="47" t="s">
        <v>305</v>
      </c>
      <c r="C11" s="50">
        <v>1</v>
      </c>
      <c r="D11" s="50" t="s">
        <v>128</v>
      </c>
      <c r="E11" s="51" t="s">
        <v>304</v>
      </c>
      <c r="F11" s="51" t="s">
        <v>303</v>
      </c>
      <c r="G11" s="64" t="str">
        <f>IFERROR(LEFT(B11,FIND("],",B11)),B11)</f>
        <v>[effect:enemy_message, val1:1.8, val2:1.8]</v>
      </c>
      <c r="H11" s="64">
        <f>FIND("effect:",G11)+7</f>
        <v>9</v>
      </c>
      <c r="I11" s="64">
        <f>IFERROR(FIND(",",G11),LEN(G11))</f>
        <v>22</v>
      </c>
      <c r="J11" s="64" t="e">
        <f>FIND("target:",G11)+7</f>
        <v>#VALUE!</v>
      </c>
      <c r="K11" s="64">
        <f>FIND(",",G11,I11+1)</f>
        <v>32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>IFERROR(RIGHT(B11,LEN(B11)-FIND("],",B11)-1),"none")</f>
        <v>[effect:fix_speed, target:myself, turn:1],[effect:damage_gravity, val:50, animation:fevergauge_down]</v>
      </c>
      <c r="N11" s="48" t="str">
        <f>IFERROR(LEFT(M11,FIND("],",M11)+S44),M11)</f>
        <v>[effect:fix_speed, target:myself, turn:1]</v>
      </c>
      <c r="O11" s="64">
        <f>FIND("effect:",N11)+7</f>
        <v>9</v>
      </c>
      <c r="P11" s="64">
        <f>IFERROR(FIND(",",N11),LEN(N11))</f>
        <v>18</v>
      </c>
      <c r="Q11" s="64">
        <f>FIND("target:",N11)+7</f>
        <v>27</v>
      </c>
      <c r="R11" s="64">
        <f>FIND(",",N11,P11+1)</f>
        <v>33</v>
      </c>
      <c r="S11" s="64" t="str">
        <f>IFERROR(VLOOKUP(MID(N11,Q11,R11-Q11),[5]skilldef!$C:$D,2,FALSE),"-") &amp; " / " &amp; IFERROR(VLOOKUP(MID(N11,O11,P11-O11),[5]skilldef!$A:$B,2,FALSE),"-")</f>
        <v>自分自身に / 行動値設定</v>
      </c>
      <c r="T11" s="48" t="str">
        <f>IFERROR(RIGHT(M11,LEN(M11)-FIND("],",M11)-1),"none")</f>
        <v>[effect:damage_gravity, val:50, animation:fevergauge_down]</v>
      </c>
      <c r="U11" s="64">
        <f>FIND("effect:",T11)+7</f>
        <v>9</v>
      </c>
      <c r="V11" s="64">
        <f>IFERROR(FIND(",",T11),LEN(T11))</f>
        <v>23</v>
      </c>
      <c r="W11" s="64" t="e">
        <f>FIND("target:",T11)+7</f>
        <v>#VALUE!</v>
      </c>
      <c r="X11" s="64">
        <f>FIND(",",T11,V11+1)</f>
        <v>31</v>
      </c>
      <c r="Y11" s="64" t="str">
        <f>IFERROR(VLOOKUP(MID(T11,W11,X11-W11),[5]skilldef!$C:$D,2,FALSE),"-") &amp; " / " &amp; IFERROR(VLOOKUP(MID(T11,U11,V11-U11),[5]skilldef!$A:$B,2,FALSE),"-")</f>
        <v>- / 割合ダメージ</v>
      </c>
      <c r="Z11" s="50"/>
      <c r="AA11" s="52"/>
      <c r="AB11" s="50"/>
    </row>
    <row r="12" spans="1:28" ht="29" customHeight="1" x14ac:dyDescent="0.15">
      <c r="A12" s="112">
        <v>13301961</v>
      </c>
      <c r="B12" s="47" t="s">
        <v>311</v>
      </c>
      <c r="C12" s="50">
        <v>1</v>
      </c>
      <c r="D12" s="50" t="s">
        <v>128</v>
      </c>
      <c r="E12" s="51" t="s">
        <v>306</v>
      </c>
      <c r="F12" s="51" t="s">
        <v>352</v>
      </c>
      <c r="G12" s="64" t="str">
        <f t="shared" si="0"/>
        <v>[effect:enemy_message, val1:1.2, val2:2.4]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si="5"/>
        <v>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</v>
      </c>
      <c r="N12" s="48" t="str">
        <f>IFERROR(LEFT(M12,FIND("],",M12)+#REF!),M12)</f>
        <v>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</v>
      </c>
      <c r="O12" s="64">
        <f t="shared" si="6"/>
        <v>9</v>
      </c>
      <c r="P12" s="64">
        <f t="shared" si="7"/>
        <v>18</v>
      </c>
      <c r="Q12" s="64">
        <f t="shared" si="8"/>
        <v>27</v>
      </c>
      <c r="R12" s="64">
        <f t="shared" si="9"/>
        <v>33</v>
      </c>
      <c r="S12" s="64" t="str">
        <f>IFERROR(VLOOKUP(MID(N12,Q12,R12-Q12),[5]skilldef!$C:$D,2,FALSE),"-") &amp; " / " &amp; IFERROR(VLOOKUP(MID(N12,O12,P12-O12),[5]skilldef!$A:$B,2,FALSE),"-")</f>
        <v>自分自身に / 行動値設定</v>
      </c>
      <c r="T12" s="48" t="str">
        <f t="shared" si="10"/>
        <v>[effect:drop_block, block_type:time_bomb, color:block_green, val:1.0, rate:0.7, turn:5, min_time_count:2, max_time_count:2, animation:time_bomb_influence04],[effect:tolerance, target:myself, turn:-1, count:-1, tolerance_effect:all, animation:enemy_tolerance]</v>
      </c>
      <c r="U12" s="64">
        <f t="shared" si="11"/>
        <v>9</v>
      </c>
      <c r="V12" s="64">
        <f t="shared" si="12"/>
        <v>19</v>
      </c>
      <c r="W12" s="64">
        <f t="shared" si="13"/>
        <v>184</v>
      </c>
      <c r="X12" s="64">
        <f t="shared" si="14"/>
        <v>41</v>
      </c>
      <c r="Y12" s="64" t="str">
        <f>IFERROR(VLOOKUP(MID(T12,W12,X12-W12),[5]skilldef!$C:$D,2,FALSE),"-") &amp; " / " &amp; IFERROR(VLOOKUP(MID(T12,U12,V12-U12),[5]skilldef!$A:$B,2,FALSE),"-")</f>
        <v>- / 特定ブロックの割合ドロップ</v>
      </c>
      <c r="Z12" s="50"/>
      <c r="AA12" s="52"/>
      <c r="AB12" s="50"/>
    </row>
    <row r="13" spans="1:28" ht="29" customHeight="1" x14ac:dyDescent="0.15">
      <c r="A13" s="112">
        <v>13301962</v>
      </c>
      <c r="B13" s="47" t="s">
        <v>310</v>
      </c>
      <c r="C13" s="50">
        <v>1</v>
      </c>
      <c r="D13" s="50" t="s">
        <v>128</v>
      </c>
      <c r="E13" s="51" t="s">
        <v>309</v>
      </c>
      <c r="F13" s="51" t="s">
        <v>353</v>
      </c>
      <c r="G13" s="64" t="str">
        <f t="shared" si="0"/>
        <v>[effect:enemy_message, val1:1, val2:2.5]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30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si="5"/>
        <v>[effect:virus, target:unit_all, turn:4, rate:1, val:3.0, animation:enemy_virus],[effect:break_attack, target:unit_all, val:0.03, lowest_val:2500, count:25, color:green, block01:block_green]</v>
      </c>
      <c r="N13" s="48" t="str">
        <f>IFERROR(LEFT(M13,FIND("],",M13)+#REF!),M13)</f>
        <v>[effect:virus, target:unit_all, turn:4, rate:1, val:3.0, animation:enemy_virus],[effect:break_attack, target:unit_all, val:0.03, lowest_val:2500, count:25, color:green, block01:block_green]</v>
      </c>
      <c r="O13" s="64">
        <f t="shared" si="6"/>
        <v>9</v>
      </c>
      <c r="P13" s="64">
        <f t="shared" si="7"/>
        <v>14</v>
      </c>
      <c r="Q13" s="64">
        <f t="shared" si="8"/>
        <v>23</v>
      </c>
      <c r="R13" s="64">
        <f t="shared" si="9"/>
        <v>31</v>
      </c>
      <c r="S13" s="64" t="str">
        <f>IFERROR(VLOOKUP(MID(N13,Q13,R13-Q13),[5]skilldef!$C:$D,2,FALSE),"-") &amp; " / " &amp; IFERROR(VLOOKUP(MID(N13,O13,P13-O13),[5]skilldef!$A:$B,2,FALSE),"-")</f>
        <v>味方全体に / ウィルス</v>
      </c>
      <c r="T13" s="48" t="str">
        <f t="shared" si="10"/>
        <v>[effect:break_attack, target:unit_all, val:0.03, lowest_val:2500, count:25, color:green, block01:block_green]</v>
      </c>
      <c r="U13" s="64">
        <f t="shared" si="11"/>
        <v>9</v>
      </c>
      <c r="V13" s="64">
        <f t="shared" si="12"/>
        <v>21</v>
      </c>
      <c r="W13" s="64">
        <f t="shared" si="13"/>
        <v>30</v>
      </c>
      <c r="X13" s="64">
        <f t="shared" si="14"/>
        <v>38</v>
      </c>
      <c r="Y13" s="64" t="str">
        <f>IFERROR(VLOOKUP(MID(T13,W13,X13-W13),[5]skilldef!$C:$D,2,FALSE),"-") &amp; " / " &amp; IFERROR(VLOOKUP(MID(T13,U13,V13-U13),[5]skilldef!$A:$B,2,FALSE),"-")</f>
        <v>味方全体に / -</v>
      </c>
      <c r="Z13" s="50"/>
      <c r="AA13" s="52"/>
      <c r="AB13" s="50"/>
    </row>
    <row r="14" spans="1:28" ht="35" customHeight="1" x14ac:dyDescent="0.15">
      <c r="A14" s="112">
        <v>13301963</v>
      </c>
      <c r="B14" s="47" t="s">
        <v>332</v>
      </c>
      <c r="C14" s="50">
        <v>1</v>
      </c>
      <c r="D14" s="50" t="s">
        <v>128</v>
      </c>
      <c r="E14" s="51" t="s">
        <v>307</v>
      </c>
      <c r="F14" s="51" t="s">
        <v>331</v>
      </c>
      <c r="G14" s="64" t="str">
        <f t="shared" si="0"/>
        <v>[effect:enemy_message, val1:1, val2:2.5]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30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5"/>
        <v>[effect:ability_lock, target:unit_all, turn:2]</v>
      </c>
      <c r="N14" s="48" t="str">
        <f>IFERROR(LEFT(M14,FIND("],",M14)+#REF!),M14)</f>
        <v>[effect:ability_lock, target:unit_all, turn:2]</v>
      </c>
      <c r="O14" s="64">
        <f t="shared" si="6"/>
        <v>9</v>
      </c>
      <c r="P14" s="64">
        <f t="shared" si="7"/>
        <v>21</v>
      </c>
      <c r="Q14" s="64">
        <f t="shared" si="8"/>
        <v>30</v>
      </c>
      <c r="R14" s="64">
        <f t="shared" si="9"/>
        <v>38</v>
      </c>
      <c r="S14" s="64" t="str">
        <f>IFERROR(VLOOKUP(MID(N14,Q14,R14-Q14),[5]skilldef!$C:$D,2,FALSE),"-") &amp; " / " &amp; IFERROR(VLOOKUP(MID(N14,O14,P14-O14),[5]skilldef!$A:$B,2,FALSE),"-")</f>
        <v>味方全体に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37" customHeight="1" x14ac:dyDescent="0.15">
      <c r="A15" s="112">
        <v>13301964</v>
      </c>
      <c r="B15" s="47" t="s">
        <v>318</v>
      </c>
      <c r="C15" s="50">
        <v>1</v>
      </c>
      <c r="D15" s="50" t="s">
        <v>128</v>
      </c>
      <c r="E15" s="51" t="s">
        <v>285</v>
      </c>
      <c r="F15" s="51" t="s">
        <v>354</v>
      </c>
      <c r="G15" s="64" t="str">
        <f t="shared" si="0"/>
        <v>[effect:enemy_message, val1:1, val2:2.2]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30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"/>
        <v>[effect:hungup, target:unit_one, turn:1, rate:1, animation:hungup01],[effect:damage_anti_color, target:unit_all, color:green, val1:0.7, val2:0.25]</v>
      </c>
      <c r="N15" s="48" t="str">
        <f>IFERROR(LEFT(M15,FIND("],",M15)+#REF!),M15)</f>
        <v>[effect:hungup, target:unit_one, turn:1, rate:1, animation:hungup01],[effect:damage_anti_color, target:unit_all, color:green, val1:0.7, val2:0.25]</v>
      </c>
      <c r="O15" s="64">
        <f t="shared" si="6"/>
        <v>9</v>
      </c>
      <c r="P15" s="64">
        <f t="shared" si="7"/>
        <v>15</v>
      </c>
      <c r="Q15" s="64">
        <f t="shared" si="8"/>
        <v>24</v>
      </c>
      <c r="R15" s="64">
        <f t="shared" si="9"/>
        <v>32</v>
      </c>
      <c r="S15" s="64" t="str">
        <f>IFERROR(VLOOKUP(MID(N15,Q15,R15-Q15),[5]skilldef!$C:$D,2,FALSE),"-") &amp; " / " &amp; IFERROR(VLOOKUP(MID(N15,O15,P15-O15),[5]skilldef!$A:$B,2,FALSE),"-")</f>
        <v>味方単体に / ハングアップ</v>
      </c>
      <c r="T15" s="48" t="str">
        <f t="shared" si="10"/>
        <v>[effect:damage_anti_color, target:unit_all, color:green, val1:0.7, val2:0.25]</v>
      </c>
      <c r="U15" s="64">
        <f t="shared" si="11"/>
        <v>9</v>
      </c>
      <c r="V15" s="64">
        <f t="shared" si="12"/>
        <v>26</v>
      </c>
      <c r="W15" s="64">
        <f t="shared" si="13"/>
        <v>35</v>
      </c>
      <c r="X15" s="64">
        <f t="shared" si="14"/>
        <v>43</v>
      </c>
      <c r="Y15" s="64" t="str">
        <f>IFERROR(VLOOKUP(MID(T15,W15,X15-W15),[5]skilldef!$C:$D,2,FALSE),"-") &amp; " / " &amp; IFERROR(VLOOKUP(MID(T15,U15,V15-U15),[5]skilldef!$A:$B,2,FALSE),"-")</f>
        <v>味方全体に / 属性キラー</v>
      </c>
      <c r="Z15" s="50"/>
      <c r="AA15" s="52"/>
      <c r="AB15" s="50"/>
    </row>
    <row r="16" spans="1:28" ht="21" customHeight="1" x14ac:dyDescent="0.15">
      <c r="A16" s="112">
        <v>13301965</v>
      </c>
      <c r="B16" s="47" t="s">
        <v>324</v>
      </c>
      <c r="C16" s="50">
        <v>1</v>
      </c>
      <c r="D16" s="50" t="s">
        <v>128</v>
      </c>
      <c r="E16" s="51" t="s">
        <v>286</v>
      </c>
      <c r="F16" s="51" t="s">
        <v>323</v>
      </c>
      <c r="G16" s="64" t="str">
        <f t="shared" si="0"/>
        <v>[effect:dis_heart, turn:1, animation:enemy_dis_heart]</v>
      </c>
      <c r="H16" s="64">
        <f t="shared" si="1"/>
        <v>9</v>
      </c>
      <c r="I16" s="64">
        <f t="shared" si="2"/>
        <v>18</v>
      </c>
      <c r="J16" s="64" t="e">
        <f t="shared" si="3"/>
        <v>#VALUE!</v>
      </c>
      <c r="K16" s="64">
        <f t="shared" si="4"/>
        <v>26</v>
      </c>
      <c r="L16" s="64" t="str">
        <f>IFERROR(VLOOKUP(MID(G16,J16,K16-J16),[5]skilldef!$C:$D,2,FALSE),"-") &amp; " / " &amp; IFERROR(VLOOKUP(MID(G16,H16,I16-H16),[5]skilldef!$A:$B,2,FALSE),"-")</f>
        <v>- / ディスハート</v>
      </c>
      <c r="M16" s="64" t="str">
        <f t="shared" si="5"/>
        <v>[effect:force_change_block, new_block:jammer, target:block_all, ignore01:crash, ignore02:crack_bomb, ignore03:time_bomb, ignore04:color_break, count:10, val:0, animation:change_block]</v>
      </c>
      <c r="N16" s="48" t="str">
        <f>IFERROR(LEFT(M16,FIND("],",M16)+#REF!),M16)</f>
        <v>[effect:force_change_block, new_block:jammer, target:block_all, ignore01:crash, ignore02:crack_bomb, ignore03:time_bomb, ignore04:color_break, count:10, val:0, animation:change_block]</v>
      </c>
      <c r="O16" s="64">
        <f t="shared" si="6"/>
        <v>9</v>
      </c>
      <c r="P16" s="64">
        <f t="shared" si="7"/>
        <v>27</v>
      </c>
      <c r="Q16" s="64">
        <f t="shared" si="8"/>
        <v>54</v>
      </c>
      <c r="R16" s="64">
        <f t="shared" si="9"/>
        <v>45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112">
        <v>13301966</v>
      </c>
      <c r="B17" s="47" t="s">
        <v>369</v>
      </c>
      <c r="C17" s="50">
        <v>1</v>
      </c>
      <c r="D17" s="50" t="s">
        <v>128</v>
      </c>
      <c r="E17" s="51" t="s">
        <v>287</v>
      </c>
      <c r="F17" s="51" t="s">
        <v>301</v>
      </c>
      <c r="G17" s="64" t="str">
        <f t="shared" ref="G17" si="15">IFERROR(LEFT(B17,FIND("],",B17)),B17)</f>
        <v>[effect:dark, target:unit_all, turn:5, animation:enemy_dark]</v>
      </c>
      <c r="H17" s="64">
        <f t="shared" ref="H17" si="16">FIND("effect:",G17)+7</f>
        <v>9</v>
      </c>
      <c r="I17" s="64">
        <f t="shared" ref="I17" si="17">IFERROR(FIND(",",G17),LEN(G17))</f>
        <v>13</v>
      </c>
      <c r="J17" s="64">
        <f t="shared" ref="J17" si="18">FIND("target:",G17)+7</f>
        <v>22</v>
      </c>
      <c r="K17" s="64">
        <f t="shared" ref="K17" si="19">FIND(",",G17,I17+1)</f>
        <v>30</v>
      </c>
      <c r="L17" s="64" t="str">
        <f>IFERROR(VLOOKUP(MID(G17,J17,K17-J17),[5]skilldef!$C:$D,2,FALSE),"-") &amp; " / " &amp; IFERROR(VLOOKUP(MID(G17,H17,I17-H17),[5]skilldef!$A:$B,2,FALSE),"-")</f>
        <v>味方全体に / 暗黒</v>
      </c>
      <c r="M17" s="64" t="str">
        <f t="shared" ref="M17" si="20">IFERROR(RIGHT(B17,LEN(B17)-FIND("],",B17)-1),"none")</f>
        <v>[effect:time_limit, target:unit_all, turn:-1, count:9, animation:enemy_time_limit]</v>
      </c>
      <c r="N17" s="48" t="str">
        <f>IFERROR(LEFT(M17,FIND("],",M17)+#REF!),M17)</f>
        <v>[effect:time_limit, target:unit_all, turn:-1, count:9, animation:enemy_time_limit]</v>
      </c>
      <c r="O17" s="64">
        <f t="shared" ref="O17" si="21">FIND("effect:",N17)+7</f>
        <v>9</v>
      </c>
      <c r="P17" s="64">
        <f t="shared" ref="P17" si="22">IFERROR(FIND(",",N17),LEN(N17))</f>
        <v>19</v>
      </c>
      <c r="Q17" s="64">
        <f t="shared" ref="Q17" si="23">FIND("target:",N17)+7</f>
        <v>28</v>
      </c>
      <c r="R17" s="64">
        <f t="shared" ref="R17" si="24">FIND(",",N17,P17+1)</f>
        <v>36</v>
      </c>
      <c r="S17" s="64" t="str">
        <f>IFERROR(VLOOKUP(MID(N17,Q17,R17-Q17),[5]skilldef!$C:$D,2,FALSE),"-") &amp; " / " &amp; IFERROR(VLOOKUP(MID(N17,O17,P17-O17),[5]skilldef!$A:$B,2,FALSE),"-")</f>
        <v>味方全体に / タップ制限時間</v>
      </c>
      <c r="T17" s="48" t="str">
        <f t="shared" ref="T17" si="25">IFERROR(RIGHT(M17,LEN(M17)-FIND("],",M17)-1),"none")</f>
        <v>none</v>
      </c>
      <c r="U17" s="64" t="e">
        <f t="shared" ref="U17" si="26">FIND("effect:",T17)+7</f>
        <v>#VALUE!</v>
      </c>
      <c r="V17" s="64">
        <f t="shared" ref="V17" si="27">IFERROR(FIND(",",T17),LEN(T17))</f>
        <v>4</v>
      </c>
      <c r="W17" s="64" t="e">
        <f t="shared" ref="W17" si="28">FIND("target:",T17)+7</f>
        <v>#VALUE!</v>
      </c>
      <c r="X17" s="64" t="e">
        <f t="shared" ref="X17" si="29">FIND(",",T17,V17+1)</f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9" customHeight="1" x14ac:dyDescent="0.15">
      <c r="A18" s="112">
        <v>13301967</v>
      </c>
      <c r="B18" s="47" t="s">
        <v>279</v>
      </c>
      <c r="C18" s="50">
        <v>1</v>
      </c>
      <c r="D18" s="50" t="s">
        <v>128</v>
      </c>
      <c r="E18" s="51" t="s">
        <v>290</v>
      </c>
      <c r="F18" s="51" t="s">
        <v>367</v>
      </c>
      <c r="G18" s="64" t="str">
        <f t="shared" ref="G18" si="30">IFERROR(LEFT(B18,FIND("],",B18)),B18)</f>
        <v>[effect:enemy_message, val1:1, val2:2.4]</v>
      </c>
      <c r="H18" s="64">
        <f t="shared" ref="H18" si="31">FIND("effect:",G18)+7</f>
        <v>9</v>
      </c>
      <c r="I18" s="64">
        <f t="shared" ref="I18" si="32">IFERROR(FIND(",",G18),LEN(G18))</f>
        <v>22</v>
      </c>
      <c r="J18" s="64" t="e">
        <f t="shared" ref="J18" si="33">FIND("target:",G18)+7</f>
        <v>#VALUE!</v>
      </c>
      <c r="K18" s="64">
        <f t="shared" ref="K18" si="34">FIND(",",G18,I18+1)</f>
        <v>30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ref="M18" si="35">IFERROR(RIGHT(B18,LEN(B18)-FIND("],",B18)-1),"none")</f>
        <v>[effect:panel_freeze, target:block_all, count:-1],[effect:degrade_unit, target:unit_all, turn:-1, status:action, val:5, calc:add, animation:enemy_tap_down]</v>
      </c>
      <c r="N18" s="48" t="str">
        <f>IFERROR(LEFT(M18,FIND("],",M18)+S43),M18)</f>
        <v>[effect:panel_freeze, target:block_all, count:-1]</v>
      </c>
      <c r="O18" s="64">
        <f t="shared" ref="O18" si="36">FIND("effect:",N18)+7</f>
        <v>9</v>
      </c>
      <c r="P18" s="64">
        <f t="shared" ref="P18" si="37">IFERROR(FIND(",",N18),LEN(N18))</f>
        <v>21</v>
      </c>
      <c r="Q18" s="64">
        <f t="shared" ref="Q18" si="38">FIND("target:",N18)+7</f>
        <v>30</v>
      </c>
      <c r="R18" s="64">
        <f t="shared" ref="R18" si="39">FIND(",",N18,P18+1)</f>
        <v>39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40">IFERROR(RIGHT(M18,LEN(M18)-FIND("],",M18)-1),"none")</f>
        <v>[effect:degrade_unit, target:unit_all, turn:-1, status:action, val:5, calc:add, animation:enemy_tap_down]</v>
      </c>
      <c r="U18" s="64">
        <f t="shared" ref="U18" si="41">FIND("effect:",T18)+7</f>
        <v>9</v>
      </c>
      <c r="V18" s="64">
        <f t="shared" ref="V18" si="42">IFERROR(FIND(",",T18),LEN(T18))</f>
        <v>21</v>
      </c>
      <c r="W18" s="64">
        <f t="shared" ref="W18" si="43">FIND("target:",T18)+7</f>
        <v>30</v>
      </c>
      <c r="X18" s="64">
        <f t="shared" ref="X18" si="44">FIND(",",T18,V18+1)</f>
        <v>38</v>
      </c>
      <c r="Y18" s="64" t="str">
        <f>IFERROR(VLOOKUP(MID(T18,W18,X18-W18),[5]skilldef!$C:$D,2,FALSE),"-") &amp; " / " &amp; IFERROR(VLOOKUP(MID(T18,U18,V18-U18),[5]skilldef!$A:$B,2,FALSE),"-")</f>
        <v>味方全体に / ステータスDOWN</v>
      </c>
      <c r="Z18" s="50"/>
      <c r="AA18" s="52"/>
      <c r="AB18" s="50"/>
    </row>
    <row r="19" spans="1:28" ht="33" customHeight="1" x14ac:dyDescent="0.15">
      <c r="A19" s="113">
        <v>13301968</v>
      </c>
      <c r="B19" s="47" t="s">
        <v>347</v>
      </c>
      <c r="C19" s="50">
        <v>1</v>
      </c>
      <c r="D19" s="50" t="s">
        <v>128</v>
      </c>
      <c r="E19" s="51" t="s">
        <v>308</v>
      </c>
      <c r="F19" s="51" t="s">
        <v>355</v>
      </c>
      <c r="G19" s="64" t="str">
        <f t="shared" si="0"/>
        <v>[effect:enemy_message, val1:1.2, val2:3.4]</v>
      </c>
      <c r="H19" s="64">
        <f t="shared" si="1"/>
        <v>9</v>
      </c>
      <c r="I19" s="64">
        <f t="shared" si="2"/>
        <v>22</v>
      </c>
      <c r="J19" s="64" t="e">
        <f t="shared" si="3"/>
        <v>#VALUE!</v>
      </c>
      <c r="K19" s="64">
        <f t="shared" si="4"/>
        <v>32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si="5"/>
        <v>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animation:enemy_tolerance],[effect:hungup, target:unit_all, turn:2, rate:1, animation:hungup01],[effect:virus, target:unit_all, turn:2, rate:1, val:3.0, animation:enemy_virus]</v>
      </c>
      <c r="N19" s="48" t="str">
        <f>IFERROR(LEFT(M19,FIND("],",M19)+#REF!),M19)</f>
        <v>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animation:enemy_tolerance],[effect:hungup, target:unit_all, turn:2, rate:1, animation:hungup01],[effect:virus, target:unit_all, turn:2, rate:1, val:3.0, animation:enemy_virus]</v>
      </c>
      <c r="O19" s="64">
        <f t="shared" si="6"/>
        <v>9</v>
      </c>
      <c r="P19" s="64">
        <f t="shared" si="7"/>
        <v>18</v>
      </c>
      <c r="Q19" s="64">
        <f t="shared" si="8"/>
        <v>27</v>
      </c>
      <c r="R19" s="64">
        <f t="shared" si="9"/>
        <v>33</v>
      </c>
      <c r="S19" s="64" t="str">
        <f>IFERROR(VLOOKUP(MID(N19,Q19,R19-Q19),[5]skilldef!$C:$D,2,FALSE),"-") &amp; " / " &amp; IFERROR(VLOOKUP(MID(N19,O19,P19-O19),[5]skilldef!$A:$B,2,FALSE),"-")</f>
        <v>自分自身に / 行動値設定</v>
      </c>
      <c r="T19" s="48" t="str">
        <f t="shared" si="10"/>
        <v>[effect:drop_block, block_type:time_bomb, color:block_green, val:1.0, rate:0.7, turn:5, min_time_count:2, max_time_count:2, animation:time_bomb_influence04],[effect:tolerance, target:myself, turn:-1, count:-1, tolerance_effect:all, animation:enemy_tolerance],[effect:hungup, target:unit_all, turn:2, rate:1, animation:hungup01],[effect:virus, target:unit_all, turn:2, rate:1, val:3.0, animation:enemy_virus]</v>
      </c>
      <c r="U19" s="64">
        <f t="shared" si="11"/>
        <v>9</v>
      </c>
      <c r="V19" s="64">
        <f t="shared" si="12"/>
        <v>19</v>
      </c>
      <c r="W19" s="64">
        <f t="shared" si="13"/>
        <v>184</v>
      </c>
      <c r="X19" s="64">
        <f t="shared" si="14"/>
        <v>41</v>
      </c>
      <c r="Y19" s="64" t="str">
        <f>IFERROR(VLOOKUP(MID(T19,W19,X19-W19),[5]skilldef!$C:$D,2,FALSE),"-") &amp; " / " &amp; IFERROR(VLOOKUP(MID(T19,U19,V19-U19),[5]skilldef!$A:$B,2,FALSE),"-")</f>
        <v>- / 特定ブロックの割合ドロップ</v>
      </c>
      <c r="Z19" s="50"/>
      <c r="AA19" s="52"/>
      <c r="AB19" s="50"/>
    </row>
    <row r="20" spans="1:28" ht="33" customHeight="1" x14ac:dyDescent="0.15">
      <c r="A20" s="113">
        <v>13301969</v>
      </c>
      <c r="B20" s="47" t="s">
        <v>335</v>
      </c>
      <c r="C20" s="50">
        <v>1</v>
      </c>
      <c r="D20" s="50" t="s">
        <v>128</v>
      </c>
      <c r="E20" s="51" t="s">
        <v>296</v>
      </c>
      <c r="F20" s="51" t="s">
        <v>356</v>
      </c>
      <c r="G20" s="64" t="str">
        <f t="shared" si="0"/>
        <v>[effect:damage_anti_color, target:unit_all, color:red, val1:0.7, val2:0.25]</v>
      </c>
      <c r="H20" s="64">
        <f t="shared" si="1"/>
        <v>9</v>
      </c>
      <c r="I20" s="64">
        <f t="shared" si="2"/>
        <v>26</v>
      </c>
      <c r="J20" s="64">
        <f t="shared" si="3"/>
        <v>35</v>
      </c>
      <c r="K20" s="64">
        <f t="shared" si="4"/>
        <v>43</v>
      </c>
      <c r="L20" s="64" t="str">
        <f>IFERROR(VLOOKUP(MID(G20,J20,K20-J20),[5]skilldef!$C:$D,2,FALSE),"-") &amp; " / " &amp; IFERROR(VLOOKUP(MID(G20,H20,I20-H20),[5]skilldef!$A:$B,2,FALSE),"-")</f>
        <v>味方全体に / 属性キラー</v>
      </c>
      <c r="M20" s="64" t="str">
        <f t="shared" si="5"/>
        <v>[effect:degrade_unit, target:unit_red, turn:4, status:attack, val:0.5]</v>
      </c>
      <c r="N20" s="48" t="str">
        <f>IFERROR(LEFT(M20,FIND("],",M20)+#REF!),M20)</f>
        <v>[effect:degrade_unit, target:unit_red, turn:4, status:attack, val:0.5]</v>
      </c>
      <c r="O20" s="64">
        <f t="shared" si="6"/>
        <v>9</v>
      </c>
      <c r="P20" s="64">
        <f t="shared" si="7"/>
        <v>21</v>
      </c>
      <c r="Q20" s="64">
        <f t="shared" si="8"/>
        <v>30</v>
      </c>
      <c r="R20" s="64">
        <f t="shared" si="9"/>
        <v>38</v>
      </c>
      <c r="S20" s="64" t="str">
        <f>IFERROR(VLOOKUP(MID(N20,Q20,R20-Q20),[5]skilldef!$C:$D,2,FALSE),"-") &amp; " / " &amp; IFERROR(VLOOKUP(MID(N20,O20,P20-O20),[5]skilldef!$A:$B,2,FALSE),"-")</f>
        <v>赤の味方に / ステータスDOWN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34" customHeight="1" x14ac:dyDescent="0.15">
      <c r="A21" s="113">
        <v>13301970</v>
      </c>
      <c r="B21" s="47" t="s">
        <v>334</v>
      </c>
      <c r="C21" s="50">
        <v>1</v>
      </c>
      <c r="D21" s="50" t="s">
        <v>128</v>
      </c>
      <c r="E21" s="51" t="s">
        <v>293</v>
      </c>
      <c r="F21" s="51" t="s">
        <v>357</v>
      </c>
      <c r="G21" s="64" t="str">
        <f t="shared" ref="G21" si="45">IFERROR(LEFT(B21,FIND("],",B21)),B21)</f>
        <v>[effect:enemy_message, val1:1.2, val2:2.2]</v>
      </c>
      <c r="H21" s="64">
        <f t="shared" ref="H21" si="46">FIND("effect:",G21)+7</f>
        <v>9</v>
      </c>
      <c r="I21" s="64">
        <f t="shared" ref="I21" si="47">IFERROR(FIND(",",G21),LEN(G21))</f>
        <v>22</v>
      </c>
      <c r="J21" s="64" t="e">
        <f t="shared" ref="J21" si="48">FIND("target:",G21)+7</f>
        <v>#VALUE!</v>
      </c>
      <c r="K21" s="64">
        <f t="shared" ref="K21" si="49">FIND(",",G21,I21+1)</f>
        <v>32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ref="M21" si="50">IFERROR(RIGHT(B21,LEN(B21)-FIND("],",B21)-1),"none")</f>
        <v>[effect:crash_growth, val:-46, count:-1, animation:change_block],[effect:crash_condition, target:unit_all, turn:8, val:6, animation:crash_panel_reduce03]</v>
      </c>
      <c r="N21" s="48" t="str">
        <f>IFERROR(LEFT(M21,FIND("],",M21)+#REF!),M21)</f>
        <v>[effect:crash_growth, val:-46, count:-1, animation:change_block],[effect:crash_condition, target:unit_all, turn:8, val:6, animation:crash_panel_reduce03]</v>
      </c>
      <c r="O21" s="64">
        <f t="shared" ref="O21" si="51">FIND("effect:",N21)+7</f>
        <v>9</v>
      </c>
      <c r="P21" s="64">
        <f t="shared" ref="P21" si="52">IFERROR(FIND(",",N21),LEN(N21))</f>
        <v>21</v>
      </c>
      <c r="Q21" s="64">
        <f t="shared" ref="Q21" si="53">FIND("target:",N21)+7</f>
        <v>98</v>
      </c>
      <c r="R21" s="64">
        <f t="shared" ref="R21" si="54">FIND(",",N21,P21+1)</f>
        <v>30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ref="T21" si="55">IFERROR(RIGHT(M21,LEN(M21)-FIND("],",M21)-1),"none")</f>
        <v>[effect:crash_condition, target:unit_all, turn:8, val:6, animation:crash_panel_reduce03]</v>
      </c>
      <c r="U21" s="64">
        <f t="shared" ref="U21" si="56">FIND("effect:",T21)+7</f>
        <v>9</v>
      </c>
      <c r="V21" s="64">
        <f t="shared" ref="V21" si="57">IFERROR(FIND(",",T21),LEN(T21))</f>
        <v>24</v>
      </c>
      <c r="W21" s="64">
        <f t="shared" ref="W21" si="58">FIND("target:",T21)+7</f>
        <v>33</v>
      </c>
      <c r="X21" s="64">
        <f t="shared" ref="X21" si="59">FIND(",",T21,V21+1)</f>
        <v>41</v>
      </c>
      <c r="Y21" s="64" t="str">
        <f>IFERROR(VLOOKUP(MID(T21,W21,X21-W21),[5]skilldef!$C:$D,2,FALSE),"-") &amp; " / " &amp; IFERROR(VLOOKUP(MID(T21,U21,V21-U21),[5]skilldef!$A:$B,2,FALSE),"-")</f>
        <v>味方全体に / -</v>
      </c>
      <c r="Z21" s="50"/>
      <c r="AA21" s="52"/>
      <c r="AB21" s="50"/>
    </row>
    <row r="22" spans="1:28" ht="34" customHeight="1" x14ac:dyDescent="0.15">
      <c r="A22" s="113">
        <v>13301971</v>
      </c>
      <c r="B22" s="47" t="s">
        <v>291</v>
      </c>
      <c r="C22" s="50">
        <v>1</v>
      </c>
      <c r="D22" s="50" t="s">
        <v>128</v>
      </c>
      <c r="E22" s="51" t="s">
        <v>294</v>
      </c>
      <c r="F22" s="51" t="s">
        <v>358</v>
      </c>
      <c r="G22" s="64" t="str">
        <f t="shared" si="0"/>
        <v>[effect:enemy_message, val1:1.2, val2:2.2]</v>
      </c>
      <c r="H22" s="64">
        <f t="shared" si="1"/>
        <v>9</v>
      </c>
      <c r="I22" s="64">
        <f t="shared" si="2"/>
        <v>22</v>
      </c>
      <c r="J22" s="64" t="e">
        <f t="shared" si="3"/>
        <v>#VALUE!</v>
      </c>
      <c r="K22" s="64">
        <f t="shared" si="4"/>
        <v>32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si="5"/>
        <v>[effect:remove_enhancement, target:unit_all, target_effect:enhance, target_type:buff, status:attack],[effect:remove_enhancement, target:unit_all, target_effect:enhance, target_type:buff, status:heal, animation:frozen_wave],[effect:critical, val:1.3, animation:enemy_critical]</v>
      </c>
      <c r="N22" s="48" t="str">
        <f>IFERROR(LEFT(M22,FIND("],",M22)+#REF!),M22)</f>
        <v>[effect:remove_enhancement, target:unit_all, target_effect:enhance, target_type:buff, status:attack],[effect:remove_enhancement, target:unit_all, target_effect:enhance, target_type:buff, status:heal, animation:frozen_wave],[effect:critical, val:1.3, animation:enemy_critical]</v>
      </c>
      <c r="O22" s="64">
        <f t="shared" si="6"/>
        <v>9</v>
      </c>
      <c r="P22" s="64">
        <f t="shared" si="7"/>
        <v>27</v>
      </c>
      <c r="Q22" s="64">
        <f t="shared" si="8"/>
        <v>36</v>
      </c>
      <c r="R22" s="64">
        <f t="shared" si="9"/>
        <v>44</v>
      </c>
      <c r="S22" s="64" t="str">
        <f>IFERROR(VLOOKUP(MID(N22,Q22,R22-Q22),[5]skilldef!$C:$D,2,FALSE),"-") &amp; " / " &amp; IFERROR(VLOOKUP(MID(N22,O22,P22-O22),[5]skilldef!$A:$B,2,FALSE),"-")</f>
        <v>味方全体に / -</v>
      </c>
      <c r="T22" s="48" t="str">
        <f t="shared" si="10"/>
        <v>[effect:remove_enhancement, target:unit_all, target_effect:enhance, target_type:buff, status:heal, animation:frozen_wave],[effect:critical, val:1.3, animation:enemy_critical]</v>
      </c>
      <c r="U22" s="64">
        <f t="shared" si="11"/>
        <v>9</v>
      </c>
      <c r="V22" s="64">
        <f t="shared" si="12"/>
        <v>27</v>
      </c>
      <c r="W22" s="64">
        <f t="shared" si="13"/>
        <v>36</v>
      </c>
      <c r="X22" s="64">
        <f t="shared" si="14"/>
        <v>44</v>
      </c>
      <c r="Y22" s="64" t="str">
        <f>IFERROR(VLOOKUP(MID(T22,W22,X22-W22),[5]skilldef!$C:$D,2,FALSE),"-") &amp; " / " &amp; IFERROR(VLOOKUP(MID(T22,U22,V22-U22),[5]skilldef!$A:$B,2,FALSE),"-")</f>
        <v>味方全体に / -</v>
      </c>
      <c r="Z22" s="50"/>
      <c r="AA22" s="52"/>
      <c r="AB22" s="50"/>
    </row>
    <row r="23" spans="1:28" ht="21" customHeight="1" x14ac:dyDescent="0.15">
      <c r="A23" s="113">
        <v>13301972</v>
      </c>
      <c r="B23" s="47" t="s">
        <v>333</v>
      </c>
      <c r="C23" s="50">
        <v>1</v>
      </c>
      <c r="D23" s="50" t="s">
        <v>128</v>
      </c>
      <c r="E23" s="51" t="s">
        <v>295</v>
      </c>
      <c r="F23" s="51" t="s">
        <v>346</v>
      </c>
      <c r="G23" s="64" t="str">
        <f t="shared" si="0"/>
        <v>[effect:enemy_message, val1:1.2, val2:1.8]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>
        <f t="shared" si="4"/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si="5"/>
        <v>[effect:break_attack_fix, target:unit_one, val:300, lowest_val:3000, count:-1, color:green, block01:block_all, ignore01:crash, ignore02:crack_bomb, ignore03:time_bomb, ignore04:jammer, ignore05:color_break]</v>
      </c>
      <c r="N23" s="48" t="str">
        <f>IFERROR(LEFT(M23,FIND("],",M23)+#REF!),M23)</f>
        <v>[effect:break_attack_fix, target:unit_one, val:300, lowest_val:3000, count:-1, color:green, block01:block_all, ignore01:crash, ignore02:crack_bomb, ignore03:time_bomb, ignore04:jammer, ignore05:color_break]</v>
      </c>
      <c r="O23" s="64">
        <f t="shared" si="6"/>
        <v>9</v>
      </c>
      <c r="P23" s="64">
        <f t="shared" si="7"/>
        <v>25</v>
      </c>
      <c r="Q23" s="64">
        <f t="shared" si="8"/>
        <v>34</v>
      </c>
      <c r="R23" s="64">
        <f t="shared" si="9"/>
        <v>42</v>
      </c>
      <c r="S23" s="64" t="str">
        <f>IFERROR(VLOOKUP(MID(N23,Q23,R23-Q23),[5]skilldef!$C:$D,2,FALSE),"-") &amp; " / " &amp; IFERROR(VLOOKUP(MID(N23,O23,P23-O23),[5]skilldef!$A:$B,2,FALSE),"-")</f>
        <v>味方単体に / -</v>
      </c>
      <c r="T23" s="48" t="str">
        <f t="shared" si="10"/>
        <v>none</v>
      </c>
      <c r="U23" s="64" t="e">
        <f t="shared" si="11"/>
        <v>#VALUE!</v>
      </c>
      <c r="V23" s="64">
        <f t="shared" si="12"/>
        <v>4</v>
      </c>
      <c r="W23" s="64" t="e">
        <f t="shared" si="13"/>
        <v>#VALUE!</v>
      </c>
      <c r="X23" s="64" t="e">
        <f t="shared" si="14"/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38" customHeight="1" x14ac:dyDescent="0.15">
      <c r="A24" s="113">
        <v>13301973</v>
      </c>
      <c r="B24" s="47" t="s">
        <v>278</v>
      </c>
      <c r="C24" s="50">
        <v>1</v>
      </c>
      <c r="D24" s="50" t="s">
        <v>128</v>
      </c>
      <c r="E24" s="51" t="s">
        <v>299</v>
      </c>
      <c r="F24" s="51" t="s">
        <v>359</v>
      </c>
      <c r="G24" s="64" t="str">
        <f t="shared" ref="G24:G25" si="60">IFERROR(LEFT(B24,FIND("],",B24)),B24)</f>
        <v>[effect:enemy_message, val1:1, val2:3.0]</v>
      </c>
      <c r="H24" s="64">
        <f t="shared" ref="H24:H25" si="61">FIND("effect:",G24)+7</f>
        <v>9</v>
      </c>
      <c r="I24" s="64">
        <f t="shared" ref="I24:I25" si="62">IFERROR(FIND(",",G24),LEN(G24))</f>
        <v>22</v>
      </c>
      <c r="J24" s="64" t="e">
        <f t="shared" ref="J24:J25" si="63">FIND("target:",G24)+7</f>
        <v>#VALUE!</v>
      </c>
      <c r="K24" s="64">
        <f t="shared" ref="K24:K25" si="64">FIND(",",G24,I24+1)</f>
        <v>30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ref="M24:M25" si="65">IFERROR(RIGHT(B24,LEN(B24)-FIND("],",B24)-1),"none")</f>
        <v>[effect:damage_anti_abnormal, target:unit_all, target_effect01:dark, val1:0.05, val2:5],[effect:remove_enhancement, target:unit_all, target_effect:dark]</v>
      </c>
      <c r="N24" s="48" t="str">
        <f>IFERROR(LEFT(M24,FIND("],",M24)+#REF!),M24)</f>
        <v>[effect:damage_anti_abnormal, target:unit_all, target_effect01:dark, val1:0.05, val2:5],[effect:remove_enhancement, target:unit_all, target_effect:dark]</v>
      </c>
      <c r="O24" s="64">
        <f t="shared" ref="O24:O25" si="66">FIND("effect:",N24)+7</f>
        <v>9</v>
      </c>
      <c r="P24" s="64">
        <f t="shared" ref="P24:P25" si="67">IFERROR(FIND(",",N24),LEN(N24))</f>
        <v>29</v>
      </c>
      <c r="Q24" s="64">
        <f t="shared" ref="Q24:Q25" si="68">FIND("target:",N24)+7</f>
        <v>38</v>
      </c>
      <c r="R24" s="64">
        <f t="shared" ref="R24:R25" si="69">FIND(",",N24,P24+1)</f>
        <v>46</v>
      </c>
      <c r="S24" s="64" t="str">
        <f>IFERROR(VLOOKUP(MID(N24,Q24,R24-Q24),[5]skilldef!$C:$D,2,FALSE),"-") &amp; " / " &amp; IFERROR(VLOOKUP(MID(N24,O24,P24-O24),[5]skilldef!$A:$B,2,FALSE),"-")</f>
        <v>味方全体に / -</v>
      </c>
      <c r="T24" s="48" t="str">
        <f t="shared" ref="T24:T25" si="70">IFERROR(RIGHT(M24,LEN(M24)-FIND("],",M24)-1),"none")</f>
        <v>[effect:remove_enhancement, target:unit_all, target_effect:dark]</v>
      </c>
      <c r="U24" s="64">
        <f t="shared" ref="U24:U25" si="71">FIND("effect:",T24)+7</f>
        <v>9</v>
      </c>
      <c r="V24" s="64">
        <f t="shared" ref="V24:V25" si="72">IFERROR(FIND(",",T24),LEN(T24))</f>
        <v>27</v>
      </c>
      <c r="W24" s="64">
        <f t="shared" ref="W24:W25" si="73">FIND("target:",T24)+7</f>
        <v>36</v>
      </c>
      <c r="X24" s="64">
        <f t="shared" ref="X24:X25" si="74">FIND(",",T24,V24+1)</f>
        <v>44</v>
      </c>
      <c r="Y24" s="64" t="str">
        <f>IFERROR(VLOOKUP(MID(T24,W24,X24-W24),[5]skilldef!$C:$D,2,FALSE),"-") &amp; " / " &amp; IFERROR(VLOOKUP(MID(T24,U24,V24-U24),[5]skilldef!$A:$B,2,FALSE),"-")</f>
        <v>味方全体に / -</v>
      </c>
      <c r="Z24" s="50"/>
      <c r="AA24" s="52"/>
      <c r="AB24" s="50"/>
    </row>
    <row r="25" spans="1:28" ht="34" customHeight="1" x14ac:dyDescent="0.15">
      <c r="A25" s="113">
        <v>13301974</v>
      </c>
      <c r="B25" s="47" t="s">
        <v>325</v>
      </c>
      <c r="C25" s="50">
        <v>1</v>
      </c>
      <c r="D25" s="50" t="s">
        <v>128</v>
      </c>
      <c r="E25" s="51" t="s">
        <v>289</v>
      </c>
      <c r="F25" s="51" t="s">
        <v>360</v>
      </c>
      <c r="G25" s="64" t="str">
        <f t="shared" si="60"/>
        <v>[effect:enemy_message, val1:1, val2:2.6]</v>
      </c>
      <c r="H25" s="64">
        <f t="shared" si="61"/>
        <v>9</v>
      </c>
      <c r="I25" s="64">
        <f t="shared" si="62"/>
        <v>22</v>
      </c>
      <c r="J25" s="64" t="e">
        <f t="shared" si="63"/>
        <v>#VALUE!</v>
      </c>
      <c r="K25" s="64">
        <f t="shared" si="64"/>
        <v>30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65"/>
        <v>[effect:spread, val:0.25],[effect:change_attribute, target:myself, turn:-1, color:yellow, animation:change_attribute_yellow],[effect:force_change_block, new_block:jammer, target:block_all, ignore01:crash, ignore02:crack_bomb, ignore03:time_bomb, ignore04:color_break, count:3, val:0, animation:change_block]</v>
      </c>
      <c r="N25" s="48" t="str">
        <f>IFERROR(LEFT(M25,FIND("],",M25)+#REF!),M25)</f>
        <v>[effect:spread, val:0.25],[effect:change_attribute, target:myself, turn:-1, color:yellow, animation:change_attribute_yellow],[effect:force_change_block, new_block:jammer, target:block_all, ignore01:crash, ignore02:crack_bomb, ignore03:time_bomb, ignore04:color_break, count:3, val:0, animation:change_block]</v>
      </c>
      <c r="O25" s="64">
        <f t="shared" si="66"/>
        <v>9</v>
      </c>
      <c r="P25" s="64">
        <f t="shared" si="67"/>
        <v>15</v>
      </c>
      <c r="Q25" s="64">
        <f t="shared" si="68"/>
        <v>60</v>
      </c>
      <c r="R25" s="64">
        <f t="shared" si="69"/>
        <v>26</v>
      </c>
      <c r="S25" s="64" t="str">
        <f>IFERROR(VLOOKUP(MID(N25,Q25,R25-Q25),[5]skilldef!$C:$D,2,FALSE),"-") &amp; " / " &amp; IFERROR(VLOOKUP(MID(N25,O25,P25-O25),[5]skilldef!$A:$B,2,FALSE),"-")</f>
        <v>- / 全体攻撃</v>
      </c>
      <c r="T25" s="48" t="str">
        <f t="shared" si="70"/>
        <v>[effect:change_attribute, target:myself, turn:-1, color:yellow, animation:change_attribute_yellow],[effect:force_change_block, new_block:jammer, target:block_all, ignore01:crash, ignore02:crack_bomb, ignore03:time_bomb, ignore04:color_break, count:3, val:0, animation:change_block]</v>
      </c>
      <c r="U25" s="64">
        <f t="shared" si="71"/>
        <v>9</v>
      </c>
      <c r="V25" s="64">
        <f t="shared" si="72"/>
        <v>25</v>
      </c>
      <c r="W25" s="64">
        <f t="shared" si="73"/>
        <v>34</v>
      </c>
      <c r="X25" s="64">
        <f t="shared" si="74"/>
        <v>40</v>
      </c>
      <c r="Y25" s="64" t="str">
        <f>IFERROR(VLOOKUP(MID(T25,W25,X25-W25),[5]skilldef!$C:$D,2,FALSE),"-") &amp; " / " &amp; IFERROR(VLOOKUP(MID(T25,U25,V25-U25),[5]skilldef!$A:$B,2,FALSE),"-")</f>
        <v>自分自身に / -</v>
      </c>
      <c r="Z25" s="50"/>
      <c r="AA25" s="52"/>
      <c r="AB25" s="50"/>
    </row>
    <row r="26" spans="1:28" ht="31" customHeight="1" x14ac:dyDescent="0.15">
      <c r="A26" s="113">
        <v>13301975</v>
      </c>
      <c r="B26" s="47" t="s">
        <v>326</v>
      </c>
      <c r="C26" s="50">
        <v>1</v>
      </c>
      <c r="D26" s="50" t="s">
        <v>128</v>
      </c>
      <c r="E26" s="51" t="s">
        <v>289</v>
      </c>
      <c r="F26" s="51" t="s">
        <v>361</v>
      </c>
      <c r="G26" s="64" t="str">
        <f t="shared" ref="G26:G29" si="75">IFERROR(LEFT(B26,FIND("],",B26)),B26)</f>
        <v>[effect:enemy_message, val1:1, val2:2.6]</v>
      </c>
      <c r="H26" s="64">
        <f t="shared" ref="H26:H29" si="76">FIND("effect:",G26)+7</f>
        <v>9</v>
      </c>
      <c r="I26" s="64">
        <f t="shared" ref="I26:I29" si="77">IFERROR(FIND(",",G26),LEN(G26))</f>
        <v>22</v>
      </c>
      <c r="J26" s="64" t="e">
        <f t="shared" ref="J26:J29" si="78">FIND("target:",G26)+7</f>
        <v>#VALUE!</v>
      </c>
      <c r="K26" s="64">
        <f t="shared" ref="K26:K29" si="79">FIND(",",G26,I26+1)</f>
        <v>30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ref="M26:M29" si="80">IFERROR(RIGHT(B26,LEN(B26)-FIND("],",B26)-1),"none")</f>
        <v>[effect:spread, val:0.28],[effect:change_attribute, target:myself, turn:-1, color:green, animation:change_attribute_green],[effect:force_change_block, new_block:time_bomb, target:block_all, ignore01:crack_bomb, ignore02:crash, ignore03:color_break, ignore04:time_bomb, count:3, val:5, min_time_count:2, max_time_count:2, animation:change_block]</v>
      </c>
      <c r="N26" s="48" t="str">
        <f>IFERROR(LEFT(M26,FIND("],",M26)+#REF!),M26)</f>
        <v>[effect:spread, val:0.28],[effect:change_attribute, target:myself, turn:-1, color:green, animation:change_attribute_green],[effect:force_change_block, new_block:time_bomb, target:block_all, ignore01:crack_bomb, ignore02:crash, ignore03:color_break, ignore04:time_bomb, count:3, val:5, min_time_count:2, max_time_count:2, animation:change_block]</v>
      </c>
      <c r="O26" s="64">
        <f t="shared" ref="O26:O29" si="81">FIND("effect:",N26)+7</f>
        <v>9</v>
      </c>
      <c r="P26" s="64">
        <f t="shared" ref="P26:P29" si="82">IFERROR(FIND(",",N26),LEN(N26))</f>
        <v>15</v>
      </c>
      <c r="Q26" s="64">
        <f t="shared" ref="Q26:Q29" si="83">FIND("target:",N26)+7</f>
        <v>60</v>
      </c>
      <c r="R26" s="64">
        <f t="shared" ref="R26:R29" si="84">FIND(",",N26,P26+1)</f>
        <v>26</v>
      </c>
      <c r="S26" s="64" t="str">
        <f>IFERROR(VLOOKUP(MID(N26,Q26,R26-Q26),[5]skilldef!$C:$D,2,FALSE),"-") &amp; " / " &amp; IFERROR(VLOOKUP(MID(N26,O26,P26-O26),[5]skilldef!$A:$B,2,FALSE),"-")</f>
        <v>- / 全体攻撃</v>
      </c>
      <c r="T26" s="48" t="str">
        <f t="shared" ref="T26:T29" si="85">IFERROR(RIGHT(M26,LEN(M26)-FIND("],",M26)-1),"none")</f>
        <v>[effect:change_attribute, target:myself, turn:-1, color:green, animation:change_attribute_green],[effect:force_change_block, new_block:time_bomb, target:block_all, ignore01:crack_bomb, ignore02:crash, ignore03:color_break, ignore04:time_bomb, count:3, val:5, min_time_count:2, max_time_count:2, animation:change_block]</v>
      </c>
      <c r="U26" s="64">
        <f t="shared" ref="U26:U29" si="86">FIND("effect:",T26)+7</f>
        <v>9</v>
      </c>
      <c r="V26" s="64">
        <f t="shared" ref="V26:V29" si="87">IFERROR(FIND(",",T26),LEN(T26))</f>
        <v>25</v>
      </c>
      <c r="W26" s="64">
        <f t="shared" ref="W26:W29" si="88">FIND("target:",T26)+7</f>
        <v>34</v>
      </c>
      <c r="X26" s="64">
        <f t="shared" ref="X26:X29" si="89">FIND(",",T26,V26+1)</f>
        <v>40</v>
      </c>
      <c r="Y26" s="64" t="str">
        <f>IFERROR(VLOOKUP(MID(T26,W26,X26-W26),[5]skilldef!$C:$D,2,FALSE),"-") &amp; " / " &amp; IFERROR(VLOOKUP(MID(T26,U26,V26-U26),[5]skilldef!$A:$B,2,FALSE),"-")</f>
        <v>自分自身に / -</v>
      </c>
      <c r="Z26" s="50"/>
      <c r="AA26" s="52"/>
      <c r="AB26" s="50"/>
    </row>
    <row r="27" spans="1:28" ht="32" customHeight="1" x14ac:dyDescent="0.15">
      <c r="A27" s="113">
        <v>13301976</v>
      </c>
      <c r="B27" s="47" t="s">
        <v>327</v>
      </c>
      <c r="C27" s="50">
        <v>1</v>
      </c>
      <c r="D27" s="50" t="s">
        <v>128</v>
      </c>
      <c r="E27" s="51" t="s">
        <v>289</v>
      </c>
      <c r="F27" s="51" t="s">
        <v>362</v>
      </c>
      <c r="G27" s="64" t="str">
        <f t="shared" si="75"/>
        <v>[effect:enemy_message, val1:1, val2:2.6]</v>
      </c>
      <c r="H27" s="64">
        <f t="shared" si="76"/>
        <v>9</v>
      </c>
      <c r="I27" s="64">
        <f t="shared" si="77"/>
        <v>22</v>
      </c>
      <c r="J27" s="64" t="e">
        <f t="shared" si="78"/>
        <v>#VALUE!</v>
      </c>
      <c r="K27" s="64">
        <f t="shared" si="79"/>
        <v>30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80"/>
        <v>[effect:spread, val:0.31],[effect:change_attribute, target:myself, turn:-1, color:yellow, animation:change_attribute_yellow],[effect:force_change_block, new_block:jammer, target:block_all, ignore01:crash, ignore02:crack_bomb, ignore03:time_bomb, ignore04:color_break, count:4, val:0, animation:change_block]</v>
      </c>
      <c r="N27" s="48" t="str">
        <f>IFERROR(LEFT(M27,FIND("],",M27)+#REF!),M27)</f>
        <v>[effect:spread, val:0.31],[effect:change_attribute, target:myself, turn:-1, color:yellow, animation:change_attribute_yellow],[effect:force_change_block, new_block:jammer, target:block_all, ignore01:crash, ignore02:crack_bomb, ignore03:time_bomb, ignore04:color_break, count:4, val:0, animation:change_block]</v>
      </c>
      <c r="O27" s="64">
        <f t="shared" si="81"/>
        <v>9</v>
      </c>
      <c r="P27" s="64">
        <f t="shared" si="82"/>
        <v>15</v>
      </c>
      <c r="Q27" s="64">
        <f t="shared" si="83"/>
        <v>60</v>
      </c>
      <c r="R27" s="64">
        <f t="shared" si="84"/>
        <v>26</v>
      </c>
      <c r="S27" s="64" t="str">
        <f>IFERROR(VLOOKUP(MID(N27,Q27,R27-Q27),[5]skilldef!$C:$D,2,FALSE),"-") &amp; " / " &amp; IFERROR(VLOOKUP(MID(N27,O27,P27-O27),[5]skilldef!$A:$B,2,FALSE),"-")</f>
        <v>- / 全体攻撃</v>
      </c>
      <c r="T27" s="48" t="str">
        <f t="shared" si="85"/>
        <v>[effect:change_attribute, target:myself, turn:-1, color:yellow, animation:change_attribute_yellow],[effect:force_change_block, new_block:jammer, target:block_all, ignore01:crash, ignore02:crack_bomb, ignore03:time_bomb, ignore04:color_break, count:4, val:0, animation:change_block]</v>
      </c>
      <c r="U27" s="64">
        <f t="shared" si="86"/>
        <v>9</v>
      </c>
      <c r="V27" s="64">
        <f t="shared" si="87"/>
        <v>25</v>
      </c>
      <c r="W27" s="64">
        <f t="shared" si="88"/>
        <v>34</v>
      </c>
      <c r="X27" s="64">
        <f t="shared" si="89"/>
        <v>40</v>
      </c>
      <c r="Y27" s="64" t="str">
        <f>IFERROR(VLOOKUP(MID(T27,W27,X27-W27),[5]skilldef!$C:$D,2,FALSE),"-") &amp; " / " &amp; IFERROR(VLOOKUP(MID(T27,U27,V27-U27),[5]skilldef!$A:$B,2,FALSE),"-")</f>
        <v>自分自身に / -</v>
      </c>
      <c r="Z27" s="50"/>
      <c r="AA27" s="52"/>
      <c r="AB27" s="50"/>
    </row>
    <row r="28" spans="1:28" ht="30" customHeight="1" x14ac:dyDescent="0.15">
      <c r="A28" s="113">
        <v>13301977</v>
      </c>
      <c r="B28" s="47" t="s">
        <v>328</v>
      </c>
      <c r="C28" s="50">
        <v>1</v>
      </c>
      <c r="D28" s="50" t="s">
        <v>128</v>
      </c>
      <c r="E28" s="51" t="s">
        <v>289</v>
      </c>
      <c r="F28" s="51" t="s">
        <v>363</v>
      </c>
      <c r="G28" s="64" t="str">
        <f t="shared" si="75"/>
        <v>[effect:enemy_message, val1:1, val2:2.6]</v>
      </c>
      <c r="H28" s="64">
        <f t="shared" si="76"/>
        <v>9</v>
      </c>
      <c r="I28" s="64">
        <f t="shared" si="77"/>
        <v>22</v>
      </c>
      <c r="J28" s="64" t="e">
        <f t="shared" si="78"/>
        <v>#VALUE!</v>
      </c>
      <c r="K28" s="64">
        <f t="shared" si="79"/>
        <v>30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si="80"/>
        <v>[effect:spread, val:0.34],[effect:change_attribute, target:myself, turn:-1, color:green, animation:change_attribute_green],[effect:force_change_block, new_block:time_bomb, target:block_all, ignore01:crack_bomb, ignore02:crash, ignore03:color_break, ignore04:time_bomb, count:4, val:5, min_time_count:2, max_time_count:2, animation:change_block]</v>
      </c>
      <c r="N28" s="48" t="str">
        <f>IFERROR(LEFT(M28,FIND("],",M28)+#REF!),M28)</f>
        <v>[effect:spread, val:0.34],[effect:change_attribute, target:myself, turn:-1, color:green, animation:change_attribute_green],[effect:force_change_block, new_block:time_bomb, target:block_all, ignore01:crack_bomb, ignore02:crash, ignore03:color_break, ignore04:time_bomb, count:4, val:5, min_time_count:2, max_time_count:2, animation:change_block]</v>
      </c>
      <c r="O28" s="64">
        <f t="shared" si="81"/>
        <v>9</v>
      </c>
      <c r="P28" s="64">
        <f t="shared" si="82"/>
        <v>15</v>
      </c>
      <c r="Q28" s="64">
        <f t="shared" si="83"/>
        <v>60</v>
      </c>
      <c r="R28" s="64">
        <f t="shared" si="84"/>
        <v>26</v>
      </c>
      <c r="S28" s="64" t="str">
        <f>IFERROR(VLOOKUP(MID(N28,Q28,R28-Q28),[5]skilldef!$C:$D,2,FALSE),"-") &amp; " / " &amp; IFERROR(VLOOKUP(MID(N28,O28,P28-O28),[5]skilldef!$A:$B,2,FALSE),"-")</f>
        <v>- / 全体攻撃</v>
      </c>
      <c r="T28" s="48" t="str">
        <f t="shared" si="85"/>
        <v>[effect:change_attribute, target:myself, turn:-1, color:green, animation:change_attribute_green],[effect:force_change_block, new_block:time_bomb, target:block_all, ignore01:crack_bomb, ignore02:crash, ignore03:color_break, ignore04:time_bomb, count:4, val:5, min_time_count:2, max_time_count:2, animation:change_block]</v>
      </c>
      <c r="U28" s="64">
        <f t="shared" si="86"/>
        <v>9</v>
      </c>
      <c r="V28" s="64">
        <f t="shared" si="87"/>
        <v>25</v>
      </c>
      <c r="W28" s="64">
        <f t="shared" si="88"/>
        <v>34</v>
      </c>
      <c r="X28" s="64">
        <f t="shared" si="89"/>
        <v>40</v>
      </c>
      <c r="Y28" s="64" t="str">
        <f>IFERROR(VLOOKUP(MID(T28,W28,X28-W28),[5]skilldef!$C:$D,2,FALSE),"-") &amp; " / " &amp; IFERROR(VLOOKUP(MID(T28,U28,V28-U28),[5]skilldef!$A:$B,2,FALSE),"-")</f>
        <v>自分自身に / -</v>
      </c>
      <c r="Z28" s="50"/>
      <c r="AA28" s="52"/>
      <c r="AB28" s="50"/>
    </row>
    <row r="29" spans="1:28" ht="29" customHeight="1" x14ac:dyDescent="0.15">
      <c r="A29" s="113">
        <v>13301978</v>
      </c>
      <c r="B29" s="47" t="s">
        <v>313</v>
      </c>
      <c r="C29" s="50">
        <v>1</v>
      </c>
      <c r="D29" s="50" t="s">
        <v>128</v>
      </c>
      <c r="E29" s="51" t="s">
        <v>289</v>
      </c>
      <c r="F29" s="51" t="s">
        <v>364</v>
      </c>
      <c r="G29" s="64" t="str">
        <f t="shared" si="75"/>
        <v>[effect:enemy_message, val1:1, val2:2.6]</v>
      </c>
      <c r="H29" s="64">
        <f t="shared" si="76"/>
        <v>9</v>
      </c>
      <c r="I29" s="64">
        <f t="shared" si="77"/>
        <v>22</v>
      </c>
      <c r="J29" s="64" t="e">
        <f t="shared" si="78"/>
        <v>#VALUE!</v>
      </c>
      <c r="K29" s="64">
        <f t="shared" si="79"/>
        <v>30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80"/>
        <v>[effect:spread, val:0.38],[effect:change_attribute, target:myself, turn:-1, color:yellow, animation:change_attribute_yellow],[effect:force_change_block, new_block:jammer, target:block_all, ignore01:crash, ignore02:crack_bomb, ignore03:time_bomb, ignore04:color_break, count:5, val:0, animation:change_block]</v>
      </c>
      <c r="N29" s="48" t="str">
        <f>IFERROR(LEFT(M29,FIND("],",M29)+#REF!),M29)</f>
        <v>[effect:spread, val:0.38],[effect:change_attribute, target:myself, turn:-1, color:yellow, animation:change_attribute_yellow],[effect:force_change_block, new_block:jammer, target:block_all, ignore01:crash, ignore02:crack_bomb, ignore03:time_bomb, ignore04:color_break, count:5, val:0, animation:change_block]</v>
      </c>
      <c r="O29" s="64">
        <f t="shared" si="81"/>
        <v>9</v>
      </c>
      <c r="P29" s="64">
        <f t="shared" si="82"/>
        <v>15</v>
      </c>
      <c r="Q29" s="64">
        <f t="shared" si="83"/>
        <v>60</v>
      </c>
      <c r="R29" s="64">
        <f t="shared" si="84"/>
        <v>26</v>
      </c>
      <c r="S29" s="64" t="str">
        <f>IFERROR(VLOOKUP(MID(N29,Q29,R29-Q29),[5]skilldef!$C:$D,2,FALSE),"-") &amp; " / " &amp; IFERROR(VLOOKUP(MID(N29,O29,P29-O29),[5]skilldef!$A:$B,2,FALSE),"-")</f>
        <v>- / 全体攻撃</v>
      </c>
      <c r="T29" s="48" t="str">
        <f t="shared" si="85"/>
        <v>[effect:change_attribute, target:myself, turn:-1, color:yellow, animation:change_attribute_yellow],[effect:force_change_block, new_block:jammer, target:block_all, ignore01:crash, ignore02:crack_bomb, ignore03:time_bomb, ignore04:color_break, count:5, val:0, animation:change_block]</v>
      </c>
      <c r="U29" s="64">
        <f t="shared" si="86"/>
        <v>9</v>
      </c>
      <c r="V29" s="64">
        <f t="shared" si="87"/>
        <v>25</v>
      </c>
      <c r="W29" s="64">
        <f t="shared" si="88"/>
        <v>34</v>
      </c>
      <c r="X29" s="64">
        <f t="shared" si="89"/>
        <v>40</v>
      </c>
      <c r="Y29" s="64" t="str">
        <f>IFERROR(VLOOKUP(MID(T29,W29,X29-W29),[5]skilldef!$C:$D,2,FALSE),"-") &amp; " / " &amp; IFERROR(VLOOKUP(MID(T29,U29,V29-U29),[5]skilldef!$A:$B,2,FALSE),"-")</f>
        <v>自分自身に / -</v>
      </c>
      <c r="Z29" s="50"/>
      <c r="AA29" s="52"/>
      <c r="AB29" s="50"/>
    </row>
    <row r="30" spans="1:28" ht="29" customHeight="1" x14ac:dyDescent="0.15">
      <c r="A30" s="113">
        <v>13301979</v>
      </c>
      <c r="B30" s="47" t="s">
        <v>314</v>
      </c>
      <c r="C30" s="50">
        <v>1</v>
      </c>
      <c r="D30" s="50" t="s">
        <v>128</v>
      </c>
      <c r="E30" s="51" t="s">
        <v>289</v>
      </c>
      <c r="F30" s="51" t="s">
        <v>365</v>
      </c>
      <c r="G30" s="64" t="str">
        <f t="shared" ref="G30" si="90">IFERROR(LEFT(B30,FIND("],",B30)),B30)</f>
        <v>[effect:enemy_message, val1:1, val2:2.6]</v>
      </c>
      <c r="H30" s="64">
        <f t="shared" ref="H30" si="91">FIND("effect:",G30)+7</f>
        <v>9</v>
      </c>
      <c r="I30" s="64">
        <f t="shared" ref="I30" si="92">IFERROR(FIND(",",G30),LEN(G30))</f>
        <v>22</v>
      </c>
      <c r="J30" s="64" t="e">
        <f t="shared" ref="J30" si="93">FIND("target:",G30)+7</f>
        <v>#VALUE!</v>
      </c>
      <c r="K30" s="64">
        <f t="shared" ref="K30" si="94">FIND(",",G30,I30+1)</f>
        <v>30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ref="M30" si="95">IFERROR(RIGHT(B30,LEN(B30)-FIND("],",B30)-1),"none")</f>
        <v>[effect:spread, val:0.4],[effect:change_attribute, target:myself, turn:-1, color:green, animation:change_attribute_green],[effect:force_change_block, new_block:time_bomb, target:block_all, ignore01:crack_bomb, ignore02:crash, ignore03:color_break, ignore04:time_bomb, count:5, val:5, min_time_count:2, max_time_count:2, animation:change_block]</v>
      </c>
      <c r="N30" s="48" t="str">
        <f>IFERROR(LEFT(M30,FIND("],",M30)+#REF!),M30)</f>
        <v>[effect:spread, val:0.4],[effect:change_attribute, target:myself, turn:-1, color:green, animation:change_attribute_green],[effect:force_change_block, new_block:time_bomb, target:block_all, ignore01:crack_bomb, ignore02:crash, ignore03:color_break, ignore04:time_bomb, count:5, val:5, min_time_count:2, max_time_count:2, animation:change_block]</v>
      </c>
      <c r="O30" s="64">
        <f t="shared" ref="O30" si="96">FIND("effect:",N30)+7</f>
        <v>9</v>
      </c>
      <c r="P30" s="64">
        <f t="shared" ref="P30" si="97">IFERROR(FIND(",",N30),LEN(N30))</f>
        <v>15</v>
      </c>
      <c r="Q30" s="64">
        <f t="shared" ref="Q30" si="98">FIND("target:",N30)+7</f>
        <v>59</v>
      </c>
      <c r="R30" s="64">
        <f t="shared" ref="R30" si="99">FIND(",",N30,P30+1)</f>
        <v>25</v>
      </c>
      <c r="S30" s="64" t="str">
        <f>IFERROR(VLOOKUP(MID(N30,Q30,R30-Q30),[5]skilldef!$C:$D,2,FALSE),"-") &amp; " / " &amp; IFERROR(VLOOKUP(MID(N30,O30,P30-O30),[5]skilldef!$A:$B,2,FALSE),"-")</f>
        <v>- / 全体攻撃</v>
      </c>
      <c r="T30" s="48" t="str">
        <f t="shared" ref="T30" si="100">IFERROR(RIGHT(M30,LEN(M30)-FIND("],",M30)-1),"none")</f>
        <v>[effect:change_attribute, target:myself, turn:-1, color:green, animation:change_attribute_green],[effect:force_change_block, new_block:time_bomb, target:block_all, ignore01:crack_bomb, ignore02:crash, ignore03:color_break, ignore04:time_bomb, count:5, val:5, min_time_count:2, max_time_count:2, animation:change_block]</v>
      </c>
      <c r="U30" s="64">
        <f t="shared" ref="U30" si="101">FIND("effect:",T30)+7</f>
        <v>9</v>
      </c>
      <c r="V30" s="64">
        <f t="shared" ref="V30" si="102">IFERROR(FIND(",",T30),LEN(T30))</f>
        <v>25</v>
      </c>
      <c r="W30" s="64">
        <f t="shared" ref="W30" si="103">FIND("target:",T30)+7</f>
        <v>34</v>
      </c>
      <c r="X30" s="64">
        <f t="shared" ref="X30" si="104">FIND(",",T30,V30+1)</f>
        <v>40</v>
      </c>
      <c r="Y30" s="64" t="str">
        <f>IFERROR(VLOOKUP(MID(T30,W30,X30-W30),[5]skilldef!$C:$D,2,FALSE),"-") &amp; " / " &amp; IFERROR(VLOOKUP(MID(T30,U30,V30-U30),[5]skilldef!$A:$B,2,FALSE),"-")</f>
        <v>自分自身に / -</v>
      </c>
      <c r="Z30" s="50"/>
      <c r="AA30" s="52"/>
      <c r="AB30" s="50"/>
    </row>
    <row r="31" spans="1:28" ht="33" customHeight="1" x14ac:dyDescent="0.15">
      <c r="A31" s="113">
        <v>13301980</v>
      </c>
      <c r="B31" s="47" t="s">
        <v>315</v>
      </c>
      <c r="C31" s="50">
        <v>1</v>
      </c>
      <c r="D31" s="50" t="s">
        <v>128</v>
      </c>
      <c r="E31" s="51" t="s">
        <v>300</v>
      </c>
      <c r="F31" s="51" t="s">
        <v>366</v>
      </c>
      <c r="G31" s="64" t="str">
        <f t="shared" ref="G31:G32" si="105">IFERROR(LEFT(B31,FIND("],",B31)),B31)</f>
        <v>[effect:enemy_message, val1:1, val2:2.4]</v>
      </c>
      <c r="H31" s="64">
        <f t="shared" ref="H31:H32" si="106">FIND("effect:",G31)+7</f>
        <v>9</v>
      </c>
      <c r="I31" s="64">
        <f t="shared" ref="I31:I32" si="107">IFERROR(FIND(",",G31),LEN(G31))</f>
        <v>22</v>
      </c>
      <c r="J31" s="64" t="e">
        <f t="shared" ref="J31:J32" si="108">FIND("target:",G31)+7</f>
        <v>#VALUE!</v>
      </c>
      <c r="K31" s="64">
        <f t="shared" ref="K31:K32" si="109">FIND(",",G31,I31+1)</f>
        <v>30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ref="M31:M32" si="110">IFERROR(RIGHT(B31,LEN(B31)-FIND("],",B31)-1),"none")</f>
        <v>[effect:spread, val:0.5],[effect:hungup, target:unit_all, turn:1, rate:0.5, calc_type:target_one, animation:hungup01]</v>
      </c>
      <c r="N31" s="48" t="str">
        <f>IFERROR(LEFT(M31,FIND("],",M31)+#REF!),M31)</f>
        <v>[effect:spread, val:0.5],[effect:hungup, target:unit_all, turn:1, rate:0.5, calc_type:target_one, animation:hungup01]</v>
      </c>
      <c r="O31" s="64">
        <f t="shared" ref="O31:O32" si="111">FIND("effect:",N31)+7</f>
        <v>9</v>
      </c>
      <c r="P31" s="64">
        <f t="shared" ref="P31:P32" si="112">IFERROR(FIND(",",N31),LEN(N31))</f>
        <v>15</v>
      </c>
      <c r="Q31" s="64">
        <f t="shared" ref="Q31:Q32" si="113">FIND("target:",N31)+7</f>
        <v>49</v>
      </c>
      <c r="R31" s="64">
        <f t="shared" ref="R31:R32" si="114">FIND(",",N31,P31+1)</f>
        <v>25</v>
      </c>
      <c r="S31" s="64" t="str">
        <f>IFERROR(VLOOKUP(MID(N31,Q31,R31-Q31),[5]skilldef!$C:$D,2,FALSE),"-") &amp; " / " &amp; IFERROR(VLOOKUP(MID(N31,O31,P31-O31),[5]skilldef!$A:$B,2,FALSE),"-")</f>
        <v>- / 全体攻撃</v>
      </c>
      <c r="T31" s="48" t="str">
        <f t="shared" ref="T31:T32" si="115">IFERROR(RIGHT(M31,LEN(M31)-FIND("],",M31)-1),"none")</f>
        <v>[effect:hungup, target:unit_all, turn:1, rate:0.5, calc_type:target_one, animation:hungup01]</v>
      </c>
      <c r="U31" s="64">
        <f t="shared" ref="U31:U32" si="116">FIND("effect:",T31)+7</f>
        <v>9</v>
      </c>
      <c r="V31" s="64">
        <f t="shared" ref="V31:V32" si="117">IFERROR(FIND(",",T31),LEN(T31))</f>
        <v>15</v>
      </c>
      <c r="W31" s="64">
        <f t="shared" ref="W31:W32" si="118">FIND("target:",T31)+7</f>
        <v>24</v>
      </c>
      <c r="X31" s="64">
        <f t="shared" ref="X31:X32" si="119">FIND(",",T31,V31+1)</f>
        <v>32</v>
      </c>
      <c r="Y31" s="64" t="str">
        <f>IFERROR(VLOOKUP(MID(T31,W31,X31-W31),[5]skilldef!$C:$D,2,FALSE),"-") &amp; " / " &amp; IFERROR(VLOOKUP(MID(T31,U31,V31-U31),[5]skilldef!$A:$B,2,FALSE),"-")</f>
        <v>味方全体に / ハングアップ</v>
      </c>
      <c r="Z31" s="50"/>
      <c r="AA31" s="52"/>
      <c r="AB31" s="50"/>
    </row>
    <row r="32" spans="1:28" ht="21" customHeight="1" x14ac:dyDescent="0.15">
      <c r="A32" s="113">
        <v>13301981</v>
      </c>
      <c r="B32" s="47" t="s">
        <v>320</v>
      </c>
      <c r="C32" s="50">
        <v>1</v>
      </c>
      <c r="D32" s="50" t="s">
        <v>128</v>
      </c>
      <c r="E32" s="51" t="s">
        <v>292</v>
      </c>
      <c r="F32" s="51" t="s">
        <v>319</v>
      </c>
      <c r="G32" s="64" t="str">
        <f t="shared" si="105"/>
        <v>[effect:enemy_message, val1:1.6, val2:1.8]</v>
      </c>
      <c r="H32" s="64">
        <f t="shared" si="106"/>
        <v>9</v>
      </c>
      <c r="I32" s="64">
        <f t="shared" si="107"/>
        <v>22</v>
      </c>
      <c r="J32" s="64" t="e">
        <f t="shared" si="108"/>
        <v>#VALUE!</v>
      </c>
      <c r="K32" s="64">
        <f t="shared" si="109"/>
        <v>32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110"/>
        <v>[effect:rush, count:15, val:0.18]</v>
      </c>
      <c r="N32" s="48" t="str">
        <f>IFERROR(LEFT(M32,FIND("],",M32)+#REF!),M32)</f>
        <v>[effect:rush, count:15, val:0.18]</v>
      </c>
      <c r="O32" s="64">
        <f t="shared" si="111"/>
        <v>9</v>
      </c>
      <c r="P32" s="64">
        <f t="shared" si="112"/>
        <v>13</v>
      </c>
      <c r="Q32" s="64" t="e">
        <f t="shared" si="113"/>
        <v>#VALUE!</v>
      </c>
      <c r="R32" s="64">
        <f t="shared" si="114"/>
        <v>23</v>
      </c>
      <c r="S32" s="64" t="str">
        <f>IFERROR(VLOOKUP(MID(N32,Q32,R32-Q32),[5]skilldef!$C:$D,2,FALSE),"-") &amp; " / " &amp; IFERROR(VLOOKUP(MID(N32,O32,P32-O32),[5]skilldef!$A:$B,2,FALSE),"-")</f>
        <v>- / 連続攻撃</v>
      </c>
      <c r="T32" s="48" t="str">
        <f t="shared" si="115"/>
        <v>none</v>
      </c>
      <c r="U32" s="64" t="e">
        <f t="shared" si="116"/>
        <v>#VALUE!</v>
      </c>
      <c r="V32" s="64">
        <f t="shared" si="117"/>
        <v>4</v>
      </c>
      <c r="W32" s="64" t="e">
        <f t="shared" si="118"/>
        <v>#VALUE!</v>
      </c>
      <c r="X32" s="64" t="e">
        <f t="shared" si="119"/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113">
        <v>13301982</v>
      </c>
      <c r="B33" s="47" t="s">
        <v>312</v>
      </c>
      <c r="C33" s="50">
        <v>1</v>
      </c>
      <c r="D33" s="50" t="s">
        <v>128</v>
      </c>
      <c r="E33" s="51" t="s">
        <v>298</v>
      </c>
      <c r="F33" s="51" t="s">
        <v>297</v>
      </c>
      <c r="G33" s="64" t="str">
        <f t="shared" ref="G33" si="120">IFERROR(LEFT(B33,FIND("],",B33)),B33)</f>
        <v>[effect:enemy_message, val1:2.2, val2:2.4]</v>
      </c>
      <c r="H33" s="64">
        <f t="shared" ref="H33" si="121">FIND("effect:",G33)+7</f>
        <v>9</v>
      </c>
      <c r="I33" s="64">
        <f t="shared" ref="I33" si="122">IFERROR(FIND(",",G33),LEN(G33))</f>
        <v>22</v>
      </c>
      <c r="J33" s="64" t="e">
        <f t="shared" ref="J33" si="123">FIND("target:",G33)+7</f>
        <v>#VALUE!</v>
      </c>
      <c r="K33" s="64">
        <f t="shared" ref="K33" si="124">FIND(",",G33,I33+1)</f>
        <v>32</v>
      </c>
      <c r="L33" s="64" t="str">
        <f>IFERROR(VLOOKUP(MID(G33,J33,K33-J33),[5]skilldef!$C:$D,2,FALSE),"-") &amp; " / " &amp; IFERROR(VLOOKUP(MID(G33,H33,I33-H33),[5]skilldef!$A:$B,2,FALSE),"-")</f>
        <v>- / -</v>
      </c>
      <c r="M33" s="64" t="str">
        <f t="shared" ref="M33" si="125">IFERROR(RIGHT(B33,LEN(B33)-FIND("],",B33)-1),"none")</f>
        <v>none</v>
      </c>
      <c r="N33" s="48" t="str">
        <f>IFERROR(LEFT(M33,FIND("],",M33)+#REF!),M33)</f>
        <v>none</v>
      </c>
      <c r="O33" s="64" t="e">
        <f t="shared" ref="O33" si="126">FIND("effect:",N33)+7</f>
        <v>#VALUE!</v>
      </c>
      <c r="P33" s="64">
        <f t="shared" ref="P33" si="127">IFERROR(FIND(",",N33),LEN(N33))</f>
        <v>4</v>
      </c>
      <c r="Q33" s="64" t="e">
        <f t="shared" ref="Q33" si="128">FIND("target:",N33)+7</f>
        <v>#VALUE!</v>
      </c>
      <c r="R33" s="64" t="e">
        <f t="shared" ref="R33" si="129">FIND(",",N33,P33+1)</f>
        <v>#VALUE!</v>
      </c>
      <c r="S33" s="64" t="str">
        <f>IFERROR(VLOOKUP(MID(N33,Q33,R33-Q33),[5]skilldef!$C:$D,2,FALSE),"-") &amp; " / " &amp; IFERROR(VLOOKUP(MID(N33,O33,P33-O33),[5]skilldef!$A:$B,2,FALSE),"-")</f>
        <v>- / -</v>
      </c>
      <c r="T33" s="48" t="str">
        <f t="shared" ref="T33" si="130">IFERROR(RIGHT(M33,LEN(M33)-FIND("],",M33)-1),"none")</f>
        <v>none</v>
      </c>
      <c r="U33" s="64" t="e">
        <f t="shared" ref="U33" si="131">FIND("effect:",T33)+7</f>
        <v>#VALUE!</v>
      </c>
      <c r="V33" s="64">
        <f t="shared" ref="V33" si="132">IFERROR(FIND(",",T33),LEN(T33))</f>
        <v>4</v>
      </c>
      <c r="W33" s="64" t="e">
        <f t="shared" ref="W33" si="133">FIND("target:",T33)+7</f>
        <v>#VALUE!</v>
      </c>
      <c r="X33" s="64" t="e">
        <f t="shared" ref="X33" si="134">FIND(",",T33,V33+1)</f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113">
        <v>13301983</v>
      </c>
      <c r="B34" s="47" t="s">
        <v>329</v>
      </c>
      <c r="C34" s="50">
        <v>1</v>
      </c>
      <c r="D34" s="50" t="s">
        <v>128</v>
      </c>
      <c r="E34" s="51" t="s">
        <v>330</v>
      </c>
      <c r="F34" s="51" t="s">
        <v>303</v>
      </c>
      <c r="G34" s="64" t="str">
        <f t="shared" ref="G34" si="135">IFERROR(LEFT(B34,FIND("],",B34)),B34)</f>
        <v>[effect:enemy_message, val1:1.8, val2:1.8]</v>
      </c>
      <c r="H34" s="64">
        <f t="shared" ref="H34" si="136">FIND("effect:",G34)+7</f>
        <v>9</v>
      </c>
      <c r="I34" s="64">
        <f t="shared" ref="I34" si="137">IFERROR(FIND(",",G34),LEN(G34))</f>
        <v>22</v>
      </c>
      <c r="J34" s="64" t="e">
        <f t="shared" ref="J34" si="138">FIND("target:",G34)+7</f>
        <v>#VALUE!</v>
      </c>
      <c r="K34" s="64">
        <f t="shared" ref="K34" si="139">FIND(",",G34,I34+1)</f>
        <v>32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ref="M34" si="140">IFERROR(RIGHT(B34,LEN(B34)-FIND("],",B34)-1),"none")</f>
        <v>[effect:damage_gravity, val:50, animation:fevergauge_down]</v>
      </c>
      <c r="N34" s="48" t="str">
        <f>IFERROR(LEFT(M34,FIND("],",M34)+S45),M34)</f>
        <v>[effect:damage_gravity, val:50, animation:fevergauge_down]</v>
      </c>
      <c r="O34" s="64">
        <f t="shared" ref="O34" si="141">FIND("effect:",N34)+7</f>
        <v>9</v>
      </c>
      <c r="P34" s="64">
        <f t="shared" ref="P34" si="142">IFERROR(FIND(",",N34),LEN(N34))</f>
        <v>23</v>
      </c>
      <c r="Q34" s="64" t="e">
        <f t="shared" ref="Q34" si="143">FIND("target:",N34)+7</f>
        <v>#VALUE!</v>
      </c>
      <c r="R34" s="64">
        <f t="shared" ref="R34" si="144">FIND(",",N34,P34+1)</f>
        <v>31</v>
      </c>
      <c r="S34" s="64" t="str">
        <f>IFERROR(VLOOKUP(MID(N34,Q34,R34-Q34),[5]skilldef!$C:$D,2,FALSE),"-") &amp; " / " &amp; IFERROR(VLOOKUP(MID(N34,O34,P34-O34),[5]skilldef!$A:$B,2,FALSE),"-")</f>
        <v>- / 割合ダメージ</v>
      </c>
      <c r="T34" s="48" t="str">
        <f t="shared" ref="T34" si="145">IFERROR(RIGHT(M34,LEN(M34)-FIND("],",M34)-1),"none")</f>
        <v>none</v>
      </c>
      <c r="U34" s="64" t="e">
        <f t="shared" ref="U34" si="146">FIND("effect:",T34)+7</f>
        <v>#VALUE!</v>
      </c>
      <c r="V34" s="64">
        <f t="shared" ref="V34" si="147">IFERROR(FIND(",",T34),LEN(T34))</f>
        <v>4</v>
      </c>
      <c r="W34" s="64" t="e">
        <f t="shared" ref="W34" si="148">FIND("target:",T34)+7</f>
        <v>#VALUE!</v>
      </c>
      <c r="X34" s="64" t="e">
        <f t="shared" ref="X34" si="149">FIND(",",T34,V34+1)</f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4"/>
  <sheetViews>
    <sheetView showGridLines="0" workbookViewId="0">
      <pane ySplit="1" topLeftCell="A2" activePane="bottomLeft" state="frozenSplit"/>
      <selection pane="bottomLeft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13301951</v>
      </c>
      <c r="B2" s="47">
        <v>1</v>
      </c>
      <c r="C2" s="47" t="s">
        <v>89</v>
      </c>
      <c r="D2" s="47">
        <v>100</v>
      </c>
      <c r="E2" s="47" t="s">
        <v>251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13301952</v>
      </c>
      <c r="B3" s="47">
        <v>0</v>
      </c>
      <c r="C3" s="47">
        <v>2</v>
      </c>
      <c r="D3" s="47">
        <v>100</v>
      </c>
      <c r="E3" s="47" t="s">
        <v>251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:J4" si="1">D3</f>
        <v>100</v>
      </c>
    </row>
    <row r="4" spans="1:11" ht="21" customHeight="1" x14ac:dyDescent="0.15">
      <c r="A4" s="47">
        <v>13301953</v>
      </c>
      <c r="B4" s="47">
        <v>0</v>
      </c>
      <c r="C4" s="47">
        <v>1</v>
      </c>
      <c r="D4" s="47">
        <v>100</v>
      </c>
      <c r="E4" s="47" t="s">
        <v>251</v>
      </c>
      <c r="F4" s="47" t="s">
        <v>90</v>
      </c>
      <c r="G4" s="47">
        <v>1</v>
      </c>
      <c r="H4" s="47" t="s">
        <v>90</v>
      </c>
      <c r="I4" s="47" t="s">
        <v>90</v>
      </c>
      <c r="J4" s="48">
        <f t="shared" si="1"/>
        <v>100</v>
      </c>
    </row>
    <row r="5" spans="1:11" ht="21" customHeight="1" x14ac:dyDescent="0.15">
      <c r="A5" s="109">
        <v>13301954</v>
      </c>
      <c r="B5" s="47">
        <v>1</v>
      </c>
      <c r="C5" s="47" t="s">
        <v>370</v>
      </c>
      <c r="D5" s="47">
        <v>100</v>
      </c>
      <c r="E5" s="47" t="s">
        <v>258</v>
      </c>
      <c r="F5" s="47" t="s">
        <v>258</v>
      </c>
      <c r="G5" s="47">
        <v>1</v>
      </c>
      <c r="H5" s="47" t="s">
        <v>90</v>
      </c>
      <c r="I5" s="47" t="s">
        <v>258</v>
      </c>
      <c r="J5" s="48">
        <f t="shared" ref="J5:J16" si="2">D5</f>
        <v>100</v>
      </c>
    </row>
    <row r="6" spans="1:11" ht="21" customHeight="1" x14ac:dyDescent="0.15">
      <c r="A6" s="109">
        <v>13301955</v>
      </c>
      <c r="B6" s="47">
        <v>0</v>
      </c>
      <c r="C6" s="47">
        <v>50</v>
      </c>
      <c r="D6" s="47">
        <v>100</v>
      </c>
      <c r="E6" s="47" t="s">
        <v>90</v>
      </c>
      <c r="F6" s="47" t="s">
        <v>258</v>
      </c>
      <c r="G6" s="47" t="s">
        <v>90</v>
      </c>
      <c r="H6" s="47">
        <v>1</v>
      </c>
      <c r="I6" s="47" t="s">
        <v>258</v>
      </c>
      <c r="J6" s="48">
        <f t="shared" si="2"/>
        <v>100</v>
      </c>
    </row>
    <row r="7" spans="1:11" ht="21" customHeight="1" x14ac:dyDescent="0.15">
      <c r="A7" s="109">
        <v>13301956</v>
      </c>
      <c r="B7" s="47">
        <v>0</v>
      </c>
      <c r="C7" s="47">
        <v>50</v>
      </c>
      <c r="D7" s="47">
        <v>100</v>
      </c>
      <c r="E7" s="47" t="s">
        <v>90</v>
      </c>
      <c r="F7" s="47" t="s">
        <v>90</v>
      </c>
      <c r="G7" s="47" t="s">
        <v>90</v>
      </c>
      <c r="H7" s="47">
        <v>1</v>
      </c>
      <c r="I7" s="47" t="s">
        <v>90</v>
      </c>
      <c r="J7" s="48">
        <f t="shared" si="2"/>
        <v>100</v>
      </c>
    </row>
    <row r="8" spans="1:11" ht="21" customHeight="1" x14ac:dyDescent="0.15">
      <c r="A8" s="109">
        <v>13301957</v>
      </c>
      <c r="B8" s="47">
        <v>0</v>
      </c>
      <c r="C8" s="47">
        <v>60</v>
      </c>
      <c r="D8" s="47">
        <v>100</v>
      </c>
      <c r="E8" s="47" t="s">
        <v>258</v>
      </c>
      <c r="F8" s="47" t="s">
        <v>258</v>
      </c>
      <c r="G8" s="47" t="s">
        <v>258</v>
      </c>
      <c r="H8" s="47">
        <v>2</v>
      </c>
      <c r="I8" s="47" t="s">
        <v>258</v>
      </c>
      <c r="J8" s="48">
        <f t="shared" si="2"/>
        <v>100</v>
      </c>
    </row>
    <row r="9" spans="1:11" ht="21" customHeight="1" x14ac:dyDescent="0.15">
      <c r="A9" s="109">
        <v>13301958</v>
      </c>
      <c r="B9" s="47">
        <v>0</v>
      </c>
      <c r="C9" s="47">
        <v>70</v>
      </c>
      <c r="D9" s="47">
        <v>100</v>
      </c>
      <c r="E9" s="47">
        <v>75</v>
      </c>
      <c r="F9" s="47" t="s">
        <v>258</v>
      </c>
      <c r="G9" s="47">
        <v>1</v>
      </c>
      <c r="H9" s="47">
        <v>1</v>
      </c>
      <c r="I9" s="47" t="s">
        <v>258</v>
      </c>
      <c r="J9" s="48">
        <f t="shared" si="2"/>
        <v>100</v>
      </c>
    </row>
    <row r="10" spans="1:11" ht="21" customHeight="1" x14ac:dyDescent="0.15">
      <c r="A10" s="109">
        <v>13301959</v>
      </c>
      <c r="B10" s="47">
        <v>0</v>
      </c>
      <c r="C10" s="47">
        <v>69</v>
      </c>
      <c r="D10" s="47">
        <v>100</v>
      </c>
      <c r="E10" s="47">
        <v>40</v>
      </c>
      <c r="F10" s="47" t="s">
        <v>258</v>
      </c>
      <c r="G10" s="47">
        <v>1</v>
      </c>
      <c r="H10" s="47">
        <v>1</v>
      </c>
      <c r="I10" s="47" t="s">
        <v>258</v>
      </c>
      <c r="J10" s="48">
        <f t="shared" si="2"/>
        <v>100</v>
      </c>
    </row>
    <row r="11" spans="1:11" ht="21" customHeight="1" x14ac:dyDescent="0.15">
      <c r="A11" s="109">
        <v>13301960</v>
      </c>
      <c r="B11" s="47">
        <v>0</v>
      </c>
      <c r="C11" s="47">
        <v>68</v>
      </c>
      <c r="D11" s="47">
        <v>100</v>
      </c>
      <c r="E11" s="47">
        <v>40</v>
      </c>
      <c r="F11" s="47" t="s">
        <v>258</v>
      </c>
      <c r="G11" s="47">
        <v>1</v>
      </c>
      <c r="H11" s="47">
        <v>1</v>
      </c>
      <c r="I11" s="47" t="s">
        <v>258</v>
      </c>
      <c r="J11" s="48">
        <f t="shared" si="2"/>
        <v>100</v>
      </c>
    </row>
    <row r="12" spans="1:11" ht="21" customHeight="1" x14ac:dyDescent="0.15">
      <c r="A12" s="110">
        <v>13301961</v>
      </c>
      <c r="B12" s="47">
        <v>1</v>
      </c>
      <c r="C12" s="47" t="s">
        <v>370</v>
      </c>
      <c r="D12" s="47">
        <v>100</v>
      </c>
      <c r="E12" s="47" t="s">
        <v>90</v>
      </c>
      <c r="F12" s="47" t="s">
        <v>90</v>
      </c>
      <c r="G12" s="47">
        <v>1</v>
      </c>
      <c r="H12" s="47" t="s">
        <v>90</v>
      </c>
      <c r="I12" s="47" t="s">
        <v>90</v>
      </c>
      <c r="J12" s="48">
        <f t="shared" si="2"/>
        <v>100</v>
      </c>
    </row>
    <row r="13" spans="1:11" ht="21" customHeight="1" x14ac:dyDescent="0.15">
      <c r="A13" s="110">
        <v>13301962</v>
      </c>
      <c r="B13" s="47">
        <v>0</v>
      </c>
      <c r="C13" s="47">
        <v>50</v>
      </c>
      <c r="D13" s="47">
        <v>100</v>
      </c>
      <c r="E13" s="47" t="s">
        <v>258</v>
      </c>
      <c r="F13" s="47" t="s">
        <v>258</v>
      </c>
      <c r="G13" s="47" t="s">
        <v>90</v>
      </c>
      <c r="H13" s="47">
        <v>1</v>
      </c>
      <c r="I13" s="47" t="s">
        <v>258</v>
      </c>
      <c r="J13" s="48">
        <f t="shared" si="2"/>
        <v>100</v>
      </c>
    </row>
    <row r="14" spans="1:11" ht="21" customHeight="1" x14ac:dyDescent="0.15">
      <c r="A14" s="110">
        <v>13301963</v>
      </c>
      <c r="B14" s="47">
        <v>0</v>
      </c>
      <c r="C14" s="47">
        <v>75</v>
      </c>
      <c r="D14" s="47">
        <v>100</v>
      </c>
      <c r="E14" s="47">
        <v>75</v>
      </c>
      <c r="F14" s="47" t="s">
        <v>90</v>
      </c>
      <c r="G14" s="47">
        <v>1</v>
      </c>
      <c r="H14" s="47">
        <v>1</v>
      </c>
      <c r="I14" s="47" t="s">
        <v>53</v>
      </c>
      <c r="J14" s="48">
        <f t="shared" ref="J14" si="3">D14</f>
        <v>100</v>
      </c>
    </row>
    <row r="15" spans="1:11" ht="21" customHeight="1" x14ac:dyDescent="0.15">
      <c r="A15" s="110">
        <v>13301964</v>
      </c>
      <c r="B15" s="47">
        <v>0</v>
      </c>
      <c r="C15" s="47">
        <v>60</v>
      </c>
      <c r="D15" s="47">
        <v>100</v>
      </c>
      <c r="E15" s="47" t="s">
        <v>53</v>
      </c>
      <c r="F15" s="47" t="s">
        <v>90</v>
      </c>
      <c r="G15" s="47" t="s">
        <v>90</v>
      </c>
      <c r="H15" s="47">
        <v>2</v>
      </c>
      <c r="I15" s="47" t="s">
        <v>258</v>
      </c>
      <c r="J15" s="48">
        <f t="shared" si="2"/>
        <v>100</v>
      </c>
    </row>
    <row r="16" spans="1:11" ht="21" customHeight="1" x14ac:dyDescent="0.15">
      <c r="A16" s="110">
        <v>13301965</v>
      </c>
      <c r="B16" s="47">
        <v>0</v>
      </c>
      <c r="C16" s="47">
        <v>69</v>
      </c>
      <c r="D16" s="47">
        <v>100</v>
      </c>
      <c r="E16" s="47">
        <v>25</v>
      </c>
      <c r="F16" s="47" t="s">
        <v>90</v>
      </c>
      <c r="G16" s="47">
        <v>1</v>
      </c>
      <c r="H16" s="47">
        <v>1</v>
      </c>
      <c r="I16" s="47" t="s">
        <v>258</v>
      </c>
      <c r="J16" s="48">
        <f t="shared" si="2"/>
        <v>100</v>
      </c>
    </row>
    <row r="17" spans="1:10" ht="21" customHeight="1" x14ac:dyDescent="0.15">
      <c r="A17" s="110">
        <v>13301966</v>
      </c>
      <c r="B17" s="47">
        <v>0</v>
      </c>
      <c r="C17" s="47">
        <v>70</v>
      </c>
      <c r="D17" s="47">
        <v>100</v>
      </c>
      <c r="E17" s="47">
        <v>50</v>
      </c>
      <c r="F17" s="47" t="s">
        <v>258</v>
      </c>
      <c r="G17" s="47">
        <v>1</v>
      </c>
      <c r="H17" s="47">
        <v>1</v>
      </c>
      <c r="I17" s="47" t="s">
        <v>258</v>
      </c>
      <c r="J17" s="48">
        <f t="shared" ref="J17" si="4">D17</f>
        <v>100</v>
      </c>
    </row>
    <row r="18" spans="1:10" ht="21" customHeight="1" x14ac:dyDescent="0.15">
      <c r="A18" s="110">
        <v>13301967</v>
      </c>
      <c r="B18" s="47">
        <v>0</v>
      </c>
      <c r="C18" s="47">
        <v>80</v>
      </c>
      <c r="D18" s="47">
        <v>100</v>
      </c>
      <c r="E18" s="47" t="s">
        <v>268</v>
      </c>
      <c r="F18" s="47" t="s">
        <v>258</v>
      </c>
      <c r="G18" s="47">
        <v>1</v>
      </c>
      <c r="H18" s="47">
        <v>1</v>
      </c>
      <c r="I18" s="47" t="s">
        <v>258</v>
      </c>
      <c r="J18" s="48">
        <f t="shared" ref="J18:J19" si="5">D18</f>
        <v>100</v>
      </c>
    </row>
    <row r="19" spans="1:10" ht="21" customHeight="1" x14ac:dyDescent="0.15">
      <c r="A19" s="109">
        <v>13301968</v>
      </c>
      <c r="B19" s="47">
        <v>1</v>
      </c>
      <c r="C19" s="47" t="s">
        <v>370</v>
      </c>
      <c r="D19" s="47">
        <v>100</v>
      </c>
      <c r="E19" s="47" t="s">
        <v>90</v>
      </c>
      <c r="F19" s="47" t="s">
        <v>90</v>
      </c>
      <c r="G19" s="47">
        <v>1</v>
      </c>
      <c r="H19" s="47" t="s">
        <v>90</v>
      </c>
      <c r="I19" s="47" t="s">
        <v>90</v>
      </c>
      <c r="J19" s="48">
        <f t="shared" si="5"/>
        <v>100</v>
      </c>
    </row>
    <row r="20" spans="1:10" ht="21" customHeight="1" x14ac:dyDescent="0.15">
      <c r="A20" s="109">
        <v>13301969</v>
      </c>
      <c r="B20" s="47">
        <v>0</v>
      </c>
      <c r="C20" s="47">
        <v>60</v>
      </c>
      <c r="D20" s="47">
        <v>100</v>
      </c>
      <c r="E20" s="47" t="s">
        <v>258</v>
      </c>
      <c r="F20" s="47" t="s">
        <v>258</v>
      </c>
      <c r="G20" s="47">
        <v>1</v>
      </c>
      <c r="H20" s="47">
        <v>2</v>
      </c>
      <c r="I20" s="47" t="s">
        <v>258</v>
      </c>
      <c r="J20" s="48">
        <f t="shared" ref="J20:J23" si="6">D20</f>
        <v>100</v>
      </c>
    </row>
    <row r="21" spans="1:10" ht="21" customHeight="1" x14ac:dyDescent="0.15">
      <c r="A21" s="109">
        <v>13301970</v>
      </c>
      <c r="B21" s="47">
        <v>0</v>
      </c>
      <c r="C21" s="47">
        <v>55</v>
      </c>
      <c r="D21" s="47">
        <v>100</v>
      </c>
      <c r="E21" s="47" t="s">
        <v>258</v>
      </c>
      <c r="F21" s="47">
        <v>50</v>
      </c>
      <c r="G21" s="47">
        <v>1</v>
      </c>
      <c r="H21" s="47">
        <v>2</v>
      </c>
      <c r="I21" s="47" t="s">
        <v>258</v>
      </c>
      <c r="J21" s="48">
        <f t="shared" si="6"/>
        <v>100</v>
      </c>
    </row>
    <row r="22" spans="1:10" ht="21" customHeight="1" x14ac:dyDescent="0.15">
      <c r="A22" s="109">
        <v>13301971</v>
      </c>
      <c r="B22" s="47">
        <v>0</v>
      </c>
      <c r="C22" s="47">
        <v>55</v>
      </c>
      <c r="D22" s="47">
        <v>100</v>
      </c>
      <c r="E22" s="47" t="s">
        <v>258</v>
      </c>
      <c r="F22" s="47">
        <v>50</v>
      </c>
      <c r="G22" s="47">
        <v>1</v>
      </c>
      <c r="H22" s="47">
        <v>2</v>
      </c>
      <c r="I22" s="47" t="s">
        <v>258</v>
      </c>
      <c r="J22" s="48">
        <f t="shared" si="6"/>
        <v>100</v>
      </c>
    </row>
    <row r="23" spans="1:10" ht="21" customHeight="1" x14ac:dyDescent="0.15">
      <c r="A23" s="109">
        <v>13301972</v>
      </c>
      <c r="B23" s="47">
        <v>0</v>
      </c>
      <c r="C23" s="47">
        <v>55</v>
      </c>
      <c r="D23" s="47">
        <v>100</v>
      </c>
      <c r="E23" s="47" t="s">
        <v>258</v>
      </c>
      <c r="F23" s="47">
        <v>50</v>
      </c>
      <c r="G23" s="47">
        <v>1</v>
      </c>
      <c r="H23" s="47">
        <v>2</v>
      </c>
      <c r="I23" s="47" t="s">
        <v>258</v>
      </c>
      <c r="J23" s="48">
        <f t="shared" si="6"/>
        <v>100</v>
      </c>
    </row>
    <row r="24" spans="1:10" ht="21" customHeight="1" x14ac:dyDescent="0.15">
      <c r="A24" s="109">
        <v>13301973</v>
      </c>
      <c r="B24" s="47">
        <v>0</v>
      </c>
      <c r="C24" s="47">
        <v>70</v>
      </c>
      <c r="D24" s="47">
        <v>100</v>
      </c>
      <c r="E24" s="47" t="s">
        <v>53</v>
      </c>
      <c r="F24" s="47" t="s">
        <v>53</v>
      </c>
      <c r="G24" s="47">
        <v>1</v>
      </c>
      <c r="H24" s="47">
        <v>1</v>
      </c>
      <c r="I24" s="47" t="s">
        <v>53</v>
      </c>
      <c r="J24" s="48">
        <f t="shared" ref="J24" si="7">D24</f>
        <v>100</v>
      </c>
    </row>
    <row r="25" spans="1:10" ht="21" customHeight="1" x14ac:dyDescent="0.15">
      <c r="A25" s="109">
        <v>13301974</v>
      </c>
      <c r="B25" s="47">
        <v>0</v>
      </c>
      <c r="C25" s="47">
        <v>50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ref="J25" si="8">D25</f>
        <v>100</v>
      </c>
    </row>
    <row r="26" spans="1:10" ht="21" customHeight="1" x14ac:dyDescent="0.15">
      <c r="A26" s="109">
        <v>13301975</v>
      </c>
      <c r="B26" s="47">
        <v>0</v>
      </c>
      <c r="C26" s="47">
        <v>49</v>
      </c>
      <c r="D26" s="47">
        <v>100</v>
      </c>
      <c r="E26" s="47" t="s">
        <v>53</v>
      </c>
      <c r="F26" s="47" t="s">
        <v>53</v>
      </c>
      <c r="G26" s="47">
        <v>1</v>
      </c>
      <c r="H26" s="47" t="s">
        <v>53</v>
      </c>
      <c r="I26" s="47" t="s">
        <v>53</v>
      </c>
      <c r="J26" s="48">
        <f t="shared" ref="J26" si="9">D26</f>
        <v>100</v>
      </c>
    </row>
    <row r="27" spans="1:10" ht="21" customHeight="1" x14ac:dyDescent="0.15">
      <c r="A27" s="109">
        <v>13301976</v>
      </c>
      <c r="B27" s="47">
        <v>0</v>
      </c>
      <c r="C27" s="47">
        <v>48</v>
      </c>
      <c r="D27" s="47">
        <v>100</v>
      </c>
      <c r="E27" s="47" t="s">
        <v>53</v>
      </c>
      <c r="F27" s="47" t="s">
        <v>53</v>
      </c>
      <c r="G27" s="47">
        <v>1</v>
      </c>
      <c r="H27" s="47" t="s">
        <v>53</v>
      </c>
      <c r="I27" s="47" t="s">
        <v>53</v>
      </c>
      <c r="J27" s="48">
        <f t="shared" ref="J27" si="10">D27</f>
        <v>100</v>
      </c>
    </row>
    <row r="28" spans="1:10" ht="21" customHeight="1" x14ac:dyDescent="0.15">
      <c r="A28" s="109">
        <v>13301977</v>
      </c>
      <c r="B28" s="47">
        <v>0</v>
      </c>
      <c r="C28" s="47">
        <v>47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53</v>
      </c>
      <c r="I28" s="47" t="s">
        <v>53</v>
      </c>
      <c r="J28" s="48">
        <f t="shared" ref="J28" si="11">D28</f>
        <v>100</v>
      </c>
    </row>
    <row r="29" spans="1:10" ht="21" customHeight="1" x14ac:dyDescent="0.15">
      <c r="A29" s="109">
        <v>13301978</v>
      </c>
      <c r="B29" s="47">
        <v>0</v>
      </c>
      <c r="C29" s="47">
        <v>46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ref="J29:J30" si="12">D29</f>
        <v>100</v>
      </c>
    </row>
    <row r="30" spans="1:10" ht="21" customHeight="1" x14ac:dyDescent="0.15">
      <c r="A30" s="109">
        <v>13301979</v>
      </c>
      <c r="B30" s="47">
        <v>0</v>
      </c>
      <c r="C30" s="47">
        <v>45</v>
      </c>
      <c r="D30" s="47">
        <v>100</v>
      </c>
      <c r="E30" s="47" t="s">
        <v>53</v>
      </c>
      <c r="F30" s="47" t="s">
        <v>53</v>
      </c>
      <c r="G30" s="47">
        <v>1</v>
      </c>
      <c r="H30" s="47" t="s">
        <v>53</v>
      </c>
      <c r="I30" s="47" t="s">
        <v>53</v>
      </c>
      <c r="J30" s="48">
        <f t="shared" si="12"/>
        <v>100</v>
      </c>
    </row>
    <row r="31" spans="1:10" ht="21" customHeight="1" x14ac:dyDescent="0.15">
      <c r="A31" s="109">
        <v>13301980</v>
      </c>
      <c r="B31" s="47">
        <v>0</v>
      </c>
      <c r="C31" s="47">
        <v>40</v>
      </c>
      <c r="D31" s="47">
        <v>100</v>
      </c>
      <c r="E31" s="47" t="s">
        <v>53</v>
      </c>
      <c r="F31" s="47" t="s">
        <v>53</v>
      </c>
      <c r="G31" s="108" t="s">
        <v>277</v>
      </c>
      <c r="H31" s="108" t="s">
        <v>277</v>
      </c>
      <c r="I31" s="47" t="s">
        <v>53</v>
      </c>
      <c r="J31" s="48">
        <f t="shared" ref="J31:J32" si="13">D31</f>
        <v>100</v>
      </c>
    </row>
    <row r="32" spans="1:10" ht="21" customHeight="1" x14ac:dyDescent="0.15">
      <c r="A32" s="109">
        <v>13301981</v>
      </c>
      <c r="B32" s="47">
        <v>0</v>
      </c>
      <c r="C32" s="47">
        <v>56</v>
      </c>
      <c r="D32" s="47">
        <v>100</v>
      </c>
      <c r="E32" s="47">
        <v>50</v>
      </c>
      <c r="F32" s="47" t="s">
        <v>258</v>
      </c>
      <c r="G32" s="108" t="s">
        <v>277</v>
      </c>
      <c r="H32" s="47">
        <v>2</v>
      </c>
      <c r="I32" s="47" t="s">
        <v>258</v>
      </c>
      <c r="J32" s="48">
        <f t="shared" si="13"/>
        <v>100</v>
      </c>
    </row>
    <row r="33" spans="1:10" ht="21" customHeight="1" x14ac:dyDescent="0.15">
      <c r="A33" s="109">
        <v>13301982</v>
      </c>
      <c r="B33" s="47">
        <v>0</v>
      </c>
      <c r="C33" s="47" t="s">
        <v>371</v>
      </c>
      <c r="D33" s="47">
        <v>100</v>
      </c>
      <c r="E33" s="47" t="s">
        <v>258</v>
      </c>
      <c r="F33" s="47" t="s">
        <v>258</v>
      </c>
      <c r="G33" s="108">
        <v>0</v>
      </c>
      <c r="H33" s="108" t="s">
        <v>277</v>
      </c>
      <c r="I33" s="47">
        <v>0</v>
      </c>
      <c r="J33" s="48">
        <f t="shared" ref="J33:J34" si="14">D33</f>
        <v>100</v>
      </c>
    </row>
    <row r="34" spans="1:10" ht="21" customHeight="1" x14ac:dyDescent="0.15">
      <c r="A34" s="109">
        <v>13301983</v>
      </c>
      <c r="B34" s="47">
        <v>0</v>
      </c>
      <c r="C34" s="47">
        <v>54</v>
      </c>
      <c r="D34" s="47">
        <v>100</v>
      </c>
      <c r="E34" s="47" t="s">
        <v>90</v>
      </c>
      <c r="F34" s="47">
        <v>50</v>
      </c>
      <c r="G34" s="108" t="s">
        <v>277</v>
      </c>
      <c r="H34" s="47">
        <v>2</v>
      </c>
      <c r="I34" s="47" t="s">
        <v>53</v>
      </c>
      <c r="J34" s="48">
        <f t="shared" si="14"/>
        <v>100</v>
      </c>
    </row>
  </sheetData>
  <autoFilter ref="A1:G1"/>
  <phoneticPr fontId="5"/>
  <conditionalFormatting sqref="K35:K1048576 K1:K13 K15:K17">
    <cfRule type="duplicateValues" dxfId="13" priority="17"/>
  </conditionalFormatting>
  <conditionalFormatting sqref="K18">
    <cfRule type="duplicateValues" dxfId="12" priority="15"/>
  </conditionalFormatting>
  <conditionalFormatting sqref="K19">
    <cfRule type="duplicateValues" dxfId="11" priority="14"/>
  </conditionalFormatting>
  <conditionalFormatting sqref="K20">
    <cfRule type="duplicateValues" dxfId="10" priority="13"/>
  </conditionalFormatting>
  <conditionalFormatting sqref="K21">
    <cfRule type="duplicateValues" dxfId="9" priority="12"/>
  </conditionalFormatting>
  <conditionalFormatting sqref="K22">
    <cfRule type="duplicateValues" dxfId="8" priority="11"/>
  </conditionalFormatting>
  <conditionalFormatting sqref="K23:K24">
    <cfRule type="duplicateValues" dxfId="7" priority="10"/>
  </conditionalFormatting>
  <conditionalFormatting sqref="K25:K29">
    <cfRule type="duplicateValues" dxfId="6" priority="20"/>
  </conditionalFormatting>
  <conditionalFormatting sqref="K14">
    <cfRule type="duplicateValues" dxfId="5" priority="7"/>
  </conditionalFormatting>
  <conditionalFormatting sqref="K30">
    <cfRule type="duplicateValues" dxfId="4" priority="6"/>
  </conditionalFormatting>
  <conditionalFormatting sqref="K31">
    <cfRule type="duplicateValues" dxfId="3" priority="5"/>
  </conditionalFormatting>
  <conditionalFormatting sqref="K32">
    <cfRule type="duplicateValues" dxfId="2" priority="4"/>
  </conditionalFormatting>
  <conditionalFormatting sqref="K33">
    <cfRule type="duplicateValues" dxfId="1" priority="3"/>
  </conditionalFormatting>
  <conditionalFormatting sqref="K34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v>13302</v>
      </c>
      <c r="B2" s="57">
        <v>15</v>
      </c>
      <c r="C2" s="71" t="str">
        <f t="shared" ref="C2:C9" si="0">A2&amp; "_"&amp;B2</f>
        <v>13302_15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265</v>
      </c>
      <c r="G2" s="57">
        <v>123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</v>
      </c>
      <c r="Q2" s="57" t="s">
        <v>169</v>
      </c>
      <c r="R2" s="57" t="s">
        <v>170</v>
      </c>
    </row>
    <row r="3" spans="1:18" x14ac:dyDescent="0.15">
      <c r="A3" s="57">
        <v>13302</v>
      </c>
      <c r="B3" s="57">
        <v>15</v>
      </c>
      <c r="C3" s="71" t="str">
        <f t="shared" si="0"/>
        <v>13302_15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265</v>
      </c>
      <c r="G3" s="57">
        <v>609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</v>
      </c>
      <c r="Q3" s="57" t="s">
        <v>169</v>
      </c>
      <c r="R3" s="57" t="s">
        <v>170</v>
      </c>
    </row>
    <row r="4" spans="1:18" x14ac:dyDescent="0.15">
      <c r="A4" s="57">
        <v>13302</v>
      </c>
      <c r="B4" s="57">
        <v>15</v>
      </c>
      <c r="C4" s="71" t="str">
        <f t="shared" si="0"/>
        <v>13302_15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265</v>
      </c>
      <c r="G4" s="57">
        <v>613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80</v>
      </c>
      <c r="Q4" s="57" t="s">
        <v>169</v>
      </c>
      <c r="R4" s="57" t="s">
        <v>170</v>
      </c>
    </row>
    <row r="5" spans="1:18" x14ac:dyDescent="0.15">
      <c r="A5" s="57">
        <v>13302</v>
      </c>
      <c r="B5" s="57">
        <v>15</v>
      </c>
      <c r="C5" s="71" t="str">
        <f t="shared" si="0"/>
        <v>13302_15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265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10</v>
      </c>
      <c r="Q5" s="57" t="s">
        <v>169</v>
      </c>
      <c r="R5" s="57" t="s">
        <v>170</v>
      </c>
    </row>
    <row r="6" spans="1:18" x14ac:dyDescent="0.15">
      <c r="A6" s="57">
        <v>13302</v>
      </c>
      <c r="B6" s="57">
        <v>15</v>
      </c>
      <c r="C6" s="71" t="str">
        <f t="shared" si="0"/>
        <v>13302_15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265</v>
      </c>
      <c r="G6" s="57">
        <v>610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40</v>
      </c>
      <c r="Q6" s="57" t="s">
        <v>169</v>
      </c>
      <c r="R6" s="57" t="s">
        <v>170</v>
      </c>
    </row>
    <row r="7" spans="1:18" x14ac:dyDescent="0.15">
      <c r="A7" s="57">
        <v>13302</v>
      </c>
      <c r="B7" s="57">
        <v>15</v>
      </c>
      <c r="C7" s="71" t="str">
        <f t="shared" si="0"/>
        <v>13302_15</v>
      </c>
      <c r="D7" s="18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7">
        <v>6</v>
      </c>
      <c r="F7" s="57" t="s">
        <v>265</v>
      </c>
      <c r="G7" s="57">
        <v>335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120</v>
      </c>
      <c r="Q7" s="57" t="s">
        <v>169</v>
      </c>
      <c r="R7" s="57" t="s">
        <v>170</v>
      </c>
    </row>
    <row r="8" spans="1:18" x14ac:dyDescent="0.15">
      <c r="A8" s="57">
        <v>13302</v>
      </c>
      <c r="B8" s="57">
        <v>15</v>
      </c>
      <c r="C8" s="71" t="str">
        <f t="shared" si="0"/>
        <v>13302_15</v>
      </c>
      <c r="D8" s="18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7">
        <v>7</v>
      </c>
      <c r="F8" s="57" t="s">
        <v>266</v>
      </c>
      <c r="G8" s="57">
        <v>990</v>
      </c>
      <c r="H8" s="57" t="s">
        <v>89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500</v>
      </c>
      <c r="Q8" s="57" t="s">
        <v>169</v>
      </c>
      <c r="R8" s="57" t="s">
        <v>170</v>
      </c>
    </row>
    <row r="9" spans="1:18" x14ac:dyDescent="0.15">
      <c r="A9" s="57">
        <v>13302</v>
      </c>
      <c r="B9" s="57">
        <v>15</v>
      </c>
      <c r="C9" s="71" t="str">
        <f t="shared" si="0"/>
        <v>13302_15</v>
      </c>
      <c r="D9" s="18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7">
        <v>8</v>
      </c>
      <c r="F9" s="57" t="s">
        <v>265</v>
      </c>
      <c r="G9" s="57">
        <v>837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30</v>
      </c>
      <c r="Q9" s="57" t="s">
        <v>169</v>
      </c>
      <c r="R9" s="57" t="s">
        <v>170</v>
      </c>
    </row>
    <row r="10" spans="1:18" x14ac:dyDescent="0.15">
      <c r="A10" s="57">
        <v>13302</v>
      </c>
      <c r="B10" s="57">
        <v>15</v>
      </c>
      <c r="C10" s="71" t="str">
        <f t="shared" ref="C10" si="1">A10&amp; "_"&amp;B10</f>
        <v>13302_15</v>
      </c>
      <c r="D10" s="18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7">
        <v>9</v>
      </c>
      <c r="F10" s="57" t="s">
        <v>265</v>
      </c>
      <c r="G10" s="57">
        <v>1114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200</v>
      </c>
      <c r="Q10" s="57" t="s">
        <v>169</v>
      </c>
      <c r="R10" s="57" t="s">
        <v>170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6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1" t="s">
        <v>194</v>
      </c>
      <c r="J1" s="79" t="s">
        <v>127</v>
      </c>
      <c r="K1" s="78" t="s">
        <v>186</v>
      </c>
      <c r="L1" s="92" t="s">
        <v>185</v>
      </c>
      <c r="M1" s="80" t="s">
        <v>195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4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187</v>
      </c>
      <c r="B1" s="73" t="s">
        <v>151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9" t="s">
        <v>193</v>
      </c>
      <c r="J1" s="91" t="s">
        <v>194</v>
      </c>
      <c r="K1" s="79" t="s">
        <v>127</v>
      </c>
      <c r="L1" s="78" t="s">
        <v>186</v>
      </c>
      <c r="M1" s="92" t="s">
        <v>185</v>
      </c>
      <c r="N1" s="80" t="s">
        <v>195</v>
      </c>
    </row>
    <row r="2" spans="1:15" ht="56" x14ac:dyDescent="0.15">
      <c r="A2" s="81" t="s">
        <v>196</v>
      </c>
      <c r="B2" s="82">
        <v>13302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15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>
        <v>2</v>
      </c>
      <c r="I2" s="90">
        <f t="shared" ref="I2:I14" si="0">ROW()-1</f>
        <v>1</v>
      </c>
      <c r="J2" s="86">
        <v>13302950</v>
      </c>
      <c r="K2" s="84" t="s">
        <v>197</v>
      </c>
      <c r="L2" s="87" t="s">
        <v>198</v>
      </c>
      <c r="M2" s="107" t="s">
        <v>270</v>
      </c>
      <c r="N2" s="57" t="s">
        <v>199</v>
      </c>
      <c r="O2">
        <f>LEN(M2)</f>
        <v>47</v>
      </c>
    </row>
    <row r="3" spans="1:15" ht="70" x14ac:dyDescent="0.15">
      <c r="A3" s="81" t="s">
        <v>196</v>
      </c>
      <c r="B3" s="82">
        <v>13302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15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>
        <v>2</v>
      </c>
      <c r="I3" s="90">
        <f t="shared" si="0"/>
        <v>2</v>
      </c>
      <c r="J3" s="86">
        <v>13302951</v>
      </c>
      <c r="K3" s="84" t="s">
        <v>197</v>
      </c>
      <c r="L3" s="87" t="s">
        <v>198</v>
      </c>
      <c r="M3" s="107" t="s">
        <v>337</v>
      </c>
      <c r="N3" s="57" t="s">
        <v>199</v>
      </c>
      <c r="O3">
        <f t="shared" ref="O3:O7" si="1">LEN(M3)</f>
        <v>58</v>
      </c>
    </row>
    <row r="4" spans="1:15" ht="70" x14ac:dyDescent="0.15">
      <c r="A4" s="81" t="s">
        <v>196</v>
      </c>
      <c r="B4" s="82">
        <v>13302</v>
      </c>
      <c r="C4" s="83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3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4">
        <v>15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5">
        <v>2</v>
      </c>
      <c r="I4" s="90">
        <f t="shared" si="0"/>
        <v>3</v>
      </c>
      <c r="J4" s="86">
        <v>13302952</v>
      </c>
      <c r="K4" s="84" t="s">
        <v>197</v>
      </c>
      <c r="L4" s="87" t="s">
        <v>198</v>
      </c>
      <c r="M4" s="107" t="s">
        <v>340</v>
      </c>
      <c r="N4" s="57" t="s">
        <v>199</v>
      </c>
      <c r="O4">
        <f t="shared" si="1"/>
        <v>63</v>
      </c>
    </row>
    <row r="5" spans="1:15" ht="56" x14ac:dyDescent="0.15">
      <c r="A5" s="81" t="s">
        <v>196</v>
      </c>
      <c r="B5" s="82">
        <v>13302</v>
      </c>
      <c r="C5" s="83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3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4">
        <v>15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5">
        <v>2</v>
      </c>
      <c r="I5" s="90">
        <f t="shared" si="0"/>
        <v>4</v>
      </c>
      <c r="J5" s="86">
        <v>13302953</v>
      </c>
      <c r="K5" s="84" t="s">
        <v>197</v>
      </c>
      <c r="L5" s="87" t="s">
        <v>198</v>
      </c>
      <c r="M5" s="107" t="s">
        <v>339</v>
      </c>
      <c r="N5" s="57" t="s">
        <v>199</v>
      </c>
      <c r="O5">
        <f t="shared" ref="O5" si="2">LEN(M5)</f>
        <v>53</v>
      </c>
    </row>
    <row r="6" spans="1:15" ht="70" x14ac:dyDescent="0.15">
      <c r="A6" s="81" t="s">
        <v>196</v>
      </c>
      <c r="B6" s="82">
        <v>13302</v>
      </c>
      <c r="C6" s="83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3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4">
        <v>15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5">
        <v>2</v>
      </c>
      <c r="I6" s="90">
        <f t="shared" si="0"/>
        <v>5</v>
      </c>
      <c r="J6" s="86">
        <v>13302954</v>
      </c>
      <c r="K6" s="84" t="s">
        <v>197</v>
      </c>
      <c r="L6" s="87" t="s">
        <v>198</v>
      </c>
      <c r="M6" s="107" t="s">
        <v>338</v>
      </c>
      <c r="N6" s="57" t="s">
        <v>199</v>
      </c>
      <c r="O6">
        <f t="shared" si="1"/>
        <v>63</v>
      </c>
    </row>
    <row r="7" spans="1:15" ht="70" x14ac:dyDescent="0.15">
      <c r="A7" s="81" t="s">
        <v>196</v>
      </c>
      <c r="B7" s="82">
        <v>13302</v>
      </c>
      <c r="C7" s="83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3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4">
        <v>15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5">
        <v>2</v>
      </c>
      <c r="I7" s="90">
        <f t="shared" si="0"/>
        <v>6</v>
      </c>
      <c r="J7" s="86">
        <v>13302955</v>
      </c>
      <c r="K7" s="84" t="s">
        <v>197</v>
      </c>
      <c r="L7" s="87" t="s">
        <v>198</v>
      </c>
      <c r="M7" s="107" t="s">
        <v>336</v>
      </c>
      <c r="N7" s="57" t="s">
        <v>199</v>
      </c>
      <c r="O7">
        <f t="shared" si="1"/>
        <v>57</v>
      </c>
    </row>
    <row r="8" spans="1:15" ht="70" x14ac:dyDescent="0.15">
      <c r="A8" s="81" t="s">
        <v>196</v>
      </c>
      <c r="B8" s="82">
        <v>13302</v>
      </c>
      <c r="C8" s="83" t="str">
        <f ca="1">VLOOKUP($B8,OFFSET([2]quests!$A$1,0,0,COUNTA([2]quests!$A:$A),MATCH(C$1,[2]quests!$1:$1,0)-MATCH($B$1,[2]quests!$1:$1,0)+1),MATCH(C$1,[2]quests!$1:$1,0)-MATCH($B$1,[2]quests!$1:$1,0)+1,FALSE)</f>
        <v>タワーオブザクイーン -アヴァルシア-</v>
      </c>
      <c r="D8" s="83" t="str">
        <f ca="1">VLOOKUP($B8,OFFSET([2]quests!$A$1,0,0,COUNTA([2]quests!$A:$A),MATCH(D$1,[2]quests!$1:$1,0)-MATCH($B$1,[2]quests!$1:$1,0)+1),MATCH(D$1,[2]quests!$1:$1,0)-MATCH($B$1,[2]quests!$1:$1,0)+1,FALSE)</f>
        <v>タワーオブザクイーン1本目</v>
      </c>
      <c r="E8" s="84">
        <v>15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タワーオブザクイーン1本目</v>
      </c>
      <c r="H8" s="85">
        <v>2</v>
      </c>
      <c r="I8" s="90">
        <f t="shared" si="0"/>
        <v>7</v>
      </c>
      <c r="J8" s="86">
        <v>13302956</v>
      </c>
      <c r="K8" s="84" t="s">
        <v>197</v>
      </c>
      <c r="L8" s="87" t="s">
        <v>198</v>
      </c>
      <c r="M8" s="107" t="s">
        <v>275</v>
      </c>
      <c r="N8" s="57" t="s">
        <v>199</v>
      </c>
      <c r="O8">
        <f t="shared" ref="O8" si="3">LEN(M8)</f>
        <v>62</v>
      </c>
    </row>
    <row r="9" spans="1:15" ht="70" x14ac:dyDescent="0.15">
      <c r="A9" s="81" t="s">
        <v>196</v>
      </c>
      <c r="B9" s="82">
        <v>13302</v>
      </c>
      <c r="C9" s="83" t="str">
        <f ca="1">VLOOKUP($B9,OFFSET([2]quests!$A$1,0,0,COUNTA([2]quests!$A:$A),MATCH(C$1,[2]quests!$1:$1,0)-MATCH($B$1,[2]quests!$1:$1,0)+1),MATCH(C$1,[2]quests!$1:$1,0)-MATCH($B$1,[2]quests!$1:$1,0)+1,FALSE)</f>
        <v>タワーオブザクイーン -アヴァルシア-</v>
      </c>
      <c r="D9" s="83" t="str">
        <f ca="1">VLOOKUP($B9,OFFSET([2]quests!$A$1,0,0,COUNTA([2]quests!$A:$A),MATCH(D$1,[2]quests!$1:$1,0)-MATCH($B$1,[2]quests!$1:$1,0)+1),MATCH(D$1,[2]quests!$1:$1,0)-MATCH($B$1,[2]quests!$1:$1,0)+1,FALSE)</f>
        <v>タワーオブザクイーン1本目</v>
      </c>
      <c r="E9" s="84">
        <v>15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タワーオブザクイーン1本目</v>
      </c>
      <c r="H9" s="85">
        <v>2</v>
      </c>
      <c r="I9" s="90">
        <f t="shared" si="0"/>
        <v>8</v>
      </c>
      <c r="J9" s="86">
        <v>13302957</v>
      </c>
      <c r="K9" s="84" t="s">
        <v>197</v>
      </c>
      <c r="L9" s="87" t="s">
        <v>198</v>
      </c>
      <c r="M9" s="107" t="s">
        <v>271</v>
      </c>
      <c r="N9" s="57" t="s">
        <v>199</v>
      </c>
      <c r="O9">
        <f t="shared" ref="O9" si="4">LEN(M9)</f>
        <v>62</v>
      </c>
    </row>
    <row r="10" spans="1:15" ht="56" x14ac:dyDescent="0.15">
      <c r="A10" s="81" t="s">
        <v>196</v>
      </c>
      <c r="B10" s="82">
        <v>13302</v>
      </c>
      <c r="C10" s="83" t="str">
        <f ca="1">VLOOKUP($B10,OFFSET([2]quests!$A$1,0,0,COUNTA([2]quests!$A:$A),MATCH(C$1,[2]quests!$1:$1,0)-MATCH($B$1,[2]quests!$1:$1,0)+1),MATCH(C$1,[2]quests!$1:$1,0)-MATCH($B$1,[2]quests!$1:$1,0)+1,FALSE)</f>
        <v>タワーオブザクイーン -アヴァルシア-</v>
      </c>
      <c r="D10" s="83" t="str">
        <f ca="1">VLOOKUP($B10,OFFSET([2]quests!$A$1,0,0,COUNTA([2]quests!$A:$A),MATCH(D$1,[2]quests!$1:$1,0)-MATCH($B$1,[2]quests!$1:$1,0)+1),MATCH(D$1,[2]quests!$1:$1,0)-MATCH($B$1,[2]quests!$1:$1,0)+1,FALSE)</f>
        <v>タワーオブザクイーン1本目</v>
      </c>
      <c r="E10" s="84">
        <v>15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タワーオブザクイーン1本目</v>
      </c>
      <c r="H10" s="85">
        <v>2</v>
      </c>
      <c r="I10" s="90">
        <f t="shared" si="0"/>
        <v>9</v>
      </c>
      <c r="J10" s="86">
        <v>13302958</v>
      </c>
      <c r="K10" s="84" t="s">
        <v>197</v>
      </c>
      <c r="L10" s="87" t="s">
        <v>198</v>
      </c>
      <c r="M10" s="107" t="s">
        <v>272</v>
      </c>
      <c r="N10" s="57" t="s">
        <v>199</v>
      </c>
      <c r="O10">
        <f t="shared" ref="O10" si="5">LEN(M10)</f>
        <v>58</v>
      </c>
    </row>
    <row r="11" spans="1:15" ht="70" x14ac:dyDescent="0.15">
      <c r="A11" s="81" t="s">
        <v>196</v>
      </c>
      <c r="B11" s="82">
        <v>13302</v>
      </c>
      <c r="C11" s="83" t="str">
        <f ca="1">VLOOKUP($B11,OFFSET([2]quests!$A$1,0,0,COUNTA([2]quests!$A:$A),MATCH(C$1,[2]quests!$1:$1,0)-MATCH($B$1,[2]quests!$1:$1,0)+1),MATCH(C$1,[2]quests!$1:$1,0)-MATCH($B$1,[2]quests!$1:$1,0)+1,FALSE)</f>
        <v>タワーオブザクイーン -アヴァルシア-</v>
      </c>
      <c r="D11" s="83" t="str">
        <f ca="1">VLOOKUP($B11,OFFSET([2]quests!$A$1,0,0,COUNTA([2]quests!$A:$A),MATCH(D$1,[2]quests!$1:$1,0)-MATCH($B$1,[2]quests!$1:$1,0)+1),MATCH(D$1,[2]quests!$1:$1,0)-MATCH($B$1,[2]quests!$1:$1,0)+1,FALSE)</f>
        <v>タワーオブザクイーン1本目</v>
      </c>
      <c r="E11" s="84">
        <v>15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タワーオブザクイーン1本目</v>
      </c>
      <c r="H11" s="85">
        <v>2</v>
      </c>
      <c r="I11" s="90">
        <f t="shared" si="0"/>
        <v>10</v>
      </c>
      <c r="J11" s="86">
        <v>13302959</v>
      </c>
      <c r="K11" s="84" t="s">
        <v>197</v>
      </c>
      <c r="L11" s="87" t="s">
        <v>198</v>
      </c>
      <c r="M11" s="107" t="s">
        <v>273</v>
      </c>
      <c r="N11" s="57" t="s">
        <v>199</v>
      </c>
      <c r="O11">
        <f t="shared" ref="O11" si="6">LEN(M11)</f>
        <v>59</v>
      </c>
    </row>
    <row r="12" spans="1:15" ht="70" x14ac:dyDescent="0.15">
      <c r="A12" s="81" t="s">
        <v>196</v>
      </c>
      <c r="B12" s="82">
        <v>13302</v>
      </c>
      <c r="C12" s="83" t="str">
        <f ca="1">VLOOKUP($B12,OFFSET([2]quests!$A$1,0,0,COUNTA([2]quests!$A:$A),MATCH(C$1,[2]quests!$1:$1,0)-MATCH($B$1,[2]quests!$1:$1,0)+1),MATCH(C$1,[2]quests!$1:$1,0)-MATCH($B$1,[2]quests!$1:$1,0)+1,FALSE)</f>
        <v>タワーオブザクイーン -アヴァルシア-</v>
      </c>
      <c r="D12" s="83" t="str">
        <f ca="1">VLOOKUP($B12,OFFSET([2]quests!$A$1,0,0,COUNTA([2]quests!$A:$A),MATCH(D$1,[2]quests!$1:$1,0)-MATCH($B$1,[2]quests!$1:$1,0)+1),MATCH(D$1,[2]quests!$1:$1,0)-MATCH($B$1,[2]quests!$1:$1,0)+1,FALSE)</f>
        <v>タワーオブザクイーン1本目</v>
      </c>
      <c r="E12" s="84">
        <v>15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タワーオブザクイーン1本目</v>
      </c>
      <c r="H12" s="85">
        <v>2</v>
      </c>
      <c r="I12" s="90">
        <f t="shared" si="0"/>
        <v>11</v>
      </c>
      <c r="J12" s="86">
        <v>13302960</v>
      </c>
      <c r="K12" s="84" t="s">
        <v>197</v>
      </c>
      <c r="L12" s="87" t="s">
        <v>198</v>
      </c>
      <c r="M12" s="107" t="s">
        <v>274</v>
      </c>
      <c r="N12" s="57" t="s">
        <v>199</v>
      </c>
      <c r="O12">
        <f t="shared" ref="O12" si="7">LEN(M12)</f>
        <v>60</v>
      </c>
    </row>
    <row r="13" spans="1:15" ht="56" x14ac:dyDescent="0.15">
      <c r="A13" s="81" t="s">
        <v>276</v>
      </c>
      <c r="B13" s="82">
        <v>13302</v>
      </c>
      <c r="C13" s="83" t="str">
        <f ca="1">VLOOKUP($B13,OFFSET([2]quests!$A$1,0,0,COUNTA([2]quests!$A:$A),MATCH(C$1,[2]quests!$1:$1,0)-MATCH($B$1,[2]quests!$1:$1,0)+1),MATCH(C$1,[2]quests!$1:$1,0)-MATCH($B$1,[2]quests!$1:$1,0)+1,FALSE)</f>
        <v>タワーオブザクイーン -アヴァルシア-</v>
      </c>
      <c r="D13" s="83" t="str">
        <f ca="1">VLOOKUP($B13,OFFSET([2]quests!$A$1,0,0,COUNTA([2]quests!$A:$A),MATCH(D$1,[2]quests!$1:$1,0)-MATCH($B$1,[2]quests!$1:$1,0)+1),MATCH(D$1,[2]quests!$1:$1,0)-MATCH($B$1,[2]quests!$1:$1,0)+1,FALSE)</f>
        <v>タワーオブザクイーン1本目</v>
      </c>
      <c r="E13" s="84">
        <v>15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タワーオブザクイーン1本目</v>
      </c>
      <c r="H13" s="85">
        <v>0</v>
      </c>
      <c r="I13" s="90">
        <f t="shared" si="0"/>
        <v>12</v>
      </c>
      <c r="J13" s="86">
        <v>13302961</v>
      </c>
      <c r="K13" s="84" t="s">
        <v>197</v>
      </c>
      <c r="L13" s="87" t="s">
        <v>343</v>
      </c>
      <c r="M13" s="107" t="s">
        <v>342</v>
      </c>
      <c r="N13" s="57" t="s">
        <v>199</v>
      </c>
      <c r="O13">
        <f t="shared" ref="O13" si="8">LEN(M13)</f>
        <v>55</v>
      </c>
    </row>
    <row r="14" spans="1:15" ht="56" x14ac:dyDescent="0.15">
      <c r="A14" s="81" t="s">
        <v>276</v>
      </c>
      <c r="B14" s="82">
        <v>13302</v>
      </c>
      <c r="C14" s="83" t="str">
        <f ca="1">VLOOKUP($B14,OFFSET([2]quests!$A$1,0,0,COUNTA([2]quests!$A:$A),MATCH(C$1,[2]quests!$1:$1,0)-MATCH($B$1,[2]quests!$1:$1,0)+1),MATCH(C$1,[2]quests!$1:$1,0)-MATCH($B$1,[2]quests!$1:$1,0)+1,FALSE)</f>
        <v>タワーオブザクイーン -アヴァルシア-</v>
      </c>
      <c r="D14" s="83" t="str">
        <f ca="1">VLOOKUP($B14,OFFSET([2]quests!$A$1,0,0,COUNTA([2]quests!$A:$A),MATCH(D$1,[2]quests!$1:$1,0)-MATCH($B$1,[2]quests!$1:$1,0)+1),MATCH(D$1,[2]quests!$1:$1,0)-MATCH($B$1,[2]quests!$1:$1,0)+1,FALSE)</f>
        <v>タワーオブザクイーン1本目</v>
      </c>
      <c r="E14" s="84">
        <v>15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タワーオブザクイーン1本目</v>
      </c>
      <c r="H14" s="85">
        <v>0</v>
      </c>
      <c r="I14" s="90">
        <f t="shared" si="0"/>
        <v>13</v>
      </c>
      <c r="J14" s="86">
        <v>13302962</v>
      </c>
      <c r="K14" s="84" t="s">
        <v>197</v>
      </c>
      <c r="L14" s="87" t="s">
        <v>343</v>
      </c>
      <c r="M14" s="107" t="s">
        <v>341</v>
      </c>
      <c r="N14" s="57" t="s">
        <v>199</v>
      </c>
      <c r="O14">
        <f t="shared" ref="O14" si="9">LEN(M14)</f>
        <v>55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211</v>
      </c>
      <c r="B1" s="95" t="s">
        <v>212</v>
      </c>
      <c r="C1" s="77" t="s">
        <v>213</v>
      </c>
      <c r="D1" s="77" t="s">
        <v>33</v>
      </c>
      <c r="E1" s="95" t="s">
        <v>214</v>
      </c>
      <c r="F1" s="77" t="s">
        <v>215</v>
      </c>
      <c r="G1" s="77" t="s">
        <v>33</v>
      </c>
      <c r="H1" s="95" t="s">
        <v>216</v>
      </c>
      <c r="I1" s="95" t="s">
        <v>217</v>
      </c>
      <c r="J1" s="95" t="s">
        <v>218</v>
      </c>
      <c r="K1" s="73" t="s">
        <v>219</v>
      </c>
      <c r="L1" s="73" t="s">
        <v>220</v>
      </c>
      <c r="M1" s="73" t="s">
        <v>157</v>
      </c>
      <c r="N1" s="77" t="s">
        <v>16</v>
      </c>
      <c r="O1" s="73" t="s">
        <v>221</v>
      </c>
      <c r="P1" s="73" t="s">
        <v>57</v>
      </c>
      <c r="Q1" s="73" t="s">
        <v>222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223</v>
      </c>
      <c r="X1" s="73" t="s">
        <v>224</v>
      </c>
    </row>
    <row r="2" spans="1:24" x14ac:dyDescent="0.15">
      <c r="A2" s="96" t="str">
        <f>B2&amp;"_"&amp;E2&amp;"_"&amp;H2&amp;"_"&amp;I2&amp;"_"&amp;J2</f>
        <v>13302_15_singleonly_clear_1</v>
      </c>
      <c r="B2" s="82">
        <v>13302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15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 t="s">
        <v>260</v>
      </c>
      <c r="I2" s="84" t="s">
        <v>225</v>
      </c>
      <c r="J2" s="84">
        <v>1</v>
      </c>
      <c r="K2" s="84">
        <v>350</v>
      </c>
      <c r="L2" s="84" t="s">
        <v>263</v>
      </c>
      <c r="M2" s="84">
        <v>28000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4" t="s">
        <v>261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226</v>
      </c>
      <c r="X2" s="99" t="s">
        <v>227</v>
      </c>
    </row>
    <row r="3" spans="1:24" x14ac:dyDescent="0.15">
      <c r="A3" s="96" t="str">
        <f>B3&amp;"_"&amp;E3&amp;"_"&amp;H3&amp;"_"&amp;I3&amp;"_"&amp;J3</f>
        <v>13302_15_singleonly_clear_2</v>
      </c>
      <c r="B3" s="82">
        <v>13302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15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 t="s">
        <v>260</v>
      </c>
      <c r="I3" s="84" t="s">
        <v>225</v>
      </c>
      <c r="J3" s="84">
        <v>2</v>
      </c>
      <c r="K3" s="84">
        <v>650</v>
      </c>
      <c r="L3" s="84" t="s">
        <v>264</v>
      </c>
      <c r="M3" s="84">
        <v>65000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4" t="s">
        <v>262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226</v>
      </c>
      <c r="X3" s="99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2016-12-07T08:00:20Z</dcterms:modified>
</cp:coreProperties>
</file>