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0880" yWindow="4060" windowWidth="24480" windowHeight="14880" tabRatio="500" activeTab="1"/>
  </bookViews>
  <sheets>
    <sheet name="output" sheetId="1" r:id="rId1"/>
    <sheet name="bugbonuses" sheetId="2" r:id="rId2"/>
  </sheets>
  <externalReferences>
    <externalReference r:id="rId3"/>
  </externalReferenc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82" i="2" l="1"/>
  <c r="D182" i="2"/>
  <c r="C183" i="2"/>
  <c r="D183" i="2"/>
  <c r="C184" i="2"/>
  <c r="D184" i="2"/>
  <c r="C185" i="2"/>
  <c r="D185" i="2"/>
  <c r="C140" i="2"/>
  <c r="D140" i="2"/>
  <c r="C139" i="2"/>
  <c r="D139" i="2"/>
  <c r="C138" i="2"/>
  <c r="D138" i="2"/>
  <c r="C137" i="2"/>
  <c r="D137" i="2"/>
  <c r="C97" i="2"/>
  <c r="D97" i="2"/>
  <c r="C98" i="2"/>
  <c r="D98" i="2"/>
  <c r="C99" i="2"/>
  <c r="D99" i="2"/>
  <c r="C100" i="2"/>
  <c r="D100" i="2"/>
  <c r="C187" i="2"/>
  <c r="D187" i="2"/>
  <c r="C186" i="2"/>
  <c r="D186" i="2"/>
  <c r="C181" i="2"/>
  <c r="D181" i="2"/>
  <c r="C180" i="2"/>
  <c r="D180" i="2"/>
  <c r="C179" i="2"/>
  <c r="D179" i="2"/>
  <c r="C178" i="2"/>
  <c r="D178" i="2"/>
  <c r="C177" i="2"/>
  <c r="D177" i="2"/>
  <c r="C176" i="2"/>
  <c r="D176" i="2"/>
  <c r="C175" i="2"/>
  <c r="D175" i="2"/>
  <c r="C174" i="2"/>
  <c r="D174" i="2"/>
  <c r="C173" i="2"/>
  <c r="D173" i="2"/>
  <c r="C172" i="2"/>
  <c r="D172" i="2"/>
  <c r="C171" i="2"/>
  <c r="D171" i="2"/>
  <c r="C170" i="2"/>
  <c r="D170" i="2"/>
  <c r="C169" i="2"/>
  <c r="D169" i="2"/>
  <c r="C168" i="2"/>
  <c r="D168" i="2"/>
  <c r="C167" i="2"/>
  <c r="D167" i="2"/>
  <c r="C166" i="2"/>
  <c r="D166" i="2"/>
  <c r="C165" i="2"/>
  <c r="D165" i="2"/>
  <c r="C164" i="2"/>
  <c r="D164" i="2"/>
  <c r="C163" i="2"/>
  <c r="D163" i="2"/>
  <c r="C162" i="2"/>
  <c r="D162" i="2"/>
  <c r="C161" i="2"/>
  <c r="D161" i="2"/>
  <c r="C160" i="2"/>
  <c r="D160" i="2"/>
  <c r="C159" i="2"/>
  <c r="D159" i="2"/>
  <c r="C158" i="2"/>
  <c r="D158" i="2"/>
  <c r="C157" i="2"/>
  <c r="D157" i="2"/>
  <c r="C156" i="2"/>
  <c r="D156" i="2"/>
  <c r="C155" i="2"/>
  <c r="D155" i="2"/>
  <c r="C154" i="2"/>
  <c r="D154" i="2"/>
  <c r="C153" i="2"/>
  <c r="D153" i="2"/>
  <c r="C152" i="2"/>
  <c r="D152" i="2"/>
  <c r="C151" i="2"/>
  <c r="D151" i="2"/>
  <c r="C150" i="2"/>
  <c r="D150" i="2"/>
  <c r="C149" i="2"/>
  <c r="D149" i="2"/>
  <c r="C148" i="2"/>
  <c r="D148" i="2"/>
  <c r="C147" i="2"/>
  <c r="D147" i="2"/>
  <c r="C146" i="2"/>
  <c r="D146" i="2"/>
  <c r="C145" i="2"/>
  <c r="D145" i="2"/>
  <c r="C144" i="2"/>
  <c r="D144" i="2"/>
  <c r="C143" i="2"/>
  <c r="D143" i="2"/>
  <c r="C142" i="2"/>
  <c r="D142" i="2"/>
  <c r="C141" i="2"/>
  <c r="D141" i="2"/>
  <c r="C136" i="2"/>
  <c r="D136" i="2"/>
  <c r="C135" i="2"/>
  <c r="D135" i="2"/>
  <c r="C134" i="2"/>
  <c r="D134" i="2"/>
  <c r="C133" i="2"/>
  <c r="D133" i="2"/>
  <c r="C132" i="2"/>
  <c r="D132" i="2"/>
  <c r="C131" i="2"/>
  <c r="D131" i="2"/>
  <c r="C130" i="2"/>
  <c r="D130" i="2"/>
  <c r="C129" i="2"/>
  <c r="D129" i="2"/>
  <c r="C128" i="2"/>
  <c r="D128" i="2"/>
  <c r="C127" i="2"/>
  <c r="D127" i="2"/>
  <c r="C125" i="2"/>
  <c r="D125" i="2"/>
  <c r="C126" i="2"/>
  <c r="D126" i="2"/>
  <c r="C124" i="2"/>
  <c r="D124" i="2"/>
  <c r="C123" i="2"/>
  <c r="D123" i="2"/>
  <c r="C122" i="2"/>
  <c r="D122" i="2"/>
  <c r="C121" i="2"/>
  <c r="D121" i="2"/>
  <c r="C120" i="2"/>
  <c r="D120" i="2"/>
  <c r="C119" i="2"/>
  <c r="D119" i="2"/>
  <c r="C118" i="2"/>
  <c r="D118" i="2"/>
  <c r="C117" i="2"/>
  <c r="D117" i="2"/>
  <c r="C116" i="2"/>
  <c r="D116" i="2"/>
  <c r="C115" i="2"/>
  <c r="D115" i="2"/>
  <c r="C114" i="2"/>
  <c r="D114" i="2"/>
  <c r="C113" i="2"/>
  <c r="D113" i="2"/>
  <c r="C112" i="2"/>
  <c r="D112" i="2"/>
  <c r="C111" i="2"/>
  <c r="D111" i="2"/>
  <c r="C110" i="2"/>
  <c r="D110" i="2"/>
  <c r="C109" i="2"/>
  <c r="D109" i="2"/>
  <c r="C108" i="2"/>
  <c r="D108" i="2"/>
  <c r="C107" i="2"/>
  <c r="D107" i="2"/>
  <c r="C106" i="2"/>
  <c r="D106" i="2"/>
  <c r="C105" i="2"/>
  <c r="D105" i="2"/>
  <c r="C104" i="2"/>
  <c r="D104" i="2"/>
  <c r="C103" i="2"/>
  <c r="D103" i="2"/>
  <c r="C102" i="2"/>
  <c r="D102" i="2"/>
  <c r="C101" i="2"/>
  <c r="D101" i="2"/>
  <c r="C96" i="2"/>
  <c r="D96" i="2"/>
  <c r="C95" i="2"/>
  <c r="D95" i="2"/>
  <c r="C94" i="2"/>
  <c r="D94" i="2"/>
  <c r="C87" i="2"/>
  <c r="C88" i="2"/>
  <c r="C89" i="2"/>
  <c r="C90" i="2"/>
  <c r="C91" i="2"/>
  <c r="C92" i="2"/>
  <c r="C93" i="2"/>
  <c r="D87" i="2"/>
  <c r="D88" i="2"/>
  <c r="D89" i="2"/>
  <c r="D90" i="2"/>
  <c r="D91" i="2"/>
  <c r="D92" i="2"/>
  <c r="D93" i="2"/>
  <c r="C86" i="2"/>
  <c r="D86" i="2"/>
  <c r="C85" i="2"/>
  <c r="D85" i="2"/>
  <c r="C84" i="2"/>
  <c r="D84" i="2"/>
  <c r="C83" i="2"/>
  <c r="D83" i="2"/>
  <c r="C82" i="2"/>
  <c r="D82" i="2"/>
  <c r="C81" i="2"/>
  <c r="D81" i="2"/>
  <c r="C80" i="2"/>
  <c r="D80" i="2"/>
  <c r="C79" i="2"/>
  <c r="D79" i="2"/>
  <c r="C78" i="2"/>
  <c r="D78" i="2"/>
  <c r="C77" i="2"/>
  <c r="D77" i="2"/>
  <c r="C76" i="2"/>
  <c r="D76" i="2"/>
  <c r="C75" i="2"/>
  <c r="D75" i="2"/>
  <c r="C74" i="2"/>
  <c r="D74" i="2"/>
  <c r="C73" i="2"/>
  <c r="D73" i="2"/>
  <c r="C72" i="2"/>
  <c r="D72" i="2"/>
  <c r="C71" i="2"/>
  <c r="D71" i="2"/>
  <c r="C70" i="2"/>
  <c r="D70" i="2"/>
  <c r="C68" i="2"/>
  <c r="D68" i="2"/>
  <c r="C69" i="2"/>
  <c r="D69" i="2"/>
  <c r="C67" i="2"/>
  <c r="D67" i="2"/>
  <c r="C66" i="2"/>
  <c r="D66" i="2"/>
  <c r="C65" i="2"/>
  <c r="D65" i="2"/>
  <c r="C64" i="2"/>
  <c r="D64" i="2"/>
  <c r="C63" i="2"/>
  <c r="D63" i="2"/>
  <c r="C62" i="2"/>
  <c r="D62" i="2"/>
  <c r="C61" i="2"/>
  <c r="D61" i="2"/>
  <c r="C60" i="2"/>
  <c r="D60" i="2"/>
  <c r="C59" i="2"/>
  <c r="D5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48" i="2"/>
  <c r="D48" i="2"/>
  <c r="C49" i="2"/>
  <c r="D49" i="2"/>
  <c r="C50" i="2"/>
  <c r="D50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C25" i="2"/>
  <c r="D25" i="2"/>
  <c r="C24" i="2"/>
  <c r="D24" i="2"/>
  <c r="C23" i="2"/>
  <c r="D23" i="2"/>
  <c r="C22" i="2"/>
  <c r="D22" i="2"/>
  <c r="C21" i="2"/>
  <c r="D21" i="2"/>
  <c r="C20" i="2"/>
  <c r="D20" i="2"/>
  <c r="C19" i="2"/>
  <c r="D19" i="2"/>
  <c r="C18" i="2"/>
  <c r="D18" i="2"/>
  <c r="C17" i="2"/>
  <c r="D17" i="2"/>
  <c r="C16" i="2"/>
  <c r="D16" i="2"/>
  <c r="C15" i="2"/>
  <c r="D15" i="2"/>
  <c r="C14" i="2"/>
  <c r="D14" i="2"/>
  <c r="C13" i="2"/>
  <c r="D13" i="2"/>
  <c r="C12" i="2"/>
  <c r="D12" i="2"/>
  <c r="C11" i="2"/>
  <c r="D11" i="2"/>
  <c r="C10" i="2"/>
  <c r="D10" i="2"/>
  <c r="C9" i="2"/>
  <c r="D9" i="2"/>
  <c r="C8" i="2"/>
  <c r="D8" i="2"/>
  <c r="C7" i="2"/>
  <c r="D7" i="2"/>
  <c r="C6" i="2"/>
  <c r="D6" i="2"/>
  <c r="C3" i="2"/>
  <c r="D3" i="2"/>
  <c r="C4" i="2"/>
  <c r="D4" i="2"/>
  <c r="C5" i="2"/>
  <c r="D5" i="2"/>
  <c r="C2" i="2"/>
  <c r="D2" i="2"/>
  <c r="E2" i="1"/>
</calcChain>
</file>

<file path=xl/comments1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<sst xmlns="http://schemas.openxmlformats.org/spreadsheetml/2006/main" count="655" uniqueCount="38">
  <si>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</si>
  <si>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</si>
  <si>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</si>
  <si>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</si>
  <si>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</si>
  <si>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</si>
  <si>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</si>
  <si>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quest_id</t>
    <phoneticPr fontId="3"/>
  </si>
  <si>
    <t>bugbonuses</t>
    <phoneticPr fontId="3"/>
  </si>
  <si>
    <t>stage_id</t>
    <phoneticPr fontId="3"/>
  </si>
  <si>
    <t>stage_target</t>
    <phoneticPr fontId="3"/>
  </si>
  <si>
    <t>bonus_id</t>
    <phoneticPr fontId="3"/>
  </si>
  <si>
    <t>bonus_type</t>
    <phoneticPr fontId="3"/>
  </si>
  <si>
    <t>bonus_value</t>
    <phoneticPr fontId="3"/>
  </si>
  <si>
    <t>bonus_count</t>
    <phoneticPr fontId="3"/>
  </si>
  <si>
    <t>level</t>
    <phoneticPr fontId="3"/>
  </si>
  <si>
    <t>skill_level</t>
    <phoneticPr fontId="3"/>
  </si>
  <si>
    <t>hp_plus</t>
    <phoneticPr fontId="3"/>
  </si>
  <si>
    <t>attack_plus</t>
    <phoneticPr fontId="3"/>
  </si>
  <si>
    <t>defense_plus</t>
    <phoneticPr fontId="3"/>
  </si>
  <si>
    <t>heal_plus</t>
    <phoneticPr fontId="3"/>
  </si>
  <si>
    <t>bug</t>
    <phoneticPr fontId="3"/>
  </si>
  <si>
    <t>weight</t>
    <phoneticPr fontId="3"/>
  </si>
  <si>
    <t>definite_start_date</t>
    <phoneticPr fontId="3"/>
  </si>
  <si>
    <t>definite_end_date</t>
    <phoneticPr fontId="3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</si>
  <si>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3"/>
  </si>
  <si>
    <t>temp_stage</t>
    <phoneticPr fontId="4"/>
  </si>
  <si>
    <t>2015-03-27 00:00:00</t>
  </si>
  <si>
    <t>2970-01-01 09:00:00</t>
  </si>
  <si>
    <t>stage_bug_bonuses_</t>
    <phoneticPr fontId="3"/>
  </si>
  <si>
    <t>stage_target</t>
    <phoneticPr fontId="3"/>
  </si>
  <si>
    <t>old</t>
    <phoneticPr fontId="4"/>
  </si>
  <si>
    <t>unit</t>
  </si>
  <si>
    <t>bit</t>
  </si>
  <si>
    <t>link</t>
  </si>
  <si>
    <t>null</t>
    <phoneticPr fontId="3"/>
  </si>
  <si>
    <t>challenge</t>
    <phoneticPr fontId="3"/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</si>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</sst>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color indexed="81"/>
      <name val="ＭＳ Ｐゴシック"/>
      <family val="2"/>
      <charset val="128"/>
    </font>
    <font>
      <b/>
      <sz val="10"/>
      <color indexed="81"/>
      <name val="ＭＳ Ｐゴシック"/>
      <family val="2"/>
      <charset val="128"/>
    </font>
    <font>
      <sz val="12"/>
      <name val="ＭＳ Ｐゴシック"/>
      <charset val="128"/>
      <scheme val="minor"/>
    </font>
    <font>
      <sz val="12"/>
      <color rgb="FF000000"/>
      <name val="ＭＳ Ｐ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DA969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3" tint="0.59999389629810485"/>
        <bgColor rgb="FF000000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57">
    <xf numFmtId="0" fontId="0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2" borderId="1" xfId="0" applyFont="1" applyFill="1" applyBorder="1"/>
    <xf numFmtId="0" fontId="2" fillId="2" borderId="1" xfId="1" applyFont="1" applyFill="1" applyBorder="1"/>
    <xf numFmtId="0" fontId="1" fillId="2" borderId="1" xfId="1" applyFill="1" applyBorder="1"/>
    <xf numFmtId="0" fontId="5" fillId="3" borderId="1" xfId="2" applyFont="1" applyFill="1" applyBorder="1" applyAlignment="1">
      <alignment horizontal="left"/>
    </xf>
    <xf numFmtId="0" fontId="0" fillId="0" borderId="1" xfId="1" applyFont="1" applyBorder="1"/>
    <xf numFmtId="0" fontId="0" fillId="3" borderId="1" xfId="1" applyFont="1" applyFill="1" applyBorder="1"/>
    <xf numFmtId="0" fontId="8" fillId="4" borderId="0" xfId="2" applyFont="1" applyFill="1" applyAlignment="1">
      <alignment horizontal="center" vertical="center"/>
    </xf>
    <xf numFmtId="0" fontId="5" fillId="5" borderId="1" xfId="2" applyFont="1" applyFill="1" applyBorder="1" applyAlignment="1">
      <alignment horizontal="left"/>
    </xf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11" fillId="0" borderId="1" xfId="0" applyFont="1" applyFill="1" applyBorder="1"/>
    <xf numFmtId="0" fontId="12" fillId="11" borderId="1" xfId="0" applyFont="1" applyFill="1" applyBorder="1"/>
    <xf numFmtId="0" fontId="12" fillId="11" borderId="2" xfId="0" applyFont="1" applyFill="1" applyBorder="1"/>
    <xf numFmtId="0" fontId="12" fillId="11" borderId="3" xfId="0" applyFont="1" applyFill="1" applyBorder="1"/>
    <xf numFmtId="0" fontId="12" fillId="11" borderId="4" xfId="0" applyFont="1" applyFill="1" applyBorder="1"/>
    <xf numFmtId="0" fontId="12" fillId="12" borderId="1" xfId="0" applyFont="1" applyFill="1" applyBorder="1"/>
    <xf numFmtId="0" fontId="12" fillId="12" borderId="2" xfId="0" applyFont="1" applyFill="1" applyBorder="1"/>
    <xf numFmtId="0" fontId="12" fillId="12" borderId="3" xfId="0" applyFont="1" applyFill="1" applyBorder="1"/>
    <xf numFmtId="0" fontId="12" fillId="12" borderId="4" xfId="0" applyFont="1" applyFill="1" applyBorder="1"/>
    <xf numFmtId="0" fontId="12" fillId="13" borderId="1" xfId="0" applyFont="1" applyFill="1" applyBorder="1"/>
    <xf numFmtId="0" fontId="12" fillId="13" borderId="2" xfId="0" applyFont="1" applyFill="1" applyBorder="1"/>
    <xf numFmtId="0" fontId="12" fillId="13" borderId="3" xfId="0" applyFont="1" applyFill="1" applyBorder="1"/>
    <xf numFmtId="0" fontId="12" fillId="13" borderId="4" xfId="0" applyFont="1" applyFill="1" applyBorder="1"/>
    <xf numFmtId="0" fontId="12" fillId="14" borderId="1" xfId="0" applyFont="1" applyFill="1" applyBorder="1"/>
    <xf numFmtId="0" fontId="12" fillId="14" borderId="2" xfId="0" applyFont="1" applyFill="1" applyBorder="1"/>
    <xf numFmtId="0" fontId="12" fillId="14" borderId="3" xfId="0" applyFont="1" applyFill="1" applyBorder="1"/>
    <xf numFmtId="0" fontId="12" fillId="14" borderId="4" xfId="0" applyFont="1" applyFill="1" applyBorder="1"/>
    <xf numFmtId="0" fontId="12" fillId="15" borderId="1" xfId="0" applyFont="1" applyFill="1" applyBorder="1"/>
    <xf numFmtId="0" fontId="12" fillId="15" borderId="2" xfId="0" applyFont="1" applyFill="1" applyBorder="1"/>
    <xf numFmtId="0" fontId="12" fillId="15" borderId="3" xfId="0" applyFont="1" applyFill="1" applyBorder="1"/>
    <xf numFmtId="0" fontId="12" fillId="15" borderId="4" xfId="0" applyFont="1" applyFill="1" applyBorder="1"/>
    <xf numFmtId="0" fontId="0" fillId="0" borderId="1" xfId="0" applyFill="1" applyBorder="1"/>
  </cellXfs>
  <cellStyles count="157"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標準" xfId="0" builtinId="0"/>
    <cellStyle name="標準 4" xfId="2"/>
    <cellStyle name="標準 6" xfId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/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【マルチ専用】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multionly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【マルチ専用】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multionly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【マルチ専用】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multionly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【マルチ専用】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multionly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【マルチ専用】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multionly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【マルチ専用】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multionly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【マルチ専用】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multionly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【マルチ専用】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multionly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【マルチ専用】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multionly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【マルチ専用】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multionly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【マルチ専用】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multionly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【マルチ専用】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multionly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【マルチ専用】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multionly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【マルチ専用】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multionly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【マルチ専用】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【マルチ専用】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multionly</v>
          </cell>
        </row>
        <row r="231">
          <cell r="A231" t="str">
            <v>11106_1</v>
          </cell>
          <cell r="B231">
            <v>0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0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0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0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0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0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【マルチ専用1/2】 ゴールドカジノ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0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0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100万DL記念★スタートダッシュ！</v>
          </cell>
          <cell r="E242" t="str">
            <v>100万DL記念★初心者応援クエスト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100万DL記念★スタートダッシュ！</v>
          </cell>
          <cell r="E243" t="str">
            <v>100万DL記念★初心者応援クエスト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1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1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1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1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1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1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1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1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3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1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3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520,521,522,523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1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【ストーリー中編】恋の奥義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3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520,521,522,523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3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11216_1</v>
          </cell>
          <cell r="B258">
            <v>3</v>
          </cell>
          <cell r="C258">
            <v>11216</v>
          </cell>
          <cell r="D258" t="str">
            <v>年越し★特別クエスト</v>
          </cell>
          <cell r="E258" t="str">
            <v>2015年年越しクエスト</v>
          </cell>
          <cell r="F258">
            <v>1</v>
          </cell>
          <cell r="G258" t="str">
            <v>ja</v>
          </cell>
          <cell r="H258" t="str">
            <v>【上級】年を越える宴（ハートなし）</v>
          </cell>
          <cell r="I258" t="str">
            <v>2015年年忘れクエスト</v>
          </cell>
          <cell r="J258">
            <v>377</v>
          </cell>
          <cell r="K258">
            <v>10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901</v>
          </cell>
          <cell r="AD258">
            <v>6</v>
          </cell>
          <cell r="AE258" t="str">
            <v>multionly</v>
          </cell>
        </row>
        <row r="259">
          <cell r="A259" t="str">
            <v>11217_1</v>
          </cell>
          <cell r="B259">
            <v>3</v>
          </cell>
          <cell r="C259">
            <v>11217</v>
          </cell>
          <cell r="D259" t="str">
            <v>年明け★特別クエスト</v>
          </cell>
          <cell r="E259" t="str">
            <v>2016年あけおめクエスト</v>
          </cell>
          <cell r="F259">
            <v>1</v>
          </cell>
          <cell r="G259" t="str">
            <v>ja</v>
          </cell>
          <cell r="H259" t="str">
            <v>あけおめダックのお年玉</v>
          </cell>
          <cell r="I259" t="str">
            <v>2016年あけおめクエスト</v>
          </cell>
          <cell r="J259">
            <v>524</v>
          </cell>
          <cell r="K259">
            <v>1</v>
          </cell>
          <cell r="L259">
            <v>2016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polygon</v>
          </cell>
          <cell r="T259">
            <v>1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once</v>
          </cell>
          <cell r="AC259">
            <v>2</v>
          </cell>
          <cell r="AD259">
            <v>6</v>
          </cell>
          <cell r="AE259" t="str">
            <v>singleonly</v>
          </cell>
        </row>
        <row r="260">
          <cell r="A260" t="str">
            <v>12001_1</v>
          </cell>
          <cell r="B260">
            <v>3</v>
          </cell>
          <cell r="C260">
            <v>12001</v>
          </cell>
          <cell r="D260" t="str">
            <v>【緊急！！】 アヒル捕獲作戦</v>
          </cell>
          <cell r="E260" t="str">
            <v>ゲリラクエスト</v>
          </cell>
          <cell r="F260">
            <v>1</v>
          </cell>
          <cell r="G260" t="str">
            <v>ja</v>
          </cell>
          <cell r="H260" t="str">
            <v xml:space="preserve">【初級】メタルダックを捕獲せよ！ </v>
          </cell>
          <cell r="I260" t="str">
            <v>経験値ゲリラ</v>
          </cell>
          <cell r="J260">
            <v>334</v>
          </cell>
          <cell r="K260">
            <v>8</v>
          </cell>
          <cell r="L260">
            <v>140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201</v>
          </cell>
          <cell r="AD260">
            <v>6</v>
          </cell>
          <cell r="AE260" t="str">
            <v>everyone</v>
          </cell>
        </row>
        <row r="261">
          <cell r="A261" t="str">
            <v>12001_2</v>
          </cell>
          <cell r="B261">
            <v>3</v>
          </cell>
          <cell r="C261">
            <v>12001</v>
          </cell>
          <cell r="D261" t="str">
            <v>【緊急！！】 アヒル捕獲作戦</v>
          </cell>
          <cell r="E261" t="str">
            <v>ゲリラクエスト</v>
          </cell>
          <cell r="F261">
            <v>2</v>
          </cell>
          <cell r="G261" t="str">
            <v>ja</v>
          </cell>
          <cell r="H261" t="str">
            <v xml:space="preserve">【上級】メタルダックを捕獲せよ！ </v>
          </cell>
          <cell r="I261" t="str">
            <v>経験値ゲリラ</v>
          </cell>
          <cell r="J261">
            <v>334</v>
          </cell>
          <cell r="K261">
            <v>20</v>
          </cell>
          <cell r="L261">
            <v>350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201</v>
          </cell>
          <cell r="AD261">
            <v>6</v>
          </cell>
          <cell r="AE261" t="str">
            <v>everyone</v>
          </cell>
        </row>
        <row r="262">
          <cell r="A262" t="str">
            <v>12001_3</v>
          </cell>
          <cell r="B262">
            <v>0</v>
          </cell>
          <cell r="C262">
            <v>12001</v>
          </cell>
          <cell r="D262" t="str">
            <v>【緊急！！】 アヒル捕獲作戦</v>
          </cell>
          <cell r="E262" t="str">
            <v>ゲリラクエスト</v>
          </cell>
          <cell r="F262">
            <v>3</v>
          </cell>
          <cell r="G262" t="str">
            <v>ja</v>
          </cell>
          <cell r="H262" t="str">
            <v>★100DL記念 マルチ専用★_x000D_【上級】メタルダックを捕獲せよ！</v>
          </cell>
          <cell r="I262" t="str">
            <v>経験値ゲリラ</v>
          </cell>
          <cell r="J262">
            <v>334</v>
          </cell>
          <cell r="K262">
            <v>10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201</v>
          </cell>
          <cell r="AD262">
            <v>6</v>
          </cell>
          <cell r="AE262" t="str">
            <v>multionly</v>
          </cell>
        </row>
        <row r="263">
          <cell r="A263" t="str">
            <v>12002_3</v>
          </cell>
          <cell r="B263">
            <v>0</v>
          </cell>
          <cell r="C263">
            <v>12002</v>
          </cell>
          <cell r="D263" t="str">
            <v>【マルチ専用1/2】 アヒル捕獲作戦</v>
          </cell>
          <cell r="E263" t="str">
            <v>ゲリラクエスト</v>
          </cell>
          <cell r="F263">
            <v>3</v>
          </cell>
          <cell r="G263" t="str">
            <v>ja</v>
          </cell>
          <cell r="H263" t="str">
            <v xml:space="preserve">【初級】メタルダックを捕獲せよ！ </v>
          </cell>
          <cell r="I263" t="str">
            <v>経験値ゲリラ</v>
          </cell>
          <cell r="J263">
            <v>334</v>
          </cell>
          <cell r="K263">
            <v>8</v>
          </cell>
          <cell r="L263">
            <v>140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201</v>
          </cell>
          <cell r="AD263">
            <v>6</v>
          </cell>
          <cell r="AE263" t="str">
            <v>everyone</v>
          </cell>
        </row>
        <row r="264">
          <cell r="A264" t="str">
            <v>12002_2</v>
          </cell>
          <cell r="B264">
            <v>0</v>
          </cell>
          <cell r="C264">
            <v>12002</v>
          </cell>
          <cell r="D264" t="str">
            <v>【マルチ専用1/2】 アヒル捕獲作戦</v>
          </cell>
          <cell r="E264" t="str">
            <v>ゲリラクエスト</v>
          </cell>
          <cell r="F264">
            <v>2</v>
          </cell>
          <cell r="G264" t="str">
            <v>ja</v>
          </cell>
          <cell r="H264" t="str">
            <v xml:space="preserve">【上級】メタルダックを捕獲せよ！ </v>
          </cell>
          <cell r="I264" t="str">
            <v>経験値ゲリラ</v>
          </cell>
          <cell r="J264">
            <v>334</v>
          </cell>
          <cell r="K264">
            <v>20</v>
          </cell>
          <cell r="L264">
            <v>350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201</v>
          </cell>
          <cell r="AD264">
            <v>6</v>
          </cell>
          <cell r="AE264" t="str">
            <v>everyone</v>
          </cell>
        </row>
        <row r="265">
          <cell r="A265" t="str">
            <v>12002_1</v>
          </cell>
          <cell r="B265">
            <v>3</v>
          </cell>
          <cell r="C265">
            <v>12002</v>
          </cell>
          <cell r="D265" t="str">
            <v>【マルチ専用1/2】 アヒル捕獲作戦</v>
          </cell>
          <cell r="E265" t="str">
            <v>ゲリラクエスト</v>
          </cell>
          <cell r="F265">
            <v>1</v>
          </cell>
          <cell r="G265" t="str">
            <v>ja</v>
          </cell>
          <cell r="H265" t="str">
            <v>【上級】メタルダックを捕獲せよ！</v>
          </cell>
          <cell r="I265" t="str">
            <v>経験値ゲリラ</v>
          </cell>
          <cell r="J265">
            <v>334</v>
          </cell>
          <cell r="K265">
            <v>10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201</v>
          </cell>
          <cell r="AD265">
            <v>6</v>
          </cell>
          <cell r="AE265" t="str">
            <v>multionly</v>
          </cell>
        </row>
        <row r="266">
          <cell r="A266" t="str">
            <v>12003_1</v>
          </cell>
          <cell r="B266">
            <v>3</v>
          </cell>
          <cell r="C266">
            <v>12003</v>
          </cell>
          <cell r="D266" t="str">
            <v>【超緊急！！】メタルジェントルを追え</v>
          </cell>
          <cell r="E266" t="str">
            <v>ゲリラ【超級】</v>
          </cell>
          <cell r="F266">
            <v>1</v>
          </cell>
          <cell r="G266" t="str">
            <v>ja</v>
          </cell>
          <cell r="H266" t="str">
            <v>【超級】雷のジェントルを追え！</v>
          </cell>
          <cell r="I266" t="str">
            <v>超級ゲリラ</v>
          </cell>
          <cell r="J266">
            <v>347</v>
          </cell>
          <cell r="K266">
            <v>40</v>
          </cell>
          <cell r="L266">
            <v>500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12</v>
          </cell>
          <cell r="AD266">
            <v>6</v>
          </cell>
          <cell r="AE266" t="str">
            <v>singleonly</v>
          </cell>
        </row>
        <row r="267">
          <cell r="A267" t="str">
            <v>12003_2</v>
          </cell>
          <cell r="B267">
            <v>3</v>
          </cell>
          <cell r="C267">
            <v>12003</v>
          </cell>
          <cell r="D267" t="str">
            <v>【超緊急！！】メタルジェントルを追え</v>
          </cell>
          <cell r="E267" t="str">
            <v>ゲリラ【超級】</v>
          </cell>
          <cell r="F267">
            <v>2</v>
          </cell>
          <cell r="G267" t="str">
            <v>ja</v>
          </cell>
          <cell r="H267" t="str">
            <v>【超級】水のジェントルを追え！</v>
          </cell>
          <cell r="I267" t="str">
            <v>超級ゲリラ</v>
          </cell>
          <cell r="J267">
            <v>343</v>
          </cell>
          <cell r="K267">
            <v>40</v>
          </cell>
          <cell r="L267">
            <v>500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5</v>
          </cell>
          <cell r="AD267">
            <v>6</v>
          </cell>
          <cell r="AE267" t="str">
            <v>singleonly</v>
          </cell>
        </row>
        <row r="268">
          <cell r="A268" t="str">
            <v>12003_3</v>
          </cell>
          <cell r="B268">
            <v>3</v>
          </cell>
          <cell r="C268">
            <v>12003</v>
          </cell>
          <cell r="D268" t="str">
            <v>【超緊急！！】メタルジェントルを追え</v>
          </cell>
          <cell r="E268" t="str">
            <v>ゲリラ【超級】</v>
          </cell>
          <cell r="F268">
            <v>3</v>
          </cell>
          <cell r="G268" t="str">
            <v>ja</v>
          </cell>
          <cell r="H268" t="str">
            <v>【超級】森のジェントルを追え！</v>
          </cell>
          <cell r="I268" t="str">
            <v>超級ゲリラ</v>
          </cell>
          <cell r="J268">
            <v>339</v>
          </cell>
          <cell r="K268">
            <v>40</v>
          </cell>
          <cell r="L268">
            <v>500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7</v>
          </cell>
          <cell r="AD268">
            <v>6</v>
          </cell>
          <cell r="AE268" t="str">
            <v>singleonly</v>
          </cell>
        </row>
        <row r="269">
          <cell r="A269" t="str">
            <v>12003_4</v>
          </cell>
          <cell r="B269">
            <v>3</v>
          </cell>
          <cell r="C269">
            <v>12003</v>
          </cell>
          <cell r="D269" t="str">
            <v>【超緊急！！】メタルジェントルを追え</v>
          </cell>
          <cell r="E269" t="str">
            <v>ゲリラ【超級】</v>
          </cell>
          <cell r="F269">
            <v>4</v>
          </cell>
          <cell r="G269" t="str">
            <v>ja</v>
          </cell>
          <cell r="H269" t="str">
            <v>【超級】炎のジェントルを追え！</v>
          </cell>
          <cell r="I269" t="str">
            <v>超級ゲリラ</v>
          </cell>
          <cell r="J269">
            <v>335</v>
          </cell>
          <cell r="K269">
            <v>40</v>
          </cell>
          <cell r="L269">
            <v>500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10</v>
          </cell>
          <cell r="AD269">
            <v>6</v>
          </cell>
          <cell r="AE269" t="str">
            <v>singleonly</v>
          </cell>
        </row>
        <row r="270">
          <cell r="A270" t="str">
            <v>13001_1</v>
          </cell>
          <cell r="B270">
            <v>3</v>
          </cell>
          <cell r="C270">
            <v>13001</v>
          </cell>
          <cell r="D270" t="str">
            <v>チャレンジタワー(ソロ専用)</v>
          </cell>
          <cell r="E270" t="str">
            <v>試練の塔</v>
          </cell>
          <cell r="F270">
            <v>1</v>
          </cell>
          <cell r="G270" t="str">
            <v>ja</v>
          </cell>
          <cell r="H270" t="str">
            <v>チャレンジタワー 1F</v>
          </cell>
          <cell r="I270" t="str">
            <v>試練の塔</v>
          </cell>
          <cell r="J270">
            <v>345</v>
          </cell>
          <cell r="K270">
            <v>3</v>
          </cell>
          <cell r="L270">
            <v>120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character</v>
          </cell>
          <cell r="T270" t="str">
            <v>345,345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26</v>
          </cell>
          <cell r="AD270">
            <v>6</v>
          </cell>
          <cell r="AE270" t="str">
            <v>singleonly</v>
          </cell>
        </row>
        <row r="271">
          <cell r="A271" t="str">
            <v>13001_2</v>
          </cell>
          <cell r="B271">
            <v>3</v>
          </cell>
          <cell r="C271">
            <v>13001</v>
          </cell>
          <cell r="D271" t="str">
            <v>チャレンジタワー(ソロ専用)</v>
          </cell>
          <cell r="E271" t="str">
            <v>試練の塔</v>
          </cell>
          <cell r="F271">
            <v>2</v>
          </cell>
          <cell r="G271" t="str">
            <v>ja</v>
          </cell>
          <cell r="H271" t="str">
            <v>チャレンジタワー 2F</v>
          </cell>
          <cell r="I271" t="str">
            <v>試練の塔</v>
          </cell>
          <cell r="J271">
            <v>333</v>
          </cell>
          <cell r="K271">
            <v>4</v>
          </cell>
          <cell r="L271">
            <v>176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character</v>
          </cell>
          <cell r="T271" t="str">
            <v>333,333</v>
          </cell>
          <cell r="U271">
            <v>13001</v>
          </cell>
          <cell r="V271">
            <v>1</v>
          </cell>
          <cell r="W271" t="str">
            <v>チャレンジタワー 1F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26</v>
          </cell>
          <cell r="AD271">
            <v>6</v>
          </cell>
          <cell r="AE271" t="str">
            <v>singleonly</v>
          </cell>
        </row>
        <row r="272">
          <cell r="A272" t="str">
            <v>13001_3</v>
          </cell>
          <cell r="B272">
            <v>3</v>
          </cell>
          <cell r="C272">
            <v>13001</v>
          </cell>
          <cell r="D272" t="str">
            <v>チャレンジタワー(ソロ専用)</v>
          </cell>
          <cell r="E272" t="str">
            <v>試練の塔</v>
          </cell>
          <cell r="F272">
            <v>3</v>
          </cell>
          <cell r="G272" t="str">
            <v>ja</v>
          </cell>
          <cell r="H272" t="str">
            <v>チャレンジタワー 3F</v>
          </cell>
          <cell r="I272" t="str">
            <v>試練の塔</v>
          </cell>
          <cell r="J272">
            <v>337</v>
          </cell>
          <cell r="K272">
            <v>5</v>
          </cell>
          <cell r="L272">
            <v>242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337,337</v>
          </cell>
          <cell r="U272">
            <v>13001</v>
          </cell>
          <cell r="V272">
            <v>2</v>
          </cell>
          <cell r="W272" t="str">
            <v>チャレンジタワー 2F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26</v>
          </cell>
          <cell r="AD272">
            <v>6</v>
          </cell>
          <cell r="AE272" t="str">
            <v>singleonly</v>
          </cell>
        </row>
        <row r="273">
          <cell r="A273" t="str">
            <v>13001_4</v>
          </cell>
          <cell r="B273">
            <v>3</v>
          </cell>
          <cell r="C273">
            <v>13001</v>
          </cell>
          <cell r="D273" t="str">
            <v>チャレンジタワー(ソロ専用)</v>
          </cell>
          <cell r="E273" t="str">
            <v>試練の塔</v>
          </cell>
          <cell r="F273">
            <v>4</v>
          </cell>
          <cell r="G273" t="str">
            <v>ja</v>
          </cell>
          <cell r="H273" t="str">
            <v>チャレンジタワー 4F</v>
          </cell>
          <cell r="I273" t="str">
            <v>試練の塔</v>
          </cell>
          <cell r="J273">
            <v>341</v>
          </cell>
          <cell r="K273">
            <v>7</v>
          </cell>
          <cell r="L273">
            <v>508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341,341</v>
          </cell>
          <cell r="U273">
            <v>13001</v>
          </cell>
          <cell r="V273">
            <v>3</v>
          </cell>
          <cell r="W273" t="str">
            <v>チャレンジタワー 3F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26</v>
          </cell>
          <cell r="AD273">
            <v>6</v>
          </cell>
          <cell r="AE273" t="str">
            <v>singleonly</v>
          </cell>
        </row>
        <row r="274">
          <cell r="A274" t="str">
            <v>13001_5</v>
          </cell>
          <cell r="B274">
            <v>3</v>
          </cell>
          <cell r="C274">
            <v>13001</v>
          </cell>
          <cell r="D274" t="str">
            <v>チャレンジタワー(ソロ専用)</v>
          </cell>
          <cell r="E274" t="str">
            <v>試練の塔</v>
          </cell>
          <cell r="F274">
            <v>5</v>
          </cell>
          <cell r="G274" t="str">
            <v>ja</v>
          </cell>
          <cell r="H274" t="str">
            <v>チャレンジタワー 5F</v>
          </cell>
          <cell r="I274" t="str">
            <v>試練の塔</v>
          </cell>
          <cell r="J274">
            <v>333</v>
          </cell>
          <cell r="K274">
            <v>7</v>
          </cell>
          <cell r="L274">
            <v>280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333,337,341,345</v>
          </cell>
          <cell r="U274">
            <v>13001</v>
          </cell>
          <cell r="V274">
            <v>4</v>
          </cell>
          <cell r="W274" t="str">
            <v>チャレンジタワー 4F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26</v>
          </cell>
          <cell r="AD274">
            <v>6</v>
          </cell>
          <cell r="AE274" t="str">
            <v>singleonly</v>
          </cell>
        </row>
        <row r="275">
          <cell r="A275" t="str">
            <v>13001_6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6</v>
          </cell>
          <cell r="G275" t="str">
            <v>ja</v>
          </cell>
          <cell r="H275" t="str">
            <v>チャレンジタワー 6F</v>
          </cell>
          <cell r="I275" t="str">
            <v>試練の塔</v>
          </cell>
          <cell r="J275">
            <v>346</v>
          </cell>
          <cell r="K275">
            <v>8</v>
          </cell>
          <cell r="L275">
            <v>474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346,345</v>
          </cell>
          <cell r="U275">
            <v>13001</v>
          </cell>
          <cell r="V275">
            <v>5</v>
          </cell>
          <cell r="W275" t="str">
            <v>チャレンジタワー 5F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13001_7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7</v>
          </cell>
          <cell r="G276" t="str">
            <v>ja</v>
          </cell>
          <cell r="H276" t="str">
            <v>チャレンジタワー 7F</v>
          </cell>
          <cell r="I276" t="str">
            <v>試練の塔</v>
          </cell>
          <cell r="J276">
            <v>342</v>
          </cell>
          <cell r="K276">
            <v>8</v>
          </cell>
          <cell r="L276">
            <v>486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342,341</v>
          </cell>
          <cell r="U276">
            <v>13001</v>
          </cell>
          <cell r="V276">
            <v>6</v>
          </cell>
          <cell r="W276" t="str">
            <v>チャレンジタワー 6F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13001_8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8</v>
          </cell>
          <cell r="G277" t="str">
            <v>ja</v>
          </cell>
          <cell r="H277" t="str">
            <v>チャレンジタワー 8F</v>
          </cell>
          <cell r="I277" t="str">
            <v>試練の塔</v>
          </cell>
          <cell r="J277">
            <v>334</v>
          </cell>
          <cell r="K277">
            <v>10</v>
          </cell>
          <cell r="L277">
            <v>1006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334,333</v>
          </cell>
          <cell r="U277">
            <v>13001</v>
          </cell>
          <cell r="V277">
            <v>7</v>
          </cell>
          <cell r="W277" t="str">
            <v>チャレンジタワー 7F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13001_9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9</v>
          </cell>
          <cell r="G278" t="str">
            <v>ja</v>
          </cell>
          <cell r="H278" t="str">
            <v>チャレンジタワー 9F</v>
          </cell>
          <cell r="I278" t="str">
            <v>試練の塔</v>
          </cell>
          <cell r="J278">
            <v>338</v>
          </cell>
          <cell r="K278">
            <v>10</v>
          </cell>
          <cell r="L278">
            <v>702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337,337,338</v>
          </cell>
          <cell r="U278">
            <v>13001</v>
          </cell>
          <cell r="V278">
            <v>8</v>
          </cell>
          <cell r="W278" t="str">
            <v>チャレンジタワー 8F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13001_10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10</v>
          </cell>
          <cell r="G279" t="str">
            <v>ja</v>
          </cell>
          <cell r="H279" t="str">
            <v>チャレンジタワー 10F</v>
          </cell>
          <cell r="I279" t="str">
            <v>試練の塔</v>
          </cell>
          <cell r="J279">
            <v>346</v>
          </cell>
          <cell r="K279">
            <v>11</v>
          </cell>
          <cell r="L279">
            <v>788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346,333,337,341</v>
          </cell>
          <cell r="U279">
            <v>13001</v>
          </cell>
          <cell r="V279">
            <v>9</v>
          </cell>
          <cell r="W279" t="str">
            <v>チャレンジタワー 9F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13001_11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11</v>
          </cell>
          <cell r="G280" t="str">
            <v>ja</v>
          </cell>
          <cell r="H280" t="str">
            <v>チャレンジタワー 11F</v>
          </cell>
          <cell r="I280" t="str">
            <v>試練の塔</v>
          </cell>
          <cell r="J280">
            <v>346</v>
          </cell>
          <cell r="K280">
            <v>12</v>
          </cell>
          <cell r="L280">
            <v>936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346,346</v>
          </cell>
          <cell r="U280">
            <v>13001</v>
          </cell>
          <cell r="V280">
            <v>10</v>
          </cell>
          <cell r="W280" t="str">
            <v>チャレンジタワー 10F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13001_12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12</v>
          </cell>
          <cell r="G281" t="str">
            <v>ja</v>
          </cell>
          <cell r="H281" t="str">
            <v>チャレンジタワー 12F</v>
          </cell>
          <cell r="I281" t="str">
            <v>試練の塔</v>
          </cell>
          <cell r="J281">
            <v>342</v>
          </cell>
          <cell r="K281">
            <v>13</v>
          </cell>
          <cell r="L281">
            <v>1601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342,342</v>
          </cell>
          <cell r="U281">
            <v>13001</v>
          </cell>
          <cell r="V281">
            <v>11</v>
          </cell>
          <cell r="W281" t="str">
            <v>チャレンジタワー 11F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13001_13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13</v>
          </cell>
          <cell r="G282" t="str">
            <v>ja</v>
          </cell>
          <cell r="H282" t="str">
            <v>チャレンジタワー 13F</v>
          </cell>
          <cell r="I282" t="str">
            <v>試練の塔</v>
          </cell>
          <cell r="J282">
            <v>338</v>
          </cell>
          <cell r="K282">
            <v>14</v>
          </cell>
          <cell r="L282">
            <v>945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338,338</v>
          </cell>
          <cell r="U282">
            <v>13001</v>
          </cell>
          <cell r="V282">
            <v>12</v>
          </cell>
          <cell r="W282" t="str">
            <v>チャレンジタワー 12F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13001_14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14</v>
          </cell>
          <cell r="G283" t="str">
            <v>ja</v>
          </cell>
          <cell r="H283" t="str">
            <v>チャレンジタワー 14F</v>
          </cell>
          <cell r="I283" t="str">
            <v>試練の塔</v>
          </cell>
          <cell r="J283">
            <v>334</v>
          </cell>
          <cell r="K283">
            <v>14</v>
          </cell>
          <cell r="L283">
            <v>1188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334,334</v>
          </cell>
          <cell r="U283">
            <v>13001</v>
          </cell>
          <cell r="V283">
            <v>13</v>
          </cell>
          <cell r="W283" t="str">
            <v>チャレンジタワー 13F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13001_15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15</v>
          </cell>
          <cell r="G284" t="str">
            <v>ja</v>
          </cell>
          <cell r="H284" t="str">
            <v>チャレンジタワー 15F</v>
          </cell>
          <cell r="I284" t="str">
            <v>試練の塔</v>
          </cell>
          <cell r="J284">
            <v>316</v>
          </cell>
          <cell r="K284">
            <v>14</v>
          </cell>
          <cell r="L284">
            <v>1008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316</v>
          </cell>
          <cell r="U284">
            <v>13001</v>
          </cell>
          <cell r="V284">
            <v>14</v>
          </cell>
          <cell r="W284" t="str">
            <v>チャレンジタワー 14F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13001_16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16</v>
          </cell>
          <cell r="G285" t="str">
            <v>ja</v>
          </cell>
          <cell r="H285" t="str">
            <v>チャレンジタワー 16F</v>
          </cell>
          <cell r="I285" t="str">
            <v>試練の塔</v>
          </cell>
          <cell r="J285">
            <v>338</v>
          </cell>
          <cell r="K285">
            <v>16</v>
          </cell>
          <cell r="L285">
            <v>2573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338,338,337</v>
          </cell>
          <cell r="U285">
            <v>13001</v>
          </cell>
          <cell r="V285">
            <v>15</v>
          </cell>
          <cell r="W285" t="str">
            <v>チャレンジタワー 15F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13001_17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17</v>
          </cell>
          <cell r="G286" t="str">
            <v>ja</v>
          </cell>
          <cell r="H286" t="str">
            <v>チャレンジタワー 17F</v>
          </cell>
          <cell r="I286" t="str">
            <v>試練の塔</v>
          </cell>
          <cell r="J286">
            <v>346</v>
          </cell>
          <cell r="K286">
            <v>16</v>
          </cell>
          <cell r="L286">
            <v>1568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346,346,345</v>
          </cell>
          <cell r="U286">
            <v>13001</v>
          </cell>
          <cell r="V286">
            <v>16</v>
          </cell>
          <cell r="W286" t="str">
            <v>チャレンジタワー 16F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13001_18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18</v>
          </cell>
          <cell r="G287" t="str">
            <v>ja</v>
          </cell>
          <cell r="H287" t="str">
            <v>チャレンジタワー 18F</v>
          </cell>
          <cell r="I287" t="str">
            <v>試練の塔</v>
          </cell>
          <cell r="J287">
            <v>334</v>
          </cell>
          <cell r="K287">
            <v>17</v>
          </cell>
          <cell r="L287">
            <v>1821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334,334,333</v>
          </cell>
          <cell r="U287">
            <v>13001</v>
          </cell>
          <cell r="V287">
            <v>17</v>
          </cell>
          <cell r="W287" t="str">
            <v>チャレンジタワー 17F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13001_19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19</v>
          </cell>
          <cell r="G288" t="str">
            <v>ja</v>
          </cell>
          <cell r="H288" t="str">
            <v>チャレンジタワー 19F</v>
          </cell>
          <cell r="I288" t="str">
            <v>試練の塔</v>
          </cell>
          <cell r="J288">
            <v>342</v>
          </cell>
          <cell r="K288">
            <v>18</v>
          </cell>
          <cell r="L288">
            <v>2108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342,342,341</v>
          </cell>
          <cell r="U288">
            <v>13001</v>
          </cell>
          <cell r="V288">
            <v>18</v>
          </cell>
          <cell r="W288" t="str">
            <v>チャレンジタワー 18F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13001_20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20</v>
          </cell>
          <cell r="G289" t="str">
            <v>ja</v>
          </cell>
          <cell r="H289" t="str">
            <v>チャレンジタワー 20F</v>
          </cell>
          <cell r="I289" t="str">
            <v>試練の塔</v>
          </cell>
          <cell r="J289">
            <v>318</v>
          </cell>
          <cell r="K289">
            <v>18</v>
          </cell>
          <cell r="L289">
            <v>1620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318</v>
          </cell>
          <cell r="U289">
            <v>13001</v>
          </cell>
          <cell r="V289">
            <v>19</v>
          </cell>
          <cell r="W289" t="str">
            <v>チャレンジタワー 19F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13001_21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21</v>
          </cell>
          <cell r="G290" t="str">
            <v>ja</v>
          </cell>
          <cell r="H290" t="str">
            <v>チャレンジタワー 21F</v>
          </cell>
          <cell r="I290" t="str">
            <v>試練の塔</v>
          </cell>
          <cell r="J290" t="str">
            <v>335</v>
          </cell>
          <cell r="K290">
            <v>18</v>
          </cell>
          <cell r="L290">
            <v>1620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334,335,335</v>
          </cell>
          <cell r="U290">
            <v>13001</v>
          </cell>
          <cell r="V290">
            <v>20</v>
          </cell>
          <cell r="W290" t="str">
            <v>チャレンジタワー 20F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13001_22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22</v>
          </cell>
          <cell r="G291" t="str">
            <v>ja</v>
          </cell>
          <cell r="H291" t="str">
            <v>チャレンジタワー 22F</v>
          </cell>
          <cell r="I291" t="str">
            <v>試練の塔</v>
          </cell>
          <cell r="J291" t="str">
            <v>339</v>
          </cell>
          <cell r="K291">
            <v>18</v>
          </cell>
          <cell r="L291">
            <v>1620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338,339,339</v>
          </cell>
          <cell r="U291">
            <v>13001</v>
          </cell>
          <cell r="V291">
            <v>21</v>
          </cell>
          <cell r="W291" t="str">
            <v>チャレンジタワー 21F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13001_23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23</v>
          </cell>
          <cell r="G292" t="str">
            <v>ja</v>
          </cell>
          <cell r="H292" t="str">
            <v>チャレンジタワー 23F</v>
          </cell>
          <cell r="I292" t="str">
            <v>試練の塔</v>
          </cell>
          <cell r="J292" t="str">
            <v>347</v>
          </cell>
          <cell r="K292">
            <v>20</v>
          </cell>
          <cell r="L292">
            <v>1821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346,347,347</v>
          </cell>
          <cell r="U292">
            <v>13001</v>
          </cell>
          <cell r="V292">
            <v>22</v>
          </cell>
          <cell r="W292" t="str">
            <v>チャレンジタワー 22F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13001_24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24</v>
          </cell>
          <cell r="G293" t="str">
            <v>ja</v>
          </cell>
          <cell r="H293" t="str">
            <v>チャレンジタワー 24F</v>
          </cell>
          <cell r="I293" t="str">
            <v>試練の塔</v>
          </cell>
          <cell r="J293" t="str">
            <v>343</v>
          </cell>
          <cell r="K293">
            <v>20</v>
          </cell>
          <cell r="L293">
            <v>2871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342,343,343</v>
          </cell>
          <cell r="U293">
            <v>13001</v>
          </cell>
          <cell r="V293">
            <v>23</v>
          </cell>
          <cell r="W293" t="str">
            <v>チャレンジタワー 23F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13001_25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25</v>
          </cell>
          <cell r="G294" t="str">
            <v>ja</v>
          </cell>
          <cell r="H294" t="str">
            <v>チャレンジタワー 25F</v>
          </cell>
          <cell r="I294" t="str">
            <v>試練の塔</v>
          </cell>
          <cell r="J294" t="str">
            <v>368</v>
          </cell>
          <cell r="K294">
            <v>22</v>
          </cell>
          <cell r="L294">
            <v>3740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368</v>
          </cell>
          <cell r="U294">
            <v>13001</v>
          </cell>
          <cell r="V294">
            <v>24</v>
          </cell>
          <cell r="W294" t="str">
            <v>チャレンジタワー 24F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14001_1</v>
          </cell>
          <cell r="B295">
            <v>1</v>
          </cell>
          <cell r="C295">
            <v>14001</v>
          </cell>
          <cell r="D295" t="str">
            <v>【ロッククエスト】経験値</v>
          </cell>
          <cell r="E295" t="str">
            <v>【ロッククエスト】経験値</v>
          </cell>
          <cell r="F295">
            <v>1</v>
          </cell>
          <cell r="G295" t="str">
            <v>ja</v>
          </cell>
          <cell r="H295" t="str">
            <v>【超級】雷ファミリー（ハートなし）</v>
          </cell>
          <cell r="I295" t="str">
            <v>【ロッククエスト】経験値</v>
          </cell>
          <cell r="J295">
            <v>347</v>
          </cell>
          <cell r="K295">
            <v>1</v>
          </cell>
          <cell r="L295">
            <v>500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0</v>
          </cell>
          <cell r="R295">
            <v>3</v>
          </cell>
          <cell r="S295" t="str">
            <v>none</v>
          </cell>
          <cell r="T295">
            <v>0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12</v>
          </cell>
          <cell r="AD295">
            <v>6</v>
          </cell>
          <cell r="AE295" t="str">
            <v>everyone</v>
          </cell>
        </row>
        <row r="296">
          <cell r="A296" t="str">
            <v>14001_2</v>
          </cell>
          <cell r="B296">
            <v>1</v>
          </cell>
          <cell r="C296">
            <v>14001</v>
          </cell>
          <cell r="D296" t="str">
            <v>【ロッククエスト】経験値</v>
          </cell>
          <cell r="E296" t="str">
            <v>【ロッククエスト】経験値</v>
          </cell>
          <cell r="F296">
            <v>2</v>
          </cell>
          <cell r="G296" t="str">
            <v>ja</v>
          </cell>
          <cell r="H296" t="str">
            <v>【超級】水ファミリー（ハートなし）</v>
          </cell>
          <cell r="I296" t="str">
            <v>【ロッククエスト】経験値</v>
          </cell>
          <cell r="J296">
            <v>343</v>
          </cell>
          <cell r="K296">
            <v>1</v>
          </cell>
          <cell r="L296">
            <v>500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0</v>
          </cell>
          <cell r="R296">
            <v>3</v>
          </cell>
          <cell r="S296" t="str">
            <v>none</v>
          </cell>
          <cell r="T296">
            <v>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12</v>
          </cell>
          <cell r="AD296">
            <v>6</v>
          </cell>
          <cell r="AE296" t="str">
            <v>everyone</v>
          </cell>
        </row>
        <row r="297">
          <cell r="A297" t="str">
            <v>14001_3</v>
          </cell>
          <cell r="B297">
            <v>1</v>
          </cell>
          <cell r="C297">
            <v>14001</v>
          </cell>
          <cell r="D297" t="str">
            <v>【ロッククエスト】経験値</v>
          </cell>
          <cell r="E297" t="str">
            <v>【ロッククエスト】経験値</v>
          </cell>
          <cell r="F297">
            <v>3</v>
          </cell>
          <cell r="G297" t="str">
            <v>ja</v>
          </cell>
          <cell r="H297" t="str">
            <v>【超級】森ファミリー（ハートなし）</v>
          </cell>
          <cell r="I297" t="str">
            <v>【ロッククエスト】経験値</v>
          </cell>
          <cell r="J297">
            <v>339</v>
          </cell>
          <cell r="K297">
            <v>1</v>
          </cell>
          <cell r="L297">
            <v>500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0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12</v>
          </cell>
          <cell r="AD297">
            <v>6</v>
          </cell>
          <cell r="AE297" t="str">
            <v>everyone</v>
          </cell>
        </row>
        <row r="298">
          <cell r="A298" t="str">
            <v>14001_4</v>
          </cell>
          <cell r="B298">
            <v>1</v>
          </cell>
          <cell r="C298">
            <v>14001</v>
          </cell>
          <cell r="D298" t="str">
            <v>【ロッククエスト】経験値</v>
          </cell>
          <cell r="E298" t="str">
            <v>【ロッククエスト】経験値</v>
          </cell>
          <cell r="F298">
            <v>4</v>
          </cell>
          <cell r="G298" t="str">
            <v>ja</v>
          </cell>
          <cell r="H298" t="str">
            <v>【超級】炎ファミリー（ハートなし）</v>
          </cell>
          <cell r="I298" t="str">
            <v>【ロッククエスト】経験値</v>
          </cell>
          <cell r="J298">
            <v>335</v>
          </cell>
          <cell r="K298">
            <v>1</v>
          </cell>
          <cell r="L298">
            <v>500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none</v>
          </cell>
          <cell r="T298">
            <v>0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12</v>
          </cell>
          <cell r="AD298">
            <v>6</v>
          </cell>
          <cell r="AE298" t="str">
            <v>everyone</v>
          </cell>
        </row>
        <row r="299">
          <cell r="A299" t="str">
            <v>14002_1</v>
          </cell>
          <cell r="B299">
            <v>1</v>
          </cell>
          <cell r="C299">
            <v>14002</v>
          </cell>
          <cell r="D299" t="str">
            <v>【ロッククエスト】ビット</v>
          </cell>
          <cell r="E299" t="str">
            <v>【ロッククエスト】ビット</v>
          </cell>
          <cell r="F299">
            <v>1</v>
          </cell>
          <cell r="G299" t="str">
            <v>ja</v>
          </cell>
          <cell r="H299" t="str">
            <v>【超級】ハイローラー（ハートなし）</v>
          </cell>
          <cell r="I299" t="str">
            <v>【ロッククエスト】ビット</v>
          </cell>
          <cell r="J299">
            <v>119</v>
          </cell>
          <cell r="K299">
            <v>1</v>
          </cell>
          <cell r="L299">
            <v>777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105</v>
          </cell>
          <cell r="AD299">
            <v>6</v>
          </cell>
          <cell r="AE299" t="str">
            <v>everyone</v>
          </cell>
        </row>
        <row r="300">
          <cell r="A300" t="str">
            <v>14003_1</v>
          </cell>
          <cell r="B300">
            <v>3</v>
          </cell>
          <cell r="C300">
            <v>14003</v>
          </cell>
          <cell r="D300" t="str">
            <v>【ロッククエスト】限界突破</v>
          </cell>
          <cell r="E300" t="str">
            <v>【ロッククエスト】限界突破</v>
          </cell>
          <cell r="F300">
            <v>1</v>
          </cell>
          <cell r="G300" t="str">
            <v>ja</v>
          </cell>
          <cell r="H300" t="str">
            <v>【超級】果実のキモチ（ハートなし）</v>
          </cell>
          <cell r="I300" t="str">
            <v>【ロッククエスト】限界突破</v>
          </cell>
          <cell r="J300">
            <v>125</v>
          </cell>
          <cell r="K300">
            <v>1</v>
          </cell>
          <cell r="L300">
            <v>860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21</v>
          </cell>
          <cell r="AD300">
            <v>6</v>
          </cell>
          <cell r="AE300" t="str">
            <v>everyone</v>
          </cell>
        </row>
        <row r="301">
          <cell r="A301" t="str">
            <v>20001_1</v>
          </cell>
          <cell r="B301">
            <v>3</v>
          </cell>
          <cell r="C301">
            <v>20001</v>
          </cell>
          <cell r="D301" t="str">
            <v>紅き執行者</v>
          </cell>
          <cell r="E301" t="str">
            <v>ドロップイベント1-1</v>
          </cell>
          <cell r="F301">
            <v>1</v>
          </cell>
          <cell r="G301" t="str">
            <v>ja</v>
          </cell>
          <cell r="H301" t="str">
            <v xml:space="preserve">【初級】紅き執行者 </v>
          </cell>
          <cell r="I301" t="str">
            <v>初級</v>
          </cell>
          <cell r="J301">
            <v>262</v>
          </cell>
          <cell r="K301">
            <v>8</v>
          </cell>
          <cell r="L301">
            <v>384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14</v>
          </cell>
          <cell r="AD301">
            <v>6</v>
          </cell>
          <cell r="AE301" t="str">
            <v>everyone</v>
          </cell>
        </row>
        <row r="302">
          <cell r="A302" t="str">
            <v>20001_2</v>
          </cell>
          <cell r="B302">
            <v>3</v>
          </cell>
          <cell r="C302">
            <v>20001</v>
          </cell>
          <cell r="D302" t="str">
            <v>紅き執行者</v>
          </cell>
          <cell r="E302" t="str">
            <v>ドロップイベント1-1</v>
          </cell>
          <cell r="F302">
            <v>2</v>
          </cell>
          <cell r="G302" t="str">
            <v>ja</v>
          </cell>
          <cell r="H302" t="str">
            <v>【中級】紅き執行者</v>
          </cell>
          <cell r="I302" t="str">
            <v>中級</v>
          </cell>
          <cell r="J302">
            <v>262</v>
          </cell>
          <cell r="K302">
            <v>15</v>
          </cell>
          <cell r="L302">
            <v>1200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14</v>
          </cell>
          <cell r="AD302">
            <v>6</v>
          </cell>
          <cell r="AE302" t="str">
            <v>everyone</v>
          </cell>
        </row>
        <row r="303">
          <cell r="A303" t="str">
            <v>20001_3</v>
          </cell>
          <cell r="B303">
            <v>3</v>
          </cell>
          <cell r="C303">
            <v>20001</v>
          </cell>
          <cell r="D303" t="str">
            <v>紅き執行者</v>
          </cell>
          <cell r="E303" t="str">
            <v>ドロップイベント1-1</v>
          </cell>
          <cell r="F303">
            <v>3</v>
          </cell>
          <cell r="G303" t="str">
            <v>ja</v>
          </cell>
          <cell r="H303" t="str">
            <v xml:space="preserve">【上級】紅き執行者 </v>
          </cell>
          <cell r="I303" t="str">
            <v>上級</v>
          </cell>
          <cell r="J303">
            <v>263</v>
          </cell>
          <cell r="K303">
            <v>20</v>
          </cell>
          <cell r="L303">
            <v>2000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polygon</v>
          </cell>
          <cell r="T303">
            <v>1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14</v>
          </cell>
          <cell r="AD303">
            <v>6</v>
          </cell>
          <cell r="AE303" t="str">
            <v>everyone</v>
          </cell>
        </row>
        <row r="304">
          <cell r="A304" t="str">
            <v>20002_1</v>
          </cell>
          <cell r="B304">
            <v>3</v>
          </cell>
          <cell r="C304">
            <v>20002</v>
          </cell>
          <cell r="D304" t="str">
            <v>孤高の一角獣</v>
          </cell>
          <cell r="E304" t="str">
            <v>ドロップイベント1-2</v>
          </cell>
          <cell r="F304">
            <v>1</v>
          </cell>
          <cell r="G304" t="str">
            <v>ja</v>
          </cell>
          <cell r="H304" t="str">
            <v>【初級】孤高の一角獣(ハートなし)</v>
          </cell>
          <cell r="I304" t="str">
            <v>初級</v>
          </cell>
          <cell r="J304">
            <v>264</v>
          </cell>
          <cell r="K304">
            <v>8</v>
          </cell>
          <cell r="L304">
            <v>384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19</v>
          </cell>
          <cell r="AD304">
            <v>6</v>
          </cell>
          <cell r="AE304" t="str">
            <v>everyone</v>
          </cell>
        </row>
        <row r="305">
          <cell r="A305" t="str">
            <v>20002_2</v>
          </cell>
          <cell r="B305">
            <v>3</v>
          </cell>
          <cell r="C305">
            <v>20002</v>
          </cell>
          <cell r="D305" t="str">
            <v>孤高の一角獣</v>
          </cell>
          <cell r="E305" t="str">
            <v>ドロップイベント1-2</v>
          </cell>
          <cell r="F305">
            <v>2</v>
          </cell>
          <cell r="G305" t="str">
            <v>ja</v>
          </cell>
          <cell r="H305" t="str">
            <v>【中級】孤高の一角獣(ハートなし)</v>
          </cell>
          <cell r="I305" t="str">
            <v>中級</v>
          </cell>
          <cell r="J305">
            <v>264</v>
          </cell>
          <cell r="K305">
            <v>15</v>
          </cell>
          <cell r="L305">
            <v>1200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19</v>
          </cell>
          <cell r="AD305">
            <v>6</v>
          </cell>
          <cell r="AE305" t="str">
            <v>everyone</v>
          </cell>
        </row>
        <row r="306">
          <cell r="A306" t="str">
            <v>20002_3</v>
          </cell>
          <cell r="B306">
            <v>3</v>
          </cell>
          <cell r="C306">
            <v>20002</v>
          </cell>
          <cell r="D306" t="str">
            <v>孤高の一角獣</v>
          </cell>
          <cell r="E306" t="str">
            <v>ドロップイベント1-2</v>
          </cell>
          <cell r="F306">
            <v>3</v>
          </cell>
          <cell r="G306" t="str">
            <v>ja</v>
          </cell>
          <cell r="H306" t="str">
            <v>【上級】孤高の一角獣(ハートなし)</v>
          </cell>
          <cell r="I306" t="str">
            <v>上級</v>
          </cell>
          <cell r="J306">
            <v>265</v>
          </cell>
          <cell r="K306">
            <v>20</v>
          </cell>
          <cell r="L306">
            <v>2000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polygon</v>
          </cell>
          <cell r="T306">
            <v>1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19</v>
          </cell>
          <cell r="AD306">
            <v>6</v>
          </cell>
          <cell r="AE306" t="str">
            <v>everyone</v>
          </cell>
        </row>
        <row r="307">
          <cell r="A307" t="str">
            <v>20003_1</v>
          </cell>
          <cell r="B307">
            <v>3</v>
          </cell>
          <cell r="C307">
            <v>20003</v>
          </cell>
          <cell r="D307" t="str">
            <v>忍び寄る短剣</v>
          </cell>
          <cell r="E307" t="str">
            <v>ドロップイベント1-3</v>
          </cell>
          <cell r="F307">
            <v>1</v>
          </cell>
          <cell r="G307" t="str">
            <v>ja</v>
          </cell>
          <cell r="H307" t="str">
            <v xml:space="preserve">【初級】忍び寄る短剣 </v>
          </cell>
          <cell r="I307" t="str">
            <v>初級</v>
          </cell>
          <cell r="J307">
            <v>266</v>
          </cell>
          <cell r="K307">
            <v>8</v>
          </cell>
          <cell r="L307">
            <v>384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11</v>
          </cell>
          <cell r="AD307">
            <v>6</v>
          </cell>
          <cell r="AE307" t="str">
            <v>everyone</v>
          </cell>
        </row>
        <row r="308">
          <cell r="A308" t="str">
            <v>20003_2</v>
          </cell>
          <cell r="B308">
            <v>3</v>
          </cell>
          <cell r="C308">
            <v>20003</v>
          </cell>
          <cell r="D308" t="str">
            <v>忍び寄る短剣</v>
          </cell>
          <cell r="E308" t="str">
            <v>ドロップイベント1-3</v>
          </cell>
          <cell r="F308">
            <v>2</v>
          </cell>
          <cell r="G308" t="str">
            <v>ja</v>
          </cell>
          <cell r="H308" t="str">
            <v xml:space="preserve">【中級】忍び寄る短剣 </v>
          </cell>
          <cell r="I308" t="str">
            <v>中級</v>
          </cell>
          <cell r="J308">
            <v>266</v>
          </cell>
          <cell r="K308">
            <v>15</v>
          </cell>
          <cell r="L308">
            <v>1200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11</v>
          </cell>
          <cell r="AD308">
            <v>6</v>
          </cell>
          <cell r="AE308" t="str">
            <v>everyone</v>
          </cell>
        </row>
        <row r="309">
          <cell r="A309" t="str">
            <v>20003_3</v>
          </cell>
          <cell r="B309">
            <v>3</v>
          </cell>
          <cell r="C309">
            <v>20003</v>
          </cell>
          <cell r="D309" t="str">
            <v>忍び寄る短剣</v>
          </cell>
          <cell r="E309" t="str">
            <v>ドロップイベント1-3</v>
          </cell>
          <cell r="F309">
            <v>3</v>
          </cell>
          <cell r="G309" t="str">
            <v>ja</v>
          </cell>
          <cell r="H309" t="str">
            <v xml:space="preserve">【上級】忍び寄る短剣 </v>
          </cell>
          <cell r="I309" t="str">
            <v>上級</v>
          </cell>
          <cell r="J309">
            <v>267</v>
          </cell>
          <cell r="K309">
            <v>20</v>
          </cell>
          <cell r="L309">
            <v>2000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polygon</v>
          </cell>
          <cell r="T309">
            <v>1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11</v>
          </cell>
          <cell r="AD309">
            <v>6</v>
          </cell>
          <cell r="AE309" t="str">
            <v>everyone</v>
          </cell>
        </row>
        <row r="310">
          <cell r="A310" t="str">
            <v>20004_1</v>
          </cell>
          <cell r="B310">
            <v>3</v>
          </cell>
          <cell r="C310">
            <v>20004</v>
          </cell>
          <cell r="D310" t="str">
            <v>雷雲からの刺客</v>
          </cell>
          <cell r="E310" t="str">
            <v>ドロップイベント1-4</v>
          </cell>
          <cell r="F310">
            <v>1</v>
          </cell>
          <cell r="G310" t="str">
            <v>ja</v>
          </cell>
          <cell r="H310" t="str">
            <v>【初級】雷雲からの刺客(ハートなし)</v>
          </cell>
          <cell r="I310" t="str">
            <v>初級</v>
          </cell>
          <cell r="J310">
            <v>268</v>
          </cell>
          <cell r="K310">
            <v>8</v>
          </cell>
          <cell r="L310">
            <v>384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4</v>
          </cell>
          <cell r="AD310">
            <v>6</v>
          </cell>
          <cell r="AE310" t="str">
            <v>everyone</v>
          </cell>
        </row>
        <row r="311">
          <cell r="A311" t="str">
            <v>20004_2</v>
          </cell>
          <cell r="B311">
            <v>3</v>
          </cell>
          <cell r="C311">
            <v>20004</v>
          </cell>
          <cell r="D311" t="str">
            <v>雷雲からの刺客</v>
          </cell>
          <cell r="E311" t="str">
            <v>ドロップイベント1-4</v>
          </cell>
          <cell r="F311">
            <v>2</v>
          </cell>
          <cell r="G311" t="str">
            <v>ja</v>
          </cell>
          <cell r="H311" t="str">
            <v>【中級】雷雲からの刺客(ハートなし)</v>
          </cell>
          <cell r="I311" t="str">
            <v>中級</v>
          </cell>
          <cell r="J311">
            <v>268</v>
          </cell>
          <cell r="K311">
            <v>15</v>
          </cell>
          <cell r="L311">
            <v>1200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4</v>
          </cell>
          <cell r="AD311">
            <v>6</v>
          </cell>
          <cell r="AE311" t="str">
            <v>everyone</v>
          </cell>
        </row>
        <row r="312">
          <cell r="A312" t="str">
            <v>20004_3</v>
          </cell>
          <cell r="B312">
            <v>3</v>
          </cell>
          <cell r="C312">
            <v>20004</v>
          </cell>
          <cell r="D312" t="str">
            <v>雷雲からの刺客</v>
          </cell>
          <cell r="E312" t="str">
            <v>ドロップイベント1-4</v>
          </cell>
          <cell r="F312">
            <v>3</v>
          </cell>
          <cell r="G312" t="str">
            <v>ja</v>
          </cell>
          <cell r="H312" t="str">
            <v>【上級】雷雲からの刺客(ハートなし)</v>
          </cell>
          <cell r="I312" t="str">
            <v>上級</v>
          </cell>
          <cell r="J312">
            <v>269</v>
          </cell>
          <cell r="K312">
            <v>20</v>
          </cell>
          <cell r="L312">
            <v>2000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0</v>
          </cell>
          <cell r="R312">
            <v>3</v>
          </cell>
          <cell r="S312" t="str">
            <v>polygon</v>
          </cell>
          <cell r="T312">
            <v>1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4</v>
          </cell>
          <cell r="AD312">
            <v>6</v>
          </cell>
          <cell r="AE312" t="str">
            <v>everyone</v>
          </cell>
        </row>
        <row r="313">
          <cell r="A313" t="str">
            <v>20005_1</v>
          </cell>
          <cell r="B313">
            <v>3</v>
          </cell>
          <cell r="C313">
            <v>20005</v>
          </cell>
          <cell r="D313" t="str">
            <v>ザ・キャノン</v>
          </cell>
          <cell r="E313" t="str">
            <v>ドロップイベント2-2</v>
          </cell>
          <cell r="F313">
            <v>1</v>
          </cell>
          <cell r="G313" t="str">
            <v>ja</v>
          </cell>
          <cell r="H313" t="str">
            <v>【初級】ザ・キャノン(4タップ）</v>
          </cell>
          <cell r="I313" t="str">
            <v>初級</v>
          </cell>
          <cell r="J313">
            <v>286</v>
          </cell>
          <cell r="K313">
            <v>8</v>
          </cell>
          <cell r="L313">
            <v>384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4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14</v>
          </cell>
          <cell r="AD313">
            <v>6</v>
          </cell>
          <cell r="AE313" t="str">
            <v>everyone</v>
          </cell>
        </row>
        <row r="314">
          <cell r="A314" t="str">
            <v>20005_2</v>
          </cell>
          <cell r="B314">
            <v>3</v>
          </cell>
          <cell r="C314">
            <v>20005</v>
          </cell>
          <cell r="D314" t="str">
            <v>ザ・キャノン</v>
          </cell>
          <cell r="E314" t="str">
            <v>ドロップイベント2-2</v>
          </cell>
          <cell r="F314">
            <v>2</v>
          </cell>
          <cell r="G314" t="str">
            <v>ja</v>
          </cell>
          <cell r="H314" t="str">
            <v>【中級】ザ・キャノン(4タップ)</v>
          </cell>
          <cell r="I314" t="str">
            <v>中級</v>
          </cell>
          <cell r="J314">
            <v>286</v>
          </cell>
          <cell r="K314">
            <v>15</v>
          </cell>
          <cell r="L314">
            <v>1200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4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14</v>
          </cell>
          <cell r="AD314">
            <v>6</v>
          </cell>
          <cell r="AE314" t="str">
            <v>everyone</v>
          </cell>
        </row>
        <row r="315">
          <cell r="A315" t="str">
            <v>20005_3</v>
          </cell>
          <cell r="B315">
            <v>3</v>
          </cell>
          <cell r="C315">
            <v>20005</v>
          </cell>
          <cell r="D315" t="str">
            <v>ザ・キャノン</v>
          </cell>
          <cell r="E315" t="str">
            <v>ドロップイベント2-2</v>
          </cell>
          <cell r="F315">
            <v>3</v>
          </cell>
          <cell r="G315" t="str">
            <v>ja</v>
          </cell>
          <cell r="H315" t="str">
            <v>【上級】ザ・キャノン(4タップ)</v>
          </cell>
          <cell r="I315" t="str">
            <v>上級</v>
          </cell>
          <cell r="J315">
            <v>287</v>
          </cell>
          <cell r="K315">
            <v>20</v>
          </cell>
          <cell r="L315">
            <v>2000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4</v>
          </cell>
          <cell r="S315" t="str">
            <v>polygon</v>
          </cell>
          <cell r="T315">
            <v>1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14</v>
          </cell>
          <cell r="AD315">
            <v>6</v>
          </cell>
          <cell r="AE315" t="str">
            <v>everyone</v>
          </cell>
        </row>
        <row r="316">
          <cell r="A316" t="str">
            <v>20006_1</v>
          </cell>
          <cell r="B316">
            <v>3</v>
          </cell>
          <cell r="C316">
            <v>20006</v>
          </cell>
          <cell r="D316" t="str">
            <v>スチール・プレデター</v>
          </cell>
          <cell r="E316" t="str">
            <v>ドロップイベント2-3</v>
          </cell>
          <cell r="F316">
            <v>1</v>
          </cell>
          <cell r="G316" t="str">
            <v>ja</v>
          </cell>
          <cell r="H316" t="str">
            <v>【初級】スチール・プレデター</v>
          </cell>
          <cell r="I316" t="str">
            <v>初級</v>
          </cell>
          <cell r="J316">
            <v>280</v>
          </cell>
          <cell r="K316">
            <v>8</v>
          </cell>
          <cell r="L316">
            <v>384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2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19</v>
          </cell>
          <cell r="AD316">
            <v>6</v>
          </cell>
          <cell r="AE316" t="str">
            <v>everyone</v>
          </cell>
        </row>
        <row r="317">
          <cell r="A317" t="str">
            <v>20006_2</v>
          </cell>
          <cell r="B317">
            <v>3</v>
          </cell>
          <cell r="C317">
            <v>20006</v>
          </cell>
          <cell r="D317" t="str">
            <v>スチール・プレデター</v>
          </cell>
          <cell r="E317" t="str">
            <v>ドロップイベント2-3</v>
          </cell>
          <cell r="F317">
            <v>2</v>
          </cell>
          <cell r="G317" t="str">
            <v>ja</v>
          </cell>
          <cell r="H317" t="str">
            <v>【中級】スチール・プレデター</v>
          </cell>
          <cell r="I317" t="str">
            <v>中級</v>
          </cell>
          <cell r="J317">
            <v>280</v>
          </cell>
          <cell r="K317">
            <v>15</v>
          </cell>
          <cell r="L317">
            <v>1200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2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19</v>
          </cell>
          <cell r="AD317">
            <v>6</v>
          </cell>
          <cell r="AE317" t="str">
            <v>everyone</v>
          </cell>
        </row>
        <row r="318">
          <cell r="A318" t="str">
            <v>20006_3</v>
          </cell>
          <cell r="B318">
            <v>3</v>
          </cell>
          <cell r="C318">
            <v>20006</v>
          </cell>
          <cell r="D318" t="str">
            <v>スチール・プレデター</v>
          </cell>
          <cell r="E318" t="str">
            <v>ドロップイベント2-3</v>
          </cell>
          <cell r="F318">
            <v>3</v>
          </cell>
          <cell r="G318" t="str">
            <v>ja</v>
          </cell>
          <cell r="H318" t="str">
            <v>【上級】スチール・プレデター</v>
          </cell>
          <cell r="I318" t="str">
            <v>上級</v>
          </cell>
          <cell r="J318">
            <v>281</v>
          </cell>
          <cell r="K318">
            <v>20</v>
          </cell>
          <cell r="L318">
            <v>2000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2</v>
          </cell>
          <cell r="S318" t="str">
            <v>polygon</v>
          </cell>
          <cell r="T318">
            <v>1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19</v>
          </cell>
          <cell r="AD318">
            <v>6</v>
          </cell>
          <cell r="AE318" t="str">
            <v>everyone</v>
          </cell>
        </row>
        <row r="319">
          <cell r="A319" t="str">
            <v>20007_1</v>
          </cell>
          <cell r="B319">
            <v>3</v>
          </cell>
          <cell r="C319">
            <v>20007</v>
          </cell>
          <cell r="D319" t="str">
            <v>女王陛下の処刑龍</v>
          </cell>
          <cell r="E319" t="str">
            <v>ドロップイベント2-1</v>
          </cell>
          <cell r="F319">
            <v>1</v>
          </cell>
          <cell r="G319" t="str">
            <v>ja</v>
          </cell>
          <cell r="H319" t="str">
            <v>【初級】女王陛下の処刑龍(4タップ)</v>
          </cell>
          <cell r="I319" t="str">
            <v>初級</v>
          </cell>
          <cell r="J319">
            <v>282</v>
          </cell>
          <cell r="K319">
            <v>8</v>
          </cell>
          <cell r="L319">
            <v>384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4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17</v>
          </cell>
          <cell r="AD319">
            <v>6</v>
          </cell>
          <cell r="AE319" t="str">
            <v>everyone</v>
          </cell>
        </row>
        <row r="320">
          <cell r="A320" t="str">
            <v>20007_2</v>
          </cell>
          <cell r="B320">
            <v>3</v>
          </cell>
          <cell r="C320">
            <v>20007</v>
          </cell>
          <cell r="D320" t="str">
            <v>女王陛下の処刑龍</v>
          </cell>
          <cell r="E320" t="str">
            <v>ドロップイベント2-1</v>
          </cell>
          <cell r="F320">
            <v>2</v>
          </cell>
          <cell r="G320" t="str">
            <v>ja</v>
          </cell>
          <cell r="H320" t="str">
            <v>【中級】女王陛下の処刑龍(4タップ)</v>
          </cell>
          <cell r="I320" t="str">
            <v>中級</v>
          </cell>
          <cell r="J320">
            <v>282</v>
          </cell>
          <cell r="K320">
            <v>15</v>
          </cell>
          <cell r="L320">
            <v>1200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4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17</v>
          </cell>
          <cell r="AD320">
            <v>6</v>
          </cell>
          <cell r="AE320" t="str">
            <v>everyone</v>
          </cell>
        </row>
        <row r="321">
          <cell r="A321" t="str">
            <v>20007_3</v>
          </cell>
          <cell r="B321">
            <v>3</v>
          </cell>
          <cell r="C321">
            <v>20007</v>
          </cell>
          <cell r="D321" t="str">
            <v>女王陛下の処刑龍</v>
          </cell>
          <cell r="E321" t="str">
            <v>ドロップイベント2-1</v>
          </cell>
          <cell r="F321">
            <v>3</v>
          </cell>
          <cell r="G321" t="str">
            <v>ja</v>
          </cell>
          <cell r="H321" t="str">
            <v>【上級】女王陛下の処刑龍(4タップ)</v>
          </cell>
          <cell r="I321" t="str">
            <v>上級</v>
          </cell>
          <cell r="J321">
            <v>283</v>
          </cell>
          <cell r="K321">
            <v>20</v>
          </cell>
          <cell r="L321">
            <v>2000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4</v>
          </cell>
          <cell r="S321" t="str">
            <v>polygon</v>
          </cell>
          <cell r="T321">
            <v>1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17</v>
          </cell>
          <cell r="AD321">
            <v>6</v>
          </cell>
          <cell r="AE321" t="str">
            <v>everyone</v>
          </cell>
        </row>
        <row r="322">
          <cell r="A322" t="str">
            <v>20008_1</v>
          </cell>
          <cell r="B322">
            <v>3</v>
          </cell>
          <cell r="C322">
            <v>20008</v>
          </cell>
          <cell r="D322" t="str">
            <v>天翔ける金轟機龍</v>
          </cell>
          <cell r="E322" t="str">
            <v>ドロップイベント2-4</v>
          </cell>
          <cell r="F322">
            <v>1</v>
          </cell>
          <cell r="G322" t="str">
            <v>ja</v>
          </cell>
          <cell r="H322" t="str">
            <v>【初級】天翔ける金轟機龍</v>
          </cell>
          <cell r="I322" t="str">
            <v>初級</v>
          </cell>
          <cell r="J322">
            <v>284</v>
          </cell>
          <cell r="K322">
            <v>8</v>
          </cell>
          <cell r="L322">
            <v>384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8</v>
          </cell>
          <cell r="AD322">
            <v>6</v>
          </cell>
          <cell r="AE322" t="str">
            <v>everyone</v>
          </cell>
        </row>
        <row r="323">
          <cell r="A323" t="str">
            <v>20008_2</v>
          </cell>
          <cell r="B323">
            <v>3</v>
          </cell>
          <cell r="C323">
            <v>20008</v>
          </cell>
          <cell r="D323" t="str">
            <v>天翔ける金轟機龍</v>
          </cell>
          <cell r="E323" t="str">
            <v>ドロップイベント2-4</v>
          </cell>
          <cell r="F323">
            <v>2</v>
          </cell>
          <cell r="G323" t="str">
            <v>ja</v>
          </cell>
          <cell r="H323" t="str">
            <v>【中級】天翔ける金轟機龍</v>
          </cell>
          <cell r="I323" t="str">
            <v>中級</v>
          </cell>
          <cell r="J323">
            <v>284</v>
          </cell>
          <cell r="K323">
            <v>15</v>
          </cell>
          <cell r="L323">
            <v>1200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8</v>
          </cell>
          <cell r="AD323">
            <v>6</v>
          </cell>
          <cell r="AE323" t="str">
            <v>everyone</v>
          </cell>
        </row>
        <row r="324">
          <cell r="A324" t="str">
            <v>20008_3</v>
          </cell>
          <cell r="B324">
            <v>3</v>
          </cell>
          <cell r="C324">
            <v>20008</v>
          </cell>
          <cell r="D324" t="str">
            <v>天翔ける金轟機龍</v>
          </cell>
          <cell r="E324" t="str">
            <v>ドロップイベント2-4</v>
          </cell>
          <cell r="F324">
            <v>3</v>
          </cell>
          <cell r="G324" t="str">
            <v>ja</v>
          </cell>
          <cell r="H324" t="str">
            <v>【上級】天翔ける金轟機龍</v>
          </cell>
          <cell r="I324" t="str">
            <v>上級</v>
          </cell>
          <cell r="J324">
            <v>285</v>
          </cell>
          <cell r="K324">
            <v>20</v>
          </cell>
          <cell r="L324">
            <v>2000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polygon</v>
          </cell>
          <cell r="T324">
            <v>1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8</v>
          </cell>
          <cell r="AD324">
            <v>6</v>
          </cell>
          <cell r="AE324" t="str">
            <v>everyone</v>
          </cell>
        </row>
        <row r="325">
          <cell r="A325" t="str">
            <v>20009_1</v>
          </cell>
          <cell r="B325">
            <v>0</v>
          </cell>
          <cell r="C325">
            <v>20009</v>
          </cell>
          <cell r="D325" t="str">
            <v>迫り来る窒息</v>
          </cell>
          <cell r="E325" t="str">
            <v>ドロップイベント3</v>
          </cell>
          <cell r="F325">
            <v>1</v>
          </cell>
          <cell r="G325" t="str">
            <v>ja</v>
          </cell>
          <cell r="H325" t="str">
            <v>【初級】迫り来る窒息</v>
          </cell>
          <cell r="I325" t="str">
            <v>初級</v>
          </cell>
          <cell r="J325" t="str">
            <v>NULL</v>
          </cell>
          <cell r="K325">
            <v>8</v>
          </cell>
          <cell r="L325">
            <v>384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25</v>
          </cell>
          <cell r="AD325">
            <v>5</v>
          </cell>
          <cell r="AE325" t="str">
            <v>everyone</v>
          </cell>
        </row>
        <row r="326">
          <cell r="A326" t="str">
            <v>20009_2</v>
          </cell>
          <cell r="B326">
            <v>3</v>
          </cell>
          <cell r="C326">
            <v>20009</v>
          </cell>
          <cell r="D326" t="str">
            <v>迫り来る窒息</v>
          </cell>
          <cell r="E326" t="str">
            <v>ドロップイベント3</v>
          </cell>
          <cell r="F326">
            <v>2</v>
          </cell>
          <cell r="G326" t="str">
            <v>ja</v>
          </cell>
          <cell r="H326" t="str">
            <v>【中級】迫り来る窒息</v>
          </cell>
          <cell r="I326" t="str">
            <v>中級</v>
          </cell>
          <cell r="J326">
            <v>302</v>
          </cell>
          <cell r="K326">
            <v>15</v>
          </cell>
          <cell r="L326">
            <v>1200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25</v>
          </cell>
          <cell r="AD326">
            <v>5</v>
          </cell>
          <cell r="AE326" t="str">
            <v>everyone</v>
          </cell>
        </row>
        <row r="327">
          <cell r="A327" t="str">
            <v>20009_3</v>
          </cell>
          <cell r="B327">
            <v>3</v>
          </cell>
          <cell r="C327">
            <v>20009</v>
          </cell>
          <cell r="D327" t="str">
            <v>迫り来る窒息</v>
          </cell>
          <cell r="E327" t="str">
            <v>ドロップイベント3</v>
          </cell>
          <cell r="F327">
            <v>3</v>
          </cell>
          <cell r="G327" t="str">
            <v>ja</v>
          </cell>
          <cell r="H327" t="str">
            <v>【上級】迫り来る窒息</v>
          </cell>
          <cell r="I327" t="str">
            <v>上級</v>
          </cell>
          <cell r="J327">
            <v>303</v>
          </cell>
          <cell r="K327">
            <v>20</v>
          </cell>
          <cell r="L327">
            <v>2000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polygon</v>
          </cell>
          <cell r="T327">
            <v>1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25</v>
          </cell>
          <cell r="AD327">
            <v>5</v>
          </cell>
          <cell r="AE327" t="str">
            <v>everyone</v>
          </cell>
        </row>
        <row r="328">
          <cell r="A328" t="str">
            <v>20010_1</v>
          </cell>
          <cell r="B328">
            <v>3</v>
          </cell>
          <cell r="C328">
            <v>20010</v>
          </cell>
          <cell r="D328" t="str">
            <v>悪夢の一目惚れ</v>
          </cell>
          <cell r="E328" t="str">
            <v>ドロップイベント3</v>
          </cell>
          <cell r="F328">
            <v>1</v>
          </cell>
          <cell r="G328" t="str">
            <v>ja</v>
          </cell>
          <cell r="H328" t="str">
            <v>【初級】悪夢の一目惚れ</v>
          </cell>
          <cell r="I328" t="str">
            <v>初級</v>
          </cell>
          <cell r="J328">
            <v>304</v>
          </cell>
          <cell r="K328">
            <v>8</v>
          </cell>
          <cell r="L328">
            <v>384</v>
          </cell>
          <cell r="M328">
            <v>1</v>
          </cell>
          <cell r="N328">
            <v>1</v>
          </cell>
          <cell r="O328">
            <v>0</v>
          </cell>
          <cell r="P328">
            <v>1</v>
          </cell>
          <cell r="Q328">
            <v>1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2601</v>
          </cell>
          <cell r="AD328">
            <v>6</v>
          </cell>
          <cell r="AE328" t="str">
            <v>everyone</v>
          </cell>
        </row>
        <row r="329">
          <cell r="A329" t="str">
            <v>20010_2</v>
          </cell>
          <cell r="B329">
            <v>3</v>
          </cell>
          <cell r="C329">
            <v>20010</v>
          </cell>
          <cell r="D329" t="str">
            <v>悪夢の一目惚れ</v>
          </cell>
          <cell r="E329" t="str">
            <v>ドロップイベント3</v>
          </cell>
          <cell r="F329">
            <v>2</v>
          </cell>
          <cell r="G329" t="str">
            <v>ja</v>
          </cell>
          <cell r="H329" t="str">
            <v>【中級】悪夢の一目惚れ</v>
          </cell>
          <cell r="I329" t="str">
            <v>中級</v>
          </cell>
          <cell r="J329">
            <v>304</v>
          </cell>
          <cell r="K329">
            <v>15</v>
          </cell>
          <cell r="L329">
            <v>1200</v>
          </cell>
          <cell r="M329">
            <v>1</v>
          </cell>
          <cell r="N329">
            <v>1</v>
          </cell>
          <cell r="O329">
            <v>0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2601</v>
          </cell>
          <cell r="AD329">
            <v>6</v>
          </cell>
          <cell r="AE329" t="str">
            <v>everyone</v>
          </cell>
        </row>
        <row r="330">
          <cell r="A330" t="str">
            <v>20010_3</v>
          </cell>
          <cell r="B330">
            <v>3</v>
          </cell>
          <cell r="C330">
            <v>20010</v>
          </cell>
          <cell r="D330" t="str">
            <v>悪夢の一目惚れ</v>
          </cell>
          <cell r="E330" t="str">
            <v>ドロップイベント3</v>
          </cell>
          <cell r="F330">
            <v>3</v>
          </cell>
          <cell r="G330" t="str">
            <v>ja</v>
          </cell>
          <cell r="H330" t="str">
            <v>【上級】悪夢の一目惚れ</v>
          </cell>
          <cell r="I330" t="str">
            <v>上級</v>
          </cell>
          <cell r="J330">
            <v>305</v>
          </cell>
          <cell r="K330">
            <v>20</v>
          </cell>
          <cell r="L330">
            <v>2000</v>
          </cell>
          <cell r="M330">
            <v>1</v>
          </cell>
          <cell r="N330">
            <v>1</v>
          </cell>
          <cell r="O330">
            <v>0</v>
          </cell>
          <cell r="P330">
            <v>1</v>
          </cell>
          <cell r="Q330">
            <v>1</v>
          </cell>
          <cell r="R330">
            <v>3</v>
          </cell>
          <cell r="S330" t="str">
            <v>polygon</v>
          </cell>
          <cell r="T330">
            <v>1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2601</v>
          </cell>
          <cell r="AD330">
            <v>6</v>
          </cell>
          <cell r="AE330" t="str">
            <v>everyone</v>
          </cell>
        </row>
        <row r="331">
          <cell r="A331" t="str">
            <v>20011_1</v>
          </cell>
          <cell r="B331">
            <v>3</v>
          </cell>
          <cell r="C331">
            <v>20011</v>
          </cell>
          <cell r="D331" t="str">
            <v>すべてが灰になる</v>
          </cell>
          <cell r="E331" t="str">
            <v>ドロップイベント3</v>
          </cell>
          <cell r="F331">
            <v>1</v>
          </cell>
          <cell r="G331" t="str">
            <v>ja</v>
          </cell>
          <cell r="H331" t="str">
            <v>【初級】すべてが灰になる</v>
          </cell>
          <cell r="I331" t="str">
            <v>初級</v>
          </cell>
          <cell r="J331">
            <v>298</v>
          </cell>
          <cell r="K331">
            <v>8</v>
          </cell>
          <cell r="L331">
            <v>384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10</v>
          </cell>
          <cell r="AD331">
            <v>5</v>
          </cell>
          <cell r="AE331" t="str">
            <v>everyone</v>
          </cell>
        </row>
        <row r="332">
          <cell r="A332" t="str">
            <v>20011_2</v>
          </cell>
          <cell r="B332">
            <v>3</v>
          </cell>
          <cell r="C332">
            <v>20011</v>
          </cell>
          <cell r="D332" t="str">
            <v>すべてが灰になる</v>
          </cell>
          <cell r="E332" t="str">
            <v>ドロップイベント3</v>
          </cell>
          <cell r="F332">
            <v>2</v>
          </cell>
          <cell r="G332" t="str">
            <v>ja</v>
          </cell>
          <cell r="H332" t="str">
            <v>【中級】すべてが灰になる</v>
          </cell>
          <cell r="I332" t="str">
            <v>中級</v>
          </cell>
          <cell r="J332">
            <v>298</v>
          </cell>
          <cell r="K332">
            <v>15</v>
          </cell>
          <cell r="L332">
            <v>1200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10</v>
          </cell>
          <cell r="AD332">
            <v>5</v>
          </cell>
          <cell r="AE332" t="str">
            <v>everyone</v>
          </cell>
        </row>
        <row r="333">
          <cell r="A333" t="str">
            <v>20011_3</v>
          </cell>
          <cell r="B333">
            <v>3</v>
          </cell>
          <cell r="C333">
            <v>20011</v>
          </cell>
          <cell r="D333" t="str">
            <v>すべてが灰になる</v>
          </cell>
          <cell r="E333" t="str">
            <v>ドロップイベント3</v>
          </cell>
          <cell r="F333">
            <v>3</v>
          </cell>
          <cell r="G333" t="str">
            <v>ja</v>
          </cell>
          <cell r="H333" t="str">
            <v>【上級】すべてが灰になる</v>
          </cell>
          <cell r="I333" t="str">
            <v>上級</v>
          </cell>
          <cell r="J333">
            <v>299</v>
          </cell>
          <cell r="K333">
            <v>20</v>
          </cell>
          <cell r="L333">
            <v>2000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polygon</v>
          </cell>
          <cell r="T333">
            <v>1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10</v>
          </cell>
          <cell r="AD333">
            <v>5</v>
          </cell>
          <cell r="AE333" t="str">
            <v>everyone</v>
          </cell>
        </row>
        <row r="334">
          <cell r="A334" t="str">
            <v>20012_1</v>
          </cell>
          <cell r="B334">
            <v>3</v>
          </cell>
          <cell r="C334">
            <v>20012</v>
          </cell>
          <cell r="D334" t="str">
            <v>罪と劇薬</v>
          </cell>
          <cell r="E334" t="str">
            <v>ドロップイベント3</v>
          </cell>
          <cell r="F334">
            <v>1</v>
          </cell>
          <cell r="G334" t="str">
            <v>ja</v>
          </cell>
          <cell r="H334" t="str">
            <v>【初級】罪と劇薬</v>
          </cell>
          <cell r="I334" t="str">
            <v>初級</v>
          </cell>
          <cell r="J334">
            <v>300</v>
          </cell>
          <cell r="K334">
            <v>8</v>
          </cell>
          <cell r="L334">
            <v>384</v>
          </cell>
          <cell r="M334">
            <v>0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19</v>
          </cell>
          <cell r="AD334">
            <v>6</v>
          </cell>
          <cell r="AE334" t="str">
            <v>everyone</v>
          </cell>
        </row>
        <row r="335">
          <cell r="A335" t="str">
            <v>20012_2</v>
          </cell>
          <cell r="B335">
            <v>3</v>
          </cell>
          <cell r="C335">
            <v>20012</v>
          </cell>
          <cell r="D335" t="str">
            <v>罪と劇薬</v>
          </cell>
          <cell r="E335" t="str">
            <v>ドロップイベント3</v>
          </cell>
          <cell r="F335">
            <v>2</v>
          </cell>
          <cell r="G335" t="str">
            <v>ja</v>
          </cell>
          <cell r="H335" t="str">
            <v>【中級】罪と劇薬</v>
          </cell>
          <cell r="I335" t="str">
            <v>中級</v>
          </cell>
          <cell r="J335">
            <v>300</v>
          </cell>
          <cell r="K335">
            <v>15</v>
          </cell>
          <cell r="L335">
            <v>1200</v>
          </cell>
          <cell r="M335">
            <v>0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19</v>
          </cell>
          <cell r="AD335">
            <v>6</v>
          </cell>
          <cell r="AE335" t="str">
            <v>everyone</v>
          </cell>
        </row>
        <row r="336">
          <cell r="A336" t="str">
            <v>20012_3</v>
          </cell>
          <cell r="B336">
            <v>3</v>
          </cell>
          <cell r="C336">
            <v>20012</v>
          </cell>
          <cell r="D336" t="str">
            <v>罪と劇薬</v>
          </cell>
          <cell r="E336" t="str">
            <v>ドロップイベント3</v>
          </cell>
          <cell r="F336">
            <v>3</v>
          </cell>
          <cell r="G336" t="str">
            <v>ja</v>
          </cell>
          <cell r="H336" t="str">
            <v>【上級】罪と劇薬</v>
          </cell>
          <cell r="I336" t="str">
            <v>上級</v>
          </cell>
          <cell r="J336">
            <v>301</v>
          </cell>
          <cell r="K336">
            <v>20</v>
          </cell>
          <cell r="L336">
            <v>2000</v>
          </cell>
          <cell r="M336">
            <v>0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polygon</v>
          </cell>
          <cell r="T336">
            <v>1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19</v>
          </cell>
          <cell r="AD336">
            <v>6</v>
          </cell>
          <cell r="AE336" t="str">
            <v>everyone</v>
          </cell>
        </row>
        <row r="337">
          <cell r="A337" t="str">
            <v>30001_1</v>
          </cell>
          <cell r="B337">
            <v>3</v>
          </cell>
          <cell r="C337">
            <v>30001</v>
          </cell>
          <cell r="D337" t="str">
            <v>ハンター・オブ・ハンター</v>
          </cell>
          <cell r="E337" t="str">
            <v>ドロップイベント1-1（マルチ専用）</v>
          </cell>
          <cell r="F337">
            <v>1</v>
          </cell>
          <cell r="G337" t="str">
            <v>ja</v>
          </cell>
          <cell r="H337" t="str">
            <v xml:space="preserve">【中級】ハンター・オブ・ハンター </v>
          </cell>
          <cell r="I337" t="str">
            <v>中級</v>
          </cell>
          <cell r="J337">
            <v>270</v>
          </cell>
          <cell r="K337">
            <v>15</v>
          </cell>
          <cell r="L337">
            <v>1200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7</v>
          </cell>
          <cell r="AD337">
            <v>6</v>
          </cell>
          <cell r="AE337" t="str">
            <v>everyone</v>
          </cell>
        </row>
        <row r="338">
          <cell r="A338" t="str">
            <v>30001_2</v>
          </cell>
          <cell r="B338">
            <v>3</v>
          </cell>
          <cell r="C338">
            <v>30001</v>
          </cell>
          <cell r="D338" t="str">
            <v>ハンター・オブ・ハンター</v>
          </cell>
          <cell r="E338" t="str">
            <v>ドロップイベント1-1（マルチ専用）</v>
          </cell>
          <cell r="F338">
            <v>2</v>
          </cell>
          <cell r="G338" t="str">
            <v>ja</v>
          </cell>
          <cell r="H338" t="str">
            <v xml:space="preserve">【上級】ハンター・オブ・ハンター </v>
          </cell>
          <cell r="I338" t="str">
            <v>上級</v>
          </cell>
          <cell r="J338">
            <v>270</v>
          </cell>
          <cell r="K338">
            <v>20</v>
          </cell>
          <cell r="L338">
            <v>2000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7</v>
          </cell>
          <cell r="AD338">
            <v>6</v>
          </cell>
          <cell r="AE338" t="str">
            <v>everyone</v>
          </cell>
        </row>
        <row r="339">
          <cell r="A339" t="str">
            <v>30001_3</v>
          </cell>
          <cell r="B339">
            <v>3</v>
          </cell>
          <cell r="C339">
            <v>30001</v>
          </cell>
          <cell r="D339" t="str">
            <v>ハンター・オブ・ハンター</v>
          </cell>
          <cell r="E339" t="str">
            <v>ドロップイベント1-1（マルチ専用）</v>
          </cell>
          <cell r="F339">
            <v>3</v>
          </cell>
          <cell r="G339" t="str">
            <v>ja</v>
          </cell>
          <cell r="H339" t="str">
            <v xml:space="preserve">【超級】ハンター・オブ・ハンター </v>
          </cell>
          <cell r="I339" t="str">
            <v>超級</v>
          </cell>
          <cell r="J339">
            <v>271</v>
          </cell>
          <cell r="K339">
            <v>30</v>
          </cell>
          <cell r="L339">
            <v>3300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polygon</v>
          </cell>
          <cell r="T339">
            <v>1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7</v>
          </cell>
          <cell r="AD339">
            <v>6</v>
          </cell>
          <cell r="AE339" t="str">
            <v>everyone</v>
          </cell>
        </row>
        <row r="340">
          <cell r="A340" t="str">
            <v>30002_1</v>
          </cell>
          <cell r="B340">
            <v>3</v>
          </cell>
          <cell r="C340">
            <v>30002</v>
          </cell>
          <cell r="D340" t="str">
            <v>トリックスター</v>
          </cell>
          <cell r="E340" t="str">
            <v>ドロップイベント1-2（マルチ専用）</v>
          </cell>
          <cell r="F340">
            <v>1</v>
          </cell>
          <cell r="G340" t="str">
            <v>ja</v>
          </cell>
          <cell r="H340" t="str">
            <v xml:space="preserve">【中級】トリックスター </v>
          </cell>
          <cell r="I340" t="str">
            <v>中級</v>
          </cell>
          <cell r="J340">
            <v>272</v>
          </cell>
          <cell r="K340">
            <v>15</v>
          </cell>
          <cell r="L340">
            <v>1200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17</v>
          </cell>
          <cell r="AD340">
            <v>6</v>
          </cell>
          <cell r="AE340" t="str">
            <v>everyone</v>
          </cell>
        </row>
        <row r="341">
          <cell r="A341" t="str">
            <v>30002_2</v>
          </cell>
          <cell r="B341">
            <v>3</v>
          </cell>
          <cell r="C341">
            <v>30002</v>
          </cell>
          <cell r="D341" t="str">
            <v>トリックスター</v>
          </cell>
          <cell r="E341" t="str">
            <v>ドロップイベント1-2（マルチ専用）</v>
          </cell>
          <cell r="F341">
            <v>2</v>
          </cell>
          <cell r="G341" t="str">
            <v>ja</v>
          </cell>
          <cell r="H341" t="str">
            <v xml:space="preserve">【上級】トリックスター </v>
          </cell>
          <cell r="I341" t="str">
            <v>上級</v>
          </cell>
          <cell r="J341">
            <v>272</v>
          </cell>
          <cell r="K341">
            <v>20</v>
          </cell>
          <cell r="L341">
            <v>2000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17</v>
          </cell>
          <cell r="AD341">
            <v>6</v>
          </cell>
          <cell r="AE341" t="str">
            <v>everyone</v>
          </cell>
        </row>
        <row r="342">
          <cell r="A342" t="str">
            <v>30002_3</v>
          </cell>
          <cell r="B342">
            <v>3</v>
          </cell>
          <cell r="C342">
            <v>30002</v>
          </cell>
          <cell r="D342" t="str">
            <v>トリックスター</v>
          </cell>
          <cell r="E342" t="str">
            <v>ドロップイベント1-2（マルチ専用）</v>
          </cell>
          <cell r="F342">
            <v>3</v>
          </cell>
          <cell r="G342" t="str">
            <v>ja</v>
          </cell>
          <cell r="H342" t="str">
            <v xml:space="preserve">【超級】トリックスター </v>
          </cell>
          <cell r="I342" t="str">
            <v>超級</v>
          </cell>
          <cell r="J342">
            <v>273</v>
          </cell>
          <cell r="K342">
            <v>30</v>
          </cell>
          <cell r="L342">
            <v>3300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polygon</v>
          </cell>
          <cell r="T342">
            <v>1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17</v>
          </cell>
          <cell r="AD342">
            <v>6</v>
          </cell>
          <cell r="AE342" t="str">
            <v>everyone</v>
          </cell>
        </row>
        <row r="343">
          <cell r="A343" t="str">
            <v>30003_1</v>
          </cell>
          <cell r="B343">
            <v>3</v>
          </cell>
          <cell r="C343">
            <v>30003</v>
          </cell>
          <cell r="D343" t="str">
            <v>打ち下ろされる砕棒</v>
          </cell>
          <cell r="E343" t="str">
            <v>ドロップイベント1-3（マルチ専用）</v>
          </cell>
          <cell r="F343">
            <v>1</v>
          </cell>
          <cell r="G343" t="str">
            <v>ja</v>
          </cell>
          <cell r="H343" t="str">
            <v xml:space="preserve">【中級】打ち下ろされる砕棒 </v>
          </cell>
          <cell r="I343" t="str">
            <v>中級</v>
          </cell>
          <cell r="J343">
            <v>274</v>
          </cell>
          <cell r="K343">
            <v>15</v>
          </cell>
          <cell r="L343">
            <v>1200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20</v>
          </cell>
          <cell r="AD343">
            <v>6</v>
          </cell>
          <cell r="AE343" t="str">
            <v>everyone</v>
          </cell>
        </row>
        <row r="344">
          <cell r="A344" t="str">
            <v>30003_2</v>
          </cell>
          <cell r="B344">
            <v>3</v>
          </cell>
          <cell r="C344">
            <v>30003</v>
          </cell>
          <cell r="D344" t="str">
            <v>打ち下ろされる砕棒</v>
          </cell>
          <cell r="E344" t="str">
            <v>ドロップイベント1-3（マルチ専用）</v>
          </cell>
          <cell r="F344">
            <v>2</v>
          </cell>
          <cell r="G344" t="str">
            <v>ja</v>
          </cell>
          <cell r="H344" t="str">
            <v>【上級】打ち下ろされる砕棒</v>
          </cell>
          <cell r="I344" t="str">
            <v>上級</v>
          </cell>
          <cell r="J344">
            <v>274</v>
          </cell>
          <cell r="K344">
            <v>20</v>
          </cell>
          <cell r="L344">
            <v>2000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20</v>
          </cell>
          <cell r="AD344">
            <v>6</v>
          </cell>
          <cell r="AE344" t="str">
            <v>everyone</v>
          </cell>
        </row>
        <row r="345">
          <cell r="A345" t="str">
            <v>30003_3</v>
          </cell>
          <cell r="B345">
            <v>3</v>
          </cell>
          <cell r="C345">
            <v>30003</v>
          </cell>
          <cell r="D345" t="str">
            <v>打ち下ろされる砕棒</v>
          </cell>
          <cell r="E345" t="str">
            <v>ドロップイベント1-3（マルチ専用）</v>
          </cell>
          <cell r="F345">
            <v>3</v>
          </cell>
          <cell r="G345" t="str">
            <v>ja</v>
          </cell>
          <cell r="H345" t="str">
            <v xml:space="preserve">【超級】打ち下ろされる砕棒 </v>
          </cell>
          <cell r="I345" t="str">
            <v>超級</v>
          </cell>
          <cell r="J345">
            <v>275</v>
          </cell>
          <cell r="K345">
            <v>30</v>
          </cell>
          <cell r="L345">
            <v>3300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polygon</v>
          </cell>
          <cell r="T345">
            <v>1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20</v>
          </cell>
          <cell r="AD345">
            <v>6</v>
          </cell>
          <cell r="AE345" t="str">
            <v>everyone</v>
          </cell>
        </row>
        <row r="346">
          <cell r="A346" t="str">
            <v>30004_1</v>
          </cell>
          <cell r="B346">
            <v>3</v>
          </cell>
          <cell r="C346">
            <v>30004</v>
          </cell>
          <cell r="D346" t="str">
            <v>危険な仲裁者</v>
          </cell>
          <cell r="E346" t="str">
            <v>ドロップイベント1-4（マルチ専用）</v>
          </cell>
          <cell r="F346">
            <v>1</v>
          </cell>
          <cell r="G346" t="str">
            <v>ja</v>
          </cell>
          <cell r="H346" t="str">
            <v xml:space="preserve">【中級】危険な仲裁者 </v>
          </cell>
          <cell r="I346" t="str">
            <v>中級</v>
          </cell>
          <cell r="J346">
            <v>276</v>
          </cell>
          <cell r="K346">
            <v>15</v>
          </cell>
          <cell r="L346">
            <v>1200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14</v>
          </cell>
          <cell r="AD346">
            <v>6</v>
          </cell>
          <cell r="AE346" t="str">
            <v>everyone</v>
          </cell>
        </row>
        <row r="347">
          <cell r="A347" t="str">
            <v>30004_2</v>
          </cell>
          <cell r="B347">
            <v>3</v>
          </cell>
          <cell r="C347">
            <v>30004</v>
          </cell>
          <cell r="D347" t="str">
            <v>危険な仲裁者</v>
          </cell>
          <cell r="E347" t="str">
            <v>ドロップイベント1-4（マルチ専用）</v>
          </cell>
          <cell r="F347">
            <v>2</v>
          </cell>
          <cell r="G347" t="str">
            <v>ja</v>
          </cell>
          <cell r="H347" t="str">
            <v xml:space="preserve">【上級】危険な仲裁者 </v>
          </cell>
          <cell r="I347" t="str">
            <v>上級</v>
          </cell>
          <cell r="J347">
            <v>276</v>
          </cell>
          <cell r="K347">
            <v>20</v>
          </cell>
          <cell r="L347">
            <v>2000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14</v>
          </cell>
          <cell r="AD347">
            <v>6</v>
          </cell>
          <cell r="AE347" t="str">
            <v>everyone</v>
          </cell>
        </row>
        <row r="348">
          <cell r="A348" t="str">
            <v>30004_3</v>
          </cell>
          <cell r="B348">
            <v>3</v>
          </cell>
          <cell r="C348">
            <v>30004</v>
          </cell>
          <cell r="D348" t="str">
            <v>危険な仲裁者</v>
          </cell>
          <cell r="E348" t="str">
            <v>ドロップイベント1-4（マルチ専用）</v>
          </cell>
          <cell r="F348">
            <v>3</v>
          </cell>
          <cell r="G348" t="str">
            <v>ja</v>
          </cell>
          <cell r="H348" t="str">
            <v xml:space="preserve">【超級】危険な仲裁者 </v>
          </cell>
          <cell r="I348" t="str">
            <v>超級</v>
          </cell>
          <cell r="J348">
            <v>277</v>
          </cell>
          <cell r="K348">
            <v>30</v>
          </cell>
          <cell r="L348">
            <v>3300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polygon</v>
          </cell>
          <cell r="T348">
            <v>1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14</v>
          </cell>
          <cell r="AD348">
            <v>6</v>
          </cell>
          <cell r="AE348" t="str">
            <v>everyone</v>
          </cell>
        </row>
        <row r="349">
          <cell r="A349" t="str">
            <v>30005_1</v>
          </cell>
          <cell r="B349">
            <v>3</v>
          </cell>
          <cell r="C349">
            <v>30005</v>
          </cell>
          <cell r="D349" t="str">
            <v>ニンゲンにしてあげる☆</v>
          </cell>
          <cell r="E349" t="str">
            <v>ドロップイベント2-1（マルチ専用）</v>
          </cell>
          <cell r="F349">
            <v>1</v>
          </cell>
          <cell r="G349" t="str">
            <v>ja</v>
          </cell>
          <cell r="H349" t="str">
            <v xml:space="preserve">【中級】ニンゲンにしてあげる </v>
          </cell>
          <cell r="I349" t="str">
            <v>中級</v>
          </cell>
          <cell r="J349">
            <v>290</v>
          </cell>
          <cell r="K349">
            <v>15</v>
          </cell>
          <cell r="L349">
            <v>1200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11</v>
          </cell>
          <cell r="AD349">
            <v>6</v>
          </cell>
          <cell r="AE349" t="str">
            <v>everyone</v>
          </cell>
        </row>
        <row r="350">
          <cell r="A350" t="str">
            <v>30005_2</v>
          </cell>
          <cell r="B350">
            <v>3</v>
          </cell>
          <cell r="C350">
            <v>30005</v>
          </cell>
          <cell r="D350" t="str">
            <v>ニンゲンにしてあげる☆</v>
          </cell>
          <cell r="E350" t="str">
            <v>ドロップイベント2-1（マルチ専用）</v>
          </cell>
          <cell r="F350">
            <v>2</v>
          </cell>
          <cell r="G350" t="str">
            <v>ja</v>
          </cell>
          <cell r="H350" t="str">
            <v xml:space="preserve">【上級】ニンゲンにしてあげる </v>
          </cell>
          <cell r="I350" t="str">
            <v>上級</v>
          </cell>
          <cell r="J350">
            <v>290</v>
          </cell>
          <cell r="K350">
            <v>20</v>
          </cell>
          <cell r="L350">
            <v>2000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11</v>
          </cell>
          <cell r="AD350">
            <v>6</v>
          </cell>
          <cell r="AE350" t="str">
            <v>everyone</v>
          </cell>
        </row>
        <row r="351">
          <cell r="A351" t="str">
            <v>30005_3</v>
          </cell>
          <cell r="B351">
            <v>3</v>
          </cell>
          <cell r="C351">
            <v>30005</v>
          </cell>
          <cell r="D351" t="str">
            <v>ニンゲンにしてあげる☆</v>
          </cell>
          <cell r="E351" t="str">
            <v>ドロップイベント2-1（マルチ専用）</v>
          </cell>
          <cell r="F351">
            <v>3</v>
          </cell>
          <cell r="G351" t="str">
            <v>ja</v>
          </cell>
          <cell r="H351" t="str">
            <v>【超級】ニンゲンにしてあげる</v>
          </cell>
          <cell r="I351" t="str">
            <v>超級</v>
          </cell>
          <cell r="J351">
            <v>291</v>
          </cell>
          <cell r="K351">
            <v>30</v>
          </cell>
          <cell r="L351">
            <v>3300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polygon</v>
          </cell>
          <cell r="T351">
            <v>1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11</v>
          </cell>
          <cell r="AD351">
            <v>6</v>
          </cell>
          <cell r="AE351" t="str">
            <v>everyone</v>
          </cell>
        </row>
        <row r="352">
          <cell r="A352" t="str">
            <v>30006_1</v>
          </cell>
          <cell r="B352">
            <v>3</v>
          </cell>
          <cell r="C352">
            <v>30006</v>
          </cell>
          <cell r="D352" t="str">
            <v>それはお前を食べるためさ</v>
          </cell>
          <cell r="E352" t="str">
            <v>ドロップイベント2-3（マルチ専用）</v>
          </cell>
          <cell r="F352">
            <v>1</v>
          </cell>
          <cell r="G352" t="str">
            <v>ja</v>
          </cell>
          <cell r="H352" t="str">
            <v>【中級】それはお前を食べるためさ</v>
          </cell>
          <cell r="I352" t="str">
            <v>中級</v>
          </cell>
          <cell r="J352">
            <v>294</v>
          </cell>
          <cell r="K352">
            <v>15</v>
          </cell>
          <cell r="L352">
            <v>1200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7</v>
          </cell>
          <cell r="AD352">
            <v>6</v>
          </cell>
          <cell r="AE352" t="str">
            <v>everyone</v>
          </cell>
        </row>
        <row r="353">
          <cell r="A353" t="str">
            <v>30006_2</v>
          </cell>
          <cell r="B353">
            <v>3</v>
          </cell>
          <cell r="C353">
            <v>30006</v>
          </cell>
          <cell r="D353" t="str">
            <v>それはお前を食べるためさ</v>
          </cell>
          <cell r="E353" t="str">
            <v>ドロップイベント2-3（マルチ専用）</v>
          </cell>
          <cell r="F353">
            <v>2</v>
          </cell>
          <cell r="G353" t="str">
            <v>ja</v>
          </cell>
          <cell r="H353" t="str">
            <v>【上級】それはお前を食べるためさ</v>
          </cell>
          <cell r="I353" t="str">
            <v>上級</v>
          </cell>
          <cell r="J353">
            <v>294</v>
          </cell>
          <cell r="K353">
            <v>20</v>
          </cell>
          <cell r="L353">
            <v>2000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7</v>
          </cell>
          <cell r="AD353">
            <v>6</v>
          </cell>
          <cell r="AE353" t="str">
            <v>everyone</v>
          </cell>
        </row>
        <row r="354">
          <cell r="A354" t="str">
            <v>30006_3</v>
          </cell>
          <cell r="B354">
            <v>3</v>
          </cell>
          <cell r="C354">
            <v>30006</v>
          </cell>
          <cell r="D354" t="str">
            <v>それはお前を食べるためさ</v>
          </cell>
          <cell r="E354" t="str">
            <v>ドロップイベント2-3（マルチ専用）</v>
          </cell>
          <cell r="F354">
            <v>3</v>
          </cell>
          <cell r="G354" t="str">
            <v>ja</v>
          </cell>
          <cell r="H354" t="str">
            <v>【超級】それはお前を食べるためさ</v>
          </cell>
          <cell r="I354" t="str">
            <v>超級</v>
          </cell>
          <cell r="J354">
            <v>295</v>
          </cell>
          <cell r="K354">
            <v>30</v>
          </cell>
          <cell r="L354">
            <v>3300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polygon</v>
          </cell>
          <cell r="T354">
            <v>1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7</v>
          </cell>
          <cell r="AD354">
            <v>6</v>
          </cell>
          <cell r="AE354" t="str">
            <v>everyone</v>
          </cell>
        </row>
        <row r="355">
          <cell r="A355" t="str">
            <v>30007_1</v>
          </cell>
          <cell r="B355">
            <v>3</v>
          </cell>
          <cell r="C355">
            <v>30007</v>
          </cell>
          <cell r="D355" t="str">
            <v>ガラスの靴は私のもの</v>
          </cell>
          <cell r="E355" t="str">
            <v>ドロップイベント2-2（マルチ専用）</v>
          </cell>
          <cell r="F355">
            <v>1</v>
          </cell>
          <cell r="G355" t="str">
            <v>ja</v>
          </cell>
          <cell r="H355" t="str">
            <v xml:space="preserve">【中級】ガラスの靴は私のもの </v>
          </cell>
          <cell r="I355" t="str">
            <v>中級</v>
          </cell>
          <cell r="J355">
            <v>292</v>
          </cell>
          <cell r="K355">
            <v>15</v>
          </cell>
          <cell r="L355">
            <v>1200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9</v>
          </cell>
          <cell r="AD355">
            <v>6</v>
          </cell>
          <cell r="AE355" t="str">
            <v>everyone</v>
          </cell>
        </row>
        <row r="356">
          <cell r="A356" t="str">
            <v>30007_2</v>
          </cell>
          <cell r="B356">
            <v>3</v>
          </cell>
          <cell r="C356">
            <v>30007</v>
          </cell>
          <cell r="D356" t="str">
            <v>ガラスの靴は私のもの</v>
          </cell>
          <cell r="E356" t="str">
            <v>ドロップイベント2-2（マルチ専用）</v>
          </cell>
          <cell r="F356">
            <v>2</v>
          </cell>
          <cell r="G356" t="str">
            <v>ja</v>
          </cell>
          <cell r="H356" t="str">
            <v>【上級】ガラスの靴は私のもの</v>
          </cell>
          <cell r="I356" t="str">
            <v>上級</v>
          </cell>
          <cell r="J356">
            <v>292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9</v>
          </cell>
          <cell r="AD356">
            <v>6</v>
          </cell>
          <cell r="AE356" t="str">
            <v>everyone</v>
          </cell>
        </row>
        <row r="357">
          <cell r="A357" t="str">
            <v>30007_3</v>
          </cell>
          <cell r="B357">
            <v>3</v>
          </cell>
          <cell r="C357">
            <v>30007</v>
          </cell>
          <cell r="D357" t="str">
            <v>ガラスの靴は私のもの</v>
          </cell>
          <cell r="E357" t="str">
            <v>ドロップイベント2-2（マルチ専用）</v>
          </cell>
          <cell r="F357">
            <v>3</v>
          </cell>
          <cell r="G357" t="str">
            <v>ja</v>
          </cell>
          <cell r="H357" t="str">
            <v xml:space="preserve">【超級】ガラスの靴は私のもの </v>
          </cell>
          <cell r="I357" t="str">
            <v>超級</v>
          </cell>
          <cell r="J357">
            <v>293</v>
          </cell>
          <cell r="K357">
            <v>30</v>
          </cell>
          <cell r="L357">
            <v>3300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polygon</v>
          </cell>
          <cell r="T357">
            <v>1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9</v>
          </cell>
          <cell r="AD357">
            <v>6</v>
          </cell>
          <cell r="AE357" t="str">
            <v>everyone</v>
          </cell>
        </row>
        <row r="358">
          <cell r="A358" t="str">
            <v>30008_1</v>
          </cell>
          <cell r="B358">
            <v>3</v>
          </cell>
          <cell r="C358">
            <v>30008</v>
          </cell>
          <cell r="D358" t="str">
            <v>わたしの嫁を返してもらおう</v>
          </cell>
          <cell r="E358" t="str">
            <v>ドロップイベント2-4（マルチ専用）</v>
          </cell>
          <cell r="F358">
            <v>1</v>
          </cell>
          <cell r="G358" t="str">
            <v>ja</v>
          </cell>
          <cell r="H358" t="str">
            <v>【中級】わたしの嫁を返してもらおう</v>
          </cell>
          <cell r="I358" t="str">
            <v>中級</v>
          </cell>
          <cell r="J358">
            <v>288</v>
          </cell>
          <cell r="K358">
            <v>15</v>
          </cell>
          <cell r="L358">
            <v>1200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22</v>
          </cell>
          <cell r="AD358">
            <v>6</v>
          </cell>
          <cell r="AE358" t="str">
            <v>everyone</v>
          </cell>
        </row>
        <row r="359">
          <cell r="A359" t="str">
            <v>30008_2</v>
          </cell>
          <cell r="B359">
            <v>3</v>
          </cell>
          <cell r="C359">
            <v>30008</v>
          </cell>
          <cell r="D359" t="str">
            <v>わたしの嫁を返してもらおう</v>
          </cell>
          <cell r="E359" t="str">
            <v>ドロップイベント2-4（マルチ専用）</v>
          </cell>
          <cell r="F359">
            <v>2</v>
          </cell>
          <cell r="G359" t="str">
            <v>ja</v>
          </cell>
          <cell r="H359" t="str">
            <v>【上級】わたしの嫁を返してもらおう</v>
          </cell>
          <cell r="I359" t="str">
            <v>上級</v>
          </cell>
          <cell r="J359">
            <v>288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22</v>
          </cell>
          <cell r="AD359">
            <v>6</v>
          </cell>
          <cell r="AE359" t="str">
            <v>everyone</v>
          </cell>
        </row>
        <row r="360">
          <cell r="A360" t="str">
            <v>30008_3</v>
          </cell>
          <cell r="B360">
            <v>3</v>
          </cell>
          <cell r="C360">
            <v>30008</v>
          </cell>
          <cell r="D360" t="str">
            <v>わたしの嫁を返してもらおう</v>
          </cell>
          <cell r="E360" t="str">
            <v>ドロップイベント2-4（マルチ専用）</v>
          </cell>
          <cell r="F360">
            <v>3</v>
          </cell>
          <cell r="G360" t="str">
            <v>ja</v>
          </cell>
          <cell r="H360" t="str">
            <v>【超級】わたしの嫁を返してもらおう</v>
          </cell>
          <cell r="I360" t="str">
            <v>超級</v>
          </cell>
          <cell r="J360">
            <v>289</v>
          </cell>
          <cell r="K360">
            <v>30</v>
          </cell>
          <cell r="L360">
            <v>3300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polygon</v>
          </cell>
          <cell r="T360">
            <v>1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22</v>
          </cell>
          <cell r="AD360">
            <v>6</v>
          </cell>
          <cell r="AE360" t="str">
            <v>everyone</v>
          </cell>
        </row>
        <row r="361">
          <cell r="A361" t="str">
            <v>30009_3</v>
          </cell>
          <cell r="B361">
            <v>0</v>
          </cell>
          <cell r="C361">
            <v>30009</v>
          </cell>
          <cell r="D361" t="str">
            <v>復活の捕食者</v>
          </cell>
          <cell r="E361" t="str">
            <v>ドロップイベント3（マルチ専用）</v>
          </cell>
          <cell r="F361">
            <v>3</v>
          </cell>
          <cell r="G361" t="str">
            <v>ja</v>
          </cell>
          <cell r="H361" t="str">
            <v>【上級】復活の捕食者</v>
          </cell>
          <cell r="I361" t="str">
            <v>上級</v>
          </cell>
          <cell r="J361">
            <v>312</v>
          </cell>
          <cell r="K361">
            <v>20</v>
          </cell>
          <cell r="L361">
            <v>2000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2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8</v>
          </cell>
          <cell r="AD361">
            <v>6</v>
          </cell>
          <cell r="AE361" t="str">
            <v>everyone</v>
          </cell>
        </row>
        <row r="362">
          <cell r="A362" t="str">
            <v>30009_1</v>
          </cell>
          <cell r="B362">
            <v>3</v>
          </cell>
          <cell r="C362">
            <v>30009</v>
          </cell>
          <cell r="D362" t="str">
            <v>復活の捕食者</v>
          </cell>
          <cell r="E362" t="str">
            <v>ドロップイベント3（マルチ専用）</v>
          </cell>
          <cell r="F362">
            <v>1</v>
          </cell>
          <cell r="G362" t="str">
            <v>ja</v>
          </cell>
          <cell r="H362" t="str">
            <v>【超級】復活の捕食者</v>
          </cell>
          <cell r="I362" t="str">
            <v>超級</v>
          </cell>
          <cell r="J362">
            <v>312</v>
          </cell>
          <cell r="K362">
            <v>30</v>
          </cell>
          <cell r="L362">
            <v>3300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2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8</v>
          </cell>
          <cell r="AD362">
            <v>6</v>
          </cell>
          <cell r="AE362" t="str">
            <v>everyone</v>
          </cell>
        </row>
        <row r="363">
          <cell r="A363" t="str">
            <v>30009_2</v>
          </cell>
          <cell r="B363">
            <v>3</v>
          </cell>
          <cell r="C363">
            <v>30009</v>
          </cell>
          <cell r="D363" t="str">
            <v>復活の捕食者</v>
          </cell>
          <cell r="E363" t="str">
            <v>ドロップイベント3（マルチ専用）</v>
          </cell>
          <cell r="F363">
            <v>2</v>
          </cell>
          <cell r="G363" t="str">
            <v>ja</v>
          </cell>
          <cell r="H363" t="str">
            <v>【超絶級】復活の捕食者</v>
          </cell>
          <cell r="I363" t="str">
            <v>超絶級</v>
          </cell>
          <cell r="J363">
            <v>312</v>
          </cell>
          <cell r="K363">
            <v>35</v>
          </cell>
          <cell r="L363">
            <v>4200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2</v>
          </cell>
          <cell r="S363" t="str">
            <v>polygon</v>
          </cell>
          <cell r="T363">
            <v>1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8</v>
          </cell>
          <cell r="AD363">
            <v>6</v>
          </cell>
          <cell r="AE363" t="str">
            <v>everyone</v>
          </cell>
        </row>
        <row r="364">
          <cell r="A364" t="str">
            <v>30010_1</v>
          </cell>
          <cell r="B364">
            <v>3</v>
          </cell>
          <cell r="C364">
            <v>30010</v>
          </cell>
          <cell r="D364" t="str">
            <v>最大最凶</v>
          </cell>
          <cell r="E364" t="str">
            <v>ドロップイベント3（マルチ専用）</v>
          </cell>
          <cell r="F364">
            <v>1</v>
          </cell>
          <cell r="G364" t="str">
            <v>ja</v>
          </cell>
          <cell r="H364" t="str">
            <v>【上級】最大最凶</v>
          </cell>
          <cell r="I364" t="str">
            <v>上級</v>
          </cell>
          <cell r="J364">
            <v>306</v>
          </cell>
          <cell r="K364">
            <v>20</v>
          </cell>
          <cell r="L364">
            <v>2000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2</v>
          </cell>
          <cell r="AD364">
            <v>7</v>
          </cell>
          <cell r="AE364" t="str">
            <v>everyone</v>
          </cell>
        </row>
        <row r="365">
          <cell r="A365" t="str">
            <v>30010_2</v>
          </cell>
          <cell r="B365">
            <v>3</v>
          </cell>
          <cell r="C365">
            <v>30010</v>
          </cell>
          <cell r="D365" t="str">
            <v>最大最凶</v>
          </cell>
          <cell r="E365" t="str">
            <v>ドロップイベント3（マルチ専用）</v>
          </cell>
          <cell r="F365">
            <v>2</v>
          </cell>
          <cell r="G365" t="str">
            <v>ja</v>
          </cell>
          <cell r="H365" t="str">
            <v>【超級】最大最凶</v>
          </cell>
          <cell r="I365" t="str">
            <v>超級</v>
          </cell>
          <cell r="J365">
            <v>306</v>
          </cell>
          <cell r="K365">
            <v>30</v>
          </cell>
          <cell r="L365">
            <v>3300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2</v>
          </cell>
          <cell r="AD365">
            <v>7</v>
          </cell>
          <cell r="AE365" t="str">
            <v>everyone</v>
          </cell>
        </row>
        <row r="366">
          <cell r="A366" t="str">
            <v>30010_3</v>
          </cell>
          <cell r="B366">
            <v>3</v>
          </cell>
          <cell r="C366">
            <v>30010</v>
          </cell>
          <cell r="D366" t="str">
            <v>最大最凶</v>
          </cell>
          <cell r="E366" t="str">
            <v>ドロップイベント3（マルチ専用）</v>
          </cell>
          <cell r="F366">
            <v>3</v>
          </cell>
          <cell r="G366" t="str">
            <v>ja</v>
          </cell>
          <cell r="H366" t="str">
            <v>【超絶級】最大最凶</v>
          </cell>
          <cell r="I366" t="str">
            <v>超絶級</v>
          </cell>
          <cell r="J366">
            <v>306</v>
          </cell>
          <cell r="K366">
            <v>35</v>
          </cell>
          <cell r="L366">
            <v>4200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2</v>
          </cell>
          <cell r="AD366">
            <v>7</v>
          </cell>
          <cell r="AE366" t="str">
            <v>everyone</v>
          </cell>
        </row>
        <row r="367">
          <cell r="A367" t="str">
            <v>30011_1</v>
          </cell>
          <cell r="B367">
            <v>3</v>
          </cell>
          <cell r="C367">
            <v>30011</v>
          </cell>
          <cell r="D367" t="str">
            <v>気怠い巨読者</v>
          </cell>
          <cell r="E367" t="str">
            <v>ドロップイベント3（マルチ専用）</v>
          </cell>
          <cell r="F367">
            <v>1</v>
          </cell>
          <cell r="G367" t="str">
            <v>ja</v>
          </cell>
          <cell r="H367" t="str">
            <v>【上級】気怠い巨読者</v>
          </cell>
          <cell r="I367" t="str">
            <v>上級</v>
          </cell>
          <cell r="J367">
            <v>308</v>
          </cell>
          <cell r="K367">
            <v>20</v>
          </cell>
          <cell r="L367">
            <v>2000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2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19</v>
          </cell>
          <cell r="AD367">
            <v>6</v>
          </cell>
          <cell r="AE367" t="str">
            <v>everyone</v>
          </cell>
        </row>
        <row r="368">
          <cell r="A368" t="str">
            <v>30011_2</v>
          </cell>
          <cell r="B368">
            <v>3</v>
          </cell>
          <cell r="C368">
            <v>30011</v>
          </cell>
          <cell r="D368" t="str">
            <v>気怠い巨読者</v>
          </cell>
          <cell r="E368" t="str">
            <v>ドロップイベント3（マルチ専用）</v>
          </cell>
          <cell r="F368">
            <v>2</v>
          </cell>
          <cell r="G368" t="str">
            <v>ja</v>
          </cell>
          <cell r="H368" t="str">
            <v>【超級】気怠い巨読者</v>
          </cell>
          <cell r="I368" t="str">
            <v>超級</v>
          </cell>
          <cell r="J368">
            <v>308</v>
          </cell>
          <cell r="K368">
            <v>30</v>
          </cell>
          <cell r="L368">
            <v>3300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2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19</v>
          </cell>
          <cell r="AD368">
            <v>6</v>
          </cell>
          <cell r="AE368" t="str">
            <v>everyone</v>
          </cell>
        </row>
        <row r="369">
          <cell r="A369" t="str">
            <v>30011_3</v>
          </cell>
          <cell r="B369">
            <v>3</v>
          </cell>
          <cell r="C369">
            <v>30011</v>
          </cell>
          <cell r="D369" t="str">
            <v>気怠い巨読者</v>
          </cell>
          <cell r="E369" t="str">
            <v>ドロップイベント3（マルチ専用）</v>
          </cell>
          <cell r="F369">
            <v>3</v>
          </cell>
          <cell r="G369" t="str">
            <v>ja</v>
          </cell>
          <cell r="H369" t="str">
            <v>【超絶級】気怠い巨読者</v>
          </cell>
          <cell r="I369" t="str">
            <v>超絶級</v>
          </cell>
          <cell r="J369">
            <v>309</v>
          </cell>
          <cell r="K369">
            <v>35</v>
          </cell>
          <cell r="L369">
            <v>4200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2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19</v>
          </cell>
          <cell r="AD369">
            <v>6</v>
          </cell>
          <cell r="AE369" t="str">
            <v>everyone</v>
          </cell>
        </row>
        <row r="370">
          <cell r="A370" t="str">
            <v>30012_1</v>
          </cell>
          <cell r="B370">
            <v>3</v>
          </cell>
          <cell r="C370">
            <v>30012</v>
          </cell>
          <cell r="D370" t="str">
            <v>底なしの胃袋</v>
          </cell>
          <cell r="E370" t="str">
            <v>ドロップイベント3（マルチ専用）</v>
          </cell>
          <cell r="F370">
            <v>1</v>
          </cell>
          <cell r="G370" t="str">
            <v>ja</v>
          </cell>
          <cell r="H370" t="str">
            <v>【上級】底なしの胃袋</v>
          </cell>
          <cell r="I370" t="str">
            <v>上級</v>
          </cell>
          <cell r="J370">
            <v>310</v>
          </cell>
          <cell r="K370">
            <v>20</v>
          </cell>
          <cell r="L370">
            <v>2000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0</v>
          </cell>
          <cell r="R370">
            <v>3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5</v>
          </cell>
          <cell r="AD370">
            <v>6</v>
          </cell>
          <cell r="AE370" t="str">
            <v>everyone</v>
          </cell>
        </row>
        <row r="371">
          <cell r="A371" t="str">
            <v>30012_2</v>
          </cell>
          <cell r="B371">
            <v>3</v>
          </cell>
          <cell r="C371">
            <v>30012</v>
          </cell>
          <cell r="D371" t="str">
            <v>底なしの胃袋</v>
          </cell>
          <cell r="E371" t="str">
            <v>ドロップイベント3（マルチ専用）</v>
          </cell>
          <cell r="F371">
            <v>2</v>
          </cell>
          <cell r="G371" t="str">
            <v>ja</v>
          </cell>
          <cell r="H371" t="str">
            <v>【超級】底なしの胃袋</v>
          </cell>
          <cell r="I371" t="str">
            <v>超級</v>
          </cell>
          <cell r="J371">
            <v>310</v>
          </cell>
          <cell r="K371">
            <v>30</v>
          </cell>
          <cell r="L371">
            <v>3300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0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5</v>
          </cell>
          <cell r="AD371">
            <v>6</v>
          </cell>
          <cell r="AE371" t="str">
            <v>everyone</v>
          </cell>
        </row>
        <row r="372">
          <cell r="A372" t="str">
            <v>30012_3</v>
          </cell>
          <cell r="B372">
            <v>3</v>
          </cell>
          <cell r="C372">
            <v>30012</v>
          </cell>
          <cell r="D372" t="str">
            <v>底なしの胃袋</v>
          </cell>
          <cell r="E372" t="str">
            <v>ドロップイベント3（マルチ専用）</v>
          </cell>
          <cell r="F372">
            <v>3</v>
          </cell>
          <cell r="G372" t="str">
            <v>ja</v>
          </cell>
          <cell r="H372" t="str">
            <v>【超絶級】底なしの胃袋</v>
          </cell>
          <cell r="I372" t="str">
            <v>超絶級</v>
          </cell>
          <cell r="J372">
            <v>310</v>
          </cell>
          <cell r="K372">
            <v>35</v>
          </cell>
          <cell r="L372">
            <v>4200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0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5</v>
          </cell>
          <cell r="AD372">
            <v>6</v>
          </cell>
          <cell r="AE372" t="str">
            <v>everyone</v>
          </cell>
        </row>
        <row r="373">
          <cell r="A373" t="str">
            <v>30013_1</v>
          </cell>
          <cell r="B373">
            <v>3</v>
          </cell>
          <cell r="C373">
            <v>30013</v>
          </cell>
          <cell r="D373" t="str">
            <v>決戦・竜宮城</v>
          </cell>
          <cell r="E373" t="str">
            <v>ドロップイベント4（マルチ専用）</v>
          </cell>
          <cell r="F373">
            <v>1</v>
          </cell>
          <cell r="G373" t="str">
            <v>ja</v>
          </cell>
          <cell r="H373" t="str">
            <v>【超級】決戦・竜宮城</v>
          </cell>
          <cell r="I373" t="str">
            <v>超級</v>
          </cell>
          <cell r="J373">
            <v>418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17</v>
          </cell>
          <cell r="AD373">
            <v>6</v>
          </cell>
          <cell r="AE373" t="str">
            <v>everyone</v>
          </cell>
        </row>
        <row r="374">
          <cell r="A374" t="str">
            <v>30013_2</v>
          </cell>
          <cell r="B374">
            <v>3</v>
          </cell>
          <cell r="C374">
            <v>30013</v>
          </cell>
          <cell r="D374" t="str">
            <v>決戦・竜宮城</v>
          </cell>
          <cell r="E374" t="str">
            <v>ドロップイベント4（マルチ専用）</v>
          </cell>
          <cell r="F374">
            <v>2</v>
          </cell>
          <cell r="G374" t="str">
            <v>ja</v>
          </cell>
          <cell r="H374" t="str">
            <v>【超絶級】決戦・竜宮城</v>
          </cell>
          <cell r="I374" t="str">
            <v>超絶級</v>
          </cell>
          <cell r="J374">
            <v>419</v>
          </cell>
          <cell r="K374">
            <v>35</v>
          </cell>
          <cell r="L374">
            <v>4200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17</v>
          </cell>
          <cell r="AD374">
            <v>6</v>
          </cell>
          <cell r="AE374" t="str">
            <v>everyone</v>
          </cell>
        </row>
        <row r="375">
          <cell r="A375" t="str">
            <v>30014_1</v>
          </cell>
          <cell r="B375">
            <v>3</v>
          </cell>
          <cell r="C375">
            <v>30014</v>
          </cell>
          <cell r="D375" t="str">
            <v>親指を突き立てろ！</v>
          </cell>
          <cell r="E375" t="str">
            <v>ドロップイベント4（マルチ専用）</v>
          </cell>
          <cell r="F375">
            <v>1</v>
          </cell>
          <cell r="G375" t="str">
            <v>ja</v>
          </cell>
          <cell r="H375" t="str">
            <v>【超級】親指を突き立てろ！</v>
          </cell>
          <cell r="I375" t="str">
            <v>超級</v>
          </cell>
          <cell r="J375">
            <v>420</v>
          </cell>
          <cell r="K375">
            <v>30</v>
          </cell>
          <cell r="L375">
            <v>3300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23</v>
          </cell>
          <cell r="AD375">
            <v>5</v>
          </cell>
          <cell r="AE375" t="str">
            <v>everyone</v>
          </cell>
        </row>
        <row r="376">
          <cell r="A376" t="str">
            <v>30014_2</v>
          </cell>
          <cell r="B376">
            <v>3</v>
          </cell>
          <cell r="C376">
            <v>30014</v>
          </cell>
          <cell r="D376" t="str">
            <v>親指を突き立てろ！</v>
          </cell>
          <cell r="E376" t="str">
            <v>ドロップイベント4（マルチ専用）</v>
          </cell>
          <cell r="F376">
            <v>2</v>
          </cell>
          <cell r="G376" t="str">
            <v>ja</v>
          </cell>
          <cell r="H376" t="str">
            <v>【超絶級】親指を突き立てろ！</v>
          </cell>
          <cell r="I376" t="str">
            <v>超絶級</v>
          </cell>
          <cell r="J376">
            <v>421</v>
          </cell>
          <cell r="K376">
            <v>35</v>
          </cell>
          <cell r="L376">
            <v>4200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23</v>
          </cell>
          <cell r="AD376">
            <v>5</v>
          </cell>
          <cell r="AE376" t="str">
            <v>everyone</v>
          </cell>
        </row>
        <row r="377">
          <cell r="A377" t="str">
            <v>30015_1</v>
          </cell>
          <cell r="B377">
            <v>3</v>
          </cell>
          <cell r="C377">
            <v>30015</v>
          </cell>
          <cell r="D377" t="str">
            <v>兄妹の大冒険</v>
          </cell>
          <cell r="E377" t="str">
            <v>ドロップイベント4（マルチ専用）</v>
          </cell>
          <cell r="F377">
            <v>1</v>
          </cell>
          <cell r="G377" t="str">
            <v>ja</v>
          </cell>
          <cell r="H377" t="str">
            <v>【超級】兄妹の大冒険</v>
          </cell>
          <cell r="I377" t="str">
            <v>超級</v>
          </cell>
          <cell r="J377">
            <v>422</v>
          </cell>
          <cell r="K377">
            <v>30</v>
          </cell>
          <cell r="L377">
            <v>3300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16</v>
          </cell>
          <cell r="AD377">
            <v>6</v>
          </cell>
          <cell r="AE377" t="str">
            <v>everyone</v>
          </cell>
        </row>
        <row r="378">
          <cell r="A378" t="str">
            <v>30015_2</v>
          </cell>
          <cell r="B378">
            <v>3</v>
          </cell>
          <cell r="C378">
            <v>30015</v>
          </cell>
          <cell r="D378" t="str">
            <v>兄妹の大冒険</v>
          </cell>
          <cell r="E378" t="str">
            <v>ドロップイベント4（マルチ専用）</v>
          </cell>
          <cell r="F378">
            <v>2</v>
          </cell>
          <cell r="G378" t="str">
            <v>ja</v>
          </cell>
          <cell r="H378" t="str">
            <v>【超絶級】兄妹の大冒険</v>
          </cell>
          <cell r="I378" t="str">
            <v>超絶級</v>
          </cell>
          <cell r="J378">
            <v>423</v>
          </cell>
          <cell r="K378">
            <v>35</v>
          </cell>
          <cell r="L378">
            <v>4200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16</v>
          </cell>
          <cell r="AD378">
            <v>6</v>
          </cell>
          <cell r="AE378" t="str">
            <v>everyone</v>
          </cell>
        </row>
        <row r="379">
          <cell r="A379" t="str">
            <v>30016_1</v>
          </cell>
          <cell r="B379">
            <v>3</v>
          </cell>
          <cell r="C379">
            <v>30016</v>
          </cell>
          <cell r="D379" t="str">
            <v>私がワニの天敵よ？</v>
          </cell>
          <cell r="E379" t="str">
            <v>ドロップイベント4（マルチ専用）</v>
          </cell>
          <cell r="F379">
            <v>1</v>
          </cell>
          <cell r="G379" t="str">
            <v>ja</v>
          </cell>
          <cell r="H379" t="str">
            <v>【超級】私がワニの天敵よ？</v>
          </cell>
          <cell r="I379" t="str">
            <v>超級</v>
          </cell>
          <cell r="J379">
            <v>424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4</v>
          </cell>
          <cell r="AD379">
            <v>6</v>
          </cell>
          <cell r="AE379" t="str">
            <v>everyone</v>
          </cell>
        </row>
        <row r="380">
          <cell r="A380" t="str">
            <v>30016_2</v>
          </cell>
          <cell r="B380">
            <v>3</v>
          </cell>
          <cell r="C380">
            <v>30016</v>
          </cell>
          <cell r="D380" t="str">
            <v>私がワニの天敵よ？</v>
          </cell>
          <cell r="E380" t="str">
            <v>ドロップイベント4（マルチ専用）</v>
          </cell>
          <cell r="F380">
            <v>2</v>
          </cell>
          <cell r="G380" t="str">
            <v>ja</v>
          </cell>
          <cell r="H380" t="str">
            <v>【超絶級】私がワニの天敵よ？</v>
          </cell>
          <cell r="I380" t="str">
            <v>超絶級</v>
          </cell>
          <cell r="J380">
            <v>425</v>
          </cell>
          <cell r="K380">
            <v>35</v>
          </cell>
          <cell r="L380">
            <v>4200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>
            <v>1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4</v>
          </cell>
          <cell r="AD380">
            <v>6</v>
          </cell>
          <cell r="AE380" t="str">
            <v>everyone</v>
          </cell>
        </row>
        <row r="381">
          <cell r="A381" t="str">
            <v>30017_1</v>
          </cell>
          <cell r="B381">
            <v>3</v>
          </cell>
          <cell r="C381">
            <v>30017</v>
          </cell>
          <cell r="D381" t="str">
            <v>狩人の挽歌</v>
          </cell>
          <cell r="E381" t="str">
            <v>ドロップイベント5（マルチ専用）</v>
          </cell>
          <cell r="F381">
            <v>1</v>
          </cell>
          <cell r="G381" t="str">
            <v>ja</v>
          </cell>
          <cell r="H381" t="str">
            <v>【超級】狩人の挽歌</v>
          </cell>
          <cell r="I381" t="str">
            <v>超級</v>
          </cell>
          <cell r="J381">
            <v>452</v>
          </cell>
          <cell r="K381">
            <v>30</v>
          </cell>
          <cell r="L381">
            <v>3300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20</v>
          </cell>
          <cell r="AD381">
            <v>6</v>
          </cell>
          <cell r="AE381" t="str">
            <v>multionly</v>
          </cell>
        </row>
        <row r="382">
          <cell r="A382" t="str">
            <v>30017_2</v>
          </cell>
          <cell r="B382">
            <v>3</v>
          </cell>
          <cell r="C382">
            <v>30017</v>
          </cell>
          <cell r="D382" t="str">
            <v>狩人の挽歌</v>
          </cell>
          <cell r="E382" t="str">
            <v>ドロップイベント5（マルチ専用）</v>
          </cell>
          <cell r="F382">
            <v>2</v>
          </cell>
          <cell r="G382" t="str">
            <v>ja</v>
          </cell>
          <cell r="H382" t="str">
            <v>【超絶級】狩人の挽歌</v>
          </cell>
          <cell r="I382" t="str">
            <v>超絶級</v>
          </cell>
          <cell r="J382">
            <v>453</v>
          </cell>
          <cell r="K382">
            <v>35</v>
          </cell>
          <cell r="L382">
            <v>4200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polygon</v>
          </cell>
          <cell r="T382">
            <v>1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20</v>
          </cell>
          <cell r="AD382">
            <v>6</v>
          </cell>
          <cell r="AE382" t="str">
            <v>multionly</v>
          </cell>
        </row>
        <row r="383">
          <cell r="A383" t="str">
            <v>30018_1</v>
          </cell>
          <cell r="B383">
            <v>3</v>
          </cell>
          <cell r="C383">
            <v>30018</v>
          </cell>
          <cell r="D383" t="str">
            <v>バックストリートファイト</v>
          </cell>
          <cell r="E383" t="str">
            <v>ドロップイベント5（マルチ専用）</v>
          </cell>
          <cell r="F383">
            <v>1</v>
          </cell>
          <cell r="G383" t="str">
            <v>ja</v>
          </cell>
          <cell r="H383" t="str">
            <v>【超級】バックストリートファイト</v>
          </cell>
          <cell r="I383" t="str">
            <v>超級</v>
          </cell>
          <cell r="J383">
            <v>454</v>
          </cell>
          <cell r="K383">
            <v>30</v>
          </cell>
          <cell r="L383">
            <v>3300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0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14</v>
          </cell>
          <cell r="AD383">
            <v>6</v>
          </cell>
          <cell r="AE383" t="str">
            <v>everyone</v>
          </cell>
        </row>
        <row r="384">
          <cell r="A384" t="str">
            <v>30018_2</v>
          </cell>
          <cell r="B384">
            <v>3</v>
          </cell>
          <cell r="C384">
            <v>30018</v>
          </cell>
          <cell r="D384" t="str">
            <v>バックストリートファイト</v>
          </cell>
          <cell r="E384" t="str">
            <v>ドロップイベント5（マルチ専用）</v>
          </cell>
          <cell r="F384">
            <v>2</v>
          </cell>
          <cell r="G384" t="str">
            <v>ja</v>
          </cell>
          <cell r="H384" t="str">
            <v>【超絶級】バックストリートファイト</v>
          </cell>
          <cell r="I384" t="str">
            <v>超絶級</v>
          </cell>
          <cell r="J384">
            <v>455</v>
          </cell>
          <cell r="K384">
            <v>35</v>
          </cell>
          <cell r="L384">
            <v>4200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0</v>
          </cell>
          <cell r="R384">
            <v>3</v>
          </cell>
          <cell r="S384" t="str">
            <v>polygon</v>
          </cell>
          <cell r="T384">
            <v>1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14</v>
          </cell>
          <cell r="AD384">
            <v>6</v>
          </cell>
          <cell r="AE384" t="str">
            <v>everyone</v>
          </cell>
        </row>
        <row r="385">
          <cell r="A385" t="str">
            <v>30019_1</v>
          </cell>
          <cell r="B385">
            <v>3</v>
          </cell>
          <cell r="C385">
            <v>30019</v>
          </cell>
          <cell r="D385" t="str">
            <v>狙撃は終わらない</v>
          </cell>
          <cell r="E385" t="str">
            <v>ドロップイベント5（マルチ専用）</v>
          </cell>
          <cell r="F385">
            <v>1</v>
          </cell>
          <cell r="G385" t="str">
            <v>ja</v>
          </cell>
          <cell r="H385" t="str">
            <v>【超級】狙撃は終わらない</v>
          </cell>
          <cell r="I385" t="str">
            <v>超級</v>
          </cell>
          <cell r="J385">
            <v>456</v>
          </cell>
          <cell r="K385">
            <v>30</v>
          </cell>
          <cell r="L385">
            <v>3300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24</v>
          </cell>
          <cell r="AD385">
            <v>6</v>
          </cell>
          <cell r="AE385" t="str">
            <v>multionly</v>
          </cell>
        </row>
        <row r="386">
          <cell r="A386" t="str">
            <v>30019_2</v>
          </cell>
          <cell r="B386">
            <v>3</v>
          </cell>
          <cell r="C386">
            <v>30019</v>
          </cell>
          <cell r="D386" t="str">
            <v>狙撃は終わらない</v>
          </cell>
          <cell r="E386" t="str">
            <v>ドロップイベント5（マルチ専用）</v>
          </cell>
          <cell r="F386">
            <v>2</v>
          </cell>
          <cell r="G386" t="str">
            <v>ja</v>
          </cell>
          <cell r="H386" t="str">
            <v>【超絶級】狙撃は終わらない</v>
          </cell>
          <cell r="I386" t="str">
            <v>超絶級</v>
          </cell>
          <cell r="J386">
            <v>457</v>
          </cell>
          <cell r="K386">
            <v>35</v>
          </cell>
          <cell r="L386">
            <v>4200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polygon</v>
          </cell>
          <cell r="T386">
            <v>1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24</v>
          </cell>
          <cell r="AD386">
            <v>6</v>
          </cell>
          <cell r="AE386" t="str">
            <v>multionly</v>
          </cell>
        </row>
        <row r="387">
          <cell r="A387" t="str">
            <v>30020_1</v>
          </cell>
          <cell r="B387">
            <v>3</v>
          </cell>
          <cell r="C387">
            <v>30020</v>
          </cell>
          <cell r="D387" t="str">
            <v>若造よ、身の程を知れ</v>
          </cell>
          <cell r="E387" t="str">
            <v>ドロップイベント5（マルチ専用）</v>
          </cell>
          <cell r="F387">
            <v>1</v>
          </cell>
          <cell r="G387" t="str">
            <v>ja</v>
          </cell>
          <cell r="H387" t="str">
            <v>【超級】若造よ、身の程を知れ</v>
          </cell>
          <cell r="I387" t="str">
            <v>超級</v>
          </cell>
          <cell r="J387">
            <v>458</v>
          </cell>
          <cell r="K387">
            <v>30</v>
          </cell>
          <cell r="L387">
            <v>3300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13</v>
          </cell>
          <cell r="AD387">
            <v>6</v>
          </cell>
          <cell r="AE387" t="str">
            <v>everyone</v>
          </cell>
        </row>
        <row r="388">
          <cell r="A388" t="str">
            <v>30020_2</v>
          </cell>
          <cell r="B388">
            <v>3</v>
          </cell>
          <cell r="C388">
            <v>30020</v>
          </cell>
          <cell r="D388" t="str">
            <v>若造よ、身の程を知れ</v>
          </cell>
          <cell r="E388" t="str">
            <v>ドロップイベント5（マルチ専用）</v>
          </cell>
          <cell r="F388">
            <v>2</v>
          </cell>
          <cell r="G388" t="str">
            <v>ja</v>
          </cell>
          <cell r="H388" t="str">
            <v>【超絶級】若造よ、身の程を知れ</v>
          </cell>
          <cell r="I388" t="str">
            <v>超絶級</v>
          </cell>
          <cell r="J388">
            <v>459</v>
          </cell>
          <cell r="K388">
            <v>35</v>
          </cell>
          <cell r="L388">
            <v>4200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polygon</v>
          </cell>
          <cell r="T388">
            <v>1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13</v>
          </cell>
          <cell r="AD388">
            <v>6</v>
          </cell>
          <cell r="AE388" t="str">
            <v>everyone</v>
          </cell>
        </row>
        <row r="389">
          <cell r="A389" t="str">
            <v>30021_1</v>
          </cell>
          <cell r="B389">
            <v>3</v>
          </cell>
          <cell r="C389">
            <v>30021</v>
          </cell>
          <cell r="D389" t="str">
            <v>野獣死すべしっ！</v>
          </cell>
          <cell r="E389" t="str">
            <v>ドロップイベント6（マルチ専用）</v>
          </cell>
          <cell r="F389">
            <v>1</v>
          </cell>
          <cell r="G389" t="str">
            <v>ja</v>
          </cell>
          <cell r="H389" t="str">
            <v>【中級】野獣死すべしっ！</v>
          </cell>
          <cell r="I389" t="str">
            <v>中級</v>
          </cell>
          <cell r="J389">
            <v>502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0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14</v>
          </cell>
          <cell r="AD389">
            <v>6</v>
          </cell>
          <cell r="AE389" t="str">
            <v>everyone</v>
          </cell>
        </row>
        <row r="390">
          <cell r="A390" t="str">
            <v>30021_2</v>
          </cell>
          <cell r="B390">
            <v>3</v>
          </cell>
          <cell r="C390">
            <v>30021</v>
          </cell>
          <cell r="D390" t="str">
            <v>野獣死すべしっ！</v>
          </cell>
          <cell r="E390" t="str">
            <v>ドロップイベント6（マルチ専用）</v>
          </cell>
          <cell r="F390">
            <v>2</v>
          </cell>
          <cell r="G390" t="str">
            <v>ja</v>
          </cell>
          <cell r="H390" t="str">
            <v>【上級】野獣死すべしっ！</v>
          </cell>
          <cell r="I390" t="str">
            <v>上級</v>
          </cell>
          <cell r="J390">
            <v>502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0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14</v>
          </cell>
          <cell r="AD390">
            <v>6</v>
          </cell>
          <cell r="AE390" t="str">
            <v>everyone</v>
          </cell>
        </row>
        <row r="391">
          <cell r="A391" t="str">
            <v>30021_3</v>
          </cell>
          <cell r="B391">
            <v>3</v>
          </cell>
          <cell r="C391">
            <v>30021</v>
          </cell>
          <cell r="D391" t="str">
            <v>野獣死すべしっ！</v>
          </cell>
          <cell r="E391" t="str">
            <v>ドロップイベント6（マルチ専用）</v>
          </cell>
          <cell r="F391">
            <v>3</v>
          </cell>
          <cell r="G391" t="str">
            <v>ja</v>
          </cell>
          <cell r="H391" t="str">
            <v>【超級】野獣死すべしっ！</v>
          </cell>
          <cell r="I391" t="str">
            <v>超級</v>
          </cell>
          <cell r="J391">
            <v>503</v>
          </cell>
          <cell r="K391">
            <v>30</v>
          </cell>
          <cell r="L391">
            <v>3300</v>
          </cell>
          <cell r="M391">
            <v>1</v>
          </cell>
          <cell r="N391">
            <v>1</v>
          </cell>
          <cell r="O391">
            <v>0</v>
          </cell>
          <cell r="P391">
            <v>1</v>
          </cell>
          <cell r="Q391">
            <v>1</v>
          </cell>
          <cell r="R391">
            <v>3</v>
          </cell>
          <cell r="S391" t="str">
            <v>polygon</v>
          </cell>
          <cell r="T391">
            <v>1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14</v>
          </cell>
          <cell r="AD391">
            <v>6</v>
          </cell>
          <cell r="AE391" t="str">
            <v>everyone</v>
          </cell>
        </row>
        <row r="392">
          <cell r="A392" t="str">
            <v>30022_1</v>
          </cell>
          <cell r="B392">
            <v>3</v>
          </cell>
          <cell r="C392">
            <v>30022</v>
          </cell>
          <cell r="D392" t="str">
            <v>凶鼠ネコを咬む</v>
          </cell>
          <cell r="E392" t="str">
            <v>ドロップイベント7（マルチ専用）</v>
          </cell>
          <cell r="F392">
            <v>1</v>
          </cell>
          <cell r="G392" t="str">
            <v>ja</v>
          </cell>
          <cell r="H392" t="str">
            <v>【超級】凶鼠ネコを咬む</v>
          </cell>
          <cell r="I392" t="str">
            <v>超級</v>
          </cell>
          <cell r="J392">
            <v>504</v>
          </cell>
          <cell r="K392">
            <v>30</v>
          </cell>
          <cell r="L392">
            <v>3300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6</v>
          </cell>
          <cell r="AD392">
            <v>6</v>
          </cell>
          <cell r="AE392" t="str">
            <v>everyone</v>
          </cell>
        </row>
        <row r="393">
          <cell r="A393" t="str">
            <v>30022_2</v>
          </cell>
          <cell r="B393">
            <v>3</v>
          </cell>
          <cell r="C393">
            <v>30022</v>
          </cell>
          <cell r="D393" t="str">
            <v>凶鼠ネコを咬む</v>
          </cell>
          <cell r="E393" t="str">
            <v>ドロップイベント7（マルチ専用）</v>
          </cell>
          <cell r="F393">
            <v>2</v>
          </cell>
          <cell r="G393" t="str">
            <v>ja</v>
          </cell>
          <cell r="H393" t="str">
            <v>【超絶級】凶鼠ネコを咬む</v>
          </cell>
          <cell r="I393" t="str">
            <v>超絶級</v>
          </cell>
          <cell r="J393">
            <v>505</v>
          </cell>
          <cell r="K393">
            <v>35</v>
          </cell>
          <cell r="L393">
            <v>4200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6</v>
          </cell>
          <cell r="AD393">
            <v>6</v>
          </cell>
          <cell r="AE393" t="str">
            <v>everyone</v>
          </cell>
        </row>
        <row r="394">
          <cell r="A394" t="str">
            <v>30023_1</v>
          </cell>
          <cell r="B394">
            <v>1</v>
          </cell>
          <cell r="C394">
            <v>30023</v>
          </cell>
          <cell r="D394" t="str">
            <v>隔離からのエスケイプ</v>
          </cell>
          <cell r="E394" t="str">
            <v>ドロップイベント8（マルチ専用）</v>
          </cell>
          <cell r="F394">
            <v>1</v>
          </cell>
          <cell r="G394" t="str">
            <v>ja</v>
          </cell>
          <cell r="H394" t="str">
            <v>【中級】隔離からのエスケイプ</v>
          </cell>
          <cell r="I394" t="str">
            <v>中級</v>
          </cell>
          <cell r="J394">
            <v>506</v>
          </cell>
          <cell r="K394">
            <v>15</v>
          </cell>
          <cell r="L394">
            <v>1200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25</v>
          </cell>
          <cell r="AD394">
            <v>6</v>
          </cell>
          <cell r="AE394" t="str">
            <v>everyone</v>
          </cell>
        </row>
        <row r="395">
          <cell r="A395" t="str">
            <v>30023_2</v>
          </cell>
          <cell r="B395">
            <v>1</v>
          </cell>
          <cell r="C395">
            <v>30023</v>
          </cell>
          <cell r="D395" t="str">
            <v>隔離からのエスケイプ</v>
          </cell>
          <cell r="E395" t="str">
            <v>ドロップイベント8（マルチ専用）</v>
          </cell>
          <cell r="F395">
            <v>2</v>
          </cell>
          <cell r="G395" t="str">
            <v>ja</v>
          </cell>
          <cell r="H395" t="str">
            <v>【上級】隔離からのエスケイプ</v>
          </cell>
          <cell r="I395" t="str">
            <v>上級</v>
          </cell>
          <cell r="J395">
            <v>506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25</v>
          </cell>
          <cell r="AD395">
            <v>6</v>
          </cell>
          <cell r="AE395" t="str">
            <v>everyone</v>
          </cell>
        </row>
        <row r="396">
          <cell r="A396" t="str">
            <v>30023_3</v>
          </cell>
          <cell r="B396">
            <v>1</v>
          </cell>
          <cell r="C396">
            <v>30023</v>
          </cell>
          <cell r="D396" t="str">
            <v>隔離からのエスケイプ</v>
          </cell>
          <cell r="E396" t="str">
            <v>ドロップイベント8（マルチ専用）</v>
          </cell>
          <cell r="F396">
            <v>3</v>
          </cell>
          <cell r="G396" t="str">
            <v>ja</v>
          </cell>
          <cell r="H396" t="str">
            <v>【超級】隔離からのエスケイプ</v>
          </cell>
          <cell r="I396" t="str">
            <v>超級</v>
          </cell>
          <cell r="J396">
            <v>507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polygon</v>
          </cell>
          <cell r="T396">
            <v>1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25</v>
          </cell>
          <cell r="AD396">
            <v>6</v>
          </cell>
          <cell r="AE396" t="str">
            <v>everyone</v>
          </cell>
        </row>
        <row r="397">
          <cell r="A397" t="str">
            <v>39001_1</v>
          </cell>
          <cell r="B397">
            <v>1</v>
          </cell>
          <cell r="C397">
            <v>39001</v>
          </cell>
          <cell r="D397" t="str">
            <v>雪の歌姫</v>
          </cell>
          <cell r="E397" t="str">
            <v>コラボクエスト</v>
          </cell>
          <cell r="F397">
            <v>1</v>
          </cell>
          <cell r="G397" t="str">
            <v>ja</v>
          </cell>
          <cell r="H397" t="str">
            <v>【初級】雪の歌姫</v>
          </cell>
          <cell r="I397" t="str">
            <v>初級</v>
          </cell>
          <cell r="J397">
            <v>1</v>
          </cell>
          <cell r="K397">
            <v>8</v>
          </cell>
          <cell r="L397">
            <v>384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14</v>
          </cell>
          <cell r="AD397">
            <v>6</v>
          </cell>
          <cell r="AE397" t="str">
            <v>everyone</v>
          </cell>
        </row>
        <row r="398">
          <cell r="A398" t="str">
            <v>39001_2</v>
          </cell>
          <cell r="B398">
            <v>1</v>
          </cell>
          <cell r="C398">
            <v>39001</v>
          </cell>
          <cell r="D398" t="str">
            <v>雪の歌姫</v>
          </cell>
          <cell r="E398" t="str">
            <v>コラボクエスト</v>
          </cell>
          <cell r="F398">
            <v>2</v>
          </cell>
          <cell r="G398" t="str">
            <v>ja</v>
          </cell>
          <cell r="H398" t="str">
            <v>【中級】雪の歌姫</v>
          </cell>
          <cell r="I398" t="str">
            <v>中級</v>
          </cell>
          <cell r="J398">
            <v>1</v>
          </cell>
          <cell r="K398">
            <v>15</v>
          </cell>
          <cell r="L398">
            <v>1200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14</v>
          </cell>
          <cell r="AD398">
            <v>6</v>
          </cell>
          <cell r="AE398" t="str">
            <v>everyone</v>
          </cell>
        </row>
        <row r="399">
          <cell r="A399" t="str">
            <v>39001_3</v>
          </cell>
          <cell r="B399">
            <v>1</v>
          </cell>
          <cell r="C399">
            <v>39001</v>
          </cell>
          <cell r="D399" t="str">
            <v>雪の歌姫</v>
          </cell>
          <cell r="E399" t="str">
            <v>コラボクエスト</v>
          </cell>
          <cell r="F399">
            <v>3</v>
          </cell>
          <cell r="G399" t="str">
            <v>ja</v>
          </cell>
          <cell r="H399" t="str">
            <v>【上級】雪の歌姫</v>
          </cell>
          <cell r="I399" t="str">
            <v>上級</v>
          </cell>
          <cell r="J399">
            <v>1</v>
          </cell>
          <cell r="K399">
            <v>20</v>
          </cell>
          <cell r="L399">
            <v>2000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14</v>
          </cell>
          <cell r="AD399">
            <v>6</v>
          </cell>
          <cell r="AE399" t="str">
            <v>everyone</v>
          </cell>
        </row>
        <row r="400">
          <cell r="A400" t="str">
            <v>39001_4</v>
          </cell>
          <cell r="B400">
            <v>1</v>
          </cell>
          <cell r="C400">
            <v>39001</v>
          </cell>
          <cell r="D400" t="str">
            <v>雪の歌姫</v>
          </cell>
          <cell r="E400" t="str">
            <v>コラボクエスト</v>
          </cell>
          <cell r="F400">
            <v>4</v>
          </cell>
          <cell r="G400" t="str">
            <v>ja</v>
          </cell>
          <cell r="H400" t="str">
            <v>【超級】雪の歌姫</v>
          </cell>
          <cell r="I400" t="str">
            <v>超級</v>
          </cell>
          <cell r="J400">
            <v>1</v>
          </cell>
          <cell r="K400">
            <v>30</v>
          </cell>
          <cell r="L400">
            <v>3300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14</v>
          </cell>
          <cell r="AD400">
            <v>6</v>
          </cell>
          <cell r="AE400" t="str">
            <v>everyone</v>
          </cell>
        </row>
        <row r="401">
          <cell r="A401" t="str">
            <v>39001_5</v>
          </cell>
          <cell r="B401">
            <v>1</v>
          </cell>
          <cell r="C401">
            <v>39001</v>
          </cell>
          <cell r="D401" t="str">
            <v>雪の歌姫</v>
          </cell>
          <cell r="E401" t="str">
            <v>コラボクエスト</v>
          </cell>
          <cell r="F401">
            <v>5</v>
          </cell>
          <cell r="G401" t="str">
            <v>ja</v>
          </cell>
          <cell r="H401" t="str">
            <v>【超絶級】雪の歌姫</v>
          </cell>
          <cell r="I401" t="str">
            <v>超絶級</v>
          </cell>
          <cell r="J401">
            <v>1</v>
          </cell>
          <cell r="K401">
            <v>35</v>
          </cell>
          <cell r="L401">
            <v>4200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polygon</v>
          </cell>
          <cell r="T401">
            <v>1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14</v>
          </cell>
          <cell r="AD401">
            <v>6</v>
          </cell>
          <cell r="AE401" t="str">
            <v>everyone</v>
          </cell>
        </row>
        <row r="402">
          <cell r="A402" t="str">
            <v>40001_1</v>
          </cell>
          <cell r="B402">
            <v>3</v>
          </cell>
          <cell r="C402">
            <v>40001</v>
          </cell>
          <cell r="D402" t="str">
            <v>アマテラス襲来！</v>
          </cell>
          <cell r="E402" t="str">
            <v>降臨1</v>
          </cell>
          <cell r="F402">
            <v>1</v>
          </cell>
          <cell r="G402" t="str">
            <v>ja</v>
          </cell>
          <cell r="H402" t="str">
            <v xml:space="preserve">【ウィザード級】アマテラス襲来 </v>
          </cell>
          <cell r="I402" t="str">
            <v>地獄級</v>
          </cell>
          <cell r="J402">
            <v>278</v>
          </cell>
          <cell r="K402">
            <v>35</v>
          </cell>
          <cell r="L402">
            <v>4200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901</v>
          </cell>
          <cell r="AD402">
            <v>6</v>
          </cell>
          <cell r="AE402" t="str">
            <v>everyone</v>
          </cell>
        </row>
        <row r="403">
          <cell r="A403" t="str">
            <v>40002_1</v>
          </cell>
          <cell r="B403">
            <v>3</v>
          </cell>
          <cell r="C403">
            <v>40002</v>
          </cell>
          <cell r="D403" t="str">
            <v>アザゼル襲来！</v>
          </cell>
          <cell r="E403" t="str">
            <v>降臨2</v>
          </cell>
          <cell r="F403">
            <v>1</v>
          </cell>
          <cell r="G403" t="str">
            <v>ja</v>
          </cell>
          <cell r="H403" t="str">
            <v xml:space="preserve">【超級】アザゼル襲来 </v>
          </cell>
          <cell r="I403" t="str">
            <v>超級</v>
          </cell>
          <cell r="J403">
            <v>296</v>
          </cell>
          <cell r="K403">
            <v>25</v>
          </cell>
          <cell r="L403">
            <v>2000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902</v>
          </cell>
          <cell r="AD403">
            <v>6</v>
          </cell>
          <cell r="AE403" t="str">
            <v>everyone</v>
          </cell>
        </row>
        <row r="404">
          <cell r="A404" t="str">
            <v>40002_2</v>
          </cell>
          <cell r="B404">
            <v>3</v>
          </cell>
          <cell r="C404">
            <v>40002</v>
          </cell>
          <cell r="D404" t="str">
            <v>アザゼル襲来！</v>
          </cell>
          <cell r="E404" t="str">
            <v>降臨2</v>
          </cell>
          <cell r="F404">
            <v>2</v>
          </cell>
          <cell r="G404" t="str">
            <v>ja</v>
          </cell>
          <cell r="H404" t="str">
            <v>【超絶級】アザゼル襲来</v>
          </cell>
          <cell r="I404" t="str">
            <v>超絶級</v>
          </cell>
          <cell r="J404">
            <v>297</v>
          </cell>
          <cell r="K404">
            <v>30</v>
          </cell>
          <cell r="L404">
            <v>3300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902</v>
          </cell>
          <cell r="AD404">
            <v>6</v>
          </cell>
          <cell r="AE404" t="str">
            <v>everyone</v>
          </cell>
        </row>
        <row r="405">
          <cell r="A405" t="str">
            <v>40002_3</v>
          </cell>
          <cell r="B405">
            <v>3</v>
          </cell>
          <cell r="C405">
            <v>40002</v>
          </cell>
          <cell r="D405" t="str">
            <v>アザゼル襲来！</v>
          </cell>
          <cell r="E405" t="str">
            <v>降臨2</v>
          </cell>
          <cell r="F405">
            <v>3</v>
          </cell>
          <cell r="G405" t="str">
            <v>ja</v>
          </cell>
          <cell r="H405" t="str">
            <v xml:space="preserve">【ウィザード級】アザゼル襲来 </v>
          </cell>
          <cell r="I405" t="str">
            <v>地獄級</v>
          </cell>
          <cell r="J405">
            <v>297</v>
          </cell>
          <cell r="K405">
            <v>35</v>
          </cell>
          <cell r="L405">
            <v>4200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>
            <v>296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902</v>
          </cell>
          <cell r="AD405">
            <v>6</v>
          </cell>
          <cell r="AE405" t="str">
            <v>everyone</v>
          </cell>
        </row>
        <row r="406">
          <cell r="A406" t="str">
            <v>40003_1</v>
          </cell>
          <cell r="B406">
            <v>3</v>
          </cell>
          <cell r="C406">
            <v>40003</v>
          </cell>
          <cell r="D406" t="str">
            <v>ジャンヌ襲来！</v>
          </cell>
          <cell r="E406" t="str">
            <v>降臨3</v>
          </cell>
          <cell r="F406">
            <v>1</v>
          </cell>
          <cell r="G406" t="str">
            <v>ja</v>
          </cell>
          <cell r="H406" t="str">
            <v xml:space="preserve">【ウィザード級】ジャンヌ襲来 </v>
          </cell>
          <cell r="I406" t="str">
            <v>地獄級</v>
          </cell>
          <cell r="J406">
            <v>315</v>
          </cell>
          <cell r="K406">
            <v>35</v>
          </cell>
          <cell r="L406">
            <v>4200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>
            <v>314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903</v>
          </cell>
          <cell r="AD406">
            <v>6</v>
          </cell>
          <cell r="AE406" t="str">
            <v>everyone</v>
          </cell>
        </row>
        <row r="407">
          <cell r="A407" t="str">
            <v>40004_1</v>
          </cell>
          <cell r="B407">
            <v>3</v>
          </cell>
          <cell r="C407">
            <v>40004</v>
          </cell>
          <cell r="D407" t="str">
            <v>宮本武蔵襲来！</v>
          </cell>
          <cell r="E407" t="str">
            <v>降臨4</v>
          </cell>
          <cell r="F407">
            <v>1</v>
          </cell>
          <cell r="G407" t="str">
            <v>ja</v>
          </cell>
          <cell r="H407" t="str">
            <v xml:space="preserve">【ウィザード級】宮本武蔵襲来 </v>
          </cell>
          <cell r="I407" t="str">
            <v>地獄級</v>
          </cell>
          <cell r="J407">
            <v>427</v>
          </cell>
          <cell r="K407">
            <v>35</v>
          </cell>
          <cell r="L407">
            <v>4200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>
            <v>426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904</v>
          </cell>
          <cell r="AD407">
            <v>6</v>
          </cell>
          <cell r="AE407" t="str">
            <v>everyone</v>
          </cell>
        </row>
        <row r="408">
          <cell r="A408" t="str">
            <v>40005_1</v>
          </cell>
          <cell r="B408">
            <v>3</v>
          </cell>
          <cell r="C408">
            <v>40005</v>
          </cell>
          <cell r="D408" t="str">
            <v>オズ襲来！</v>
          </cell>
          <cell r="E408" t="str">
            <v>降臨5</v>
          </cell>
          <cell r="F408">
            <v>1</v>
          </cell>
          <cell r="G408" t="str">
            <v>ja</v>
          </cell>
          <cell r="H408" t="str">
            <v xml:space="preserve">【ウィザード級】オズ襲来 </v>
          </cell>
          <cell r="I408" t="str">
            <v>地獄級</v>
          </cell>
          <cell r="J408">
            <v>461</v>
          </cell>
          <cell r="K408">
            <v>35</v>
          </cell>
          <cell r="L408">
            <v>4200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>
            <v>460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906</v>
          </cell>
          <cell r="AD408">
            <v>6</v>
          </cell>
          <cell r="AE408" t="str">
            <v>everyone</v>
          </cell>
        </row>
        <row r="409">
          <cell r="A409" t="str">
            <v>40006_1</v>
          </cell>
          <cell r="B409">
            <v>3</v>
          </cell>
          <cell r="C409">
            <v>40006</v>
          </cell>
          <cell r="D409" t="str">
            <v>アーサー襲来！</v>
          </cell>
          <cell r="E409" t="str">
            <v>降臨6</v>
          </cell>
          <cell r="F409">
            <v>1</v>
          </cell>
          <cell r="G409" t="str">
            <v>ja</v>
          </cell>
          <cell r="H409" t="str">
            <v xml:space="preserve">【ウィザード級】アーサー襲来 </v>
          </cell>
          <cell r="I409" t="str">
            <v>地獄級</v>
          </cell>
          <cell r="J409">
            <v>473</v>
          </cell>
          <cell r="K409">
            <v>35</v>
          </cell>
          <cell r="L409">
            <v>4200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>
            <v>472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907</v>
          </cell>
          <cell r="AD409">
            <v>6</v>
          </cell>
          <cell r="AE409" t="str">
            <v>everyone</v>
          </cell>
        </row>
        <row r="410">
          <cell r="A410" t="str">
            <v>40007_1</v>
          </cell>
          <cell r="B410">
            <v>3</v>
          </cell>
          <cell r="C410">
            <v>40007</v>
          </cell>
          <cell r="D410" t="str">
            <v>グリム襲来！</v>
          </cell>
          <cell r="E410" t="str">
            <v>降臨7</v>
          </cell>
          <cell r="F410">
            <v>1</v>
          </cell>
          <cell r="G410" t="str">
            <v>ja</v>
          </cell>
          <cell r="H410" t="str">
            <v xml:space="preserve">【ウィザード級】グリム襲来 </v>
          </cell>
          <cell r="I410" t="str">
            <v>地獄級</v>
          </cell>
          <cell r="J410">
            <v>491</v>
          </cell>
          <cell r="K410">
            <v>35</v>
          </cell>
          <cell r="L410">
            <v>4200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>
            <v>490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908</v>
          </cell>
          <cell r="AD410">
            <v>6</v>
          </cell>
          <cell r="AE410" t="str">
            <v>everyone</v>
          </cell>
        </row>
        <row r="411">
          <cell r="A411" t="str">
            <v>40008_1</v>
          </cell>
          <cell r="B411">
            <v>3</v>
          </cell>
          <cell r="C411">
            <v>40008</v>
          </cell>
          <cell r="D411" t="str">
            <v>Gスター・チルドレン襲来！</v>
          </cell>
          <cell r="E411" t="str">
            <v>降臨8</v>
          </cell>
          <cell r="F411">
            <v>1</v>
          </cell>
          <cell r="G411" t="str">
            <v>ja</v>
          </cell>
          <cell r="H411" t="str">
            <v xml:space="preserve">【ウィザード級】Gスター・チルドレン襲来 </v>
          </cell>
          <cell r="I411" t="str">
            <v>地獄級</v>
          </cell>
          <cell r="J411">
            <v>491</v>
          </cell>
          <cell r="K411">
            <v>35</v>
          </cell>
          <cell r="L411">
            <v>4200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>
            <v>490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12</v>
          </cell>
          <cell r="AD411">
            <v>6</v>
          </cell>
          <cell r="AE411" t="str">
            <v>everyone</v>
          </cell>
        </row>
        <row r="412">
          <cell r="A412" t="str">
            <v>50001_1</v>
          </cell>
          <cell r="B412">
            <v>3</v>
          </cell>
          <cell r="C412">
            <v>50001</v>
          </cell>
          <cell r="D412" t="str">
            <v>麒麟襲来！</v>
          </cell>
          <cell r="E412" t="str">
            <v>超降臨1</v>
          </cell>
          <cell r="F412">
            <v>1</v>
          </cell>
          <cell r="G412" t="str">
            <v>ja</v>
          </cell>
          <cell r="H412" t="str">
            <v xml:space="preserve">【超ウィザード級】麒麟襲来 </v>
          </cell>
          <cell r="I412" t="str">
            <v>超地獄級</v>
          </cell>
          <cell r="J412">
            <v>328</v>
          </cell>
          <cell r="K412">
            <v>40</v>
          </cell>
          <cell r="L412">
            <v>5200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>
            <v>432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905</v>
          </cell>
          <cell r="AD412">
            <v>6</v>
          </cell>
          <cell r="AE412" t="str">
            <v>everyone</v>
          </cell>
        </row>
        <row r="413">
          <cell r="A413" t="str">
            <v>49001_1</v>
          </cell>
          <cell r="B413">
            <v>1</v>
          </cell>
          <cell r="C413">
            <v>49001</v>
          </cell>
          <cell r="D413" t="str">
            <v>初音ミクV3襲来！</v>
          </cell>
          <cell r="E413" t="str">
            <v>コラボ降臨1</v>
          </cell>
          <cell r="F413">
            <v>1</v>
          </cell>
          <cell r="G413" t="str">
            <v>ja</v>
          </cell>
          <cell r="H413" t="str">
            <v xml:space="preserve">【ウィザード級】V3襲来 </v>
          </cell>
          <cell r="I413" t="str">
            <v>地獄級</v>
          </cell>
          <cell r="J413">
            <v>328</v>
          </cell>
          <cell r="K413">
            <v>35</v>
          </cell>
          <cell r="L413">
            <v>4200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907</v>
          </cell>
          <cell r="AD413">
            <v>6</v>
          </cell>
          <cell r="AE413" t="str">
            <v>everyone</v>
          </cell>
        </row>
        <row r="414">
          <cell r="A414" t="str">
            <v>65535_1</v>
          </cell>
          <cell r="B414">
            <v>1</v>
          </cell>
          <cell r="C414">
            <v>65535</v>
          </cell>
          <cell r="D414" t="str">
            <v>★検証専用クエスト★</v>
          </cell>
          <cell r="E414" t="str">
            <v>検証</v>
          </cell>
          <cell r="F414">
            <v>1</v>
          </cell>
          <cell r="G414" t="str">
            <v>ja</v>
          </cell>
          <cell r="H414" t="str">
            <v>テンプレート</v>
          </cell>
          <cell r="I414" t="str">
            <v>検証</v>
          </cell>
          <cell r="J414" t="str">
            <v>NULL</v>
          </cell>
          <cell r="K414">
            <v>1</v>
          </cell>
          <cell r="L414">
            <v>1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none</v>
          </cell>
          <cell r="T414">
            <v>0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903</v>
          </cell>
          <cell r="AD414">
            <v>6</v>
          </cell>
          <cell r="AE414" t="str">
            <v>everyone</v>
          </cell>
        </row>
        <row r="415">
          <cell r="A415" t="str">
            <v>65535_2</v>
          </cell>
          <cell r="B415">
            <v>1</v>
          </cell>
          <cell r="C415">
            <v>65535</v>
          </cell>
          <cell r="D415" t="str">
            <v>★検証専用クエスト★</v>
          </cell>
          <cell r="E415" t="str">
            <v>検証</v>
          </cell>
          <cell r="F415">
            <v>2</v>
          </cell>
          <cell r="G415" t="str">
            <v>ja</v>
          </cell>
          <cell r="H415" t="str">
            <v>ランクアップクエスト</v>
          </cell>
          <cell r="I415" t="str">
            <v>検証</v>
          </cell>
          <cell r="J415" t="str">
            <v>NULL</v>
          </cell>
          <cell r="K415">
            <v>1</v>
          </cell>
          <cell r="L415">
            <v>65535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903</v>
          </cell>
          <cell r="AD415">
            <v>6</v>
          </cell>
          <cell r="AE415" t="str">
            <v>everyone</v>
          </cell>
        </row>
        <row r="416">
          <cell r="A416" t="str">
            <v>65535_3</v>
          </cell>
          <cell r="B416">
            <v>1</v>
          </cell>
          <cell r="C416">
            <v>65535</v>
          </cell>
          <cell r="D416" t="str">
            <v>★検証専用クエスト★</v>
          </cell>
          <cell r="E416" t="str">
            <v>検証</v>
          </cell>
          <cell r="F416">
            <v>3</v>
          </cell>
          <cell r="G416" t="str">
            <v>ja</v>
          </cell>
          <cell r="H416" t="str">
            <v>男気ゲリラテスト</v>
          </cell>
          <cell r="I416" t="str">
            <v>検証</v>
          </cell>
          <cell r="J416" t="str">
            <v>NULL</v>
          </cell>
          <cell r="K416">
            <v>1</v>
          </cell>
          <cell r="L416">
            <v>1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105</v>
          </cell>
          <cell r="AD416">
            <v>6</v>
          </cell>
          <cell r="AE416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"/>
  <sheetViews>
    <sheetView workbookViewId="0">
      <selection activeCell="C10" sqref="C10"/>
    </sheetView>
  </sheetViews>
  <sheetFormatPr baseColWidth="12" defaultRowHeight="18" x14ac:dyDescent="0"/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>
      <c r="A2" s="5" t="s">
        <v>31</v>
      </c>
      <c r="B2" s="5" t="s">
        <v>29</v>
      </c>
      <c r="C2" s="5" t="s">
        <v>36</v>
      </c>
      <c r="D2" s="5" t="s">
        <v>25</v>
      </c>
      <c r="E2" s="3" t="str">
        <f t="shared" ref="E2" si="0">B2&amp;C2&amp;D2</f>
        <v>stage_bug_bonuses_challenge.tmp</v>
      </c>
      <c r="F2" s="5" t="s">
        <v>8</v>
      </c>
      <c r="G2" s="4" t="s">
        <v>7</v>
      </c>
      <c r="H2" s="4" t="s">
        <v>9</v>
      </c>
      <c r="I2" s="4" t="s">
        <v>10</v>
      </c>
      <c r="J2" s="6" t="s">
        <v>11</v>
      </c>
      <c r="K2" s="4" t="s">
        <v>12</v>
      </c>
      <c r="L2" s="4" t="s">
        <v>13</v>
      </c>
      <c r="M2" s="4" t="s">
        <v>14</v>
      </c>
      <c r="N2" s="4" t="s">
        <v>15</v>
      </c>
      <c r="O2" s="4" t="s">
        <v>16</v>
      </c>
      <c r="P2" s="4" t="s">
        <v>17</v>
      </c>
      <c r="Q2" s="4" t="s">
        <v>18</v>
      </c>
      <c r="R2" s="4" t="s">
        <v>19</v>
      </c>
      <c r="S2" s="4" t="s">
        <v>20</v>
      </c>
      <c r="T2" s="4" t="s">
        <v>21</v>
      </c>
      <c r="U2" s="4" t="s">
        <v>22</v>
      </c>
      <c r="V2" s="4" t="s">
        <v>23</v>
      </c>
      <c r="W2" s="4" t="s">
        <v>24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R187"/>
  <sheetViews>
    <sheetView tabSelected="1" topLeftCell="A89" workbookViewId="0">
      <selection activeCell="J103" sqref="J103"/>
    </sheetView>
  </sheetViews>
  <sheetFormatPr baseColWidth="12" defaultRowHeight="18" x14ac:dyDescent="0"/>
  <cols>
    <col min="8" max="8" width="12.83203125" customWidth="1"/>
    <col min="17" max="18" width="19" bestFit="1" customWidth="1"/>
  </cols>
  <sheetData>
    <row r="1" spans="1:18">
      <c r="A1" s="4" t="s">
        <v>7</v>
      </c>
      <c r="B1" s="4" t="s">
        <v>9</v>
      </c>
      <c r="C1" s="7" t="s">
        <v>26</v>
      </c>
      <c r="D1" s="8" t="s">
        <v>30</v>
      </c>
      <c r="E1" s="6" t="s">
        <v>11</v>
      </c>
      <c r="F1" s="4" t="s">
        <v>13</v>
      </c>
      <c r="G1" s="4" t="s">
        <v>22</v>
      </c>
      <c r="H1" s="4" t="s">
        <v>12</v>
      </c>
      <c r="I1" s="4" t="s">
        <v>14</v>
      </c>
      <c r="J1" s="4" t="s">
        <v>15</v>
      </c>
      <c r="K1" s="4" t="s">
        <v>16</v>
      </c>
      <c r="L1" s="4" t="s">
        <v>17</v>
      </c>
      <c r="M1" s="4" t="s">
        <v>18</v>
      </c>
      <c r="N1" s="4" t="s">
        <v>19</v>
      </c>
      <c r="O1" s="4" t="s">
        <v>20</v>
      </c>
      <c r="P1" s="4" t="s">
        <v>21</v>
      </c>
      <c r="Q1" s="4" t="s">
        <v>23</v>
      </c>
      <c r="R1" s="4" t="s">
        <v>24</v>
      </c>
    </row>
    <row r="2" spans="1:18">
      <c r="A2" s="9">
        <v>13001</v>
      </c>
      <c r="B2" s="9">
        <v>1</v>
      </c>
      <c r="C2" s="9" t="str">
        <f>A2&amp; "_"&amp;B2</f>
        <v>13001_1</v>
      </c>
      <c r="D2" s="9" t="str">
        <f>VLOOKUP(C2,[1]stages!$A:$AE,31,FALSE)</f>
        <v>singleonly</v>
      </c>
      <c r="E2" s="14">
        <v>1</v>
      </c>
      <c r="F2" s="9">
        <v>600</v>
      </c>
      <c r="G2" s="9">
        <v>300</v>
      </c>
      <c r="H2" s="9" t="s">
        <v>33</v>
      </c>
      <c r="I2" s="9" t="s">
        <v>35</v>
      </c>
      <c r="J2" s="9">
        <v>1</v>
      </c>
      <c r="K2" s="9">
        <v>1</v>
      </c>
      <c r="L2" s="9">
        <v>0</v>
      </c>
      <c r="M2" s="9">
        <v>0</v>
      </c>
      <c r="N2" s="9">
        <v>0</v>
      </c>
      <c r="O2" s="9">
        <v>0</v>
      </c>
      <c r="P2" s="9">
        <v>1</v>
      </c>
      <c r="Q2" s="35" t="s">
        <v>27</v>
      </c>
      <c r="R2" s="35" t="s">
        <v>28</v>
      </c>
    </row>
    <row r="3" spans="1:18">
      <c r="A3" s="9">
        <v>13001</v>
      </c>
      <c r="B3" s="9">
        <v>1</v>
      </c>
      <c r="C3" s="9" t="str">
        <f t="shared" ref="C3:C5" si="0">A3&amp; "_"&amp;B3</f>
        <v>13001_1</v>
      </c>
      <c r="D3" s="9" t="str">
        <f>VLOOKUP(C3,[1]stages!$A:$AE,31,FALSE)</f>
        <v>singleonly</v>
      </c>
      <c r="E3" s="14">
        <v>2</v>
      </c>
      <c r="F3" s="9">
        <v>25</v>
      </c>
      <c r="G3" s="9">
        <v>300</v>
      </c>
      <c r="H3" s="9" t="s">
        <v>34</v>
      </c>
      <c r="I3" s="9" t="s">
        <v>35</v>
      </c>
      <c r="J3" s="9">
        <v>1</v>
      </c>
      <c r="K3" s="9">
        <v>1</v>
      </c>
      <c r="L3" s="9">
        <v>0</v>
      </c>
      <c r="M3" s="9">
        <v>0</v>
      </c>
      <c r="N3" s="9">
        <v>0</v>
      </c>
      <c r="O3" s="9">
        <v>0</v>
      </c>
      <c r="P3" s="9">
        <v>1</v>
      </c>
      <c r="Q3" s="35" t="s">
        <v>27</v>
      </c>
      <c r="R3" s="35" t="s">
        <v>28</v>
      </c>
    </row>
    <row r="4" spans="1:18">
      <c r="A4" s="9">
        <v>13001</v>
      </c>
      <c r="B4" s="9">
        <v>1</v>
      </c>
      <c r="C4" s="9" t="str">
        <f t="shared" si="0"/>
        <v>13001_1</v>
      </c>
      <c r="D4" s="9" t="str">
        <f>VLOOKUP(C4,[1]stages!$A:$AE,31,FALSE)</f>
        <v>singleonly</v>
      </c>
      <c r="E4" s="14">
        <v>3</v>
      </c>
      <c r="F4" s="9">
        <v>7</v>
      </c>
      <c r="G4" s="9">
        <v>100</v>
      </c>
      <c r="H4" s="9" t="s">
        <v>32</v>
      </c>
      <c r="I4" s="9">
        <v>1</v>
      </c>
      <c r="J4" s="9">
        <v>1</v>
      </c>
      <c r="K4" s="9">
        <v>1</v>
      </c>
      <c r="L4" s="9">
        <v>0</v>
      </c>
      <c r="M4" s="9">
        <v>0</v>
      </c>
      <c r="N4" s="9">
        <v>0</v>
      </c>
      <c r="O4" s="9">
        <v>0</v>
      </c>
      <c r="P4" s="9">
        <v>1</v>
      </c>
      <c r="Q4" s="35" t="s">
        <v>27</v>
      </c>
      <c r="R4" s="35" t="s">
        <v>28</v>
      </c>
    </row>
    <row r="5" spans="1:18">
      <c r="A5" s="9">
        <v>13001</v>
      </c>
      <c r="B5" s="9">
        <v>1</v>
      </c>
      <c r="C5" s="9" t="str">
        <f t="shared" si="0"/>
        <v>13001_1</v>
      </c>
      <c r="D5" s="9" t="str">
        <f>VLOOKUP(C5,[1]stages!$A:$AE,31,FALSE)</f>
        <v>singleonly</v>
      </c>
      <c r="E5" s="14">
        <v>4</v>
      </c>
      <c r="F5" s="9">
        <v>13</v>
      </c>
      <c r="G5" s="9">
        <v>100</v>
      </c>
      <c r="H5" s="9" t="s">
        <v>32</v>
      </c>
      <c r="I5" s="9">
        <v>1</v>
      </c>
      <c r="J5" s="9">
        <v>1</v>
      </c>
      <c r="K5" s="9">
        <v>1</v>
      </c>
      <c r="L5" s="9">
        <v>0</v>
      </c>
      <c r="M5" s="9">
        <v>0</v>
      </c>
      <c r="N5" s="9">
        <v>0</v>
      </c>
      <c r="O5" s="9">
        <v>0</v>
      </c>
      <c r="P5" s="9">
        <v>1</v>
      </c>
      <c r="Q5" s="35" t="s">
        <v>27</v>
      </c>
      <c r="R5" s="35" t="s">
        <v>28</v>
      </c>
    </row>
    <row r="6" spans="1:18">
      <c r="A6" s="9">
        <v>13001</v>
      </c>
      <c r="B6" s="9">
        <v>1</v>
      </c>
      <c r="C6" s="9" t="str">
        <f t="shared" ref="C6" si="1">A6&amp; "_"&amp;B6</f>
        <v>13001_1</v>
      </c>
      <c r="D6" s="9" t="str">
        <f>VLOOKUP(C6,[1]stages!$A:$AE,31,FALSE)</f>
        <v>singleonly</v>
      </c>
      <c r="E6" s="14">
        <v>5</v>
      </c>
      <c r="F6" s="9">
        <v>19</v>
      </c>
      <c r="G6" s="9">
        <v>100</v>
      </c>
      <c r="H6" s="9" t="s">
        <v>32</v>
      </c>
      <c r="I6" s="9">
        <v>1</v>
      </c>
      <c r="J6" s="9">
        <v>1</v>
      </c>
      <c r="K6" s="9">
        <v>1</v>
      </c>
      <c r="L6" s="9">
        <v>0</v>
      </c>
      <c r="M6" s="9">
        <v>0</v>
      </c>
      <c r="N6" s="9">
        <v>0</v>
      </c>
      <c r="O6" s="9">
        <v>0</v>
      </c>
      <c r="P6" s="9">
        <v>1</v>
      </c>
      <c r="Q6" s="35" t="s">
        <v>27</v>
      </c>
      <c r="R6" s="35" t="s">
        <v>28</v>
      </c>
    </row>
    <row r="7" spans="1:18">
      <c r="A7" s="9">
        <v>13001</v>
      </c>
      <c r="B7" s="9">
        <v>1</v>
      </c>
      <c r="C7" s="9" t="str">
        <f t="shared" ref="C7" si="2">A7&amp; "_"&amp;B7</f>
        <v>13001_1</v>
      </c>
      <c r="D7" s="9" t="str">
        <f>VLOOKUP(C7,[1]stages!$A:$AE,31,FALSE)</f>
        <v>singleonly</v>
      </c>
      <c r="E7" s="14">
        <v>6</v>
      </c>
      <c r="F7" s="9">
        <v>344</v>
      </c>
      <c r="G7" s="9">
        <v>100</v>
      </c>
      <c r="H7" s="9" t="s">
        <v>32</v>
      </c>
      <c r="I7" s="9">
        <v>1</v>
      </c>
      <c r="J7" s="9">
        <v>1</v>
      </c>
      <c r="K7" s="9">
        <v>1</v>
      </c>
      <c r="L7" s="9">
        <v>0</v>
      </c>
      <c r="M7" s="9">
        <v>0</v>
      </c>
      <c r="N7" s="9">
        <v>0</v>
      </c>
      <c r="O7" s="9">
        <v>0</v>
      </c>
      <c r="P7" s="9">
        <v>1</v>
      </c>
      <c r="Q7" s="35" t="s">
        <v>27</v>
      </c>
      <c r="R7" s="35" t="s">
        <v>28</v>
      </c>
    </row>
    <row r="8" spans="1:18">
      <c r="A8" s="10">
        <v>13001</v>
      </c>
      <c r="B8" s="10">
        <v>2</v>
      </c>
      <c r="C8" s="10" t="str">
        <f>A8&amp; "_"&amp;B8</f>
        <v>13001_2</v>
      </c>
      <c r="D8" s="10" t="str">
        <f>VLOOKUP(C8,[1]stages!$A:$AE,31,FALSE)</f>
        <v>singleonly</v>
      </c>
      <c r="E8" s="14">
        <v>7</v>
      </c>
      <c r="F8" s="9">
        <v>600</v>
      </c>
      <c r="G8" s="10">
        <v>300</v>
      </c>
      <c r="H8" s="10" t="s">
        <v>33</v>
      </c>
      <c r="I8" s="10" t="s">
        <v>35</v>
      </c>
      <c r="J8" s="10">
        <v>1</v>
      </c>
      <c r="K8" s="10">
        <v>1</v>
      </c>
      <c r="L8" s="10">
        <v>0</v>
      </c>
      <c r="M8" s="10">
        <v>0</v>
      </c>
      <c r="N8" s="10">
        <v>0</v>
      </c>
      <c r="O8" s="10">
        <v>0</v>
      </c>
      <c r="P8" s="10">
        <v>1</v>
      </c>
      <c r="Q8" s="35" t="s">
        <v>27</v>
      </c>
      <c r="R8" s="35" t="s">
        <v>28</v>
      </c>
    </row>
    <row r="9" spans="1:18">
      <c r="A9" s="10">
        <v>13001</v>
      </c>
      <c r="B9" s="10">
        <v>2</v>
      </c>
      <c r="C9" s="10" t="str">
        <f t="shared" ref="C9:C13" si="3">A9&amp; "_"&amp;B9</f>
        <v>13001_2</v>
      </c>
      <c r="D9" s="10" t="str">
        <f>VLOOKUP(C9,[1]stages!$A:$AE,31,FALSE)</f>
        <v>singleonly</v>
      </c>
      <c r="E9" s="14">
        <v>8</v>
      </c>
      <c r="F9" s="10">
        <v>25</v>
      </c>
      <c r="G9" s="10">
        <v>300</v>
      </c>
      <c r="H9" s="10" t="s">
        <v>34</v>
      </c>
      <c r="I9" s="10" t="s">
        <v>35</v>
      </c>
      <c r="J9" s="10">
        <v>1</v>
      </c>
      <c r="K9" s="10">
        <v>1</v>
      </c>
      <c r="L9" s="10">
        <v>0</v>
      </c>
      <c r="M9" s="10">
        <v>0</v>
      </c>
      <c r="N9" s="10">
        <v>0</v>
      </c>
      <c r="O9" s="10">
        <v>0</v>
      </c>
      <c r="P9" s="10">
        <v>1</v>
      </c>
      <c r="Q9" s="35" t="s">
        <v>27</v>
      </c>
      <c r="R9" s="35" t="s">
        <v>28</v>
      </c>
    </row>
    <row r="10" spans="1:18">
      <c r="A10" s="10">
        <v>13001</v>
      </c>
      <c r="B10" s="10">
        <v>2</v>
      </c>
      <c r="C10" s="10" t="str">
        <f t="shared" si="3"/>
        <v>13001_2</v>
      </c>
      <c r="D10" s="10" t="str">
        <f>VLOOKUP(C10,[1]stages!$A:$AE,31,FALSE)</f>
        <v>singleonly</v>
      </c>
      <c r="E10" s="14">
        <v>9</v>
      </c>
      <c r="F10" s="10">
        <v>1</v>
      </c>
      <c r="G10" s="10">
        <v>100</v>
      </c>
      <c r="H10" s="10" t="s">
        <v>32</v>
      </c>
      <c r="I10" s="10">
        <v>1</v>
      </c>
      <c r="J10" s="10">
        <v>2</v>
      </c>
      <c r="K10" s="10">
        <v>1</v>
      </c>
      <c r="L10" s="10">
        <v>0</v>
      </c>
      <c r="M10" s="10">
        <v>0</v>
      </c>
      <c r="N10" s="10">
        <v>0</v>
      </c>
      <c r="O10" s="10">
        <v>0</v>
      </c>
      <c r="P10" s="10">
        <v>1</v>
      </c>
      <c r="Q10" s="35" t="s">
        <v>27</v>
      </c>
      <c r="R10" s="35" t="s">
        <v>28</v>
      </c>
    </row>
    <row r="11" spans="1:18">
      <c r="A11" s="10">
        <v>13001</v>
      </c>
      <c r="B11" s="10">
        <v>2</v>
      </c>
      <c r="C11" s="10" t="str">
        <f t="shared" si="3"/>
        <v>13001_2</v>
      </c>
      <c r="D11" s="10" t="str">
        <f>VLOOKUP(C11,[1]stages!$A:$AE,31,FALSE)</f>
        <v>singleonly</v>
      </c>
      <c r="E11" s="14">
        <v>10</v>
      </c>
      <c r="F11" s="10">
        <v>9</v>
      </c>
      <c r="G11" s="10">
        <v>100</v>
      </c>
      <c r="H11" s="10" t="s">
        <v>32</v>
      </c>
      <c r="I11" s="10">
        <v>1</v>
      </c>
      <c r="J11" s="10">
        <v>1</v>
      </c>
      <c r="K11" s="10">
        <v>1</v>
      </c>
      <c r="L11" s="10">
        <v>0</v>
      </c>
      <c r="M11" s="10">
        <v>0</v>
      </c>
      <c r="N11" s="10">
        <v>0</v>
      </c>
      <c r="O11" s="10">
        <v>0</v>
      </c>
      <c r="P11" s="10">
        <v>1</v>
      </c>
      <c r="Q11" s="35" t="s">
        <v>27</v>
      </c>
      <c r="R11" s="35" t="s">
        <v>28</v>
      </c>
    </row>
    <row r="12" spans="1:18">
      <c r="A12" s="10">
        <v>13001</v>
      </c>
      <c r="B12" s="10">
        <v>2</v>
      </c>
      <c r="C12" s="10" t="str">
        <f t="shared" si="3"/>
        <v>13001_2</v>
      </c>
      <c r="D12" s="10" t="str">
        <f>VLOOKUP(C12,[1]stages!$A:$AE,31,FALSE)</f>
        <v>singleonly</v>
      </c>
      <c r="E12" s="14">
        <v>11</v>
      </c>
      <c r="F12" s="10">
        <v>15</v>
      </c>
      <c r="G12" s="10">
        <v>100</v>
      </c>
      <c r="H12" s="10" t="s">
        <v>32</v>
      </c>
      <c r="I12" s="10">
        <v>1</v>
      </c>
      <c r="J12" s="10">
        <v>1</v>
      </c>
      <c r="K12" s="10">
        <v>1</v>
      </c>
      <c r="L12" s="10">
        <v>0</v>
      </c>
      <c r="M12" s="10">
        <v>0</v>
      </c>
      <c r="N12" s="10">
        <v>0</v>
      </c>
      <c r="O12" s="10">
        <v>0</v>
      </c>
      <c r="P12" s="10">
        <v>1</v>
      </c>
      <c r="Q12" s="35" t="s">
        <v>27</v>
      </c>
      <c r="R12" s="35" t="s">
        <v>28</v>
      </c>
    </row>
    <row r="13" spans="1:18">
      <c r="A13" s="10">
        <v>13001</v>
      </c>
      <c r="B13" s="10">
        <v>2</v>
      </c>
      <c r="C13" s="10" t="str">
        <f t="shared" si="3"/>
        <v>13001_2</v>
      </c>
      <c r="D13" s="10" t="str">
        <f>VLOOKUP(C13,[1]stages!$A:$AE,31,FALSE)</f>
        <v>singleonly</v>
      </c>
      <c r="E13" s="14">
        <v>12</v>
      </c>
      <c r="F13" s="10">
        <v>332</v>
      </c>
      <c r="G13" s="10">
        <v>100</v>
      </c>
      <c r="H13" s="10" t="s">
        <v>32</v>
      </c>
      <c r="I13" s="10">
        <v>1</v>
      </c>
      <c r="J13" s="10">
        <v>1</v>
      </c>
      <c r="K13" s="10">
        <v>1</v>
      </c>
      <c r="L13" s="10">
        <v>0</v>
      </c>
      <c r="M13" s="10">
        <v>0</v>
      </c>
      <c r="N13" s="10">
        <v>0</v>
      </c>
      <c r="O13" s="10">
        <v>0</v>
      </c>
      <c r="P13" s="10">
        <v>1</v>
      </c>
      <c r="Q13" s="35" t="s">
        <v>27</v>
      </c>
      <c r="R13" s="35" t="s">
        <v>28</v>
      </c>
    </row>
    <row r="14" spans="1:18">
      <c r="A14" s="11">
        <v>13001</v>
      </c>
      <c r="B14" s="11">
        <v>3</v>
      </c>
      <c r="C14" s="11" t="str">
        <f>A14&amp; "_"&amp;B14</f>
        <v>13001_3</v>
      </c>
      <c r="D14" s="11" t="str">
        <f>VLOOKUP(C14,[1]stages!$A:$AE,31,FALSE)</f>
        <v>singleonly</v>
      </c>
      <c r="E14" s="14">
        <v>13</v>
      </c>
      <c r="F14" s="9">
        <v>600</v>
      </c>
      <c r="G14" s="11">
        <v>300</v>
      </c>
      <c r="H14" s="11" t="s">
        <v>33</v>
      </c>
      <c r="I14" s="11" t="s">
        <v>35</v>
      </c>
      <c r="J14" s="11">
        <v>1</v>
      </c>
      <c r="K14" s="11">
        <v>1</v>
      </c>
      <c r="L14" s="11">
        <v>0</v>
      </c>
      <c r="M14" s="11">
        <v>0</v>
      </c>
      <c r="N14" s="11">
        <v>0</v>
      </c>
      <c r="O14" s="11">
        <v>0</v>
      </c>
      <c r="P14" s="11">
        <v>1</v>
      </c>
      <c r="Q14" s="35" t="s">
        <v>27</v>
      </c>
      <c r="R14" s="35" t="s">
        <v>28</v>
      </c>
    </row>
    <row r="15" spans="1:18">
      <c r="A15" s="11">
        <v>13001</v>
      </c>
      <c r="B15" s="11">
        <v>3</v>
      </c>
      <c r="C15" s="11" t="str">
        <f t="shared" ref="C15:C19" si="4">A15&amp; "_"&amp;B15</f>
        <v>13001_3</v>
      </c>
      <c r="D15" s="11" t="str">
        <f>VLOOKUP(C15,[1]stages!$A:$AE,31,FALSE)</f>
        <v>singleonly</v>
      </c>
      <c r="E15" s="14">
        <v>14</v>
      </c>
      <c r="F15" s="11">
        <v>25</v>
      </c>
      <c r="G15" s="11">
        <v>300</v>
      </c>
      <c r="H15" s="11" t="s">
        <v>34</v>
      </c>
      <c r="I15" s="11" t="s">
        <v>35</v>
      </c>
      <c r="J15" s="11">
        <v>1</v>
      </c>
      <c r="K15" s="11">
        <v>1</v>
      </c>
      <c r="L15" s="11">
        <v>0</v>
      </c>
      <c r="M15" s="11">
        <v>0</v>
      </c>
      <c r="N15" s="11">
        <v>0</v>
      </c>
      <c r="O15" s="11">
        <v>0</v>
      </c>
      <c r="P15" s="11">
        <v>1</v>
      </c>
      <c r="Q15" s="35" t="s">
        <v>27</v>
      </c>
      <c r="R15" s="35" t="s">
        <v>28</v>
      </c>
    </row>
    <row r="16" spans="1:18">
      <c r="A16" s="11">
        <v>13001</v>
      </c>
      <c r="B16" s="11">
        <v>3</v>
      </c>
      <c r="C16" s="11" t="str">
        <f t="shared" si="4"/>
        <v>13001_3</v>
      </c>
      <c r="D16" s="11" t="str">
        <f>VLOOKUP(C16,[1]stages!$A:$AE,31,FALSE)</f>
        <v>singleonly</v>
      </c>
      <c r="E16" s="14">
        <v>15</v>
      </c>
      <c r="F16" s="11">
        <v>3</v>
      </c>
      <c r="G16" s="11">
        <v>100</v>
      </c>
      <c r="H16" s="11" t="s">
        <v>32</v>
      </c>
      <c r="I16" s="11">
        <v>1</v>
      </c>
      <c r="J16" s="11">
        <v>4</v>
      </c>
      <c r="K16" s="11">
        <v>1</v>
      </c>
      <c r="L16" s="11">
        <v>0</v>
      </c>
      <c r="M16" s="11">
        <v>0</v>
      </c>
      <c r="N16" s="11">
        <v>0</v>
      </c>
      <c r="O16" s="11">
        <v>0</v>
      </c>
      <c r="P16" s="11">
        <v>1</v>
      </c>
      <c r="Q16" s="35" t="s">
        <v>27</v>
      </c>
      <c r="R16" s="35" t="s">
        <v>28</v>
      </c>
    </row>
    <row r="17" spans="1:18">
      <c r="A17" s="11">
        <v>13001</v>
      </c>
      <c r="B17" s="11">
        <v>3</v>
      </c>
      <c r="C17" s="11" t="str">
        <f t="shared" si="4"/>
        <v>13001_3</v>
      </c>
      <c r="D17" s="11" t="str">
        <f>VLOOKUP(C17,[1]stages!$A:$AE,31,FALSE)</f>
        <v>singleonly</v>
      </c>
      <c r="E17" s="14">
        <v>16</v>
      </c>
      <c r="F17" s="11">
        <v>11</v>
      </c>
      <c r="G17" s="11">
        <v>100</v>
      </c>
      <c r="H17" s="11" t="s">
        <v>32</v>
      </c>
      <c r="I17" s="11">
        <v>1</v>
      </c>
      <c r="J17" s="11">
        <v>2</v>
      </c>
      <c r="K17" s="11">
        <v>1</v>
      </c>
      <c r="L17" s="11">
        <v>0</v>
      </c>
      <c r="M17" s="11">
        <v>0</v>
      </c>
      <c r="N17" s="11">
        <v>0</v>
      </c>
      <c r="O17" s="11">
        <v>0</v>
      </c>
      <c r="P17" s="11">
        <v>1</v>
      </c>
      <c r="Q17" s="35" t="s">
        <v>27</v>
      </c>
      <c r="R17" s="35" t="s">
        <v>28</v>
      </c>
    </row>
    <row r="18" spans="1:18">
      <c r="A18" s="11">
        <v>13001</v>
      </c>
      <c r="B18" s="11">
        <v>3</v>
      </c>
      <c r="C18" s="11" t="str">
        <f t="shared" si="4"/>
        <v>13001_3</v>
      </c>
      <c r="D18" s="11" t="str">
        <f>VLOOKUP(C18,[1]stages!$A:$AE,31,FALSE)</f>
        <v>singleonly</v>
      </c>
      <c r="E18" s="14">
        <v>17</v>
      </c>
      <c r="F18" s="11">
        <v>23</v>
      </c>
      <c r="G18" s="11">
        <v>100</v>
      </c>
      <c r="H18" s="11" t="s">
        <v>32</v>
      </c>
      <c r="I18" s="11">
        <v>1</v>
      </c>
      <c r="J18" s="11">
        <v>1</v>
      </c>
      <c r="K18" s="11">
        <v>1</v>
      </c>
      <c r="L18" s="11">
        <v>0</v>
      </c>
      <c r="M18" s="11">
        <v>0</v>
      </c>
      <c r="N18" s="11">
        <v>0</v>
      </c>
      <c r="O18" s="11">
        <v>0</v>
      </c>
      <c r="P18" s="11">
        <v>1</v>
      </c>
      <c r="Q18" s="35" t="s">
        <v>27</v>
      </c>
      <c r="R18" s="35" t="s">
        <v>28</v>
      </c>
    </row>
    <row r="19" spans="1:18">
      <c r="A19" s="11">
        <v>13001</v>
      </c>
      <c r="B19" s="11">
        <v>3</v>
      </c>
      <c r="C19" s="11" t="str">
        <f t="shared" si="4"/>
        <v>13001_3</v>
      </c>
      <c r="D19" s="11" t="str">
        <f>VLOOKUP(C19,[1]stages!$A:$AE,31,FALSE)</f>
        <v>singleonly</v>
      </c>
      <c r="E19" s="14">
        <v>18</v>
      </c>
      <c r="F19" s="11">
        <v>336</v>
      </c>
      <c r="G19" s="11">
        <v>100</v>
      </c>
      <c r="H19" s="11" t="s">
        <v>32</v>
      </c>
      <c r="I19" s="11">
        <v>1</v>
      </c>
      <c r="J19" s="11">
        <v>1</v>
      </c>
      <c r="K19" s="11">
        <v>1</v>
      </c>
      <c r="L19" s="11">
        <v>0</v>
      </c>
      <c r="M19" s="11">
        <v>0</v>
      </c>
      <c r="N19" s="11">
        <v>0</v>
      </c>
      <c r="O19" s="11">
        <v>0</v>
      </c>
      <c r="P19" s="11">
        <v>1</v>
      </c>
      <c r="Q19" s="35" t="s">
        <v>27</v>
      </c>
      <c r="R19" s="35" t="s">
        <v>28</v>
      </c>
    </row>
    <row r="20" spans="1:18">
      <c r="A20" s="12">
        <v>13001</v>
      </c>
      <c r="B20" s="12">
        <v>4</v>
      </c>
      <c r="C20" s="12" t="str">
        <f>A20&amp; "_"&amp;B20</f>
        <v>13001_4</v>
      </c>
      <c r="D20" s="12" t="str">
        <f>VLOOKUP(C20,[1]stages!$A:$AE,31,FALSE)</f>
        <v>singleonly</v>
      </c>
      <c r="E20" s="14">
        <v>19</v>
      </c>
      <c r="F20" s="9">
        <v>600</v>
      </c>
      <c r="G20" s="12">
        <v>300</v>
      </c>
      <c r="H20" s="12" t="s">
        <v>33</v>
      </c>
      <c r="I20" s="12" t="s">
        <v>35</v>
      </c>
      <c r="J20" s="12">
        <v>1</v>
      </c>
      <c r="K20" s="12">
        <v>1</v>
      </c>
      <c r="L20" s="12">
        <v>0</v>
      </c>
      <c r="M20" s="12">
        <v>0</v>
      </c>
      <c r="N20" s="12">
        <v>0</v>
      </c>
      <c r="O20" s="12">
        <v>0</v>
      </c>
      <c r="P20" s="12">
        <v>1</v>
      </c>
      <c r="Q20" s="35" t="s">
        <v>27</v>
      </c>
      <c r="R20" s="35" t="s">
        <v>28</v>
      </c>
    </row>
    <row r="21" spans="1:18">
      <c r="A21" s="12">
        <v>13001</v>
      </c>
      <c r="B21" s="12">
        <v>4</v>
      </c>
      <c r="C21" s="12" t="str">
        <f t="shared" ref="C21:C25" si="5">A21&amp; "_"&amp;B21</f>
        <v>13001_4</v>
      </c>
      <c r="D21" s="12" t="str">
        <f>VLOOKUP(C21,[1]stages!$A:$AE,31,FALSE)</f>
        <v>singleonly</v>
      </c>
      <c r="E21" s="14">
        <v>20</v>
      </c>
      <c r="F21" s="12">
        <v>25</v>
      </c>
      <c r="G21" s="12">
        <v>300</v>
      </c>
      <c r="H21" s="12" t="s">
        <v>34</v>
      </c>
      <c r="I21" s="12" t="s">
        <v>35</v>
      </c>
      <c r="J21" s="12">
        <v>1</v>
      </c>
      <c r="K21" s="12">
        <v>1</v>
      </c>
      <c r="L21" s="12">
        <v>0</v>
      </c>
      <c r="M21" s="12">
        <v>0</v>
      </c>
      <c r="N21" s="12">
        <v>0</v>
      </c>
      <c r="O21" s="12">
        <v>0</v>
      </c>
      <c r="P21" s="12">
        <v>1</v>
      </c>
      <c r="Q21" s="35" t="s">
        <v>27</v>
      </c>
      <c r="R21" s="35" t="s">
        <v>28</v>
      </c>
    </row>
    <row r="22" spans="1:18">
      <c r="A22" s="12">
        <v>13001</v>
      </c>
      <c r="B22" s="12">
        <v>4</v>
      </c>
      <c r="C22" s="12" t="str">
        <f t="shared" si="5"/>
        <v>13001_4</v>
      </c>
      <c r="D22" s="12" t="str">
        <f>VLOOKUP(C22,[1]stages!$A:$AE,31,FALSE)</f>
        <v>singleonly</v>
      </c>
      <c r="E22" s="14">
        <v>21</v>
      </c>
      <c r="F22" s="12">
        <v>5</v>
      </c>
      <c r="G22" s="12">
        <v>100</v>
      </c>
      <c r="H22" s="12" t="s">
        <v>32</v>
      </c>
      <c r="I22" s="12">
        <v>1</v>
      </c>
      <c r="J22" s="12">
        <v>5</v>
      </c>
      <c r="K22" s="12">
        <v>1</v>
      </c>
      <c r="L22" s="12">
        <v>0</v>
      </c>
      <c r="M22" s="12">
        <v>0</v>
      </c>
      <c r="N22" s="12">
        <v>0</v>
      </c>
      <c r="O22" s="12">
        <v>0</v>
      </c>
      <c r="P22" s="12">
        <v>1</v>
      </c>
      <c r="Q22" s="35" t="s">
        <v>27</v>
      </c>
      <c r="R22" s="35" t="s">
        <v>28</v>
      </c>
    </row>
    <row r="23" spans="1:18">
      <c r="A23" s="12">
        <v>13001</v>
      </c>
      <c r="B23" s="12">
        <v>4</v>
      </c>
      <c r="C23" s="12" t="str">
        <f t="shared" si="5"/>
        <v>13001_4</v>
      </c>
      <c r="D23" s="12" t="str">
        <f>VLOOKUP(C23,[1]stages!$A:$AE,31,FALSE)</f>
        <v>singleonly</v>
      </c>
      <c r="E23" s="14">
        <v>22</v>
      </c>
      <c r="F23" s="12">
        <v>17</v>
      </c>
      <c r="G23" s="12">
        <v>100</v>
      </c>
      <c r="H23" s="12" t="s">
        <v>32</v>
      </c>
      <c r="I23" s="12">
        <v>1</v>
      </c>
      <c r="J23" s="12">
        <v>3</v>
      </c>
      <c r="K23" s="12">
        <v>1</v>
      </c>
      <c r="L23" s="12">
        <v>0</v>
      </c>
      <c r="M23" s="12">
        <v>0</v>
      </c>
      <c r="N23" s="12">
        <v>0</v>
      </c>
      <c r="O23" s="12">
        <v>0</v>
      </c>
      <c r="P23" s="12">
        <v>1</v>
      </c>
      <c r="Q23" s="35" t="s">
        <v>27</v>
      </c>
      <c r="R23" s="35" t="s">
        <v>28</v>
      </c>
    </row>
    <row r="24" spans="1:18">
      <c r="A24" s="12">
        <v>13001</v>
      </c>
      <c r="B24" s="12">
        <v>4</v>
      </c>
      <c r="C24" s="12" t="str">
        <f t="shared" si="5"/>
        <v>13001_4</v>
      </c>
      <c r="D24" s="12" t="str">
        <f>VLOOKUP(C24,[1]stages!$A:$AE,31,FALSE)</f>
        <v>singleonly</v>
      </c>
      <c r="E24" s="14">
        <v>23</v>
      </c>
      <c r="F24" s="12">
        <v>25</v>
      </c>
      <c r="G24" s="12">
        <v>100</v>
      </c>
      <c r="H24" s="12" t="s">
        <v>32</v>
      </c>
      <c r="I24" s="12">
        <v>1</v>
      </c>
      <c r="J24" s="12">
        <v>1</v>
      </c>
      <c r="K24" s="12">
        <v>1</v>
      </c>
      <c r="L24" s="12">
        <v>0</v>
      </c>
      <c r="M24" s="12">
        <v>0</v>
      </c>
      <c r="N24" s="12">
        <v>0</v>
      </c>
      <c r="O24" s="12">
        <v>0</v>
      </c>
      <c r="P24" s="12">
        <v>1</v>
      </c>
      <c r="Q24" s="35" t="s">
        <v>27</v>
      </c>
      <c r="R24" s="35" t="s">
        <v>28</v>
      </c>
    </row>
    <row r="25" spans="1:18">
      <c r="A25" s="12">
        <v>13001</v>
      </c>
      <c r="B25" s="12">
        <v>4</v>
      </c>
      <c r="C25" s="12" t="str">
        <f t="shared" si="5"/>
        <v>13001_4</v>
      </c>
      <c r="D25" s="12" t="str">
        <f>VLOOKUP(C25,[1]stages!$A:$AE,31,FALSE)</f>
        <v>singleonly</v>
      </c>
      <c r="E25" s="14">
        <v>24</v>
      </c>
      <c r="F25" s="12">
        <v>340</v>
      </c>
      <c r="G25" s="12">
        <v>100</v>
      </c>
      <c r="H25" s="12" t="s">
        <v>32</v>
      </c>
      <c r="I25" s="12">
        <v>1</v>
      </c>
      <c r="J25" s="12">
        <v>1</v>
      </c>
      <c r="K25" s="12">
        <v>1</v>
      </c>
      <c r="L25" s="12">
        <v>0</v>
      </c>
      <c r="M25" s="12">
        <v>0</v>
      </c>
      <c r="N25" s="12">
        <v>0</v>
      </c>
      <c r="O25" s="12">
        <v>0</v>
      </c>
      <c r="P25" s="12">
        <v>1</v>
      </c>
      <c r="Q25" s="35" t="s">
        <v>27</v>
      </c>
      <c r="R25" s="35" t="s">
        <v>28</v>
      </c>
    </row>
    <row r="26" spans="1:18">
      <c r="A26" s="10">
        <v>13001</v>
      </c>
      <c r="B26" s="10">
        <v>5</v>
      </c>
      <c r="C26" s="10" t="str">
        <f>A26&amp; "_"&amp;B26</f>
        <v>13001_5</v>
      </c>
      <c r="D26" s="10" t="str">
        <f>VLOOKUP(C26,[1]stages!$A:$AE,31,FALSE)</f>
        <v>singleonly</v>
      </c>
      <c r="E26" s="14">
        <v>25</v>
      </c>
      <c r="F26" s="9">
        <v>600</v>
      </c>
      <c r="G26" s="10">
        <v>450</v>
      </c>
      <c r="H26" s="10" t="s">
        <v>33</v>
      </c>
      <c r="I26" s="10" t="s">
        <v>35</v>
      </c>
      <c r="J26" s="10">
        <v>1</v>
      </c>
      <c r="K26" s="10">
        <v>1</v>
      </c>
      <c r="L26" s="10">
        <v>0</v>
      </c>
      <c r="M26" s="10">
        <v>0</v>
      </c>
      <c r="N26" s="10">
        <v>0</v>
      </c>
      <c r="O26" s="10">
        <v>0</v>
      </c>
      <c r="P26" s="10">
        <v>1</v>
      </c>
      <c r="Q26" s="35" t="s">
        <v>27</v>
      </c>
      <c r="R26" s="35" t="s">
        <v>28</v>
      </c>
    </row>
    <row r="27" spans="1:18">
      <c r="A27" s="10">
        <v>13001</v>
      </c>
      <c r="B27" s="10">
        <v>5</v>
      </c>
      <c r="C27" s="10" t="str">
        <f t="shared" ref="C27:C28" si="6">A27&amp; "_"&amp;B27</f>
        <v>13001_5</v>
      </c>
      <c r="D27" s="10" t="str">
        <f>VLOOKUP(C27,[1]stages!$A:$AE,31,FALSE)</f>
        <v>singleonly</v>
      </c>
      <c r="E27" s="14">
        <v>26</v>
      </c>
      <c r="F27" s="10">
        <v>25</v>
      </c>
      <c r="G27" s="10">
        <v>450</v>
      </c>
      <c r="H27" s="10" t="s">
        <v>34</v>
      </c>
      <c r="I27" s="10" t="s">
        <v>35</v>
      </c>
      <c r="J27" s="10">
        <v>1</v>
      </c>
      <c r="K27" s="10">
        <v>1</v>
      </c>
      <c r="L27" s="10">
        <v>0</v>
      </c>
      <c r="M27" s="10">
        <v>0</v>
      </c>
      <c r="N27" s="10">
        <v>0</v>
      </c>
      <c r="O27" s="10">
        <v>0</v>
      </c>
      <c r="P27" s="10">
        <v>1</v>
      </c>
      <c r="Q27" s="35" t="s">
        <v>27</v>
      </c>
      <c r="R27" s="35" t="s">
        <v>28</v>
      </c>
    </row>
    <row r="28" spans="1:18">
      <c r="A28" s="10">
        <v>13001</v>
      </c>
      <c r="B28" s="10">
        <v>5</v>
      </c>
      <c r="C28" s="10" t="str">
        <f t="shared" si="6"/>
        <v>13001_5</v>
      </c>
      <c r="D28" s="10" t="str">
        <f>VLOOKUP(C28,[1]stages!$A:$AE,31,FALSE)</f>
        <v>singleonly</v>
      </c>
      <c r="E28" s="14">
        <v>27</v>
      </c>
      <c r="F28" s="10">
        <v>332</v>
      </c>
      <c r="G28" s="10">
        <v>100</v>
      </c>
      <c r="H28" s="10" t="s">
        <v>32</v>
      </c>
      <c r="I28" s="10">
        <v>1</v>
      </c>
      <c r="J28" s="10">
        <v>1</v>
      </c>
      <c r="K28" s="10">
        <v>1</v>
      </c>
      <c r="L28" s="10">
        <v>0</v>
      </c>
      <c r="M28" s="10">
        <v>0</v>
      </c>
      <c r="N28" s="10">
        <v>0</v>
      </c>
      <c r="O28" s="10">
        <v>0</v>
      </c>
      <c r="P28" s="10">
        <v>1</v>
      </c>
      <c r="Q28" s="35" t="s">
        <v>27</v>
      </c>
      <c r="R28" s="35" t="s">
        <v>28</v>
      </c>
    </row>
    <row r="29" spans="1:18">
      <c r="A29" s="9">
        <v>13001</v>
      </c>
      <c r="B29" s="9">
        <v>6</v>
      </c>
      <c r="C29" s="9" t="str">
        <f>A29&amp; "_"&amp;B29</f>
        <v>13001_6</v>
      </c>
      <c r="D29" s="9" t="str">
        <f>VLOOKUP(C29,[1]stages!$A:$AE,31,FALSE)</f>
        <v>singleonly</v>
      </c>
      <c r="E29" s="14">
        <v>28</v>
      </c>
      <c r="F29" s="9">
        <v>1000</v>
      </c>
      <c r="G29" s="9">
        <v>300</v>
      </c>
      <c r="H29" s="9" t="s">
        <v>33</v>
      </c>
      <c r="I29" s="9" t="s">
        <v>35</v>
      </c>
      <c r="J29" s="9">
        <v>1</v>
      </c>
      <c r="K29" s="9">
        <v>1</v>
      </c>
      <c r="L29" s="9">
        <v>0</v>
      </c>
      <c r="M29" s="9">
        <v>0</v>
      </c>
      <c r="N29" s="9">
        <v>0</v>
      </c>
      <c r="O29" s="9">
        <v>0</v>
      </c>
      <c r="P29" s="9">
        <v>1</v>
      </c>
      <c r="Q29" s="35" t="s">
        <v>27</v>
      </c>
      <c r="R29" s="35" t="s">
        <v>28</v>
      </c>
    </row>
    <row r="30" spans="1:18">
      <c r="A30" s="9">
        <v>13001</v>
      </c>
      <c r="B30" s="9">
        <v>6</v>
      </c>
      <c r="C30" s="9" t="str">
        <f t="shared" ref="C30:C33" si="7">A30&amp; "_"&amp;B30</f>
        <v>13001_6</v>
      </c>
      <c r="D30" s="9" t="str">
        <f>VLOOKUP(C30,[1]stages!$A:$AE,31,FALSE)</f>
        <v>singleonly</v>
      </c>
      <c r="E30" s="14">
        <v>29</v>
      </c>
      <c r="F30" s="9">
        <v>25</v>
      </c>
      <c r="G30" s="9">
        <v>300</v>
      </c>
      <c r="H30" s="9" t="s">
        <v>34</v>
      </c>
      <c r="I30" s="9" t="s">
        <v>35</v>
      </c>
      <c r="J30" s="9">
        <v>1</v>
      </c>
      <c r="K30" s="9">
        <v>1</v>
      </c>
      <c r="L30" s="9">
        <v>0</v>
      </c>
      <c r="M30" s="9">
        <v>0</v>
      </c>
      <c r="N30" s="9">
        <v>0</v>
      </c>
      <c r="O30" s="9">
        <v>0</v>
      </c>
      <c r="P30" s="9">
        <v>1</v>
      </c>
      <c r="Q30" s="35" t="s">
        <v>27</v>
      </c>
      <c r="R30" s="35" t="s">
        <v>28</v>
      </c>
    </row>
    <row r="31" spans="1:18">
      <c r="A31" s="9">
        <v>13001</v>
      </c>
      <c r="B31" s="9">
        <v>6</v>
      </c>
      <c r="C31" s="9" t="str">
        <f t="shared" si="7"/>
        <v>13001_6</v>
      </c>
      <c r="D31" s="9" t="str">
        <f>VLOOKUP(C31,[1]stages!$A:$AE,31,FALSE)</f>
        <v>singleonly</v>
      </c>
      <c r="E31" s="14">
        <v>30</v>
      </c>
      <c r="F31" s="9">
        <v>13</v>
      </c>
      <c r="G31" s="9">
        <v>75</v>
      </c>
      <c r="H31" s="9" t="s">
        <v>32</v>
      </c>
      <c r="I31" s="9">
        <v>1</v>
      </c>
      <c r="J31" s="9">
        <v>3</v>
      </c>
      <c r="K31" s="9">
        <v>1</v>
      </c>
      <c r="L31" s="9">
        <v>0</v>
      </c>
      <c r="M31" s="9">
        <v>0</v>
      </c>
      <c r="N31" s="9">
        <v>0</v>
      </c>
      <c r="O31" s="9">
        <v>0</v>
      </c>
      <c r="P31" s="9">
        <v>1</v>
      </c>
      <c r="Q31" s="35" t="s">
        <v>27</v>
      </c>
      <c r="R31" s="35" t="s">
        <v>28</v>
      </c>
    </row>
    <row r="32" spans="1:18">
      <c r="A32" s="9">
        <v>13001</v>
      </c>
      <c r="B32" s="9">
        <v>6</v>
      </c>
      <c r="C32" s="9" t="str">
        <f t="shared" si="7"/>
        <v>13001_6</v>
      </c>
      <c r="D32" s="9" t="str">
        <f>VLOOKUP(C32,[1]stages!$A:$AE,31,FALSE)</f>
        <v>singleonly</v>
      </c>
      <c r="E32" s="14">
        <v>31</v>
      </c>
      <c r="F32" s="9">
        <v>19</v>
      </c>
      <c r="G32" s="9">
        <v>75</v>
      </c>
      <c r="H32" s="9" t="s">
        <v>32</v>
      </c>
      <c r="I32" s="9">
        <v>1</v>
      </c>
      <c r="J32" s="9">
        <v>3</v>
      </c>
      <c r="K32" s="9">
        <v>1</v>
      </c>
      <c r="L32" s="9">
        <v>0</v>
      </c>
      <c r="M32" s="9">
        <v>0</v>
      </c>
      <c r="N32" s="9">
        <v>0</v>
      </c>
      <c r="O32" s="9">
        <v>0</v>
      </c>
      <c r="P32" s="9">
        <v>1</v>
      </c>
      <c r="Q32" s="35" t="s">
        <v>27</v>
      </c>
      <c r="R32" s="35" t="s">
        <v>28</v>
      </c>
    </row>
    <row r="33" spans="1:18">
      <c r="A33" s="9">
        <v>13001</v>
      </c>
      <c r="B33" s="9">
        <v>6</v>
      </c>
      <c r="C33" s="9" t="str">
        <f t="shared" si="7"/>
        <v>13001_6</v>
      </c>
      <c r="D33" s="9" t="str">
        <f>VLOOKUP(C33,[1]stages!$A:$AE,31,FALSE)</f>
        <v>singleonly</v>
      </c>
      <c r="E33" s="14">
        <v>32</v>
      </c>
      <c r="F33" s="9">
        <v>31</v>
      </c>
      <c r="G33" s="9">
        <v>75</v>
      </c>
      <c r="H33" s="9" t="s">
        <v>32</v>
      </c>
      <c r="I33" s="9">
        <v>1</v>
      </c>
      <c r="J33" s="9">
        <v>1</v>
      </c>
      <c r="K33" s="9">
        <v>1</v>
      </c>
      <c r="L33" s="9">
        <v>0</v>
      </c>
      <c r="M33" s="9">
        <v>0</v>
      </c>
      <c r="N33" s="9">
        <v>0</v>
      </c>
      <c r="O33" s="9">
        <v>0</v>
      </c>
      <c r="P33" s="9">
        <v>1</v>
      </c>
      <c r="Q33" s="35" t="s">
        <v>27</v>
      </c>
      <c r="R33" s="35" t="s">
        <v>28</v>
      </c>
    </row>
    <row r="34" spans="1:18">
      <c r="A34" s="9">
        <v>13001</v>
      </c>
      <c r="B34" s="9">
        <v>6</v>
      </c>
      <c r="C34" s="9" t="str">
        <f t="shared" ref="C34" si="8">A34&amp; "_"&amp;B34</f>
        <v>13001_6</v>
      </c>
      <c r="D34" s="9" t="str">
        <f>VLOOKUP(C34,[1]stages!$A:$AE,31,FALSE)</f>
        <v>singleonly</v>
      </c>
      <c r="E34" s="14">
        <v>33</v>
      </c>
      <c r="F34" s="9">
        <v>47</v>
      </c>
      <c r="G34" s="9">
        <v>75</v>
      </c>
      <c r="H34" s="9" t="s">
        <v>32</v>
      </c>
      <c r="I34" s="9">
        <v>1</v>
      </c>
      <c r="J34" s="9">
        <v>1</v>
      </c>
      <c r="K34" s="9">
        <v>1</v>
      </c>
      <c r="L34" s="9">
        <v>0</v>
      </c>
      <c r="M34" s="9">
        <v>0</v>
      </c>
      <c r="N34" s="9">
        <v>0</v>
      </c>
      <c r="O34" s="9">
        <v>0</v>
      </c>
      <c r="P34" s="9">
        <v>1</v>
      </c>
      <c r="Q34" s="35" t="s">
        <v>27</v>
      </c>
      <c r="R34" s="35" t="s">
        <v>28</v>
      </c>
    </row>
    <row r="35" spans="1:18">
      <c r="A35" s="9">
        <v>13001</v>
      </c>
      <c r="B35" s="9">
        <v>6</v>
      </c>
      <c r="C35" s="9" t="str">
        <f t="shared" ref="C35" si="9">A35&amp; "_"&amp;B35</f>
        <v>13001_6</v>
      </c>
      <c r="D35" s="9" t="str">
        <f>VLOOKUP(C35,[1]stages!$A:$AE,31,FALSE)</f>
        <v>singleonly</v>
      </c>
      <c r="E35" s="14">
        <v>34</v>
      </c>
      <c r="F35" s="9">
        <v>346</v>
      </c>
      <c r="G35" s="9">
        <v>100</v>
      </c>
      <c r="H35" s="9" t="s">
        <v>32</v>
      </c>
      <c r="I35" s="9">
        <v>1</v>
      </c>
      <c r="J35" s="9">
        <v>1</v>
      </c>
      <c r="K35" s="9">
        <v>1</v>
      </c>
      <c r="L35" s="9">
        <v>0</v>
      </c>
      <c r="M35" s="9">
        <v>0</v>
      </c>
      <c r="N35" s="9">
        <v>0</v>
      </c>
      <c r="O35" s="9">
        <v>0</v>
      </c>
      <c r="P35" s="9">
        <v>1</v>
      </c>
      <c r="Q35" s="35" t="s">
        <v>27</v>
      </c>
      <c r="R35" s="35" t="s">
        <v>28</v>
      </c>
    </row>
    <row r="36" spans="1:18">
      <c r="A36" s="13">
        <v>13001</v>
      </c>
      <c r="B36" s="13">
        <v>7</v>
      </c>
      <c r="C36" s="13" t="str">
        <f>A36&amp; "_"&amp;B36</f>
        <v>13001_7</v>
      </c>
      <c r="D36" s="13" t="str">
        <f>VLOOKUP(C36,[1]stages!$A:$AE,31,FALSE)</f>
        <v>singleonly</v>
      </c>
      <c r="E36" s="14">
        <v>35</v>
      </c>
      <c r="F36" s="13">
        <v>1000</v>
      </c>
      <c r="G36" s="13">
        <v>300</v>
      </c>
      <c r="H36" s="13" t="s">
        <v>33</v>
      </c>
      <c r="I36" s="13" t="s">
        <v>35</v>
      </c>
      <c r="J36" s="13">
        <v>1</v>
      </c>
      <c r="K36" s="13">
        <v>1</v>
      </c>
      <c r="L36" s="13">
        <v>0</v>
      </c>
      <c r="M36" s="13">
        <v>0</v>
      </c>
      <c r="N36" s="13">
        <v>0</v>
      </c>
      <c r="O36" s="13">
        <v>0</v>
      </c>
      <c r="P36" s="13">
        <v>1</v>
      </c>
      <c r="Q36" s="35" t="s">
        <v>27</v>
      </c>
      <c r="R36" s="35" t="s">
        <v>28</v>
      </c>
    </row>
    <row r="37" spans="1:18">
      <c r="A37" s="13">
        <v>13001</v>
      </c>
      <c r="B37" s="13">
        <v>7</v>
      </c>
      <c r="C37" s="13" t="str">
        <f t="shared" ref="C37:C41" si="10">A37&amp; "_"&amp;B37</f>
        <v>13001_7</v>
      </c>
      <c r="D37" s="13" t="str">
        <f>VLOOKUP(C37,[1]stages!$A:$AE,31,FALSE)</f>
        <v>singleonly</v>
      </c>
      <c r="E37" s="14">
        <v>36</v>
      </c>
      <c r="F37" s="13">
        <v>25</v>
      </c>
      <c r="G37" s="13">
        <v>300</v>
      </c>
      <c r="H37" s="13" t="s">
        <v>34</v>
      </c>
      <c r="I37" s="13" t="s">
        <v>35</v>
      </c>
      <c r="J37" s="13">
        <v>1</v>
      </c>
      <c r="K37" s="13">
        <v>1</v>
      </c>
      <c r="L37" s="13">
        <v>0</v>
      </c>
      <c r="M37" s="13">
        <v>0</v>
      </c>
      <c r="N37" s="13">
        <v>0</v>
      </c>
      <c r="O37" s="13">
        <v>0</v>
      </c>
      <c r="P37" s="13">
        <v>1</v>
      </c>
      <c r="Q37" s="35" t="s">
        <v>27</v>
      </c>
      <c r="R37" s="35" t="s">
        <v>28</v>
      </c>
    </row>
    <row r="38" spans="1:18">
      <c r="A38" s="13">
        <v>13001</v>
      </c>
      <c r="B38" s="13">
        <v>7</v>
      </c>
      <c r="C38" s="13" t="str">
        <f t="shared" si="10"/>
        <v>13001_7</v>
      </c>
      <c r="D38" s="13" t="str">
        <f>VLOOKUP(C38,[1]stages!$A:$AE,31,FALSE)</f>
        <v>singleonly</v>
      </c>
      <c r="E38" s="14">
        <v>37</v>
      </c>
      <c r="F38" s="13">
        <v>17</v>
      </c>
      <c r="G38" s="13">
        <v>75</v>
      </c>
      <c r="H38" s="13" t="s">
        <v>32</v>
      </c>
      <c r="I38" s="13">
        <v>1</v>
      </c>
      <c r="J38" s="13">
        <v>3</v>
      </c>
      <c r="K38" s="13">
        <v>1</v>
      </c>
      <c r="L38" s="13">
        <v>0</v>
      </c>
      <c r="M38" s="13">
        <v>0</v>
      </c>
      <c r="N38" s="13">
        <v>0</v>
      </c>
      <c r="O38" s="13">
        <v>0</v>
      </c>
      <c r="P38" s="13">
        <v>1</v>
      </c>
      <c r="Q38" s="35" t="s">
        <v>27</v>
      </c>
      <c r="R38" s="35" t="s">
        <v>28</v>
      </c>
    </row>
    <row r="39" spans="1:18">
      <c r="A39" s="13">
        <v>13001</v>
      </c>
      <c r="B39" s="13">
        <v>7</v>
      </c>
      <c r="C39" s="13" t="str">
        <f t="shared" si="10"/>
        <v>13001_7</v>
      </c>
      <c r="D39" s="13" t="str">
        <f>VLOOKUP(C39,[1]stages!$A:$AE,31,FALSE)</f>
        <v>singleonly</v>
      </c>
      <c r="E39" s="14">
        <v>38</v>
      </c>
      <c r="F39" s="13">
        <v>25</v>
      </c>
      <c r="G39" s="13">
        <v>75</v>
      </c>
      <c r="H39" s="13" t="s">
        <v>32</v>
      </c>
      <c r="I39" s="13">
        <v>1</v>
      </c>
      <c r="J39" s="13">
        <v>3</v>
      </c>
      <c r="K39" s="13">
        <v>1</v>
      </c>
      <c r="L39" s="13">
        <v>0</v>
      </c>
      <c r="M39" s="13">
        <v>0</v>
      </c>
      <c r="N39" s="13">
        <v>0</v>
      </c>
      <c r="O39" s="13">
        <v>0</v>
      </c>
      <c r="P39" s="13">
        <v>1</v>
      </c>
      <c r="Q39" s="35" t="s">
        <v>27</v>
      </c>
      <c r="R39" s="35" t="s">
        <v>28</v>
      </c>
    </row>
    <row r="40" spans="1:18">
      <c r="A40" s="13">
        <v>13001</v>
      </c>
      <c r="B40" s="13">
        <v>7</v>
      </c>
      <c r="C40" s="13" t="str">
        <f t="shared" si="10"/>
        <v>13001_7</v>
      </c>
      <c r="D40" s="13" t="str">
        <f>VLOOKUP(C40,[1]stages!$A:$AE,31,FALSE)</f>
        <v>singleonly</v>
      </c>
      <c r="E40" s="14">
        <v>39</v>
      </c>
      <c r="F40" s="13">
        <v>29</v>
      </c>
      <c r="G40" s="13">
        <v>75</v>
      </c>
      <c r="H40" s="13" t="s">
        <v>32</v>
      </c>
      <c r="I40" s="13">
        <v>1</v>
      </c>
      <c r="J40" s="13">
        <v>1</v>
      </c>
      <c r="K40" s="13">
        <v>1</v>
      </c>
      <c r="L40" s="13">
        <v>0</v>
      </c>
      <c r="M40" s="13">
        <v>0</v>
      </c>
      <c r="N40" s="13">
        <v>0</v>
      </c>
      <c r="O40" s="13">
        <v>0</v>
      </c>
      <c r="P40" s="13">
        <v>1</v>
      </c>
      <c r="Q40" s="35" t="s">
        <v>27</v>
      </c>
      <c r="R40" s="35" t="s">
        <v>28</v>
      </c>
    </row>
    <row r="41" spans="1:18">
      <c r="A41" s="13">
        <v>13001</v>
      </c>
      <c r="B41" s="13">
        <v>7</v>
      </c>
      <c r="C41" s="13" t="str">
        <f t="shared" si="10"/>
        <v>13001_7</v>
      </c>
      <c r="D41" s="13" t="str">
        <f>VLOOKUP(C41,[1]stages!$A:$AE,31,FALSE)</f>
        <v>singleonly</v>
      </c>
      <c r="E41" s="14">
        <v>40</v>
      </c>
      <c r="F41" s="13">
        <v>342</v>
      </c>
      <c r="G41" s="13">
        <v>100</v>
      </c>
      <c r="H41" s="13" t="s">
        <v>32</v>
      </c>
      <c r="I41" s="13">
        <v>1</v>
      </c>
      <c r="J41" s="13">
        <v>1</v>
      </c>
      <c r="K41" s="13">
        <v>1</v>
      </c>
      <c r="L41" s="13">
        <v>0</v>
      </c>
      <c r="M41" s="13">
        <v>0</v>
      </c>
      <c r="N41" s="13">
        <v>0</v>
      </c>
      <c r="O41" s="13">
        <v>0</v>
      </c>
      <c r="P41" s="13">
        <v>1</v>
      </c>
      <c r="Q41" s="35" t="s">
        <v>27</v>
      </c>
      <c r="R41" s="35" t="s">
        <v>28</v>
      </c>
    </row>
    <row r="42" spans="1:18">
      <c r="A42" s="10">
        <v>13001</v>
      </c>
      <c r="B42" s="10">
        <v>8</v>
      </c>
      <c r="C42" s="10" t="str">
        <f>A42&amp; "_"&amp;B42</f>
        <v>13001_8</v>
      </c>
      <c r="D42" s="10" t="str">
        <f>VLOOKUP(C42,[1]stages!$A:$AE,31,FALSE)</f>
        <v>singleonly</v>
      </c>
      <c r="E42" s="14">
        <v>41</v>
      </c>
      <c r="F42" s="10">
        <v>1000</v>
      </c>
      <c r="G42" s="10">
        <v>300</v>
      </c>
      <c r="H42" s="10" t="s">
        <v>33</v>
      </c>
      <c r="I42" s="10" t="s">
        <v>35</v>
      </c>
      <c r="J42" s="10">
        <v>1</v>
      </c>
      <c r="K42" s="10">
        <v>1</v>
      </c>
      <c r="L42" s="10">
        <v>0</v>
      </c>
      <c r="M42" s="10">
        <v>0</v>
      </c>
      <c r="N42" s="10">
        <v>0</v>
      </c>
      <c r="O42" s="10">
        <v>0</v>
      </c>
      <c r="P42" s="10">
        <v>1</v>
      </c>
      <c r="Q42" s="35" t="s">
        <v>27</v>
      </c>
      <c r="R42" s="35" t="s">
        <v>28</v>
      </c>
    </row>
    <row r="43" spans="1:18">
      <c r="A43" s="10">
        <v>13001</v>
      </c>
      <c r="B43" s="10">
        <v>8</v>
      </c>
      <c r="C43" s="10" t="str">
        <f t="shared" ref="C43:C47" si="11">A43&amp; "_"&amp;B43</f>
        <v>13001_8</v>
      </c>
      <c r="D43" s="10" t="str">
        <f>VLOOKUP(C43,[1]stages!$A:$AE,31,FALSE)</f>
        <v>singleonly</v>
      </c>
      <c r="E43" s="14">
        <v>42</v>
      </c>
      <c r="F43" s="10">
        <v>25</v>
      </c>
      <c r="G43" s="10">
        <v>300</v>
      </c>
      <c r="H43" s="10" t="s">
        <v>34</v>
      </c>
      <c r="I43" s="10" t="s">
        <v>35</v>
      </c>
      <c r="J43" s="10">
        <v>1</v>
      </c>
      <c r="K43" s="10">
        <v>1</v>
      </c>
      <c r="L43" s="10">
        <v>0</v>
      </c>
      <c r="M43" s="10">
        <v>0</v>
      </c>
      <c r="N43" s="10">
        <v>0</v>
      </c>
      <c r="O43" s="10">
        <v>0</v>
      </c>
      <c r="P43" s="10">
        <v>1</v>
      </c>
      <c r="Q43" s="35" t="s">
        <v>27</v>
      </c>
      <c r="R43" s="35" t="s">
        <v>28</v>
      </c>
    </row>
    <row r="44" spans="1:18">
      <c r="A44" s="10">
        <v>13001</v>
      </c>
      <c r="B44" s="10">
        <v>8</v>
      </c>
      <c r="C44" s="10" t="str">
        <f t="shared" si="11"/>
        <v>13001_8</v>
      </c>
      <c r="D44" s="10" t="str">
        <f>VLOOKUP(C44,[1]stages!$A:$AE,31,FALSE)</f>
        <v>singleonly</v>
      </c>
      <c r="E44" s="14">
        <v>43</v>
      </c>
      <c r="F44" s="10">
        <v>1</v>
      </c>
      <c r="G44" s="10">
        <v>50</v>
      </c>
      <c r="H44" s="10" t="s">
        <v>32</v>
      </c>
      <c r="I44" s="10">
        <v>1</v>
      </c>
      <c r="J44" s="10">
        <v>6</v>
      </c>
      <c r="K44" s="10">
        <v>1</v>
      </c>
      <c r="L44" s="10">
        <v>0</v>
      </c>
      <c r="M44" s="10">
        <v>0</v>
      </c>
      <c r="N44" s="10">
        <v>0</v>
      </c>
      <c r="O44" s="10">
        <v>0</v>
      </c>
      <c r="P44" s="10">
        <v>1</v>
      </c>
      <c r="Q44" s="35" t="s">
        <v>27</v>
      </c>
      <c r="R44" s="35" t="s">
        <v>28</v>
      </c>
    </row>
    <row r="45" spans="1:18">
      <c r="A45" s="10">
        <v>13001</v>
      </c>
      <c r="B45" s="10">
        <v>8</v>
      </c>
      <c r="C45" s="10" t="str">
        <f t="shared" si="11"/>
        <v>13001_8</v>
      </c>
      <c r="D45" s="10" t="str">
        <f>VLOOKUP(C45,[1]stages!$A:$AE,31,FALSE)</f>
        <v>singleonly</v>
      </c>
      <c r="E45" s="14">
        <v>44</v>
      </c>
      <c r="F45" s="10">
        <v>9</v>
      </c>
      <c r="G45" s="10">
        <v>50</v>
      </c>
      <c r="H45" s="10" t="s">
        <v>32</v>
      </c>
      <c r="I45" s="10">
        <v>1</v>
      </c>
      <c r="J45" s="10">
        <v>4</v>
      </c>
      <c r="K45" s="10">
        <v>1</v>
      </c>
      <c r="L45" s="10">
        <v>0</v>
      </c>
      <c r="M45" s="10">
        <v>0</v>
      </c>
      <c r="N45" s="10">
        <v>0</v>
      </c>
      <c r="O45" s="10">
        <v>0</v>
      </c>
      <c r="P45" s="10">
        <v>1</v>
      </c>
      <c r="Q45" s="35" t="s">
        <v>27</v>
      </c>
      <c r="R45" s="35" t="s">
        <v>28</v>
      </c>
    </row>
    <row r="46" spans="1:18">
      <c r="A46" s="10">
        <v>13001</v>
      </c>
      <c r="B46" s="10">
        <v>8</v>
      </c>
      <c r="C46" s="10" t="str">
        <f t="shared" si="11"/>
        <v>13001_8</v>
      </c>
      <c r="D46" s="10" t="str">
        <f>VLOOKUP(C46,[1]stages!$A:$AE,31,FALSE)</f>
        <v>singleonly</v>
      </c>
      <c r="E46" s="14">
        <v>45</v>
      </c>
      <c r="F46" s="10">
        <v>15</v>
      </c>
      <c r="G46" s="10">
        <v>50</v>
      </c>
      <c r="H46" s="10" t="s">
        <v>32</v>
      </c>
      <c r="I46" s="10">
        <v>1</v>
      </c>
      <c r="J46" s="10">
        <v>4</v>
      </c>
      <c r="K46" s="10">
        <v>1</v>
      </c>
      <c r="L46" s="10">
        <v>0</v>
      </c>
      <c r="M46" s="10">
        <v>0</v>
      </c>
      <c r="N46" s="10">
        <v>0</v>
      </c>
      <c r="O46" s="10">
        <v>0</v>
      </c>
      <c r="P46" s="10">
        <v>1</v>
      </c>
      <c r="Q46" s="35" t="s">
        <v>27</v>
      </c>
      <c r="R46" s="35" t="s">
        <v>28</v>
      </c>
    </row>
    <row r="47" spans="1:18">
      <c r="A47" s="10">
        <v>13001</v>
      </c>
      <c r="B47" s="10">
        <v>8</v>
      </c>
      <c r="C47" s="10" t="str">
        <f t="shared" si="11"/>
        <v>13001_8</v>
      </c>
      <c r="D47" s="10" t="str">
        <f>VLOOKUP(C47,[1]stages!$A:$AE,31,FALSE)</f>
        <v>singleonly</v>
      </c>
      <c r="E47" s="14">
        <v>46</v>
      </c>
      <c r="F47" s="10">
        <v>21</v>
      </c>
      <c r="G47" s="10">
        <v>50</v>
      </c>
      <c r="H47" s="10" t="s">
        <v>32</v>
      </c>
      <c r="I47" s="10">
        <v>1</v>
      </c>
      <c r="J47" s="10">
        <v>2</v>
      </c>
      <c r="K47" s="10">
        <v>1</v>
      </c>
      <c r="L47" s="10">
        <v>0</v>
      </c>
      <c r="M47" s="10">
        <v>0</v>
      </c>
      <c r="N47" s="10">
        <v>0</v>
      </c>
      <c r="O47" s="10">
        <v>0</v>
      </c>
      <c r="P47" s="10">
        <v>1</v>
      </c>
      <c r="Q47" s="35" t="s">
        <v>27</v>
      </c>
      <c r="R47" s="35" t="s">
        <v>28</v>
      </c>
    </row>
    <row r="48" spans="1:18">
      <c r="A48" s="10">
        <v>13001</v>
      </c>
      <c r="B48" s="10">
        <v>8</v>
      </c>
      <c r="C48" s="10" t="str">
        <f t="shared" ref="C48:C50" si="12">A48&amp; "_"&amp;B48</f>
        <v>13001_8</v>
      </c>
      <c r="D48" s="10" t="str">
        <f>VLOOKUP(C48,[1]stages!$A:$AE,31,FALSE)</f>
        <v>singleonly</v>
      </c>
      <c r="E48" s="14">
        <v>47</v>
      </c>
      <c r="F48" s="10">
        <v>41</v>
      </c>
      <c r="G48" s="10">
        <v>50</v>
      </c>
      <c r="H48" s="10" t="s">
        <v>32</v>
      </c>
      <c r="I48" s="10">
        <v>1</v>
      </c>
      <c r="J48" s="10">
        <v>2</v>
      </c>
      <c r="K48" s="10">
        <v>1</v>
      </c>
      <c r="L48" s="10">
        <v>0</v>
      </c>
      <c r="M48" s="10">
        <v>0</v>
      </c>
      <c r="N48" s="10">
        <v>0</v>
      </c>
      <c r="O48" s="10">
        <v>0</v>
      </c>
      <c r="P48" s="10">
        <v>1</v>
      </c>
      <c r="Q48" s="35" t="s">
        <v>27</v>
      </c>
      <c r="R48" s="35" t="s">
        <v>28</v>
      </c>
    </row>
    <row r="49" spans="1:18">
      <c r="A49" s="10">
        <v>13001</v>
      </c>
      <c r="B49" s="10">
        <v>8</v>
      </c>
      <c r="C49" s="10" t="str">
        <f t="shared" si="12"/>
        <v>13001_8</v>
      </c>
      <c r="D49" s="10" t="str">
        <f>VLOOKUP(C49,[1]stages!$A:$AE,31,FALSE)</f>
        <v>singleonly</v>
      </c>
      <c r="E49" s="14">
        <v>48</v>
      </c>
      <c r="F49" s="10">
        <v>49</v>
      </c>
      <c r="G49" s="10">
        <v>50</v>
      </c>
      <c r="H49" s="10" t="s">
        <v>32</v>
      </c>
      <c r="I49" s="10">
        <v>1</v>
      </c>
      <c r="J49" s="10">
        <v>2</v>
      </c>
      <c r="K49" s="10">
        <v>1</v>
      </c>
      <c r="L49" s="10">
        <v>0</v>
      </c>
      <c r="M49" s="10">
        <v>0</v>
      </c>
      <c r="N49" s="10">
        <v>0</v>
      </c>
      <c r="O49" s="10">
        <v>0</v>
      </c>
      <c r="P49" s="10">
        <v>1</v>
      </c>
      <c r="Q49" s="35" t="s">
        <v>27</v>
      </c>
      <c r="R49" s="35" t="s">
        <v>28</v>
      </c>
    </row>
    <row r="50" spans="1:18">
      <c r="A50" s="10">
        <v>13001</v>
      </c>
      <c r="B50" s="10">
        <v>8</v>
      </c>
      <c r="C50" s="10" t="str">
        <f t="shared" si="12"/>
        <v>13001_8</v>
      </c>
      <c r="D50" s="10" t="str">
        <f>VLOOKUP(C50,[1]stages!$A:$AE,31,FALSE)</f>
        <v>singleonly</v>
      </c>
      <c r="E50" s="14">
        <v>49</v>
      </c>
      <c r="F50" s="10">
        <v>334</v>
      </c>
      <c r="G50" s="10">
        <v>100</v>
      </c>
      <c r="H50" s="10" t="s">
        <v>32</v>
      </c>
      <c r="I50" s="10">
        <v>1</v>
      </c>
      <c r="J50" s="10">
        <v>1</v>
      </c>
      <c r="K50" s="10">
        <v>1</v>
      </c>
      <c r="L50" s="10">
        <v>0</v>
      </c>
      <c r="M50" s="10">
        <v>0</v>
      </c>
      <c r="N50" s="10">
        <v>0</v>
      </c>
      <c r="O50" s="10">
        <v>0</v>
      </c>
      <c r="P50" s="10">
        <v>1</v>
      </c>
      <c r="Q50" s="35" t="s">
        <v>27</v>
      </c>
      <c r="R50" s="35" t="s">
        <v>28</v>
      </c>
    </row>
    <row r="51" spans="1:18">
      <c r="A51" s="11">
        <v>13001</v>
      </c>
      <c r="B51" s="11">
        <v>9</v>
      </c>
      <c r="C51" s="11" t="str">
        <f>A51&amp; "_"&amp;B51</f>
        <v>13001_9</v>
      </c>
      <c r="D51" s="11" t="str">
        <f>VLOOKUP(C51,[1]stages!$A:$AE,31,FALSE)</f>
        <v>singleonly</v>
      </c>
      <c r="E51" s="14">
        <v>50</v>
      </c>
      <c r="F51" s="11">
        <v>1000</v>
      </c>
      <c r="G51" s="11">
        <v>300</v>
      </c>
      <c r="H51" s="11" t="s">
        <v>33</v>
      </c>
      <c r="I51" s="11" t="s">
        <v>35</v>
      </c>
      <c r="J51" s="11">
        <v>1</v>
      </c>
      <c r="K51" s="11">
        <v>1</v>
      </c>
      <c r="L51" s="11">
        <v>0</v>
      </c>
      <c r="M51" s="11">
        <v>0</v>
      </c>
      <c r="N51" s="11">
        <v>0</v>
      </c>
      <c r="O51" s="11">
        <v>0</v>
      </c>
      <c r="P51" s="11">
        <v>1</v>
      </c>
      <c r="Q51" s="35" t="s">
        <v>27</v>
      </c>
      <c r="R51" s="35" t="s">
        <v>28</v>
      </c>
    </row>
    <row r="52" spans="1:18">
      <c r="A52" s="11">
        <v>13001</v>
      </c>
      <c r="B52" s="11">
        <v>9</v>
      </c>
      <c r="C52" s="11" t="str">
        <f t="shared" ref="C52:C58" si="13">A52&amp; "_"&amp;B52</f>
        <v>13001_9</v>
      </c>
      <c r="D52" s="11" t="str">
        <f>VLOOKUP(C52,[1]stages!$A:$AE,31,FALSE)</f>
        <v>singleonly</v>
      </c>
      <c r="E52" s="14">
        <v>51</v>
      </c>
      <c r="F52" s="11">
        <v>25</v>
      </c>
      <c r="G52" s="11">
        <v>300</v>
      </c>
      <c r="H52" s="11" t="s">
        <v>34</v>
      </c>
      <c r="I52" s="11" t="s">
        <v>35</v>
      </c>
      <c r="J52" s="11">
        <v>1</v>
      </c>
      <c r="K52" s="11">
        <v>1</v>
      </c>
      <c r="L52" s="11">
        <v>0</v>
      </c>
      <c r="M52" s="11">
        <v>0</v>
      </c>
      <c r="N52" s="11">
        <v>0</v>
      </c>
      <c r="O52" s="11">
        <v>0</v>
      </c>
      <c r="P52" s="11">
        <v>1</v>
      </c>
      <c r="Q52" s="35" t="s">
        <v>27</v>
      </c>
      <c r="R52" s="35" t="s">
        <v>28</v>
      </c>
    </row>
    <row r="53" spans="1:18">
      <c r="A53" s="11">
        <v>13001</v>
      </c>
      <c r="B53" s="11">
        <v>9</v>
      </c>
      <c r="C53" s="11" t="str">
        <f t="shared" si="13"/>
        <v>13001_9</v>
      </c>
      <c r="D53" s="11" t="str">
        <f>VLOOKUP(C53,[1]stages!$A:$AE,31,FALSE)</f>
        <v>singleonly</v>
      </c>
      <c r="E53" s="14">
        <v>52</v>
      </c>
      <c r="F53" s="11">
        <v>11</v>
      </c>
      <c r="G53" s="11">
        <v>60</v>
      </c>
      <c r="H53" s="11" t="s">
        <v>32</v>
      </c>
      <c r="I53" s="11">
        <v>1</v>
      </c>
      <c r="J53" s="11">
        <v>5</v>
      </c>
      <c r="K53" s="11">
        <v>1</v>
      </c>
      <c r="L53" s="11">
        <v>0</v>
      </c>
      <c r="M53" s="11">
        <v>0</v>
      </c>
      <c r="N53" s="11">
        <v>0</v>
      </c>
      <c r="O53" s="11">
        <v>0</v>
      </c>
      <c r="P53" s="11">
        <v>1</v>
      </c>
      <c r="Q53" s="35" t="s">
        <v>27</v>
      </c>
      <c r="R53" s="35" t="s">
        <v>28</v>
      </c>
    </row>
    <row r="54" spans="1:18">
      <c r="A54" s="11">
        <v>13001</v>
      </c>
      <c r="B54" s="11">
        <v>9</v>
      </c>
      <c r="C54" s="11" t="str">
        <f t="shared" si="13"/>
        <v>13001_9</v>
      </c>
      <c r="D54" s="11" t="str">
        <f>VLOOKUP(C54,[1]stages!$A:$AE,31,FALSE)</f>
        <v>singleonly</v>
      </c>
      <c r="E54" s="14">
        <v>53</v>
      </c>
      <c r="F54" s="11">
        <v>23</v>
      </c>
      <c r="G54" s="11">
        <v>60</v>
      </c>
      <c r="H54" s="11" t="s">
        <v>32</v>
      </c>
      <c r="I54" s="11">
        <v>1</v>
      </c>
      <c r="J54" s="11">
        <v>3</v>
      </c>
      <c r="K54" s="11">
        <v>1</v>
      </c>
      <c r="L54" s="11">
        <v>0</v>
      </c>
      <c r="M54" s="11">
        <v>0</v>
      </c>
      <c r="N54" s="11">
        <v>0</v>
      </c>
      <c r="O54" s="11">
        <v>0</v>
      </c>
      <c r="P54" s="11">
        <v>1</v>
      </c>
      <c r="Q54" s="35" t="s">
        <v>27</v>
      </c>
      <c r="R54" s="35" t="s">
        <v>28</v>
      </c>
    </row>
    <row r="55" spans="1:18">
      <c r="A55" s="11">
        <v>13001</v>
      </c>
      <c r="B55" s="11">
        <v>9</v>
      </c>
      <c r="C55" s="11" t="str">
        <f t="shared" si="13"/>
        <v>13001_9</v>
      </c>
      <c r="D55" s="11" t="str">
        <f>VLOOKUP(C55,[1]stages!$A:$AE,31,FALSE)</f>
        <v>singleonly</v>
      </c>
      <c r="E55" s="14">
        <v>54</v>
      </c>
      <c r="F55" s="11">
        <v>27</v>
      </c>
      <c r="G55" s="11">
        <v>60</v>
      </c>
      <c r="H55" s="11" t="s">
        <v>32</v>
      </c>
      <c r="I55" s="11">
        <v>1</v>
      </c>
      <c r="J55" s="11">
        <v>3</v>
      </c>
      <c r="K55" s="11">
        <v>1</v>
      </c>
      <c r="L55" s="11">
        <v>0</v>
      </c>
      <c r="M55" s="11">
        <v>0</v>
      </c>
      <c r="N55" s="11">
        <v>0</v>
      </c>
      <c r="O55" s="11">
        <v>0</v>
      </c>
      <c r="P55" s="11">
        <v>1</v>
      </c>
      <c r="Q55" s="35" t="s">
        <v>27</v>
      </c>
      <c r="R55" s="35" t="s">
        <v>28</v>
      </c>
    </row>
    <row r="56" spans="1:18">
      <c r="A56" s="11">
        <v>13001</v>
      </c>
      <c r="B56" s="11">
        <v>9</v>
      </c>
      <c r="C56" s="11" t="str">
        <f t="shared" si="13"/>
        <v>13001_9</v>
      </c>
      <c r="D56" s="11" t="str">
        <f>VLOOKUP(C56,[1]stages!$A:$AE,31,FALSE)</f>
        <v>singleonly</v>
      </c>
      <c r="E56" s="14">
        <v>55</v>
      </c>
      <c r="F56" s="11">
        <v>43</v>
      </c>
      <c r="G56" s="11">
        <v>60</v>
      </c>
      <c r="H56" s="11" t="s">
        <v>32</v>
      </c>
      <c r="I56" s="11">
        <v>1</v>
      </c>
      <c r="J56" s="11">
        <v>3</v>
      </c>
      <c r="K56" s="11">
        <v>1</v>
      </c>
      <c r="L56" s="11">
        <v>0</v>
      </c>
      <c r="M56" s="11">
        <v>0</v>
      </c>
      <c r="N56" s="11">
        <v>0</v>
      </c>
      <c r="O56" s="11">
        <v>0</v>
      </c>
      <c r="P56" s="11">
        <v>1</v>
      </c>
      <c r="Q56" s="35" t="s">
        <v>27</v>
      </c>
      <c r="R56" s="35" t="s">
        <v>28</v>
      </c>
    </row>
    <row r="57" spans="1:18">
      <c r="A57" s="11">
        <v>13001</v>
      </c>
      <c r="B57" s="11">
        <v>9</v>
      </c>
      <c r="C57" s="11" t="str">
        <f t="shared" si="13"/>
        <v>13001_9</v>
      </c>
      <c r="D57" s="11" t="str">
        <f>VLOOKUP(C57,[1]stages!$A:$AE,31,FALSE)</f>
        <v>singleonly</v>
      </c>
      <c r="E57" s="14">
        <v>56</v>
      </c>
      <c r="F57" s="11">
        <v>59</v>
      </c>
      <c r="G57" s="11">
        <v>60</v>
      </c>
      <c r="H57" s="11" t="s">
        <v>32</v>
      </c>
      <c r="I57" s="11">
        <v>1</v>
      </c>
      <c r="J57" s="11">
        <v>3</v>
      </c>
      <c r="K57" s="11">
        <v>1</v>
      </c>
      <c r="L57" s="11">
        <v>0</v>
      </c>
      <c r="M57" s="11">
        <v>0</v>
      </c>
      <c r="N57" s="11">
        <v>0</v>
      </c>
      <c r="O57" s="11">
        <v>0</v>
      </c>
      <c r="P57" s="11">
        <v>1</v>
      </c>
      <c r="Q57" s="35" t="s">
        <v>27</v>
      </c>
      <c r="R57" s="35" t="s">
        <v>28</v>
      </c>
    </row>
    <row r="58" spans="1:18">
      <c r="A58" s="11">
        <v>13001</v>
      </c>
      <c r="B58" s="11">
        <v>9</v>
      </c>
      <c r="C58" s="11" t="str">
        <f t="shared" si="13"/>
        <v>13001_9</v>
      </c>
      <c r="D58" s="11" t="str">
        <f>VLOOKUP(C58,[1]stages!$A:$AE,31,FALSE)</f>
        <v>singleonly</v>
      </c>
      <c r="E58" s="14">
        <v>57</v>
      </c>
      <c r="F58" s="11">
        <v>338</v>
      </c>
      <c r="G58" s="11">
        <v>100</v>
      </c>
      <c r="H58" s="11" t="s">
        <v>32</v>
      </c>
      <c r="I58" s="11">
        <v>1</v>
      </c>
      <c r="J58" s="11">
        <v>1</v>
      </c>
      <c r="K58" s="11">
        <v>1</v>
      </c>
      <c r="L58" s="11">
        <v>0</v>
      </c>
      <c r="M58" s="11">
        <v>0</v>
      </c>
      <c r="N58" s="11">
        <v>0</v>
      </c>
      <c r="O58" s="11">
        <v>0</v>
      </c>
      <c r="P58" s="11">
        <v>1</v>
      </c>
      <c r="Q58" s="35" t="s">
        <v>27</v>
      </c>
      <c r="R58" s="35" t="s">
        <v>28</v>
      </c>
    </row>
    <row r="59" spans="1:18">
      <c r="A59" s="9">
        <v>13001</v>
      </c>
      <c r="B59" s="9">
        <v>10</v>
      </c>
      <c r="C59" s="9" t="str">
        <f>A59&amp; "_"&amp;B59</f>
        <v>13001_10</v>
      </c>
      <c r="D59" s="9" t="str">
        <f>VLOOKUP(C59,[1]stages!$A:$AE,31,FALSE)</f>
        <v>singleonly</v>
      </c>
      <c r="E59" s="14">
        <v>58</v>
      </c>
      <c r="F59" s="9">
        <v>1000</v>
      </c>
      <c r="G59" s="9">
        <v>300</v>
      </c>
      <c r="H59" s="9" t="s">
        <v>33</v>
      </c>
      <c r="I59" s="9" t="s">
        <v>35</v>
      </c>
      <c r="J59" s="9">
        <v>1</v>
      </c>
      <c r="K59" s="9">
        <v>1</v>
      </c>
      <c r="L59" s="9">
        <v>0</v>
      </c>
      <c r="M59" s="9">
        <v>0</v>
      </c>
      <c r="N59" s="9">
        <v>0</v>
      </c>
      <c r="O59" s="9">
        <v>0</v>
      </c>
      <c r="P59" s="9">
        <v>1</v>
      </c>
      <c r="Q59" s="35" t="s">
        <v>27</v>
      </c>
      <c r="R59" s="35" t="s">
        <v>28</v>
      </c>
    </row>
    <row r="60" spans="1:18">
      <c r="A60" s="9">
        <v>13001</v>
      </c>
      <c r="B60" s="9">
        <v>10</v>
      </c>
      <c r="C60" s="9" t="str">
        <f t="shared" ref="C60:C67" si="14">A60&amp; "_"&amp;B60</f>
        <v>13001_10</v>
      </c>
      <c r="D60" s="9" t="str">
        <f>VLOOKUP(C60,[1]stages!$A:$AE,31,FALSE)</f>
        <v>singleonly</v>
      </c>
      <c r="E60" s="14">
        <v>59</v>
      </c>
      <c r="F60" s="9">
        <v>25</v>
      </c>
      <c r="G60" s="9">
        <v>300</v>
      </c>
      <c r="H60" s="9" t="s">
        <v>34</v>
      </c>
      <c r="I60" s="9" t="s">
        <v>35</v>
      </c>
      <c r="J60" s="9">
        <v>1</v>
      </c>
      <c r="K60" s="9">
        <v>1</v>
      </c>
      <c r="L60" s="9">
        <v>0</v>
      </c>
      <c r="M60" s="9">
        <v>0</v>
      </c>
      <c r="N60" s="9">
        <v>0</v>
      </c>
      <c r="O60" s="9">
        <v>0</v>
      </c>
      <c r="P60" s="9">
        <v>1</v>
      </c>
      <c r="Q60" s="35" t="s">
        <v>27</v>
      </c>
      <c r="R60" s="35" t="s">
        <v>28</v>
      </c>
    </row>
    <row r="61" spans="1:18">
      <c r="A61" s="9">
        <v>13001</v>
      </c>
      <c r="B61" s="9">
        <v>10</v>
      </c>
      <c r="C61" s="9" t="str">
        <f t="shared" si="14"/>
        <v>13001_10</v>
      </c>
      <c r="D61" s="9" t="str">
        <f>VLOOKUP(C61,[1]stages!$A:$AE,31,FALSE)</f>
        <v>singleonly</v>
      </c>
      <c r="E61" s="14">
        <v>60</v>
      </c>
      <c r="F61" s="9">
        <v>15</v>
      </c>
      <c r="G61" s="9">
        <v>38</v>
      </c>
      <c r="H61" s="9" t="s">
        <v>32</v>
      </c>
      <c r="I61" s="9">
        <v>1</v>
      </c>
      <c r="J61" s="9">
        <v>6</v>
      </c>
      <c r="K61" s="9">
        <v>1</v>
      </c>
      <c r="L61" s="9">
        <v>0</v>
      </c>
      <c r="M61" s="9">
        <v>0</v>
      </c>
      <c r="N61" s="9">
        <v>0</v>
      </c>
      <c r="O61" s="9">
        <v>0</v>
      </c>
      <c r="P61" s="9">
        <v>1</v>
      </c>
      <c r="Q61" s="35" t="s">
        <v>27</v>
      </c>
      <c r="R61" s="35" t="s">
        <v>28</v>
      </c>
    </row>
    <row r="62" spans="1:18">
      <c r="A62" s="9">
        <v>13001</v>
      </c>
      <c r="B62" s="9">
        <v>10</v>
      </c>
      <c r="C62" s="9" t="str">
        <f t="shared" si="14"/>
        <v>13001_10</v>
      </c>
      <c r="D62" s="9" t="str">
        <f>VLOOKUP(C62,[1]stages!$A:$AE,31,FALSE)</f>
        <v>singleonly</v>
      </c>
      <c r="E62" s="14">
        <v>61</v>
      </c>
      <c r="F62" s="9">
        <v>17</v>
      </c>
      <c r="G62" s="9">
        <v>38</v>
      </c>
      <c r="H62" s="9" t="s">
        <v>32</v>
      </c>
      <c r="I62" s="9">
        <v>1</v>
      </c>
      <c r="J62" s="9">
        <v>4</v>
      </c>
      <c r="K62" s="9">
        <v>1</v>
      </c>
      <c r="L62" s="9">
        <v>0</v>
      </c>
      <c r="M62" s="9">
        <v>0</v>
      </c>
      <c r="N62" s="9">
        <v>0</v>
      </c>
      <c r="O62" s="9">
        <v>0</v>
      </c>
      <c r="P62" s="9">
        <v>1</v>
      </c>
      <c r="Q62" s="35" t="s">
        <v>27</v>
      </c>
      <c r="R62" s="35" t="s">
        <v>28</v>
      </c>
    </row>
    <row r="63" spans="1:18">
      <c r="A63" s="9">
        <v>13001</v>
      </c>
      <c r="B63" s="9">
        <v>10</v>
      </c>
      <c r="C63" s="9" t="str">
        <f t="shared" si="14"/>
        <v>13001_10</v>
      </c>
      <c r="D63" s="9" t="str">
        <f>VLOOKUP(C63,[1]stages!$A:$AE,31,FALSE)</f>
        <v>singleonly</v>
      </c>
      <c r="E63" s="14">
        <v>62</v>
      </c>
      <c r="F63" s="9">
        <v>19</v>
      </c>
      <c r="G63" s="9">
        <v>38</v>
      </c>
      <c r="H63" s="9" t="s">
        <v>32</v>
      </c>
      <c r="I63" s="9">
        <v>1</v>
      </c>
      <c r="J63" s="9">
        <v>4</v>
      </c>
      <c r="K63" s="9">
        <v>1</v>
      </c>
      <c r="L63" s="9">
        <v>0</v>
      </c>
      <c r="M63" s="9">
        <v>0</v>
      </c>
      <c r="N63" s="9">
        <v>0</v>
      </c>
      <c r="O63" s="9">
        <v>0</v>
      </c>
      <c r="P63" s="9">
        <v>1</v>
      </c>
      <c r="Q63" s="35" t="s">
        <v>27</v>
      </c>
      <c r="R63" s="35" t="s">
        <v>28</v>
      </c>
    </row>
    <row r="64" spans="1:18">
      <c r="A64" s="9">
        <v>13001</v>
      </c>
      <c r="B64" s="9">
        <v>10</v>
      </c>
      <c r="C64" s="9" t="str">
        <f t="shared" si="14"/>
        <v>13001_10</v>
      </c>
      <c r="D64" s="9" t="str">
        <f>VLOOKUP(C64,[1]stages!$A:$AE,31,FALSE)</f>
        <v>singleonly</v>
      </c>
      <c r="E64" s="14">
        <v>63</v>
      </c>
      <c r="F64" s="9">
        <v>23</v>
      </c>
      <c r="G64" s="9">
        <v>38</v>
      </c>
      <c r="H64" s="9" t="s">
        <v>32</v>
      </c>
      <c r="I64" s="9">
        <v>1</v>
      </c>
      <c r="J64" s="9">
        <v>2</v>
      </c>
      <c r="K64" s="9">
        <v>1</v>
      </c>
      <c r="L64" s="9">
        <v>0</v>
      </c>
      <c r="M64" s="9">
        <v>0</v>
      </c>
      <c r="N64" s="9">
        <v>0</v>
      </c>
      <c r="O64" s="9">
        <v>0</v>
      </c>
      <c r="P64" s="9">
        <v>1</v>
      </c>
      <c r="Q64" s="35" t="s">
        <v>27</v>
      </c>
      <c r="R64" s="35" t="s">
        <v>28</v>
      </c>
    </row>
    <row r="65" spans="1:18">
      <c r="A65" s="9">
        <v>13001</v>
      </c>
      <c r="B65" s="9">
        <v>10</v>
      </c>
      <c r="C65" s="9" t="str">
        <f t="shared" si="14"/>
        <v>13001_10</v>
      </c>
      <c r="D65" s="9" t="str">
        <f>VLOOKUP(C65,[1]stages!$A:$AE,31,FALSE)</f>
        <v>singleonly</v>
      </c>
      <c r="E65" s="14">
        <v>64</v>
      </c>
      <c r="F65" s="9">
        <v>41</v>
      </c>
      <c r="G65" s="9">
        <v>38</v>
      </c>
      <c r="H65" s="9" t="s">
        <v>32</v>
      </c>
      <c r="I65" s="9">
        <v>1</v>
      </c>
      <c r="J65" s="9">
        <v>2</v>
      </c>
      <c r="K65" s="9">
        <v>1</v>
      </c>
      <c r="L65" s="9">
        <v>0</v>
      </c>
      <c r="M65" s="9">
        <v>0</v>
      </c>
      <c r="N65" s="9">
        <v>0</v>
      </c>
      <c r="O65" s="9">
        <v>0</v>
      </c>
      <c r="P65" s="9">
        <v>1</v>
      </c>
      <c r="Q65" s="35" t="s">
        <v>27</v>
      </c>
      <c r="R65" s="35" t="s">
        <v>28</v>
      </c>
    </row>
    <row r="66" spans="1:18">
      <c r="A66" s="9">
        <v>13001</v>
      </c>
      <c r="B66" s="9">
        <v>10</v>
      </c>
      <c r="C66" s="9" t="str">
        <f t="shared" si="14"/>
        <v>13001_10</v>
      </c>
      <c r="D66" s="9" t="str">
        <f>VLOOKUP(C66,[1]stages!$A:$AE,31,FALSE)</f>
        <v>singleonly</v>
      </c>
      <c r="E66" s="14">
        <v>65</v>
      </c>
      <c r="F66" s="9">
        <v>43</v>
      </c>
      <c r="G66" s="9">
        <v>38</v>
      </c>
      <c r="H66" s="9" t="s">
        <v>32</v>
      </c>
      <c r="I66" s="9">
        <v>1</v>
      </c>
      <c r="J66" s="9">
        <v>2</v>
      </c>
      <c r="K66" s="9">
        <v>1</v>
      </c>
      <c r="L66" s="9">
        <v>0</v>
      </c>
      <c r="M66" s="9">
        <v>0</v>
      </c>
      <c r="N66" s="9">
        <v>0</v>
      </c>
      <c r="O66" s="9">
        <v>0</v>
      </c>
      <c r="P66" s="9">
        <v>1</v>
      </c>
      <c r="Q66" s="35" t="s">
        <v>27</v>
      </c>
      <c r="R66" s="35" t="s">
        <v>28</v>
      </c>
    </row>
    <row r="67" spans="1:18">
      <c r="A67" s="9">
        <v>13001</v>
      </c>
      <c r="B67" s="9">
        <v>10</v>
      </c>
      <c r="C67" s="9" t="str">
        <f t="shared" si="14"/>
        <v>13001_10</v>
      </c>
      <c r="D67" s="9" t="str">
        <f>VLOOKUP(C67,[1]stages!$A:$AE,31,FALSE)</f>
        <v>singleonly</v>
      </c>
      <c r="E67" s="14">
        <v>66</v>
      </c>
      <c r="F67" s="9">
        <v>45</v>
      </c>
      <c r="G67" s="9">
        <v>38</v>
      </c>
      <c r="H67" s="9" t="s">
        <v>32</v>
      </c>
      <c r="I67" s="9">
        <v>1</v>
      </c>
      <c r="J67" s="9">
        <v>1</v>
      </c>
      <c r="K67" s="9">
        <v>1</v>
      </c>
      <c r="L67" s="9">
        <v>0</v>
      </c>
      <c r="M67" s="9">
        <v>0</v>
      </c>
      <c r="N67" s="9">
        <v>0</v>
      </c>
      <c r="O67" s="9">
        <v>0</v>
      </c>
      <c r="P67" s="9">
        <v>1</v>
      </c>
      <c r="Q67" s="35" t="s">
        <v>27</v>
      </c>
      <c r="R67" s="35" t="s">
        <v>28</v>
      </c>
    </row>
    <row r="68" spans="1:18">
      <c r="A68" s="9">
        <v>13001</v>
      </c>
      <c r="B68" s="9">
        <v>10</v>
      </c>
      <c r="C68" s="9" t="str">
        <f t="shared" ref="C68:C69" si="15">A68&amp; "_"&amp;B68</f>
        <v>13001_10</v>
      </c>
      <c r="D68" s="9" t="str">
        <f>VLOOKUP(C68,[1]stages!$A:$AE,31,FALSE)</f>
        <v>singleonly</v>
      </c>
      <c r="E68" s="14">
        <v>67</v>
      </c>
      <c r="F68" s="9">
        <v>47</v>
      </c>
      <c r="G68" s="9">
        <v>38</v>
      </c>
      <c r="H68" s="9" t="s">
        <v>32</v>
      </c>
      <c r="I68" s="9">
        <v>1</v>
      </c>
      <c r="J68" s="9">
        <v>1</v>
      </c>
      <c r="K68" s="9">
        <v>1</v>
      </c>
      <c r="L68" s="9">
        <v>0</v>
      </c>
      <c r="M68" s="9">
        <v>0</v>
      </c>
      <c r="N68" s="9">
        <v>0</v>
      </c>
      <c r="O68" s="9">
        <v>0</v>
      </c>
      <c r="P68" s="9">
        <v>1</v>
      </c>
      <c r="Q68" s="35" t="s">
        <v>27</v>
      </c>
      <c r="R68" s="35" t="s">
        <v>28</v>
      </c>
    </row>
    <row r="69" spans="1:18">
      <c r="A69" s="9">
        <v>13001</v>
      </c>
      <c r="B69" s="9">
        <v>10</v>
      </c>
      <c r="C69" s="9" t="str">
        <f t="shared" si="15"/>
        <v>13001_10</v>
      </c>
      <c r="D69" s="9" t="str">
        <f>VLOOKUP(C69,[1]stages!$A:$AE,31,FALSE)</f>
        <v>singleonly</v>
      </c>
      <c r="E69" s="14">
        <v>68</v>
      </c>
      <c r="F69" s="9">
        <v>346</v>
      </c>
      <c r="G69" s="9">
        <v>100</v>
      </c>
      <c r="H69" s="9" t="s">
        <v>32</v>
      </c>
      <c r="I69" s="9">
        <v>1</v>
      </c>
      <c r="J69" s="9">
        <v>1</v>
      </c>
      <c r="K69" s="9">
        <v>1</v>
      </c>
      <c r="L69" s="9">
        <v>0</v>
      </c>
      <c r="M69" s="9">
        <v>0</v>
      </c>
      <c r="N69" s="9">
        <v>0</v>
      </c>
      <c r="O69" s="9">
        <v>0</v>
      </c>
      <c r="P69" s="9">
        <v>1</v>
      </c>
      <c r="Q69" s="35" t="s">
        <v>27</v>
      </c>
      <c r="R69" s="35" t="s">
        <v>28</v>
      </c>
    </row>
    <row r="70" spans="1:18">
      <c r="A70" s="9">
        <v>13001</v>
      </c>
      <c r="B70" s="9">
        <v>11</v>
      </c>
      <c r="C70" s="9" t="str">
        <f>A70&amp; "_"&amp;B70</f>
        <v>13001_11</v>
      </c>
      <c r="D70" s="9" t="str">
        <f>VLOOKUP(C70,[1]stages!$A:$AE,31,FALSE)</f>
        <v>singleonly</v>
      </c>
      <c r="E70" s="14">
        <v>69</v>
      </c>
      <c r="F70" s="9">
        <v>1200</v>
      </c>
      <c r="G70" s="9">
        <v>300</v>
      </c>
      <c r="H70" s="9" t="s">
        <v>33</v>
      </c>
      <c r="I70" s="9" t="s">
        <v>35</v>
      </c>
      <c r="J70" s="9">
        <v>1</v>
      </c>
      <c r="K70" s="9">
        <v>1</v>
      </c>
      <c r="L70" s="9">
        <v>0</v>
      </c>
      <c r="M70" s="9">
        <v>0</v>
      </c>
      <c r="N70" s="9">
        <v>0</v>
      </c>
      <c r="O70" s="9">
        <v>0</v>
      </c>
      <c r="P70" s="9">
        <v>1</v>
      </c>
      <c r="Q70" s="35" t="s">
        <v>27</v>
      </c>
      <c r="R70" s="35" t="s">
        <v>28</v>
      </c>
    </row>
    <row r="71" spans="1:18">
      <c r="A71" s="9">
        <v>13001</v>
      </c>
      <c r="B71" s="9">
        <v>11</v>
      </c>
      <c r="C71" s="9" t="str">
        <f t="shared" ref="C71:C76" si="16">A71&amp; "_"&amp;B71</f>
        <v>13001_11</v>
      </c>
      <c r="D71" s="9" t="str">
        <f>VLOOKUP(C71,[1]stages!$A:$AE,31,FALSE)</f>
        <v>singleonly</v>
      </c>
      <c r="E71" s="14">
        <v>70</v>
      </c>
      <c r="F71" s="9">
        <v>25</v>
      </c>
      <c r="G71" s="9">
        <v>300</v>
      </c>
      <c r="H71" s="9" t="s">
        <v>34</v>
      </c>
      <c r="I71" s="9" t="s">
        <v>35</v>
      </c>
      <c r="J71" s="9">
        <v>1</v>
      </c>
      <c r="K71" s="9">
        <v>1</v>
      </c>
      <c r="L71" s="9">
        <v>0</v>
      </c>
      <c r="M71" s="9">
        <v>0</v>
      </c>
      <c r="N71" s="9">
        <v>0</v>
      </c>
      <c r="O71" s="9">
        <v>0</v>
      </c>
      <c r="P71" s="9">
        <v>1</v>
      </c>
      <c r="Q71" s="35" t="s">
        <v>27</v>
      </c>
      <c r="R71" s="35" t="s">
        <v>28</v>
      </c>
    </row>
    <row r="72" spans="1:18">
      <c r="A72" s="9">
        <v>13001</v>
      </c>
      <c r="B72" s="9">
        <v>11</v>
      </c>
      <c r="C72" s="9" t="str">
        <f t="shared" si="16"/>
        <v>13001_11</v>
      </c>
      <c r="D72" s="9" t="str">
        <f>VLOOKUP(C72,[1]stages!$A:$AE,31,FALSE)</f>
        <v>singleonly</v>
      </c>
      <c r="E72" s="14">
        <v>71</v>
      </c>
      <c r="F72" s="9">
        <v>13</v>
      </c>
      <c r="G72" s="9">
        <v>75</v>
      </c>
      <c r="H72" s="9" t="s">
        <v>32</v>
      </c>
      <c r="I72" s="9">
        <v>1</v>
      </c>
      <c r="J72" s="9">
        <v>5</v>
      </c>
      <c r="K72" s="9">
        <v>1</v>
      </c>
      <c r="L72" s="9">
        <v>0</v>
      </c>
      <c r="M72" s="9">
        <v>0</v>
      </c>
      <c r="N72" s="9">
        <v>0</v>
      </c>
      <c r="O72" s="9">
        <v>0</v>
      </c>
      <c r="P72" s="9">
        <v>1</v>
      </c>
      <c r="Q72" s="35" t="s">
        <v>27</v>
      </c>
      <c r="R72" s="35" t="s">
        <v>28</v>
      </c>
    </row>
    <row r="73" spans="1:18">
      <c r="A73" s="9">
        <v>13001</v>
      </c>
      <c r="B73" s="9">
        <v>11</v>
      </c>
      <c r="C73" s="9" t="str">
        <f t="shared" si="16"/>
        <v>13001_11</v>
      </c>
      <c r="D73" s="9" t="str">
        <f>VLOOKUP(C73,[1]stages!$A:$AE,31,FALSE)</f>
        <v>singleonly</v>
      </c>
      <c r="E73" s="14">
        <v>72</v>
      </c>
      <c r="F73" s="9">
        <v>19</v>
      </c>
      <c r="G73" s="9">
        <v>75</v>
      </c>
      <c r="H73" s="9" t="s">
        <v>32</v>
      </c>
      <c r="I73" s="9">
        <v>1</v>
      </c>
      <c r="J73" s="9">
        <v>5</v>
      </c>
      <c r="K73" s="9">
        <v>1</v>
      </c>
      <c r="L73" s="9">
        <v>0</v>
      </c>
      <c r="M73" s="9">
        <v>0</v>
      </c>
      <c r="N73" s="9">
        <v>0</v>
      </c>
      <c r="O73" s="9">
        <v>0</v>
      </c>
      <c r="P73" s="9">
        <v>1</v>
      </c>
      <c r="Q73" s="35" t="s">
        <v>27</v>
      </c>
      <c r="R73" s="35" t="s">
        <v>28</v>
      </c>
    </row>
    <row r="74" spans="1:18">
      <c r="A74" s="9">
        <v>13001</v>
      </c>
      <c r="B74" s="9">
        <v>11</v>
      </c>
      <c r="C74" s="9" t="str">
        <f t="shared" si="16"/>
        <v>13001_11</v>
      </c>
      <c r="D74" s="9" t="str">
        <f>VLOOKUP(C74,[1]stages!$A:$AE,31,FALSE)</f>
        <v>singleonly</v>
      </c>
      <c r="E74" s="14">
        <v>73</v>
      </c>
      <c r="F74" s="9">
        <v>47</v>
      </c>
      <c r="G74" s="9">
        <v>75</v>
      </c>
      <c r="H74" s="9" t="s">
        <v>32</v>
      </c>
      <c r="I74" s="9">
        <v>1</v>
      </c>
      <c r="J74" s="9">
        <v>3</v>
      </c>
      <c r="K74" s="9">
        <v>1</v>
      </c>
      <c r="L74" s="9">
        <v>0</v>
      </c>
      <c r="M74" s="9">
        <v>0</v>
      </c>
      <c r="N74" s="9">
        <v>0</v>
      </c>
      <c r="O74" s="9">
        <v>0</v>
      </c>
      <c r="P74" s="9">
        <v>1</v>
      </c>
      <c r="Q74" s="35" t="s">
        <v>27</v>
      </c>
      <c r="R74" s="35" t="s">
        <v>28</v>
      </c>
    </row>
    <row r="75" spans="1:18">
      <c r="A75" s="9">
        <v>13001</v>
      </c>
      <c r="B75" s="9">
        <v>11</v>
      </c>
      <c r="C75" s="9" t="str">
        <f t="shared" si="16"/>
        <v>13001_11</v>
      </c>
      <c r="D75" s="9" t="str">
        <f>VLOOKUP(C75,[1]stages!$A:$AE,31,FALSE)</f>
        <v>singleonly</v>
      </c>
      <c r="E75" s="14">
        <v>74</v>
      </c>
      <c r="F75" s="9">
        <v>63</v>
      </c>
      <c r="G75" s="9">
        <v>75</v>
      </c>
      <c r="H75" s="9" t="s">
        <v>32</v>
      </c>
      <c r="I75" s="9">
        <v>1</v>
      </c>
      <c r="J75" s="9">
        <v>3</v>
      </c>
      <c r="K75" s="9">
        <v>1</v>
      </c>
      <c r="L75" s="9">
        <v>0</v>
      </c>
      <c r="M75" s="9">
        <v>0</v>
      </c>
      <c r="N75" s="9">
        <v>0</v>
      </c>
      <c r="O75" s="9">
        <v>0</v>
      </c>
      <c r="P75" s="9">
        <v>1</v>
      </c>
      <c r="Q75" s="35" t="s">
        <v>27</v>
      </c>
      <c r="R75" s="35" t="s">
        <v>28</v>
      </c>
    </row>
    <row r="76" spans="1:18">
      <c r="A76" s="9">
        <v>13001</v>
      </c>
      <c r="B76" s="9">
        <v>11</v>
      </c>
      <c r="C76" s="9" t="str">
        <f t="shared" si="16"/>
        <v>13001_11</v>
      </c>
      <c r="D76" s="9" t="str">
        <f>VLOOKUP(C76,[1]stages!$A:$AE,31,FALSE)</f>
        <v>singleonly</v>
      </c>
      <c r="E76" s="14">
        <v>75</v>
      </c>
      <c r="F76" s="9">
        <v>346</v>
      </c>
      <c r="G76" s="9">
        <v>100</v>
      </c>
      <c r="H76" s="9" t="s">
        <v>32</v>
      </c>
      <c r="I76" s="9">
        <v>1</v>
      </c>
      <c r="J76" s="9">
        <v>1</v>
      </c>
      <c r="K76" s="9">
        <v>1</v>
      </c>
      <c r="L76" s="9">
        <v>0</v>
      </c>
      <c r="M76" s="9">
        <v>0</v>
      </c>
      <c r="N76" s="9">
        <v>0</v>
      </c>
      <c r="O76" s="9">
        <v>0</v>
      </c>
      <c r="P76" s="9">
        <v>1</v>
      </c>
      <c r="Q76" s="35" t="s">
        <v>27</v>
      </c>
      <c r="R76" s="35" t="s">
        <v>28</v>
      </c>
    </row>
    <row r="77" spans="1:18">
      <c r="A77" s="13">
        <v>13001</v>
      </c>
      <c r="B77" s="13">
        <v>12</v>
      </c>
      <c r="C77" s="13" t="str">
        <f>A77&amp; "_"&amp;B77</f>
        <v>13001_12</v>
      </c>
      <c r="D77" s="13" t="str">
        <f>VLOOKUP(C77,[1]stages!$A:$AE,31,FALSE)</f>
        <v>singleonly</v>
      </c>
      <c r="E77" s="14">
        <v>76</v>
      </c>
      <c r="F77" s="9">
        <v>1200</v>
      </c>
      <c r="G77" s="13">
        <v>300</v>
      </c>
      <c r="H77" s="13" t="s">
        <v>33</v>
      </c>
      <c r="I77" s="13" t="s">
        <v>35</v>
      </c>
      <c r="J77" s="13">
        <v>1</v>
      </c>
      <c r="K77" s="13">
        <v>1</v>
      </c>
      <c r="L77" s="13">
        <v>0</v>
      </c>
      <c r="M77" s="13">
        <v>0</v>
      </c>
      <c r="N77" s="13">
        <v>0</v>
      </c>
      <c r="O77" s="13">
        <v>0</v>
      </c>
      <c r="P77" s="13">
        <v>1</v>
      </c>
      <c r="Q77" s="35" t="s">
        <v>27</v>
      </c>
      <c r="R77" s="35" t="s">
        <v>28</v>
      </c>
    </row>
    <row r="78" spans="1:18">
      <c r="A78" s="13">
        <v>13001</v>
      </c>
      <c r="B78" s="13">
        <v>12</v>
      </c>
      <c r="C78" s="13" t="str">
        <f t="shared" ref="C78:C83" si="17">A78&amp; "_"&amp;B78</f>
        <v>13001_12</v>
      </c>
      <c r="D78" s="13" t="str">
        <f>VLOOKUP(C78,[1]stages!$A:$AE,31,FALSE)</f>
        <v>singleonly</v>
      </c>
      <c r="E78" s="14">
        <v>77</v>
      </c>
      <c r="F78" s="13">
        <v>25</v>
      </c>
      <c r="G78" s="13">
        <v>300</v>
      </c>
      <c r="H78" s="13" t="s">
        <v>34</v>
      </c>
      <c r="I78" s="13" t="s">
        <v>35</v>
      </c>
      <c r="J78" s="13">
        <v>1</v>
      </c>
      <c r="K78" s="13">
        <v>1</v>
      </c>
      <c r="L78" s="13">
        <v>0</v>
      </c>
      <c r="M78" s="13">
        <v>0</v>
      </c>
      <c r="N78" s="13">
        <v>0</v>
      </c>
      <c r="O78" s="13">
        <v>0</v>
      </c>
      <c r="P78" s="13">
        <v>1</v>
      </c>
      <c r="Q78" s="35" t="s">
        <v>27</v>
      </c>
      <c r="R78" s="35" t="s">
        <v>28</v>
      </c>
    </row>
    <row r="79" spans="1:18">
      <c r="A79" s="13">
        <v>13001</v>
      </c>
      <c r="B79" s="13">
        <v>12</v>
      </c>
      <c r="C79" s="13" t="str">
        <f t="shared" si="17"/>
        <v>13001_12</v>
      </c>
      <c r="D79" s="13" t="str">
        <f>VLOOKUP(C79,[1]stages!$A:$AE,31,FALSE)</f>
        <v>singleonly</v>
      </c>
      <c r="E79" s="14">
        <v>78</v>
      </c>
      <c r="F79" s="13">
        <v>17</v>
      </c>
      <c r="G79" s="13">
        <v>75</v>
      </c>
      <c r="H79" s="13" t="s">
        <v>32</v>
      </c>
      <c r="I79" s="13">
        <v>1</v>
      </c>
      <c r="J79" s="13">
        <v>5</v>
      </c>
      <c r="K79" s="13">
        <v>1</v>
      </c>
      <c r="L79" s="13">
        <v>0</v>
      </c>
      <c r="M79" s="13">
        <v>0</v>
      </c>
      <c r="N79" s="13">
        <v>0</v>
      </c>
      <c r="O79" s="13">
        <v>0</v>
      </c>
      <c r="P79" s="13">
        <v>1</v>
      </c>
      <c r="Q79" s="35" t="s">
        <v>27</v>
      </c>
      <c r="R79" s="35" t="s">
        <v>28</v>
      </c>
    </row>
    <row r="80" spans="1:18">
      <c r="A80" s="13">
        <v>13001</v>
      </c>
      <c r="B80" s="13">
        <v>12</v>
      </c>
      <c r="C80" s="13" t="str">
        <f t="shared" si="17"/>
        <v>13001_12</v>
      </c>
      <c r="D80" s="13" t="str">
        <f>VLOOKUP(C80,[1]stages!$A:$AE,31,FALSE)</f>
        <v>singleonly</v>
      </c>
      <c r="E80" s="14">
        <v>79</v>
      </c>
      <c r="F80" s="13">
        <v>25</v>
      </c>
      <c r="G80" s="13">
        <v>75</v>
      </c>
      <c r="H80" s="13" t="s">
        <v>32</v>
      </c>
      <c r="I80" s="13">
        <v>1</v>
      </c>
      <c r="J80" s="13">
        <v>5</v>
      </c>
      <c r="K80" s="13">
        <v>1</v>
      </c>
      <c r="L80" s="13">
        <v>0</v>
      </c>
      <c r="M80" s="13">
        <v>0</v>
      </c>
      <c r="N80" s="13">
        <v>0</v>
      </c>
      <c r="O80" s="13">
        <v>0</v>
      </c>
      <c r="P80" s="13">
        <v>1</v>
      </c>
      <c r="Q80" s="35" t="s">
        <v>27</v>
      </c>
      <c r="R80" s="35" t="s">
        <v>28</v>
      </c>
    </row>
    <row r="81" spans="1:18">
      <c r="A81" s="13">
        <v>13001</v>
      </c>
      <c r="B81" s="13">
        <v>12</v>
      </c>
      <c r="C81" s="13" t="str">
        <f t="shared" si="17"/>
        <v>13001_12</v>
      </c>
      <c r="D81" s="13" t="str">
        <f>VLOOKUP(C81,[1]stages!$A:$AE,31,FALSE)</f>
        <v>singleonly</v>
      </c>
      <c r="E81" s="14">
        <v>80</v>
      </c>
      <c r="F81" s="13">
        <v>45</v>
      </c>
      <c r="G81" s="13">
        <v>75</v>
      </c>
      <c r="H81" s="13" t="s">
        <v>32</v>
      </c>
      <c r="I81" s="13">
        <v>1</v>
      </c>
      <c r="J81" s="13">
        <v>3</v>
      </c>
      <c r="K81" s="13">
        <v>1</v>
      </c>
      <c r="L81" s="13">
        <v>0</v>
      </c>
      <c r="M81" s="13">
        <v>0</v>
      </c>
      <c r="N81" s="13">
        <v>0</v>
      </c>
      <c r="O81" s="13">
        <v>0</v>
      </c>
      <c r="P81" s="13">
        <v>1</v>
      </c>
      <c r="Q81" s="35" t="s">
        <v>27</v>
      </c>
      <c r="R81" s="35" t="s">
        <v>28</v>
      </c>
    </row>
    <row r="82" spans="1:18">
      <c r="A82" s="13">
        <v>13001</v>
      </c>
      <c r="B82" s="13">
        <v>12</v>
      </c>
      <c r="C82" s="13" t="str">
        <f t="shared" si="17"/>
        <v>13001_12</v>
      </c>
      <c r="D82" s="13" t="str">
        <f>VLOOKUP(C82,[1]stages!$A:$AE,31,FALSE)</f>
        <v>singleonly</v>
      </c>
      <c r="E82" s="14">
        <v>81</v>
      </c>
      <c r="F82" s="13">
        <v>61</v>
      </c>
      <c r="G82" s="13">
        <v>75</v>
      </c>
      <c r="H82" s="13" t="s">
        <v>32</v>
      </c>
      <c r="I82" s="13">
        <v>1</v>
      </c>
      <c r="J82" s="13">
        <v>3</v>
      </c>
      <c r="K82" s="13">
        <v>1</v>
      </c>
      <c r="L82" s="13">
        <v>0</v>
      </c>
      <c r="M82" s="13">
        <v>0</v>
      </c>
      <c r="N82" s="13">
        <v>0</v>
      </c>
      <c r="O82" s="13">
        <v>0</v>
      </c>
      <c r="P82" s="13">
        <v>1</v>
      </c>
      <c r="Q82" s="35" t="s">
        <v>27</v>
      </c>
      <c r="R82" s="35" t="s">
        <v>28</v>
      </c>
    </row>
    <row r="83" spans="1:18">
      <c r="A83" s="13">
        <v>13001</v>
      </c>
      <c r="B83" s="13">
        <v>12</v>
      </c>
      <c r="C83" s="13" t="str">
        <f t="shared" si="17"/>
        <v>13001_12</v>
      </c>
      <c r="D83" s="13" t="str">
        <f>VLOOKUP(C83,[1]stages!$A:$AE,31,FALSE)</f>
        <v>singleonly</v>
      </c>
      <c r="E83" s="14">
        <v>82</v>
      </c>
      <c r="F83" s="13">
        <v>342</v>
      </c>
      <c r="G83" s="13">
        <v>100</v>
      </c>
      <c r="H83" s="13" t="s">
        <v>32</v>
      </c>
      <c r="I83" s="13">
        <v>1</v>
      </c>
      <c r="J83" s="13">
        <v>1</v>
      </c>
      <c r="K83" s="13">
        <v>1</v>
      </c>
      <c r="L83" s="13">
        <v>0</v>
      </c>
      <c r="M83" s="13">
        <v>0</v>
      </c>
      <c r="N83" s="13">
        <v>0</v>
      </c>
      <c r="O83" s="13">
        <v>0</v>
      </c>
      <c r="P83" s="13">
        <v>1</v>
      </c>
      <c r="Q83" s="35" t="s">
        <v>27</v>
      </c>
      <c r="R83" s="35" t="s">
        <v>28</v>
      </c>
    </row>
    <row r="84" spans="1:18">
      <c r="A84" s="11">
        <v>13001</v>
      </c>
      <c r="B84" s="11">
        <v>13</v>
      </c>
      <c r="C84" s="11" t="str">
        <f>A84&amp; "_"&amp;B84</f>
        <v>13001_13</v>
      </c>
      <c r="D84" s="11" t="str">
        <f>VLOOKUP(C84,[1]stages!$A:$AE,31,FALSE)</f>
        <v>singleonly</v>
      </c>
      <c r="E84" s="14">
        <v>83</v>
      </c>
      <c r="F84" s="9">
        <v>1200</v>
      </c>
      <c r="G84" s="11">
        <v>450</v>
      </c>
      <c r="H84" s="11" t="s">
        <v>33</v>
      </c>
      <c r="I84" s="11" t="s">
        <v>35</v>
      </c>
      <c r="J84" s="11">
        <v>1</v>
      </c>
      <c r="K84" s="11">
        <v>1</v>
      </c>
      <c r="L84" s="11">
        <v>0</v>
      </c>
      <c r="M84" s="11">
        <v>0</v>
      </c>
      <c r="N84" s="11">
        <v>0</v>
      </c>
      <c r="O84" s="11">
        <v>0</v>
      </c>
      <c r="P84" s="11">
        <v>1</v>
      </c>
      <c r="Q84" s="35" t="s">
        <v>27</v>
      </c>
      <c r="R84" s="35" t="s">
        <v>28</v>
      </c>
    </row>
    <row r="85" spans="1:18">
      <c r="A85" s="11">
        <v>13001</v>
      </c>
      <c r="B85" s="11">
        <v>13</v>
      </c>
      <c r="C85" s="11" t="str">
        <f t="shared" ref="C85:C93" si="18">A85&amp; "_"&amp;B85</f>
        <v>13001_13</v>
      </c>
      <c r="D85" s="11" t="str">
        <f>VLOOKUP(C85,[1]stages!$A:$AE,31,FALSE)</f>
        <v>singleonly</v>
      </c>
      <c r="E85" s="14">
        <v>84</v>
      </c>
      <c r="F85" s="11">
        <v>25</v>
      </c>
      <c r="G85" s="11">
        <v>450</v>
      </c>
      <c r="H85" s="11" t="s">
        <v>34</v>
      </c>
      <c r="I85" s="11" t="s">
        <v>35</v>
      </c>
      <c r="J85" s="11">
        <v>1</v>
      </c>
      <c r="K85" s="11">
        <v>1</v>
      </c>
      <c r="L85" s="11">
        <v>0</v>
      </c>
      <c r="M85" s="11">
        <v>0</v>
      </c>
      <c r="N85" s="11">
        <v>0</v>
      </c>
      <c r="O85" s="11">
        <v>0</v>
      </c>
      <c r="P85" s="11">
        <v>1</v>
      </c>
      <c r="Q85" s="35" t="s">
        <v>27</v>
      </c>
      <c r="R85" s="35" t="s">
        <v>28</v>
      </c>
    </row>
    <row r="86" spans="1:18">
      <c r="A86" s="11">
        <v>13001</v>
      </c>
      <c r="B86" s="11">
        <v>13</v>
      </c>
      <c r="C86" s="11" t="str">
        <f t="shared" si="18"/>
        <v>13001_13</v>
      </c>
      <c r="D86" s="11" t="str">
        <f>VLOOKUP(C86,[1]stages!$A:$AE,31,FALSE)</f>
        <v>singleonly</v>
      </c>
      <c r="E86" s="14">
        <v>85</v>
      </c>
      <c r="F86" s="11">
        <v>338</v>
      </c>
      <c r="G86" s="11">
        <v>100</v>
      </c>
      <c r="H86" s="11" t="s">
        <v>32</v>
      </c>
      <c r="I86" s="11">
        <v>1</v>
      </c>
      <c r="J86" s="11">
        <v>1</v>
      </c>
      <c r="K86" s="11">
        <v>1</v>
      </c>
      <c r="L86" s="11">
        <v>0</v>
      </c>
      <c r="M86" s="11">
        <v>0</v>
      </c>
      <c r="N86" s="11">
        <v>0</v>
      </c>
      <c r="O86" s="11">
        <v>0</v>
      </c>
      <c r="P86" s="11">
        <v>1</v>
      </c>
      <c r="Q86" s="35" t="s">
        <v>27</v>
      </c>
      <c r="R86" s="35" t="s">
        <v>28</v>
      </c>
    </row>
    <row r="87" spans="1:18">
      <c r="A87" s="15">
        <v>13001</v>
      </c>
      <c r="B87" s="16">
        <v>14</v>
      </c>
      <c r="C87" s="10" t="str">
        <f t="shared" si="18"/>
        <v>13001_14</v>
      </c>
      <c r="D87" s="10" t="str">
        <f>VLOOKUP(C87,[1]stages!$A:$AE,31,FALSE)</f>
        <v>singleonly</v>
      </c>
      <c r="E87" s="14">
        <v>86</v>
      </c>
      <c r="F87" s="16">
        <v>1200</v>
      </c>
      <c r="G87" s="16">
        <v>300</v>
      </c>
      <c r="H87" s="16" t="s">
        <v>33</v>
      </c>
      <c r="I87" s="16" t="s">
        <v>37</v>
      </c>
      <c r="J87" s="16">
        <v>1</v>
      </c>
      <c r="K87" s="16">
        <v>1</v>
      </c>
      <c r="L87" s="16">
        <v>0</v>
      </c>
      <c r="M87" s="16">
        <v>0</v>
      </c>
      <c r="N87" s="16">
        <v>0</v>
      </c>
      <c r="O87" s="16">
        <v>0</v>
      </c>
      <c r="P87" s="16">
        <v>1</v>
      </c>
      <c r="Q87" s="35" t="s">
        <v>27</v>
      </c>
      <c r="R87" s="35" t="s">
        <v>28</v>
      </c>
    </row>
    <row r="88" spans="1:18">
      <c r="A88" s="17">
        <v>13001</v>
      </c>
      <c r="B88" s="16">
        <v>14</v>
      </c>
      <c r="C88" s="10" t="str">
        <f t="shared" si="18"/>
        <v>13001_14</v>
      </c>
      <c r="D88" s="10" t="str">
        <f>VLOOKUP(C88,[1]stages!$A:$AE,31,FALSE)</f>
        <v>singleonly</v>
      </c>
      <c r="E88" s="14">
        <v>87</v>
      </c>
      <c r="F88" s="18">
        <v>25</v>
      </c>
      <c r="G88" s="18">
        <v>300</v>
      </c>
      <c r="H88" s="18" t="s">
        <v>34</v>
      </c>
      <c r="I88" s="18" t="s">
        <v>37</v>
      </c>
      <c r="J88" s="18">
        <v>1</v>
      </c>
      <c r="K88" s="18">
        <v>1</v>
      </c>
      <c r="L88" s="18">
        <v>0</v>
      </c>
      <c r="M88" s="18">
        <v>0</v>
      </c>
      <c r="N88" s="18">
        <v>0</v>
      </c>
      <c r="O88" s="18">
        <v>0</v>
      </c>
      <c r="P88" s="18">
        <v>1</v>
      </c>
      <c r="Q88" s="35" t="s">
        <v>27</v>
      </c>
      <c r="R88" s="35" t="s">
        <v>28</v>
      </c>
    </row>
    <row r="89" spans="1:18">
      <c r="A89" s="17">
        <v>13001</v>
      </c>
      <c r="B89" s="16">
        <v>14</v>
      </c>
      <c r="C89" s="10" t="str">
        <f t="shared" si="18"/>
        <v>13001_14</v>
      </c>
      <c r="D89" s="10" t="str">
        <f>VLOOKUP(C89,[1]stages!$A:$AE,31,FALSE)</f>
        <v>singleonly</v>
      </c>
      <c r="E89" s="14">
        <v>88</v>
      </c>
      <c r="F89" s="18">
        <v>15</v>
      </c>
      <c r="G89" s="18">
        <v>75</v>
      </c>
      <c r="H89" s="18" t="s">
        <v>32</v>
      </c>
      <c r="I89" s="18">
        <v>1</v>
      </c>
      <c r="J89" s="18">
        <v>7</v>
      </c>
      <c r="K89" s="18">
        <v>1</v>
      </c>
      <c r="L89" s="18">
        <v>0</v>
      </c>
      <c r="M89" s="18">
        <v>0</v>
      </c>
      <c r="N89" s="18">
        <v>0</v>
      </c>
      <c r="O89" s="18">
        <v>0</v>
      </c>
      <c r="P89" s="18">
        <v>1</v>
      </c>
      <c r="Q89" s="35" t="s">
        <v>27</v>
      </c>
      <c r="R89" s="35" t="s">
        <v>28</v>
      </c>
    </row>
    <row r="90" spans="1:18">
      <c r="A90" s="17">
        <v>13001</v>
      </c>
      <c r="B90" s="16">
        <v>14</v>
      </c>
      <c r="C90" s="10" t="str">
        <f t="shared" si="18"/>
        <v>13001_14</v>
      </c>
      <c r="D90" s="10" t="str">
        <f>VLOOKUP(C90,[1]stages!$A:$AE,31,FALSE)</f>
        <v>singleonly</v>
      </c>
      <c r="E90" s="14">
        <v>89</v>
      </c>
      <c r="F90" s="18">
        <v>21</v>
      </c>
      <c r="G90" s="18">
        <v>75</v>
      </c>
      <c r="H90" s="18" t="s">
        <v>32</v>
      </c>
      <c r="I90" s="18">
        <v>1</v>
      </c>
      <c r="J90" s="18">
        <v>5</v>
      </c>
      <c r="K90" s="18">
        <v>1</v>
      </c>
      <c r="L90" s="18">
        <v>0</v>
      </c>
      <c r="M90" s="18">
        <v>0</v>
      </c>
      <c r="N90" s="18">
        <v>0</v>
      </c>
      <c r="O90" s="18">
        <v>0</v>
      </c>
      <c r="P90" s="18">
        <v>1</v>
      </c>
      <c r="Q90" s="35" t="s">
        <v>27</v>
      </c>
      <c r="R90" s="35" t="s">
        <v>28</v>
      </c>
    </row>
    <row r="91" spans="1:18">
      <c r="A91" s="17">
        <v>13001</v>
      </c>
      <c r="B91" s="16">
        <v>14</v>
      </c>
      <c r="C91" s="10" t="str">
        <f t="shared" si="18"/>
        <v>13001_14</v>
      </c>
      <c r="D91" s="10" t="str">
        <f>VLOOKUP(C91,[1]stages!$A:$AE,31,FALSE)</f>
        <v>singleonly</v>
      </c>
      <c r="E91" s="14">
        <v>90</v>
      </c>
      <c r="F91" s="18">
        <v>41</v>
      </c>
      <c r="G91" s="18">
        <v>75</v>
      </c>
      <c r="H91" s="18" t="s">
        <v>32</v>
      </c>
      <c r="I91" s="18">
        <v>1</v>
      </c>
      <c r="J91" s="18">
        <v>5</v>
      </c>
      <c r="K91" s="18">
        <v>1</v>
      </c>
      <c r="L91" s="18">
        <v>0</v>
      </c>
      <c r="M91" s="18">
        <v>0</v>
      </c>
      <c r="N91" s="18">
        <v>0</v>
      </c>
      <c r="O91" s="18">
        <v>0</v>
      </c>
      <c r="P91" s="18">
        <v>1</v>
      </c>
      <c r="Q91" s="35" t="s">
        <v>27</v>
      </c>
      <c r="R91" s="35" t="s">
        <v>28</v>
      </c>
    </row>
    <row r="92" spans="1:18">
      <c r="A92" s="17">
        <v>13001</v>
      </c>
      <c r="B92" s="16">
        <v>14</v>
      </c>
      <c r="C92" s="10" t="str">
        <f t="shared" si="18"/>
        <v>13001_14</v>
      </c>
      <c r="D92" s="10" t="str">
        <f>VLOOKUP(C92,[1]stages!$A:$AE,31,FALSE)</f>
        <v>singleonly</v>
      </c>
      <c r="E92" s="14">
        <v>91</v>
      </c>
      <c r="F92" s="18">
        <v>57</v>
      </c>
      <c r="G92" s="18">
        <v>75</v>
      </c>
      <c r="H92" s="18" t="s">
        <v>32</v>
      </c>
      <c r="I92" s="18">
        <v>1</v>
      </c>
      <c r="J92" s="18">
        <v>5</v>
      </c>
      <c r="K92" s="18">
        <v>1</v>
      </c>
      <c r="L92" s="18">
        <v>0</v>
      </c>
      <c r="M92" s="18">
        <v>0</v>
      </c>
      <c r="N92" s="18">
        <v>0</v>
      </c>
      <c r="O92" s="18">
        <v>0</v>
      </c>
      <c r="P92" s="18">
        <v>1</v>
      </c>
      <c r="Q92" s="35" t="s">
        <v>27</v>
      </c>
      <c r="R92" s="35" t="s">
        <v>28</v>
      </c>
    </row>
    <row r="93" spans="1:18">
      <c r="A93" s="17">
        <v>13001</v>
      </c>
      <c r="B93" s="16">
        <v>14</v>
      </c>
      <c r="C93" s="10" t="str">
        <f t="shared" si="18"/>
        <v>13001_14</v>
      </c>
      <c r="D93" s="10" t="str">
        <f>VLOOKUP(C93,[1]stages!$A:$AE,31,FALSE)</f>
        <v>singleonly</v>
      </c>
      <c r="E93" s="14">
        <v>92</v>
      </c>
      <c r="F93" s="18">
        <v>334</v>
      </c>
      <c r="G93" s="18">
        <v>100</v>
      </c>
      <c r="H93" s="18" t="s">
        <v>32</v>
      </c>
      <c r="I93" s="18">
        <v>1</v>
      </c>
      <c r="J93" s="18">
        <v>1</v>
      </c>
      <c r="K93" s="18">
        <v>1</v>
      </c>
      <c r="L93" s="18">
        <v>0</v>
      </c>
      <c r="M93" s="18">
        <v>0</v>
      </c>
      <c r="N93" s="18">
        <v>0</v>
      </c>
      <c r="O93" s="18">
        <v>0</v>
      </c>
      <c r="P93" s="18">
        <v>1</v>
      </c>
      <c r="Q93" s="35" t="s">
        <v>27</v>
      </c>
      <c r="R93" s="35" t="s">
        <v>28</v>
      </c>
    </row>
    <row r="94" spans="1:18">
      <c r="A94" s="19">
        <v>13001</v>
      </c>
      <c r="B94" s="20">
        <v>15</v>
      </c>
      <c r="C94" s="9" t="str">
        <f t="shared" ref="C94:C109" si="19">A94&amp; "_"&amp;B94</f>
        <v>13001_15</v>
      </c>
      <c r="D94" s="9" t="str">
        <f>VLOOKUP(C94,[1]stages!$A:$AE,31,FALSE)</f>
        <v>singleonly</v>
      </c>
      <c r="E94" s="14">
        <v>93</v>
      </c>
      <c r="F94" s="9">
        <v>1200</v>
      </c>
      <c r="G94" s="20">
        <v>150</v>
      </c>
      <c r="H94" s="20" t="s">
        <v>33</v>
      </c>
      <c r="I94" s="20" t="s">
        <v>37</v>
      </c>
      <c r="J94" s="20">
        <v>1</v>
      </c>
      <c r="K94" s="20">
        <v>1</v>
      </c>
      <c r="L94" s="20">
        <v>0</v>
      </c>
      <c r="M94" s="20">
        <v>0</v>
      </c>
      <c r="N94" s="20">
        <v>0</v>
      </c>
      <c r="O94" s="20">
        <v>0</v>
      </c>
      <c r="P94" s="20">
        <v>1</v>
      </c>
      <c r="Q94" s="35" t="s">
        <v>27</v>
      </c>
      <c r="R94" s="35" t="s">
        <v>28</v>
      </c>
    </row>
    <row r="95" spans="1:18">
      <c r="A95" s="21">
        <v>13001</v>
      </c>
      <c r="B95" s="20">
        <v>15</v>
      </c>
      <c r="C95" s="9" t="str">
        <f t="shared" si="19"/>
        <v>13001_15</v>
      </c>
      <c r="D95" s="9" t="str">
        <f>VLOOKUP(C95,[1]stages!$A:$AE,31,FALSE)</f>
        <v>singleonly</v>
      </c>
      <c r="E95" s="14">
        <v>94</v>
      </c>
      <c r="F95" s="22">
        <v>25</v>
      </c>
      <c r="G95" s="22">
        <v>150</v>
      </c>
      <c r="H95" s="22" t="s">
        <v>34</v>
      </c>
      <c r="I95" s="22" t="s">
        <v>37</v>
      </c>
      <c r="J95" s="22">
        <v>1</v>
      </c>
      <c r="K95" s="22">
        <v>1</v>
      </c>
      <c r="L95" s="22">
        <v>0</v>
      </c>
      <c r="M95" s="22">
        <v>0</v>
      </c>
      <c r="N95" s="22">
        <v>0</v>
      </c>
      <c r="O95" s="22">
        <v>0</v>
      </c>
      <c r="P95" s="22">
        <v>1</v>
      </c>
      <c r="Q95" s="35" t="s">
        <v>27</v>
      </c>
      <c r="R95" s="35" t="s">
        <v>28</v>
      </c>
    </row>
    <row r="96" spans="1:18">
      <c r="A96" s="21">
        <v>13001</v>
      </c>
      <c r="B96" s="20">
        <v>15</v>
      </c>
      <c r="C96" s="9" t="str">
        <f t="shared" si="19"/>
        <v>13001_15</v>
      </c>
      <c r="D96" s="9" t="str">
        <f>VLOOKUP(C96,[1]stages!$A:$AE,31,FALSE)</f>
        <v>singleonly</v>
      </c>
      <c r="E96" s="14">
        <v>95</v>
      </c>
      <c r="F96" s="22">
        <v>346</v>
      </c>
      <c r="G96" s="22">
        <v>140</v>
      </c>
      <c r="H96" s="22" t="s">
        <v>32</v>
      </c>
      <c r="I96" s="22">
        <v>1</v>
      </c>
      <c r="J96" s="22">
        <v>1</v>
      </c>
      <c r="K96" s="22">
        <v>1</v>
      </c>
      <c r="L96" s="22">
        <v>0</v>
      </c>
      <c r="M96" s="22">
        <v>0</v>
      </c>
      <c r="N96" s="22">
        <v>0</v>
      </c>
      <c r="O96" s="22">
        <v>0</v>
      </c>
      <c r="P96" s="22">
        <v>1</v>
      </c>
      <c r="Q96" s="35" t="s">
        <v>27</v>
      </c>
      <c r="R96" s="35" t="s">
        <v>28</v>
      </c>
    </row>
    <row r="97" spans="1:18">
      <c r="A97" s="21">
        <v>13001</v>
      </c>
      <c r="B97" s="20">
        <v>15</v>
      </c>
      <c r="C97" s="9" t="str">
        <f t="shared" ref="C97:C100" si="20">A97&amp; "_"&amp;B97</f>
        <v>13001_15</v>
      </c>
      <c r="D97" s="9" t="str">
        <f>VLOOKUP(C97,[1]stages!$A:$AE,31,FALSE)</f>
        <v>singleonly</v>
      </c>
      <c r="E97" s="14">
        <v>98</v>
      </c>
      <c r="F97" s="22">
        <v>121</v>
      </c>
      <c r="G97" s="22">
        <v>50</v>
      </c>
      <c r="H97" s="22" t="s">
        <v>32</v>
      </c>
      <c r="I97" s="22">
        <v>1</v>
      </c>
      <c r="J97" s="22">
        <v>1</v>
      </c>
      <c r="K97" s="22">
        <v>1</v>
      </c>
      <c r="L97" s="22">
        <v>0</v>
      </c>
      <c r="M97" s="22">
        <v>0</v>
      </c>
      <c r="N97" s="22">
        <v>0</v>
      </c>
      <c r="O97" s="22">
        <v>0</v>
      </c>
      <c r="P97" s="22">
        <v>1</v>
      </c>
      <c r="Q97" s="35" t="s">
        <v>27</v>
      </c>
      <c r="R97" s="35" t="s">
        <v>28</v>
      </c>
    </row>
    <row r="98" spans="1:18">
      <c r="A98" s="21">
        <v>13001</v>
      </c>
      <c r="B98" s="20">
        <v>15</v>
      </c>
      <c r="C98" s="9" t="str">
        <f t="shared" si="20"/>
        <v>13001_15</v>
      </c>
      <c r="D98" s="9" t="str">
        <f>VLOOKUP(C98,[1]stages!$A:$AE,31,FALSE)</f>
        <v>singleonly</v>
      </c>
      <c r="E98" s="14">
        <v>99</v>
      </c>
      <c r="F98" s="22">
        <v>122</v>
      </c>
      <c r="G98" s="22">
        <v>50</v>
      </c>
      <c r="H98" s="22" t="s">
        <v>32</v>
      </c>
      <c r="I98" s="22">
        <v>1</v>
      </c>
      <c r="J98" s="22">
        <v>1</v>
      </c>
      <c r="K98" s="22">
        <v>1</v>
      </c>
      <c r="L98" s="22">
        <v>0</v>
      </c>
      <c r="M98" s="22">
        <v>0</v>
      </c>
      <c r="N98" s="22">
        <v>0</v>
      </c>
      <c r="O98" s="22">
        <v>0</v>
      </c>
      <c r="P98" s="22">
        <v>1</v>
      </c>
      <c r="Q98" s="35" t="s">
        <v>27</v>
      </c>
      <c r="R98" s="35" t="s">
        <v>28</v>
      </c>
    </row>
    <row r="99" spans="1:18">
      <c r="A99" s="21">
        <v>13001</v>
      </c>
      <c r="B99" s="20">
        <v>15</v>
      </c>
      <c r="C99" s="9" t="str">
        <f t="shared" si="20"/>
        <v>13001_15</v>
      </c>
      <c r="D99" s="9" t="str">
        <f>VLOOKUP(C99,[1]stages!$A:$AE,31,FALSE)</f>
        <v>singleonly</v>
      </c>
      <c r="E99" s="14">
        <v>100</v>
      </c>
      <c r="F99" s="22">
        <v>123</v>
      </c>
      <c r="G99" s="22">
        <v>50</v>
      </c>
      <c r="H99" s="22" t="s">
        <v>32</v>
      </c>
      <c r="I99" s="22">
        <v>1</v>
      </c>
      <c r="J99" s="22">
        <v>1</v>
      </c>
      <c r="K99" s="22">
        <v>1</v>
      </c>
      <c r="L99" s="22">
        <v>0</v>
      </c>
      <c r="M99" s="22">
        <v>0</v>
      </c>
      <c r="N99" s="22">
        <v>0</v>
      </c>
      <c r="O99" s="22">
        <v>0</v>
      </c>
      <c r="P99" s="22">
        <v>1</v>
      </c>
      <c r="Q99" s="35" t="s">
        <v>27</v>
      </c>
      <c r="R99" s="35" t="s">
        <v>28</v>
      </c>
    </row>
    <row r="100" spans="1:18">
      <c r="A100" s="21">
        <v>13001</v>
      </c>
      <c r="B100" s="20">
        <v>15</v>
      </c>
      <c r="C100" s="9" t="str">
        <f t="shared" si="20"/>
        <v>13001_15</v>
      </c>
      <c r="D100" s="9" t="str">
        <f>VLOOKUP(C100,[1]stages!$A:$AE,31,FALSE)</f>
        <v>singleonly</v>
      </c>
      <c r="E100" s="14">
        <v>101</v>
      </c>
      <c r="F100" s="22">
        <v>125</v>
      </c>
      <c r="G100" s="22">
        <v>10</v>
      </c>
      <c r="H100" s="22" t="s">
        <v>32</v>
      </c>
      <c r="I100" s="22">
        <v>1</v>
      </c>
      <c r="J100" s="22">
        <v>1</v>
      </c>
      <c r="K100" s="22">
        <v>1</v>
      </c>
      <c r="L100" s="22">
        <v>0</v>
      </c>
      <c r="M100" s="22">
        <v>0</v>
      </c>
      <c r="N100" s="22">
        <v>0</v>
      </c>
      <c r="O100" s="22">
        <v>0</v>
      </c>
      <c r="P100" s="22">
        <v>1</v>
      </c>
      <c r="Q100" s="35" t="s">
        <v>27</v>
      </c>
      <c r="R100" s="35" t="s">
        <v>28</v>
      </c>
    </row>
    <row r="101" spans="1:18">
      <c r="A101" s="21">
        <v>13001</v>
      </c>
      <c r="B101" s="20">
        <v>15</v>
      </c>
      <c r="C101" s="9" t="str">
        <f t="shared" si="19"/>
        <v>13001_15</v>
      </c>
      <c r="D101" s="9" t="str">
        <f>VLOOKUP(C101,[1]stages!$A:$AE,31,FALSE)</f>
        <v>singleonly</v>
      </c>
      <c r="E101" s="14">
        <v>96</v>
      </c>
      <c r="F101" s="22">
        <v>354</v>
      </c>
      <c r="G101" s="22">
        <v>150</v>
      </c>
      <c r="H101" s="22" t="s">
        <v>32</v>
      </c>
      <c r="I101" s="22">
        <v>1</v>
      </c>
      <c r="J101" s="22">
        <v>1</v>
      </c>
      <c r="K101" s="22">
        <v>1</v>
      </c>
      <c r="L101" s="22">
        <v>0</v>
      </c>
      <c r="M101" s="22">
        <v>0</v>
      </c>
      <c r="N101" s="22">
        <v>0</v>
      </c>
      <c r="O101" s="22">
        <v>0</v>
      </c>
      <c r="P101" s="22">
        <v>1</v>
      </c>
      <c r="Q101" s="35" t="s">
        <v>27</v>
      </c>
      <c r="R101" s="35" t="s">
        <v>28</v>
      </c>
    </row>
    <row r="102" spans="1:18">
      <c r="A102" s="21">
        <v>13001</v>
      </c>
      <c r="B102" s="20">
        <v>15</v>
      </c>
      <c r="C102" s="9" t="str">
        <f t="shared" si="19"/>
        <v>13001_15</v>
      </c>
      <c r="D102" s="9" t="str">
        <f>VLOOKUP(C102,[1]stages!$A:$AE,31,FALSE)</f>
        <v>singleonly</v>
      </c>
      <c r="E102" s="14">
        <v>97</v>
      </c>
      <c r="F102" s="22">
        <v>316</v>
      </c>
      <c r="G102" s="22">
        <v>250</v>
      </c>
      <c r="H102" s="22" t="s">
        <v>32</v>
      </c>
      <c r="I102" s="22">
        <v>1</v>
      </c>
      <c r="J102" s="22">
        <v>1</v>
      </c>
      <c r="K102" s="22">
        <v>1</v>
      </c>
      <c r="L102" s="22">
        <v>0</v>
      </c>
      <c r="M102" s="22">
        <v>0</v>
      </c>
      <c r="N102" s="22">
        <v>0</v>
      </c>
      <c r="O102" s="22">
        <v>0</v>
      </c>
      <c r="P102" s="22">
        <v>1</v>
      </c>
      <c r="Q102" s="35" t="s">
        <v>27</v>
      </c>
      <c r="R102" s="35" t="s">
        <v>28</v>
      </c>
    </row>
    <row r="103" spans="1:18">
      <c r="A103" s="23">
        <v>13001</v>
      </c>
      <c r="B103" s="24">
        <v>16</v>
      </c>
      <c r="C103" s="11" t="str">
        <f t="shared" si="19"/>
        <v>13001_16</v>
      </c>
      <c r="D103" s="11" t="str">
        <f>VLOOKUP(C103,[1]stages!$A:$AE,31,FALSE)</f>
        <v>singleonly</v>
      </c>
      <c r="E103" s="14">
        <v>98</v>
      </c>
      <c r="F103" s="24">
        <v>1400</v>
      </c>
      <c r="G103" s="24">
        <v>300</v>
      </c>
      <c r="H103" s="24" t="s">
        <v>33</v>
      </c>
      <c r="I103" s="24" t="s">
        <v>37</v>
      </c>
      <c r="J103" s="24">
        <v>1</v>
      </c>
      <c r="K103" s="24">
        <v>1</v>
      </c>
      <c r="L103" s="24">
        <v>0</v>
      </c>
      <c r="M103" s="24">
        <v>0</v>
      </c>
      <c r="N103" s="24">
        <v>0</v>
      </c>
      <c r="O103" s="24">
        <v>0</v>
      </c>
      <c r="P103" s="24">
        <v>1</v>
      </c>
      <c r="Q103" s="35" t="s">
        <v>27</v>
      </c>
      <c r="R103" s="35" t="s">
        <v>28</v>
      </c>
    </row>
    <row r="104" spans="1:18">
      <c r="A104" s="25">
        <v>13001</v>
      </c>
      <c r="B104" s="24">
        <v>16</v>
      </c>
      <c r="C104" s="11" t="str">
        <f t="shared" si="19"/>
        <v>13001_16</v>
      </c>
      <c r="D104" s="11" t="str">
        <f>VLOOKUP(C104,[1]stages!$A:$AE,31,FALSE)</f>
        <v>singleonly</v>
      </c>
      <c r="E104" s="14">
        <v>99</v>
      </c>
      <c r="F104" s="26">
        <v>25</v>
      </c>
      <c r="G104" s="26">
        <v>300</v>
      </c>
      <c r="H104" s="26" t="s">
        <v>34</v>
      </c>
      <c r="I104" s="26" t="s">
        <v>37</v>
      </c>
      <c r="J104" s="26">
        <v>1</v>
      </c>
      <c r="K104" s="26">
        <v>1</v>
      </c>
      <c r="L104" s="26">
        <v>0</v>
      </c>
      <c r="M104" s="26">
        <v>0</v>
      </c>
      <c r="N104" s="26">
        <v>0</v>
      </c>
      <c r="O104" s="26">
        <v>0</v>
      </c>
      <c r="P104" s="26">
        <v>1</v>
      </c>
      <c r="Q104" s="35" t="s">
        <v>27</v>
      </c>
      <c r="R104" s="35" t="s">
        <v>28</v>
      </c>
    </row>
    <row r="105" spans="1:18">
      <c r="A105" s="25">
        <v>13001</v>
      </c>
      <c r="B105" s="24">
        <v>16</v>
      </c>
      <c r="C105" s="11" t="str">
        <f t="shared" si="19"/>
        <v>13001_16</v>
      </c>
      <c r="D105" s="11" t="str">
        <f>VLOOKUP(C105,[1]stages!$A:$AE,31,FALSE)</f>
        <v>singleonly</v>
      </c>
      <c r="E105" s="14">
        <v>100</v>
      </c>
      <c r="F105" s="26">
        <v>11</v>
      </c>
      <c r="G105" s="26">
        <v>60</v>
      </c>
      <c r="H105" s="26" t="s">
        <v>32</v>
      </c>
      <c r="I105" s="26">
        <v>1</v>
      </c>
      <c r="J105" s="26">
        <v>1</v>
      </c>
      <c r="K105" s="26">
        <v>1</v>
      </c>
      <c r="L105" s="26">
        <v>0</v>
      </c>
      <c r="M105" s="26">
        <v>0</v>
      </c>
      <c r="N105" s="26">
        <v>0</v>
      </c>
      <c r="O105" s="26">
        <v>0</v>
      </c>
      <c r="P105" s="26">
        <v>1</v>
      </c>
      <c r="Q105" s="35" t="s">
        <v>27</v>
      </c>
      <c r="R105" s="35" t="s">
        <v>28</v>
      </c>
    </row>
    <row r="106" spans="1:18">
      <c r="A106" s="25">
        <v>13001</v>
      </c>
      <c r="B106" s="24">
        <v>16</v>
      </c>
      <c r="C106" s="11" t="str">
        <f t="shared" si="19"/>
        <v>13001_16</v>
      </c>
      <c r="D106" s="11" t="str">
        <f>VLOOKUP(C106,[1]stages!$A:$AE,31,FALSE)</f>
        <v>singleonly</v>
      </c>
      <c r="E106" s="14">
        <v>101</v>
      </c>
      <c r="F106" s="26">
        <v>23</v>
      </c>
      <c r="G106" s="26">
        <v>60</v>
      </c>
      <c r="H106" s="26" t="s">
        <v>32</v>
      </c>
      <c r="I106" s="26">
        <v>1</v>
      </c>
      <c r="J106" s="26">
        <v>1</v>
      </c>
      <c r="K106" s="26">
        <v>1</v>
      </c>
      <c r="L106" s="26">
        <v>0</v>
      </c>
      <c r="M106" s="26">
        <v>0</v>
      </c>
      <c r="N106" s="26">
        <v>0</v>
      </c>
      <c r="O106" s="26">
        <v>0</v>
      </c>
      <c r="P106" s="26">
        <v>1</v>
      </c>
      <c r="Q106" s="35" t="s">
        <v>27</v>
      </c>
      <c r="R106" s="35" t="s">
        <v>28</v>
      </c>
    </row>
    <row r="107" spans="1:18">
      <c r="A107" s="25">
        <v>13001</v>
      </c>
      <c r="B107" s="24">
        <v>16</v>
      </c>
      <c r="C107" s="11" t="str">
        <f t="shared" si="19"/>
        <v>13001_16</v>
      </c>
      <c r="D107" s="11" t="str">
        <f>VLOOKUP(C107,[1]stages!$A:$AE,31,FALSE)</f>
        <v>singleonly</v>
      </c>
      <c r="E107" s="14">
        <v>102</v>
      </c>
      <c r="F107" s="26">
        <v>43</v>
      </c>
      <c r="G107" s="26">
        <v>60</v>
      </c>
      <c r="H107" s="26" t="s">
        <v>32</v>
      </c>
      <c r="I107" s="26">
        <v>1</v>
      </c>
      <c r="J107" s="26">
        <v>1</v>
      </c>
      <c r="K107" s="26">
        <v>1</v>
      </c>
      <c r="L107" s="26">
        <v>0</v>
      </c>
      <c r="M107" s="26">
        <v>0</v>
      </c>
      <c r="N107" s="26">
        <v>0</v>
      </c>
      <c r="O107" s="26">
        <v>0</v>
      </c>
      <c r="P107" s="26">
        <v>1</v>
      </c>
      <c r="Q107" s="35" t="s">
        <v>27</v>
      </c>
      <c r="R107" s="35" t="s">
        <v>28</v>
      </c>
    </row>
    <row r="108" spans="1:18">
      <c r="A108" s="25">
        <v>13001</v>
      </c>
      <c r="B108" s="24">
        <v>16</v>
      </c>
      <c r="C108" s="11" t="str">
        <f t="shared" si="19"/>
        <v>13001_16</v>
      </c>
      <c r="D108" s="11" t="str">
        <f>VLOOKUP(C108,[1]stages!$A:$AE,31,FALSE)</f>
        <v>singleonly</v>
      </c>
      <c r="E108" s="14">
        <v>103</v>
      </c>
      <c r="F108" s="26">
        <v>59</v>
      </c>
      <c r="G108" s="26">
        <v>60</v>
      </c>
      <c r="H108" s="26" t="s">
        <v>32</v>
      </c>
      <c r="I108" s="26">
        <v>1</v>
      </c>
      <c r="J108" s="26">
        <v>1</v>
      </c>
      <c r="K108" s="26">
        <v>1</v>
      </c>
      <c r="L108" s="26">
        <v>0</v>
      </c>
      <c r="M108" s="26">
        <v>0</v>
      </c>
      <c r="N108" s="26">
        <v>0</v>
      </c>
      <c r="O108" s="26">
        <v>0</v>
      </c>
      <c r="P108" s="26">
        <v>1</v>
      </c>
      <c r="Q108" s="35" t="s">
        <v>27</v>
      </c>
      <c r="R108" s="35" t="s">
        <v>28</v>
      </c>
    </row>
    <row r="109" spans="1:18">
      <c r="A109" s="25">
        <v>13001</v>
      </c>
      <c r="B109" s="24">
        <v>16</v>
      </c>
      <c r="C109" s="11" t="str">
        <f t="shared" si="19"/>
        <v>13001_16</v>
      </c>
      <c r="D109" s="11" t="str">
        <f>VLOOKUP(C109,[1]stages!$A:$AE,31,FALSE)</f>
        <v>singleonly</v>
      </c>
      <c r="E109" s="14">
        <v>104</v>
      </c>
      <c r="F109" s="26">
        <v>68</v>
      </c>
      <c r="G109" s="26">
        <v>60</v>
      </c>
      <c r="H109" s="26" t="s">
        <v>32</v>
      </c>
      <c r="I109" s="26">
        <v>1</v>
      </c>
      <c r="J109" s="26">
        <v>1</v>
      </c>
      <c r="K109" s="26">
        <v>1</v>
      </c>
      <c r="L109" s="26">
        <v>0</v>
      </c>
      <c r="M109" s="26">
        <v>0</v>
      </c>
      <c r="N109" s="26">
        <v>0</v>
      </c>
      <c r="O109" s="26">
        <v>0</v>
      </c>
      <c r="P109" s="26">
        <v>1</v>
      </c>
      <c r="Q109" s="35" t="s">
        <v>27</v>
      </c>
      <c r="R109" s="35" t="s">
        <v>28</v>
      </c>
    </row>
    <row r="110" spans="1:18">
      <c r="A110" s="25">
        <v>13001</v>
      </c>
      <c r="B110" s="24">
        <v>16</v>
      </c>
      <c r="C110" s="11" t="str">
        <f t="shared" ref="C110:C117" si="21">A110&amp; "_"&amp;B110</f>
        <v>13001_16</v>
      </c>
      <c r="D110" s="11" t="str">
        <f>VLOOKUP(C110,[1]stages!$A:$AE,31,FALSE)</f>
        <v>singleonly</v>
      </c>
      <c r="E110" s="14">
        <v>105</v>
      </c>
      <c r="F110" s="26">
        <v>338</v>
      </c>
      <c r="G110" s="26">
        <v>100</v>
      </c>
      <c r="H110" s="26" t="s">
        <v>32</v>
      </c>
      <c r="I110" s="26">
        <v>1</v>
      </c>
      <c r="J110" s="26">
        <v>1</v>
      </c>
      <c r="K110" s="26">
        <v>1</v>
      </c>
      <c r="L110" s="26">
        <v>0</v>
      </c>
      <c r="M110" s="26">
        <v>0</v>
      </c>
      <c r="N110" s="26">
        <v>0</v>
      </c>
      <c r="O110" s="26">
        <v>0</v>
      </c>
      <c r="P110" s="26">
        <v>1</v>
      </c>
      <c r="Q110" s="35" t="s">
        <v>27</v>
      </c>
      <c r="R110" s="35" t="s">
        <v>28</v>
      </c>
    </row>
    <row r="111" spans="1:18">
      <c r="A111" s="19">
        <v>13001</v>
      </c>
      <c r="B111" s="20">
        <v>17</v>
      </c>
      <c r="C111" s="9" t="str">
        <f t="shared" si="21"/>
        <v>13001_17</v>
      </c>
      <c r="D111" s="9" t="str">
        <f>VLOOKUP(C111,[1]stages!$A:$AE,31,FALSE)</f>
        <v>singleonly</v>
      </c>
      <c r="E111" s="14">
        <v>106</v>
      </c>
      <c r="F111" s="24">
        <v>1400</v>
      </c>
      <c r="G111" s="20">
        <v>300</v>
      </c>
      <c r="H111" s="20" t="s">
        <v>33</v>
      </c>
      <c r="I111" s="20" t="s">
        <v>37</v>
      </c>
      <c r="J111" s="20">
        <v>1</v>
      </c>
      <c r="K111" s="20">
        <v>1</v>
      </c>
      <c r="L111" s="20">
        <v>0</v>
      </c>
      <c r="M111" s="20">
        <v>0</v>
      </c>
      <c r="N111" s="20">
        <v>0</v>
      </c>
      <c r="O111" s="20">
        <v>0</v>
      </c>
      <c r="P111" s="20">
        <v>1</v>
      </c>
      <c r="Q111" s="35" t="s">
        <v>27</v>
      </c>
      <c r="R111" s="35" t="s">
        <v>28</v>
      </c>
    </row>
    <row r="112" spans="1:18">
      <c r="A112" s="21">
        <v>13001</v>
      </c>
      <c r="B112" s="20">
        <v>17</v>
      </c>
      <c r="C112" s="9" t="str">
        <f t="shared" si="21"/>
        <v>13001_17</v>
      </c>
      <c r="D112" s="9" t="str">
        <f>VLOOKUP(C112,[1]stages!$A:$AE,31,FALSE)</f>
        <v>singleonly</v>
      </c>
      <c r="E112" s="14">
        <v>107</v>
      </c>
      <c r="F112" s="22">
        <v>25</v>
      </c>
      <c r="G112" s="22">
        <v>300</v>
      </c>
      <c r="H112" s="22" t="s">
        <v>34</v>
      </c>
      <c r="I112" s="22" t="s">
        <v>37</v>
      </c>
      <c r="J112" s="22">
        <v>1</v>
      </c>
      <c r="K112" s="22">
        <v>1</v>
      </c>
      <c r="L112" s="22">
        <v>0</v>
      </c>
      <c r="M112" s="22">
        <v>0</v>
      </c>
      <c r="N112" s="22">
        <v>0</v>
      </c>
      <c r="O112" s="22">
        <v>0</v>
      </c>
      <c r="P112" s="22">
        <v>1</v>
      </c>
      <c r="Q112" s="35" t="s">
        <v>27</v>
      </c>
      <c r="R112" s="35" t="s">
        <v>28</v>
      </c>
    </row>
    <row r="113" spans="1:18">
      <c r="A113" s="21">
        <v>13001</v>
      </c>
      <c r="B113" s="20">
        <v>17</v>
      </c>
      <c r="C113" s="9" t="str">
        <f t="shared" si="21"/>
        <v>13001_17</v>
      </c>
      <c r="D113" s="9" t="str">
        <f>VLOOKUP(C113,[1]stages!$A:$AE,31,FALSE)</f>
        <v>singleonly</v>
      </c>
      <c r="E113" s="14">
        <v>108</v>
      </c>
      <c r="F113" s="22">
        <v>13</v>
      </c>
      <c r="G113" s="22">
        <v>75</v>
      </c>
      <c r="H113" s="22" t="s">
        <v>32</v>
      </c>
      <c r="I113" s="22">
        <v>1</v>
      </c>
      <c r="J113" s="22">
        <v>1</v>
      </c>
      <c r="K113" s="22">
        <v>1</v>
      </c>
      <c r="L113" s="22">
        <v>0</v>
      </c>
      <c r="M113" s="22">
        <v>0</v>
      </c>
      <c r="N113" s="22">
        <v>0</v>
      </c>
      <c r="O113" s="22">
        <v>0</v>
      </c>
      <c r="P113" s="22">
        <v>1</v>
      </c>
      <c r="Q113" s="35" t="s">
        <v>27</v>
      </c>
      <c r="R113" s="35" t="s">
        <v>28</v>
      </c>
    </row>
    <row r="114" spans="1:18">
      <c r="A114" s="21">
        <v>13001</v>
      </c>
      <c r="B114" s="20">
        <v>17</v>
      </c>
      <c r="C114" s="9" t="str">
        <f t="shared" si="21"/>
        <v>13001_17</v>
      </c>
      <c r="D114" s="9" t="str">
        <f>VLOOKUP(C114,[1]stages!$A:$AE,31,FALSE)</f>
        <v>singleonly</v>
      </c>
      <c r="E114" s="14">
        <v>109</v>
      </c>
      <c r="F114" s="22">
        <v>19</v>
      </c>
      <c r="G114" s="22">
        <v>75</v>
      </c>
      <c r="H114" s="22" t="s">
        <v>32</v>
      </c>
      <c r="I114" s="22">
        <v>1</v>
      </c>
      <c r="J114" s="22">
        <v>1</v>
      </c>
      <c r="K114" s="22">
        <v>1</v>
      </c>
      <c r="L114" s="22">
        <v>0</v>
      </c>
      <c r="M114" s="22">
        <v>0</v>
      </c>
      <c r="N114" s="22">
        <v>0</v>
      </c>
      <c r="O114" s="22">
        <v>0</v>
      </c>
      <c r="P114" s="22">
        <v>1</v>
      </c>
      <c r="Q114" s="35" t="s">
        <v>27</v>
      </c>
      <c r="R114" s="35" t="s">
        <v>28</v>
      </c>
    </row>
    <row r="115" spans="1:18">
      <c r="A115" s="21">
        <v>13001</v>
      </c>
      <c r="B115" s="20">
        <v>17</v>
      </c>
      <c r="C115" s="9" t="str">
        <f t="shared" si="21"/>
        <v>13001_17</v>
      </c>
      <c r="D115" s="9" t="str">
        <f>VLOOKUP(C115,[1]stages!$A:$AE,31,FALSE)</f>
        <v>singleonly</v>
      </c>
      <c r="E115" s="14">
        <v>110</v>
      </c>
      <c r="F115" s="22">
        <v>47</v>
      </c>
      <c r="G115" s="22">
        <v>75</v>
      </c>
      <c r="H115" s="22" t="s">
        <v>32</v>
      </c>
      <c r="I115" s="22">
        <v>1</v>
      </c>
      <c r="J115" s="22">
        <v>1</v>
      </c>
      <c r="K115" s="22">
        <v>1</v>
      </c>
      <c r="L115" s="22">
        <v>0</v>
      </c>
      <c r="M115" s="22">
        <v>0</v>
      </c>
      <c r="N115" s="22">
        <v>0</v>
      </c>
      <c r="O115" s="22">
        <v>0</v>
      </c>
      <c r="P115" s="22">
        <v>1</v>
      </c>
      <c r="Q115" s="35" t="s">
        <v>27</v>
      </c>
      <c r="R115" s="35" t="s">
        <v>28</v>
      </c>
    </row>
    <row r="116" spans="1:18">
      <c r="A116" s="21">
        <v>13001</v>
      </c>
      <c r="B116" s="20">
        <v>17</v>
      </c>
      <c r="C116" s="9" t="str">
        <f t="shared" si="21"/>
        <v>13001_17</v>
      </c>
      <c r="D116" s="9" t="str">
        <f>VLOOKUP(C116,[1]stages!$A:$AE,31,FALSE)</f>
        <v>singleonly</v>
      </c>
      <c r="E116" s="14">
        <v>111</v>
      </c>
      <c r="F116" s="22">
        <v>63</v>
      </c>
      <c r="G116" s="22">
        <v>75</v>
      </c>
      <c r="H116" s="22" t="s">
        <v>32</v>
      </c>
      <c r="I116" s="22">
        <v>1</v>
      </c>
      <c r="J116" s="22">
        <v>1</v>
      </c>
      <c r="K116" s="22">
        <v>1</v>
      </c>
      <c r="L116" s="22">
        <v>0</v>
      </c>
      <c r="M116" s="22">
        <v>0</v>
      </c>
      <c r="N116" s="22">
        <v>0</v>
      </c>
      <c r="O116" s="22">
        <v>0</v>
      </c>
      <c r="P116" s="22">
        <v>1</v>
      </c>
      <c r="Q116" s="35" t="s">
        <v>27</v>
      </c>
      <c r="R116" s="35" t="s">
        <v>28</v>
      </c>
    </row>
    <row r="117" spans="1:18">
      <c r="A117" s="21">
        <v>13001</v>
      </c>
      <c r="B117" s="20">
        <v>17</v>
      </c>
      <c r="C117" s="9" t="str">
        <f t="shared" si="21"/>
        <v>13001_17</v>
      </c>
      <c r="D117" s="9" t="str">
        <f>VLOOKUP(C117,[1]stages!$A:$AE,31,FALSE)</f>
        <v>singleonly</v>
      </c>
      <c r="E117" s="14">
        <v>112</v>
      </c>
      <c r="F117" s="22">
        <v>346</v>
      </c>
      <c r="G117" s="22">
        <v>100</v>
      </c>
      <c r="H117" s="22" t="s">
        <v>32</v>
      </c>
      <c r="I117" s="22">
        <v>1</v>
      </c>
      <c r="J117" s="22">
        <v>1</v>
      </c>
      <c r="K117" s="22">
        <v>1</v>
      </c>
      <c r="L117" s="22">
        <v>0</v>
      </c>
      <c r="M117" s="22">
        <v>0</v>
      </c>
      <c r="N117" s="22">
        <v>0</v>
      </c>
      <c r="O117" s="22">
        <v>0</v>
      </c>
      <c r="P117" s="22">
        <v>1</v>
      </c>
      <c r="Q117" s="35" t="s">
        <v>27</v>
      </c>
      <c r="R117" s="35" t="s">
        <v>28</v>
      </c>
    </row>
    <row r="118" spans="1:18">
      <c r="A118" s="27">
        <v>13001</v>
      </c>
      <c r="B118" s="28">
        <v>18</v>
      </c>
      <c r="C118" s="10" t="str">
        <f t="shared" ref="C118:C124" si="22">A118&amp; "_"&amp;B118</f>
        <v>13001_18</v>
      </c>
      <c r="D118" s="10" t="str">
        <f>VLOOKUP(C118,[1]stages!$A:$AE,31,FALSE)</f>
        <v>singleonly</v>
      </c>
      <c r="E118" s="14">
        <v>113</v>
      </c>
      <c r="F118" s="24">
        <v>1400</v>
      </c>
      <c r="G118" s="28">
        <v>300</v>
      </c>
      <c r="H118" s="28" t="s">
        <v>33</v>
      </c>
      <c r="I118" s="28" t="s">
        <v>37</v>
      </c>
      <c r="J118" s="28">
        <v>1</v>
      </c>
      <c r="K118" s="28">
        <v>1</v>
      </c>
      <c r="L118" s="28">
        <v>0</v>
      </c>
      <c r="M118" s="28">
        <v>0</v>
      </c>
      <c r="N118" s="28">
        <v>0</v>
      </c>
      <c r="O118" s="28">
        <v>0</v>
      </c>
      <c r="P118" s="28">
        <v>1</v>
      </c>
      <c r="Q118" s="35" t="s">
        <v>27</v>
      </c>
      <c r="R118" s="35" t="s">
        <v>28</v>
      </c>
    </row>
    <row r="119" spans="1:18">
      <c r="A119" s="29">
        <v>13001</v>
      </c>
      <c r="B119" s="28">
        <v>18</v>
      </c>
      <c r="C119" s="10" t="str">
        <f t="shared" si="22"/>
        <v>13001_18</v>
      </c>
      <c r="D119" s="10" t="str">
        <f>VLOOKUP(C119,[1]stages!$A:$AE,31,FALSE)</f>
        <v>singleonly</v>
      </c>
      <c r="E119" s="14">
        <v>114</v>
      </c>
      <c r="F119" s="30">
        <v>25</v>
      </c>
      <c r="G119" s="30">
        <v>300</v>
      </c>
      <c r="H119" s="30" t="s">
        <v>34</v>
      </c>
      <c r="I119" s="30" t="s">
        <v>37</v>
      </c>
      <c r="J119" s="30">
        <v>1</v>
      </c>
      <c r="K119" s="30">
        <v>1</v>
      </c>
      <c r="L119" s="30">
        <v>0</v>
      </c>
      <c r="M119" s="30">
        <v>0</v>
      </c>
      <c r="N119" s="30">
        <v>0</v>
      </c>
      <c r="O119" s="30">
        <v>0</v>
      </c>
      <c r="P119" s="30">
        <v>1</v>
      </c>
      <c r="Q119" s="35" t="s">
        <v>27</v>
      </c>
      <c r="R119" s="35" t="s">
        <v>28</v>
      </c>
    </row>
    <row r="120" spans="1:18">
      <c r="A120" s="29">
        <v>13001</v>
      </c>
      <c r="B120" s="28">
        <v>18</v>
      </c>
      <c r="C120" s="10" t="str">
        <f t="shared" si="22"/>
        <v>13001_18</v>
      </c>
      <c r="D120" s="10" t="str">
        <f>VLOOKUP(C120,[1]stages!$A:$AE,31,FALSE)</f>
        <v>singleonly</v>
      </c>
      <c r="E120" s="14">
        <v>115</v>
      </c>
      <c r="F120" s="30">
        <v>1</v>
      </c>
      <c r="G120" s="30">
        <v>50</v>
      </c>
      <c r="H120" s="30" t="s">
        <v>32</v>
      </c>
      <c r="I120" s="30">
        <v>1</v>
      </c>
      <c r="J120" s="30">
        <v>1</v>
      </c>
      <c r="K120" s="30">
        <v>1</v>
      </c>
      <c r="L120" s="30">
        <v>0</v>
      </c>
      <c r="M120" s="30">
        <v>0</v>
      </c>
      <c r="N120" s="30">
        <v>0</v>
      </c>
      <c r="O120" s="30">
        <v>0</v>
      </c>
      <c r="P120" s="30">
        <v>1</v>
      </c>
      <c r="Q120" s="35" t="s">
        <v>27</v>
      </c>
      <c r="R120" s="35" t="s">
        <v>28</v>
      </c>
    </row>
    <row r="121" spans="1:18">
      <c r="A121" s="29">
        <v>13001</v>
      </c>
      <c r="B121" s="28">
        <v>18</v>
      </c>
      <c r="C121" s="10" t="str">
        <f t="shared" si="22"/>
        <v>13001_18</v>
      </c>
      <c r="D121" s="10" t="str">
        <f>VLOOKUP(C121,[1]stages!$A:$AE,31,FALSE)</f>
        <v>singleonly</v>
      </c>
      <c r="E121" s="14">
        <v>116</v>
      </c>
      <c r="F121" s="30">
        <v>9</v>
      </c>
      <c r="G121" s="30">
        <v>50</v>
      </c>
      <c r="H121" s="30" t="s">
        <v>32</v>
      </c>
      <c r="I121" s="30">
        <v>1</v>
      </c>
      <c r="J121" s="30">
        <v>1</v>
      </c>
      <c r="K121" s="30">
        <v>1</v>
      </c>
      <c r="L121" s="30">
        <v>0</v>
      </c>
      <c r="M121" s="30">
        <v>0</v>
      </c>
      <c r="N121" s="30">
        <v>0</v>
      </c>
      <c r="O121" s="30">
        <v>0</v>
      </c>
      <c r="P121" s="30">
        <v>1</v>
      </c>
      <c r="Q121" s="35" t="s">
        <v>27</v>
      </c>
      <c r="R121" s="35" t="s">
        <v>28</v>
      </c>
    </row>
    <row r="122" spans="1:18">
      <c r="A122" s="29">
        <v>13001</v>
      </c>
      <c r="B122" s="28">
        <v>18</v>
      </c>
      <c r="C122" s="10" t="str">
        <f t="shared" si="22"/>
        <v>13001_18</v>
      </c>
      <c r="D122" s="10" t="str">
        <f>VLOOKUP(C122,[1]stages!$A:$AE,31,FALSE)</f>
        <v>singleonly</v>
      </c>
      <c r="E122" s="14">
        <v>117</v>
      </c>
      <c r="F122" s="30">
        <v>15</v>
      </c>
      <c r="G122" s="30">
        <v>50</v>
      </c>
      <c r="H122" s="30" t="s">
        <v>32</v>
      </c>
      <c r="I122" s="30">
        <v>1</v>
      </c>
      <c r="J122" s="30">
        <v>1</v>
      </c>
      <c r="K122" s="30">
        <v>1</v>
      </c>
      <c r="L122" s="30">
        <v>0</v>
      </c>
      <c r="M122" s="30">
        <v>0</v>
      </c>
      <c r="N122" s="30">
        <v>0</v>
      </c>
      <c r="O122" s="30">
        <v>0</v>
      </c>
      <c r="P122" s="30">
        <v>1</v>
      </c>
      <c r="Q122" s="35" t="s">
        <v>27</v>
      </c>
      <c r="R122" s="35" t="s">
        <v>28</v>
      </c>
    </row>
    <row r="123" spans="1:18">
      <c r="A123" s="29">
        <v>13001</v>
      </c>
      <c r="B123" s="28">
        <v>18</v>
      </c>
      <c r="C123" s="10" t="str">
        <f t="shared" si="22"/>
        <v>13001_18</v>
      </c>
      <c r="D123" s="10" t="str">
        <f>VLOOKUP(C123,[1]stages!$A:$AE,31,FALSE)</f>
        <v>singleonly</v>
      </c>
      <c r="E123" s="14">
        <v>118</v>
      </c>
      <c r="F123" s="30">
        <v>21</v>
      </c>
      <c r="G123" s="30">
        <v>50</v>
      </c>
      <c r="H123" s="30" t="s">
        <v>32</v>
      </c>
      <c r="I123" s="30">
        <v>1</v>
      </c>
      <c r="J123" s="30">
        <v>1</v>
      </c>
      <c r="K123" s="30">
        <v>1</v>
      </c>
      <c r="L123" s="30">
        <v>0</v>
      </c>
      <c r="M123" s="30">
        <v>0</v>
      </c>
      <c r="N123" s="30">
        <v>0</v>
      </c>
      <c r="O123" s="30">
        <v>0</v>
      </c>
      <c r="P123" s="30">
        <v>1</v>
      </c>
      <c r="Q123" s="35" t="s">
        <v>27</v>
      </c>
      <c r="R123" s="35" t="s">
        <v>28</v>
      </c>
    </row>
    <row r="124" spans="1:18">
      <c r="A124" s="29">
        <v>13001</v>
      </c>
      <c r="B124" s="28">
        <v>18</v>
      </c>
      <c r="C124" s="10" t="str">
        <f t="shared" si="22"/>
        <v>13001_18</v>
      </c>
      <c r="D124" s="10" t="str">
        <f>VLOOKUP(C124,[1]stages!$A:$AE,31,FALSE)</f>
        <v>singleonly</v>
      </c>
      <c r="E124" s="14">
        <v>119</v>
      </c>
      <c r="F124" s="30">
        <v>41</v>
      </c>
      <c r="G124" s="30">
        <v>50</v>
      </c>
      <c r="H124" s="30" t="s">
        <v>32</v>
      </c>
      <c r="I124" s="30">
        <v>1</v>
      </c>
      <c r="J124" s="30">
        <v>1</v>
      </c>
      <c r="K124" s="30">
        <v>1</v>
      </c>
      <c r="L124" s="30">
        <v>0</v>
      </c>
      <c r="M124" s="30">
        <v>0</v>
      </c>
      <c r="N124" s="30">
        <v>0</v>
      </c>
      <c r="O124" s="30">
        <v>0</v>
      </c>
      <c r="P124" s="30">
        <v>1</v>
      </c>
      <c r="Q124" s="35" t="s">
        <v>27</v>
      </c>
      <c r="R124" s="35" t="s">
        <v>28</v>
      </c>
    </row>
    <row r="125" spans="1:18">
      <c r="A125" s="29">
        <v>13001</v>
      </c>
      <c r="B125" s="28">
        <v>18</v>
      </c>
      <c r="C125" s="10" t="str">
        <f t="shared" ref="C125:C147" si="23">A125&amp; "_"&amp;B125</f>
        <v>13001_18</v>
      </c>
      <c r="D125" s="10" t="str">
        <f>VLOOKUP(C125,[1]stages!$A:$AE,31,FALSE)</f>
        <v>singleonly</v>
      </c>
      <c r="E125" s="14">
        <v>120</v>
      </c>
      <c r="F125" s="30">
        <v>57</v>
      </c>
      <c r="G125" s="30">
        <v>50</v>
      </c>
      <c r="H125" s="30" t="s">
        <v>32</v>
      </c>
      <c r="I125" s="30">
        <v>1</v>
      </c>
      <c r="J125" s="30">
        <v>1</v>
      </c>
      <c r="K125" s="30">
        <v>1</v>
      </c>
      <c r="L125" s="30">
        <v>0</v>
      </c>
      <c r="M125" s="30">
        <v>0</v>
      </c>
      <c r="N125" s="30">
        <v>0</v>
      </c>
      <c r="O125" s="30">
        <v>0</v>
      </c>
      <c r="P125" s="30">
        <v>1</v>
      </c>
      <c r="Q125" s="35" t="s">
        <v>27</v>
      </c>
      <c r="R125" s="35" t="s">
        <v>28</v>
      </c>
    </row>
    <row r="126" spans="1:18">
      <c r="A126" s="29">
        <v>13001</v>
      </c>
      <c r="B126" s="28">
        <v>18</v>
      </c>
      <c r="C126" s="10" t="str">
        <f t="shared" si="23"/>
        <v>13001_18</v>
      </c>
      <c r="D126" s="10" t="str">
        <f>VLOOKUP(C126,[1]stages!$A:$AE,31,FALSE)</f>
        <v>singleonly</v>
      </c>
      <c r="E126" s="14">
        <v>121</v>
      </c>
      <c r="F126" s="30">
        <v>334</v>
      </c>
      <c r="G126" s="30">
        <v>100</v>
      </c>
      <c r="H126" s="30" t="s">
        <v>32</v>
      </c>
      <c r="I126" s="30">
        <v>1</v>
      </c>
      <c r="J126" s="30">
        <v>1</v>
      </c>
      <c r="K126" s="30">
        <v>1</v>
      </c>
      <c r="L126" s="30">
        <v>0</v>
      </c>
      <c r="M126" s="30">
        <v>0</v>
      </c>
      <c r="N126" s="30">
        <v>0</v>
      </c>
      <c r="O126" s="30">
        <v>0</v>
      </c>
      <c r="P126" s="30">
        <v>1</v>
      </c>
      <c r="Q126" s="35" t="s">
        <v>27</v>
      </c>
      <c r="R126" s="35" t="s">
        <v>28</v>
      </c>
    </row>
    <row r="127" spans="1:18">
      <c r="A127" s="31">
        <v>13001</v>
      </c>
      <c r="B127" s="32">
        <v>19</v>
      </c>
      <c r="C127" s="13" t="str">
        <f t="shared" si="23"/>
        <v>13001_19</v>
      </c>
      <c r="D127" s="13" t="str">
        <f>VLOOKUP(C127,[1]stages!$A:$AE,31,FALSE)</f>
        <v>singleonly</v>
      </c>
      <c r="E127" s="14">
        <v>122</v>
      </c>
      <c r="F127" s="24">
        <v>1400</v>
      </c>
      <c r="G127" s="32">
        <v>300</v>
      </c>
      <c r="H127" s="32" t="s">
        <v>33</v>
      </c>
      <c r="I127" s="32" t="s">
        <v>37</v>
      </c>
      <c r="J127" s="32">
        <v>1</v>
      </c>
      <c r="K127" s="32">
        <v>1</v>
      </c>
      <c r="L127" s="32">
        <v>0</v>
      </c>
      <c r="M127" s="32">
        <v>0</v>
      </c>
      <c r="N127" s="32">
        <v>0</v>
      </c>
      <c r="O127" s="32">
        <v>0</v>
      </c>
      <c r="P127" s="32">
        <v>1</v>
      </c>
      <c r="Q127" s="35" t="s">
        <v>27</v>
      </c>
      <c r="R127" s="35" t="s">
        <v>28</v>
      </c>
    </row>
    <row r="128" spans="1:18">
      <c r="A128" s="33">
        <v>13001</v>
      </c>
      <c r="B128" s="32">
        <v>19</v>
      </c>
      <c r="C128" s="13" t="str">
        <f t="shared" si="23"/>
        <v>13001_19</v>
      </c>
      <c r="D128" s="13" t="str">
        <f>VLOOKUP(C128,[1]stages!$A:$AE,31,FALSE)</f>
        <v>singleonly</v>
      </c>
      <c r="E128" s="14">
        <v>123</v>
      </c>
      <c r="F128" s="34">
        <v>25</v>
      </c>
      <c r="G128" s="34">
        <v>300</v>
      </c>
      <c r="H128" s="34" t="s">
        <v>34</v>
      </c>
      <c r="I128" s="34" t="s">
        <v>37</v>
      </c>
      <c r="J128" s="34">
        <v>1</v>
      </c>
      <c r="K128" s="34">
        <v>1</v>
      </c>
      <c r="L128" s="34">
        <v>0</v>
      </c>
      <c r="M128" s="34">
        <v>0</v>
      </c>
      <c r="N128" s="34">
        <v>0</v>
      </c>
      <c r="O128" s="34">
        <v>0</v>
      </c>
      <c r="P128" s="34">
        <v>1</v>
      </c>
      <c r="Q128" s="35" t="s">
        <v>27</v>
      </c>
      <c r="R128" s="35" t="s">
        <v>28</v>
      </c>
    </row>
    <row r="129" spans="1:18">
      <c r="A129" s="33">
        <v>13001</v>
      </c>
      <c r="B129" s="32">
        <v>19</v>
      </c>
      <c r="C129" s="13" t="str">
        <f t="shared" si="23"/>
        <v>13001_19</v>
      </c>
      <c r="D129" s="13" t="str">
        <f>VLOOKUP(C129,[1]stages!$A:$AE,31,FALSE)</f>
        <v>singleonly</v>
      </c>
      <c r="E129" s="14">
        <v>124</v>
      </c>
      <c r="F129" s="34">
        <v>17</v>
      </c>
      <c r="G129" s="34">
        <v>75</v>
      </c>
      <c r="H129" s="34" t="s">
        <v>32</v>
      </c>
      <c r="I129" s="34">
        <v>1</v>
      </c>
      <c r="J129" s="34">
        <v>1</v>
      </c>
      <c r="K129" s="34">
        <v>1</v>
      </c>
      <c r="L129" s="34">
        <v>0</v>
      </c>
      <c r="M129" s="34">
        <v>0</v>
      </c>
      <c r="N129" s="34">
        <v>0</v>
      </c>
      <c r="O129" s="34">
        <v>0</v>
      </c>
      <c r="P129" s="34">
        <v>1</v>
      </c>
      <c r="Q129" s="35" t="s">
        <v>27</v>
      </c>
      <c r="R129" s="35" t="s">
        <v>28</v>
      </c>
    </row>
    <row r="130" spans="1:18">
      <c r="A130" s="33">
        <v>13001</v>
      </c>
      <c r="B130" s="32">
        <v>19</v>
      </c>
      <c r="C130" s="13" t="str">
        <f t="shared" si="23"/>
        <v>13001_19</v>
      </c>
      <c r="D130" s="13" t="str">
        <f>VLOOKUP(C130,[1]stages!$A:$AE,31,FALSE)</f>
        <v>singleonly</v>
      </c>
      <c r="E130" s="14">
        <v>125</v>
      </c>
      <c r="F130" s="34">
        <v>25</v>
      </c>
      <c r="G130" s="34">
        <v>75</v>
      </c>
      <c r="H130" s="34" t="s">
        <v>32</v>
      </c>
      <c r="I130" s="34">
        <v>1</v>
      </c>
      <c r="J130" s="34">
        <v>1</v>
      </c>
      <c r="K130" s="34">
        <v>1</v>
      </c>
      <c r="L130" s="34">
        <v>0</v>
      </c>
      <c r="M130" s="34">
        <v>0</v>
      </c>
      <c r="N130" s="34">
        <v>0</v>
      </c>
      <c r="O130" s="34">
        <v>0</v>
      </c>
      <c r="P130" s="34">
        <v>1</v>
      </c>
      <c r="Q130" s="35" t="s">
        <v>27</v>
      </c>
      <c r="R130" s="35" t="s">
        <v>28</v>
      </c>
    </row>
    <row r="131" spans="1:18">
      <c r="A131" s="33">
        <v>13001</v>
      </c>
      <c r="B131" s="32">
        <v>19</v>
      </c>
      <c r="C131" s="13" t="str">
        <f t="shared" si="23"/>
        <v>13001_19</v>
      </c>
      <c r="D131" s="13" t="str">
        <f>VLOOKUP(C131,[1]stages!$A:$AE,31,FALSE)</f>
        <v>singleonly</v>
      </c>
      <c r="E131" s="14">
        <v>126</v>
      </c>
      <c r="F131" s="34">
        <v>45</v>
      </c>
      <c r="G131" s="34">
        <v>75</v>
      </c>
      <c r="H131" s="34" t="s">
        <v>32</v>
      </c>
      <c r="I131" s="34">
        <v>1</v>
      </c>
      <c r="J131" s="34">
        <v>1</v>
      </c>
      <c r="K131" s="34">
        <v>1</v>
      </c>
      <c r="L131" s="34">
        <v>0</v>
      </c>
      <c r="M131" s="34">
        <v>0</v>
      </c>
      <c r="N131" s="34">
        <v>0</v>
      </c>
      <c r="O131" s="34">
        <v>0</v>
      </c>
      <c r="P131" s="34">
        <v>1</v>
      </c>
      <c r="Q131" s="35" t="s">
        <v>27</v>
      </c>
      <c r="R131" s="35" t="s">
        <v>28</v>
      </c>
    </row>
    <row r="132" spans="1:18">
      <c r="A132" s="33">
        <v>13001</v>
      </c>
      <c r="B132" s="32">
        <v>19</v>
      </c>
      <c r="C132" s="13" t="str">
        <f t="shared" si="23"/>
        <v>13001_19</v>
      </c>
      <c r="D132" s="13" t="str">
        <f>VLOOKUP(C132,[1]stages!$A:$AE,31,FALSE)</f>
        <v>singleonly</v>
      </c>
      <c r="E132" s="14">
        <v>127</v>
      </c>
      <c r="F132" s="34">
        <v>61</v>
      </c>
      <c r="G132" s="34">
        <v>75</v>
      </c>
      <c r="H132" s="34" t="s">
        <v>32</v>
      </c>
      <c r="I132" s="34">
        <v>1</v>
      </c>
      <c r="J132" s="34">
        <v>1</v>
      </c>
      <c r="K132" s="34">
        <v>1</v>
      </c>
      <c r="L132" s="34">
        <v>0</v>
      </c>
      <c r="M132" s="34">
        <v>0</v>
      </c>
      <c r="N132" s="34">
        <v>0</v>
      </c>
      <c r="O132" s="34">
        <v>0</v>
      </c>
      <c r="P132" s="34">
        <v>1</v>
      </c>
      <c r="Q132" s="35" t="s">
        <v>27</v>
      </c>
      <c r="R132" s="35" t="s">
        <v>28</v>
      </c>
    </row>
    <row r="133" spans="1:18">
      <c r="A133" s="33">
        <v>13001</v>
      </c>
      <c r="B133" s="32">
        <v>19</v>
      </c>
      <c r="C133" s="13" t="str">
        <f t="shared" si="23"/>
        <v>13001_19</v>
      </c>
      <c r="D133" s="13" t="str">
        <f>VLOOKUP(C133,[1]stages!$A:$AE,31,FALSE)</f>
        <v>singleonly</v>
      </c>
      <c r="E133" s="14">
        <v>128</v>
      </c>
      <c r="F133" s="34">
        <v>342</v>
      </c>
      <c r="G133" s="34">
        <v>100</v>
      </c>
      <c r="H133" s="34" t="s">
        <v>32</v>
      </c>
      <c r="I133" s="34">
        <v>1</v>
      </c>
      <c r="J133" s="34">
        <v>1</v>
      </c>
      <c r="K133" s="34">
        <v>1</v>
      </c>
      <c r="L133" s="34">
        <v>0</v>
      </c>
      <c r="M133" s="34">
        <v>0</v>
      </c>
      <c r="N133" s="34">
        <v>0</v>
      </c>
      <c r="O133" s="34">
        <v>0</v>
      </c>
      <c r="P133" s="34">
        <v>1</v>
      </c>
      <c r="Q133" s="35" t="s">
        <v>27</v>
      </c>
      <c r="R133" s="35" t="s">
        <v>28</v>
      </c>
    </row>
    <row r="134" spans="1:18">
      <c r="A134" s="31">
        <v>13001</v>
      </c>
      <c r="B134" s="32">
        <v>20</v>
      </c>
      <c r="C134" s="13" t="str">
        <f t="shared" si="23"/>
        <v>13001_20</v>
      </c>
      <c r="D134" s="13" t="str">
        <f>VLOOKUP(C134,[1]stages!$A:$AE,31,FALSE)</f>
        <v>singleonly</v>
      </c>
      <c r="E134" s="14">
        <v>129</v>
      </c>
      <c r="F134" s="24">
        <v>1400</v>
      </c>
      <c r="G134" s="32">
        <v>150</v>
      </c>
      <c r="H134" s="32" t="s">
        <v>33</v>
      </c>
      <c r="I134" s="32" t="s">
        <v>37</v>
      </c>
      <c r="J134" s="32">
        <v>1</v>
      </c>
      <c r="K134" s="32">
        <v>1</v>
      </c>
      <c r="L134" s="32">
        <v>0</v>
      </c>
      <c r="M134" s="32">
        <v>0</v>
      </c>
      <c r="N134" s="32">
        <v>0</v>
      </c>
      <c r="O134" s="32">
        <v>0</v>
      </c>
      <c r="P134" s="32">
        <v>1</v>
      </c>
      <c r="Q134" s="35" t="s">
        <v>27</v>
      </c>
      <c r="R134" s="35" t="s">
        <v>28</v>
      </c>
    </row>
    <row r="135" spans="1:18">
      <c r="A135" s="33">
        <v>13001</v>
      </c>
      <c r="B135" s="32">
        <v>20</v>
      </c>
      <c r="C135" s="13" t="str">
        <f t="shared" si="23"/>
        <v>13001_20</v>
      </c>
      <c r="D135" s="13" t="str">
        <f>VLOOKUP(C135,[1]stages!$A:$AE,31,FALSE)</f>
        <v>singleonly</v>
      </c>
      <c r="E135" s="14">
        <v>130</v>
      </c>
      <c r="F135" s="34">
        <v>25</v>
      </c>
      <c r="G135" s="34">
        <v>150</v>
      </c>
      <c r="H135" s="34" t="s">
        <v>34</v>
      </c>
      <c r="I135" s="34" t="s">
        <v>37</v>
      </c>
      <c r="J135" s="34">
        <v>1</v>
      </c>
      <c r="K135" s="34">
        <v>1</v>
      </c>
      <c r="L135" s="34">
        <v>0</v>
      </c>
      <c r="M135" s="34">
        <v>0</v>
      </c>
      <c r="N135" s="34">
        <v>0</v>
      </c>
      <c r="O135" s="34">
        <v>0</v>
      </c>
      <c r="P135" s="34">
        <v>1</v>
      </c>
      <c r="Q135" s="35" t="s">
        <v>27</v>
      </c>
      <c r="R135" s="35" t="s">
        <v>28</v>
      </c>
    </row>
    <row r="136" spans="1:18">
      <c r="A136" s="33">
        <v>13001</v>
      </c>
      <c r="B136" s="32">
        <v>20</v>
      </c>
      <c r="C136" s="13" t="str">
        <f t="shared" si="23"/>
        <v>13001_20</v>
      </c>
      <c r="D136" s="13" t="str">
        <f>VLOOKUP(C136,[1]stages!$A:$AE,31,FALSE)</f>
        <v>singleonly</v>
      </c>
      <c r="E136" s="14">
        <v>131</v>
      </c>
      <c r="F136" s="34">
        <v>342</v>
      </c>
      <c r="G136" s="34">
        <v>140</v>
      </c>
      <c r="H136" s="34" t="s">
        <v>32</v>
      </c>
      <c r="I136" s="34">
        <v>1</v>
      </c>
      <c r="J136" s="34">
        <v>1</v>
      </c>
      <c r="K136" s="34">
        <v>1</v>
      </c>
      <c r="L136" s="34">
        <v>0</v>
      </c>
      <c r="M136" s="34">
        <v>0</v>
      </c>
      <c r="N136" s="34">
        <v>0</v>
      </c>
      <c r="O136" s="34">
        <v>0</v>
      </c>
      <c r="P136" s="34">
        <v>1</v>
      </c>
      <c r="Q136" s="35" t="s">
        <v>27</v>
      </c>
      <c r="R136" s="35" t="s">
        <v>28</v>
      </c>
    </row>
    <row r="137" spans="1:18">
      <c r="A137" s="33">
        <v>13001</v>
      </c>
      <c r="B137" s="32">
        <v>20</v>
      </c>
      <c r="C137" s="13" t="str">
        <f t="shared" ref="C137:C140" si="24">A137&amp; "_"&amp;B137</f>
        <v>13001_20</v>
      </c>
      <c r="D137" s="13" t="str">
        <f>VLOOKUP(C137,[1]stages!$A:$AE,31,FALSE)</f>
        <v>singleonly</v>
      </c>
      <c r="E137" s="14">
        <v>134</v>
      </c>
      <c r="F137" s="34">
        <v>121</v>
      </c>
      <c r="G137" s="34">
        <v>50</v>
      </c>
      <c r="H137" s="34" t="s">
        <v>32</v>
      </c>
      <c r="I137" s="34">
        <v>1</v>
      </c>
      <c r="J137" s="34">
        <v>1</v>
      </c>
      <c r="K137" s="34">
        <v>1</v>
      </c>
      <c r="L137" s="34">
        <v>0</v>
      </c>
      <c r="M137" s="34">
        <v>0</v>
      </c>
      <c r="N137" s="34">
        <v>0</v>
      </c>
      <c r="O137" s="34">
        <v>0</v>
      </c>
      <c r="P137" s="34">
        <v>1</v>
      </c>
      <c r="Q137" s="35" t="s">
        <v>27</v>
      </c>
      <c r="R137" s="35" t="s">
        <v>28</v>
      </c>
    </row>
    <row r="138" spans="1:18">
      <c r="A138" s="33">
        <v>13001</v>
      </c>
      <c r="B138" s="32">
        <v>20</v>
      </c>
      <c r="C138" s="13" t="str">
        <f t="shared" si="24"/>
        <v>13001_20</v>
      </c>
      <c r="D138" s="13" t="str">
        <f>VLOOKUP(C138,[1]stages!$A:$AE,31,FALSE)</f>
        <v>singleonly</v>
      </c>
      <c r="E138" s="14">
        <v>135</v>
      </c>
      <c r="F138" s="34">
        <v>122</v>
      </c>
      <c r="G138" s="34">
        <v>50</v>
      </c>
      <c r="H138" s="34" t="s">
        <v>32</v>
      </c>
      <c r="I138" s="34">
        <v>1</v>
      </c>
      <c r="J138" s="34">
        <v>1</v>
      </c>
      <c r="K138" s="34">
        <v>1</v>
      </c>
      <c r="L138" s="34">
        <v>0</v>
      </c>
      <c r="M138" s="34">
        <v>0</v>
      </c>
      <c r="N138" s="34">
        <v>0</v>
      </c>
      <c r="O138" s="34">
        <v>0</v>
      </c>
      <c r="P138" s="34">
        <v>1</v>
      </c>
      <c r="Q138" s="35" t="s">
        <v>27</v>
      </c>
      <c r="R138" s="35" t="s">
        <v>28</v>
      </c>
    </row>
    <row r="139" spans="1:18">
      <c r="A139" s="33">
        <v>13001</v>
      </c>
      <c r="B139" s="32">
        <v>20</v>
      </c>
      <c r="C139" s="13" t="str">
        <f t="shared" si="24"/>
        <v>13001_20</v>
      </c>
      <c r="D139" s="13" t="str">
        <f>VLOOKUP(C139,[1]stages!$A:$AE,31,FALSE)</f>
        <v>singleonly</v>
      </c>
      <c r="E139" s="14">
        <v>136</v>
      </c>
      <c r="F139" s="34">
        <v>123</v>
      </c>
      <c r="G139" s="34">
        <v>50</v>
      </c>
      <c r="H139" s="34" t="s">
        <v>32</v>
      </c>
      <c r="I139" s="34">
        <v>1</v>
      </c>
      <c r="J139" s="34">
        <v>1</v>
      </c>
      <c r="K139" s="34">
        <v>1</v>
      </c>
      <c r="L139" s="34">
        <v>0</v>
      </c>
      <c r="M139" s="34">
        <v>0</v>
      </c>
      <c r="N139" s="34">
        <v>0</v>
      </c>
      <c r="O139" s="34">
        <v>0</v>
      </c>
      <c r="P139" s="34">
        <v>1</v>
      </c>
      <c r="Q139" s="35" t="s">
        <v>27</v>
      </c>
      <c r="R139" s="35" t="s">
        <v>28</v>
      </c>
    </row>
    <row r="140" spans="1:18">
      <c r="A140" s="33">
        <v>13001</v>
      </c>
      <c r="B140" s="32">
        <v>20</v>
      </c>
      <c r="C140" s="13" t="str">
        <f t="shared" si="24"/>
        <v>13001_20</v>
      </c>
      <c r="D140" s="13" t="str">
        <f>VLOOKUP(C140,[1]stages!$A:$AE,31,FALSE)</f>
        <v>singleonly</v>
      </c>
      <c r="E140" s="14">
        <v>137</v>
      </c>
      <c r="F140" s="34">
        <v>125</v>
      </c>
      <c r="G140" s="34">
        <v>10</v>
      </c>
      <c r="H140" s="34" t="s">
        <v>32</v>
      </c>
      <c r="I140" s="34">
        <v>1</v>
      </c>
      <c r="J140" s="34">
        <v>1</v>
      </c>
      <c r="K140" s="34">
        <v>1</v>
      </c>
      <c r="L140" s="34">
        <v>0</v>
      </c>
      <c r="M140" s="34">
        <v>0</v>
      </c>
      <c r="N140" s="34">
        <v>0</v>
      </c>
      <c r="O140" s="34">
        <v>0</v>
      </c>
      <c r="P140" s="34">
        <v>1</v>
      </c>
      <c r="Q140" s="35" t="s">
        <v>27</v>
      </c>
      <c r="R140" s="35" t="s">
        <v>28</v>
      </c>
    </row>
    <row r="141" spans="1:18">
      <c r="A141" s="33">
        <v>13001</v>
      </c>
      <c r="B141" s="32">
        <v>20</v>
      </c>
      <c r="C141" s="13" t="str">
        <f t="shared" si="23"/>
        <v>13001_20</v>
      </c>
      <c r="D141" s="13" t="str">
        <f>VLOOKUP(C141,[1]stages!$A:$AE,31,FALSE)</f>
        <v>singleonly</v>
      </c>
      <c r="E141" s="14">
        <v>132</v>
      </c>
      <c r="F141" s="34">
        <v>352</v>
      </c>
      <c r="G141" s="34">
        <v>150</v>
      </c>
      <c r="H141" s="34" t="s">
        <v>32</v>
      </c>
      <c r="I141" s="34">
        <v>1</v>
      </c>
      <c r="J141" s="34">
        <v>1</v>
      </c>
      <c r="K141" s="34">
        <v>1</v>
      </c>
      <c r="L141" s="34">
        <v>0</v>
      </c>
      <c r="M141" s="34">
        <v>0</v>
      </c>
      <c r="N141" s="34">
        <v>0</v>
      </c>
      <c r="O141" s="34">
        <v>0</v>
      </c>
      <c r="P141" s="34">
        <v>1</v>
      </c>
      <c r="Q141" s="35" t="s">
        <v>27</v>
      </c>
      <c r="R141" s="35" t="s">
        <v>28</v>
      </c>
    </row>
    <row r="142" spans="1:18">
      <c r="A142" s="33">
        <v>13001</v>
      </c>
      <c r="B142" s="32">
        <v>20</v>
      </c>
      <c r="C142" s="13" t="str">
        <f t="shared" si="23"/>
        <v>13001_20</v>
      </c>
      <c r="D142" s="13" t="str">
        <f>VLOOKUP(C142,[1]stages!$A:$AE,31,FALSE)</f>
        <v>singleonly</v>
      </c>
      <c r="E142" s="14">
        <v>133</v>
      </c>
      <c r="F142" s="34">
        <v>318</v>
      </c>
      <c r="G142" s="34">
        <v>250</v>
      </c>
      <c r="H142" s="34" t="s">
        <v>32</v>
      </c>
      <c r="I142" s="34">
        <v>1</v>
      </c>
      <c r="J142" s="34">
        <v>1</v>
      </c>
      <c r="K142" s="34">
        <v>1</v>
      </c>
      <c r="L142" s="34">
        <v>0</v>
      </c>
      <c r="M142" s="34">
        <v>0</v>
      </c>
      <c r="N142" s="34">
        <v>0</v>
      </c>
      <c r="O142" s="34">
        <v>0</v>
      </c>
      <c r="P142" s="34">
        <v>1</v>
      </c>
      <c r="Q142" s="35" t="s">
        <v>27</v>
      </c>
      <c r="R142" s="35" t="s">
        <v>28</v>
      </c>
    </row>
    <row r="143" spans="1:18">
      <c r="A143" s="27">
        <v>13001</v>
      </c>
      <c r="B143" s="28">
        <v>21</v>
      </c>
      <c r="C143" s="10" t="str">
        <f t="shared" si="23"/>
        <v>13001_21</v>
      </c>
      <c r="D143" s="10" t="str">
        <f>VLOOKUP(C143,[1]stages!$A:$AE,31,FALSE)</f>
        <v>singleonly</v>
      </c>
      <c r="E143" s="14">
        <v>134</v>
      </c>
      <c r="F143" s="28">
        <v>1600</v>
      </c>
      <c r="G143" s="28">
        <v>200</v>
      </c>
      <c r="H143" s="28" t="s">
        <v>33</v>
      </c>
      <c r="I143" s="28" t="s">
        <v>37</v>
      </c>
      <c r="J143" s="28">
        <v>1</v>
      </c>
      <c r="K143" s="28">
        <v>1</v>
      </c>
      <c r="L143" s="28">
        <v>0</v>
      </c>
      <c r="M143" s="28">
        <v>0</v>
      </c>
      <c r="N143" s="28">
        <v>0</v>
      </c>
      <c r="O143" s="28">
        <v>0</v>
      </c>
      <c r="P143" s="28">
        <v>1</v>
      </c>
      <c r="Q143" s="35" t="s">
        <v>27</v>
      </c>
      <c r="R143" s="35" t="s">
        <v>28</v>
      </c>
    </row>
    <row r="144" spans="1:18">
      <c r="A144" s="29">
        <v>13001</v>
      </c>
      <c r="B144" s="28">
        <v>21</v>
      </c>
      <c r="C144" s="10" t="str">
        <f t="shared" si="23"/>
        <v>13001_21</v>
      </c>
      <c r="D144" s="10" t="str">
        <f>VLOOKUP(C144,[1]stages!$A:$AE,31,FALSE)</f>
        <v>singleonly</v>
      </c>
      <c r="E144" s="14">
        <v>135</v>
      </c>
      <c r="F144" s="30">
        <v>25</v>
      </c>
      <c r="G144" s="30">
        <v>300</v>
      </c>
      <c r="H144" s="30" t="s">
        <v>34</v>
      </c>
      <c r="I144" s="30" t="s">
        <v>37</v>
      </c>
      <c r="J144" s="30">
        <v>1</v>
      </c>
      <c r="K144" s="30">
        <v>1</v>
      </c>
      <c r="L144" s="30">
        <v>0</v>
      </c>
      <c r="M144" s="30">
        <v>0</v>
      </c>
      <c r="N144" s="30">
        <v>0</v>
      </c>
      <c r="O144" s="30">
        <v>0</v>
      </c>
      <c r="P144" s="30">
        <v>1</v>
      </c>
      <c r="Q144" s="35" t="s">
        <v>27</v>
      </c>
      <c r="R144" s="35" t="s">
        <v>28</v>
      </c>
    </row>
    <row r="145" spans="1:18">
      <c r="A145" s="29">
        <v>13001</v>
      </c>
      <c r="B145" s="28">
        <v>21</v>
      </c>
      <c r="C145" s="10" t="str">
        <f t="shared" si="23"/>
        <v>13001_21</v>
      </c>
      <c r="D145" s="10" t="str">
        <f>VLOOKUP(C145,[1]stages!$A:$AE,31,FALSE)</f>
        <v>singleonly</v>
      </c>
      <c r="E145" s="14">
        <v>136</v>
      </c>
      <c r="F145" s="30">
        <v>9</v>
      </c>
      <c r="G145" s="30">
        <v>20</v>
      </c>
      <c r="H145" s="30" t="s">
        <v>32</v>
      </c>
      <c r="I145" s="30">
        <v>1</v>
      </c>
      <c r="J145" s="30">
        <v>1</v>
      </c>
      <c r="K145" s="30">
        <v>1</v>
      </c>
      <c r="L145" s="30">
        <v>0</v>
      </c>
      <c r="M145" s="30">
        <v>0</v>
      </c>
      <c r="N145" s="30">
        <v>0</v>
      </c>
      <c r="O145" s="30">
        <v>0</v>
      </c>
      <c r="P145" s="30">
        <v>1</v>
      </c>
      <c r="Q145" s="35" t="s">
        <v>27</v>
      </c>
      <c r="R145" s="35" t="s">
        <v>28</v>
      </c>
    </row>
    <row r="146" spans="1:18">
      <c r="A146" s="29">
        <v>13001</v>
      </c>
      <c r="B146" s="28">
        <v>21</v>
      </c>
      <c r="C146" s="10" t="str">
        <f t="shared" si="23"/>
        <v>13001_21</v>
      </c>
      <c r="D146" s="10" t="str">
        <f>VLOOKUP(C146,[1]stages!$A:$AE,31,FALSE)</f>
        <v>singleonly</v>
      </c>
      <c r="E146" s="14">
        <v>138</v>
      </c>
      <c r="F146" s="30">
        <v>15</v>
      </c>
      <c r="G146" s="30">
        <v>20</v>
      </c>
      <c r="H146" s="30" t="s">
        <v>32</v>
      </c>
      <c r="I146" s="30">
        <v>1</v>
      </c>
      <c r="J146" s="30">
        <v>1</v>
      </c>
      <c r="K146" s="30">
        <v>1</v>
      </c>
      <c r="L146" s="30">
        <v>0</v>
      </c>
      <c r="M146" s="30">
        <v>0</v>
      </c>
      <c r="N146" s="30">
        <v>0</v>
      </c>
      <c r="O146" s="30">
        <v>0</v>
      </c>
      <c r="P146" s="30">
        <v>1</v>
      </c>
      <c r="Q146" s="35" t="s">
        <v>27</v>
      </c>
      <c r="R146" s="35" t="s">
        <v>28</v>
      </c>
    </row>
    <row r="147" spans="1:18">
      <c r="A147" s="29">
        <v>13001</v>
      </c>
      <c r="B147" s="28">
        <v>21</v>
      </c>
      <c r="C147" s="10" t="str">
        <f t="shared" si="23"/>
        <v>13001_21</v>
      </c>
      <c r="D147" s="10" t="str">
        <f>VLOOKUP(C147,[1]stages!$A:$AE,31,FALSE)</f>
        <v>singleonly</v>
      </c>
      <c r="E147" s="14">
        <v>139</v>
      </c>
      <c r="F147" s="30">
        <v>21</v>
      </c>
      <c r="G147" s="30">
        <v>20</v>
      </c>
      <c r="H147" s="30" t="s">
        <v>32</v>
      </c>
      <c r="I147" s="30">
        <v>1</v>
      </c>
      <c r="J147" s="30">
        <v>1</v>
      </c>
      <c r="K147" s="30">
        <v>1</v>
      </c>
      <c r="L147" s="30">
        <v>0</v>
      </c>
      <c r="M147" s="30">
        <v>0</v>
      </c>
      <c r="N147" s="30">
        <v>0</v>
      </c>
      <c r="O147" s="30">
        <v>0</v>
      </c>
      <c r="P147" s="30">
        <v>1</v>
      </c>
      <c r="Q147" s="35" t="s">
        <v>27</v>
      </c>
      <c r="R147" s="35" t="s">
        <v>28</v>
      </c>
    </row>
    <row r="148" spans="1:18">
      <c r="A148" s="29">
        <v>13001</v>
      </c>
      <c r="B148" s="28">
        <v>21</v>
      </c>
      <c r="C148" s="10" t="str">
        <f t="shared" ref="C148:C149" si="25">A148&amp; "_"&amp;B148</f>
        <v>13001_21</v>
      </c>
      <c r="D148" s="10" t="str">
        <f>VLOOKUP(C148,[1]stages!$A:$AE,31,FALSE)</f>
        <v>singleonly</v>
      </c>
      <c r="E148" s="14">
        <v>141</v>
      </c>
      <c r="F148" s="30">
        <v>33</v>
      </c>
      <c r="G148" s="30">
        <v>20</v>
      </c>
      <c r="H148" s="30" t="s">
        <v>32</v>
      </c>
      <c r="I148" s="30">
        <v>1</v>
      </c>
      <c r="J148" s="30">
        <v>1</v>
      </c>
      <c r="K148" s="30">
        <v>1</v>
      </c>
      <c r="L148" s="30">
        <v>0</v>
      </c>
      <c r="M148" s="30">
        <v>0</v>
      </c>
      <c r="N148" s="30">
        <v>0</v>
      </c>
      <c r="O148" s="30">
        <v>0</v>
      </c>
      <c r="P148" s="30">
        <v>1</v>
      </c>
      <c r="Q148" s="35" t="s">
        <v>27</v>
      </c>
      <c r="R148" s="35" t="s">
        <v>28</v>
      </c>
    </row>
    <row r="149" spans="1:18">
      <c r="A149" s="29">
        <v>13001</v>
      </c>
      <c r="B149" s="28">
        <v>21</v>
      </c>
      <c r="C149" s="10" t="str">
        <f t="shared" si="25"/>
        <v>13001_21</v>
      </c>
      <c r="D149" s="10" t="str">
        <f>VLOOKUP(C149,[1]stages!$A:$AE,31,FALSE)</f>
        <v>singleonly</v>
      </c>
      <c r="E149" s="14">
        <v>142</v>
      </c>
      <c r="F149" s="30">
        <v>41</v>
      </c>
      <c r="G149" s="30">
        <v>20</v>
      </c>
      <c r="H149" s="30" t="s">
        <v>32</v>
      </c>
      <c r="I149" s="30">
        <v>1</v>
      </c>
      <c r="J149" s="30">
        <v>1</v>
      </c>
      <c r="K149" s="30">
        <v>1</v>
      </c>
      <c r="L149" s="30">
        <v>0</v>
      </c>
      <c r="M149" s="30">
        <v>0</v>
      </c>
      <c r="N149" s="30">
        <v>0</v>
      </c>
      <c r="O149" s="30">
        <v>0</v>
      </c>
      <c r="P149" s="30">
        <v>1</v>
      </c>
      <c r="Q149" s="35" t="s">
        <v>27</v>
      </c>
      <c r="R149" s="35" t="s">
        <v>28</v>
      </c>
    </row>
    <row r="150" spans="1:18">
      <c r="A150" s="29">
        <v>13001</v>
      </c>
      <c r="B150" s="28">
        <v>21</v>
      </c>
      <c r="C150" s="10" t="str">
        <f t="shared" ref="C150" si="26">A150&amp; "_"&amp;B150</f>
        <v>13001_21</v>
      </c>
      <c r="D150" s="10" t="str">
        <f>VLOOKUP(C150,[1]stages!$A:$AE,31,FALSE)</f>
        <v>singleonly</v>
      </c>
      <c r="E150" s="14">
        <v>143</v>
      </c>
      <c r="F150" s="30">
        <v>334</v>
      </c>
      <c r="G150" s="30">
        <v>100</v>
      </c>
      <c r="H150" s="30" t="s">
        <v>32</v>
      </c>
      <c r="I150" s="30">
        <v>1</v>
      </c>
      <c r="J150" s="30">
        <v>1</v>
      </c>
      <c r="K150" s="30">
        <v>1</v>
      </c>
      <c r="L150" s="30">
        <v>0</v>
      </c>
      <c r="M150" s="30">
        <v>0</v>
      </c>
      <c r="N150" s="30">
        <v>0</v>
      </c>
      <c r="O150" s="30">
        <v>0</v>
      </c>
      <c r="P150" s="30">
        <v>1</v>
      </c>
      <c r="Q150" s="35" t="s">
        <v>27</v>
      </c>
      <c r="R150" s="35" t="s">
        <v>28</v>
      </c>
    </row>
    <row r="151" spans="1:18">
      <c r="A151" s="29">
        <v>13001</v>
      </c>
      <c r="B151" s="28">
        <v>21</v>
      </c>
      <c r="C151" s="10" t="str">
        <f t="shared" ref="C151:C159" si="27">A151&amp; "_"&amp;B151</f>
        <v>13001_21</v>
      </c>
      <c r="D151" s="10" t="str">
        <f>VLOOKUP(C151,[1]stages!$A:$AE,31,FALSE)</f>
        <v>singleonly</v>
      </c>
      <c r="E151" s="14">
        <v>144</v>
      </c>
      <c r="F151" s="30">
        <v>348</v>
      </c>
      <c r="G151" s="30">
        <v>300</v>
      </c>
      <c r="H151" s="30" t="s">
        <v>32</v>
      </c>
      <c r="I151" s="30">
        <v>1</v>
      </c>
      <c r="J151" s="30">
        <v>1</v>
      </c>
      <c r="K151" s="30">
        <v>1</v>
      </c>
      <c r="L151" s="30">
        <v>0</v>
      </c>
      <c r="M151" s="30">
        <v>0</v>
      </c>
      <c r="N151" s="30">
        <v>0</v>
      </c>
      <c r="O151" s="30">
        <v>0</v>
      </c>
      <c r="P151" s="30">
        <v>1</v>
      </c>
      <c r="Q151" s="35" t="s">
        <v>27</v>
      </c>
      <c r="R151" s="35" t="s">
        <v>28</v>
      </c>
    </row>
    <row r="152" spans="1:18">
      <c r="A152" s="23">
        <v>13001</v>
      </c>
      <c r="B152" s="24">
        <v>22</v>
      </c>
      <c r="C152" s="11" t="str">
        <f t="shared" si="27"/>
        <v>13001_22</v>
      </c>
      <c r="D152" s="11" t="str">
        <f>VLOOKUP(C152,[1]stages!$A:$AE,31,FALSE)</f>
        <v>singleonly</v>
      </c>
      <c r="E152" s="14">
        <v>145</v>
      </c>
      <c r="F152" s="28">
        <v>1600</v>
      </c>
      <c r="G152" s="24">
        <v>200</v>
      </c>
      <c r="H152" s="24" t="s">
        <v>33</v>
      </c>
      <c r="I152" s="24" t="s">
        <v>37</v>
      </c>
      <c r="J152" s="24">
        <v>1</v>
      </c>
      <c r="K152" s="24">
        <v>1</v>
      </c>
      <c r="L152" s="24">
        <v>0</v>
      </c>
      <c r="M152" s="24">
        <v>0</v>
      </c>
      <c r="N152" s="24">
        <v>0</v>
      </c>
      <c r="O152" s="24">
        <v>0</v>
      </c>
      <c r="P152" s="24">
        <v>1</v>
      </c>
      <c r="Q152" s="35" t="s">
        <v>27</v>
      </c>
      <c r="R152" s="35" t="s">
        <v>28</v>
      </c>
    </row>
    <row r="153" spans="1:18">
      <c r="A153" s="25">
        <v>13001</v>
      </c>
      <c r="B153" s="24">
        <v>22</v>
      </c>
      <c r="C153" s="11" t="str">
        <f t="shared" si="27"/>
        <v>13001_22</v>
      </c>
      <c r="D153" s="11" t="str">
        <f>VLOOKUP(C153,[1]stages!$A:$AE,31,FALSE)</f>
        <v>singleonly</v>
      </c>
      <c r="E153" s="14">
        <v>146</v>
      </c>
      <c r="F153" s="26">
        <v>25</v>
      </c>
      <c r="G153" s="26">
        <v>300</v>
      </c>
      <c r="H153" s="26" t="s">
        <v>34</v>
      </c>
      <c r="I153" s="26" t="s">
        <v>37</v>
      </c>
      <c r="J153" s="26">
        <v>1</v>
      </c>
      <c r="K153" s="26">
        <v>1</v>
      </c>
      <c r="L153" s="26">
        <v>0</v>
      </c>
      <c r="M153" s="26">
        <v>0</v>
      </c>
      <c r="N153" s="26">
        <v>0</v>
      </c>
      <c r="O153" s="26">
        <v>0</v>
      </c>
      <c r="P153" s="26">
        <v>1</v>
      </c>
      <c r="Q153" s="35" t="s">
        <v>27</v>
      </c>
      <c r="R153" s="35" t="s">
        <v>28</v>
      </c>
    </row>
    <row r="154" spans="1:18">
      <c r="A154" s="25">
        <v>13001</v>
      </c>
      <c r="B154" s="24">
        <v>22</v>
      </c>
      <c r="C154" s="11" t="str">
        <f t="shared" si="27"/>
        <v>13001_22</v>
      </c>
      <c r="D154" s="11" t="str">
        <f>VLOOKUP(C154,[1]stages!$A:$AE,31,FALSE)</f>
        <v>singleonly</v>
      </c>
      <c r="E154" s="14">
        <v>147</v>
      </c>
      <c r="F154" s="26">
        <v>11</v>
      </c>
      <c r="G154" s="26">
        <v>20</v>
      </c>
      <c r="H154" s="26" t="s">
        <v>32</v>
      </c>
      <c r="I154" s="26">
        <v>1</v>
      </c>
      <c r="J154" s="26">
        <v>1</v>
      </c>
      <c r="K154" s="26">
        <v>1</v>
      </c>
      <c r="L154" s="26">
        <v>0</v>
      </c>
      <c r="M154" s="26">
        <v>0</v>
      </c>
      <c r="N154" s="26">
        <v>0</v>
      </c>
      <c r="O154" s="26">
        <v>0</v>
      </c>
      <c r="P154" s="26">
        <v>1</v>
      </c>
      <c r="Q154" s="35" t="s">
        <v>27</v>
      </c>
      <c r="R154" s="35" t="s">
        <v>28</v>
      </c>
    </row>
    <row r="155" spans="1:18">
      <c r="A155" s="25">
        <v>13001</v>
      </c>
      <c r="B155" s="24">
        <v>22</v>
      </c>
      <c r="C155" s="11" t="str">
        <f t="shared" si="27"/>
        <v>13001_22</v>
      </c>
      <c r="D155" s="11" t="str">
        <f>VLOOKUP(C155,[1]stages!$A:$AE,31,FALSE)</f>
        <v>singleonly</v>
      </c>
      <c r="E155" s="14">
        <v>149</v>
      </c>
      <c r="F155" s="26">
        <v>23</v>
      </c>
      <c r="G155" s="26">
        <v>20</v>
      </c>
      <c r="H155" s="26" t="s">
        <v>32</v>
      </c>
      <c r="I155" s="26">
        <v>1</v>
      </c>
      <c r="J155" s="26">
        <v>1</v>
      </c>
      <c r="K155" s="26">
        <v>1</v>
      </c>
      <c r="L155" s="26">
        <v>0</v>
      </c>
      <c r="M155" s="26">
        <v>0</v>
      </c>
      <c r="N155" s="26">
        <v>0</v>
      </c>
      <c r="O155" s="26">
        <v>0</v>
      </c>
      <c r="P155" s="26">
        <v>1</v>
      </c>
      <c r="Q155" s="35" t="s">
        <v>27</v>
      </c>
      <c r="R155" s="35" t="s">
        <v>28</v>
      </c>
    </row>
    <row r="156" spans="1:18">
      <c r="A156" s="25">
        <v>13001</v>
      </c>
      <c r="B156" s="24">
        <v>22</v>
      </c>
      <c r="C156" s="11" t="str">
        <f t="shared" si="27"/>
        <v>13001_22</v>
      </c>
      <c r="D156" s="11" t="str">
        <f>VLOOKUP(C156,[1]stages!$A:$AE,31,FALSE)</f>
        <v>singleonly</v>
      </c>
      <c r="E156" s="14">
        <v>151</v>
      </c>
      <c r="F156" s="26">
        <v>28</v>
      </c>
      <c r="G156" s="26">
        <v>20</v>
      </c>
      <c r="H156" s="26" t="s">
        <v>32</v>
      </c>
      <c r="I156" s="26">
        <v>1</v>
      </c>
      <c r="J156" s="26">
        <v>1</v>
      </c>
      <c r="K156" s="26">
        <v>1</v>
      </c>
      <c r="L156" s="26">
        <v>0</v>
      </c>
      <c r="M156" s="26">
        <v>0</v>
      </c>
      <c r="N156" s="26">
        <v>0</v>
      </c>
      <c r="O156" s="26">
        <v>0</v>
      </c>
      <c r="P156" s="26">
        <v>1</v>
      </c>
      <c r="Q156" s="35" t="s">
        <v>27</v>
      </c>
      <c r="R156" s="35" t="s">
        <v>28</v>
      </c>
    </row>
    <row r="157" spans="1:18">
      <c r="A157" s="25">
        <v>13001</v>
      </c>
      <c r="B157" s="24">
        <v>22</v>
      </c>
      <c r="C157" s="11" t="str">
        <f t="shared" si="27"/>
        <v>13001_22</v>
      </c>
      <c r="D157" s="11" t="str">
        <f>VLOOKUP(C157,[1]stages!$A:$AE,31,FALSE)</f>
        <v>singleonly</v>
      </c>
      <c r="E157" s="14">
        <v>152</v>
      </c>
      <c r="F157" s="26">
        <v>43</v>
      </c>
      <c r="G157" s="26">
        <v>20</v>
      </c>
      <c r="H157" s="26" t="s">
        <v>32</v>
      </c>
      <c r="I157" s="26">
        <v>1</v>
      </c>
      <c r="J157" s="26">
        <v>1</v>
      </c>
      <c r="K157" s="26">
        <v>1</v>
      </c>
      <c r="L157" s="26">
        <v>0</v>
      </c>
      <c r="M157" s="26">
        <v>0</v>
      </c>
      <c r="N157" s="26">
        <v>0</v>
      </c>
      <c r="O157" s="26">
        <v>0</v>
      </c>
      <c r="P157" s="26">
        <v>1</v>
      </c>
      <c r="Q157" s="35" t="s">
        <v>27</v>
      </c>
      <c r="R157" s="35" t="s">
        <v>28</v>
      </c>
    </row>
    <row r="158" spans="1:18">
      <c r="A158" s="25">
        <v>13001</v>
      </c>
      <c r="B158" s="24">
        <v>22</v>
      </c>
      <c r="C158" s="11" t="str">
        <f t="shared" si="27"/>
        <v>13001_22</v>
      </c>
      <c r="D158" s="11" t="str">
        <f>VLOOKUP(C158,[1]stages!$A:$AE,31,FALSE)</f>
        <v>singleonly</v>
      </c>
      <c r="E158" s="14">
        <v>153</v>
      </c>
      <c r="F158" s="26">
        <v>59</v>
      </c>
      <c r="G158" s="26">
        <v>20</v>
      </c>
      <c r="H158" s="26" t="s">
        <v>32</v>
      </c>
      <c r="I158" s="26">
        <v>1</v>
      </c>
      <c r="J158" s="26">
        <v>1</v>
      </c>
      <c r="K158" s="26">
        <v>1</v>
      </c>
      <c r="L158" s="26">
        <v>0</v>
      </c>
      <c r="M158" s="26">
        <v>0</v>
      </c>
      <c r="N158" s="26">
        <v>0</v>
      </c>
      <c r="O158" s="26">
        <v>0</v>
      </c>
      <c r="P158" s="26">
        <v>1</v>
      </c>
      <c r="Q158" s="35" t="s">
        <v>27</v>
      </c>
      <c r="R158" s="35" t="s">
        <v>28</v>
      </c>
    </row>
    <row r="159" spans="1:18">
      <c r="A159" s="25">
        <v>13001</v>
      </c>
      <c r="B159" s="24">
        <v>22</v>
      </c>
      <c r="C159" s="11" t="str">
        <f t="shared" si="27"/>
        <v>13001_22</v>
      </c>
      <c r="D159" s="11" t="str">
        <f>VLOOKUP(C159,[1]stages!$A:$AE,31,FALSE)</f>
        <v>singleonly</v>
      </c>
      <c r="E159" s="14">
        <v>154</v>
      </c>
      <c r="F159" s="26">
        <v>338</v>
      </c>
      <c r="G159" s="26">
        <v>100</v>
      </c>
      <c r="H159" s="26" t="s">
        <v>32</v>
      </c>
      <c r="I159" s="26">
        <v>1</v>
      </c>
      <c r="J159" s="26">
        <v>1</v>
      </c>
      <c r="K159" s="26">
        <v>1</v>
      </c>
      <c r="L159" s="26">
        <v>0</v>
      </c>
      <c r="M159" s="26">
        <v>0</v>
      </c>
      <c r="N159" s="26">
        <v>0</v>
      </c>
      <c r="O159" s="26">
        <v>0</v>
      </c>
      <c r="P159" s="26">
        <v>1</v>
      </c>
      <c r="Q159" s="35" t="s">
        <v>27</v>
      </c>
      <c r="R159" s="35" t="s">
        <v>28</v>
      </c>
    </row>
    <row r="160" spans="1:18">
      <c r="A160" s="25">
        <v>13001</v>
      </c>
      <c r="B160" s="24">
        <v>22</v>
      </c>
      <c r="C160" s="11" t="str">
        <f t="shared" ref="C160:C168" si="28">A160&amp; "_"&amp;B160</f>
        <v>13001_22</v>
      </c>
      <c r="D160" s="11" t="str">
        <f>VLOOKUP(C160,[1]stages!$A:$AE,31,FALSE)</f>
        <v>singleonly</v>
      </c>
      <c r="E160" s="14">
        <v>155</v>
      </c>
      <c r="F160" s="26">
        <v>350</v>
      </c>
      <c r="G160" s="26">
        <v>300</v>
      </c>
      <c r="H160" s="26" t="s">
        <v>32</v>
      </c>
      <c r="I160" s="26">
        <v>1</v>
      </c>
      <c r="J160" s="26">
        <v>1</v>
      </c>
      <c r="K160" s="26">
        <v>1</v>
      </c>
      <c r="L160" s="26">
        <v>0</v>
      </c>
      <c r="M160" s="26">
        <v>0</v>
      </c>
      <c r="N160" s="26">
        <v>0</v>
      </c>
      <c r="O160" s="26">
        <v>0</v>
      </c>
      <c r="P160" s="26">
        <v>1</v>
      </c>
      <c r="Q160" s="35" t="s">
        <v>27</v>
      </c>
      <c r="R160" s="35" t="s">
        <v>28</v>
      </c>
    </row>
    <row r="161" spans="1:18">
      <c r="A161" s="19">
        <v>13001</v>
      </c>
      <c r="B161" s="20">
        <v>23</v>
      </c>
      <c r="C161" s="9" t="str">
        <f t="shared" si="28"/>
        <v>13001_23</v>
      </c>
      <c r="D161" s="9" t="str">
        <f>VLOOKUP(C161,[1]stages!$A:$AE,31,FALSE)</f>
        <v>singleonly</v>
      </c>
      <c r="E161" s="14">
        <v>156</v>
      </c>
      <c r="F161" s="28">
        <v>1600</v>
      </c>
      <c r="G161" s="20">
        <v>200</v>
      </c>
      <c r="H161" s="20" t="s">
        <v>33</v>
      </c>
      <c r="I161" s="20" t="s">
        <v>37</v>
      </c>
      <c r="J161" s="20">
        <v>1</v>
      </c>
      <c r="K161" s="20">
        <v>1</v>
      </c>
      <c r="L161" s="20">
        <v>0</v>
      </c>
      <c r="M161" s="20">
        <v>0</v>
      </c>
      <c r="N161" s="20">
        <v>0</v>
      </c>
      <c r="O161" s="20">
        <v>0</v>
      </c>
      <c r="P161" s="20">
        <v>1</v>
      </c>
      <c r="Q161" s="35" t="s">
        <v>27</v>
      </c>
      <c r="R161" s="35" t="s">
        <v>28</v>
      </c>
    </row>
    <row r="162" spans="1:18">
      <c r="A162" s="21">
        <v>13001</v>
      </c>
      <c r="B162" s="20">
        <v>23</v>
      </c>
      <c r="C162" s="9" t="str">
        <f t="shared" si="28"/>
        <v>13001_23</v>
      </c>
      <c r="D162" s="9" t="str">
        <f>VLOOKUP(C162,[1]stages!$A:$AE,31,FALSE)</f>
        <v>singleonly</v>
      </c>
      <c r="E162" s="14">
        <v>157</v>
      </c>
      <c r="F162" s="22">
        <v>25</v>
      </c>
      <c r="G162" s="22">
        <v>300</v>
      </c>
      <c r="H162" s="22" t="s">
        <v>34</v>
      </c>
      <c r="I162" s="22" t="s">
        <v>37</v>
      </c>
      <c r="J162" s="22">
        <v>1</v>
      </c>
      <c r="K162" s="22">
        <v>1</v>
      </c>
      <c r="L162" s="22">
        <v>0</v>
      </c>
      <c r="M162" s="22">
        <v>0</v>
      </c>
      <c r="N162" s="22">
        <v>0</v>
      </c>
      <c r="O162" s="22">
        <v>0</v>
      </c>
      <c r="P162" s="22">
        <v>1</v>
      </c>
      <c r="Q162" s="35" t="s">
        <v>27</v>
      </c>
      <c r="R162" s="35" t="s">
        <v>28</v>
      </c>
    </row>
    <row r="163" spans="1:18">
      <c r="A163" s="21">
        <v>13001</v>
      </c>
      <c r="B163" s="20">
        <v>23</v>
      </c>
      <c r="C163" s="9" t="str">
        <f t="shared" si="28"/>
        <v>13001_23</v>
      </c>
      <c r="D163" s="9" t="str">
        <f>VLOOKUP(C163,[1]stages!$A:$AE,31,FALSE)</f>
        <v>singleonly</v>
      </c>
      <c r="E163" s="14">
        <v>158</v>
      </c>
      <c r="F163" s="22">
        <v>13</v>
      </c>
      <c r="G163" s="22">
        <v>20</v>
      </c>
      <c r="H163" s="22" t="s">
        <v>32</v>
      </c>
      <c r="I163" s="22">
        <v>1</v>
      </c>
      <c r="J163" s="22">
        <v>1</v>
      </c>
      <c r="K163" s="22">
        <v>1</v>
      </c>
      <c r="L163" s="22">
        <v>0</v>
      </c>
      <c r="M163" s="22">
        <v>0</v>
      </c>
      <c r="N163" s="22">
        <v>0</v>
      </c>
      <c r="O163" s="22">
        <v>0</v>
      </c>
      <c r="P163" s="22">
        <v>1</v>
      </c>
      <c r="Q163" s="35" t="s">
        <v>27</v>
      </c>
      <c r="R163" s="35" t="s">
        <v>28</v>
      </c>
    </row>
    <row r="164" spans="1:18">
      <c r="A164" s="21">
        <v>13001</v>
      </c>
      <c r="B164" s="20">
        <v>23</v>
      </c>
      <c r="C164" s="9" t="str">
        <f t="shared" si="28"/>
        <v>13001_23</v>
      </c>
      <c r="D164" s="9" t="str">
        <f>VLOOKUP(C164,[1]stages!$A:$AE,31,FALSE)</f>
        <v>singleonly</v>
      </c>
      <c r="E164" s="14">
        <v>160</v>
      </c>
      <c r="F164" s="22">
        <v>19</v>
      </c>
      <c r="G164" s="22">
        <v>20</v>
      </c>
      <c r="H164" s="22" t="s">
        <v>32</v>
      </c>
      <c r="I164" s="22">
        <v>1</v>
      </c>
      <c r="J164" s="22">
        <v>1</v>
      </c>
      <c r="K164" s="22">
        <v>1</v>
      </c>
      <c r="L164" s="22">
        <v>0</v>
      </c>
      <c r="M164" s="22">
        <v>0</v>
      </c>
      <c r="N164" s="22">
        <v>0</v>
      </c>
      <c r="O164" s="22">
        <v>0</v>
      </c>
      <c r="P164" s="22">
        <v>1</v>
      </c>
      <c r="Q164" s="35" t="s">
        <v>27</v>
      </c>
      <c r="R164" s="35" t="s">
        <v>28</v>
      </c>
    </row>
    <row r="165" spans="1:18">
      <c r="A165" s="21">
        <v>13001</v>
      </c>
      <c r="B165" s="20">
        <v>23</v>
      </c>
      <c r="C165" s="9" t="str">
        <f t="shared" si="28"/>
        <v>13001_23</v>
      </c>
      <c r="D165" s="9" t="str">
        <f>VLOOKUP(C165,[1]stages!$A:$AE,31,FALSE)</f>
        <v>singleonly</v>
      </c>
      <c r="E165" s="14">
        <v>162</v>
      </c>
      <c r="F165" s="22">
        <v>32</v>
      </c>
      <c r="G165" s="22">
        <v>20</v>
      </c>
      <c r="H165" s="22" t="s">
        <v>32</v>
      </c>
      <c r="I165" s="22">
        <v>1</v>
      </c>
      <c r="J165" s="22">
        <v>1</v>
      </c>
      <c r="K165" s="22">
        <v>1</v>
      </c>
      <c r="L165" s="22">
        <v>0</v>
      </c>
      <c r="M165" s="22">
        <v>0</v>
      </c>
      <c r="N165" s="22">
        <v>0</v>
      </c>
      <c r="O165" s="22">
        <v>0</v>
      </c>
      <c r="P165" s="22">
        <v>1</v>
      </c>
      <c r="Q165" s="35" t="s">
        <v>27</v>
      </c>
      <c r="R165" s="35" t="s">
        <v>28</v>
      </c>
    </row>
    <row r="166" spans="1:18">
      <c r="A166" s="21">
        <v>13001</v>
      </c>
      <c r="B166" s="20">
        <v>23</v>
      </c>
      <c r="C166" s="9" t="str">
        <f t="shared" si="28"/>
        <v>13001_23</v>
      </c>
      <c r="D166" s="9" t="str">
        <f>VLOOKUP(C166,[1]stages!$A:$AE,31,FALSE)</f>
        <v>singleonly</v>
      </c>
      <c r="E166" s="14">
        <v>163</v>
      </c>
      <c r="F166" s="22">
        <v>39</v>
      </c>
      <c r="G166" s="22">
        <v>20</v>
      </c>
      <c r="H166" s="22" t="s">
        <v>32</v>
      </c>
      <c r="I166" s="22">
        <v>1</v>
      </c>
      <c r="J166" s="22">
        <v>1</v>
      </c>
      <c r="K166" s="22">
        <v>1</v>
      </c>
      <c r="L166" s="22">
        <v>0</v>
      </c>
      <c r="M166" s="22">
        <v>0</v>
      </c>
      <c r="N166" s="22">
        <v>0</v>
      </c>
      <c r="O166" s="22">
        <v>0</v>
      </c>
      <c r="P166" s="22">
        <v>1</v>
      </c>
      <c r="Q166" s="35" t="s">
        <v>27</v>
      </c>
      <c r="R166" s="35" t="s">
        <v>28</v>
      </c>
    </row>
    <row r="167" spans="1:18">
      <c r="A167" s="21">
        <v>13001</v>
      </c>
      <c r="B167" s="20">
        <v>23</v>
      </c>
      <c r="C167" s="9" t="str">
        <f t="shared" si="28"/>
        <v>13001_23</v>
      </c>
      <c r="D167" s="9" t="str">
        <f>VLOOKUP(C167,[1]stages!$A:$AE,31,FALSE)</f>
        <v>singleonly</v>
      </c>
      <c r="E167" s="14">
        <v>164</v>
      </c>
      <c r="F167" s="22">
        <v>47</v>
      </c>
      <c r="G167" s="22">
        <v>20</v>
      </c>
      <c r="H167" s="22" t="s">
        <v>32</v>
      </c>
      <c r="I167" s="22">
        <v>1</v>
      </c>
      <c r="J167" s="22">
        <v>1</v>
      </c>
      <c r="K167" s="22">
        <v>1</v>
      </c>
      <c r="L167" s="22">
        <v>0</v>
      </c>
      <c r="M167" s="22">
        <v>0</v>
      </c>
      <c r="N167" s="22">
        <v>0</v>
      </c>
      <c r="O167" s="22">
        <v>0</v>
      </c>
      <c r="P167" s="22">
        <v>1</v>
      </c>
      <c r="Q167" s="35" t="s">
        <v>27</v>
      </c>
      <c r="R167" s="35" t="s">
        <v>28</v>
      </c>
    </row>
    <row r="168" spans="1:18">
      <c r="A168" s="21">
        <v>13001</v>
      </c>
      <c r="B168" s="20">
        <v>23</v>
      </c>
      <c r="C168" s="9" t="str">
        <f t="shared" si="28"/>
        <v>13001_23</v>
      </c>
      <c r="D168" s="9" t="str">
        <f>VLOOKUP(C168,[1]stages!$A:$AE,31,FALSE)</f>
        <v>singleonly</v>
      </c>
      <c r="E168" s="14">
        <v>165</v>
      </c>
      <c r="F168" s="22">
        <v>346</v>
      </c>
      <c r="G168" s="22">
        <v>100</v>
      </c>
      <c r="H168" s="22" t="s">
        <v>32</v>
      </c>
      <c r="I168" s="22">
        <v>1</v>
      </c>
      <c r="J168" s="22">
        <v>1</v>
      </c>
      <c r="K168" s="22">
        <v>1</v>
      </c>
      <c r="L168" s="22">
        <v>0</v>
      </c>
      <c r="M168" s="22">
        <v>0</v>
      </c>
      <c r="N168" s="22">
        <v>0</v>
      </c>
      <c r="O168" s="22">
        <v>0</v>
      </c>
      <c r="P168" s="22">
        <v>1</v>
      </c>
      <c r="Q168" s="35" t="s">
        <v>27</v>
      </c>
      <c r="R168" s="35" t="s">
        <v>28</v>
      </c>
    </row>
    <row r="169" spans="1:18">
      <c r="A169" s="21">
        <v>13001</v>
      </c>
      <c r="B169" s="20">
        <v>23</v>
      </c>
      <c r="C169" s="9" t="str">
        <f t="shared" ref="C169:C177" si="29">A169&amp; "_"&amp;B169</f>
        <v>13001_23</v>
      </c>
      <c r="D169" s="9" t="str">
        <f>VLOOKUP(C169,[1]stages!$A:$AE,31,FALSE)</f>
        <v>singleonly</v>
      </c>
      <c r="E169" s="14">
        <v>166</v>
      </c>
      <c r="F169" s="22">
        <v>354</v>
      </c>
      <c r="G169" s="22">
        <v>300</v>
      </c>
      <c r="H169" s="22" t="s">
        <v>32</v>
      </c>
      <c r="I169" s="22">
        <v>1</v>
      </c>
      <c r="J169" s="22">
        <v>1</v>
      </c>
      <c r="K169" s="22">
        <v>1</v>
      </c>
      <c r="L169" s="22">
        <v>0</v>
      </c>
      <c r="M169" s="22">
        <v>0</v>
      </c>
      <c r="N169" s="22">
        <v>0</v>
      </c>
      <c r="O169" s="22">
        <v>0</v>
      </c>
      <c r="P169" s="22">
        <v>1</v>
      </c>
      <c r="Q169" s="35" t="s">
        <v>27</v>
      </c>
      <c r="R169" s="35" t="s">
        <v>28</v>
      </c>
    </row>
    <row r="170" spans="1:18">
      <c r="A170" s="31">
        <v>13001</v>
      </c>
      <c r="B170" s="32">
        <v>24</v>
      </c>
      <c r="C170" s="13" t="str">
        <f t="shared" si="29"/>
        <v>13001_24</v>
      </c>
      <c r="D170" s="13" t="str">
        <f>VLOOKUP(C170,[1]stages!$A:$AE,31,FALSE)</f>
        <v>singleonly</v>
      </c>
      <c r="E170" s="14">
        <v>167</v>
      </c>
      <c r="F170" s="28">
        <v>1600</v>
      </c>
      <c r="G170" s="32">
        <v>200</v>
      </c>
      <c r="H170" s="32" t="s">
        <v>33</v>
      </c>
      <c r="I170" s="32" t="s">
        <v>37</v>
      </c>
      <c r="J170" s="32">
        <v>1</v>
      </c>
      <c r="K170" s="32">
        <v>1</v>
      </c>
      <c r="L170" s="32">
        <v>0</v>
      </c>
      <c r="M170" s="32">
        <v>0</v>
      </c>
      <c r="N170" s="32">
        <v>0</v>
      </c>
      <c r="O170" s="32">
        <v>0</v>
      </c>
      <c r="P170" s="32">
        <v>1</v>
      </c>
      <c r="Q170" s="35" t="s">
        <v>27</v>
      </c>
      <c r="R170" s="35" t="s">
        <v>28</v>
      </c>
    </row>
    <row r="171" spans="1:18">
      <c r="A171" s="33">
        <v>13001</v>
      </c>
      <c r="B171" s="32">
        <v>24</v>
      </c>
      <c r="C171" s="13" t="str">
        <f t="shared" si="29"/>
        <v>13001_24</v>
      </c>
      <c r="D171" s="13" t="str">
        <f>VLOOKUP(C171,[1]stages!$A:$AE,31,FALSE)</f>
        <v>singleonly</v>
      </c>
      <c r="E171" s="14">
        <v>168</v>
      </c>
      <c r="F171" s="34">
        <v>25</v>
      </c>
      <c r="G171" s="34">
        <v>300</v>
      </c>
      <c r="H171" s="34" t="s">
        <v>34</v>
      </c>
      <c r="I171" s="34" t="s">
        <v>37</v>
      </c>
      <c r="J171" s="34">
        <v>1</v>
      </c>
      <c r="K171" s="34">
        <v>1</v>
      </c>
      <c r="L171" s="34">
        <v>0</v>
      </c>
      <c r="M171" s="34">
        <v>0</v>
      </c>
      <c r="N171" s="34">
        <v>0</v>
      </c>
      <c r="O171" s="34">
        <v>0</v>
      </c>
      <c r="P171" s="34">
        <v>1</v>
      </c>
      <c r="Q171" s="35" t="s">
        <v>27</v>
      </c>
      <c r="R171" s="35" t="s">
        <v>28</v>
      </c>
    </row>
    <row r="172" spans="1:18">
      <c r="A172" s="33">
        <v>13001</v>
      </c>
      <c r="B172" s="32">
        <v>24</v>
      </c>
      <c r="C172" s="13" t="str">
        <f t="shared" si="29"/>
        <v>13001_24</v>
      </c>
      <c r="D172" s="13" t="str">
        <f>VLOOKUP(C172,[1]stages!$A:$AE,31,FALSE)</f>
        <v>singleonly</v>
      </c>
      <c r="E172" s="14">
        <v>169</v>
      </c>
      <c r="F172" s="34">
        <v>17</v>
      </c>
      <c r="G172" s="34">
        <v>20</v>
      </c>
      <c r="H172" s="34" t="s">
        <v>32</v>
      </c>
      <c r="I172" s="34">
        <v>1</v>
      </c>
      <c r="J172" s="34">
        <v>1</v>
      </c>
      <c r="K172" s="34">
        <v>1</v>
      </c>
      <c r="L172" s="34">
        <v>0</v>
      </c>
      <c r="M172" s="34">
        <v>0</v>
      </c>
      <c r="N172" s="34">
        <v>0</v>
      </c>
      <c r="O172" s="34">
        <v>0</v>
      </c>
      <c r="P172" s="34">
        <v>1</v>
      </c>
      <c r="Q172" s="35" t="s">
        <v>27</v>
      </c>
      <c r="R172" s="35" t="s">
        <v>28</v>
      </c>
    </row>
    <row r="173" spans="1:18">
      <c r="A173" s="33">
        <v>13001</v>
      </c>
      <c r="B173" s="32">
        <v>24</v>
      </c>
      <c r="C173" s="13" t="str">
        <f t="shared" si="29"/>
        <v>13001_24</v>
      </c>
      <c r="D173" s="13" t="str">
        <f>VLOOKUP(C173,[1]stages!$A:$AE,31,FALSE)</f>
        <v>singleonly</v>
      </c>
      <c r="E173" s="14">
        <v>171</v>
      </c>
      <c r="F173" s="34">
        <v>25</v>
      </c>
      <c r="G173" s="34">
        <v>20</v>
      </c>
      <c r="H173" s="34" t="s">
        <v>32</v>
      </c>
      <c r="I173" s="34">
        <v>1</v>
      </c>
      <c r="J173" s="34">
        <v>1</v>
      </c>
      <c r="K173" s="34">
        <v>1</v>
      </c>
      <c r="L173" s="34">
        <v>0</v>
      </c>
      <c r="M173" s="34">
        <v>0</v>
      </c>
      <c r="N173" s="34">
        <v>0</v>
      </c>
      <c r="O173" s="34">
        <v>0</v>
      </c>
      <c r="P173" s="34">
        <v>1</v>
      </c>
      <c r="Q173" s="35" t="s">
        <v>27</v>
      </c>
      <c r="R173" s="35" t="s">
        <v>28</v>
      </c>
    </row>
    <row r="174" spans="1:18">
      <c r="A174" s="33">
        <v>13001</v>
      </c>
      <c r="B174" s="32">
        <v>24</v>
      </c>
      <c r="C174" s="13" t="str">
        <f t="shared" si="29"/>
        <v>13001_24</v>
      </c>
      <c r="D174" s="13" t="str">
        <f>VLOOKUP(C174,[1]stages!$A:$AE,31,FALSE)</f>
        <v>singleonly</v>
      </c>
      <c r="E174" s="14">
        <v>173</v>
      </c>
      <c r="F174" s="34">
        <v>30</v>
      </c>
      <c r="G174" s="34">
        <v>20</v>
      </c>
      <c r="H174" s="34" t="s">
        <v>32</v>
      </c>
      <c r="I174" s="34">
        <v>1</v>
      </c>
      <c r="J174" s="34">
        <v>1</v>
      </c>
      <c r="K174" s="34">
        <v>1</v>
      </c>
      <c r="L174" s="34">
        <v>0</v>
      </c>
      <c r="M174" s="34">
        <v>0</v>
      </c>
      <c r="N174" s="34">
        <v>0</v>
      </c>
      <c r="O174" s="34">
        <v>0</v>
      </c>
      <c r="P174" s="34">
        <v>1</v>
      </c>
      <c r="Q174" s="35" t="s">
        <v>27</v>
      </c>
      <c r="R174" s="35" t="s">
        <v>28</v>
      </c>
    </row>
    <row r="175" spans="1:18">
      <c r="A175" s="33">
        <v>13001</v>
      </c>
      <c r="B175" s="32">
        <v>24</v>
      </c>
      <c r="C175" s="13" t="str">
        <f t="shared" si="29"/>
        <v>13001_24</v>
      </c>
      <c r="D175" s="13" t="str">
        <f>VLOOKUP(C175,[1]stages!$A:$AE,31,FALSE)</f>
        <v>singleonly</v>
      </c>
      <c r="E175" s="14">
        <v>174</v>
      </c>
      <c r="F175" s="34">
        <v>37</v>
      </c>
      <c r="G175" s="34">
        <v>20</v>
      </c>
      <c r="H175" s="34" t="s">
        <v>32</v>
      </c>
      <c r="I175" s="34">
        <v>1</v>
      </c>
      <c r="J175" s="34">
        <v>1</v>
      </c>
      <c r="K175" s="34">
        <v>1</v>
      </c>
      <c r="L175" s="34">
        <v>0</v>
      </c>
      <c r="M175" s="34">
        <v>0</v>
      </c>
      <c r="N175" s="34">
        <v>0</v>
      </c>
      <c r="O175" s="34">
        <v>0</v>
      </c>
      <c r="P175" s="34">
        <v>1</v>
      </c>
      <c r="Q175" s="35" t="s">
        <v>27</v>
      </c>
      <c r="R175" s="35" t="s">
        <v>28</v>
      </c>
    </row>
    <row r="176" spans="1:18">
      <c r="A176" s="33">
        <v>13001</v>
      </c>
      <c r="B176" s="32">
        <v>24</v>
      </c>
      <c r="C176" s="13" t="str">
        <f t="shared" si="29"/>
        <v>13001_24</v>
      </c>
      <c r="D176" s="13" t="str">
        <f>VLOOKUP(C176,[1]stages!$A:$AE,31,FALSE)</f>
        <v>singleonly</v>
      </c>
      <c r="E176" s="14">
        <v>175</v>
      </c>
      <c r="F176" s="34">
        <v>45</v>
      </c>
      <c r="G176" s="34">
        <v>20</v>
      </c>
      <c r="H176" s="34" t="s">
        <v>32</v>
      </c>
      <c r="I176" s="34">
        <v>1</v>
      </c>
      <c r="J176" s="34">
        <v>1</v>
      </c>
      <c r="K176" s="34">
        <v>1</v>
      </c>
      <c r="L176" s="34">
        <v>0</v>
      </c>
      <c r="M176" s="34">
        <v>0</v>
      </c>
      <c r="N176" s="34">
        <v>0</v>
      </c>
      <c r="O176" s="34">
        <v>0</v>
      </c>
      <c r="P176" s="34">
        <v>1</v>
      </c>
      <c r="Q176" s="35" t="s">
        <v>27</v>
      </c>
      <c r="R176" s="35" t="s">
        <v>28</v>
      </c>
    </row>
    <row r="177" spans="1:18">
      <c r="A177" s="33">
        <v>13001</v>
      </c>
      <c r="B177" s="32">
        <v>24</v>
      </c>
      <c r="C177" s="13" t="str">
        <f t="shared" si="29"/>
        <v>13001_24</v>
      </c>
      <c r="D177" s="13" t="str">
        <f>VLOOKUP(C177,[1]stages!$A:$AE,31,FALSE)</f>
        <v>singleonly</v>
      </c>
      <c r="E177" s="14">
        <v>176</v>
      </c>
      <c r="F177" s="34">
        <v>342</v>
      </c>
      <c r="G177" s="34">
        <v>100</v>
      </c>
      <c r="H177" s="34" t="s">
        <v>32</v>
      </c>
      <c r="I177" s="34">
        <v>1</v>
      </c>
      <c r="J177" s="34">
        <v>1</v>
      </c>
      <c r="K177" s="34">
        <v>1</v>
      </c>
      <c r="L177" s="34">
        <v>0</v>
      </c>
      <c r="M177" s="34">
        <v>0</v>
      </c>
      <c r="N177" s="34">
        <v>0</v>
      </c>
      <c r="O177" s="34">
        <v>0</v>
      </c>
      <c r="P177" s="34">
        <v>1</v>
      </c>
      <c r="Q177" s="35" t="s">
        <v>27</v>
      </c>
      <c r="R177" s="35" t="s">
        <v>28</v>
      </c>
    </row>
    <row r="178" spans="1:18">
      <c r="A178" s="33">
        <v>13001</v>
      </c>
      <c r="B178" s="32">
        <v>24</v>
      </c>
      <c r="C178" s="13" t="str">
        <f t="shared" ref="C178:C187" si="30">A178&amp; "_"&amp;B178</f>
        <v>13001_24</v>
      </c>
      <c r="D178" s="13" t="str">
        <f>VLOOKUP(C178,[1]stages!$A:$AE,31,FALSE)</f>
        <v>singleonly</v>
      </c>
      <c r="E178" s="14">
        <v>177</v>
      </c>
      <c r="F178" s="34">
        <v>352</v>
      </c>
      <c r="G178" s="34">
        <v>300</v>
      </c>
      <c r="H178" s="34" t="s">
        <v>32</v>
      </c>
      <c r="I178" s="34">
        <v>1</v>
      </c>
      <c r="J178" s="34">
        <v>1</v>
      </c>
      <c r="K178" s="34">
        <v>1</v>
      </c>
      <c r="L178" s="34">
        <v>0</v>
      </c>
      <c r="M178" s="34">
        <v>0</v>
      </c>
      <c r="N178" s="34">
        <v>0</v>
      </c>
      <c r="O178" s="34">
        <v>0</v>
      </c>
      <c r="P178" s="34">
        <v>1</v>
      </c>
      <c r="Q178" s="35" t="s">
        <v>27</v>
      </c>
      <c r="R178" s="35" t="s">
        <v>28</v>
      </c>
    </row>
    <row r="179" spans="1:18">
      <c r="A179" s="27">
        <v>13001</v>
      </c>
      <c r="B179" s="28">
        <v>25</v>
      </c>
      <c r="C179" s="10" t="str">
        <f t="shared" si="30"/>
        <v>13001_25</v>
      </c>
      <c r="D179" s="10" t="str">
        <f>VLOOKUP(C179,[1]stages!$A:$AE,31,FALSE)</f>
        <v>singleonly</v>
      </c>
      <c r="E179" s="14">
        <v>178</v>
      </c>
      <c r="F179" s="28">
        <v>1600</v>
      </c>
      <c r="G179" s="28">
        <v>150</v>
      </c>
      <c r="H179" s="28" t="s">
        <v>33</v>
      </c>
      <c r="I179" s="28" t="s">
        <v>37</v>
      </c>
      <c r="J179" s="28">
        <v>1</v>
      </c>
      <c r="K179" s="28">
        <v>1</v>
      </c>
      <c r="L179" s="28">
        <v>0</v>
      </c>
      <c r="M179" s="28">
        <v>0</v>
      </c>
      <c r="N179" s="28">
        <v>0</v>
      </c>
      <c r="O179" s="28">
        <v>0</v>
      </c>
      <c r="P179" s="28">
        <v>1</v>
      </c>
      <c r="Q179" s="35" t="s">
        <v>27</v>
      </c>
      <c r="R179" s="35" t="s">
        <v>28</v>
      </c>
    </row>
    <row r="180" spans="1:18">
      <c r="A180" s="29">
        <v>13001</v>
      </c>
      <c r="B180" s="28">
        <v>25</v>
      </c>
      <c r="C180" s="10" t="str">
        <f t="shared" si="30"/>
        <v>13001_25</v>
      </c>
      <c r="D180" s="10" t="str">
        <f>VLOOKUP(C180,[1]stages!$A:$AE,31,FALSE)</f>
        <v>singleonly</v>
      </c>
      <c r="E180" s="14">
        <v>179</v>
      </c>
      <c r="F180" s="30">
        <v>25</v>
      </c>
      <c r="G180" s="30">
        <v>150</v>
      </c>
      <c r="H180" s="30" t="s">
        <v>34</v>
      </c>
      <c r="I180" s="30" t="s">
        <v>37</v>
      </c>
      <c r="J180" s="30">
        <v>1</v>
      </c>
      <c r="K180" s="30">
        <v>1</v>
      </c>
      <c r="L180" s="30">
        <v>0</v>
      </c>
      <c r="M180" s="30">
        <v>0</v>
      </c>
      <c r="N180" s="30">
        <v>0</v>
      </c>
      <c r="O180" s="30">
        <v>0</v>
      </c>
      <c r="P180" s="30">
        <v>1</v>
      </c>
      <c r="Q180" s="35" t="s">
        <v>27</v>
      </c>
      <c r="R180" s="35" t="s">
        <v>28</v>
      </c>
    </row>
    <row r="181" spans="1:18">
      <c r="A181" s="29">
        <v>13001</v>
      </c>
      <c r="B181" s="28">
        <v>25</v>
      </c>
      <c r="C181" s="10" t="str">
        <f t="shared" si="30"/>
        <v>13001_25</v>
      </c>
      <c r="D181" s="10" t="str">
        <f>VLOOKUP(C181,[1]stages!$A:$AE,31,FALSE)</f>
        <v>singleonly</v>
      </c>
      <c r="E181" s="14">
        <v>180</v>
      </c>
      <c r="F181" s="30">
        <v>334</v>
      </c>
      <c r="G181" s="30">
        <v>140</v>
      </c>
      <c r="H181" s="30" t="s">
        <v>32</v>
      </c>
      <c r="I181" s="30">
        <v>1</v>
      </c>
      <c r="J181" s="30">
        <v>1</v>
      </c>
      <c r="K181" s="30">
        <v>1</v>
      </c>
      <c r="L181" s="30">
        <v>0</v>
      </c>
      <c r="M181" s="30">
        <v>0</v>
      </c>
      <c r="N181" s="30">
        <v>0</v>
      </c>
      <c r="O181" s="30">
        <v>0</v>
      </c>
      <c r="P181" s="30">
        <v>1</v>
      </c>
      <c r="Q181" s="35" t="s">
        <v>27</v>
      </c>
      <c r="R181" s="35" t="s">
        <v>28</v>
      </c>
    </row>
    <row r="182" spans="1:18">
      <c r="A182" s="29">
        <v>13001</v>
      </c>
      <c r="B182" s="28">
        <v>25</v>
      </c>
      <c r="C182" s="10" t="str">
        <f t="shared" ref="C182:C185" si="31">A182&amp; "_"&amp;B182</f>
        <v>13001_25</v>
      </c>
      <c r="D182" s="10" t="str">
        <f>VLOOKUP(C182,[1]stages!$A:$AE,31,FALSE)</f>
        <v>singleonly</v>
      </c>
      <c r="E182" s="14">
        <v>183</v>
      </c>
      <c r="F182" s="30">
        <v>121</v>
      </c>
      <c r="G182" s="30">
        <v>50</v>
      </c>
      <c r="H182" s="30" t="s">
        <v>32</v>
      </c>
      <c r="I182" s="30">
        <v>1</v>
      </c>
      <c r="J182" s="30">
        <v>1</v>
      </c>
      <c r="K182" s="30">
        <v>1</v>
      </c>
      <c r="L182" s="30">
        <v>0</v>
      </c>
      <c r="M182" s="30">
        <v>0</v>
      </c>
      <c r="N182" s="30">
        <v>0</v>
      </c>
      <c r="O182" s="30">
        <v>0</v>
      </c>
      <c r="P182" s="30">
        <v>1</v>
      </c>
      <c r="Q182" s="35" t="s">
        <v>27</v>
      </c>
      <c r="R182" s="35" t="s">
        <v>28</v>
      </c>
    </row>
    <row r="183" spans="1:18">
      <c r="A183" s="29">
        <v>13001</v>
      </c>
      <c r="B183" s="28">
        <v>25</v>
      </c>
      <c r="C183" s="10" t="str">
        <f t="shared" si="31"/>
        <v>13001_25</v>
      </c>
      <c r="D183" s="10" t="str">
        <f>VLOOKUP(C183,[1]stages!$A:$AE,31,FALSE)</f>
        <v>singleonly</v>
      </c>
      <c r="E183" s="14">
        <v>184</v>
      </c>
      <c r="F183" s="30">
        <v>122</v>
      </c>
      <c r="G183" s="30">
        <v>50</v>
      </c>
      <c r="H183" s="30" t="s">
        <v>32</v>
      </c>
      <c r="I183" s="30">
        <v>1</v>
      </c>
      <c r="J183" s="30">
        <v>1</v>
      </c>
      <c r="K183" s="30">
        <v>1</v>
      </c>
      <c r="L183" s="30">
        <v>0</v>
      </c>
      <c r="M183" s="30">
        <v>0</v>
      </c>
      <c r="N183" s="30">
        <v>0</v>
      </c>
      <c r="O183" s="30">
        <v>0</v>
      </c>
      <c r="P183" s="30">
        <v>1</v>
      </c>
      <c r="Q183" s="35" t="s">
        <v>27</v>
      </c>
      <c r="R183" s="35" t="s">
        <v>28</v>
      </c>
    </row>
    <row r="184" spans="1:18">
      <c r="A184" s="29">
        <v>13001</v>
      </c>
      <c r="B184" s="28">
        <v>25</v>
      </c>
      <c r="C184" s="10" t="str">
        <f t="shared" si="31"/>
        <v>13001_25</v>
      </c>
      <c r="D184" s="10" t="str">
        <f>VLOOKUP(C184,[1]stages!$A:$AE,31,FALSE)</f>
        <v>singleonly</v>
      </c>
      <c r="E184" s="14">
        <v>185</v>
      </c>
      <c r="F184" s="30">
        <v>123</v>
      </c>
      <c r="G184" s="30">
        <v>50</v>
      </c>
      <c r="H184" s="30" t="s">
        <v>32</v>
      </c>
      <c r="I184" s="30">
        <v>1</v>
      </c>
      <c r="J184" s="30">
        <v>1</v>
      </c>
      <c r="K184" s="30">
        <v>1</v>
      </c>
      <c r="L184" s="30">
        <v>0</v>
      </c>
      <c r="M184" s="30">
        <v>0</v>
      </c>
      <c r="N184" s="30">
        <v>0</v>
      </c>
      <c r="O184" s="30">
        <v>0</v>
      </c>
      <c r="P184" s="30">
        <v>1</v>
      </c>
      <c r="Q184" s="35" t="s">
        <v>27</v>
      </c>
      <c r="R184" s="35" t="s">
        <v>28</v>
      </c>
    </row>
    <row r="185" spans="1:18">
      <c r="A185" s="29">
        <v>13001</v>
      </c>
      <c r="B185" s="28">
        <v>25</v>
      </c>
      <c r="C185" s="10" t="str">
        <f t="shared" si="31"/>
        <v>13001_25</v>
      </c>
      <c r="D185" s="10" t="str">
        <f>VLOOKUP(C185,[1]stages!$A:$AE,31,FALSE)</f>
        <v>singleonly</v>
      </c>
      <c r="E185" s="14">
        <v>186</v>
      </c>
      <c r="F185" s="30">
        <v>125</v>
      </c>
      <c r="G185" s="30">
        <v>10</v>
      </c>
      <c r="H185" s="30" t="s">
        <v>32</v>
      </c>
      <c r="I185" s="30">
        <v>1</v>
      </c>
      <c r="J185" s="30">
        <v>1</v>
      </c>
      <c r="K185" s="30">
        <v>1</v>
      </c>
      <c r="L185" s="30">
        <v>0</v>
      </c>
      <c r="M185" s="30">
        <v>0</v>
      </c>
      <c r="N185" s="30">
        <v>0</v>
      </c>
      <c r="O185" s="30">
        <v>0</v>
      </c>
      <c r="P185" s="30">
        <v>1</v>
      </c>
      <c r="Q185" s="35" t="s">
        <v>27</v>
      </c>
      <c r="R185" s="35" t="s">
        <v>28</v>
      </c>
    </row>
    <row r="186" spans="1:18">
      <c r="A186" s="29">
        <v>13001</v>
      </c>
      <c r="B186" s="28">
        <v>25</v>
      </c>
      <c r="C186" s="10" t="str">
        <f t="shared" si="30"/>
        <v>13001_25</v>
      </c>
      <c r="D186" s="10" t="str">
        <f>VLOOKUP(C186,[1]stages!$A:$AE,31,FALSE)</f>
        <v>singleonly</v>
      </c>
      <c r="E186" s="14">
        <v>181</v>
      </c>
      <c r="F186" s="30">
        <v>348</v>
      </c>
      <c r="G186" s="30">
        <v>150</v>
      </c>
      <c r="H186" s="30" t="s">
        <v>32</v>
      </c>
      <c r="I186" s="30">
        <v>1</v>
      </c>
      <c r="J186" s="30">
        <v>1</v>
      </c>
      <c r="K186" s="30">
        <v>1</v>
      </c>
      <c r="L186" s="30">
        <v>0</v>
      </c>
      <c r="M186" s="30">
        <v>0</v>
      </c>
      <c r="N186" s="30">
        <v>0</v>
      </c>
      <c r="O186" s="30">
        <v>0</v>
      </c>
      <c r="P186" s="30">
        <v>1</v>
      </c>
      <c r="Q186" s="35" t="s">
        <v>27</v>
      </c>
      <c r="R186" s="35" t="s">
        <v>28</v>
      </c>
    </row>
    <row r="187" spans="1:18">
      <c r="A187" s="29">
        <v>13001</v>
      </c>
      <c r="B187" s="28">
        <v>25</v>
      </c>
      <c r="C187" s="10" t="str">
        <f t="shared" si="30"/>
        <v>13001_25</v>
      </c>
      <c r="D187" s="10" t="str">
        <f>VLOOKUP(C187,[1]stages!$A:$AE,31,FALSE)</f>
        <v>singleonly</v>
      </c>
      <c r="E187" s="14">
        <v>182</v>
      </c>
      <c r="F187" s="30">
        <v>368</v>
      </c>
      <c r="G187" s="30">
        <v>250</v>
      </c>
      <c r="H187" s="30" t="s">
        <v>32</v>
      </c>
      <c r="I187" s="30">
        <v>1</v>
      </c>
      <c r="J187" s="30">
        <v>1</v>
      </c>
      <c r="K187" s="30">
        <v>1</v>
      </c>
      <c r="L187" s="30">
        <v>0</v>
      </c>
      <c r="M187" s="30">
        <v>0</v>
      </c>
      <c r="N187" s="30">
        <v>0</v>
      </c>
      <c r="O187" s="30">
        <v>0</v>
      </c>
      <c r="P187" s="30">
        <v>1</v>
      </c>
      <c r="Q187" s="35" t="s">
        <v>27</v>
      </c>
      <c r="R187" s="35" t="s">
        <v>28</v>
      </c>
    </row>
  </sheetData>
  <phoneticPr fontId="3"/>
  <dataValidations count="1">
    <dataValidation type="list" allowBlank="1" showInputMessage="1" showErrorMessage="1" sqref="H2:H86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bugbonuses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 雅大</dc:creator>
  <cp:lastModifiedBy>加藤 雅大</cp:lastModifiedBy>
  <dcterms:created xsi:type="dcterms:W3CDTF">2015-11-13T00:42:33Z</dcterms:created>
  <dcterms:modified xsi:type="dcterms:W3CDTF">2016-01-13T04:10:52Z</dcterms:modified>
</cp:coreProperties>
</file>