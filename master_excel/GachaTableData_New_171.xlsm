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240" yWindow="240" windowWidth="25360" windowHeight="15760" tabRatio="943" activeTab="4"/>
  </bookViews>
  <sheets>
    <sheet name="output" sheetId="103" r:id="rId1"/>
    <sheet name="gacha_171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gacha_171_base!$A$42:$B$68</definedName>
    <definedName name="_xlnm._FilterDatabase" localSheetId="4" hidden="1">gacha_bonus_tables!$B$1:$G$1</definedName>
    <definedName name="_xlnm._FilterDatabase" localSheetId="2" hidden="1">gacha_select_tables!$A$1:$S$149</definedName>
    <definedName name="_xlnm._FilterDatabase" localSheetId="3" hidden="1">gacha_settle_tables!$A$1:$R$62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8" l="1"/>
  <c r="A4" i="98"/>
  <c r="A5" i="98"/>
  <c r="A6" i="98"/>
  <c r="A7" i="98"/>
  <c r="A8" i="98"/>
  <c r="A9" i="98"/>
  <c r="A10" i="98"/>
  <c r="A11" i="98"/>
  <c r="A12" i="98"/>
  <c r="A13" i="98"/>
  <c r="A14" i="98"/>
  <c r="A15" i="98"/>
  <c r="A16" i="98"/>
  <c r="A17" i="98"/>
  <c r="A18" i="98"/>
  <c r="A19" i="98"/>
  <c r="A20" i="98"/>
  <c r="A21" i="98"/>
  <c r="A22" i="98"/>
  <c r="A23" i="98"/>
  <c r="A24" i="98"/>
  <c r="A25" i="98"/>
  <c r="A26" i="98"/>
  <c r="A27" i="98"/>
  <c r="A28" i="98"/>
  <c r="A29" i="98"/>
  <c r="A30" i="98"/>
  <c r="A31" i="98"/>
  <c r="A32" i="98"/>
  <c r="A33" i="98"/>
  <c r="A34" i="98"/>
  <c r="A35" i="98"/>
  <c r="A36" i="98"/>
  <c r="A37" i="98"/>
  <c r="A38" i="98"/>
  <c r="A39" i="98"/>
  <c r="A40" i="98"/>
  <c r="A41" i="98"/>
  <c r="A42" i="98"/>
  <c r="A43" i="98"/>
  <c r="A44" i="98"/>
  <c r="A45" i="98"/>
  <c r="A46" i="98"/>
  <c r="A47" i="98"/>
  <c r="A48" i="98"/>
  <c r="A49" i="98"/>
  <c r="A50" i="98"/>
  <c r="A51" i="98"/>
  <c r="A52" i="98"/>
  <c r="A53" i="98"/>
  <c r="A54" i="98"/>
  <c r="A55" i="98"/>
  <c r="A56" i="98"/>
  <c r="A57" i="98"/>
  <c r="A58" i="98"/>
  <c r="A59" i="98"/>
  <c r="A60" i="98"/>
  <c r="A61" i="98"/>
  <c r="A62" i="98"/>
  <c r="A63" i="98"/>
  <c r="A64" i="98"/>
  <c r="A65" i="98"/>
  <c r="A2" i="98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2" i="82"/>
  <c r="I2" i="82"/>
  <c r="D2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A3" i="94"/>
  <c r="A4" i="94"/>
  <c r="A5" i="94"/>
  <c r="A6" i="94"/>
  <c r="A7" i="94"/>
  <c r="A8" i="94"/>
  <c r="A9" i="94"/>
  <c r="J2" i="82"/>
  <c r="M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G148" i="82"/>
  <c r="A142" i="82"/>
  <c r="C142" i="82"/>
  <c r="G142" i="82"/>
  <c r="K142" i="82"/>
  <c r="L142" i="82"/>
  <c r="N142" i="82"/>
  <c r="O142" i="82"/>
  <c r="P142" i="82"/>
  <c r="Q142" i="82"/>
  <c r="R142" i="82"/>
  <c r="S142" i="82"/>
  <c r="A143" i="82"/>
  <c r="C143" i="82"/>
  <c r="G143" i="82"/>
  <c r="K143" i="82"/>
  <c r="L143" i="82"/>
  <c r="N143" i="82"/>
  <c r="O143" i="82"/>
  <c r="P143" i="82"/>
  <c r="Q143" i="82"/>
  <c r="R143" i="82"/>
  <c r="S143" i="82"/>
  <c r="A144" i="82"/>
  <c r="C144" i="82"/>
  <c r="G144" i="82"/>
  <c r="K144" i="82"/>
  <c r="L144" i="82"/>
  <c r="N144" i="82"/>
  <c r="O144" i="82"/>
  <c r="P144" i="82"/>
  <c r="Q144" i="82"/>
  <c r="R144" i="82"/>
  <c r="S144" i="82"/>
  <c r="A145" i="82"/>
  <c r="C145" i="82"/>
  <c r="G145" i="82"/>
  <c r="K145" i="82"/>
  <c r="L145" i="82"/>
  <c r="N145" i="82"/>
  <c r="O145" i="82"/>
  <c r="P145" i="82"/>
  <c r="Q145" i="82"/>
  <c r="R145" i="82"/>
  <c r="S145" i="82"/>
  <c r="A146" i="82"/>
  <c r="C146" i="82"/>
  <c r="G146" i="82"/>
  <c r="K146" i="82"/>
  <c r="L146" i="82"/>
  <c r="N146" i="82"/>
  <c r="O146" i="82"/>
  <c r="P146" i="82"/>
  <c r="Q146" i="82"/>
  <c r="R146" i="82"/>
  <c r="S146" i="82"/>
  <c r="A147" i="82"/>
  <c r="C147" i="82"/>
  <c r="G147" i="82"/>
  <c r="K147" i="82"/>
  <c r="L147" i="82"/>
  <c r="N147" i="82"/>
  <c r="O147" i="82"/>
  <c r="P147" i="82"/>
  <c r="Q147" i="82"/>
  <c r="R147" i="82"/>
  <c r="S147" i="82"/>
  <c r="A148" i="82"/>
  <c r="C148" i="82"/>
  <c r="K148" i="82"/>
  <c r="L148" i="82"/>
  <c r="N148" i="82"/>
  <c r="O148" i="82"/>
  <c r="P148" i="82"/>
  <c r="Q148" i="82"/>
  <c r="R148" i="82"/>
  <c r="S148" i="82"/>
  <c r="A149" i="82"/>
  <c r="C149" i="82"/>
  <c r="G149" i="82"/>
  <c r="K149" i="82"/>
  <c r="L149" i="82"/>
  <c r="N149" i="82"/>
  <c r="O149" i="82"/>
  <c r="P149" i="82"/>
  <c r="Q149" i="82"/>
  <c r="R149" i="82"/>
  <c r="S149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O2" i="82"/>
  <c r="P2" i="82"/>
  <c r="Q2" i="82"/>
  <c r="R2" i="82"/>
  <c r="S2" i="82"/>
  <c r="O3" i="82"/>
  <c r="P3" i="82"/>
  <c r="Q3" i="82"/>
  <c r="R3" i="82"/>
  <c r="S3" i="82"/>
  <c r="O4" i="82"/>
  <c r="P4" i="82"/>
  <c r="Q4" i="82"/>
  <c r="R4" i="82"/>
  <c r="S4" i="82"/>
  <c r="O5" i="82"/>
  <c r="P5" i="82"/>
  <c r="Q5" i="82"/>
  <c r="R5" i="82"/>
  <c r="S5" i="82"/>
  <c r="O6" i="82"/>
  <c r="P6" i="82"/>
  <c r="Q6" i="82"/>
  <c r="R6" i="82"/>
  <c r="S6" i="82"/>
  <c r="O7" i="82"/>
  <c r="P7" i="82"/>
  <c r="Q7" i="82"/>
  <c r="R7" i="82"/>
  <c r="S7" i="82"/>
  <c r="O8" i="82"/>
  <c r="P8" i="82"/>
  <c r="Q8" i="82"/>
  <c r="R8" i="82"/>
  <c r="S8" i="82"/>
  <c r="O9" i="82"/>
  <c r="P9" i="82"/>
  <c r="Q9" i="82"/>
  <c r="R9" i="82"/>
  <c r="S9" i="82"/>
  <c r="O10" i="82"/>
  <c r="P10" i="82"/>
  <c r="Q10" i="82"/>
  <c r="R10" i="82"/>
  <c r="S10" i="82"/>
  <c r="O11" i="82"/>
  <c r="P11" i="82"/>
  <c r="Q11" i="82"/>
  <c r="R11" i="82"/>
  <c r="S11" i="82"/>
  <c r="O12" i="82"/>
  <c r="P12" i="82"/>
  <c r="Q12" i="82"/>
  <c r="R12" i="82"/>
  <c r="S12" i="82"/>
  <c r="O13" i="82"/>
  <c r="P13" i="82"/>
  <c r="Q13" i="82"/>
  <c r="R13" i="82"/>
  <c r="S13" i="82"/>
  <c r="O14" i="82"/>
  <c r="P14" i="82"/>
  <c r="Q14" i="82"/>
  <c r="R14" i="82"/>
  <c r="S14" i="82"/>
  <c r="O15" i="82"/>
  <c r="P15" i="82"/>
  <c r="Q15" i="82"/>
  <c r="R15" i="82"/>
  <c r="S15" i="82"/>
  <c r="O16" i="82"/>
  <c r="P16" i="82"/>
  <c r="Q16" i="82"/>
  <c r="R16" i="82"/>
  <c r="S16" i="82"/>
  <c r="O17" i="82"/>
  <c r="P17" i="82"/>
  <c r="Q17" i="82"/>
  <c r="R17" i="82"/>
  <c r="S17" i="82"/>
  <c r="O18" i="82"/>
  <c r="P18" i="82"/>
  <c r="Q18" i="82"/>
  <c r="R18" i="82"/>
  <c r="S18" i="82"/>
  <c r="O19" i="82"/>
  <c r="P19" i="82"/>
  <c r="Q19" i="82"/>
  <c r="R19" i="82"/>
  <c r="S19" i="82"/>
  <c r="O20" i="82"/>
  <c r="P20" i="82"/>
  <c r="Q20" i="82"/>
  <c r="R20" i="82"/>
  <c r="S20" i="82"/>
  <c r="O21" i="82"/>
  <c r="P21" i="82"/>
  <c r="Q21" i="82"/>
  <c r="R21" i="82"/>
  <c r="S21" i="82"/>
  <c r="O22" i="82"/>
  <c r="P22" i="82"/>
  <c r="Q22" i="82"/>
  <c r="R22" i="82"/>
  <c r="S22" i="82"/>
  <c r="O23" i="82"/>
  <c r="P23" i="82"/>
  <c r="Q23" i="82"/>
  <c r="R23" i="82"/>
  <c r="S23" i="82"/>
  <c r="O24" i="82"/>
  <c r="P24" i="82"/>
  <c r="Q24" i="82"/>
  <c r="R24" i="82"/>
  <c r="S24" i="82"/>
  <c r="O25" i="82"/>
  <c r="P25" i="82"/>
  <c r="Q25" i="82"/>
  <c r="R25" i="82"/>
  <c r="S25" i="82"/>
  <c r="O26" i="82"/>
  <c r="P26" i="82"/>
  <c r="Q26" i="82"/>
  <c r="R26" i="82"/>
  <c r="S26" i="82"/>
  <c r="O27" i="82"/>
  <c r="P27" i="82"/>
  <c r="Q27" i="82"/>
  <c r="R27" i="82"/>
  <c r="S27" i="82"/>
  <c r="O28" i="82"/>
  <c r="P28" i="82"/>
  <c r="Q28" i="82"/>
  <c r="R28" i="82"/>
  <c r="S28" i="82"/>
  <c r="O29" i="82"/>
  <c r="P29" i="82"/>
  <c r="Q29" i="82"/>
  <c r="R29" i="82"/>
  <c r="S29" i="82"/>
  <c r="O30" i="82"/>
  <c r="P30" i="82"/>
  <c r="Q30" i="82"/>
  <c r="R30" i="82"/>
  <c r="S30" i="82"/>
  <c r="O31" i="82"/>
  <c r="P31" i="82"/>
  <c r="Q31" i="82"/>
  <c r="R31" i="82"/>
  <c r="S31" i="82"/>
  <c r="O32" i="82"/>
  <c r="P32" i="82"/>
  <c r="Q32" i="82"/>
  <c r="R32" i="82"/>
  <c r="S32" i="82"/>
  <c r="O33" i="82"/>
  <c r="P33" i="82"/>
  <c r="Q33" i="82"/>
  <c r="R33" i="82"/>
  <c r="S33" i="82"/>
  <c r="O34" i="82"/>
  <c r="P34" i="82"/>
  <c r="Q34" i="82"/>
  <c r="R34" i="82"/>
  <c r="S34" i="82"/>
  <c r="O35" i="82"/>
  <c r="P35" i="82"/>
  <c r="Q35" i="82"/>
  <c r="R35" i="82"/>
  <c r="S35" i="82"/>
  <c r="O36" i="82"/>
  <c r="P36" i="82"/>
  <c r="Q36" i="82"/>
  <c r="R36" i="82"/>
  <c r="S36" i="82"/>
  <c r="O37" i="82"/>
  <c r="P37" i="82"/>
  <c r="Q37" i="82"/>
  <c r="R37" i="82"/>
  <c r="S37" i="82"/>
  <c r="O38" i="82"/>
  <c r="P38" i="82"/>
  <c r="Q38" i="82"/>
  <c r="R38" i="82"/>
  <c r="S38" i="82"/>
  <c r="O39" i="82"/>
  <c r="P39" i="82"/>
  <c r="Q39" i="82"/>
  <c r="R39" i="82"/>
  <c r="S39" i="82"/>
  <c r="O40" i="82"/>
  <c r="P40" i="82"/>
  <c r="Q40" i="82"/>
  <c r="R40" i="82"/>
  <c r="S40" i="82"/>
  <c r="O41" i="82"/>
  <c r="P41" i="82"/>
  <c r="Q41" i="82"/>
  <c r="R41" i="82"/>
  <c r="S41" i="82"/>
  <c r="O42" i="82"/>
  <c r="P42" i="82"/>
  <c r="Q42" i="82"/>
  <c r="R42" i="82"/>
  <c r="S42" i="82"/>
  <c r="O43" i="82"/>
  <c r="P43" i="82"/>
  <c r="Q43" i="82"/>
  <c r="R43" i="82"/>
  <c r="S43" i="82"/>
  <c r="O44" i="82"/>
  <c r="P44" i="82"/>
  <c r="Q44" i="82"/>
  <c r="R44" i="82"/>
  <c r="S44" i="82"/>
  <c r="O45" i="82"/>
  <c r="P45" i="82"/>
  <c r="Q45" i="82"/>
  <c r="R45" i="82"/>
  <c r="S45" i="82"/>
  <c r="O46" i="82"/>
  <c r="P46" i="82"/>
  <c r="Q46" i="82"/>
  <c r="R46" i="82"/>
  <c r="S46" i="82"/>
  <c r="O47" i="82"/>
  <c r="P47" i="82"/>
  <c r="Q47" i="82"/>
  <c r="R47" i="82"/>
  <c r="S47" i="82"/>
  <c r="O48" i="82"/>
  <c r="P48" i="82"/>
  <c r="Q48" i="82"/>
  <c r="R48" i="82"/>
  <c r="S48" i="82"/>
  <c r="O49" i="82"/>
  <c r="P49" i="82"/>
  <c r="Q49" i="82"/>
  <c r="R49" i="82"/>
  <c r="S49" i="82"/>
  <c r="O50" i="82"/>
  <c r="P50" i="82"/>
  <c r="Q50" i="82"/>
  <c r="R50" i="82"/>
  <c r="S50" i="82"/>
  <c r="O51" i="82"/>
  <c r="P51" i="82"/>
  <c r="Q51" i="82"/>
  <c r="R51" i="82"/>
  <c r="S51" i="82"/>
  <c r="O52" i="82"/>
  <c r="P52" i="82"/>
  <c r="Q52" i="82"/>
  <c r="R52" i="82"/>
  <c r="S52" i="82"/>
  <c r="O53" i="82"/>
  <c r="P53" i="82"/>
  <c r="Q53" i="82"/>
  <c r="R53" i="82"/>
  <c r="S53" i="82"/>
  <c r="O54" i="82"/>
  <c r="P54" i="82"/>
  <c r="Q54" i="82"/>
  <c r="R54" i="82"/>
  <c r="S54" i="82"/>
  <c r="O55" i="82"/>
  <c r="P55" i="82"/>
  <c r="Q55" i="82"/>
  <c r="R55" i="82"/>
  <c r="S55" i="82"/>
  <c r="O56" i="82"/>
  <c r="P56" i="82"/>
  <c r="Q56" i="82"/>
  <c r="R56" i="82"/>
  <c r="S56" i="82"/>
  <c r="O57" i="82"/>
  <c r="P57" i="82"/>
  <c r="Q57" i="82"/>
  <c r="R57" i="82"/>
  <c r="S57" i="82"/>
  <c r="O58" i="82"/>
  <c r="P58" i="82"/>
  <c r="Q58" i="82"/>
  <c r="R58" i="82"/>
  <c r="S58" i="82"/>
  <c r="O59" i="82"/>
  <c r="P59" i="82"/>
  <c r="Q59" i="82"/>
  <c r="R59" i="82"/>
  <c r="S59" i="82"/>
  <c r="O60" i="82"/>
  <c r="P60" i="82"/>
  <c r="Q60" i="82"/>
  <c r="R60" i="82"/>
  <c r="S60" i="82"/>
  <c r="O61" i="82"/>
  <c r="P61" i="82"/>
  <c r="Q61" i="82"/>
  <c r="R61" i="82"/>
  <c r="S61" i="82"/>
  <c r="O62" i="82"/>
  <c r="P62" i="82"/>
  <c r="Q62" i="82"/>
  <c r="R62" i="82"/>
  <c r="S62" i="82"/>
  <c r="O63" i="82"/>
  <c r="P63" i="82"/>
  <c r="Q63" i="82"/>
  <c r="R63" i="82"/>
  <c r="S63" i="82"/>
  <c r="O64" i="82"/>
  <c r="P64" i="82"/>
  <c r="Q64" i="82"/>
  <c r="R64" i="82"/>
  <c r="S64" i="82"/>
  <c r="O65" i="82"/>
  <c r="P65" i="82"/>
  <c r="Q65" i="82"/>
  <c r="R65" i="82"/>
  <c r="S65" i="82"/>
  <c r="O66" i="82"/>
  <c r="P66" i="82"/>
  <c r="Q66" i="82"/>
  <c r="R66" i="82"/>
  <c r="S66" i="82"/>
  <c r="O67" i="82"/>
  <c r="P67" i="82"/>
  <c r="Q67" i="82"/>
  <c r="R67" i="82"/>
  <c r="S67" i="82"/>
  <c r="O68" i="82"/>
  <c r="P68" i="82"/>
  <c r="Q68" i="82"/>
  <c r="R68" i="82"/>
  <c r="S68" i="82"/>
  <c r="O69" i="82"/>
  <c r="P69" i="82"/>
  <c r="Q69" i="82"/>
  <c r="R69" i="82"/>
  <c r="S69" i="82"/>
  <c r="O70" i="82"/>
  <c r="P70" i="82"/>
  <c r="Q70" i="82"/>
  <c r="R70" i="82"/>
  <c r="S70" i="82"/>
  <c r="O71" i="82"/>
  <c r="P71" i="82"/>
  <c r="Q71" i="82"/>
  <c r="R71" i="82"/>
  <c r="S71" i="82"/>
  <c r="O72" i="82"/>
  <c r="P72" i="82"/>
  <c r="Q72" i="82"/>
  <c r="R72" i="82"/>
  <c r="S72" i="82"/>
  <c r="O73" i="82"/>
  <c r="P73" i="82"/>
  <c r="Q73" i="82"/>
  <c r="R73" i="82"/>
  <c r="S73" i="82"/>
  <c r="O74" i="82"/>
  <c r="P74" i="82"/>
  <c r="Q74" i="82"/>
  <c r="R74" i="82"/>
  <c r="S74" i="82"/>
  <c r="O75" i="82"/>
  <c r="P75" i="82"/>
  <c r="Q75" i="82"/>
  <c r="R75" i="82"/>
  <c r="S75" i="82"/>
  <c r="O76" i="82"/>
  <c r="P76" i="82"/>
  <c r="Q76" i="82"/>
  <c r="R76" i="82"/>
  <c r="S76" i="82"/>
  <c r="O77" i="82"/>
  <c r="P77" i="82"/>
  <c r="Q77" i="82"/>
  <c r="R77" i="82"/>
  <c r="S77" i="82"/>
  <c r="O78" i="82"/>
  <c r="P78" i="82"/>
  <c r="Q78" i="82"/>
  <c r="R78" i="82"/>
  <c r="S78" i="82"/>
  <c r="O79" i="82"/>
  <c r="P79" i="82"/>
  <c r="Q79" i="82"/>
  <c r="R79" i="82"/>
  <c r="S79" i="82"/>
  <c r="O80" i="82"/>
  <c r="P80" i="82"/>
  <c r="Q80" i="82"/>
  <c r="R80" i="82"/>
  <c r="S80" i="82"/>
  <c r="O81" i="82"/>
  <c r="P81" i="82"/>
  <c r="Q81" i="82"/>
  <c r="R81" i="82"/>
  <c r="S81" i="82"/>
  <c r="O82" i="82"/>
  <c r="P82" i="82"/>
  <c r="Q82" i="82"/>
  <c r="R82" i="82"/>
  <c r="S82" i="82"/>
  <c r="O83" i="82"/>
  <c r="P83" i="82"/>
  <c r="Q83" i="82"/>
  <c r="R83" i="82"/>
  <c r="S83" i="82"/>
  <c r="O84" i="82"/>
  <c r="P84" i="82"/>
  <c r="Q84" i="82"/>
  <c r="R84" i="82"/>
  <c r="S84" i="82"/>
  <c r="O85" i="82"/>
  <c r="P85" i="82"/>
  <c r="Q85" i="82"/>
  <c r="R85" i="82"/>
  <c r="S85" i="82"/>
  <c r="O86" i="82"/>
  <c r="P86" i="82"/>
  <c r="Q86" i="82"/>
  <c r="R86" i="82"/>
  <c r="S86" i="82"/>
  <c r="O87" i="82"/>
  <c r="P87" i="82"/>
  <c r="Q87" i="82"/>
  <c r="R87" i="82"/>
  <c r="S87" i="82"/>
  <c r="O88" i="82"/>
  <c r="P88" i="82"/>
  <c r="Q88" i="82"/>
  <c r="R88" i="82"/>
  <c r="S88" i="82"/>
  <c r="O89" i="82"/>
  <c r="P89" i="82"/>
  <c r="Q89" i="82"/>
  <c r="R89" i="82"/>
  <c r="S89" i="82"/>
  <c r="O90" i="82"/>
  <c r="P90" i="82"/>
  <c r="Q90" i="82"/>
  <c r="R90" i="82"/>
  <c r="S90" i="82"/>
  <c r="O91" i="82"/>
  <c r="P91" i="82"/>
  <c r="Q91" i="82"/>
  <c r="R91" i="82"/>
  <c r="S91" i="82"/>
  <c r="O92" i="82"/>
  <c r="P92" i="82"/>
  <c r="Q92" i="82"/>
  <c r="R92" i="82"/>
  <c r="S92" i="82"/>
  <c r="O93" i="82"/>
  <c r="P93" i="82"/>
  <c r="Q93" i="82"/>
  <c r="R93" i="82"/>
  <c r="S93" i="82"/>
  <c r="O94" i="82"/>
  <c r="P94" i="82"/>
  <c r="Q94" i="82"/>
  <c r="R94" i="82"/>
  <c r="S94" i="82"/>
  <c r="O95" i="82"/>
  <c r="P95" i="82"/>
  <c r="Q95" i="82"/>
  <c r="R95" i="82"/>
  <c r="S95" i="82"/>
  <c r="O96" i="82"/>
  <c r="P96" i="82"/>
  <c r="Q96" i="82"/>
  <c r="R96" i="82"/>
  <c r="S96" i="82"/>
  <c r="O97" i="82"/>
  <c r="P97" i="82"/>
  <c r="Q97" i="82"/>
  <c r="R97" i="82"/>
  <c r="S97" i="82"/>
  <c r="O98" i="82"/>
  <c r="P98" i="82"/>
  <c r="Q98" i="82"/>
  <c r="R98" i="82"/>
  <c r="S98" i="82"/>
  <c r="O99" i="82"/>
  <c r="P99" i="82"/>
  <c r="Q99" i="82"/>
  <c r="R99" i="82"/>
  <c r="S99" i="82"/>
  <c r="O100" i="82"/>
  <c r="P100" i="82"/>
  <c r="Q100" i="82"/>
  <c r="R100" i="82"/>
  <c r="S100" i="82"/>
  <c r="O101" i="82"/>
  <c r="P101" i="82"/>
  <c r="Q101" i="82"/>
  <c r="R101" i="82"/>
  <c r="S101" i="82"/>
  <c r="O102" i="82"/>
  <c r="P102" i="82"/>
  <c r="Q102" i="82"/>
  <c r="R102" i="82"/>
  <c r="S102" i="82"/>
  <c r="O103" i="82"/>
  <c r="P103" i="82"/>
  <c r="Q103" i="82"/>
  <c r="R103" i="82"/>
  <c r="S103" i="82"/>
  <c r="O104" i="82"/>
  <c r="P104" i="82"/>
  <c r="Q104" i="82"/>
  <c r="R104" i="82"/>
  <c r="S104" i="82"/>
  <c r="O105" i="82"/>
  <c r="P105" i="82"/>
  <c r="Q105" i="82"/>
  <c r="R105" i="82"/>
  <c r="S105" i="82"/>
  <c r="O106" i="82"/>
  <c r="P106" i="82"/>
  <c r="Q106" i="82"/>
  <c r="R106" i="82"/>
  <c r="S106" i="82"/>
  <c r="O107" i="82"/>
  <c r="P107" i="82"/>
  <c r="Q107" i="82"/>
  <c r="R107" i="82"/>
  <c r="S107" i="82"/>
  <c r="O108" i="82"/>
  <c r="P108" i="82"/>
  <c r="Q108" i="82"/>
  <c r="R108" i="82"/>
  <c r="S108" i="82"/>
  <c r="O109" i="82"/>
  <c r="P109" i="82"/>
  <c r="Q109" i="82"/>
  <c r="R109" i="82"/>
  <c r="S109" i="82"/>
  <c r="O110" i="82"/>
  <c r="P110" i="82"/>
  <c r="Q110" i="82"/>
  <c r="R110" i="82"/>
  <c r="S110" i="82"/>
  <c r="O111" i="82"/>
  <c r="P111" i="82"/>
  <c r="Q111" i="82"/>
  <c r="R111" i="82"/>
  <c r="S111" i="82"/>
  <c r="O112" i="82"/>
  <c r="P112" i="82"/>
  <c r="Q112" i="82"/>
  <c r="R112" i="82"/>
  <c r="S112" i="82"/>
  <c r="O113" i="82"/>
  <c r="P113" i="82"/>
  <c r="Q113" i="82"/>
  <c r="R113" i="82"/>
  <c r="S113" i="82"/>
  <c r="O114" i="82"/>
  <c r="P114" i="82"/>
  <c r="Q114" i="82"/>
  <c r="R114" i="82"/>
  <c r="S114" i="82"/>
  <c r="O115" i="82"/>
  <c r="P115" i="82"/>
  <c r="Q115" i="82"/>
  <c r="R115" i="82"/>
  <c r="S115" i="82"/>
  <c r="O116" i="82"/>
  <c r="P116" i="82"/>
  <c r="Q116" i="82"/>
  <c r="R116" i="82"/>
  <c r="S116" i="82"/>
  <c r="O117" i="82"/>
  <c r="P117" i="82"/>
  <c r="Q117" i="82"/>
  <c r="R117" i="82"/>
  <c r="S117" i="82"/>
  <c r="O118" i="82"/>
  <c r="P118" i="82"/>
  <c r="Q118" i="82"/>
  <c r="R118" i="82"/>
  <c r="S118" i="82"/>
  <c r="O119" i="82"/>
  <c r="P119" i="82"/>
  <c r="Q119" i="82"/>
  <c r="R119" i="82"/>
  <c r="S119" i="82"/>
  <c r="O120" i="82"/>
  <c r="P120" i="82"/>
  <c r="Q120" i="82"/>
  <c r="R120" i="82"/>
  <c r="S120" i="82"/>
  <c r="O121" i="82"/>
  <c r="P121" i="82"/>
  <c r="Q121" i="82"/>
  <c r="R121" i="82"/>
  <c r="S121" i="82"/>
  <c r="O122" i="82"/>
  <c r="P122" i="82"/>
  <c r="Q122" i="82"/>
  <c r="R122" i="82"/>
  <c r="S122" i="82"/>
  <c r="O123" i="82"/>
  <c r="P123" i="82"/>
  <c r="Q123" i="82"/>
  <c r="R123" i="82"/>
  <c r="S123" i="82"/>
  <c r="O124" i="82"/>
  <c r="P124" i="82"/>
  <c r="Q124" i="82"/>
  <c r="R124" i="82"/>
  <c r="S124" i="82"/>
  <c r="O125" i="82"/>
  <c r="P125" i="82"/>
  <c r="Q125" i="82"/>
  <c r="R125" i="82"/>
  <c r="S125" i="82"/>
  <c r="O126" i="82"/>
  <c r="P126" i="82"/>
  <c r="Q126" i="82"/>
  <c r="R126" i="82"/>
  <c r="S126" i="82"/>
  <c r="O127" i="82"/>
  <c r="P127" i="82"/>
  <c r="Q127" i="82"/>
  <c r="R127" i="82"/>
  <c r="S127" i="82"/>
  <c r="O128" i="82"/>
  <c r="P128" i="82"/>
  <c r="Q128" i="82"/>
  <c r="R128" i="82"/>
  <c r="S128" i="82"/>
  <c r="O129" i="82"/>
  <c r="P129" i="82"/>
  <c r="Q129" i="82"/>
  <c r="R129" i="82"/>
  <c r="S129" i="82"/>
  <c r="O130" i="82"/>
  <c r="P130" i="82"/>
  <c r="Q130" i="82"/>
  <c r="R130" i="82"/>
  <c r="S130" i="82"/>
  <c r="O131" i="82"/>
  <c r="P131" i="82"/>
  <c r="Q131" i="82"/>
  <c r="R131" i="82"/>
  <c r="S131" i="82"/>
  <c r="O132" i="82"/>
  <c r="P132" i="82"/>
  <c r="Q132" i="82"/>
  <c r="R132" i="82"/>
  <c r="S132" i="82"/>
  <c r="O133" i="82"/>
  <c r="P133" i="82"/>
  <c r="Q133" i="82"/>
  <c r="R133" i="82"/>
  <c r="S133" i="82"/>
  <c r="O134" i="82"/>
  <c r="P134" i="82"/>
  <c r="Q134" i="82"/>
  <c r="R134" i="82"/>
  <c r="S134" i="82"/>
  <c r="O135" i="82"/>
  <c r="P135" i="82"/>
  <c r="Q135" i="82"/>
  <c r="R135" i="82"/>
  <c r="S135" i="82"/>
  <c r="O136" i="82"/>
  <c r="P136" i="82"/>
  <c r="Q136" i="82"/>
  <c r="R136" i="82"/>
  <c r="S136" i="82"/>
  <c r="O137" i="82"/>
  <c r="P137" i="82"/>
  <c r="Q137" i="82"/>
  <c r="R137" i="82"/>
  <c r="S137" i="82"/>
  <c r="O138" i="82"/>
  <c r="P138" i="82"/>
  <c r="Q138" i="82"/>
  <c r="R138" i="82"/>
  <c r="S138" i="82"/>
  <c r="O139" i="82"/>
  <c r="P139" i="82"/>
  <c r="Q139" i="82"/>
  <c r="R139" i="82"/>
  <c r="S139" i="82"/>
  <c r="O140" i="82"/>
  <c r="P140" i="82"/>
  <c r="Q140" i="82"/>
  <c r="R140" i="82"/>
  <c r="S140" i="82"/>
  <c r="O141" i="82"/>
  <c r="P141" i="82"/>
  <c r="Q141" i="82"/>
  <c r="R141" i="82"/>
  <c r="S141" i="82"/>
  <c r="B11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B5" i="105"/>
  <c r="E5" i="105"/>
  <c r="H5" i="105"/>
  <c r="A10" i="105"/>
  <c r="G7" i="105"/>
  <c r="D10" i="105"/>
  <c r="A7" i="105"/>
  <c r="D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<sst xmlns="http://schemas.openxmlformats.org/spreadsheetml/2006/main" count="460" uniqueCount="95">
  <si>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</si>
  <si>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</si>
  <si>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</si>
  <si>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</si>
  <si>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</si>
  <si>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</si>
  <si>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</si>
  <si>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</si>
  <si>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</si>
  <si>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</si>
  <si>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</si>
  <si>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</si>
  <si>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</si>
  <si>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</si>
  <si>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</si>
  <si>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</si>
  <si>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</si>
  <si>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</si>
  <si>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</si>
  <si>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</si>
  <si>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</si>
  <si>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</si>
  <si>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</si>
  <si>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</si>
  <si>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</si>
  <si>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</si>
  <si>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</si>
  <si>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</si>
  <si>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</si>
  <si>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</si>
  <si>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</si>
  <si>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</si>
  <si>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</si>
  <si>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</si>
  <si>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</si>
  <si>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</si>
  <si>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</si>
  <si>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</si>
  <si>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</si>
  <si>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</si>
  <si>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</si>
  <si>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</si>
  <si>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</si>
  <si>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</si>
  <si>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</si>
  <si>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</si>
  <si>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</si>
  <si>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</si>
  <si>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</si>
  <si>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</si>
  <si>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</si>
  <si>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</si>
  <si>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</si>
  <si>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</si>
  <si>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</si>
  <si>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</si>
  <si>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</si>
  <si>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</si>
  <si>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</si>
  <si>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</si>
  <si>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</si>
  <si>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</si>
  <si>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</si>
  <si>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</si>
  <si>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</si>
  <si>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</si>
  <si>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</si>
  <si>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</si>
  <si>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</si>
  <si>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</si>
  <si>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</si>
  <si>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</si>
  <si>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</si>
  <si>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</si>
  <si>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</si>
  <si>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</si>
  <si>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</si>
  <si>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</si>
  <si>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</si>
  <si>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</si>
  <si>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</si>
  <si>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</si>
  <si>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</si>
  <si>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</si>
  <si>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</si>
  <si>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</si>
  <si>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</si>
  <si>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</si>
  <si>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</si>
  <si>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unit</t>
    <phoneticPr fontId="11"/>
  </si>
  <si>
    <t>ja</t>
    <phoneticPr fontId="11"/>
  </si>
  <si>
    <t>150万DL記念ガチャのプレゼント</t>
    <phoneticPr fontId="11"/>
  </si>
  <si>
    <t>☆５ユニット</t>
    <phoneticPr fontId="11"/>
  </si>
  <si>
    <t>10連ガチャの特典として
☆５ユニットをプレゼント！</t>
    <rPh sb="7" eb="9">
      <t>トクテン</t>
    </rPh>
    <phoneticPr fontId="11"/>
  </si>
  <si>
    <t>☆５ユニット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</si>
</sst>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0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4" xfId="0" applyFill="1" applyBorder="1" applyAlignment="1">
      <alignment vertical="center"/>
    </xf>
    <xf numFmtId="0" fontId="0" fillId="24" borderId="15" xfId="0" applyFill="1" applyBorder="1" applyAlignment="1">
      <alignment vertical="center"/>
    </xf>
    <xf numFmtId="0" fontId="0" fillId="24" borderId="16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27" borderId="19" xfId="0" applyFill="1" applyBorder="1"/>
    <xf numFmtId="0" fontId="0" fillId="27" borderId="21" xfId="0" applyFill="1" applyBorder="1"/>
    <xf numFmtId="0" fontId="0" fillId="3" borderId="1" xfId="0" applyFill="1" applyBorder="1" applyAlignment="1">
      <alignment horizontal="center" vertical="top"/>
    </xf>
    <xf numFmtId="0" fontId="16" fillId="2" borderId="13" xfId="2" applyFont="1" applyFill="1" applyBorder="1" applyAlignment="1">
      <alignment horizontal="left" vertical="center"/>
    </xf>
    <xf numFmtId="0" fontId="7" fillId="2" borderId="13" xfId="19" applyFont="1" applyFill="1" applyBorder="1"/>
    <xf numFmtId="0" fontId="44" fillId="22" borderId="13" xfId="0" applyFont="1" applyFill="1" applyBorder="1" applyAlignment="1">
      <alignment horizontal="left" vertical="center"/>
    </xf>
    <xf numFmtId="0" fontId="21" fillId="5" borderId="1" xfId="2" applyFont="1" applyFill="1" applyBorder="1" applyAlignment="1">
      <alignment vertical="center"/>
    </xf>
    <xf numFmtId="0" fontId="16" fillId="0" borderId="1" xfId="2" applyFont="1" applyBorder="1" applyAlignment="1">
      <alignment vertical="center" wrapText="1"/>
    </xf>
  </cellXfs>
  <cellStyles count="350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balance</v>
          </cell>
          <cell r="L526" t="str">
            <v>バランスタイプ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balance</v>
          </cell>
          <cell r="L527" t="str">
            <v>バランスタイプ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blue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blue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attack</v>
          </cell>
          <cell r="L586" t="str">
            <v>攻撃タイプ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</v>
          </cell>
          <cell r="K587" t="str">
            <v>attack</v>
          </cell>
          <cell r="L587" t="str">
            <v>攻撃タイプ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</v>
          </cell>
          <cell r="K588" t="str">
            <v>attack</v>
          </cell>
          <cell r="L588" t="str">
            <v>攻撃タイプ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ニーベルンゲン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ニーベルンゲン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ニーベルンゲン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トール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machine</v>
          </cell>
        </row>
        <row r="596">
          <cell r="A596">
            <v>595</v>
          </cell>
          <cell r="B596" t="str">
            <v>ja</v>
          </cell>
          <cell r="C596" t="str">
            <v>トール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machine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メガ攻めの果実（+5）</v>
          </cell>
          <cell r="D608" t="str">
            <v>各属性相性良3・黄・R226</v>
          </cell>
          <cell r="E608" t="str">
            <v>執行者</v>
          </cell>
          <cell r="F608" t="str">
            <v>格好いい</v>
          </cell>
          <cell r="G608" t="str">
            <v>男性</v>
          </cell>
          <cell r="H608" t="str">
            <v>blue</v>
          </cell>
          <cell r="I608">
            <v>4</v>
          </cell>
          <cell r="J608" t="str">
            <v>PremiumS</v>
          </cell>
          <cell r="K608" t="str">
            <v>attack</v>
          </cell>
          <cell r="L608" t="str">
            <v>攻撃タイプ</v>
          </cell>
          <cell r="M608" t="str">
            <v>human</v>
          </cell>
        </row>
        <row r="609">
          <cell r="A609">
            <v>608</v>
          </cell>
          <cell r="B609" t="str">
            <v>ja</v>
          </cell>
          <cell r="C609" t="str">
            <v>メガ生命の果実（+5）</v>
          </cell>
          <cell r="D609" t="str">
            <v>各属性相性良3・黄・R227</v>
          </cell>
          <cell r="E609" t="str">
            <v>執行者</v>
          </cell>
          <cell r="F609" t="str">
            <v>格好いい</v>
          </cell>
          <cell r="G609" t="str">
            <v>男性</v>
          </cell>
          <cell r="H609" t="str">
            <v>blue</v>
          </cell>
          <cell r="I609">
            <v>4</v>
          </cell>
          <cell r="J609" t="str">
            <v>PremiumS</v>
          </cell>
          <cell r="K609" t="str">
            <v>attack</v>
          </cell>
          <cell r="L609" t="str">
            <v>攻撃タイプ</v>
          </cell>
          <cell r="M609" t="str">
            <v>human</v>
          </cell>
        </row>
        <row r="610">
          <cell r="A610">
            <v>609</v>
          </cell>
          <cell r="B610" t="str">
            <v>ja</v>
          </cell>
          <cell r="C610" t="str">
            <v>メガ癒しの果実（+5）</v>
          </cell>
          <cell r="D610" t="str">
            <v>各属性相性良3・黄・R228</v>
          </cell>
          <cell r="E610" t="str">
            <v>執行者</v>
          </cell>
          <cell r="F610" t="str">
            <v>格好いい</v>
          </cell>
          <cell r="G610" t="str">
            <v>男性</v>
          </cell>
          <cell r="H610" t="str">
            <v>blue</v>
          </cell>
          <cell r="I610">
            <v>4</v>
          </cell>
          <cell r="J610" t="str">
            <v>PremiumS</v>
          </cell>
          <cell r="K610" t="str">
            <v>attack</v>
          </cell>
          <cell r="L610" t="str">
            <v>攻撃タイプ</v>
          </cell>
          <cell r="M610" t="str">
            <v>human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各属性相性良3・黄・R229</v>
          </cell>
          <cell r="E611" t="str">
            <v>執行者</v>
          </cell>
          <cell r="F611" t="str">
            <v>格好いい</v>
          </cell>
          <cell r="G611" t="str">
            <v>男性</v>
          </cell>
          <cell r="H611" t="str">
            <v>blue</v>
          </cell>
          <cell r="I611">
            <v>4</v>
          </cell>
          <cell r="J611" t="str">
            <v>PremiumS</v>
          </cell>
          <cell r="K611" t="str">
            <v>attack</v>
          </cell>
          <cell r="L611" t="str">
            <v>攻撃タイプ</v>
          </cell>
          <cell r="M611" t="str">
            <v>human</v>
          </cell>
        </row>
        <row r="612">
          <cell r="A612">
            <v>611</v>
          </cell>
          <cell r="B612" t="str">
            <v>ja</v>
          </cell>
          <cell r="C612" t="str">
            <v>ギガ攻めの果実（+10）</v>
          </cell>
          <cell r="D612" t="str">
            <v>各属性相性良3・黄・R230</v>
          </cell>
          <cell r="E612" t="str">
            <v>執行者</v>
          </cell>
          <cell r="F612" t="str">
            <v>格好いい</v>
          </cell>
          <cell r="G612" t="str">
            <v>男性</v>
          </cell>
          <cell r="H612" t="str">
            <v>blue</v>
          </cell>
          <cell r="I612">
            <v>5</v>
          </cell>
          <cell r="J612" t="str">
            <v>PremiumS</v>
          </cell>
          <cell r="K612" t="str">
            <v>attack</v>
          </cell>
          <cell r="L612" t="str">
            <v>攻撃タイプ</v>
          </cell>
          <cell r="M612" t="str">
            <v>human</v>
          </cell>
        </row>
        <row r="613">
          <cell r="A613">
            <v>612</v>
          </cell>
          <cell r="B613" t="str">
            <v>ja</v>
          </cell>
          <cell r="C613" t="str">
            <v>ギガ生命の果実（+10）</v>
          </cell>
          <cell r="D613" t="str">
            <v>各属性相性良3・黄・R231</v>
          </cell>
          <cell r="E613" t="str">
            <v>執行者</v>
          </cell>
          <cell r="F613" t="str">
            <v>格好いい</v>
          </cell>
          <cell r="G613" t="str">
            <v>男性</v>
          </cell>
          <cell r="H613" t="str">
            <v>blue</v>
          </cell>
          <cell r="I613">
            <v>5</v>
          </cell>
          <cell r="J613" t="str">
            <v>PremiumS</v>
          </cell>
          <cell r="K613" t="str">
            <v>attack</v>
          </cell>
          <cell r="L613" t="str">
            <v>攻撃タイプ</v>
          </cell>
          <cell r="M613" t="str">
            <v>human</v>
          </cell>
        </row>
        <row r="614">
          <cell r="A614">
            <v>613</v>
          </cell>
          <cell r="B614" t="str">
            <v>ja</v>
          </cell>
          <cell r="C614" t="str">
            <v>ギガ癒しの果実（+10）</v>
          </cell>
          <cell r="D614" t="str">
            <v>各属性相性良3・黄・R232</v>
          </cell>
          <cell r="E614" t="str">
            <v>執行者</v>
          </cell>
          <cell r="F614" t="str">
            <v>格好いい</v>
          </cell>
          <cell r="G614" t="str">
            <v>男性</v>
          </cell>
          <cell r="H614" t="str">
            <v>blue</v>
          </cell>
          <cell r="I614">
            <v>5</v>
          </cell>
          <cell r="J614" t="str">
            <v>PremiumS</v>
          </cell>
          <cell r="K614" t="str">
            <v>attack</v>
          </cell>
          <cell r="L614" t="str">
            <v>攻撃タイプ</v>
          </cell>
          <cell r="M614" t="str">
            <v>human</v>
          </cell>
        </row>
        <row r="615">
          <cell r="A615">
            <v>614</v>
          </cell>
          <cell r="B615" t="str">
            <v>ja</v>
          </cell>
          <cell r="C615" t="str">
            <v>ギガ秘術の果実（+3）</v>
          </cell>
          <cell r="D615" t="str">
            <v>各属性相性良3・黄・R233</v>
          </cell>
          <cell r="E615" t="str">
            <v>執行者</v>
          </cell>
          <cell r="F615" t="str">
            <v>格好いい</v>
          </cell>
          <cell r="G615" t="str">
            <v>男性</v>
          </cell>
          <cell r="H615" t="str">
            <v>blue</v>
          </cell>
          <cell r="I615">
            <v>5</v>
          </cell>
          <cell r="J615" t="str">
            <v>PremiumS</v>
          </cell>
          <cell r="K615" t="str">
            <v>attack</v>
          </cell>
          <cell r="L615" t="str">
            <v>攻撃タイプ</v>
          </cell>
          <cell r="M615" t="str">
            <v>human</v>
          </cell>
        </row>
        <row r="616">
          <cell r="A616">
            <v>615</v>
          </cell>
          <cell r="B616" t="str">
            <v>ja</v>
          </cell>
          <cell r="C616" t="str">
            <v>ヒュドラ・フルオープン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リンドブルム・コンデンス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ラーフ・メテオ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フェルニゲシュ・オーバードライヴ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25" sqref="E25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15">
      <c r="A1" s="29" t="s">
        <v>70</v>
      </c>
      <c r="B1" s="17" t="s">
        <v>54</v>
      </c>
      <c r="C1" s="17" t="s">
        <v>55</v>
      </c>
      <c r="D1" s="17" t="s">
        <v>56</v>
      </c>
      <c r="E1" s="17" t="s">
        <v>57</v>
      </c>
      <c r="F1" s="17" t="s">
        <v>58</v>
      </c>
      <c r="G1" s="17" t="s">
        <v>59</v>
      </c>
      <c r="H1" s="17"/>
      <c r="I1" s="17"/>
      <c r="J1" s="17"/>
      <c r="K1" s="17"/>
      <c r="L1" s="18"/>
      <c r="M1" s="18"/>
      <c r="N1" s="18"/>
      <c r="O1" s="18"/>
    </row>
    <row r="2" spans="1:15">
      <c r="A2" s="30" t="s">
        <v>71</v>
      </c>
      <c r="B2" s="20" t="s">
        <v>67</v>
      </c>
      <c r="C2" s="20" t="str">
        <f ca="1">MID(
  CELL("filename",B1),
  FIND("New_",CELL("filename",B1))+4,
  FIND(".xlsm",CELL("filename",B1))-FIND("New_",CELL("filename",B1))-4
)</f>
        <v>171</v>
      </c>
      <c r="D2" s="20" t="s">
        <v>60</v>
      </c>
      <c r="E2" s="18" t="str">
        <f ca="1">B2&amp;C2&amp;D2</f>
        <v>gacha_select_tables_171.tmp</v>
      </c>
      <c r="F2" s="20" t="s">
        <v>62</v>
      </c>
      <c r="G2" s="22" t="s">
        <v>21</v>
      </c>
      <c r="H2" s="23" t="s">
        <v>0</v>
      </c>
      <c r="I2" s="23" t="s">
        <v>11</v>
      </c>
      <c r="J2" s="23" t="s">
        <v>12</v>
      </c>
      <c r="K2" s="23" t="s">
        <v>13</v>
      </c>
      <c r="L2" s="23" t="s">
        <v>14</v>
      </c>
      <c r="M2" s="23" t="s">
        <v>15</v>
      </c>
      <c r="N2" s="23" t="s">
        <v>16</v>
      </c>
      <c r="O2" s="23" t="s">
        <v>17</v>
      </c>
    </row>
    <row r="3" spans="1:15">
      <c r="A3" s="30" t="s">
        <v>71</v>
      </c>
      <c r="B3" s="28" t="s">
        <v>68</v>
      </c>
      <c r="C3" s="20" t="str">
        <f ca="1">MID(
  CELL("filename",B2),
  FIND("New_",CELL("filename",B2))+4,
  FIND(".xlsm",CELL("filename",B2))-FIND("New_",CELL("filename",B2))-4
)</f>
        <v>171</v>
      </c>
      <c r="D3" s="20" t="s">
        <v>61</v>
      </c>
      <c r="E3" s="18" t="str">
        <f ca="1">B3&amp;C3&amp;D3</f>
        <v>gacha_settle_tables_171.tmp</v>
      </c>
      <c r="F3" s="20" t="s">
        <v>63</v>
      </c>
      <c r="G3" s="22" t="s">
        <v>21</v>
      </c>
      <c r="H3" s="23" t="s">
        <v>0</v>
      </c>
      <c r="I3" s="23" t="s">
        <v>11</v>
      </c>
      <c r="J3" s="23" t="s">
        <v>12</v>
      </c>
      <c r="K3" s="23" t="s">
        <v>13</v>
      </c>
      <c r="L3" s="23" t="s">
        <v>14</v>
      </c>
      <c r="M3" s="23" t="s">
        <v>15</v>
      </c>
      <c r="N3" s="23" t="s">
        <v>16</v>
      </c>
      <c r="O3" s="23" t="s">
        <v>17</v>
      </c>
    </row>
    <row r="4" spans="1:15">
      <c r="A4" s="30" t="s">
        <v>71</v>
      </c>
      <c r="B4" s="28" t="s">
        <v>69</v>
      </c>
      <c r="C4" s="20" t="str">
        <f ca="1">MID(
  CELL("filename",B3),
  FIND("New_",CELL("filename",B3))+4,
  FIND(".xlsm",CELL("filename",B3))-FIND("New_",CELL("filename",B3))-4
)</f>
        <v>171</v>
      </c>
      <c r="D4" s="20" t="s">
        <v>61</v>
      </c>
      <c r="E4" s="18" t="str">
        <f ca="1">B4&amp;C4&amp;D4</f>
        <v>gacha_bonus_tables_171.tmp</v>
      </c>
      <c r="F4" s="20" t="s">
        <v>64</v>
      </c>
      <c r="G4" s="22" t="s">
        <v>23</v>
      </c>
      <c r="H4" s="24" t="s">
        <v>26</v>
      </c>
      <c r="I4" s="22" t="s">
        <v>24</v>
      </c>
      <c r="J4" s="21"/>
      <c r="K4" s="21"/>
      <c r="L4" s="21"/>
      <c r="M4" s="21"/>
      <c r="N4" s="21"/>
      <c r="O4" s="21"/>
    </row>
    <row r="5" spans="1:15">
      <c r="A5" s="30" t="s">
        <v>71</v>
      </c>
      <c r="B5" s="20" t="s">
        <v>65</v>
      </c>
      <c r="C5" s="20" t="str">
        <f ca="1">MID(
  CELL("filename",B4),
  FIND("New_",CELL("filename",B4))+4,
  FIND(".xlsm",CELL("filename",B4))-FIND("New_",CELL("filename",B4))-4
)</f>
        <v>171</v>
      </c>
      <c r="D5" s="20" t="s">
        <v>61</v>
      </c>
      <c r="E5" s="18" t="str">
        <f ca="1">B5&amp;C5&amp;D5</f>
        <v>gifts_tmp_171.tmp</v>
      </c>
      <c r="F5" s="20" t="s">
        <v>64</v>
      </c>
      <c r="G5" s="24" t="s">
        <v>34</v>
      </c>
      <c r="H5" s="25" t="s">
        <v>42</v>
      </c>
      <c r="I5" s="24" t="s">
        <v>35</v>
      </c>
      <c r="J5" s="24" t="s">
        <v>36</v>
      </c>
      <c r="K5" s="24" t="s">
        <v>36</v>
      </c>
      <c r="L5" s="24" t="s">
        <v>37</v>
      </c>
      <c r="M5" s="24" t="s">
        <v>37</v>
      </c>
      <c r="N5" s="24" t="s">
        <v>37</v>
      </c>
      <c r="O5" s="20"/>
    </row>
    <row r="6" spans="1:15">
      <c r="A6" s="30" t="s">
        <v>71</v>
      </c>
      <c r="B6" s="20" t="s">
        <v>66</v>
      </c>
      <c r="C6" s="20" t="str">
        <f ca="1">MID(
  CELL("filename",B5),
  FIND("New_",CELL("filename",B5))+4,
  FIND(".xlsm",CELL("filename",B5))-FIND("New_",CELL("filename",B5))-4
)</f>
        <v>171</v>
      </c>
      <c r="D6" s="20" t="s">
        <v>61</v>
      </c>
      <c r="E6" s="18" t="str">
        <f ca="1">B6&amp;C6&amp;D6</f>
        <v>gifts_i18n_171.tmp</v>
      </c>
      <c r="F6" s="20" t="s">
        <v>64</v>
      </c>
      <c r="G6" s="24" t="s">
        <v>25</v>
      </c>
      <c r="H6" s="26" t="s">
        <v>38</v>
      </c>
      <c r="I6" s="26" t="s">
        <v>39</v>
      </c>
      <c r="J6" s="26" t="s">
        <v>40</v>
      </c>
      <c r="K6" s="26" t="s">
        <v>41</v>
      </c>
      <c r="L6" s="27"/>
      <c r="M6" s="24"/>
      <c r="N6" s="24"/>
      <c r="O6" s="2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C15" sqref="C15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1" t="str">
        <f>0&amp;C2&amp;D2</f>
        <v>0</v>
      </c>
      <c r="C2" s="31"/>
    </row>
    <row r="3" spans="1:5">
      <c r="A3" s="11" t="str">
        <f t="shared" ref="A3:A9" si="0">0&amp;C3&amp;D3&amp;E3</f>
        <v>0PremiumW4</v>
      </c>
      <c r="B3">
        <v>6458</v>
      </c>
      <c r="C3" s="32" t="s">
        <v>72</v>
      </c>
      <c r="D3">
        <v>4</v>
      </c>
    </row>
    <row r="4" spans="1:5">
      <c r="A4" s="11" t="str">
        <f t="shared" si="0"/>
        <v>0PremiumN4</v>
      </c>
      <c r="B4">
        <v>12141</v>
      </c>
      <c r="C4" s="32" t="s">
        <v>73</v>
      </c>
      <c r="D4">
        <v>4</v>
      </c>
    </row>
    <row r="5" spans="1:5">
      <c r="A5" s="11" t="str">
        <f t="shared" si="0"/>
        <v>0PremiumS4</v>
      </c>
      <c r="B5">
        <v>12141</v>
      </c>
      <c r="C5" s="32" t="s">
        <v>74</v>
      </c>
      <c r="D5">
        <v>4</v>
      </c>
    </row>
    <row r="6" spans="1:5">
      <c r="A6" s="11" t="str">
        <f t="shared" si="0"/>
        <v>0PremiumSS4</v>
      </c>
      <c r="B6">
        <v>1464</v>
      </c>
      <c r="C6" s="32" t="s">
        <v>75</v>
      </c>
      <c r="D6">
        <v>4</v>
      </c>
    </row>
    <row r="7" spans="1:5">
      <c r="A7" s="11" t="str">
        <f t="shared" si="0"/>
        <v>0PremiumN5</v>
      </c>
      <c r="B7">
        <v>775</v>
      </c>
      <c r="C7" s="32" t="s">
        <v>73</v>
      </c>
      <c r="D7">
        <v>5</v>
      </c>
    </row>
    <row r="8" spans="1:5">
      <c r="A8" s="11" t="str">
        <f t="shared" si="0"/>
        <v>0PremiumS5</v>
      </c>
      <c r="B8">
        <v>775</v>
      </c>
      <c r="C8" s="32" t="s">
        <v>74</v>
      </c>
      <c r="D8">
        <v>5</v>
      </c>
    </row>
    <row r="9" spans="1:5">
      <c r="A9" s="11" t="str">
        <f t="shared" si="0"/>
        <v>0PremiumSS5</v>
      </c>
      <c r="B9">
        <v>93</v>
      </c>
      <c r="C9" s="33" t="s">
        <v>75</v>
      </c>
      <c r="D9">
        <v>5</v>
      </c>
    </row>
    <row r="10" spans="1:5">
      <c r="A10" s="11"/>
      <c r="C10" s="32"/>
    </row>
    <row r="11" spans="1:5">
      <c r="A11" s="11"/>
      <c r="C11" s="32"/>
    </row>
    <row r="12" spans="1:5">
      <c r="A12" s="11"/>
      <c r="C12" s="32"/>
    </row>
    <row r="13" spans="1:5">
      <c r="A13" s="11"/>
      <c r="C13" s="32"/>
    </row>
    <row r="14" spans="1:5">
      <c r="A14" s="11"/>
      <c r="C14" s="32"/>
    </row>
    <row r="15" spans="1:5">
      <c r="A15" s="11"/>
      <c r="C15" s="33"/>
    </row>
    <row r="16" spans="1:5">
      <c r="A16" s="11"/>
    </row>
    <row r="17" spans="1:1">
      <c r="A17" s="11"/>
    </row>
    <row r="18" spans="1:1">
      <c r="A18" s="11"/>
    </row>
    <row r="19" spans="1:1">
      <c r="A19" s="9"/>
    </row>
    <row r="20" spans="1:1">
      <c r="A20" s="9"/>
    </row>
    <row r="21" spans="1:1">
      <c r="A21" s="9"/>
    </row>
    <row r="22" spans="1:1">
      <c r="A22" s="9"/>
    </row>
    <row r="23" spans="1:1">
      <c r="A23" s="9"/>
    </row>
    <row r="24" spans="1:1">
      <c r="A24" s="9"/>
    </row>
    <row r="25" spans="1:1">
      <c r="A25" s="9"/>
    </row>
    <row r="26" spans="1:1">
      <c r="A26" s="9"/>
    </row>
    <row r="27" spans="1:1">
      <c r="A27" s="9"/>
    </row>
    <row r="28" spans="1:1">
      <c r="A28" s="9"/>
    </row>
    <row r="29" spans="1:1">
      <c r="A29" s="9"/>
    </row>
    <row r="30" spans="1:1">
      <c r="A30" s="9"/>
    </row>
    <row r="31" spans="1:1">
      <c r="A31" s="9"/>
    </row>
    <row r="32" spans="1:1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14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G15" sqref="G15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3" t="s">
        <v>20</v>
      </c>
      <c r="C1" s="3" t="s">
        <v>43</v>
      </c>
      <c r="D1" s="3" t="s">
        <v>44</v>
      </c>
      <c r="E1" s="16" t="s">
        <v>45</v>
      </c>
      <c r="F1" s="16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16" t="s">
        <v>53</v>
      </c>
      <c r="N1" s="16" t="s">
        <v>52</v>
      </c>
      <c r="O1" s="35" t="s">
        <v>13</v>
      </c>
      <c r="P1" s="35" t="s">
        <v>14</v>
      </c>
      <c r="Q1" s="35" t="s">
        <v>15</v>
      </c>
      <c r="R1" s="35" t="s">
        <v>16</v>
      </c>
      <c r="S1" s="35" t="s">
        <v>17</v>
      </c>
    </row>
    <row r="2" spans="1:19" ht="21" customHeight="1">
      <c r="A2" s="7" t="str">
        <f t="shared" ref="A2:A64" si="0">B2&amp;F2</f>
        <v>1710127</v>
      </c>
      <c r="B2" s="2" t="str">
        <f t="shared" ref="B2:B44" si="1">171&amp;E2</f>
        <v>1710</v>
      </c>
      <c r="C2" s="8" t="str">
        <f t="shared" ref="C2:C36" si="2">E2&amp;H2&amp;I2</f>
        <v>0PremiumW4</v>
      </c>
      <c r="D2" s="8" t="str">
        <f t="shared" ref="D2:D44" si="3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2">
        <f>VLOOKUP(D2,gacha_171_base!A:B,2,FALSE)</f>
        <v>6458</v>
      </c>
      <c r="N2" s="36">
        <f>IFERROR(VLOOKUP($F2,bug_conf_sheet!$A:$H,3,FALSE),VLOOKUP("other",bug_conf_sheet!$A:$H,3,FALSE))</f>
        <v>1</v>
      </c>
      <c r="O2" s="36">
        <f>IFERROR(VLOOKUP($F2,bug_conf_sheet!$A:$H,4,FALSE),VLOOKUP("other",bug_conf_sheet!$A:$H,4,FALSE))</f>
        <v>0</v>
      </c>
      <c r="P2" s="36">
        <f>IFERROR(VLOOKUP($F2,bug_conf_sheet!$A:$H,5,FALSE),VLOOKUP("other",bug_conf_sheet!$A:$H,5,FALSE))</f>
        <v>0</v>
      </c>
      <c r="Q2" s="36">
        <f>IFERROR(VLOOKUP($F2,bug_conf_sheet!$A:$H,6,FALSE),VLOOKUP("other",bug_conf_sheet!$A:$H,6,FALSE))</f>
        <v>0</v>
      </c>
      <c r="R2" s="36">
        <f>IFERROR(VLOOKUP($F2,bug_conf_sheet!$A:$H,7,FALSE),VLOOKUP("other",bug_conf_sheet!$A:$H,7,FALSE))</f>
        <v>0</v>
      </c>
      <c r="S2" s="36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1710129</v>
      </c>
      <c r="B3" s="2" t="str">
        <f t="shared" si="1"/>
        <v>1710</v>
      </c>
      <c r="C3" s="8" t="str">
        <f t="shared" si="2"/>
        <v>0PremiumW4</v>
      </c>
      <c r="D3" s="8" t="str">
        <f t="shared" si="3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2">
        <f>VLOOKUP(D3,gacha_171_base!A:B,2,FALSE)</f>
        <v>6458</v>
      </c>
      <c r="N3" s="36">
        <f>IFERROR(VLOOKUP($F3,bug_conf_sheet!$A:$H,3,FALSE),VLOOKUP("other",bug_conf_sheet!$A:$H,3,FALSE))</f>
        <v>1</v>
      </c>
      <c r="O3" s="36">
        <f>IFERROR(VLOOKUP($F3,bug_conf_sheet!$A:$H,4,FALSE),VLOOKUP("other",bug_conf_sheet!$A:$H,4,FALSE))</f>
        <v>0</v>
      </c>
      <c r="P3" s="36">
        <f>IFERROR(VLOOKUP($F3,bug_conf_sheet!$A:$H,5,FALSE),VLOOKUP("other",bug_conf_sheet!$A:$H,5,FALSE))</f>
        <v>0</v>
      </c>
      <c r="Q3" s="36">
        <f>IFERROR(VLOOKUP($F3,bug_conf_sheet!$A:$H,6,FALSE),VLOOKUP("other",bug_conf_sheet!$A:$H,6,FALSE))</f>
        <v>0</v>
      </c>
      <c r="R3" s="36">
        <f>IFERROR(VLOOKUP($F3,bug_conf_sheet!$A:$H,7,FALSE),VLOOKUP("other",bug_conf_sheet!$A:$H,7,FALSE))</f>
        <v>0</v>
      </c>
      <c r="S3" s="36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1710131</v>
      </c>
      <c r="B4" s="2" t="str">
        <f t="shared" si="1"/>
        <v>1710</v>
      </c>
      <c r="C4" s="8" t="str">
        <f t="shared" si="2"/>
        <v>0PremiumW4</v>
      </c>
      <c r="D4" s="8" t="str">
        <f t="shared" si="3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2">
        <f>VLOOKUP(D4,gacha_171_base!A:B,2,FALSE)</f>
        <v>6458</v>
      </c>
      <c r="N4" s="36">
        <f>IFERROR(VLOOKUP($F4,bug_conf_sheet!$A:$H,3,FALSE),VLOOKUP("other",bug_conf_sheet!$A:$H,3,FALSE))</f>
        <v>1</v>
      </c>
      <c r="O4" s="36">
        <f>IFERROR(VLOOKUP($F4,bug_conf_sheet!$A:$H,4,FALSE),VLOOKUP("other",bug_conf_sheet!$A:$H,4,FALSE))</f>
        <v>0</v>
      </c>
      <c r="P4" s="36">
        <f>IFERROR(VLOOKUP($F4,bug_conf_sheet!$A:$H,5,FALSE),VLOOKUP("other",bug_conf_sheet!$A:$H,5,FALSE))</f>
        <v>0</v>
      </c>
      <c r="Q4" s="36">
        <f>IFERROR(VLOOKUP($F4,bug_conf_sheet!$A:$H,6,FALSE),VLOOKUP("other",bug_conf_sheet!$A:$H,6,FALSE))</f>
        <v>0</v>
      </c>
      <c r="R4" s="36">
        <f>IFERROR(VLOOKUP($F4,bug_conf_sheet!$A:$H,7,FALSE),VLOOKUP("other",bug_conf_sheet!$A:$H,7,FALSE))</f>
        <v>0</v>
      </c>
      <c r="S4" s="36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1710133</v>
      </c>
      <c r="B5" s="2" t="str">
        <f t="shared" si="1"/>
        <v>1710</v>
      </c>
      <c r="C5" s="8" t="str">
        <f t="shared" si="2"/>
        <v>0PremiumW4</v>
      </c>
      <c r="D5" s="8" t="str">
        <f t="shared" si="3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2">
        <f>VLOOKUP(D5,gacha_171_base!A:B,2,FALSE)</f>
        <v>6458</v>
      </c>
      <c r="N5" s="36">
        <f>IFERROR(VLOOKUP($F5,bug_conf_sheet!$A:$H,3,FALSE),VLOOKUP("other",bug_conf_sheet!$A:$H,3,FALSE))</f>
        <v>1</v>
      </c>
      <c r="O5" s="36">
        <f>IFERROR(VLOOKUP($F5,bug_conf_sheet!$A:$H,4,FALSE),VLOOKUP("other",bug_conf_sheet!$A:$H,4,FALSE))</f>
        <v>0</v>
      </c>
      <c r="P5" s="36">
        <f>IFERROR(VLOOKUP($F5,bug_conf_sheet!$A:$H,5,FALSE),VLOOKUP("other",bug_conf_sheet!$A:$H,5,FALSE))</f>
        <v>0</v>
      </c>
      <c r="Q5" s="36">
        <f>IFERROR(VLOOKUP($F5,bug_conf_sheet!$A:$H,6,FALSE),VLOOKUP("other",bug_conf_sheet!$A:$H,6,FALSE))</f>
        <v>0</v>
      </c>
      <c r="R5" s="36">
        <f>IFERROR(VLOOKUP($F5,bug_conf_sheet!$A:$H,7,FALSE),VLOOKUP("other",bug_conf_sheet!$A:$H,7,FALSE))</f>
        <v>0</v>
      </c>
      <c r="S5" s="36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1710135</v>
      </c>
      <c r="B6" s="2" t="str">
        <f t="shared" si="1"/>
        <v>1710</v>
      </c>
      <c r="C6" s="8" t="str">
        <f t="shared" si="2"/>
        <v>0PremiumW4</v>
      </c>
      <c r="D6" s="8" t="str">
        <f t="shared" si="3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2">
        <f>VLOOKUP(D6,gacha_171_base!A:B,2,FALSE)</f>
        <v>6458</v>
      </c>
      <c r="N6" s="36">
        <f>IFERROR(VLOOKUP($F6,bug_conf_sheet!$A:$H,3,FALSE),VLOOKUP("other",bug_conf_sheet!$A:$H,3,FALSE))</f>
        <v>1</v>
      </c>
      <c r="O6" s="36">
        <f>IFERROR(VLOOKUP($F6,bug_conf_sheet!$A:$H,4,FALSE),VLOOKUP("other",bug_conf_sheet!$A:$H,4,FALSE))</f>
        <v>0</v>
      </c>
      <c r="P6" s="36">
        <f>IFERROR(VLOOKUP($F6,bug_conf_sheet!$A:$H,5,FALSE),VLOOKUP("other",bug_conf_sheet!$A:$H,5,FALSE))</f>
        <v>0</v>
      </c>
      <c r="Q6" s="36">
        <f>IFERROR(VLOOKUP($F6,bug_conf_sheet!$A:$H,6,FALSE),VLOOKUP("other",bug_conf_sheet!$A:$H,6,FALSE))</f>
        <v>0</v>
      </c>
      <c r="R6" s="36">
        <f>IFERROR(VLOOKUP($F6,bug_conf_sheet!$A:$H,7,FALSE),VLOOKUP("other",bug_conf_sheet!$A:$H,7,FALSE))</f>
        <v>0</v>
      </c>
      <c r="S6" s="36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1710137</v>
      </c>
      <c r="B7" s="2" t="str">
        <f t="shared" si="1"/>
        <v>1710</v>
      </c>
      <c r="C7" s="8" t="str">
        <f t="shared" si="2"/>
        <v>0PremiumW4</v>
      </c>
      <c r="D7" s="8" t="str">
        <f t="shared" si="3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2">
        <f>VLOOKUP(D7,gacha_171_base!A:B,2,FALSE)</f>
        <v>6458</v>
      </c>
      <c r="N7" s="36">
        <f>IFERROR(VLOOKUP($F7,bug_conf_sheet!$A:$H,3,FALSE),VLOOKUP("other",bug_conf_sheet!$A:$H,3,FALSE))</f>
        <v>1</v>
      </c>
      <c r="O7" s="36">
        <f>IFERROR(VLOOKUP($F7,bug_conf_sheet!$A:$H,4,FALSE),VLOOKUP("other",bug_conf_sheet!$A:$H,4,FALSE))</f>
        <v>0</v>
      </c>
      <c r="P7" s="36">
        <f>IFERROR(VLOOKUP($F7,bug_conf_sheet!$A:$H,5,FALSE),VLOOKUP("other",bug_conf_sheet!$A:$H,5,FALSE))</f>
        <v>0</v>
      </c>
      <c r="Q7" s="36">
        <f>IFERROR(VLOOKUP($F7,bug_conf_sheet!$A:$H,6,FALSE),VLOOKUP("other",bug_conf_sheet!$A:$H,6,FALSE))</f>
        <v>0</v>
      </c>
      <c r="R7" s="36">
        <f>IFERROR(VLOOKUP($F7,bug_conf_sheet!$A:$H,7,FALSE),VLOOKUP("other",bug_conf_sheet!$A:$H,7,FALSE))</f>
        <v>0</v>
      </c>
      <c r="S7" s="36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1710139</v>
      </c>
      <c r="B8" s="2" t="str">
        <f t="shared" si="1"/>
        <v>1710</v>
      </c>
      <c r="C8" s="8" t="str">
        <f t="shared" si="2"/>
        <v>0PremiumW4</v>
      </c>
      <c r="D8" s="8" t="str">
        <f t="shared" si="3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2">
        <f>VLOOKUP(D8,gacha_171_base!A:B,2,FALSE)</f>
        <v>6458</v>
      </c>
      <c r="N8" s="36">
        <f>IFERROR(VLOOKUP($F8,bug_conf_sheet!$A:$H,3,FALSE),VLOOKUP("other",bug_conf_sheet!$A:$H,3,FALSE))</f>
        <v>1</v>
      </c>
      <c r="O8" s="36">
        <f>IFERROR(VLOOKUP($F8,bug_conf_sheet!$A:$H,4,FALSE),VLOOKUP("other",bug_conf_sheet!$A:$H,4,FALSE))</f>
        <v>0</v>
      </c>
      <c r="P8" s="36">
        <f>IFERROR(VLOOKUP($F8,bug_conf_sheet!$A:$H,5,FALSE),VLOOKUP("other",bug_conf_sheet!$A:$H,5,FALSE))</f>
        <v>0</v>
      </c>
      <c r="Q8" s="36">
        <f>IFERROR(VLOOKUP($F8,bug_conf_sheet!$A:$H,6,FALSE),VLOOKUP("other",bug_conf_sheet!$A:$H,6,FALSE))</f>
        <v>0</v>
      </c>
      <c r="R8" s="36">
        <f>IFERROR(VLOOKUP($F8,bug_conf_sheet!$A:$H,7,FALSE),VLOOKUP("other",bug_conf_sheet!$A:$H,7,FALSE))</f>
        <v>0</v>
      </c>
      <c r="S8" s="36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1710141</v>
      </c>
      <c r="B9" s="2" t="str">
        <f t="shared" si="1"/>
        <v>1710</v>
      </c>
      <c r="C9" s="8" t="str">
        <f t="shared" si="2"/>
        <v>0PremiumW4</v>
      </c>
      <c r="D9" s="8" t="str">
        <f t="shared" si="3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2">
        <f>VLOOKUP(D9,gacha_171_base!A:B,2,FALSE)</f>
        <v>6458</v>
      </c>
      <c r="N9" s="36">
        <f>IFERROR(VLOOKUP($F9,bug_conf_sheet!$A:$H,3,FALSE),VLOOKUP("other",bug_conf_sheet!$A:$H,3,FALSE))</f>
        <v>1</v>
      </c>
      <c r="O9" s="36">
        <f>IFERROR(VLOOKUP($F9,bug_conf_sheet!$A:$H,4,FALSE),VLOOKUP("other",bug_conf_sheet!$A:$H,4,FALSE))</f>
        <v>0</v>
      </c>
      <c r="P9" s="36">
        <f>IFERROR(VLOOKUP($F9,bug_conf_sheet!$A:$H,5,FALSE),VLOOKUP("other",bug_conf_sheet!$A:$H,5,FALSE))</f>
        <v>0</v>
      </c>
      <c r="Q9" s="36">
        <f>IFERROR(VLOOKUP($F9,bug_conf_sheet!$A:$H,6,FALSE),VLOOKUP("other",bug_conf_sheet!$A:$H,6,FALSE))</f>
        <v>0</v>
      </c>
      <c r="R9" s="36">
        <f>IFERROR(VLOOKUP($F9,bug_conf_sheet!$A:$H,7,FALSE),VLOOKUP("other",bug_conf_sheet!$A:$H,7,FALSE))</f>
        <v>0</v>
      </c>
      <c r="S9" s="36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1710143</v>
      </c>
      <c r="B10" s="2" t="str">
        <f t="shared" si="1"/>
        <v>1710</v>
      </c>
      <c r="C10" s="8" t="str">
        <f t="shared" si="2"/>
        <v>0PremiumW4</v>
      </c>
      <c r="D10" s="8" t="str">
        <f t="shared" si="3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2">
        <f>VLOOKUP(D10,gacha_171_base!A:B,2,FALSE)</f>
        <v>6458</v>
      </c>
      <c r="N10" s="36">
        <f>IFERROR(VLOOKUP($F10,bug_conf_sheet!$A:$H,3,FALSE),VLOOKUP("other",bug_conf_sheet!$A:$H,3,FALSE))</f>
        <v>1</v>
      </c>
      <c r="O10" s="36">
        <f>IFERROR(VLOOKUP($F10,bug_conf_sheet!$A:$H,4,FALSE),VLOOKUP("other",bug_conf_sheet!$A:$H,4,FALSE))</f>
        <v>0</v>
      </c>
      <c r="P10" s="36">
        <f>IFERROR(VLOOKUP($F10,bug_conf_sheet!$A:$H,5,FALSE),VLOOKUP("other",bug_conf_sheet!$A:$H,5,FALSE))</f>
        <v>0</v>
      </c>
      <c r="Q10" s="36">
        <f>IFERROR(VLOOKUP($F10,bug_conf_sheet!$A:$H,6,FALSE),VLOOKUP("other",bug_conf_sheet!$A:$H,6,FALSE))</f>
        <v>0</v>
      </c>
      <c r="R10" s="36">
        <f>IFERROR(VLOOKUP($F10,bug_conf_sheet!$A:$H,7,FALSE),VLOOKUP("other",bug_conf_sheet!$A:$H,7,FALSE))</f>
        <v>0</v>
      </c>
      <c r="S10" s="36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1710145</v>
      </c>
      <c r="B11" s="2" t="str">
        <f t="shared" si="1"/>
        <v>1710</v>
      </c>
      <c r="C11" s="8" t="str">
        <f t="shared" si="2"/>
        <v>0PremiumW4</v>
      </c>
      <c r="D11" s="8" t="str">
        <f t="shared" si="3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2">
        <f>VLOOKUP(D11,gacha_171_base!A:B,2,FALSE)</f>
        <v>6458</v>
      </c>
      <c r="N11" s="36">
        <f>IFERROR(VLOOKUP($F11,bug_conf_sheet!$A:$H,3,FALSE),VLOOKUP("other",bug_conf_sheet!$A:$H,3,FALSE))</f>
        <v>1</v>
      </c>
      <c r="O11" s="36">
        <f>IFERROR(VLOOKUP($F11,bug_conf_sheet!$A:$H,4,FALSE),VLOOKUP("other",bug_conf_sheet!$A:$H,4,FALSE))</f>
        <v>0</v>
      </c>
      <c r="P11" s="36">
        <f>IFERROR(VLOOKUP($F11,bug_conf_sheet!$A:$H,5,FALSE),VLOOKUP("other",bug_conf_sheet!$A:$H,5,FALSE))</f>
        <v>0</v>
      </c>
      <c r="Q11" s="36">
        <f>IFERROR(VLOOKUP($F11,bug_conf_sheet!$A:$H,6,FALSE),VLOOKUP("other",bug_conf_sheet!$A:$H,6,FALSE))</f>
        <v>0</v>
      </c>
      <c r="R11" s="36">
        <f>IFERROR(VLOOKUP($F11,bug_conf_sheet!$A:$H,7,FALSE),VLOOKUP("other",bug_conf_sheet!$A:$H,7,FALSE))</f>
        <v>0</v>
      </c>
      <c r="S11" s="36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1710147</v>
      </c>
      <c r="B12" s="2" t="str">
        <f t="shared" si="1"/>
        <v>1710</v>
      </c>
      <c r="C12" s="8" t="str">
        <f t="shared" si="2"/>
        <v>0PremiumW4</v>
      </c>
      <c r="D12" s="8" t="str">
        <f t="shared" si="3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2">
        <f>VLOOKUP(D12,gacha_171_base!A:B,2,FALSE)</f>
        <v>6458</v>
      </c>
      <c r="N12" s="36">
        <f>IFERROR(VLOOKUP($F12,bug_conf_sheet!$A:$H,3,FALSE),VLOOKUP("other",bug_conf_sheet!$A:$H,3,FALSE))</f>
        <v>1</v>
      </c>
      <c r="O12" s="36">
        <f>IFERROR(VLOOKUP($F12,bug_conf_sheet!$A:$H,4,FALSE),VLOOKUP("other",bug_conf_sheet!$A:$H,4,FALSE))</f>
        <v>0</v>
      </c>
      <c r="P12" s="36">
        <f>IFERROR(VLOOKUP($F12,bug_conf_sheet!$A:$H,5,FALSE),VLOOKUP("other",bug_conf_sheet!$A:$H,5,FALSE))</f>
        <v>0</v>
      </c>
      <c r="Q12" s="36">
        <f>IFERROR(VLOOKUP($F12,bug_conf_sheet!$A:$H,6,FALSE),VLOOKUP("other",bug_conf_sheet!$A:$H,6,FALSE))</f>
        <v>0</v>
      </c>
      <c r="R12" s="36">
        <f>IFERROR(VLOOKUP($F12,bug_conf_sheet!$A:$H,7,FALSE),VLOOKUP("other",bug_conf_sheet!$A:$H,7,FALSE))</f>
        <v>0</v>
      </c>
      <c r="S12" s="36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1710149</v>
      </c>
      <c r="B13" s="2" t="str">
        <f t="shared" si="1"/>
        <v>1710</v>
      </c>
      <c r="C13" s="8" t="str">
        <f t="shared" si="2"/>
        <v>0PremiumW4</v>
      </c>
      <c r="D13" s="8" t="str">
        <f t="shared" si="3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2">
        <f>VLOOKUP(D13,gacha_171_base!A:B,2,FALSE)</f>
        <v>6458</v>
      </c>
      <c r="N13" s="36">
        <f>IFERROR(VLOOKUP($F13,bug_conf_sheet!$A:$H,3,FALSE),VLOOKUP("other",bug_conf_sheet!$A:$H,3,FALSE))</f>
        <v>1</v>
      </c>
      <c r="O13" s="36">
        <f>IFERROR(VLOOKUP($F13,bug_conf_sheet!$A:$H,4,FALSE),VLOOKUP("other",bug_conf_sheet!$A:$H,4,FALSE))</f>
        <v>0</v>
      </c>
      <c r="P13" s="36">
        <f>IFERROR(VLOOKUP($F13,bug_conf_sheet!$A:$H,5,FALSE),VLOOKUP("other",bug_conf_sheet!$A:$H,5,FALSE))</f>
        <v>0</v>
      </c>
      <c r="Q13" s="36">
        <f>IFERROR(VLOOKUP($F13,bug_conf_sheet!$A:$H,6,FALSE),VLOOKUP("other",bug_conf_sheet!$A:$H,6,FALSE))</f>
        <v>0</v>
      </c>
      <c r="R13" s="36">
        <f>IFERROR(VLOOKUP($F13,bug_conf_sheet!$A:$H,7,FALSE),VLOOKUP("other",bug_conf_sheet!$A:$H,7,FALSE))</f>
        <v>0</v>
      </c>
      <c r="S13" s="36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1710151</v>
      </c>
      <c r="B14" s="2" t="str">
        <f t="shared" si="1"/>
        <v>1710</v>
      </c>
      <c r="C14" s="8" t="str">
        <f t="shared" si="2"/>
        <v>0PremiumW4</v>
      </c>
      <c r="D14" s="8" t="str">
        <f t="shared" si="3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2">
        <f>VLOOKUP(D14,gacha_171_base!A:B,2,FALSE)</f>
        <v>6458</v>
      </c>
      <c r="N14" s="36">
        <f>IFERROR(VLOOKUP($F14,bug_conf_sheet!$A:$H,3,FALSE),VLOOKUP("other",bug_conf_sheet!$A:$H,3,FALSE))</f>
        <v>1</v>
      </c>
      <c r="O14" s="36">
        <f>IFERROR(VLOOKUP($F14,bug_conf_sheet!$A:$H,4,FALSE),VLOOKUP("other",bug_conf_sheet!$A:$H,4,FALSE))</f>
        <v>0</v>
      </c>
      <c r="P14" s="36">
        <f>IFERROR(VLOOKUP($F14,bug_conf_sheet!$A:$H,5,FALSE),VLOOKUP("other",bug_conf_sheet!$A:$H,5,FALSE))</f>
        <v>0</v>
      </c>
      <c r="Q14" s="36">
        <f>IFERROR(VLOOKUP($F14,bug_conf_sheet!$A:$H,6,FALSE),VLOOKUP("other",bug_conf_sheet!$A:$H,6,FALSE))</f>
        <v>0</v>
      </c>
      <c r="R14" s="36">
        <f>IFERROR(VLOOKUP($F14,bug_conf_sheet!$A:$H,7,FALSE),VLOOKUP("other",bug_conf_sheet!$A:$H,7,FALSE))</f>
        <v>0</v>
      </c>
      <c r="S14" s="36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1710153</v>
      </c>
      <c r="B15" s="2" t="str">
        <f t="shared" si="1"/>
        <v>1710</v>
      </c>
      <c r="C15" s="8" t="str">
        <f t="shared" si="2"/>
        <v>0PremiumW4</v>
      </c>
      <c r="D15" s="8" t="str">
        <f t="shared" si="3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2">
        <f>VLOOKUP(D15,gacha_171_base!A:B,2,FALSE)</f>
        <v>6458</v>
      </c>
      <c r="N15" s="36">
        <f>IFERROR(VLOOKUP($F15,bug_conf_sheet!$A:$H,3,FALSE),VLOOKUP("other",bug_conf_sheet!$A:$H,3,FALSE))</f>
        <v>1</v>
      </c>
      <c r="O15" s="36">
        <f>IFERROR(VLOOKUP($F15,bug_conf_sheet!$A:$H,4,FALSE),VLOOKUP("other",bug_conf_sheet!$A:$H,4,FALSE))</f>
        <v>0</v>
      </c>
      <c r="P15" s="36">
        <f>IFERROR(VLOOKUP($F15,bug_conf_sheet!$A:$H,5,FALSE),VLOOKUP("other",bug_conf_sheet!$A:$H,5,FALSE))</f>
        <v>0</v>
      </c>
      <c r="Q15" s="36">
        <f>IFERROR(VLOOKUP($F15,bug_conf_sheet!$A:$H,6,FALSE),VLOOKUP("other",bug_conf_sheet!$A:$H,6,FALSE))</f>
        <v>0</v>
      </c>
      <c r="R15" s="36">
        <f>IFERROR(VLOOKUP($F15,bug_conf_sheet!$A:$H,7,FALSE),VLOOKUP("other",bug_conf_sheet!$A:$H,7,FALSE))</f>
        <v>0</v>
      </c>
      <c r="S15" s="36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1710155</v>
      </c>
      <c r="B16" s="2" t="str">
        <f t="shared" si="1"/>
        <v>1710</v>
      </c>
      <c r="C16" s="8" t="str">
        <f t="shared" si="2"/>
        <v>0PremiumW4</v>
      </c>
      <c r="D16" s="8" t="str">
        <f t="shared" si="3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2">
        <f>VLOOKUP(D16,gacha_171_base!A:B,2,FALSE)</f>
        <v>6458</v>
      </c>
      <c r="N16" s="36">
        <f>IFERROR(VLOOKUP($F16,bug_conf_sheet!$A:$H,3,FALSE),VLOOKUP("other",bug_conf_sheet!$A:$H,3,FALSE))</f>
        <v>1</v>
      </c>
      <c r="O16" s="36">
        <f>IFERROR(VLOOKUP($F16,bug_conf_sheet!$A:$H,4,FALSE),VLOOKUP("other",bug_conf_sheet!$A:$H,4,FALSE))</f>
        <v>0</v>
      </c>
      <c r="P16" s="36">
        <f>IFERROR(VLOOKUP($F16,bug_conf_sheet!$A:$H,5,FALSE),VLOOKUP("other",bug_conf_sheet!$A:$H,5,FALSE))</f>
        <v>0</v>
      </c>
      <c r="Q16" s="36">
        <f>IFERROR(VLOOKUP($F16,bug_conf_sheet!$A:$H,6,FALSE),VLOOKUP("other",bug_conf_sheet!$A:$H,6,FALSE))</f>
        <v>0</v>
      </c>
      <c r="R16" s="36">
        <f>IFERROR(VLOOKUP($F16,bug_conf_sheet!$A:$H,7,FALSE),VLOOKUP("other",bug_conf_sheet!$A:$H,7,FALSE))</f>
        <v>0</v>
      </c>
      <c r="S16" s="36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1710157</v>
      </c>
      <c r="B17" s="2" t="str">
        <f t="shared" si="1"/>
        <v>1710</v>
      </c>
      <c r="C17" s="8" t="str">
        <f t="shared" si="2"/>
        <v>0PremiumW4</v>
      </c>
      <c r="D17" s="8" t="str">
        <f t="shared" si="3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2">
        <f>VLOOKUP(D17,gacha_171_base!A:B,2,FALSE)</f>
        <v>6458</v>
      </c>
      <c r="N17" s="36">
        <f>IFERROR(VLOOKUP($F17,bug_conf_sheet!$A:$H,3,FALSE),VLOOKUP("other",bug_conf_sheet!$A:$H,3,FALSE))</f>
        <v>1</v>
      </c>
      <c r="O17" s="36">
        <f>IFERROR(VLOOKUP($F17,bug_conf_sheet!$A:$H,4,FALSE),VLOOKUP("other",bug_conf_sheet!$A:$H,4,FALSE))</f>
        <v>0</v>
      </c>
      <c r="P17" s="36">
        <f>IFERROR(VLOOKUP($F17,bug_conf_sheet!$A:$H,5,FALSE),VLOOKUP("other",bug_conf_sheet!$A:$H,5,FALSE))</f>
        <v>0</v>
      </c>
      <c r="Q17" s="36">
        <f>IFERROR(VLOOKUP($F17,bug_conf_sheet!$A:$H,6,FALSE),VLOOKUP("other",bug_conf_sheet!$A:$H,6,FALSE))</f>
        <v>0</v>
      </c>
      <c r="R17" s="36">
        <f>IFERROR(VLOOKUP($F17,bug_conf_sheet!$A:$H,7,FALSE),VLOOKUP("other",bug_conf_sheet!$A:$H,7,FALSE))</f>
        <v>0</v>
      </c>
      <c r="S17" s="36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1710159</v>
      </c>
      <c r="B18" s="2" t="str">
        <f t="shared" si="1"/>
        <v>1710</v>
      </c>
      <c r="C18" s="8" t="str">
        <f t="shared" si="2"/>
        <v>0PremiumW4</v>
      </c>
      <c r="D18" s="8" t="str">
        <f t="shared" si="3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2">
        <f>VLOOKUP(D18,gacha_171_base!A:B,2,FALSE)</f>
        <v>6458</v>
      </c>
      <c r="N18" s="36">
        <f>IFERROR(VLOOKUP($F18,bug_conf_sheet!$A:$H,3,FALSE),VLOOKUP("other",bug_conf_sheet!$A:$H,3,FALSE))</f>
        <v>1</v>
      </c>
      <c r="O18" s="36">
        <f>IFERROR(VLOOKUP($F18,bug_conf_sheet!$A:$H,4,FALSE),VLOOKUP("other",bug_conf_sheet!$A:$H,4,FALSE))</f>
        <v>0</v>
      </c>
      <c r="P18" s="36">
        <f>IFERROR(VLOOKUP($F18,bug_conf_sheet!$A:$H,5,FALSE),VLOOKUP("other",bug_conf_sheet!$A:$H,5,FALSE))</f>
        <v>0</v>
      </c>
      <c r="Q18" s="36">
        <f>IFERROR(VLOOKUP($F18,bug_conf_sheet!$A:$H,6,FALSE),VLOOKUP("other",bug_conf_sheet!$A:$H,6,FALSE))</f>
        <v>0</v>
      </c>
      <c r="R18" s="36">
        <f>IFERROR(VLOOKUP($F18,bug_conf_sheet!$A:$H,7,FALSE),VLOOKUP("other",bug_conf_sheet!$A:$H,7,FALSE))</f>
        <v>0</v>
      </c>
      <c r="S18" s="36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1710161</v>
      </c>
      <c r="B19" s="2" t="str">
        <f t="shared" si="1"/>
        <v>1710</v>
      </c>
      <c r="C19" s="8" t="str">
        <f t="shared" si="2"/>
        <v>0PremiumW4</v>
      </c>
      <c r="D19" s="8" t="str">
        <f t="shared" si="3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2">
        <f>VLOOKUP(D19,gacha_171_base!A:B,2,FALSE)</f>
        <v>6458</v>
      </c>
      <c r="N19" s="36">
        <f>IFERROR(VLOOKUP($F19,bug_conf_sheet!$A:$H,3,FALSE),VLOOKUP("other",bug_conf_sheet!$A:$H,3,FALSE))</f>
        <v>1</v>
      </c>
      <c r="O19" s="36">
        <f>IFERROR(VLOOKUP($F19,bug_conf_sheet!$A:$H,4,FALSE),VLOOKUP("other",bug_conf_sheet!$A:$H,4,FALSE))</f>
        <v>0</v>
      </c>
      <c r="P19" s="36">
        <f>IFERROR(VLOOKUP($F19,bug_conf_sheet!$A:$H,5,FALSE),VLOOKUP("other",bug_conf_sheet!$A:$H,5,FALSE))</f>
        <v>0</v>
      </c>
      <c r="Q19" s="36">
        <f>IFERROR(VLOOKUP($F19,bug_conf_sheet!$A:$H,6,FALSE),VLOOKUP("other",bug_conf_sheet!$A:$H,6,FALSE))</f>
        <v>0</v>
      </c>
      <c r="R19" s="36">
        <f>IFERROR(VLOOKUP($F19,bug_conf_sheet!$A:$H,7,FALSE),VLOOKUP("other",bug_conf_sheet!$A:$H,7,FALSE))</f>
        <v>0</v>
      </c>
      <c r="S19" s="36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1710163</v>
      </c>
      <c r="B20" s="2" t="str">
        <f t="shared" si="1"/>
        <v>1710</v>
      </c>
      <c r="C20" s="8" t="str">
        <f t="shared" si="2"/>
        <v>0PremiumW4</v>
      </c>
      <c r="D20" s="8" t="str">
        <f t="shared" si="3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2">
        <f>VLOOKUP(D20,gacha_171_base!A:B,2,FALSE)</f>
        <v>6458</v>
      </c>
      <c r="N20" s="36">
        <f>IFERROR(VLOOKUP($F20,bug_conf_sheet!$A:$H,3,FALSE),VLOOKUP("other",bug_conf_sheet!$A:$H,3,FALSE))</f>
        <v>1</v>
      </c>
      <c r="O20" s="36">
        <f>IFERROR(VLOOKUP($F20,bug_conf_sheet!$A:$H,4,FALSE),VLOOKUP("other",bug_conf_sheet!$A:$H,4,FALSE))</f>
        <v>0</v>
      </c>
      <c r="P20" s="36">
        <f>IFERROR(VLOOKUP($F20,bug_conf_sheet!$A:$H,5,FALSE),VLOOKUP("other",bug_conf_sheet!$A:$H,5,FALSE))</f>
        <v>0</v>
      </c>
      <c r="Q20" s="36">
        <f>IFERROR(VLOOKUP($F20,bug_conf_sheet!$A:$H,6,FALSE),VLOOKUP("other",bug_conf_sheet!$A:$H,6,FALSE))</f>
        <v>0</v>
      </c>
      <c r="R20" s="36">
        <f>IFERROR(VLOOKUP($F20,bug_conf_sheet!$A:$H,7,FALSE),VLOOKUP("other",bug_conf_sheet!$A:$H,7,FALSE))</f>
        <v>0</v>
      </c>
      <c r="S20" s="36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1710165</v>
      </c>
      <c r="B21" s="2" t="str">
        <f t="shared" si="1"/>
        <v>1710</v>
      </c>
      <c r="C21" s="8" t="str">
        <f t="shared" si="2"/>
        <v>0PremiumW4</v>
      </c>
      <c r="D21" s="8" t="str">
        <f t="shared" si="3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2">
        <f>VLOOKUP(D21,gacha_171_base!A:B,2,FALSE)</f>
        <v>6458</v>
      </c>
      <c r="N21" s="36">
        <f>IFERROR(VLOOKUP($F21,bug_conf_sheet!$A:$H,3,FALSE),VLOOKUP("other",bug_conf_sheet!$A:$H,3,FALSE))</f>
        <v>1</v>
      </c>
      <c r="O21" s="36">
        <f>IFERROR(VLOOKUP($F21,bug_conf_sheet!$A:$H,4,FALSE),VLOOKUP("other",bug_conf_sheet!$A:$H,4,FALSE))</f>
        <v>0</v>
      </c>
      <c r="P21" s="36">
        <f>IFERROR(VLOOKUP($F21,bug_conf_sheet!$A:$H,5,FALSE),VLOOKUP("other",bug_conf_sheet!$A:$H,5,FALSE))</f>
        <v>0</v>
      </c>
      <c r="Q21" s="36">
        <f>IFERROR(VLOOKUP($F21,bug_conf_sheet!$A:$H,6,FALSE),VLOOKUP("other",bug_conf_sheet!$A:$H,6,FALSE))</f>
        <v>0</v>
      </c>
      <c r="R21" s="36">
        <f>IFERROR(VLOOKUP($F21,bug_conf_sheet!$A:$H,7,FALSE),VLOOKUP("other",bug_conf_sheet!$A:$H,7,FALSE))</f>
        <v>0</v>
      </c>
      <c r="S21" s="36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1710167</v>
      </c>
      <c r="B22" s="2" t="str">
        <f t="shared" si="1"/>
        <v>1710</v>
      </c>
      <c r="C22" s="8" t="str">
        <f t="shared" si="2"/>
        <v>0PremiumN4</v>
      </c>
      <c r="D22" s="8" t="str">
        <f t="shared" si="3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2">
        <f>VLOOKUP(D22,gacha_171_base!A:B,2,FALSE)</f>
        <v>12141</v>
      </c>
      <c r="N22" s="36">
        <f>IFERROR(VLOOKUP($F22,bug_conf_sheet!$A:$H,3,FALSE),VLOOKUP("other",bug_conf_sheet!$A:$H,3,FALSE))</f>
        <v>1</v>
      </c>
      <c r="O22" s="36">
        <f>IFERROR(VLOOKUP($F22,bug_conf_sheet!$A:$H,4,FALSE),VLOOKUP("other",bug_conf_sheet!$A:$H,4,FALSE))</f>
        <v>0</v>
      </c>
      <c r="P22" s="36">
        <f>IFERROR(VLOOKUP($F22,bug_conf_sheet!$A:$H,5,FALSE),VLOOKUP("other",bug_conf_sheet!$A:$H,5,FALSE))</f>
        <v>0</v>
      </c>
      <c r="Q22" s="36">
        <f>IFERROR(VLOOKUP($F22,bug_conf_sheet!$A:$H,6,FALSE),VLOOKUP("other",bug_conf_sheet!$A:$H,6,FALSE))</f>
        <v>0</v>
      </c>
      <c r="R22" s="36">
        <f>IFERROR(VLOOKUP($F22,bug_conf_sheet!$A:$H,7,FALSE),VLOOKUP("other",bug_conf_sheet!$A:$H,7,FALSE))</f>
        <v>0</v>
      </c>
      <c r="S22" s="36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1710168</v>
      </c>
      <c r="B23" s="2" t="str">
        <f t="shared" si="1"/>
        <v>1710</v>
      </c>
      <c r="C23" s="8" t="str">
        <f t="shared" si="2"/>
        <v>0PremiumN5</v>
      </c>
      <c r="D23" s="8" t="str">
        <f t="shared" si="3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2">
        <f>VLOOKUP(D23,gacha_171_base!A:B,2,FALSE)</f>
        <v>775</v>
      </c>
      <c r="N23" s="36">
        <f>IFERROR(VLOOKUP($F23,bug_conf_sheet!$A:$H,3,FALSE),VLOOKUP("other",bug_conf_sheet!$A:$H,3,FALSE))</f>
        <v>1</v>
      </c>
      <c r="O23" s="36">
        <f>IFERROR(VLOOKUP($F23,bug_conf_sheet!$A:$H,4,FALSE),VLOOKUP("other",bug_conf_sheet!$A:$H,4,FALSE))</f>
        <v>0</v>
      </c>
      <c r="P23" s="36">
        <f>IFERROR(VLOOKUP($F23,bug_conf_sheet!$A:$H,5,FALSE),VLOOKUP("other",bug_conf_sheet!$A:$H,5,FALSE))</f>
        <v>0</v>
      </c>
      <c r="Q23" s="36">
        <f>IFERROR(VLOOKUP($F23,bug_conf_sheet!$A:$H,6,FALSE),VLOOKUP("other",bug_conf_sheet!$A:$H,6,FALSE))</f>
        <v>0</v>
      </c>
      <c r="R23" s="36">
        <f>IFERROR(VLOOKUP($F23,bug_conf_sheet!$A:$H,7,FALSE),VLOOKUP("other",bug_conf_sheet!$A:$H,7,FALSE))</f>
        <v>0</v>
      </c>
      <c r="S23" s="36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1710170</v>
      </c>
      <c r="B24" s="2" t="str">
        <f t="shared" si="1"/>
        <v>1710</v>
      </c>
      <c r="C24" s="8" t="str">
        <f t="shared" si="2"/>
        <v>0PremiumN4</v>
      </c>
      <c r="D24" s="8" t="str">
        <f t="shared" si="3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2">
        <f>VLOOKUP(D24,gacha_171_base!A:B,2,FALSE)</f>
        <v>12141</v>
      </c>
      <c r="N24" s="36">
        <f>IFERROR(VLOOKUP($F24,bug_conf_sheet!$A:$H,3,FALSE),VLOOKUP("other",bug_conf_sheet!$A:$H,3,FALSE))</f>
        <v>1</v>
      </c>
      <c r="O24" s="36">
        <f>IFERROR(VLOOKUP($F24,bug_conf_sheet!$A:$H,4,FALSE),VLOOKUP("other",bug_conf_sheet!$A:$H,4,FALSE))</f>
        <v>0</v>
      </c>
      <c r="P24" s="36">
        <f>IFERROR(VLOOKUP($F24,bug_conf_sheet!$A:$H,5,FALSE),VLOOKUP("other",bug_conf_sheet!$A:$H,5,FALSE))</f>
        <v>0</v>
      </c>
      <c r="Q24" s="36">
        <f>IFERROR(VLOOKUP($F24,bug_conf_sheet!$A:$H,6,FALSE),VLOOKUP("other",bug_conf_sheet!$A:$H,6,FALSE))</f>
        <v>0</v>
      </c>
      <c r="R24" s="36">
        <f>IFERROR(VLOOKUP($F24,bug_conf_sheet!$A:$H,7,FALSE),VLOOKUP("other",bug_conf_sheet!$A:$H,7,FALSE))</f>
        <v>0</v>
      </c>
      <c r="S24" s="36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1710171</v>
      </c>
      <c r="B25" s="2" t="str">
        <f t="shared" si="1"/>
        <v>1710</v>
      </c>
      <c r="C25" s="8" t="str">
        <f t="shared" si="2"/>
        <v>0PremiumN5</v>
      </c>
      <c r="D25" s="8" t="str">
        <f t="shared" si="3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2">
        <f>VLOOKUP(D25,gacha_171_base!A:B,2,FALSE)</f>
        <v>775</v>
      </c>
      <c r="N25" s="36">
        <f>IFERROR(VLOOKUP($F25,bug_conf_sheet!$A:$H,3,FALSE),VLOOKUP("other",bug_conf_sheet!$A:$H,3,FALSE))</f>
        <v>1</v>
      </c>
      <c r="O25" s="36">
        <f>IFERROR(VLOOKUP($F25,bug_conf_sheet!$A:$H,4,FALSE),VLOOKUP("other",bug_conf_sheet!$A:$H,4,FALSE))</f>
        <v>0</v>
      </c>
      <c r="P25" s="36">
        <f>IFERROR(VLOOKUP($F25,bug_conf_sheet!$A:$H,5,FALSE),VLOOKUP("other",bug_conf_sheet!$A:$H,5,FALSE))</f>
        <v>0</v>
      </c>
      <c r="Q25" s="36">
        <f>IFERROR(VLOOKUP($F25,bug_conf_sheet!$A:$H,6,FALSE),VLOOKUP("other",bug_conf_sheet!$A:$H,6,FALSE))</f>
        <v>0</v>
      </c>
      <c r="R25" s="36">
        <f>IFERROR(VLOOKUP($F25,bug_conf_sheet!$A:$H,7,FALSE),VLOOKUP("other",bug_conf_sheet!$A:$H,7,FALSE))</f>
        <v>0</v>
      </c>
      <c r="S25" s="36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1710173</v>
      </c>
      <c r="B26" s="2" t="str">
        <f t="shared" si="1"/>
        <v>1710</v>
      </c>
      <c r="C26" s="8" t="str">
        <f t="shared" si="2"/>
        <v>0PremiumN4</v>
      </c>
      <c r="D26" s="8" t="str">
        <f t="shared" si="3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2">
        <f>VLOOKUP(D26,gacha_171_base!A:B,2,FALSE)</f>
        <v>12141</v>
      </c>
      <c r="N26" s="36">
        <f>IFERROR(VLOOKUP($F26,bug_conf_sheet!$A:$H,3,FALSE),VLOOKUP("other",bug_conf_sheet!$A:$H,3,FALSE))</f>
        <v>1</v>
      </c>
      <c r="O26" s="36">
        <f>IFERROR(VLOOKUP($F26,bug_conf_sheet!$A:$H,4,FALSE),VLOOKUP("other",bug_conf_sheet!$A:$H,4,FALSE))</f>
        <v>0</v>
      </c>
      <c r="P26" s="36">
        <f>IFERROR(VLOOKUP($F26,bug_conf_sheet!$A:$H,5,FALSE),VLOOKUP("other",bug_conf_sheet!$A:$H,5,FALSE))</f>
        <v>0</v>
      </c>
      <c r="Q26" s="36">
        <f>IFERROR(VLOOKUP($F26,bug_conf_sheet!$A:$H,6,FALSE),VLOOKUP("other",bug_conf_sheet!$A:$H,6,FALSE))</f>
        <v>0</v>
      </c>
      <c r="R26" s="36">
        <f>IFERROR(VLOOKUP($F26,bug_conf_sheet!$A:$H,7,FALSE),VLOOKUP("other",bug_conf_sheet!$A:$H,7,FALSE))</f>
        <v>0</v>
      </c>
      <c r="S26" s="36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1710174</v>
      </c>
      <c r="B27" s="2" t="str">
        <f t="shared" si="1"/>
        <v>1710</v>
      </c>
      <c r="C27" s="8" t="str">
        <f t="shared" si="2"/>
        <v>0PremiumN5</v>
      </c>
      <c r="D27" s="8" t="str">
        <f t="shared" si="3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2">
        <f>VLOOKUP(D27,gacha_171_base!A:B,2,FALSE)</f>
        <v>775</v>
      </c>
      <c r="N27" s="36">
        <f>IFERROR(VLOOKUP($F27,bug_conf_sheet!$A:$H,3,FALSE),VLOOKUP("other",bug_conf_sheet!$A:$H,3,FALSE))</f>
        <v>1</v>
      </c>
      <c r="O27" s="36">
        <f>IFERROR(VLOOKUP($F27,bug_conf_sheet!$A:$H,4,FALSE),VLOOKUP("other",bug_conf_sheet!$A:$H,4,FALSE))</f>
        <v>0</v>
      </c>
      <c r="P27" s="36">
        <f>IFERROR(VLOOKUP($F27,bug_conf_sheet!$A:$H,5,FALSE),VLOOKUP("other",bug_conf_sheet!$A:$H,5,FALSE))</f>
        <v>0</v>
      </c>
      <c r="Q27" s="36">
        <f>IFERROR(VLOOKUP($F27,bug_conf_sheet!$A:$H,6,FALSE),VLOOKUP("other",bug_conf_sheet!$A:$H,6,FALSE))</f>
        <v>0</v>
      </c>
      <c r="R27" s="36">
        <f>IFERROR(VLOOKUP($F27,bug_conf_sheet!$A:$H,7,FALSE),VLOOKUP("other",bug_conf_sheet!$A:$H,7,FALSE))</f>
        <v>0</v>
      </c>
      <c r="S27" s="36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1710176</v>
      </c>
      <c r="B28" s="2" t="str">
        <f t="shared" si="1"/>
        <v>1710</v>
      </c>
      <c r="C28" s="8" t="str">
        <f t="shared" si="2"/>
        <v>0PremiumN4</v>
      </c>
      <c r="D28" s="8" t="str">
        <f t="shared" si="3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2">
        <f>VLOOKUP(D28,gacha_171_base!A:B,2,FALSE)</f>
        <v>12141</v>
      </c>
      <c r="N28" s="36">
        <f>IFERROR(VLOOKUP($F28,bug_conf_sheet!$A:$H,3,FALSE),VLOOKUP("other",bug_conf_sheet!$A:$H,3,FALSE))</f>
        <v>1</v>
      </c>
      <c r="O28" s="36">
        <f>IFERROR(VLOOKUP($F28,bug_conf_sheet!$A:$H,4,FALSE),VLOOKUP("other",bug_conf_sheet!$A:$H,4,FALSE))</f>
        <v>0</v>
      </c>
      <c r="P28" s="36">
        <f>IFERROR(VLOOKUP($F28,bug_conf_sheet!$A:$H,5,FALSE),VLOOKUP("other",bug_conf_sheet!$A:$H,5,FALSE))</f>
        <v>0</v>
      </c>
      <c r="Q28" s="36">
        <f>IFERROR(VLOOKUP($F28,bug_conf_sheet!$A:$H,6,FALSE),VLOOKUP("other",bug_conf_sheet!$A:$H,6,FALSE))</f>
        <v>0</v>
      </c>
      <c r="R28" s="36">
        <f>IFERROR(VLOOKUP($F28,bug_conf_sheet!$A:$H,7,FALSE),VLOOKUP("other",bug_conf_sheet!$A:$H,7,FALSE))</f>
        <v>0</v>
      </c>
      <c r="S28" s="36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1710177</v>
      </c>
      <c r="B29" s="2" t="str">
        <f t="shared" si="1"/>
        <v>1710</v>
      </c>
      <c r="C29" s="8" t="str">
        <f t="shared" si="2"/>
        <v>0PremiumN5</v>
      </c>
      <c r="D29" s="8" t="str">
        <f t="shared" si="3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2">
        <f>VLOOKUP(D29,gacha_171_base!A:B,2,FALSE)</f>
        <v>775</v>
      </c>
      <c r="N29" s="36">
        <f>IFERROR(VLOOKUP($F29,bug_conf_sheet!$A:$H,3,FALSE),VLOOKUP("other",bug_conf_sheet!$A:$H,3,FALSE))</f>
        <v>1</v>
      </c>
      <c r="O29" s="36">
        <f>IFERROR(VLOOKUP($F29,bug_conf_sheet!$A:$H,4,FALSE),VLOOKUP("other",bug_conf_sheet!$A:$H,4,FALSE))</f>
        <v>0</v>
      </c>
      <c r="P29" s="36">
        <f>IFERROR(VLOOKUP($F29,bug_conf_sheet!$A:$H,5,FALSE),VLOOKUP("other",bug_conf_sheet!$A:$H,5,FALSE))</f>
        <v>0</v>
      </c>
      <c r="Q29" s="36">
        <f>IFERROR(VLOOKUP($F29,bug_conf_sheet!$A:$H,6,FALSE),VLOOKUP("other",bug_conf_sheet!$A:$H,6,FALSE))</f>
        <v>0</v>
      </c>
      <c r="R29" s="36">
        <f>IFERROR(VLOOKUP($F29,bug_conf_sheet!$A:$H,7,FALSE),VLOOKUP("other",bug_conf_sheet!$A:$H,7,FALSE))</f>
        <v>0</v>
      </c>
      <c r="S29" s="36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1710179</v>
      </c>
      <c r="B30" s="2" t="str">
        <f t="shared" si="1"/>
        <v>1710</v>
      </c>
      <c r="C30" s="8" t="str">
        <f t="shared" si="2"/>
        <v>0PremiumN4</v>
      </c>
      <c r="D30" s="8" t="str">
        <f t="shared" si="3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2">
        <f>VLOOKUP(D30,gacha_171_base!A:B,2,FALSE)</f>
        <v>12141</v>
      </c>
      <c r="N30" s="36">
        <f>IFERROR(VLOOKUP($F30,bug_conf_sheet!$A:$H,3,FALSE),VLOOKUP("other",bug_conf_sheet!$A:$H,3,FALSE))</f>
        <v>1</v>
      </c>
      <c r="O30" s="36">
        <f>IFERROR(VLOOKUP($F30,bug_conf_sheet!$A:$H,4,FALSE),VLOOKUP("other",bug_conf_sheet!$A:$H,4,FALSE))</f>
        <v>0</v>
      </c>
      <c r="P30" s="36">
        <f>IFERROR(VLOOKUP($F30,bug_conf_sheet!$A:$H,5,FALSE),VLOOKUP("other",bug_conf_sheet!$A:$H,5,FALSE))</f>
        <v>0</v>
      </c>
      <c r="Q30" s="36">
        <f>IFERROR(VLOOKUP($F30,bug_conf_sheet!$A:$H,6,FALSE),VLOOKUP("other",bug_conf_sheet!$A:$H,6,FALSE))</f>
        <v>0</v>
      </c>
      <c r="R30" s="36">
        <f>IFERROR(VLOOKUP($F30,bug_conf_sheet!$A:$H,7,FALSE),VLOOKUP("other",bug_conf_sheet!$A:$H,7,FALSE))</f>
        <v>0</v>
      </c>
      <c r="S30" s="36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1710180</v>
      </c>
      <c r="B31" s="2" t="str">
        <f t="shared" si="1"/>
        <v>1710</v>
      </c>
      <c r="C31" s="8" t="str">
        <f t="shared" si="2"/>
        <v>0PremiumN5</v>
      </c>
      <c r="D31" s="8" t="str">
        <f t="shared" si="3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2">
        <f>VLOOKUP(D31,gacha_171_base!A:B,2,FALSE)</f>
        <v>775</v>
      </c>
      <c r="N31" s="36">
        <f>IFERROR(VLOOKUP($F31,bug_conf_sheet!$A:$H,3,FALSE),VLOOKUP("other",bug_conf_sheet!$A:$H,3,FALSE))</f>
        <v>1</v>
      </c>
      <c r="O31" s="36">
        <f>IFERROR(VLOOKUP($F31,bug_conf_sheet!$A:$H,4,FALSE),VLOOKUP("other",bug_conf_sheet!$A:$H,4,FALSE))</f>
        <v>0</v>
      </c>
      <c r="P31" s="36">
        <f>IFERROR(VLOOKUP($F31,bug_conf_sheet!$A:$H,5,FALSE),VLOOKUP("other",bug_conf_sheet!$A:$H,5,FALSE))</f>
        <v>0</v>
      </c>
      <c r="Q31" s="36">
        <f>IFERROR(VLOOKUP($F31,bug_conf_sheet!$A:$H,6,FALSE),VLOOKUP("other",bug_conf_sheet!$A:$H,6,FALSE))</f>
        <v>0</v>
      </c>
      <c r="R31" s="36">
        <f>IFERROR(VLOOKUP($F31,bug_conf_sheet!$A:$H,7,FALSE),VLOOKUP("other",bug_conf_sheet!$A:$H,7,FALSE))</f>
        <v>0</v>
      </c>
      <c r="S31" s="36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1710182</v>
      </c>
      <c r="B32" s="2" t="str">
        <f t="shared" si="1"/>
        <v>1710</v>
      </c>
      <c r="C32" s="8" t="str">
        <f t="shared" si="2"/>
        <v>0PremiumN4</v>
      </c>
      <c r="D32" s="8" t="str">
        <f t="shared" si="3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2">
        <f>VLOOKUP(D32,gacha_171_base!A:B,2,FALSE)</f>
        <v>12141</v>
      </c>
      <c r="N32" s="36">
        <f>IFERROR(VLOOKUP($F32,bug_conf_sheet!$A:$H,3,FALSE),VLOOKUP("other",bug_conf_sheet!$A:$H,3,FALSE))</f>
        <v>1</v>
      </c>
      <c r="O32" s="36">
        <f>IFERROR(VLOOKUP($F32,bug_conf_sheet!$A:$H,4,FALSE),VLOOKUP("other",bug_conf_sheet!$A:$H,4,FALSE))</f>
        <v>0</v>
      </c>
      <c r="P32" s="36">
        <f>IFERROR(VLOOKUP($F32,bug_conf_sheet!$A:$H,5,FALSE),VLOOKUP("other",bug_conf_sheet!$A:$H,5,FALSE))</f>
        <v>0</v>
      </c>
      <c r="Q32" s="36">
        <f>IFERROR(VLOOKUP($F32,bug_conf_sheet!$A:$H,6,FALSE),VLOOKUP("other",bug_conf_sheet!$A:$H,6,FALSE))</f>
        <v>0</v>
      </c>
      <c r="R32" s="36">
        <f>IFERROR(VLOOKUP($F32,bug_conf_sheet!$A:$H,7,FALSE),VLOOKUP("other",bug_conf_sheet!$A:$H,7,FALSE))</f>
        <v>0</v>
      </c>
      <c r="S32" s="36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1710183</v>
      </c>
      <c r="B33" s="2" t="str">
        <f t="shared" si="1"/>
        <v>1710</v>
      </c>
      <c r="C33" s="8" t="str">
        <f t="shared" si="2"/>
        <v>0PremiumN5</v>
      </c>
      <c r="D33" s="8" t="str">
        <f t="shared" si="3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2">
        <f>VLOOKUP(D33,gacha_171_base!A:B,2,FALSE)</f>
        <v>775</v>
      </c>
      <c r="N33" s="36">
        <f>IFERROR(VLOOKUP($F33,bug_conf_sheet!$A:$H,3,FALSE),VLOOKUP("other",bug_conf_sheet!$A:$H,3,FALSE))</f>
        <v>1</v>
      </c>
      <c r="O33" s="36">
        <f>IFERROR(VLOOKUP($F33,bug_conf_sheet!$A:$H,4,FALSE),VLOOKUP("other",bug_conf_sheet!$A:$H,4,FALSE))</f>
        <v>0</v>
      </c>
      <c r="P33" s="36">
        <f>IFERROR(VLOOKUP($F33,bug_conf_sheet!$A:$H,5,FALSE),VLOOKUP("other",bug_conf_sheet!$A:$H,5,FALSE))</f>
        <v>0</v>
      </c>
      <c r="Q33" s="36">
        <f>IFERROR(VLOOKUP($F33,bug_conf_sheet!$A:$H,6,FALSE),VLOOKUP("other",bug_conf_sheet!$A:$H,6,FALSE))</f>
        <v>0</v>
      </c>
      <c r="R33" s="36">
        <f>IFERROR(VLOOKUP($F33,bug_conf_sheet!$A:$H,7,FALSE),VLOOKUP("other",bug_conf_sheet!$A:$H,7,FALSE))</f>
        <v>0</v>
      </c>
      <c r="S33" s="36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1710185</v>
      </c>
      <c r="B34" s="2" t="str">
        <f t="shared" si="1"/>
        <v>1710</v>
      </c>
      <c r="C34" s="8" t="str">
        <f t="shared" si="2"/>
        <v>0PremiumN4</v>
      </c>
      <c r="D34" s="8" t="str">
        <f t="shared" si="3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2">
        <f>VLOOKUP(D34,gacha_171_base!A:B,2,FALSE)</f>
        <v>12141</v>
      </c>
      <c r="N34" s="36">
        <f>IFERROR(VLOOKUP($F34,bug_conf_sheet!$A:$H,3,FALSE),VLOOKUP("other",bug_conf_sheet!$A:$H,3,FALSE))</f>
        <v>1</v>
      </c>
      <c r="O34" s="36">
        <f>IFERROR(VLOOKUP($F34,bug_conf_sheet!$A:$H,4,FALSE),VLOOKUP("other",bug_conf_sheet!$A:$H,4,FALSE))</f>
        <v>0</v>
      </c>
      <c r="P34" s="36">
        <f>IFERROR(VLOOKUP($F34,bug_conf_sheet!$A:$H,5,FALSE),VLOOKUP("other",bug_conf_sheet!$A:$H,5,FALSE))</f>
        <v>0</v>
      </c>
      <c r="Q34" s="36">
        <f>IFERROR(VLOOKUP($F34,bug_conf_sheet!$A:$H,6,FALSE),VLOOKUP("other",bug_conf_sheet!$A:$H,6,FALSE))</f>
        <v>0</v>
      </c>
      <c r="R34" s="36">
        <f>IFERROR(VLOOKUP($F34,bug_conf_sheet!$A:$H,7,FALSE),VLOOKUP("other",bug_conf_sheet!$A:$H,7,FALSE))</f>
        <v>0</v>
      </c>
      <c r="S34" s="36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1710186</v>
      </c>
      <c r="B35" s="2" t="str">
        <f t="shared" si="1"/>
        <v>1710</v>
      </c>
      <c r="C35" s="8" t="str">
        <f t="shared" si="2"/>
        <v>0PremiumN5</v>
      </c>
      <c r="D35" s="8" t="str">
        <f t="shared" si="3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2">
        <f>VLOOKUP(D35,gacha_171_base!A:B,2,FALSE)</f>
        <v>775</v>
      </c>
      <c r="N35" s="36">
        <f>IFERROR(VLOOKUP($F35,bug_conf_sheet!$A:$H,3,FALSE),VLOOKUP("other",bug_conf_sheet!$A:$H,3,FALSE))</f>
        <v>1</v>
      </c>
      <c r="O35" s="36">
        <f>IFERROR(VLOOKUP($F35,bug_conf_sheet!$A:$H,4,FALSE),VLOOKUP("other",bug_conf_sheet!$A:$H,4,FALSE))</f>
        <v>0</v>
      </c>
      <c r="P35" s="36">
        <f>IFERROR(VLOOKUP($F35,bug_conf_sheet!$A:$H,5,FALSE),VLOOKUP("other",bug_conf_sheet!$A:$H,5,FALSE))</f>
        <v>0</v>
      </c>
      <c r="Q35" s="36">
        <f>IFERROR(VLOOKUP($F35,bug_conf_sheet!$A:$H,6,FALSE),VLOOKUP("other",bug_conf_sheet!$A:$H,6,FALSE))</f>
        <v>0</v>
      </c>
      <c r="R35" s="36">
        <f>IFERROR(VLOOKUP($F35,bug_conf_sheet!$A:$H,7,FALSE),VLOOKUP("other",bug_conf_sheet!$A:$H,7,FALSE))</f>
        <v>0</v>
      </c>
      <c r="S35" s="36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1710188</v>
      </c>
      <c r="B36" s="2" t="str">
        <f t="shared" si="1"/>
        <v>1710</v>
      </c>
      <c r="C36" s="8" t="str">
        <f t="shared" si="2"/>
        <v>0PremiumN4</v>
      </c>
      <c r="D36" s="8" t="str">
        <f t="shared" si="3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2">
        <f>VLOOKUP(D36,gacha_171_base!A:B,2,FALSE)</f>
        <v>12141</v>
      </c>
      <c r="N36" s="36">
        <f>IFERROR(VLOOKUP($F36,bug_conf_sheet!$A:$H,3,FALSE),VLOOKUP("other",bug_conf_sheet!$A:$H,3,FALSE))</f>
        <v>1</v>
      </c>
      <c r="O36" s="36">
        <f>IFERROR(VLOOKUP($F36,bug_conf_sheet!$A:$H,4,FALSE),VLOOKUP("other",bug_conf_sheet!$A:$H,4,FALSE))</f>
        <v>0</v>
      </c>
      <c r="P36" s="36">
        <f>IFERROR(VLOOKUP($F36,bug_conf_sheet!$A:$H,5,FALSE),VLOOKUP("other",bug_conf_sheet!$A:$H,5,FALSE))</f>
        <v>0</v>
      </c>
      <c r="Q36" s="36">
        <f>IFERROR(VLOOKUP($F36,bug_conf_sheet!$A:$H,6,FALSE),VLOOKUP("other",bug_conf_sheet!$A:$H,6,FALSE))</f>
        <v>0</v>
      </c>
      <c r="R36" s="36">
        <f>IFERROR(VLOOKUP($F36,bug_conf_sheet!$A:$H,7,FALSE),VLOOKUP("other",bug_conf_sheet!$A:$H,7,FALSE))</f>
        <v>0</v>
      </c>
      <c r="S36" s="36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1710189</v>
      </c>
      <c r="B37" s="2" t="str">
        <f t="shared" si="1"/>
        <v>1710</v>
      </c>
      <c r="C37" s="8" t="str">
        <f t="shared" ref="C37:C79" si="4">E37&amp;H37&amp;I37</f>
        <v>0PremiumN5</v>
      </c>
      <c r="D37" s="8" t="str">
        <f t="shared" si="3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2">
        <f>VLOOKUP(D37,gacha_171_base!A:B,2,FALSE)</f>
        <v>775</v>
      </c>
      <c r="N37" s="36">
        <f>IFERROR(VLOOKUP($F37,bug_conf_sheet!$A:$H,3,FALSE),VLOOKUP("other",bug_conf_sheet!$A:$H,3,FALSE))</f>
        <v>1</v>
      </c>
      <c r="O37" s="36">
        <f>IFERROR(VLOOKUP($F37,bug_conf_sheet!$A:$H,4,FALSE),VLOOKUP("other",bug_conf_sheet!$A:$H,4,FALSE))</f>
        <v>0</v>
      </c>
      <c r="P37" s="36">
        <f>IFERROR(VLOOKUP($F37,bug_conf_sheet!$A:$H,5,FALSE),VLOOKUP("other",bug_conf_sheet!$A:$H,5,FALSE))</f>
        <v>0</v>
      </c>
      <c r="Q37" s="36">
        <f>IFERROR(VLOOKUP($F37,bug_conf_sheet!$A:$H,6,FALSE),VLOOKUP("other",bug_conf_sheet!$A:$H,6,FALSE))</f>
        <v>0</v>
      </c>
      <c r="R37" s="36">
        <f>IFERROR(VLOOKUP($F37,bug_conf_sheet!$A:$H,7,FALSE),VLOOKUP("other",bug_conf_sheet!$A:$H,7,FALSE))</f>
        <v>0</v>
      </c>
      <c r="S37" s="36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1710191</v>
      </c>
      <c r="B38" s="2" t="str">
        <f t="shared" si="1"/>
        <v>1710</v>
      </c>
      <c r="C38" s="8" t="str">
        <f t="shared" si="4"/>
        <v>0PremiumN4</v>
      </c>
      <c r="D38" s="8" t="str">
        <f t="shared" si="3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2">
        <f>VLOOKUP(D38,gacha_171_base!A:B,2,FALSE)</f>
        <v>12141</v>
      </c>
      <c r="N38" s="36">
        <f>IFERROR(VLOOKUP($F38,bug_conf_sheet!$A:$H,3,FALSE),VLOOKUP("other",bug_conf_sheet!$A:$H,3,FALSE))</f>
        <v>1</v>
      </c>
      <c r="O38" s="36">
        <f>IFERROR(VLOOKUP($F38,bug_conf_sheet!$A:$H,4,FALSE),VLOOKUP("other",bug_conf_sheet!$A:$H,4,FALSE))</f>
        <v>0</v>
      </c>
      <c r="P38" s="36">
        <f>IFERROR(VLOOKUP($F38,bug_conf_sheet!$A:$H,5,FALSE),VLOOKUP("other",bug_conf_sheet!$A:$H,5,FALSE))</f>
        <v>0</v>
      </c>
      <c r="Q38" s="36">
        <f>IFERROR(VLOOKUP($F38,bug_conf_sheet!$A:$H,6,FALSE),VLOOKUP("other",bug_conf_sheet!$A:$H,6,FALSE))</f>
        <v>0</v>
      </c>
      <c r="R38" s="36">
        <f>IFERROR(VLOOKUP($F38,bug_conf_sheet!$A:$H,7,FALSE),VLOOKUP("other",bug_conf_sheet!$A:$H,7,FALSE))</f>
        <v>0</v>
      </c>
      <c r="S38" s="36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1710192</v>
      </c>
      <c r="B39" s="2" t="str">
        <f t="shared" si="1"/>
        <v>1710</v>
      </c>
      <c r="C39" s="8" t="str">
        <f t="shared" si="4"/>
        <v>0PremiumN5</v>
      </c>
      <c r="D39" s="8" t="str">
        <f t="shared" si="3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2">
        <f>VLOOKUP(D39,gacha_171_base!A:B,2,FALSE)</f>
        <v>775</v>
      </c>
      <c r="N39" s="36">
        <f>IFERROR(VLOOKUP($F39,bug_conf_sheet!$A:$H,3,FALSE),VLOOKUP("other",bug_conf_sheet!$A:$H,3,FALSE))</f>
        <v>1</v>
      </c>
      <c r="O39" s="36">
        <f>IFERROR(VLOOKUP($F39,bug_conf_sheet!$A:$H,4,FALSE),VLOOKUP("other",bug_conf_sheet!$A:$H,4,FALSE))</f>
        <v>0</v>
      </c>
      <c r="P39" s="36">
        <f>IFERROR(VLOOKUP($F39,bug_conf_sheet!$A:$H,5,FALSE),VLOOKUP("other",bug_conf_sheet!$A:$H,5,FALSE))</f>
        <v>0</v>
      </c>
      <c r="Q39" s="36">
        <f>IFERROR(VLOOKUP($F39,bug_conf_sheet!$A:$H,6,FALSE),VLOOKUP("other",bug_conf_sheet!$A:$H,6,FALSE))</f>
        <v>0</v>
      </c>
      <c r="R39" s="36">
        <f>IFERROR(VLOOKUP($F39,bug_conf_sheet!$A:$H,7,FALSE),VLOOKUP("other",bug_conf_sheet!$A:$H,7,FALSE))</f>
        <v>0</v>
      </c>
      <c r="S39" s="36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1710194</v>
      </c>
      <c r="B40" s="2" t="str">
        <f t="shared" si="1"/>
        <v>1710</v>
      </c>
      <c r="C40" s="8" t="str">
        <f t="shared" si="4"/>
        <v>0PremiumN4</v>
      </c>
      <c r="D40" s="8" t="str">
        <f t="shared" si="3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2">
        <f>VLOOKUP(D40,gacha_171_base!A:B,2,FALSE)</f>
        <v>12141</v>
      </c>
      <c r="N40" s="36">
        <f>IFERROR(VLOOKUP($F40,bug_conf_sheet!$A:$H,3,FALSE),VLOOKUP("other",bug_conf_sheet!$A:$H,3,FALSE))</f>
        <v>1</v>
      </c>
      <c r="O40" s="36">
        <f>IFERROR(VLOOKUP($F40,bug_conf_sheet!$A:$H,4,FALSE),VLOOKUP("other",bug_conf_sheet!$A:$H,4,FALSE))</f>
        <v>0</v>
      </c>
      <c r="P40" s="36">
        <f>IFERROR(VLOOKUP($F40,bug_conf_sheet!$A:$H,5,FALSE),VLOOKUP("other",bug_conf_sheet!$A:$H,5,FALSE))</f>
        <v>0</v>
      </c>
      <c r="Q40" s="36">
        <f>IFERROR(VLOOKUP($F40,bug_conf_sheet!$A:$H,6,FALSE),VLOOKUP("other",bug_conf_sheet!$A:$H,6,FALSE))</f>
        <v>0</v>
      </c>
      <c r="R40" s="36">
        <f>IFERROR(VLOOKUP($F40,bug_conf_sheet!$A:$H,7,FALSE),VLOOKUP("other",bug_conf_sheet!$A:$H,7,FALSE))</f>
        <v>0</v>
      </c>
      <c r="S40" s="36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1710195</v>
      </c>
      <c r="B41" s="2" t="str">
        <f t="shared" si="1"/>
        <v>1710</v>
      </c>
      <c r="C41" s="8" t="str">
        <f t="shared" si="4"/>
        <v>0PremiumN5</v>
      </c>
      <c r="D41" s="8" t="str">
        <f t="shared" si="3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2">
        <f>VLOOKUP(D41,gacha_171_base!A:B,2,FALSE)</f>
        <v>775</v>
      </c>
      <c r="N41" s="36">
        <f>IFERROR(VLOOKUP($F41,bug_conf_sheet!$A:$H,3,FALSE),VLOOKUP("other",bug_conf_sheet!$A:$H,3,FALSE))</f>
        <v>1</v>
      </c>
      <c r="O41" s="36">
        <f>IFERROR(VLOOKUP($F41,bug_conf_sheet!$A:$H,4,FALSE),VLOOKUP("other",bug_conf_sheet!$A:$H,4,FALSE))</f>
        <v>0</v>
      </c>
      <c r="P41" s="36">
        <f>IFERROR(VLOOKUP($F41,bug_conf_sheet!$A:$H,5,FALSE),VLOOKUP("other",bug_conf_sheet!$A:$H,5,FALSE))</f>
        <v>0</v>
      </c>
      <c r="Q41" s="36">
        <f>IFERROR(VLOOKUP($F41,bug_conf_sheet!$A:$H,6,FALSE),VLOOKUP("other",bug_conf_sheet!$A:$H,6,FALSE))</f>
        <v>0</v>
      </c>
      <c r="R41" s="36">
        <f>IFERROR(VLOOKUP($F41,bug_conf_sheet!$A:$H,7,FALSE),VLOOKUP("other",bug_conf_sheet!$A:$H,7,FALSE))</f>
        <v>0</v>
      </c>
      <c r="S41" s="36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1710197</v>
      </c>
      <c r="B42" s="2" t="str">
        <f t="shared" si="1"/>
        <v>1710</v>
      </c>
      <c r="C42" s="8" t="str">
        <f t="shared" si="4"/>
        <v>0PremiumN4</v>
      </c>
      <c r="D42" s="8" t="str">
        <f t="shared" si="3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2">
        <f>VLOOKUP(D42,gacha_171_base!A:B,2,FALSE)</f>
        <v>12141</v>
      </c>
      <c r="N42" s="36">
        <f>IFERROR(VLOOKUP($F42,bug_conf_sheet!$A:$H,3,FALSE),VLOOKUP("other",bug_conf_sheet!$A:$H,3,FALSE))</f>
        <v>1</v>
      </c>
      <c r="O42" s="36">
        <f>IFERROR(VLOOKUP($F42,bug_conf_sheet!$A:$H,4,FALSE),VLOOKUP("other",bug_conf_sheet!$A:$H,4,FALSE))</f>
        <v>0</v>
      </c>
      <c r="P42" s="36">
        <f>IFERROR(VLOOKUP($F42,bug_conf_sheet!$A:$H,5,FALSE),VLOOKUP("other",bug_conf_sheet!$A:$H,5,FALSE))</f>
        <v>0</v>
      </c>
      <c r="Q42" s="36">
        <f>IFERROR(VLOOKUP($F42,bug_conf_sheet!$A:$H,6,FALSE),VLOOKUP("other",bug_conf_sheet!$A:$H,6,FALSE))</f>
        <v>0</v>
      </c>
      <c r="R42" s="36">
        <f>IFERROR(VLOOKUP($F42,bug_conf_sheet!$A:$H,7,FALSE),VLOOKUP("other",bug_conf_sheet!$A:$H,7,FALSE))</f>
        <v>0</v>
      </c>
      <c r="S42" s="36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1710198</v>
      </c>
      <c r="B43" s="2" t="str">
        <f t="shared" si="1"/>
        <v>1710</v>
      </c>
      <c r="C43" s="8" t="str">
        <f t="shared" si="4"/>
        <v>0PremiumN5</v>
      </c>
      <c r="D43" s="8" t="str">
        <f t="shared" si="3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2">
        <f>VLOOKUP(D43,gacha_171_base!A:B,2,FALSE)</f>
        <v>775</v>
      </c>
      <c r="N43" s="36">
        <f>IFERROR(VLOOKUP($F43,bug_conf_sheet!$A:$H,3,FALSE),VLOOKUP("other",bug_conf_sheet!$A:$H,3,FALSE))</f>
        <v>1</v>
      </c>
      <c r="O43" s="36">
        <f>IFERROR(VLOOKUP($F43,bug_conf_sheet!$A:$H,4,FALSE),VLOOKUP("other",bug_conf_sheet!$A:$H,4,FALSE))</f>
        <v>0</v>
      </c>
      <c r="P43" s="36">
        <f>IFERROR(VLOOKUP($F43,bug_conf_sheet!$A:$H,5,FALSE),VLOOKUP("other",bug_conf_sheet!$A:$H,5,FALSE))</f>
        <v>0</v>
      </c>
      <c r="Q43" s="36">
        <f>IFERROR(VLOOKUP($F43,bug_conf_sheet!$A:$H,6,FALSE),VLOOKUP("other",bug_conf_sheet!$A:$H,6,FALSE))</f>
        <v>0</v>
      </c>
      <c r="R43" s="36">
        <f>IFERROR(VLOOKUP($F43,bug_conf_sheet!$A:$H,7,FALSE),VLOOKUP("other",bug_conf_sheet!$A:$H,7,FALSE))</f>
        <v>0</v>
      </c>
      <c r="S43" s="36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1710200</v>
      </c>
      <c r="B44" s="2" t="str">
        <f t="shared" si="1"/>
        <v>1710</v>
      </c>
      <c r="C44" s="8" t="str">
        <f t="shared" si="4"/>
        <v>0PremiumN4</v>
      </c>
      <c r="D44" s="8" t="str">
        <f t="shared" si="3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2">
        <f>VLOOKUP(D44,gacha_171_base!A:B,2,FALSE)</f>
        <v>12141</v>
      </c>
      <c r="N44" s="36">
        <f>IFERROR(VLOOKUP($F44,bug_conf_sheet!$A:$H,3,FALSE),VLOOKUP("other",bug_conf_sheet!$A:$H,3,FALSE))</f>
        <v>1</v>
      </c>
      <c r="O44" s="36">
        <f>IFERROR(VLOOKUP($F44,bug_conf_sheet!$A:$H,4,FALSE),VLOOKUP("other",bug_conf_sheet!$A:$H,4,FALSE))</f>
        <v>0</v>
      </c>
      <c r="P44" s="36">
        <f>IFERROR(VLOOKUP($F44,bug_conf_sheet!$A:$H,5,FALSE),VLOOKUP("other",bug_conf_sheet!$A:$H,5,FALSE))</f>
        <v>0</v>
      </c>
      <c r="Q44" s="36">
        <f>IFERROR(VLOOKUP($F44,bug_conf_sheet!$A:$H,6,FALSE),VLOOKUP("other",bug_conf_sheet!$A:$H,6,FALSE))</f>
        <v>0</v>
      </c>
      <c r="R44" s="36">
        <f>IFERROR(VLOOKUP($F44,bug_conf_sheet!$A:$H,7,FALSE),VLOOKUP("other",bug_conf_sheet!$A:$H,7,FALSE))</f>
        <v>0</v>
      </c>
      <c r="S44" s="36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1710201</v>
      </c>
      <c r="B45" s="2" t="str">
        <f t="shared" ref="B45:B108" si="5">171&amp;E45</f>
        <v>1710</v>
      </c>
      <c r="C45" s="8" t="str">
        <f t="shared" si="4"/>
        <v>0PremiumN5</v>
      </c>
      <c r="D45" s="8" t="str">
        <f t="shared" ref="D45:D108" si="6">E45&amp;H45&amp;I45</f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2">
        <f>VLOOKUP(D45,gacha_171_base!A:B,2,FALSE)</f>
        <v>775</v>
      </c>
      <c r="N45" s="36">
        <f>IFERROR(VLOOKUP($F45,bug_conf_sheet!$A:$H,3,FALSE),VLOOKUP("other",bug_conf_sheet!$A:$H,3,FALSE))</f>
        <v>1</v>
      </c>
      <c r="O45" s="36">
        <f>IFERROR(VLOOKUP($F45,bug_conf_sheet!$A:$H,4,FALSE),VLOOKUP("other",bug_conf_sheet!$A:$H,4,FALSE))</f>
        <v>0</v>
      </c>
      <c r="P45" s="36">
        <f>IFERROR(VLOOKUP($F45,bug_conf_sheet!$A:$H,5,FALSE),VLOOKUP("other",bug_conf_sheet!$A:$H,5,FALSE))</f>
        <v>0</v>
      </c>
      <c r="Q45" s="36">
        <f>IFERROR(VLOOKUP($F45,bug_conf_sheet!$A:$H,6,FALSE),VLOOKUP("other",bug_conf_sheet!$A:$H,6,FALSE))</f>
        <v>0</v>
      </c>
      <c r="R45" s="36">
        <f>IFERROR(VLOOKUP($F45,bug_conf_sheet!$A:$H,7,FALSE),VLOOKUP("other",bug_conf_sheet!$A:$H,7,FALSE))</f>
        <v>0</v>
      </c>
      <c r="S45" s="36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1710203</v>
      </c>
      <c r="B46" s="2" t="str">
        <f t="shared" si="5"/>
        <v>1710</v>
      </c>
      <c r="C46" s="8" t="str">
        <f t="shared" si="4"/>
        <v>0PremiumN4</v>
      </c>
      <c r="D46" s="8" t="str">
        <f t="shared" si="6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2">
        <f>VLOOKUP(D46,gacha_171_base!A:B,2,FALSE)</f>
        <v>12141</v>
      </c>
      <c r="N46" s="36">
        <f>IFERROR(VLOOKUP($F46,bug_conf_sheet!$A:$H,3,FALSE),VLOOKUP("other",bug_conf_sheet!$A:$H,3,FALSE))</f>
        <v>1</v>
      </c>
      <c r="O46" s="36">
        <f>IFERROR(VLOOKUP($F46,bug_conf_sheet!$A:$H,4,FALSE),VLOOKUP("other",bug_conf_sheet!$A:$H,4,FALSE))</f>
        <v>0</v>
      </c>
      <c r="P46" s="36">
        <f>IFERROR(VLOOKUP($F46,bug_conf_sheet!$A:$H,5,FALSE),VLOOKUP("other",bug_conf_sheet!$A:$H,5,FALSE))</f>
        <v>0</v>
      </c>
      <c r="Q46" s="36">
        <f>IFERROR(VLOOKUP($F46,bug_conf_sheet!$A:$H,6,FALSE),VLOOKUP("other",bug_conf_sheet!$A:$H,6,FALSE))</f>
        <v>0</v>
      </c>
      <c r="R46" s="36">
        <f>IFERROR(VLOOKUP($F46,bug_conf_sheet!$A:$H,7,FALSE),VLOOKUP("other",bug_conf_sheet!$A:$H,7,FALSE))</f>
        <v>0</v>
      </c>
      <c r="S46" s="36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1710204</v>
      </c>
      <c r="B47" s="2" t="str">
        <f t="shared" si="5"/>
        <v>1710</v>
      </c>
      <c r="C47" s="8" t="str">
        <f t="shared" si="4"/>
        <v>0PremiumN5</v>
      </c>
      <c r="D47" s="8" t="str">
        <f t="shared" si="6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2">
        <f>VLOOKUP(D47,gacha_171_base!A:B,2,FALSE)</f>
        <v>775</v>
      </c>
      <c r="N47" s="36">
        <f>IFERROR(VLOOKUP($F47,bug_conf_sheet!$A:$H,3,FALSE),VLOOKUP("other",bug_conf_sheet!$A:$H,3,FALSE))</f>
        <v>1</v>
      </c>
      <c r="O47" s="36">
        <f>IFERROR(VLOOKUP($F47,bug_conf_sheet!$A:$H,4,FALSE),VLOOKUP("other",bug_conf_sheet!$A:$H,4,FALSE))</f>
        <v>0</v>
      </c>
      <c r="P47" s="36">
        <f>IFERROR(VLOOKUP($F47,bug_conf_sheet!$A:$H,5,FALSE),VLOOKUP("other",bug_conf_sheet!$A:$H,5,FALSE))</f>
        <v>0</v>
      </c>
      <c r="Q47" s="36">
        <f>IFERROR(VLOOKUP($F47,bug_conf_sheet!$A:$H,6,FALSE),VLOOKUP("other",bug_conf_sheet!$A:$H,6,FALSE))</f>
        <v>0</v>
      </c>
      <c r="R47" s="36">
        <f>IFERROR(VLOOKUP($F47,bug_conf_sheet!$A:$H,7,FALSE),VLOOKUP("other",bug_conf_sheet!$A:$H,7,FALSE))</f>
        <v>0</v>
      </c>
      <c r="S47" s="36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1710206</v>
      </c>
      <c r="B48" s="2" t="str">
        <f t="shared" si="5"/>
        <v>1710</v>
      </c>
      <c r="C48" s="8" t="str">
        <f t="shared" si="4"/>
        <v>0PremiumN4</v>
      </c>
      <c r="D48" s="8" t="str">
        <f t="shared" si="6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2">
        <f>VLOOKUP(D48,gacha_171_base!A:B,2,FALSE)</f>
        <v>12141</v>
      </c>
      <c r="N48" s="36">
        <f>IFERROR(VLOOKUP($F48,bug_conf_sheet!$A:$H,3,FALSE),VLOOKUP("other",bug_conf_sheet!$A:$H,3,FALSE))</f>
        <v>1</v>
      </c>
      <c r="O48" s="36">
        <f>IFERROR(VLOOKUP($F48,bug_conf_sheet!$A:$H,4,FALSE),VLOOKUP("other",bug_conf_sheet!$A:$H,4,FALSE))</f>
        <v>0</v>
      </c>
      <c r="P48" s="36">
        <f>IFERROR(VLOOKUP($F48,bug_conf_sheet!$A:$H,5,FALSE),VLOOKUP("other",bug_conf_sheet!$A:$H,5,FALSE))</f>
        <v>0</v>
      </c>
      <c r="Q48" s="36">
        <f>IFERROR(VLOOKUP($F48,bug_conf_sheet!$A:$H,6,FALSE),VLOOKUP("other",bug_conf_sheet!$A:$H,6,FALSE))</f>
        <v>0</v>
      </c>
      <c r="R48" s="36">
        <f>IFERROR(VLOOKUP($F48,bug_conf_sheet!$A:$H,7,FALSE),VLOOKUP("other",bug_conf_sheet!$A:$H,7,FALSE))</f>
        <v>0</v>
      </c>
      <c r="S48" s="36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1710207</v>
      </c>
      <c r="B49" s="2" t="str">
        <f t="shared" si="5"/>
        <v>1710</v>
      </c>
      <c r="C49" s="8" t="str">
        <f t="shared" si="4"/>
        <v>0PremiumN5</v>
      </c>
      <c r="D49" s="8" t="str">
        <f t="shared" si="6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2">
        <f>VLOOKUP(D49,gacha_171_base!A:B,2,FALSE)</f>
        <v>775</v>
      </c>
      <c r="N49" s="36">
        <f>IFERROR(VLOOKUP($F49,bug_conf_sheet!$A:$H,3,FALSE),VLOOKUP("other",bug_conf_sheet!$A:$H,3,FALSE))</f>
        <v>1</v>
      </c>
      <c r="O49" s="36">
        <f>IFERROR(VLOOKUP($F49,bug_conf_sheet!$A:$H,4,FALSE),VLOOKUP("other",bug_conf_sheet!$A:$H,4,FALSE))</f>
        <v>0</v>
      </c>
      <c r="P49" s="36">
        <f>IFERROR(VLOOKUP($F49,bug_conf_sheet!$A:$H,5,FALSE),VLOOKUP("other",bug_conf_sheet!$A:$H,5,FALSE))</f>
        <v>0</v>
      </c>
      <c r="Q49" s="36">
        <f>IFERROR(VLOOKUP($F49,bug_conf_sheet!$A:$H,6,FALSE),VLOOKUP("other",bug_conf_sheet!$A:$H,6,FALSE))</f>
        <v>0</v>
      </c>
      <c r="R49" s="36">
        <f>IFERROR(VLOOKUP($F49,bug_conf_sheet!$A:$H,7,FALSE),VLOOKUP("other",bug_conf_sheet!$A:$H,7,FALSE))</f>
        <v>0</v>
      </c>
      <c r="S49" s="36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1710209</v>
      </c>
      <c r="B50" s="2" t="str">
        <f t="shared" si="5"/>
        <v>1710</v>
      </c>
      <c r="C50" s="8" t="str">
        <f t="shared" si="4"/>
        <v>0PremiumN4</v>
      </c>
      <c r="D50" s="8" t="str">
        <f t="shared" si="6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2">
        <f>VLOOKUP(D50,gacha_171_base!A:B,2,FALSE)</f>
        <v>12141</v>
      </c>
      <c r="N50" s="36">
        <f>IFERROR(VLOOKUP($F50,bug_conf_sheet!$A:$H,3,FALSE),VLOOKUP("other",bug_conf_sheet!$A:$H,3,FALSE))</f>
        <v>1</v>
      </c>
      <c r="O50" s="36">
        <f>IFERROR(VLOOKUP($F50,bug_conf_sheet!$A:$H,4,FALSE),VLOOKUP("other",bug_conf_sheet!$A:$H,4,FALSE))</f>
        <v>0</v>
      </c>
      <c r="P50" s="36">
        <f>IFERROR(VLOOKUP($F50,bug_conf_sheet!$A:$H,5,FALSE),VLOOKUP("other",bug_conf_sheet!$A:$H,5,FALSE))</f>
        <v>0</v>
      </c>
      <c r="Q50" s="36">
        <f>IFERROR(VLOOKUP($F50,bug_conf_sheet!$A:$H,6,FALSE),VLOOKUP("other",bug_conf_sheet!$A:$H,6,FALSE))</f>
        <v>0</v>
      </c>
      <c r="R50" s="36">
        <f>IFERROR(VLOOKUP($F50,bug_conf_sheet!$A:$H,7,FALSE),VLOOKUP("other",bug_conf_sheet!$A:$H,7,FALSE))</f>
        <v>0</v>
      </c>
      <c r="S50" s="36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1710210</v>
      </c>
      <c r="B51" s="2" t="str">
        <f t="shared" si="5"/>
        <v>1710</v>
      </c>
      <c r="C51" s="8" t="str">
        <f t="shared" si="4"/>
        <v>0PremiumN5</v>
      </c>
      <c r="D51" s="8" t="str">
        <f t="shared" si="6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2">
        <f>VLOOKUP(D51,gacha_171_base!A:B,2,FALSE)</f>
        <v>775</v>
      </c>
      <c r="N51" s="36">
        <f>IFERROR(VLOOKUP($F51,bug_conf_sheet!$A:$H,3,FALSE),VLOOKUP("other",bug_conf_sheet!$A:$H,3,FALSE))</f>
        <v>1</v>
      </c>
      <c r="O51" s="36">
        <f>IFERROR(VLOOKUP($F51,bug_conf_sheet!$A:$H,4,FALSE),VLOOKUP("other",bug_conf_sheet!$A:$H,4,FALSE))</f>
        <v>0</v>
      </c>
      <c r="P51" s="36">
        <f>IFERROR(VLOOKUP($F51,bug_conf_sheet!$A:$H,5,FALSE),VLOOKUP("other",bug_conf_sheet!$A:$H,5,FALSE))</f>
        <v>0</v>
      </c>
      <c r="Q51" s="36">
        <f>IFERROR(VLOOKUP($F51,bug_conf_sheet!$A:$H,6,FALSE),VLOOKUP("other",bug_conf_sheet!$A:$H,6,FALSE))</f>
        <v>0</v>
      </c>
      <c r="R51" s="36">
        <f>IFERROR(VLOOKUP($F51,bug_conf_sheet!$A:$H,7,FALSE),VLOOKUP("other",bug_conf_sheet!$A:$H,7,FALSE))</f>
        <v>0</v>
      </c>
      <c r="S51" s="36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1710212</v>
      </c>
      <c r="B52" s="2" t="str">
        <f t="shared" si="5"/>
        <v>1710</v>
      </c>
      <c r="C52" s="8" t="str">
        <f t="shared" si="4"/>
        <v>0PremiumN4</v>
      </c>
      <c r="D52" s="8" t="str">
        <f t="shared" si="6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2">
        <f>VLOOKUP(D52,gacha_171_base!A:B,2,FALSE)</f>
        <v>12141</v>
      </c>
      <c r="N52" s="36">
        <f>IFERROR(VLOOKUP($F52,bug_conf_sheet!$A:$H,3,FALSE),VLOOKUP("other",bug_conf_sheet!$A:$H,3,FALSE))</f>
        <v>1</v>
      </c>
      <c r="O52" s="36">
        <f>IFERROR(VLOOKUP($F52,bug_conf_sheet!$A:$H,4,FALSE),VLOOKUP("other",bug_conf_sheet!$A:$H,4,FALSE))</f>
        <v>0</v>
      </c>
      <c r="P52" s="36">
        <f>IFERROR(VLOOKUP($F52,bug_conf_sheet!$A:$H,5,FALSE),VLOOKUP("other",bug_conf_sheet!$A:$H,5,FALSE))</f>
        <v>0</v>
      </c>
      <c r="Q52" s="36">
        <f>IFERROR(VLOOKUP($F52,bug_conf_sheet!$A:$H,6,FALSE),VLOOKUP("other",bug_conf_sheet!$A:$H,6,FALSE))</f>
        <v>0</v>
      </c>
      <c r="R52" s="36">
        <f>IFERROR(VLOOKUP($F52,bug_conf_sheet!$A:$H,7,FALSE),VLOOKUP("other",bug_conf_sheet!$A:$H,7,FALSE))</f>
        <v>0</v>
      </c>
      <c r="S52" s="36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1710213</v>
      </c>
      <c r="B53" s="2" t="str">
        <f t="shared" si="5"/>
        <v>1710</v>
      </c>
      <c r="C53" s="8" t="str">
        <f t="shared" si="4"/>
        <v>0PremiumN5</v>
      </c>
      <c r="D53" s="8" t="str">
        <f t="shared" si="6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2">
        <f>VLOOKUP(D53,gacha_171_base!A:B,2,FALSE)</f>
        <v>775</v>
      </c>
      <c r="N53" s="36">
        <f>IFERROR(VLOOKUP($F53,bug_conf_sheet!$A:$H,3,FALSE),VLOOKUP("other",bug_conf_sheet!$A:$H,3,FALSE))</f>
        <v>1</v>
      </c>
      <c r="O53" s="36">
        <f>IFERROR(VLOOKUP($F53,bug_conf_sheet!$A:$H,4,FALSE),VLOOKUP("other",bug_conf_sheet!$A:$H,4,FALSE))</f>
        <v>0</v>
      </c>
      <c r="P53" s="36">
        <f>IFERROR(VLOOKUP($F53,bug_conf_sheet!$A:$H,5,FALSE),VLOOKUP("other",bug_conf_sheet!$A:$H,5,FALSE))</f>
        <v>0</v>
      </c>
      <c r="Q53" s="36">
        <f>IFERROR(VLOOKUP($F53,bug_conf_sheet!$A:$H,6,FALSE),VLOOKUP("other",bug_conf_sheet!$A:$H,6,FALSE))</f>
        <v>0</v>
      </c>
      <c r="R53" s="36">
        <f>IFERROR(VLOOKUP($F53,bug_conf_sheet!$A:$H,7,FALSE),VLOOKUP("other",bug_conf_sheet!$A:$H,7,FALSE))</f>
        <v>0</v>
      </c>
      <c r="S53" s="36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1710215</v>
      </c>
      <c r="B54" s="2" t="str">
        <f t="shared" si="5"/>
        <v>1710</v>
      </c>
      <c r="C54" s="8" t="str">
        <f t="shared" si="4"/>
        <v>0PremiumN4</v>
      </c>
      <c r="D54" s="8" t="str">
        <f t="shared" si="6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2">
        <f>VLOOKUP(D54,gacha_171_base!A:B,2,FALSE)</f>
        <v>12141</v>
      </c>
      <c r="N54" s="36">
        <f>IFERROR(VLOOKUP($F54,bug_conf_sheet!$A:$H,3,FALSE),VLOOKUP("other",bug_conf_sheet!$A:$H,3,FALSE))</f>
        <v>1</v>
      </c>
      <c r="O54" s="36">
        <f>IFERROR(VLOOKUP($F54,bug_conf_sheet!$A:$H,4,FALSE),VLOOKUP("other",bug_conf_sheet!$A:$H,4,FALSE))</f>
        <v>0</v>
      </c>
      <c r="P54" s="36">
        <f>IFERROR(VLOOKUP($F54,bug_conf_sheet!$A:$H,5,FALSE),VLOOKUP("other",bug_conf_sheet!$A:$H,5,FALSE))</f>
        <v>0</v>
      </c>
      <c r="Q54" s="36">
        <f>IFERROR(VLOOKUP($F54,bug_conf_sheet!$A:$H,6,FALSE),VLOOKUP("other",bug_conf_sheet!$A:$H,6,FALSE))</f>
        <v>0</v>
      </c>
      <c r="R54" s="36">
        <f>IFERROR(VLOOKUP($F54,bug_conf_sheet!$A:$H,7,FALSE),VLOOKUP("other",bug_conf_sheet!$A:$H,7,FALSE))</f>
        <v>0</v>
      </c>
      <c r="S54" s="36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1710216</v>
      </c>
      <c r="B55" s="2" t="str">
        <f t="shared" si="5"/>
        <v>1710</v>
      </c>
      <c r="C55" s="8" t="str">
        <f t="shared" si="4"/>
        <v>0PremiumN5</v>
      </c>
      <c r="D55" s="8" t="str">
        <f t="shared" si="6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2">
        <f>VLOOKUP(D55,gacha_171_base!A:B,2,FALSE)</f>
        <v>775</v>
      </c>
      <c r="N55" s="36">
        <f>IFERROR(VLOOKUP($F55,bug_conf_sheet!$A:$H,3,FALSE),VLOOKUP("other",bug_conf_sheet!$A:$H,3,FALSE))</f>
        <v>1</v>
      </c>
      <c r="O55" s="36">
        <f>IFERROR(VLOOKUP($F55,bug_conf_sheet!$A:$H,4,FALSE),VLOOKUP("other",bug_conf_sheet!$A:$H,4,FALSE))</f>
        <v>0</v>
      </c>
      <c r="P55" s="36">
        <f>IFERROR(VLOOKUP($F55,bug_conf_sheet!$A:$H,5,FALSE),VLOOKUP("other",bug_conf_sheet!$A:$H,5,FALSE))</f>
        <v>0</v>
      </c>
      <c r="Q55" s="36">
        <f>IFERROR(VLOOKUP($F55,bug_conf_sheet!$A:$H,6,FALSE),VLOOKUP("other",bug_conf_sheet!$A:$H,6,FALSE))</f>
        <v>0</v>
      </c>
      <c r="R55" s="36">
        <f>IFERROR(VLOOKUP($F55,bug_conf_sheet!$A:$H,7,FALSE),VLOOKUP("other",bug_conf_sheet!$A:$H,7,FALSE))</f>
        <v>0</v>
      </c>
      <c r="S55" s="36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1710218</v>
      </c>
      <c r="B56" s="2" t="str">
        <f t="shared" si="5"/>
        <v>1710</v>
      </c>
      <c r="C56" s="8" t="str">
        <f t="shared" si="4"/>
        <v>0PremiumN4</v>
      </c>
      <c r="D56" s="8" t="str">
        <f t="shared" si="6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2">
        <f>VLOOKUP(D56,gacha_171_base!A:B,2,FALSE)</f>
        <v>12141</v>
      </c>
      <c r="N56" s="36">
        <f>IFERROR(VLOOKUP($F56,bug_conf_sheet!$A:$H,3,FALSE),VLOOKUP("other",bug_conf_sheet!$A:$H,3,FALSE))</f>
        <v>1</v>
      </c>
      <c r="O56" s="36">
        <f>IFERROR(VLOOKUP($F56,bug_conf_sheet!$A:$H,4,FALSE),VLOOKUP("other",bug_conf_sheet!$A:$H,4,FALSE))</f>
        <v>0</v>
      </c>
      <c r="P56" s="36">
        <f>IFERROR(VLOOKUP($F56,bug_conf_sheet!$A:$H,5,FALSE),VLOOKUP("other",bug_conf_sheet!$A:$H,5,FALSE))</f>
        <v>0</v>
      </c>
      <c r="Q56" s="36">
        <f>IFERROR(VLOOKUP($F56,bug_conf_sheet!$A:$H,6,FALSE),VLOOKUP("other",bug_conf_sheet!$A:$H,6,FALSE))</f>
        <v>0</v>
      </c>
      <c r="R56" s="36">
        <f>IFERROR(VLOOKUP($F56,bug_conf_sheet!$A:$H,7,FALSE),VLOOKUP("other",bug_conf_sheet!$A:$H,7,FALSE))</f>
        <v>0</v>
      </c>
      <c r="S56" s="36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1710219</v>
      </c>
      <c r="B57" s="2" t="str">
        <f t="shared" si="5"/>
        <v>1710</v>
      </c>
      <c r="C57" s="8" t="str">
        <f t="shared" si="4"/>
        <v>0PremiumN5</v>
      </c>
      <c r="D57" s="8" t="str">
        <f t="shared" si="6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2">
        <f>VLOOKUP(D57,gacha_171_base!A:B,2,FALSE)</f>
        <v>775</v>
      </c>
      <c r="N57" s="36">
        <f>IFERROR(VLOOKUP($F57,bug_conf_sheet!$A:$H,3,FALSE),VLOOKUP("other",bug_conf_sheet!$A:$H,3,FALSE))</f>
        <v>1</v>
      </c>
      <c r="O57" s="36">
        <f>IFERROR(VLOOKUP($F57,bug_conf_sheet!$A:$H,4,FALSE),VLOOKUP("other",bug_conf_sheet!$A:$H,4,FALSE))</f>
        <v>0</v>
      </c>
      <c r="P57" s="36">
        <f>IFERROR(VLOOKUP($F57,bug_conf_sheet!$A:$H,5,FALSE),VLOOKUP("other",bug_conf_sheet!$A:$H,5,FALSE))</f>
        <v>0</v>
      </c>
      <c r="Q57" s="36">
        <f>IFERROR(VLOOKUP($F57,bug_conf_sheet!$A:$H,6,FALSE),VLOOKUP("other",bug_conf_sheet!$A:$H,6,FALSE))</f>
        <v>0</v>
      </c>
      <c r="R57" s="36">
        <f>IFERROR(VLOOKUP($F57,bug_conf_sheet!$A:$H,7,FALSE),VLOOKUP("other",bug_conf_sheet!$A:$H,7,FALSE))</f>
        <v>0</v>
      </c>
      <c r="S57" s="36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1710221</v>
      </c>
      <c r="B58" s="2" t="str">
        <f t="shared" si="5"/>
        <v>1710</v>
      </c>
      <c r="C58" s="8" t="str">
        <f t="shared" si="4"/>
        <v>0PremiumN4</v>
      </c>
      <c r="D58" s="8" t="str">
        <f t="shared" si="6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2">
        <f>VLOOKUP(D58,gacha_171_base!A:B,2,FALSE)</f>
        <v>12141</v>
      </c>
      <c r="N58" s="36">
        <f>IFERROR(VLOOKUP($F58,bug_conf_sheet!$A:$H,3,FALSE),VLOOKUP("other",bug_conf_sheet!$A:$H,3,FALSE))</f>
        <v>1</v>
      </c>
      <c r="O58" s="36">
        <f>IFERROR(VLOOKUP($F58,bug_conf_sheet!$A:$H,4,FALSE),VLOOKUP("other",bug_conf_sheet!$A:$H,4,FALSE))</f>
        <v>0</v>
      </c>
      <c r="P58" s="36">
        <f>IFERROR(VLOOKUP($F58,bug_conf_sheet!$A:$H,5,FALSE),VLOOKUP("other",bug_conf_sheet!$A:$H,5,FALSE))</f>
        <v>0</v>
      </c>
      <c r="Q58" s="36">
        <f>IFERROR(VLOOKUP($F58,bug_conf_sheet!$A:$H,6,FALSE),VLOOKUP("other",bug_conf_sheet!$A:$H,6,FALSE))</f>
        <v>0</v>
      </c>
      <c r="R58" s="36">
        <f>IFERROR(VLOOKUP($F58,bug_conf_sheet!$A:$H,7,FALSE),VLOOKUP("other",bug_conf_sheet!$A:$H,7,FALSE))</f>
        <v>0</v>
      </c>
      <c r="S58" s="36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1710222</v>
      </c>
      <c r="B59" s="2" t="str">
        <f t="shared" si="5"/>
        <v>1710</v>
      </c>
      <c r="C59" s="8" t="str">
        <f t="shared" si="4"/>
        <v>0PremiumN5</v>
      </c>
      <c r="D59" s="8" t="str">
        <f t="shared" si="6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2">
        <f>VLOOKUP(D59,gacha_171_base!A:B,2,FALSE)</f>
        <v>775</v>
      </c>
      <c r="N59" s="36">
        <f>IFERROR(VLOOKUP($F59,bug_conf_sheet!$A:$H,3,FALSE),VLOOKUP("other",bug_conf_sheet!$A:$H,3,FALSE))</f>
        <v>1</v>
      </c>
      <c r="O59" s="36">
        <f>IFERROR(VLOOKUP($F59,bug_conf_sheet!$A:$H,4,FALSE),VLOOKUP("other",bug_conf_sheet!$A:$H,4,FALSE))</f>
        <v>0</v>
      </c>
      <c r="P59" s="36">
        <f>IFERROR(VLOOKUP($F59,bug_conf_sheet!$A:$H,5,FALSE),VLOOKUP("other",bug_conf_sheet!$A:$H,5,FALSE))</f>
        <v>0</v>
      </c>
      <c r="Q59" s="36">
        <f>IFERROR(VLOOKUP($F59,bug_conf_sheet!$A:$H,6,FALSE),VLOOKUP("other",bug_conf_sheet!$A:$H,6,FALSE))</f>
        <v>0</v>
      </c>
      <c r="R59" s="36">
        <f>IFERROR(VLOOKUP($F59,bug_conf_sheet!$A:$H,7,FALSE),VLOOKUP("other",bug_conf_sheet!$A:$H,7,FALSE))</f>
        <v>0</v>
      </c>
      <c r="S59" s="36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1710224</v>
      </c>
      <c r="B60" s="2" t="str">
        <f t="shared" si="5"/>
        <v>1710</v>
      </c>
      <c r="C60" s="8" t="str">
        <f t="shared" si="4"/>
        <v>0PremiumN4</v>
      </c>
      <c r="D60" s="8" t="str">
        <f t="shared" si="6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2">
        <f>VLOOKUP(D60,gacha_171_base!A:B,2,FALSE)</f>
        <v>12141</v>
      </c>
      <c r="N60" s="36">
        <f>IFERROR(VLOOKUP($F60,bug_conf_sheet!$A:$H,3,FALSE),VLOOKUP("other",bug_conf_sheet!$A:$H,3,FALSE))</f>
        <v>1</v>
      </c>
      <c r="O60" s="36">
        <f>IFERROR(VLOOKUP($F60,bug_conf_sheet!$A:$H,4,FALSE),VLOOKUP("other",bug_conf_sheet!$A:$H,4,FALSE))</f>
        <v>0</v>
      </c>
      <c r="P60" s="36">
        <f>IFERROR(VLOOKUP($F60,bug_conf_sheet!$A:$H,5,FALSE),VLOOKUP("other",bug_conf_sheet!$A:$H,5,FALSE))</f>
        <v>0</v>
      </c>
      <c r="Q60" s="36">
        <f>IFERROR(VLOOKUP($F60,bug_conf_sheet!$A:$H,6,FALSE),VLOOKUP("other",bug_conf_sheet!$A:$H,6,FALSE))</f>
        <v>0</v>
      </c>
      <c r="R60" s="36">
        <f>IFERROR(VLOOKUP($F60,bug_conf_sheet!$A:$H,7,FALSE),VLOOKUP("other",bug_conf_sheet!$A:$H,7,FALSE))</f>
        <v>0</v>
      </c>
      <c r="S60" s="36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1710225</v>
      </c>
      <c r="B61" s="2" t="str">
        <f t="shared" si="5"/>
        <v>1710</v>
      </c>
      <c r="C61" s="8" t="str">
        <f t="shared" si="4"/>
        <v>0PremiumN5</v>
      </c>
      <c r="D61" s="8" t="str">
        <f t="shared" si="6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2">
        <f>VLOOKUP(D61,gacha_171_base!A:B,2,FALSE)</f>
        <v>775</v>
      </c>
      <c r="N61" s="36">
        <f>IFERROR(VLOOKUP($F61,bug_conf_sheet!$A:$H,3,FALSE),VLOOKUP("other",bug_conf_sheet!$A:$H,3,FALSE))</f>
        <v>1</v>
      </c>
      <c r="O61" s="36">
        <f>IFERROR(VLOOKUP($F61,bug_conf_sheet!$A:$H,4,FALSE),VLOOKUP("other",bug_conf_sheet!$A:$H,4,FALSE))</f>
        <v>0</v>
      </c>
      <c r="P61" s="36">
        <f>IFERROR(VLOOKUP($F61,bug_conf_sheet!$A:$H,5,FALSE),VLOOKUP("other",bug_conf_sheet!$A:$H,5,FALSE))</f>
        <v>0</v>
      </c>
      <c r="Q61" s="36">
        <f>IFERROR(VLOOKUP($F61,bug_conf_sheet!$A:$H,6,FALSE),VLOOKUP("other",bug_conf_sheet!$A:$H,6,FALSE))</f>
        <v>0</v>
      </c>
      <c r="R61" s="36">
        <f>IFERROR(VLOOKUP($F61,bug_conf_sheet!$A:$H,7,FALSE),VLOOKUP("other",bug_conf_sheet!$A:$H,7,FALSE))</f>
        <v>0</v>
      </c>
      <c r="S61" s="36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1710227</v>
      </c>
      <c r="B62" s="2" t="str">
        <f t="shared" si="5"/>
        <v>1710</v>
      </c>
      <c r="C62" s="8" t="str">
        <f t="shared" si="4"/>
        <v>0PremiumS4</v>
      </c>
      <c r="D62" s="8" t="str">
        <f t="shared" si="6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2">
        <f>VLOOKUP(D62,gacha_171_base!A:B,2,FALSE)</f>
        <v>12141</v>
      </c>
      <c r="N62" s="36">
        <f>IFERROR(VLOOKUP($F62,bug_conf_sheet!$A:$H,3,FALSE),VLOOKUP("other",bug_conf_sheet!$A:$H,3,FALSE))</f>
        <v>1</v>
      </c>
      <c r="O62" s="36">
        <f>IFERROR(VLOOKUP($F62,bug_conf_sheet!$A:$H,4,FALSE),VLOOKUP("other",bug_conf_sheet!$A:$H,4,FALSE))</f>
        <v>0</v>
      </c>
      <c r="P62" s="36">
        <f>IFERROR(VLOOKUP($F62,bug_conf_sheet!$A:$H,5,FALSE),VLOOKUP("other",bug_conf_sheet!$A:$H,5,FALSE))</f>
        <v>0</v>
      </c>
      <c r="Q62" s="36">
        <f>IFERROR(VLOOKUP($F62,bug_conf_sheet!$A:$H,6,FALSE),VLOOKUP("other",bug_conf_sheet!$A:$H,6,FALSE))</f>
        <v>0</v>
      </c>
      <c r="R62" s="36">
        <f>IFERROR(VLOOKUP($F62,bug_conf_sheet!$A:$H,7,FALSE),VLOOKUP("other",bug_conf_sheet!$A:$H,7,FALSE))</f>
        <v>0</v>
      </c>
      <c r="S62" s="36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1710228</v>
      </c>
      <c r="B63" s="2" t="str">
        <f t="shared" si="5"/>
        <v>1710</v>
      </c>
      <c r="C63" s="8" t="str">
        <f t="shared" si="4"/>
        <v>0PremiumS5</v>
      </c>
      <c r="D63" s="8" t="str">
        <f t="shared" si="6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2">
        <f>VLOOKUP(D63,gacha_171_base!A:B,2,FALSE)</f>
        <v>775</v>
      </c>
      <c r="N63" s="36">
        <f>IFERROR(VLOOKUP($F63,bug_conf_sheet!$A:$H,3,FALSE),VLOOKUP("other",bug_conf_sheet!$A:$H,3,FALSE))</f>
        <v>1</v>
      </c>
      <c r="O63" s="36">
        <f>IFERROR(VLOOKUP($F63,bug_conf_sheet!$A:$H,4,FALSE),VLOOKUP("other",bug_conf_sheet!$A:$H,4,FALSE))</f>
        <v>0</v>
      </c>
      <c r="P63" s="36">
        <f>IFERROR(VLOOKUP($F63,bug_conf_sheet!$A:$H,5,FALSE),VLOOKUP("other",bug_conf_sheet!$A:$H,5,FALSE))</f>
        <v>0</v>
      </c>
      <c r="Q63" s="36">
        <f>IFERROR(VLOOKUP($F63,bug_conf_sheet!$A:$H,6,FALSE),VLOOKUP("other",bug_conf_sheet!$A:$H,6,FALSE))</f>
        <v>0</v>
      </c>
      <c r="R63" s="36">
        <f>IFERROR(VLOOKUP($F63,bug_conf_sheet!$A:$H,7,FALSE),VLOOKUP("other",bug_conf_sheet!$A:$H,7,FALSE))</f>
        <v>0</v>
      </c>
      <c r="S63" s="36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1710230</v>
      </c>
      <c r="B64" s="2" t="str">
        <f t="shared" si="5"/>
        <v>1710</v>
      </c>
      <c r="C64" s="8" t="str">
        <f t="shared" si="4"/>
        <v>0PremiumS4</v>
      </c>
      <c r="D64" s="8" t="str">
        <f t="shared" si="6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2">
        <f>VLOOKUP(D64,gacha_171_base!A:B,2,FALSE)</f>
        <v>12141</v>
      </c>
      <c r="N64" s="36">
        <f>IFERROR(VLOOKUP($F64,bug_conf_sheet!$A:$H,3,FALSE),VLOOKUP("other",bug_conf_sheet!$A:$H,3,FALSE))</f>
        <v>1</v>
      </c>
      <c r="O64" s="36">
        <f>IFERROR(VLOOKUP($F64,bug_conf_sheet!$A:$H,4,FALSE),VLOOKUP("other",bug_conf_sheet!$A:$H,4,FALSE))</f>
        <v>0</v>
      </c>
      <c r="P64" s="36">
        <f>IFERROR(VLOOKUP($F64,bug_conf_sheet!$A:$H,5,FALSE),VLOOKUP("other",bug_conf_sheet!$A:$H,5,FALSE))</f>
        <v>0</v>
      </c>
      <c r="Q64" s="36">
        <f>IFERROR(VLOOKUP($F64,bug_conf_sheet!$A:$H,6,FALSE),VLOOKUP("other",bug_conf_sheet!$A:$H,6,FALSE))</f>
        <v>0</v>
      </c>
      <c r="R64" s="36">
        <f>IFERROR(VLOOKUP($F64,bug_conf_sheet!$A:$H,7,FALSE),VLOOKUP("other",bug_conf_sheet!$A:$H,7,FALSE))</f>
        <v>0</v>
      </c>
      <c r="S64" s="36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7">B65&amp;F65</f>
        <v>1710231</v>
      </c>
      <c r="B65" s="2" t="str">
        <f t="shared" si="5"/>
        <v>1710</v>
      </c>
      <c r="C65" s="8" t="str">
        <f t="shared" si="4"/>
        <v>0PremiumS5</v>
      </c>
      <c r="D65" s="8" t="str">
        <f t="shared" si="6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2">
        <f>VLOOKUP(D65,gacha_171_base!A:B,2,FALSE)</f>
        <v>775</v>
      </c>
      <c r="N65" s="36">
        <f>IFERROR(VLOOKUP($F65,bug_conf_sheet!$A:$H,3,FALSE),VLOOKUP("other",bug_conf_sheet!$A:$H,3,FALSE))</f>
        <v>1</v>
      </c>
      <c r="O65" s="36">
        <f>IFERROR(VLOOKUP($F65,bug_conf_sheet!$A:$H,4,FALSE),VLOOKUP("other",bug_conf_sheet!$A:$H,4,FALSE))</f>
        <v>0</v>
      </c>
      <c r="P65" s="36">
        <f>IFERROR(VLOOKUP($F65,bug_conf_sheet!$A:$H,5,FALSE),VLOOKUP("other",bug_conf_sheet!$A:$H,5,FALSE))</f>
        <v>0</v>
      </c>
      <c r="Q65" s="36">
        <f>IFERROR(VLOOKUP($F65,bug_conf_sheet!$A:$H,6,FALSE),VLOOKUP("other",bug_conf_sheet!$A:$H,6,FALSE))</f>
        <v>0</v>
      </c>
      <c r="R65" s="36">
        <f>IFERROR(VLOOKUP($F65,bug_conf_sheet!$A:$H,7,FALSE),VLOOKUP("other",bug_conf_sheet!$A:$H,7,FALSE))</f>
        <v>0</v>
      </c>
      <c r="S65" s="36">
        <f>IFERROR(VLOOKUP($F65,bug_conf_sheet!$A:$H,8,FALSE),VLOOKUP("other",bug_conf_sheet!$A:$H,8,FALSE))</f>
        <v>1</v>
      </c>
    </row>
    <row r="66" spans="1:19" ht="21" customHeight="1">
      <c r="A66" s="7" t="str">
        <f t="shared" si="7"/>
        <v>1710233</v>
      </c>
      <c r="B66" s="2" t="str">
        <f t="shared" si="5"/>
        <v>1710</v>
      </c>
      <c r="C66" s="8" t="str">
        <f t="shared" si="4"/>
        <v>0PremiumS4</v>
      </c>
      <c r="D66" s="8" t="str">
        <f t="shared" si="6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2">
        <f>VLOOKUP(D66,gacha_171_base!A:B,2,FALSE)</f>
        <v>12141</v>
      </c>
      <c r="N66" s="36">
        <f>IFERROR(VLOOKUP($F66,bug_conf_sheet!$A:$H,3,FALSE),VLOOKUP("other",bug_conf_sheet!$A:$H,3,FALSE))</f>
        <v>1</v>
      </c>
      <c r="O66" s="36">
        <f>IFERROR(VLOOKUP($F66,bug_conf_sheet!$A:$H,4,FALSE),VLOOKUP("other",bug_conf_sheet!$A:$H,4,FALSE))</f>
        <v>0</v>
      </c>
      <c r="P66" s="36">
        <f>IFERROR(VLOOKUP($F66,bug_conf_sheet!$A:$H,5,FALSE),VLOOKUP("other",bug_conf_sheet!$A:$H,5,FALSE))</f>
        <v>0</v>
      </c>
      <c r="Q66" s="36">
        <f>IFERROR(VLOOKUP($F66,bug_conf_sheet!$A:$H,6,FALSE),VLOOKUP("other",bug_conf_sheet!$A:$H,6,FALSE))</f>
        <v>0</v>
      </c>
      <c r="R66" s="36">
        <f>IFERROR(VLOOKUP($F66,bug_conf_sheet!$A:$H,7,FALSE),VLOOKUP("other",bug_conf_sheet!$A:$H,7,FALSE))</f>
        <v>0</v>
      </c>
      <c r="S66" s="36">
        <f>IFERROR(VLOOKUP($F66,bug_conf_sheet!$A:$H,8,FALSE),VLOOKUP("other",bug_conf_sheet!$A:$H,8,FALSE))</f>
        <v>1</v>
      </c>
    </row>
    <row r="67" spans="1:19" ht="21" customHeight="1">
      <c r="A67" s="7" t="str">
        <f t="shared" si="7"/>
        <v>1710234</v>
      </c>
      <c r="B67" s="2" t="str">
        <f t="shared" si="5"/>
        <v>1710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2">
        <f>VLOOKUP(D67,gacha_171_base!A:B,2,FALSE)</f>
        <v>775</v>
      </c>
      <c r="N67" s="36">
        <f>IFERROR(VLOOKUP($F67,bug_conf_sheet!$A:$H,3,FALSE),VLOOKUP("other",bug_conf_sheet!$A:$H,3,FALSE))</f>
        <v>1</v>
      </c>
      <c r="O67" s="36">
        <f>IFERROR(VLOOKUP($F67,bug_conf_sheet!$A:$H,4,FALSE),VLOOKUP("other",bug_conf_sheet!$A:$H,4,FALSE))</f>
        <v>0</v>
      </c>
      <c r="P67" s="36">
        <f>IFERROR(VLOOKUP($F67,bug_conf_sheet!$A:$H,5,FALSE),VLOOKUP("other",bug_conf_sheet!$A:$H,5,FALSE))</f>
        <v>0</v>
      </c>
      <c r="Q67" s="36">
        <f>IFERROR(VLOOKUP($F67,bug_conf_sheet!$A:$H,6,FALSE),VLOOKUP("other",bug_conf_sheet!$A:$H,6,FALSE))</f>
        <v>0</v>
      </c>
      <c r="R67" s="36">
        <f>IFERROR(VLOOKUP($F67,bug_conf_sheet!$A:$H,7,FALSE),VLOOKUP("other",bug_conf_sheet!$A:$H,7,FALSE))</f>
        <v>0</v>
      </c>
      <c r="S67" s="36">
        <f>IFERROR(VLOOKUP($F67,bug_conf_sheet!$A:$H,8,FALSE),VLOOKUP("other",bug_conf_sheet!$A:$H,8,FALSE))</f>
        <v>1</v>
      </c>
    </row>
    <row r="68" spans="1:19" ht="21" customHeight="1">
      <c r="A68" s="7" t="str">
        <f t="shared" si="7"/>
        <v>1710236</v>
      </c>
      <c r="B68" s="2" t="str">
        <f t="shared" si="5"/>
        <v>1710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2">
        <f>VLOOKUP(D68,gacha_171_base!A:B,2,FALSE)</f>
        <v>12141</v>
      </c>
      <c r="N68" s="36">
        <f>IFERROR(VLOOKUP($F68,bug_conf_sheet!$A:$H,3,FALSE),VLOOKUP("other",bug_conf_sheet!$A:$H,3,FALSE))</f>
        <v>1</v>
      </c>
      <c r="O68" s="36">
        <f>IFERROR(VLOOKUP($F68,bug_conf_sheet!$A:$H,4,FALSE),VLOOKUP("other",bug_conf_sheet!$A:$H,4,FALSE))</f>
        <v>0</v>
      </c>
      <c r="P68" s="36">
        <f>IFERROR(VLOOKUP($F68,bug_conf_sheet!$A:$H,5,FALSE),VLOOKUP("other",bug_conf_sheet!$A:$H,5,FALSE))</f>
        <v>0</v>
      </c>
      <c r="Q68" s="36">
        <f>IFERROR(VLOOKUP($F68,bug_conf_sheet!$A:$H,6,FALSE),VLOOKUP("other",bug_conf_sheet!$A:$H,6,FALSE))</f>
        <v>0</v>
      </c>
      <c r="R68" s="36">
        <f>IFERROR(VLOOKUP($F68,bug_conf_sheet!$A:$H,7,FALSE),VLOOKUP("other",bug_conf_sheet!$A:$H,7,FALSE))</f>
        <v>0</v>
      </c>
      <c r="S68" s="36">
        <f>IFERROR(VLOOKUP($F68,bug_conf_sheet!$A:$H,8,FALSE),VLOOKUP("other",bug_conf_sheet!$A:$H,8,FALSE))</f>
        <v>1</v>
      </c>
    </row>
    <row r="69" spans="1:19" ht="21" customHeight="1">
      <c r="A69" s="7" t="str">
        <f t="shared" si="7"/>
        <v>1710237</v>
      </c>
      <c r="B69" s="2" t="str">
        <f t="shared" si="5"/>
        <v>1710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2">
        <f>VLOOKUP(D69,gacha_171_base!A:B,2,FALSE)</f>
        <v>775</v>
      </c>
      <c r="N69" s="36">
        <f>IFERROR(VLOOKUP($F69,bug_conf_sheet!$A:$H,3,FALSE),VLOOKUP("other",bug_conf_sheet!$A:$H,3,FALSE))</f>
        <v>1</v>
      </c>
      <c r="O69" s="36">
        <f>IFERROR(VLOOKUP($F69,bug_conf_sheet!$A:$H,4,FALSE),VLOOKUP("other",bug_conf_sheet!$A:$H,4,FALSE))</f>
        <v>0</v>
      </c>
      <c r="P69" s="36">
        <f>IFERROR(VLOOKUP($F69,bug_conf_sheet!$A:$H,5,FALSE),VLOOKUP("other",bug_conf_sheet!$A:$H,5,FALSE))</f>
        <v>0</v>
      </c>
      <c r="Q69" s="36">
        <f>IFERROR(VLOOKUP($F69,bug_conf_sheet!$A:$H,6,FALSE),VLOOKUP("other",bug_conf_sheet!$A:$H,6,FALSE))</f>
        <v>0</v>
      </c>
      <c r="R69" s="36">
        <f>IFERROR(VLOOKUP($F69,bug_conf_sheet!$A:$H,7,FALSE),VLOOKUP("other",bug_conf_sheet!$A:$H,7,FALSE))</f>
        <v>0</v>
      </c>
      <c r="S69" s="36">
        <f>IFERROR(VLOOKUP($F69,bug_conf_sheet!$A:$H,8,FALSE),VLOOKUP("other",bug_conf_sheet!$A:$H,8,FALSE))</f>
        <v>1</v>
      </c>
    </row>
    <row r="70" spans="1:19" ht="21" customHeight="1">
      <c r="A70" s="7" t="str">
        <f t="shared" si="7"/>
        <v>1710239</v>
      </c>
      <c r="B70" s="2" t="str">
        <f t="shared" si="5"/>
        <v>1710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2">
        <f>VLOOKUP(D70,gacha_171_base!A:B,2,FALSE)</f>
        <v>12141</v>
      </c>
      <c r="N70" s="36">
        <f>IFERROR(VLOOKUP($F70,bug_conf_sheet!$A:$H,3,FALSE),VLOOKUP("other",bug_conf_sheet!$A:$H,3,FALSE))</f>
        <v>1</v>
      </c>
      <c r="O70" s="36">
        <f>IFERROR(VLOOKUP($F70,bug_conf_sheet!$A:$H,4,FALSE),VLOOKUP("other",bug_conf_sheet!$A:$H,4,FALSE))</f>
        <v>0</v>
      </c>
      <c r="P70" s="36">
        <f>IFERROR(VLOOKUP($F70,bug_conf_sheet!$A:$H,5,FALSE),VLOOKUP("other",bug_conf_sheet!$A:$H,5,FALSE))</f>
        <v>0</v>
      </c>
      <c r="Q70" s="36">
        <f>IFERROR(VLOOKUP($F70,bug_conf_sheet!$A:$H,6,FALSE),VLOOKUP("other",bug_conf_sheet!$A:$H,6,FALSE))</f>
        <v>0</v>
      </c>
      <c r="R70" s="36">
        <f>IFERROR(VLOOKUP($F70,bug_conf_sheet!$A:$H,7,FALSE),VLOOKUP("other",bug_conf_sheet!$A:$H,7,FALSE))</f>
        <v>0</v>
      </c>
      <c r="S70" s="36">
        <f>IFERROR(VLOOKUP($F70,bug_conf_sheet!$A:$H,8,FALSE),VLOOKUP("other",bug_conf_sheet!$A:$H,8,FALSE))</f>
        <v>1</v>
      </c>
    </row>
    <row r="71" spans="1:19" ht="21" customHeight="1">
      <c r="A71" s="7" t="str">
        <f t="shared" si="7"/>
        <v>1710240</v>
      </c>
      <c r="B71" s="2" t="str">
        <f t="shared" si="5"/>
        <v>1710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2">
        <f>VLOOKUP(D71,gacha_171_base!A:B,2,FALSE)</f>
        <v>775</v>
      </c>
      <c r="N71" s="36">
        <f>IFERROR(VLOOKUP($F71,bug_conf_sheet!$A:$H,3,FALSE),VLOOKUP("other",bug_conf_sheet!$A:$H,3,FALSE))</f>
        <v>1</v>
      </c>
      <c r="O71" s="36">
        <f>IFERROR(VLOOKUP($F71,bug_conf_sheet!$A:$H,4,FALSE),VLOOKUP("other",bug_conf_sheet!$A:$H,4,FALSE))</f>
        <v>0</v>
      </c>
      <c r="P71" s="36">
        <f>IFERROR(VLOOKUP($F71,bug_conf_sheet!$A:$H,5,FALSE),VLOOKUP("other",bug_conf_sheet!$A:$H,5,FALSE))</f>
        <v>0</v>
      </c>
      <c r="Q71" s="36">
        <f>IFERROR(VLOOKUP($F71,bug_conf_sheet!$A:$H,6,FALSE),VLOOKUP("other",bug_conf_sheet!$A:$H,6,FALSE))</f>
        <v>0</v>
      </c>
      <c r="R71" s="36">
        <f>IFERROR(VLOOKUP($F71,bug_conf_sheet!$A:$H,7,FALSE),VLOOKUP("other",bug_conf_sheet!$A:$H,7,FALSE))</f>
        <v>0</v>
      </c>
      <c r="S71" s="36">
        <f>IFERROR(VLOOKUP($F71,bug_conf_sheet!$A:$H,8,FALSE),VLOOKUP("other",bug_conf_sheet!$A:$H,8,FALSE))</f>
        <v>1</v>
      </c>
    </row>
    <row r="72" spans="1:19" ht="21" customHeight="1">
      <c r="A72" s="7" t="str">
        <f t="shared" si="7"/>
        <v>1710242</v>
      </c>
      <c r="B72" s="2" t="str">
        <f t="shared" si="5"/>
        <v>1710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2">
        <f>VLOOKUP(D72,gacha_171_base!A:B,2,FALSE)</f>
        <v>12141</v>
      </c>
      <c r="N72" s="36">
        <f>IFERROR(VLOOKUP($F72,bug_conf_sheet!$A:$H,3,FALSE),VLOOKUP("other",bug_conf_sheet!$A:$H,3,FALSE))</f>
        <v>1</v>
      </c>
      <c r="O72" s="36">
        <f>IFERROR(VLOOKUP($F72,bug_conf_sheet!$A:$H,4,FALSE),VLOOKUP("other",bug_conf_sheet!$A:$H,4,FALSE))</f>
        <v>0</v>
      </c>
      <c r="P72" s="36">
        <f>IFERROR(VLOOKUP($F72,bug_conf_sheet!$A:$H,5,FALSE),VLOOKUP("other",bug_conf_sheet!$A:$H,5,FALSE))</f>
        <v>0</v>
      </c>
      <c r="Q72" s="36">
        <f>IFERROR(VLOOKUP($F72,bug_conf_sheet!$A:$H,6,FALSE),VLOOKUP("other",bug_conf_sheet!$A:$H,6,FALSE))</f>
        <v>0</v>
      </c>
      <c r="R72" s="36">
        <f>IFERROR(VLOOKUP($F72,bug_conf_sheet!$A:$H,7,FALSE),VLOOKUP("other",bug_conf_sheet!$A:$H,7,FALSE))</f>
        <v>0</v>
      </c>
      <c r="S72" s="36">
        <f>IFERROR(VLOOKUP($F72,bug_conf_sheet!$A:$H,8,FALSE),VLOOKUP("other",bug_conf_sheet!$A:$H,8,FALSE))</f>
        <v>1</v>
      </c>
    </row>
    <row r="73" spans="1:19" ht="21" customHeight="1">
      <c r="A73" s="7" t="str">
        <f t="shared" si="7"/>
        <v>1710243</v>
      </c>
      <c r="B73" s="2" t="str">
        <f t="shared" si="5"/>
        <v>1710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2">
        <f>VLOOKUP(D73,gacha_171_base!A:B,2,FALSE)</f>
        <v>775</v>
      </c>
      <c r="N73" s="36">
        <f>IFERROR(VLOOKUP($F73,bug_conf_sheet!$A:$H,3,FALSE),VLOOKUP("other",bug_conf_sheet!$A:$H,3,FALSE))</f>
        <v>1</v>
      </c>
      <c r="O73" s="36">
        <f>IFERROR(VLOOKUP($F73,bug_conf_sheet!$A:$H,4,FALSE),VLOOKUP("other",bug_conf_sheet!$A:$H,4,FALSE))</f>
        <v>0</v>
      </c>
      <c r="P73" s="36">
        <f>IFERROR(VLOOKUP($F73,bug_conf_sheet!$A:$H,5,FALSE),VLOOKUP("other",bug_conf_sheet!$A:$H,5,FALSE))</f>
        <v>0</v>
      </c>
      <c r="Q73" s="36">
        <f>IFERROR(VLOOKUP($F73,bug_conf_sheet!$A:$H,6,FALSE),VLOOKUP("other",bug_conf_sheet!$A:$H,6,FALSE))</f>
        <v>0</v>
      </c>
      <c r="R73" s="36">
        <f>IFERROR(VLOOKUP($F73,bug_conf_sheet!$A:$H,7,FALSE),VLOOKUP("other",bug_conf_sheet!$A:$H,7,FALSE))</f>
        <v>0</v>
      </c>
      <c r="S73" s="36">
        <f>IFERROR(VLOOKUP($F73,bug_conf_sheet!$A:$H,8,FALSE),VLOOKUP("other",bug_conf_sheet!$A:$H,8,FALSE))</f>
        <v>1</v>
      </c>
    </row>
    <row r="74" spans="1:19" ht="21" customHeight="1">
      <c r="A74" s="7" t="str">
        <f t="shared" si="7"/>
        <v>1710245</v>
      </c>
      <c r="B74" s="2" t="str">
        <f t="shared" si="5"/>
        <v>1710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2">
        <f>VLOOKUP(D74,gacha_171_base!A:B,2,FALSE)</f>
        <v>12141</v>
      </c>
      <c r="N74" s="36">
        <f>IFERROR(VLOOKUP($F74,bug_conf_sheet!$A:$H,3,FALSE),VLOOKUP("other",bug_conf_sheet!$A:$H,3,FALSE))</f>
        <v>1</v>
      </c>
      <c r="O74" s="36">
        <f>IFERROR(VLOOKUP($F74,bug_conf_sheet!$A:$H,4,FALSE),VLOOKUP("other",bug_conf_sheet!$A:$H,4,FALSE))</f>
        <v>0</v>
      </c>
      <c r="P74" s="36">
        <f>IFERROR(VLOOKUP($F74,bug_conf_sheet!$A:$H,5,FALSE),VLOOKUP("other",bug_conf_sheet!$A:$H,5,FALSE))</f>
        <v>0</v>
      </c>
      <c r="Q74" s="36">
        <f>IFERROR(VLOOKUP($F74,bug_conf_sheet!$A:$H,6,FALSE),VLOOKUP("other",bug_conf_sheet!$A:$H,6,FALSE))</f>
        <v>0</v>
      </c>
      <c r="R74" s="36">
        <f>IFERROR(VLOOKUP($F74,bug_conf_sheet!$A:$H,7,FALSE),VLOOKUP("other",bug_conf_sheet!$A:$H,7,FALSE))</f>
        <v>0</v>
      </c>
      <c r="S74" s="36">
        <f>IFERROR(VLOOKUP($F74,bug_conf_sheet!$A:$H,8,FALSE),VLOOKUP("other",bug_conf_sheet!$A:$H,8,FALSE))</f>
        <v>1</v>
      </c>
    </row>
    <row r="75" spans="1:19" ht="21" customHeight="1">
      <c r="A75" s="7" t="str">
        <f t="shared" si="7"/>
        <v>1710246</v>
      </c>
      <c r="B75" s="2" t="str">
        <f t="shared" si="5"/>
        <v>1710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2">
        <f>VLOOKUP(D75,gacha_171_base!A:B,2,FALSE)</f>
        <v>775</v>
      </c>
      <c r="N75" s="36">
        <f>IFERROR(VLOOKUP($F75,bug_conf_sheet!$A:$H,3,FALSE),VLOOKUP("other",bug_conf_sheet!$A:$H,3,FALSE))</f>
        <v>1</v>
      </c>
      <c r="O75" s="36">
        <f>IFERROR(VLOOKUP($F75,bug_conf_sheet!$A:$H,4,FALSE),VLOOKUP("other",bug_conf_sheet!$A:$H,4,FALSE))</f>
        <v>0</v>
      </c>
      <c r="P75" s="36">
        <f>IFERROR(VLOOKUP($F75,bug_conf_sheet!$A:$H,5,FALSE),VLOOKUP("other",bug_conf_sheet!$A:$H,5,FALSE))</f>
        <v>0</v>
      </c>
      <c r="Q75" s="36">
        <f>IFERROR(VLOOKUP($F75,bug_conf_sheet!$A:$H,6,FALSE),VLOOKUP("other",bug_conf_sheet!$A:$H,6,FALSE))</f>
        <v>0</v>
      </c>
      <c r="R75" s="36">
        <f>IFERROR(VLOOKUP($F75,bug_conf_sheet!$A:$H,7,FALSE),VLOOKUP("other",bug_conf_sheet!$A:$H,7,FALSE))</f>
        <v>0</v>
      </c>
      <c r="S75" s="36">
        <f>IFERROR(VLOOKUP($F75,bug_conf_sheet!$A:$H,8,FALSE),VLOOKUP("other",bug_conf_sheet!$A:$H,8,FALSE))</f>
        <v>1</v>
      </c>
    </row>
    <row r="76" spans="1:19" ht="21" customHeight="1">
      <c r="A76" s="7" t="str">
        <f t="shared" si="7"/>
        <v>1710248</v>
      </c>
      <c r="B76" s="2" t="str">
        <f t="shared" si="5"/>
        <v>1710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2">
        <f>VLOOKUP(D76,gacha_171_base!A:B,2,FALSE)</f>
        <v>12141</v>
      </c>
      <c r="N76" s="36">
        <f>IFERROR(VLOOKUP($F76,bug_conf_sheet!$A:$H,3,FALSE),VLOOKUP("other",bug_conf_sheet!$A:$H,3,FALSE))</f>
        <v>1</v>
      </c>
      <c r="O76" s="36">
        <f>IFERROR(VLOOKUP($F76,bug_conf_sheet!$A:$H,4,FALSE),VLOOKUP("other",bug_conf_sheet!$A:$H,4,FALSE))</f>
        <v>0</v>
      </c>
      <c r="P76" s="36">
        <f>IFERROR(VLOOKUP($F76,bug_conf_sheet!$A:$H,5,FALSE),VLOOKUP("other",bug_conf_sheet!$A:$H,5,FALSE))</f>
        <v>0</v>
      </c>
      <c r="Q76" s="36">
        <f>IFERROR(VLOOKUP($F76,bug_conf_sheet!$A:$H,6,FALSE),VLOOKUP("other",bug_conf_sheet!$A:$H,6,FALSE))</f>
        <v>0</v>
      </c>
      <c r="R76" s="36">
        <f>IFERROR(VLOOKUP($F76,bug_conf_sheet!$A:$H,7,FALSE),VLOOKUP("other",bug_conf_sheet!$A:$H,7,FALSE))</f>
        <v>0</v>
      </c>
      <c r="S76" s="36">
        <f>IFERROR(VLOOKUP($F76,bug_conf_sheet!$A:$H,8,FALSE),VLOOKUP("other",bug_conf_sheet!$A:$H,8,FALSE))</f>
        <v>1</v>
      </c>
    </row>
    <row r="77" spans="1:19" ht="21" customHeight="1">
      <c r="A77" s="7" t="str">
        <f t="shared" si="7"/>
        <v>1710249</v>
      </c>
      <c r="B77" s="2" t="str">
        <f t="shared" si="5"/>
        <v>1710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2">
        <f>VLOOKUP(D77,gacha_171_base!A:B,2,FALSE)</f>
        <v>775</v>
      </c>
      <c r="N77" s="36">
        <f>IFERROR(VLOOKUP($F77,bug_conf_sheet!$A:$H,3,FALSE),VLOOKUP("other",bug_conf_sheet!$A:$H,3,FALSE))</f>
        <v>1</v>
      </c>
      <c r="O77" s="36">
        <f>IFERROR(VLOOKUP($F77,bug_conf_sheet!$A:$H,4,FALSE),VLOOKUP("other",bug_conf_sheet!$A:$H,4,FALSE))</f>
        <v>0</v>
      </c>
      <c r="P77" s="36">
        <f>IFERROR(VLOOKUP($F77,bug_conf_sheet!$A:$H,5,FALSE),VLOOKUP("other",bug_conf_sheet!$A:$H,5,FALSE))</f>
        <v>0</v>
      </c>
      <c r="Q77" s="36">
        <f>IFERROR(VLOOKUP($F77,bug_conf_sheet!$A:$H,6,FALSE),VLOOKUP("other",bug_conf_sheet!$A:$H,6,FALSE))</f>
        <v>0</v>
      </c>
      <c r="R77" s="36">
        <f>IFERROR(VLOOKUP($F77,bug_conf_sheet!$A:$H,7,FALSE),VLOOKUP("other",bug_conf_sheet!$A:$H,7,FALSE))</f>
        <v>0</v>
      </c>
      <c r="S77" s="36">
        <f>IFERROR(VLOOKUP($F77,bug_conf_sheet!$A:$H,8,FALSE),VLOOKUP("other",bug_conf_sheet!$A:$H,8,FALSE))</f>
        <v>1</v>
      </c>
    </row>
    <row r="78" spans="1:19" ht="21" customHeight="1">
      <c r="A78" s="7" t="str">
        <f t="shared" si="7"/>
        <v>1710251</v>
      </c>
      <c r="B78" s="2" t="str">
        <f t="shared" si="5"/>
        <v>1710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2">
        <f>VLOOKUP(D78,gacha_171_base!A:B,2,FALSE)</f>
        <v>12141</v>
      </c>
      <c r="N78" s="36">
        <f>IFERROR(VLOOKUP($F78,bug_conf_sheet!$A:$H,3,FALSE),VLOOKUP("other",bug_conf_sheet!$A:$H,3,FALSE))</f>
        <v>1</v>
      </c>
      <c r="O78" s="36">
        <f>IFERROR(VLOOKUP($F78,bug_conf_sheet!$A:$H,4,FALSE),VLOOKUP("other",bug_conf_sheet!$A:$H,4,FALSE))</f>
        <v>0</v>
      </c>
      <c r="P78" s="36">
        <f>IFERROR(VLOOKUP($F78,bug_conf_sheet!$A:$H,5,FALSE),VLOOKUP("other",bug_conf_sheet!$A:$H,5,FALSE))</f>
        <v>0</v>
      </c>
      <c r="Q78" s="36">
        <f>IFERROR(VLOOKUP($F78,bug_conf_sheet!$A:$H,6,FALSE),VLOOKUP("other",bug_conf_sheet!$A:$H,6,FALSE))</f>
        <v>0</v>
      </c>
      <c r="R78" s="36">
        <f>IFERROR(VLOOKUP($F78,bug_conf_sheet!$A:$H,7,FALSE),VLOOKUP("other",bug_conf_sheet!$A:$H,7,FALSE))</f>
        <v>0</v>
      </c>
      <c r="S78" s="36">
        <f>IFERROR(VLOOKUP($F78,bug_conf_sheet!$A:$H,8,FALSE),VLOOKUP("other",bug_conf_sheet!$A:$H,8,FALSE))</f>
        <v>1</v>
      </c>
    </row>
    <row r="79" spans="1:19" ht="21" customHeight="1">
      <c r="A79" s="7" t="str">
        <f t="shared" si="7"/>
        <v>1710252</v>
      </c>
      <c r="B79" s="2" t="str">
        <f t="shared" si="5"/>
        <v>1710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2">
        <f>VLOOKUP(D79,gacha_171_base!A:B,2,FALSE)</f>
        <v>775</v>
      </c>
      <c r="N79" s="36">
        <f>IFERROR(VLOOKUP($F79,bug_conf_sheet!$A:$H,3,FALSE),VLOOKUP("other",bug_conf_sheet!$A:$H,3,FALSE))</f>
        <v>1</v>
      </c>
      <c r="O79" s="36">
        <f>IFERROR(VLOOKUP($F79,bug_conf_sheet!$A:$H,4,FALSE),VLOOKUP("other",bug_conf_sheet!$A:$H,4,FALSE))</f>
        <v>0</v>
      </c>
      <c r="P79" s="36">
        <f>IFERROR(VLOOKUP($F79,bug_conf_sheet!$A:$H,5,FALSE),VLOOKUP("other",bug_conf_sheet!$A:$H,5,FALSE))</f>
        <v>0</v>
      </c>
      <c r="Q79" s="36">
        <f>IFERROR(VLOOKUP($F79,bug_conf_sheet!$A:$H,6,FALSE),VLOOKUP("other",bug_conf_sheet!$A:$H,6,FALSE))</f>
        <v>0</v>
      </c>
      <c r="R79" s="36">
        <f>IFERROR(VLOOKUP($F79,bug_conf_sheet!$A:$H,7,FALSE),VLOOKUP("other",bug_conf_sheet!$A:$H,7,FALSE))</f>
        <v>0</v>
      </c>
      <c r="S79" s="36">
        <f>IFERROR(VLOOKUP($F79,bug_conf_sheet!$A:$H,8,FALSE),VLOOKUP("other",bug_conf_sheet!$A:$H,8,FALSE))</f>
        <v>1</v>
      </c>
    </row>
    <row r="80" spans="1:19" ht="21" customHeight="1">
      <c r="A80" s="7" t="str">
        <f t="shared" si="7"/>
        <v>1710254</v>
      </c>
      <c r="B80" s="2" t="str">
        <f t="shared" si="5"/>
        <v>1710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2">
        <f>VLOOKUP(D80,gacha_171_base!A:B,2,FALSE)</f>
        <v>12141</v>
      </c>
      <c r="N80" s="36">
        <f>IFERROR(VLOOKUP($F80,bug_conf_sheet!$A:$H,3,FALSE),VLOOKUP("other",bug_conf_sheet!$A:$H,3,FALSE))</f>
        <v>1</v>
      </c>
      <c r="O80" s="36">
        <f>IFERROR(VLOOKUP($F80,bug_conf_sheet!$A:$H,4,FALSE),VLOOKUP("other",bug_conf_sheet!$A:$H,4,FALSE))</f>
        <v>0</v>
      </c>
      <c r="P80" s="36">
        <f>IFERROR(VLOOKUP($F80,bug_conf_sheet!$A:$H,5,FALSE),VLOOKUP("other",bug_conf_sheet!$A:$H,5,FALSE))</f>
        <v>0</v>
      </c>
      <c r="Q80" s="36">
        <f>IFERROR(VLOOKUP($F80,bug_conf_sheet!$A:$H,6,FALSE),VLOOKUP("other",bug_conf_sheet!$A:$H,6,FALSE))</f>
        <v>0</v>
      </c>
      <c r="R80" s="36">
        <f>IFERROR(VLOOKUP($F80,bug_conf_sheet!$A:$H,7,FALSE),VLOOKUP("other",bug_conf_sheet!$A:$H,7,FALSE))</f>
        <v>0</v>
      </c>
      <c r="S80" s="36">
        <f>IFERROR(VLOOKUP($F80,bug_conf_sheet!$A:$H,8,FALSE),VLOOKUP("other",bug_conf_sheet!$A:$H,8,FALSE))</f>
        <v>1</v>
      </c>
    </row>
    <row r="81" spans="1:19" ht="21" customHeight="1">
      <c r="A81" s="7" t="str">
        <f t="shared" si="7"/>
        <v>1710255</v>
      </c>
      <c r="B81" s="2" t="str">
        <f t="shared" si="5"/>
        <v>1710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2">
        <f>VLOOKUP(D81,gacha_171_base!A:B,2,FALSE)</f>
        <v>775</v>
      </c>
      <c r="N81" s="36">
        <f>IFERROR(VLOOKUP($F81,bug_conf_sheet!$A:$H,3,FALSE),VLOOKUP("other",bug_conf_sheet!$A:$H,3,FALSE))</f>
        <v>1</v>
      </c>
      <c r="O81" s="36">
        <f>IFERROR(VLOOKUP($F81,bug_conf_sheet!$A:$H,4,FALSE),VLOOKUP("other",bug_conf_sheet!$A:$H,4,FALSE))</f>
        <v>0</v>
      </c>
      <c r="P81" s="36">
        <f>IFERROR(VLOOKUP($F81,bug_conf_sheet!$A:$H,5,FALSE),VLOOKUP("other",bug_conf_sheet!$A:$H,5,FALSE))</f>
        <v>0</v>
      </c>
      <c r="Q81" s="36">
        <f>IFERROR(VLOOKUP($F81,bug_conf_sheet!$A:$H,6,FALSE),VLOOKUP("other",bug_conf_sheet!$A:$H,6,FALSE))</f>
        <v>0</v>
      </c>
      <c r="R81" s="36">
        <f>IFERROR(VLOOKUP($F81,bug_conf_sheet!$A:$H,7,FALSE),VLOOKUP("other",bug_conf_sheet!$A:$H,7,FALSE))</f>
        <v>0</v>
      </c>
      <c r="S81" s="36">
        <f>IFERROR(VLOOKUP($F81,bug_conf_sheet!$A:$H,8,FALSE),VLOOKUP("other",bug_conf_sheet!$A:$H,8,FALSE))</f>
        <v>1</v>
      </c>
    </row>
    <row r="82" spans="1:19" ht="21" customHeight="1">
      <c r="A82" s="7" t="str">
        <f t="shared" si="7"/>
        <v>1710257</v>
      </c>
      <c r="B82" s="2" t="str">
        <f t="shared" si="5"/>
        <v>1710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2">
        <f>VLOOKUP(D82,gacha_171_base!A:B,2,FALSE)</f>
        <v>12141</v>
      </c>
      <c r="N82" s="36">
        <f>IFERROR(VLOOKUP($F82,bug_conf_sheet!$A:$H,3,FALSE),VLOOKUP("other",bug_conf_sheet!$A:$H,3,FALSE))</f>
        <v>1</v>
      </c>
      <c r="O82" s="36">
        <f>IFERROR(VLOOKUP($F82,bug_conf_sheet!$A:$H,4,FALSE),VLOOKUP("other",bug_conf_sheet!$A:$H,4,FALSE))</f>
        <v>0</v>
      </c>
      <c r="P82" s="36">
        <f>IFERROR(VLOOKUP($F82,bug_conf_sheet!$A:$H,5,FALSE),VLOOKUP("other",bug_conf_sheet!$A:$H,5,FALSE))</f>
        <v>0</v>
      </c>
      <c r="Q82" s="36">
        <f>IFERROR(VLOOKUP($F82,bug_conf_sheet!$A:$H,6,FALSE),VLOOKUP("other",bug_conf_sheet!$A:$H,6,FALSE))</f>
        <v>0</v>
      </c>
      <c r="R82" s="36">
        <f>IFERROR(VLOOKUP($F82,bug_conf_sheet!$A:$H,7,FALSE),VLOOKUP("other",bug_conf_sheet!$A:$H,7,FALSE))</f>
        <v>0</v>
      </c>
      <c r="S82" s="36">
        <f>IFERROR(VLOOKUP($F82,bug_conf_sheet!$A:$H,8,FALSE),VLOOKUP("other",bug_conf_sheet!$A:$H,8,FALSE))</f>
        <v>1</v>
      </c>
    </row>
    <row r="83" spans="1:19" ht="21" customHeight="1">
      <c r="A83" s="7" t="str">
        <f t="shared" si="7"/>
        <v>1710258</v>
      </c>
      <c r="B83" s="2" t="str">
        <f t="shared" si="5"/>
        <v>1710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2">
        <f>VLOOKUP(D83,gacha_171_base!A:B,2,FALSE)</f>
        <v>775</v>
      </c>
      <c r="N83" s="36">
        <f>IFERROR(VLOOKUP($F83,bug_conf_sheet!$A:$H,3,FALSE),VLOOKUP("other",bug_conf_sheet!$A:$H,3,FALSE))</f>
        <v>1</v>
      </c>
      <c r="O83" s="36">
        <f>IFERROR(VLOOKUP($F83,bug_conf_sheet!$A:$H,4,FALSE),VLOOKUP("other",bug_conf_sheet!$A:$H,4,FALSE))</f>
        <v>0</v>
      </c>
      <c r="P83" s="36">
        <f>IFERROR(VLOOKUP($F83,bug_conf_sheet!$A:$H,5,FALSE),VLOOKUP("other",bug_conf_sheet!$A:$H,5,FALSE))</f>
        <v>0</v>
      </c>
      <c r="Q83" s="36">
        <f>IFERROR(VLOOKUP($F83,bug_conf_sheet!$A:$H,6,FALSE),VLOOKUP("other",bug_conf_sheet!$A:$H,6,FALSE))</f>
        <v>0</v>
      </c>
      <c r="R83" s="36">
        <f>IFERROR(VLOOKUP($F83,bug_conf_sheet!$A:$H,7,FALSE),VLOOKUP("other",bug_conf_sheet!$A:$H,7,FALSE))</f>
        <v>0</v>
      </c>
      <c r="S83" s="36">
        <f>IFERROR(VLOOKUP($F83,bug_conf_sheet!$A:$H,8,FALSE),VLOOKUP("other",bug_conf_sheet!$A:$H,8,FALSE))</f>
        <v>1</v>
      </c>
    </row>
    <row r="84" spans="1:19" ht="21" customHeight="1">
      <c r="A84" s="7" t="str">
        <f t="shared" si="7"/>
        <v>1710260</v>
      </c>
      <c r="B84" s="2" t="str">
        <f t="shared" si="5"/>
        <v>1710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2">
        <f>VLOOKUP(D84,gacha_171_base!A:B,2,FALSE)</f>
        <v>12141</v>
      </c>
      <c r="N84" s="36">
        <f>IFERROR(VLOOKUP($F84,bug_conf_sheet!$A:$H,3,FALSE),VLOOKUP("other",bug_conf_sheet!$A:$H,3,FALSE))</f>
        <v>1</v>
      </c>
      <c r="O84" s="36">
        <f>IFERROR(VLOOKUP($F84,bug_conf_sheet!$A:$H,4,FALSE),VLOOKUP("other",bug_conf_sheet!$A:$H,4,FALSE))</f>
        <v>0</v>
      </c>
      <c r="P84" s="36">
        <f>IFERROR(VLOOKUP($F84,bug_conf_sheet!$A:$H,5,FALSE),VLOOKUP("other",bug_conf_sheet!$A:$H,5,FALSE))</f>
        <v>0</v>
      </c>
      <c r="Q84" s="36">
        <f>IFERROR(VLOOKUP($F84,bug_conf_sheet!$A:$H,6,FALSE),VLOOKUP("other",bug_conf_sheet!$A:$H,6,FALSE))</f>
        <v>0</v>
      </c>
      <c r="R84" s="36">
        <f>IFERROR(VLOOKUP($F84,bug_conf_sheet!$A:$H,7,FALSE),VLOOKUP("other",bug_conf_sheet!$A:$H,7,FALSE))</f>
        <v>0</v>
      </c>
      <c r="S84" s="36">
        <f>IFERROR(VLOOKUP($F84,bug_conf_sheet!$A:$H,8,FALSE),VLOOKUP("other",bug_conf_sheet!$A:$H,8,FALSE))</f>
        <v>1</v>
      </c>
    </row>
    <row r="85" spans="1:19" ht="21" customHeight="1">
      <c r="A85" s="7" t="str">
        <f t="shared" si="7"/>
        <v>1710261</v>
      </c>
      <c r="B85" s="2" t="str">
        <f t="shared" si="5"/>
        <v>1710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2">
        <f>VLOOKUP(D85,gacha_171_base!A:B,2,FALSE)</f>
        <v>775</v>
      </c>
      <c r="N85" s="36">
        <f>IFERROR(VLOOKUP($F85,bug_conf_sheet!$A:$H,3,FALSE),VLOOKUP("other",bug_conf_sheet!$A:$H,3,FALSE))</f>
        <v>1</v>
      </c>
      <c r="O85" s="36">
        <f>IFERROR(VLOOKUP($F85,bug_conf_sheet!$A:$H,4,FALSE),VLOOKUP("other",bug_conf_sheet!$A:$H,4,FALSE))</f>
        <v>0</v>
      </c>
      <c r="P85" s="36">
        <f>IFERROR(VLOOKUP($F85,bug_conf_sheet!$A:$H,5,FALSE),VLOOKUP("other",bug_conf_sheet!$A:$H,5,FALSE))</f>
        <v>0</v>
      </c>
      <c r="Q85" s="36">
        <f>IFERROR(VLOOKUP($F85,bug_conf_sheet!$A:$H,6,FALSE),VLOOKUP("other",bug_conf_sheet!$A:$H,6,FALSE))</f>
        <v>0</v>
      </c>
      <c r="R85" s="36">
        <f>IFERROR(VLOOKUP($F85,bug_conf_sheet!$A:$H,7,FALSE),VLOOKUP("other",bug_conf_sheet!$A:$H,7,FALSE))</f>
        <v>0</v>
      </c>
      <c r="S85" s="36">
        <f>IFERROR(VLOOKUP($F85,bug_conf_sheet!$A:$H,8,FALSE),VLOOKUP("other",bug_conf_sheet!$A:$H,8,FALSE))</f>
        <v>1</v>
      </c>
    </row>
    <row r="86" spans="1:19" ht="21" customHeight="1">
      <c r="A86" s="7" t="str">
        <f t="shared" si="7"/>
        <v>1710320</v>
      </c>
      <c r="B86" s="2" t="str">
        <f t="shared" si="5"/>
        <v>1710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2">
        <f>VLOOKUP(D86,gacha_171_base!A:B,2,FALSE)</f>
        <v>1464</v>
      </c>
      <c r="N86" s="36">
        <f>IFERROR(VLOOKUP($F86,bug_conf_sheet!$A:$H,3,FALSE),VLOOKUP("other",bug_conf_sheet!$A:$H,3,FALSE))</f>
        <v>1</v>
      </c>
      <c r="O86" s="36">
        <f>IFERROR(VLOOKUP($F86,bug_conf_sheet!$A:$H,4,FALSE),VLOOKUP("other",bug_conf_sheet!$A:$H,4,FALSE))</f>
        <v>0</v>
      </c>
      <c r="P86" s="36">
        <f>IFERROR(VLOOKUP($F86,bug_conf_sheet!$A:$H,5,FALSE),VLOOKUP("other",bug_conf_sheet!$A:$H,5,FALSE))</f>
        <v>0</v>
      </c>
      <c r="Q86" s="36">
        <f>IFERROR(VLOOKUP($F86,bug_conf_sheet!$A:$H,6,FALSE),VLOOKUP("other",bug_conf_sheet!$A:$H,6,FALSE))</f>
        <v>0</v>
      </c>
      <c r="R86" s="36">
        <f>IFERROR(VLOOKUP($F86,bug_conf_sheet!$A:$H,7,FALSE),VLOOKUP("other",bug_conf_sheet!$A:$H,7,FALSE))</f>
        <v>0</v>
      </c>
      <c r="S86" s="36">
        <f>IFERROR(VLOOKUP($F86,bug_conf_sheet!$A:$H,8,FALSE),VLOOKUP("other",bug_conf_sheet!$A:$H,8,FALSE))</f>
        <v>1</v>
      </c>
    </row>
    <row r="87" spans="1:19" ht="21" customHeight="1">
      <c r="A87" s="7" t="str">
        <f t="shared" si="7"/>
        <v>1710321</v>
      </c>
      <c r="B87" s="2" t="str">
        <f t="shared" si="5"/>
        <v>1710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2">
        <f>VLOOKUP(D87,gacha_171_base!A:B,2,FALSE)</f>
        <v>93</v>
      </c>
      <c r="N87" s="36">
        <f>IFERROR(VLOOKUP($F87,bug_conf_sheet!$A:$H,3,FALSE),VLOOKUP("other",bug_conf_sheet!$A:$H,3,FALSE))</f>
        <v>1</v>
      </c>
      <c r="O87" s="36">
        <f>IFERROR(VLOOKUP($F87,bug_conf_sheet!$A:$H,4,FALSE),VLOOKUP("other",bug_conf_sheet!$A:$H,4,FALSE))</f>
        <v>0</v>
      </c>
      <c r="P87" s="36">
        <f>IFERROR(VLOOKUP($F87,bug_conf_sheet!$A:$H,5,FALSE),VLOOKUP("other",bug_conf_sheet!$A:$H,5,FALSE))</f>
        <v>0</v>
      </c>
      <c r="Q87" s="36">
        <f>IFERROR(VLOOKUP($F87,bug_conf_sheet!$A:$H,6,FALSE),VLOOKUP("other",bug_conf_sheet!$A:$H,6,FALSE))</f>
        <v>0</v>
      </c>
      <c r="R87" s="36">
        <f>IFERROR(VLOOKUP($F87,bug_conf_sheet!$A:$H,7,FALSE),VLOOKUP("other",bug_conf_sheet!$A:$H,7,FALSE))</f>
        <v>0</v>
      </c>
      <c r="S87" s="36">
        <f>IFERROR(VLOOKUP($F87,bug_conf_sheet!$A:$H,8,FALSE),VLOOKUP("other",bug_conf_sheet!$A:$H,8,FALSE))</f>
        <v>1</v>
      </c>
    </row>
    <row r="88" spans="1:19" ht="21" customHeight="1">
      <c r="A88" s="7" t="str">
        <f t="shared" si="7"/>
        <v>1710322</v>
      </c>
      <c r="B88" s="2" t="str">
        <f t="shared" si="5"/>
        <v>1710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2">
        <f>VLOOKUP(D88,gacha_171_base!A:B,2,FALSE)</f>
        <v>1464</v>
      </c>
      <c r="N88" s="36">
        <f>IFERROR(VLOOKUP($F88,bug_conf_sheet!$A:$H,3,FALSE),VLOOKUP("other",bug_conf_sheet!$A:$H,3,FALSE))</f>
        <v>1</v>
      </c>
      <c r="O88" s="36">
        <f>IFERROR(VLOOKUP($F88,bug_conf_sheet!$A:$H,4,FALSE),VLOOKUP("other",bug_conf_sheet!$A:$H,4,FALSE))</f>
        <v>0</v>
      </c>
      <c r="P88" s="36">
        <f>IFERROR(VLOOKUP($F88,bug_conf_sheet!$A:$H,5,FALSE),VLOOKUP("other",bug_conf_sheet!$A:$H,5,FALSE))</f>
        <v>0</v>
      </c>
      <c r="Q88" s="36">
        <f>IFERROR(VLOOKUP($F88,bug_conf_sheet!$A:$H,6,FALSE),VLOOKUP("other",bug_conf_sheet!$A:$H,6,FALSE))</f>
        <v>0</v>
      </c>
      <c r="R88" s="36">
        <f>IFERROR(VLOOKUP($F88,bug_conf_sheet!$A:$H,7,FALSE),VLOOKUP("other",bug_conf_sheet!$A:$H,7,FALSE))</f>
        <v>0</v>
      </c>
      <c r="S88" s="36">
        <f>IFERROR(VLOOKUP($F88,bug_conf_sheet!$A:$H,8,FALSE),VLOOKUP("other",bug_conf_sheet!$A:$H,8,FALSE))</f>
        <v>1</v>
      </c>
    </row>
    <row r="89" spans="1:19" ht="21" customHeight="1">
      <c r="A89" s="7" t="str">
        <f t="shared" si="7"/>
        <v>1710323</v>
      </c>
      <c r="B89" s="2" t="str">
        <f t="shared" si="5"/>
        <v>1710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2">
        <f>VLOOKUP(D89,gacha_171_base!A:B,2,FALSE)</f>
        <v>93</v>
      </c>
      <c r="N89" s="36">
        <f>IFERROR(VLOOKUP($F89,bug_conf_sheet!$A:$H,3,FALSE),VLOOKUP("other",bug_conf_sheet!$A:$H,3,FALSE))</f>
        <v>1</v>
      </c>
      <c r="O89" s="36">
        <f>IFERROR(VLOOKUP($F89,bug_conf_sheet!$A:$H,4,FALSE),VLOOKUP("other",bug_conf_sheet!$A:$H,4,FALSE))</f>
        <v>0</v>
      </c>
      <c r="P89" s="36">
        <f>IFERROR(VLOOKUP($F89,bug_conf_sheet!$A:$H,5,FALSE),VLOOKUP("other",bug_conf_sheet!$A:$H,5,FALSE))</f>
        <v>0</v>
      </c>
      <c r="Q89" s="36">
        <f>IFERROR(VLOOKUP($F89,bug_conf_sheet!$A:$H,6,FALSE),VLOOKUP("other",bug_conf_sheet!$A:$H,6,FALSE))</f>
        <v>0</v>
      </c>
      <c r="R89" s="36">
        <f>IFERROR(VLOOKUP($F89,bug_conf_sheet!$A:$H,7,FALSE),VLOOKUP("other",bug_conf_sheet!$A:$H,7,FALSE))</f>
        <v>0</v>
      </c>
      <c r="S89" s="36">
        <f>IFERROR(VLOOKUP($F89,bug_conf_sheet!$A:$H,8,FALSE),VLOOKUP("other",bug_conf_sheet!$A:$H,8,FALSE))</f>
        <v>1</v>
      </c>
    </row>
    <row r="90" spans="1:19" ht="21" customHeight="1">
      <c r="A90" s="7" t="str">
        <f t="shared" si="7"/>
        <v>1710324</v>
      </c>
      <c r="B90" s="2" t="str">
        <f t="shared" si="5"/>
        <v>1710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2">
        <f>VLOOKUP(D90,gacha_171_base!A:B,2,FALSE)</f>
        <v>1464</v>
      </c>
      <c r="N90" s="36">
        <f>IFERROR(VLOOKUP($F90,bug_conf_sheet!$A:$H,3,FALSE),VLOOKUP("other",bug_conf_sheet!$A:$H,3,FALSE))</f>
        <v>1</v>
      </c>
      <c r="O90" s="36">
        <f>IFERROR(VLOOKUP($F90,bug_conf_sheet!$A:$H,4,FALSE),VLOOKUP("other",bug_conf_sheet!$A:$H,4,FALSE))</f>
        <v>0</v>
      </c>
      <c r="P90" s="36">
        <f>IFERROR(VLOOKUP($F90,bug_conf_sheet!$A:$H,5,FALSE),VLOOKUP("other",bug_conf_sheet!$A:$H,5,FALSE))</f>
        <v>0</v>
      </c>
      <c r="Q90" s="36">
        <f>IFERROR(VLOOKUP($F90,bug_conf_sheet!$A:$H,6,FALSE),VLOOKUP("other",bug_conf_sheet!$A:$H,6,FALSE))</f>
        <v>0</v>
      </c>
      <c r="R90" s="36">
        <f>IFERROR(VLOOKUP($F90,bug_conf_sheet!$A:$H,7,FALSE),VLOOKUP("other",bug_conf_sheet!$A:$H,7,FALSE))</f>
        <v>0</v>
      </c>
      <c r="S90" s="36">
        <f>IFERROR(VLOOKUP($F90,bug_conf_sheet!$A:$H,8,FALSE),VLOOKUP("other",bug_conf_sheet!$A:$H,8,FALSE))</f>
        <v>1</v>
      </c>
    </row>
    <row r="91" spans="1:19" ht="21" customHeight="1">
      <c r="A91" s="7" t="str">
        <f t="shared" si="7"/>
        <v>1710325</v>
      </c>
      <c r="B91" s="2" t="str">
        <f t="shared" si="5"/>
        <v>1710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2">
        <f>VLOOKUP(D91,gacha_171_base!A:B,2,FALSE)</f>
        <v>93</v>
      </c>
      <c r="N91" s="36">
        <f>IFERROR(VLOOKUP($F91,bug_conf_sheet!$A:$H,3,FALSE),VLOOKUP("other",bug_conf_sheet!$A:$H,3,FALSE))</f>
        <v>1</v>
      </c>
      <c r="O91" s="36">
        <f>IFERROR(VLOOKUP($F91,bug_conf_sheet!$A:$H,4,FALSE),VLOOKUP("other",bug_conf_sheet!$A:$H,4,FALSE))</f>
        <v>0</v>
      </c>
      <c r="P91" s="36">
        <f>IFERROR(VLOOKUP($F91,bug_conf_sheet!$A:$H,5,FALSE),VLOOKUP("other",bug_conf_sheet!$A:$H,5,FALSE))</f>
        <v>0</v>
      </c>
      <c r="Q91" s="36">
        <f>IFERROR(VLOOKUP($F91,bug_conf_sheet!$A:$H,6,FALSE),VLOOKUP("other",bug_conf_sheet!$A:$H,6,FALSE))</f>
        <v>0</v>
      </c>
      <c r="R91" s="36">
        <f>IFERROR(VLOOKUP($F91,bug_conf_sheet!$A:$H,7,FALSE),VLOOKUP("other",bug_conf_sheet!$A:$H,7,FALSE))</f>
        <v>0</v>
      </c>
      <c r="S91" s="36">
        <f>IFERROR(VLOOKUP($F91,bug_conf_sheet!$A:$H,8,FALSE),VLOOKUP("other",bug_conf_sheet!$A:$H,8,FALSE))</f>
        <v>1</v>
      </c>
    </row>
    <row r="92" spans="1:19" ht="21" customHeight="1">
      <c r="A92" s="7" t="str">
        <f t="shared" si="7"/>
        <v>1710326</v>
      </c>
      <c r="B92" s="2" t="str">
        <f t="shared" si="5"/>
        <v>1710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2">
        <f>VLOOKUP(D92,gacha_171_base!A:B,2,FALSE)</f>
        <v>1464</v>
      </c>
      <c r="N92" s="36">
        <f>IFERROR(VLOOKUP($F92,bug_conf_sheet!$A:$H,3,FALSE),VLOOKUP("other",bug_conf_sheet!$A:$H,3,FALSE))</f>
        <v>1</v>
      </c>
      <c r="O92" s="36">
        <f>IFERROR(VLOOKUP($F92,bug_conf_sheet!$A:$H,4,FALSE),VLOOKUP("other",bug_conf_sheet!$A:$H,4,FALSE))</f>
        <v>0</v>
      </c>
      <c r="P92" s="36">
        <f>IFERROR(VLOOKUP($F92,bug_conf_sheet!$A:$H,5,FALSE),VLOOKUP("other",bug_conf_sheet!$A:$H,5,FALSE))</f>
        <v>0</v>
      </c>
      <c r="Q92" s="36">
        <f>IFERROR(VLOOKUP($F92,bug_conf_sheet!$A:$H,6,FALSE),VLOOKUP("other",bug_conf_sheet!$A:$H,6,FALSE))</f>
        <v>0</v>
      </c>
      <c r="R92" s="36">
        <f>IFERROR(VLOOKUP($F92,bug_conf_sheet!$A:$H,7,FALSE),VLOOKUP("other",bug_conf_sheet!$A:$H,7,FALSE))</f>
        <v>0</v>
      </c>
      <c r="S92" s="36">
        <f>IFERROR(VLOOKUP($F92,bug_conf_sheet!$A:$H,8,FALSE),VLOOKUP("other",bug_conf_sheet!$A:$H,8,FALSE))</f>
        <v>1</v>
      </c>
    </row>
    <row r="93" spans="1:19" ht="21" customHeight="1">
      <c r="A93" s="7" t="str">
        <f t="shared" si="7"/>
        <v>1710327</v>
      </c>
      <c r="B93" s="2" t="str">
        <f t="shared" si="5"/>
        <v>1710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2">
        <f>VLOOKUP(D93,gacha_171_base!A:B,2,FALSE)</f>
        <v>93</v>
      </c>
      <c r="N93" s="36">
        <f>IFERROR(VLOOKUP($F93,bug_conf_sheet!$A:$H,3,FALSE),VLOOKUP("other",bug_conf_sheet!$A:$H,3,FALSE))</f>
        <v>1</v>
      </c>
      <c r="O93" s="36">
        <f>IFERROR(VLOOKUP($F93,bug_conf_sheet!$A:$H,4,FALSE),VLOOKUP("other",bug_conf_sheet!$A:$H,4,FALSE))</f>
        <v>0</v>
      </c>
      <c r="P93" s="36">
        <f>IFERROR(VLOOKUP($F93,bug_conf_sheet!$A:$H,5,FALSE),VLOOKUP("other",bug_conf_sheet!$A:$H,5,FALSE))</f>
        <v>0</v>
      </c>
      <c r="Q93" s="36">
        <f>IFERROR(VLOOKUP($F93,bug_conf_sheet!$A:$H,6,FALSE),VLOOKUP("other",bug_conf_sheet!$A:$H,6,FALSE))</f>
        <v>0</v>
      </c>
      <c r="R93" s="36">
        <f>IFERROR(VLOOKUP($F93,bug_conf_sheet!$A:$H,7,FALSE),VLOOKUP("other",bug_conf_sheet!$A:$H,7,FALSE))</f>
        <v>0</v>
      </c>
      <c r="S93" s="36">
        <f>IFERROR(VLOOKUP($F93,bug_conf_sheet!$A:$H,8,FALSE),VLOOKUP("other",bug_conf_sheet!$A:$H,8,FALSE))</f>
        <v>1</v>
      </c>
    </row>
    <row r="94" spans="1:19" ht="21" customHeight="1">
      <c r="A94" s="7" t="str">
        <f t="shared" si="7"/>
        <v>1710381</v>
      </c>
      <c r="B94" s="2" t="str">
        <f t="shared" si="5"/>
        <v>1710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2">
        <f>VLOOKUP(D94,gacha_171_base!A:B,2,FALSE)</f>
        <v>12141</v>
      </c>
      <c r="N94" s="36">
        <f>IFERROR(VLOOKUP($F94,bug_conf_sheet!$A:$H,3,FALSE),VLOOKUP("other",bug_conf_sheet!$A:$H,3,FALSE))</f>
        <v>1</v>
      </c>
      <c r="O94" s="36">
        <f>IFERROR(VLOOKUP($F94,bug_conf_sheet!$A:$H,4,FALSE),VLOOKUP("other",bug_conf_sheet!$A:$H,4,FALSE))</f>
        <v>0</v>
      </c>
      <c r="P94" s="36">
        <f>IFERROR(VLOOKUP($F94,bug_conf_sheet!$A:$H,5,FALSE),VLOOKUP("other",bug_conf_sheet!$A:$H,5,FALSE))</f>
        <v>0</v>
      </c>
      <c r="Q94" s="36">
        <f>IFERROR(VLOOKUP($F94,bug_conf_sheet!$A:$H,6,FALSE),VLOOKUP("other",bug_conf_sheet!$A:$H,6,FALSE))</f>
        <v>0</v>
      </c>
      <c r="R94" s="36">
        <f>IFERROR(VLOOKUP($F94,bug_conf_sheet!$A:$H,7,FALSE),VLOOKUP("other",bug_conf_sheet!$A:$H,7,FALSE))</f>
        <v>0</v>
      </c>
      <c r="S94" s="36">
        <f>IFERROR(VLOOKUP($F94,bug_conf_sheet!$A:$H,8,FALSE),VLOOKUP("other",bug_conf_sheet!$A:$H,8,FALSE))</f>
        <v>1</v>
      </c>
    </row>
    <row r="95" spans="1:19" ht="21" customHeight="1">
      <c r="A95" s="7" t="str">
        <f t="shared" si="7"/>
        <v>1710382</v>
      </c>
      <c r="B95" s="2" t="str">
        <f t="shared" si="5"/>
        <v>1710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2">
        <f>VLOOKUP(D95,gacha_171_base!A:B,2,FALSE)</f>
        <v>775</v>
      </c>
      <c r="N95" s="36">
        <f>IFERROR(VLOOKUP($F95,bug_conf_sheet!$A:$H,3,FALSE),VLOOKUP("other",bug_conf_sheet!$A:$H,3,FALSE))</f>
        <v>1</v>
      </c>
      <c r="O95" s="36">
        <f>IFERROR(VLOOKUP($F95,bug_conf_sheet!$A:$H,4,FALSE),VLOOKUP("other",bug_conf_sheet!$A:$H,4,FALSE))</f>
        <v>0</v>
      </c>
      <c r="P95" s="36">
        <f>IFERROR(VLOOKUP($F95,bug_conf_sheet!$A:$H,5,FALSE),VLOOKUP("other",bug_conf_sheet!$A:$H,5,FALSE))</f>
        <v>0</v>
      </c>
      <c r="Q95" s="36">
        <f>IFERROR(VLOOKUP($F95,bug_conf_sheet!$A:$H,6,FALSE),VLOOKUP("other",bug_conf_sheet!$A:$H,6,FALSE))</f>
        <v>0</v>
      </c>
      <c r="R95" s="36">
        <f>IFERROR(VLOOKUP($F95,bug_conf_sheet!$A:$H,7,FALSE),VLOOKUP("other",bug_conf_sheet!$A:$H,7,FALSE))</f>
        <v>0</v>
      </c>
      <c r="S95" s="36">
        <f>IFERROR(VLOOKUP($F95,bug_conf_sheet!$A:$H,8,FALSE),VLOOKUP("other",bug_conf_sheet!$A:$H,8,FALSE))</f>
        <v>1</v>
      </c>
    </row>
    <row r="96" spans="1:19" ht="21" customHeight="1">
      <c r="A96" s="7" t="str">
        <f t="shared" si="7"/>
        <v>1710383</v>
      </c>
      <c r="B96" s="2" t="str">
        <f t="shared" si="5"/>
        <v>1710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2">
        <f>VLOOKUP(D96,gacha_171_base!A:B,2,FALSE)</f>
        <v>1464</v>
      </c>
      <c r="N96" s="36">
        <f>IFERROR(VLOOKUP($F96,bug_conf_sheet!$A:$H,3,FALSE),VLOOKUP("other",bug_conf_sheet!$A:$H,3,FALSE))</f>
        <v>1</v>
      </c>
      <c r="O96" s="36">
        <f>IFERROR(VLOOKUP($F96,bug_conf_sheet!$A:$H,4,FALSE),VLOOKUP("other",bug_conf_sheet!$A:$H,4,FALSE))</f>
        <v>0</v>
      </c>
      <c r="P96" s="36">
        <f>IFERROR(VLOOKUP($F96,bug_conf_sheet!$A:$H,5,FALSE),VLOOKUP("other",bug_conf_sheet!$A:$H,5,FALSE))</f>
        <v>0</v>
      </c>
      <c r="Q96" s="36">
        <f>IFERROR(VLOOKUP($F96,bug_conf_sheet!$A:$H,6,FALSE),VLOOKUP("other",bug_conf_sheet!$A:$H,6,FALSE))</f>
        <v>0</v>
      </c>
      <c r="R96" s="36">
        <f>IFERROR(VLOOKUP($F96,bug_conf_sheet!$A:$H,7,FALSE),VLOOKUP("other",bug_conf_sheet!$A:$H,7,FALSE))</f>
        <v>0</v>
      </c>
      <c r="S96" s="36">
        <f>IFERROR(VLOOKUP($F96,bug_conf_sheet!$A:$H,8,FALSE),VLOOKUP("other",bug_conf_sheet!$A:$H,8,FALSE))</f>
        <v>1</v>
      </c>
    </row>
    <row r="97" spans="1:19" ht="21" customHeight="1">
      <c r="A97" s="7" t="str">
        <f t="shared" si="7"/>
        <v>1710384</v>
      </c>
      <c r="B97" s="2" t="str">
        <f t="shared" si="5"/>
        <v>1710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2">
        <f>VLOOKUP(D97,gacha_171_base!A:B,2,FALSE)</f>
        <v>93</v>
      </c>
      <c r="N97" s="36">
        <f>IFERROR(VLOOKUP($F97,bug_conf_sheet!$A:$H,3,FALSE),VLOOKUP("other",bug_conf_sheet!$A:$H,3,FALSE))</f>
        <v>1</v>
      </c>
      <c r="O97" s="36">
        <f>IFERROR(VLOOKUP($F97,bug_conf_sheet!$A:$H,4,FALSE),VLOOKUP("other",bug_conf_sheet!$A:$H,4,FALSE))</f>
        <v>0</v>
      </c>
      <c r="P97" s="36">
        <f>IFERROR(VLOOKUP($F97,bug_conf_sheet!$A:$H,5,FALSE),VLOOKUP("other",bug_conf_sheet!$A:$H,5,FALSE))</f>
        <v>0</v>
      </c>
      <c r="Q97" s="36">
        <f>IFERROR(VLOOKUP($F97,bug_conf_sheet!$A:$H,6,FALSE),VLOOKUP("other",bug_conf_sheet!$A:$H,6,FALSE))</f>
        <v>0</v>
      </c>
      <c r="R97" s="36">
        <f>IFERROR(VLOOKUP($F97,bug_conf_sheet!$A:$H,7,FALSE),VLOOKUP("other",bug_conf_sheet!$A:$H,7,FALSE))</f>
        <v>0</v>
      </c>
      <c r="S97" s="36">
        <f>IFERROR(VLOOKUP($F97,bug_conf_sheet!$A:$H,8,FALSE),VLOOKUP("other",bug_conf_sheet!$A:$H,8,FALSE))</f>
        <v>1</v>
      </c>
    </row>
    <row r="98" spans="1:19" ht="21" customHeight="1">
      <c r="A98" s="7" t="str">
        <f t="shared" si="7"/>
        <v>1710385</v>
      </c>
      <c r="B98" s="2" t="str">
        <f t="shared" si="5"/>
        <v>1710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2">
        <f>VLOOKUP(D98,gacha_171_base!A:B,2,FALSE)</f>
        <v>1464</v>
      </c>
      <c r="N98" s="36">
        <f>IFERROR(VLOOKUP($F98,bug_conf_sheet!$A:$H,3,FALSE),VLOOKUP("other",bug_conf_sheet!$A:$H,3,FALSE))</f>
        <v>1</v>
      </c>
      <c r="O98" s="36">
        <f>IFERROR(VLOOKUP($F98,bug_conf_sheet!$A:$H,4,FALSE),VLOOKUP("other",bug_conf_sheet!$A:$H,4,FALSE))</f>
        <v>0</v>
      </c>
      <c r="P98" s="36">
        <f>IFERROR(VLOOKUP($F98,bug_conf_sheet!$A:$H,5,FALSE),VLOOKUP("other",bug_conf_sheet!$A:$H,5,FALSE))</f>
        <v>0</v>
      </c>
      <c r="Q98" s="36">
        <f>IFERROR(VLOOKUP($F98,bug_conf_sheet!$A:$H,6,FALSE),VLOOKUP("other",bug_conf_sheet!$A:$H,6,FALSE))</f>
        <v>0</v>
      </c>
      <c r="R98" s="36">
        <f>IFERROR(VLOOKUP($F98,bug_conf_sheet!$A:$H,7,FALSE),VLOOKUP("other",bug_conf_sheet!$A:$H,7,FALSE))</f>
        <v>0</v>
      </c>
      <c r="S98" s="36">
        <f>IFERROR(VLOOKUP($F98,bug_conf_sheet!$A:$H,8,FALSE),VLOOKUP("other",bug_conf_sheet!$A:$H,8,FALSE))</f>
        <v>1</v>
      </c>
    </row>
    <row r="99" spans="1:19" ht="21" customHeight="1">
      <c r="A99" s="7" t="str">
        <f t="shared" si="7"/>
        <v>1710386</v>
      </c>
      <c r="B99" s="2" t="str">
        <f t="shared" si="5"/>
        <v>1710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2">
        <f>VLOOKUP(D99,gacha_171_base!A:B,2,FALSE)</f>
        <v>93</v>
      </c>
      <c r="N99" s="36">
        <f>IFERROR(VLOOKUP($F99,bug_conf_sheet!$A:$H,3,FALSE),VLOOKUP("other",bug_conf_sheet!$A:$H,3,FALSE))</f>
        <v>1</v>
      </c>
      <c r="O99" s="36">
        <f>IFERROR(VLOOKUP($F99,bug_conf_sheet!$A:$H,4,FALSE),VLOOKUP("other",bug_conf_sheet!$A:$H,4,FALSE))</f>
        <v>0</v>
      </c>
      <c r="P99" s="36">
        <f>IFERROR(VLOOKUP($F99,bug_conf_sheet!$A:$H,5,FALSE),VLOOKUP("other",bug_conf_sheet!$A:$H,5,FALSE))</f>
        <v>0</v>
      </c>
      <c r="Q99" s="36">
        <f>IFERROR(VLOOKUP($F99,bug_conf_sheet!$A:$H,6,FALSE),VLOOKUP("other",bug_conf_sheet!$A:$H,6,FALSE))</f>
        <v>0</v>
      </c>
      <c r="R99" s="36">
        <f>IFERROR(VLOOKUP($F99,bug_conf_sheet!$A:$H,7,FALSE),VLOOKUP("other",bug_conf_sheet!$A:$H,7,FALSE))</f>
        <v>0</v>
      </c>
      <c r="S99" s="36">
        <f>IFERROR(VLOOKUP($F99,bug_conf_sheet!$A:$H,8,FALSE),VLOOKUP("other",bug_conf_sheet!$A:$H,8,FALSE))</f>
        <v>1</v>
      </c>
    </row>
    <row r="100" spans="1:19" ht="21" customHeight="1">
      <c r="A100" s="7" t="str">
        <f t="shared" si="7"/>
        <v>1710388</v>
      </c>
      <c r="B100" s="2" t="str">
        <f t="shared" si="5"/>
        <v>1710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2">
        <f>VLOOKUP(D100,gacha_171_base!A:B,2,FALSE)</f>
        <v>12141</v>
      </c>
      <c r="N100" s="36">
        <f>IFERROR(VLOOKUP($F100,bug_conf_sheet!$A:$H,3,FALSE),VLOOKUP("other",bug_conf_sheet!$A:$H,3,FALSE))</f>
        <v>1</v>
      </c>
      <c r="O100" s="36">
        <f>IFERROR(VLOOKUP($F100,bug_conf_sheet!$A:$H,4,FALSE),VLOOKUP("other",bug_conf_sheet!$A:$H,4,FALSE))</f>
        <v>0</v>
      </c>
      <c r="P100" s="36">
        <f>IFERROR(VLOOKUP($F100,bug_conf_sheet!$A:$H,5,FALSE),VLOOKUP("other",bug_conf_sheet!$A:$H,5,FALSE))</f>
        <v>0</v>
      </c>
      <c r="Q100" s="36">
        <f>IFERROR(VLOOKUP($F100,bug_conf_sheet!$A:$H,6,FALSE),VLOOKUP("other",bug_conf_sheet!$A:$H,6,FALSE))</f>
        <v>0</v>
      </c>
      <c r="R100" s="36">
        <f>IFERROR(VLOOKUP($F100,bug_conf_sheet!$A:$H,7,FALSE),VLOOKUP("other",bug_conf_sheet!$A:$H,7,FALSE))</f>
        <v>0</v>
      </c>
      <c r="S100" s="36">
        <f>IFERROR(VLOOKUP($F100,bug_conf_sheet!$A:$H,8,FALSE),VLOOKUP("other",bug_conf_sheet!$A:$H,8,FALSE))</f>
        <v>1</v>
      </c>
    </row>
    <row r="101" spans="1:19" ht="21" customHeight="1">
      <c r="A101" s="7" t="str">
        <f t="shared" si="7"/>
        <v>1710389</v>
      </c>
      <c r="B101" s="2" t="str">
        <f t="shared" si="5"/>
        <v>1710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2">
        <f>VLOOKUP(D101,gacha_171_base!A:B,2,FALSE)</f>
        <v>775</v>
      </c>
      <c r="N101" s="36">
        <f>IFERROR(VLOOKUP($F101,bug_conf_sheet!$A:$H,3,FALSE),VLOOKUP("other",bug_conf_sheet!$A:$H,3,FALSE))</f>
        <v>1</v>
      </c>
      <c r="O101" s="36">
        <f>IFERROR(VLOOKUP($F101,bug_conf_sheet!$A:$H,4,FALSE),VLOOKUP("other",bug_conf_sheet!$A:$H,4,FALSE))</f>
        <v>0</v>
      </c>
      <c r="P101" s="36">
        <f>IFERROR(VLOOKUP($F101,bug_conf_sheet!$A:$H,5,FALSE),VLOOKUP("other",bug_conf_sheet!$A:$H,5,FALSE))</f>
        <v>0</v>
      </c>
      <c r="Q101" s="36">
        <f>IFERROR(VLOOKUP($F101,bug_conf_sheet!$A:$H,6,FALSE),VLOOKUP("other",bug_conf_sheet!$A:$H,6,FALSE))</f>
        <v>0</v>
      </c>
      <c r="R101" s="36">
        <f>IFERROR(VLOOKUP($F101,bug_conf_sheet!$A:$H,7,FALSE),VLOOKUP("other",bug_conf_sheet!$A:$H,7,FALSE))</f>
        <v>0</v>
      </c>
      <c r="S101" s="36">
        <f>IFERROR(VLOOKUP($F101,bug_conf_sheet!$A:$H,8,FALSE),VLOOKUP("other",bug_conf_sheet!$A:$H,8,FALSE))</f>
        <v>1</v>
      </c>
    </row>
    <row r="102" spans="1:19" ht="21" customHeight="1">
      <c r="A102" s="7" t="str">
        <f t="shared" si="7"/>
        <v>1710390</v>
      </c>
      <c r="B102" s="2" t="str">
        <f t="shared" si="5"/>
        <v>1710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2">
        <f>VLOOKUP(D102,gacha_171_base!A:B,2,FALSE)</f>
        <v>1464</v>
      </c>
      <c r="N102" s="36">
        <f>IFERROR(VLOOKUP($F102,bug_conf_sheet!$A:$H,3,FALSE),VLOOKUP("other",bug_conf_sheet!$A:$H,3,FALSE))</f>
        <v>1</v>
      </c>
      <c r="O102" s="36">
        <f>IFERROR(VLOOKUP($F102,bug_conf_sheet!$A:$H,4,FALSE),VLOOKUP("other",bug_conf_sheet!$A:$H,4,FALSE))</f>
        <v>0</v>
      </c>
      <c r="P102" s="36">
        <f>IFERROR(VLOOKUP($F102,bug_conf_sheet!$A:$H,5,FALSE),VLOOKUP("other",bug_conf_sheet!$A:$H,5,FALSE))</f>
        <v>0</v>
      </c>
      <c r="Q102" s="36">
        <f>IFERROR(VLOOKUP($F102,bug_conf_sheet!$A:$H,6,FALSE),VLOOKUP("other",bug_conf_sheet!$A:$H,6,FALSE))</f>
        <v>0</v>
      </c>
      <c r="R102" s="36">
        <f>IFERROR(VLOOKUP($F102,bug_conf_sheet!$A:$H,7,FALSE),VLOOKUP("other",bug_conf_sheet!$A:$H,7,FALSE))</f>
        <v>0</v>
      </c>
      <c r="S102" s="36">
        <f>IFERROR(VLOOKUP($F102,bug_conf_sheet!$A:$H,8,FALSE),VLOOKUP("other",bug_conf_sheet!$A:$H,8,FALSE))</f>
        <v>1</v>
      </c>
    </row>
    <row r="103" spans="1:19" ht="21" customHeight="1">
      <c r="A103" s="7" t="str">
        <f t="shared" si="7"/>
        <v>1710391</v>
      </c>
      <c r="B103" s="2" t="str">
        <f t="shared" si="5"/>
        <v>1710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2">
        <f>VLOOKUP(D103,gacha_171_base!A:B,2,FALSE)</f>
        <v>93</v>
      </c>
      <c r="N103" s="36">
        <f>IFERROR(VLOOKUP($F103,bug_conf_sheet!$A:$H,3,FALSE),VLOOKUP("other",bug_conf_sheet!$A:$H,3,FALSE))</f>
        <v>1</v>
      </c>
      <c r="O103" s="36">
        <f>IFERROR(VLOOKUP($F103,bug_conf_sheet!$A:$H,4,FALSE),VLOOKUP("other",bug_conf_sheet!$A:$H,4,FALSE))</f>
        <v>0</v>
      </c>
      <c r="P103" s="36">
        <f>IFERROR(VLOOKUP($F103,bug_conf_sheet!$A:$H,5,FALSE),VLOOKUP("other",bug_conf_sheet!$A:$H,5,FALSE))</f>
        <v>0</v>
      </c>
      <c r="Q103" s="36">
        <f>IFERROR(VLOOKUP($F103,bug_conf_sheet!$A:$H,6,FALSE),VLOOKUP("other",bug_conf_sheet!$A:$H,6,FALSE))</f>
        <v>0</v>
      </c>
      <c r="R103" s="36">
        <f>IFERROR(VLOOKUP($F103,bug_conf_sheet!$A:$H,7,FALSE),VLOOKUP("other",bug_conf_sheet!$A:$H,7,FALSE))</f>
        <v>0</v>
      </c>
      <c r="S103" s="36">
        <f>IFERROR(VLOOKUP($F103,bug_conf_sheet!$A:$H,8,FALSE),VLOOKUP("other",bug_conf_sheet!$A:$H,8,FALSE))</f>
        <v>1</v>
      </c>
    </row>
    <row r="104" spans="1:19" ht="21" customHeight="1">
      <c r="A104" s="7" t="str">
        <f t="shared" si="7"/>
        <v>1710393</v>
      </c>
      <c r="B104" s="2" t="str">
        <f t="shared" si="5"/>
        <v>1710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2">
        <f>VLOOKUP(D104,gacha_171_base!A:B,2,FALSE)</f>
        <v>12141</v>
      </c>
      <c r="N104" s="36">
        <f>IFERROR(VLOOKUP($F104,bug_conf_sheet!$A:$H,3,FALSE),VLOOKUP("other",bug_conf_sheet!$A:$H,3,FALSE))</f>
        <v>1</v>
      </c>
      <c r="O104" s="36">
        <f>IFERROR(VLOOKUP($F104,bug_conf_sheet!$A:$H,4,FALSE),VLOOKUP("other",bug_conf_sheet!$A:$H,4,FALSE))</f>
        <v>0</v>
      </c>
      <c r="P104" s="36">
        <f>IFERROR(VLOOKUP($F104,bug_conf_sheet!$A:$H,5,FALSE),VLOOKUP("other",bug_conf_sheet!$A:$H,5,FALSE))</f>
        <v>0</v>
      </c>
      <c r="Q104" s="36">
        <f>IFERROR(VLOOKUP($F104,bug_conf_sheet!$A:$H,6,FALSE),VLOOKUP("other",bug_conf_sheet!$A:$H,6,FALSE))</f>
        <v>0</v>
      </c>
      <c r="R104" s="36">
        <f>IFERROR(VLOOKUP($F104,bug_conf_sheet!$A:$H,7,FALSE),VLOOKUP("other",bug_conf_sheet!$A:$H,7,FALSE))</f>
        <v>0</v>
      </c>
      <c r="S104" s="36">
        <f>IFERROR(VLOOKUP($F104,bug_conf_sheet!$A:$H,8,FALSE),VLOOKUP("other",bug_conf_sheet!$A:$H,8,FALSE))</f>
        <v>1</v>
      </c>
    </row>
    <row r="105" spans="1:19" ht="21" customHeight="1">
      <c r="A105" s="7" t="str">
        <f t="shared" si="7"/>
        <v>1710394</v>
      </c>
      <c r="B105" s="2" t="str">
        <f t="shared" si="5"/>
        <v>1710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2">
        <f>VLOOKUP(D105,gacha_171_base!A:B,2,FALSE)</f>
        <v>775</v>
      </c>
      <c r="N105" s="36">
        <f>IFERROR(VLOOKUP($F105,bug_conf_sheet!$A:$H,3,FALSE),VLOOKUP("other",bug_conf_sheet!$A:$H,3,FALSE))</f>
        <v>1</v>
      </c>
      <c r="O105" s="36">
        <f>IFERROR(VLOOKUP($F105,bug_conf_sheet!$A:$H,4,FALSE),VLOOKUP("other",bug_conf_sheet!$A:$H,4,FALSE))</f>
        <v>0</v>
      </c>
      <c r="P105" s="36">
        <f>IFERROR(VLOOKUP($F105,bug_conf_sheet!$A:$H,5,FALSE),VLOOKUP("other",bug_conf_sheet!$A:$H,5,FALSE))</f>
        <v>0</v>
      </c>
      <c r="Q105" s="36">
        <f>IFERROR(VLOOKUP($F105,bug_conf_sheet!$A:$H,6,FALSE),VLOOKUP("other",bug_conf_sheet!$A:$H,6,FALSE))</f>
        <v>0</v>
      </c>
      <c r="R105" s="36">
        <f>IFERROR(VLOOKUP($F105,bug_conf_sheet!$A:$H,7,FALSE),VLOOKUP("other",bug_conf_sheet!$A:$H,7,FALSE))</f>
        <v>0</v>
      </c>
      <c r="S105" s="36">
        <f>IFERROR(VLOOKUP($F105,bug_conf_sheet!$A:$H,8,FALSE),VLOOKUP("other",bug_conf_sheet!$A:$H,8,FALSE))</f>
        <v>1</v>
      </c>
    </row>
    <row r="106" spans="1:19" ht="21" customHeight="1">
      <c r="A106" s="7" t="str">
        <f t="shared" si="7"/>
        <v>1710396</v>
      </c>
      <c r="B106" s="2" t="str">
        <f t="shared" si="5"/>
        <v>1710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2">
        <f>VLOOKUP(D106,gacha_171_base!A:B,2,FALSE)</f>
        <v>12141</v>
      </c>
      <c r="N106" s="36">
        <f>IFERROR(VLOOKUP($F106,bug_conf_sheet!$A:$H,3,FALSE),VLOOKUP("other",bug_conf_sheet!$A:$H,3,FALSE))</f>
        <v>1</v>
      </c>
      <c r="O106" s="36">
        <f>IFERROR(VLOOKUP($F106,bug_conf_sheet!$A:$H,4,FALSE),VLOOKUP("other",bug_conf_sheet!$A:$H,4,FALSE))</f>
        <v>0</v>
      </c>
      <c r="P106" s="36">
        <f>IFERROR(VLOOKUP($F106,bug_conf_sheet!$A:$H,5,FALSE),VLOOKUP("other",bug_conf_sheet!$A:$H,5,FALSE))</f>
        <v>0</v>
      </c>
      <c r="Q106" s="36">
        <f>IFERROR(VLOOKUP($F106,bug_conf_sheet!$A:$H,6,FALSE),VLOOKUP("other",bug_conf_sheet!$A:$H,6,FALSE))</f>
        <v>0</v>
      </c>
      <c r="R106" s="36">
        <f>IFERROR(VLOOKUP($F106,bug_conf_sheet!$A:$H,7,FALSE),VLOOKUP("other",bug_conf_sheet!$A:$H,7,FALSE))</f>
        <v>0</v>
      </c>
      <c r="S106" s="36">
        <f>IFERROR(VLOOKUP($F106,bug_conf_sheet!$A:$H,8,FALSE),VLOOKUP("other",bug_conf_sheet!$A:$H,8,FALSE))</f>
        <v>1</v>
      </c>
    </row>
    <row r="107" spans="1:19" ht="21" customHeight="1">
      <c r="A107" s="7" t="str">
        <f t="shared" si="7"/>
        <v>1710397</v>
      </c>
      <c r="B107" s="2" t="str">
        <f t="shared" si="5"/>
        <v>1710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2">
        <f>VLOOKUP(D107,gacha_171_base!A:B,2,FALSE)</f>
        <v>775</v>
      </c>
      <c r="N107" s="36">
        <f>IFERROR(VLOOKUP($F107,bug_conf_sheet!$A:$H,3,FALSE),VLOOKUP("other",bug_conf_sheet!$A:$H,3,FALSE))</f>
        <v>1</v>
      </c>
      <c r="O107" s="36">
        <f>IFERROR(VLOOKUP($F107,bug_conf_sheet!$A:$H,4,FALSE),VLOOKUP("other",bug_conf_sheet!$A:$H,4,FALSE))</f>
        <v>0</v>
      </c>
      <c r="P107" s="36">
        <f>IFERROR(VLOOKUP($F107,bug_conf_sheet!$A:$H,5,FALSE),VLOOKUP("other",bug_conf_sheet!$A:$H,5,FALSE))</f>
        <v>0</v>
      </c>
      <c r="Q107" s="36">
        <f>IFERROR(VLOOKUP($F107,bug_conf_sheet!$A:$H,6,FALSE),VLOOKUP("other",bug_conf_sheet!$A:$H,6,FALSE))</f>
        <v>0</v>
      </c>
      <c r="R107" s="36">
        <f>IFERROR(VLOOKUP($F107,bug_conf_sheet!$A:$H,7,FALSE),VLOOKUP("other",bug_conf_sheet!$A:$H,7,FALSE))</f>
        <v>0</v>
      </c>
      <c r="S107" s="36">
        <f>IFERROR(VLOOKUP($F107,bug_conf_sheet!$A:$H,8,FALSE),VLOOKUP("other",bug_conf_sheet!$A:$H,8,FALSE))</f>
        <v>1</v>
      </c>
    </row>
    <row r="108" spans="1:19" ht="21" customHeight="1">
      <c r="A108" s="7" t="str">
        <f t="shared" si="7"/>
        <v>1710398</v>
      </c>
      <c r="B108" s="2" t="str">
        <f t="shared" si="5"/>
        <v>1710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2">
        <f>VLOOKUP(D108,gacha_171_base!A:B,2,FALSE)</f>
        <v>1464</v>
      </c>
      <c r="N108" s="36">
        <f>IFERROR(VLOOKUP($F108,bug_conf_sheet!$A:$H,3,FALSE),VLOOKUP("other",bug_conf_sheet!$A:$H,3,FALSE))</f>
        <v>1</v>
      </c>
      <c r="O108" s="36">
        <f>IFERROR(VLOOKUP($F108,bug_conf_sheet!$A:$H,4,FALSE),VLOOKUP("other",bug_conf_sheet!$A:$H,4,FALSE))</f>
        <v>0</v>
      </c>
      <c r="P108" s="36">
        <f>IFERROR(VLOOKUP($F108,bug_conf_sheet!$A:$H,5,FALSE),VLOOKUP("other",bug_conf_sheet!$A:$H,5,FALSE))</f>
        <v>0</v>
      </c>
      <c r="Q108" s="36">
        <f>IFERROR(VLOOKUP($F108,bug_conf_sheet!$A:$H,6,FALSE),VLOOKUP("other",bug_conf_sheet!$A:$H,6,FALSE))</f>
        <v>0</v>
      </c>
      <c r="R108" s="36">
        <f>IFERROR(VLOOKUP($F108,bug_conf_sheet!$A:$H,7,FALSE),VLOOKUP("other",bug_conf_sheet!$A:$H,7,FALSE))</f>
        <v>0</v>
      </c>
      <c r="S108" s="36">
        <f>IFERROR(VLOOKUP($F108,bug_conf_sheet!$A:$H,8,FALSE),VLOOKUP("other",bug_conf_sheet!$A:$H,8,FALSE))</f>
        <v>1</v>
      </c>
    </row>
    <row r="109" spans="1:19" ht="21" customHeight="1">
      <c r="A109" s="7" t="str">
        <f t="shared" si="7"/>
        <v>1710399</v>
      </c>
      <c r="B109" s="2" t="str">
        <f t="shared" ref="B109:B149" si="9">171&amp;E109</f>
        <v>1710</v>
      </c>
      <c r="C109" s="8" t="str">
        <f t="shared" si="8"/>
        <v>0PremiumSS5</v>
      </c>
      <c r="D109" s="8" t="str">
        <f t="shared" ref="D109:D149" si="10">E109&amp;H109&amp;I109</f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2">
        <f>VLOOKUP(D109,gacha_171_base!A:B,2,FALSE)</f>
        <v>93</v>
      </c>
      <c r="N109" s="36">
        <f>IFERROR(VLOOKUP($F109,bug_conf_sheet!$A:$H,3,FALSE),VLOOKUP("other",bug_conf_sheet!$A:$H,3,FALSE))</f>
        <v>1</v>
      </c>
      <c r="O109" s="36">
        <f>IFERROR(VLOOKUP($F109,bug_conf_sheet!$A:$H,4,FALSE),VLOOKUP("other",bug_conf_sheet!$A:$H,4,FALSE))</f>
        <v>0</v>
      </c>
      <c r="P109" s="36">
        <f>IFERROR(VLOOKUP($F109,bug_conf_sheet!$A:$H,5,FALSE),VLOOKUP("other",bug_conf_sheet!$A:$H,5,FALSE))</f>
        <v>0</v>
      </c>
      <c r="Q109" s="36">
        <f>IFERROR(VLOOKUP($F109,bug_conf_sheet!$A:$H,6,FALSE),VLOOKUP("other",bug_conf_sheet!$A:$H,6,FALSE))</f>
        <v>0</v>
      </c>
      <c r="R109" s="36">
        <f>IFERROR(VLOOKUP($F109,bug_conf_sheet!$A:$H,7,FALSE),VLOOKUP("other",bug_conf_sheet!$A:$H,7,FALSE))</f>
        <v>0</v>
      </c>
      <c r="S109" s="36">
        <f>IFERROR(VLOOKUP($F109,bug_conf_sheet!$A:$H,8,FALSE),VLOOKUP("other",bug_conf_sheet!$A:$H,8,FALSE))</f>
        <v>1</v>
      </c>
    </row>
    <row r="110" spans="1:19" ht="21" customHeight="1">
      <c r="A110" s="7" t="str">
        <f t="shared" si="7"/>
        <v>1710401</v>
      </c>
      <c r="B110" s="2" t="str">
        <f t="shared" si="9"/>
        <v>1710</v>
      </c>
      <c r="C110" s="8" t="str">
        <f t="shared" si="8"/>
        <v>0PremiumS4</v>
      </c>
      <c r="D110" s="8" t="str">
        <f t="shared" si="10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2">
        <f>VLOOKUP(D110,gacha_171_base!A:B,2,FALSE)</f>
        <v>12141</v>
      </c>
      <c r="N110" s="36">
        <f>IFERROR(VLOOKUP($F110,bug_conf_sheet!$A:$H,3,FALSE),VLOOKUP("other",bug_conf_sheet!$A:$H,3,FALSE))</f>
        <v>1</v>
      </c>
      <c r="O110" s="36">
        <f>IFERROR(VLOOKUP($F110,bug_conf_sheet!$A:$H,4,FALSE),VLOOKUP("other",bug_conf_sheet!$A:$H,4,FALSE))</f>
        <v>0</v>
      </c>
      <c r="P110" s="36">
        <f>IFERROR(VLOOKUP($F110,bug_conf_sheet!$A:$H,5,FALSE),VLOOKUP("other",bug_conf_sheet!$A:$H,5,FALSE))</f>
        <v>0</v>
      </c>
      <c r="Q110" s="36">
        <f>IFERROR(VLOOKUP($F110,bug_conf_sheet!$A:$H,6,FALSE),VLOOKUP("other",bug_conf_sheet!$A:$H,6,FALSE))</f>
        <v>0</v>
      </c>
      <c r="R110" s="36">
        <f>IFERROR(VLOOKUP($F110,bug_conf_sheet!$A:$H,7,FALSE),VLOOKUP("other",bug_conf_sheet!$A:$H,7,FALSE))</f>
        <v>0</v>
      </c>
      <c r="S110" s="36">
        <f>IFERROR(VLOOKUP($F110,bug_conf_sheet!$A:$H,8,FALSE),VLOOKUP("other",bug_conf_sheet!$A:$H,8,FALSE))</f>
        <v>1</v>
      </c>
    </row>
    <row r="111" spans="1:19" ht="21" customHeight="1">
      <c r="A111" s="7" t="str">
        <f t="shared" si="7"/>
        <v>1710402</v>
      </c>
      <c r="B111" s="2" t="str">
        <f t="shared" si="9"/>
        <v>1710</v>
      </c>
      <c r="C111" s="8" t="str">
        <f t="shared" si="8"/>
        <v>0PremiumS5</v>
      </c>
      <c r="D111" s="8" t="str">
        <f t="shared" si="10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2">
        <f>VLOOKUP(D111,gacha_171_base!A:B,2,FALSE)</f>
        <v>775</v>
      </c>
      <c r="N111" s="36">
        <f>IFERROR(VLOOKUP($F111,bug_conf_sheet!$A:$H,3,FALSE),VLOOKUP("other",bug_conf_sheet!$A:$H,3,FALSE))</f>
        <v>1</v>
      </c>
      <c r="O111" s="36">
        <f>IFERROR(VLOOKUP($F111,bug_conf_sheet!$A:$H,4,FALSE),VLOOKUP("other",bug_conf_sheet!$A:$H,4,FALSE))</f>
        <v>0</v>
      </c>
      <c r="P111" s="36">
        <f>IFERROR(VLOOKUP($F111,bug_conf_sheet!$A:$H,5,FALSE),VLOOKUP("other",bug_conf_sheet!$A:$H,5,FALSE))</f>
        <v>0</v>
      </c>
      <c r="Q111" s="36">
        <f>IFERROR(VLOOKUP($F111,bug_conf_sheet!$A:$H,6,FALSE),VLOOKUP("other",bug_conf_sheet!$A:$H,6,FALSE))</f>
        <v>0</v>
      </c>
      <c r="R111" s="36">
        <f>IFERROR(VLOOKUP($F111,bug_conf_sheet!$A:$H,7,FALSE),VLOOKUP("other",bug_conf_sheet!$A:$H,7,FALSE))</f>
        <v>0</v>
      </c>
      <c r="S111" s="36">
        <f>IFERROR(VLOOKUP($F111,bug_conf_sheet!$A:$H,8,FALSE),VLOOKUP("other",bug_conf_sheet!$A:$H,8,FALSE))</f>
        <v>1</v>
      </c>
    </row>
    <row r="112" spans="1:19" ht="21" customHeight="1">
      <c r="A112" s="7" t="str">
        <f t="shared" si="7"/>
        <v>1710403</v>
      </c>
      <c r="B112" s="2" t="str">
        <f t="shared" si="9"/>
        <v>1710</v>
      </c>
      <c r="C112" s="8" t="str">
        <f t="shared" si="8"/>
        <v>0PremiumSS4</v>
      </c>
      <c r="D112" s="8" t="str">
        <f t="shared" si="10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2">
        <f>VLOOKUP(D112,gacha_171_base!A:B,2,FALSE)</f>
        <v>1464</v>
      </c>
      <c r="N112" s="36">
        <f>IFERROR(VLOOKUP($F112,bug_conf_sheet!$A:$H,3,FALSE),VLOOKUP("other",bug_conf_sheet!$A:$H,3,FALSE))</f>
        <v>1</v>
      </c>
      <c r="O112" s="36">
        <f>IFERROR(VLOOKUP($F112,bug_conf_sheet!$A:$H,4,FALSE),VLOOKUP("other",bug_conf_sheet!$A:$H,4,FALSE))</f>
        <v>0</v>
      </c>
      <c r="P112" s="36">
        <f>IFERROR(VLOOKUP($F112,bug_conf_sheet!$A:$H,5,FALSE),VLOOKUP("other",bug_conf_sheet!$A:$H,5,FALSE))</f>
        <v>0</v>
      </c>
      <c r="Q112" s="36">
        <f>IFERROR(VLOOKUP($F112,bug_conf_sheet!$A:$H,6,FALSE),VLOOKUP("other",bug_conf_sheet!$A:$H,6,FALSE))</f>
        <v>0</v>
      </c>
      <c r="R112" s="36">
        <f>IFERROR(VLOOKUP($F112,bug_conf_sheet!$A:$H,7,FALSE),VLOOKUP("other",bug_conf_sheet!$A:$H,7,FALSE))</f>
        <v>0</v>
      </c>
      <c r="S112" s="36">
        <f>IFERROR(VLOOKUP($F112,bug_conf_sheet!$A:$H,8,FALSE),VLOOKUP("other",bug_conf_sheet!$A:$H,8,FALSE))</f>
        <v>1</v>
      </c>
    </row>
    <row r="113" spans="1:19" ht="21" customHeight="1">
      <c r="A113" s="7" t="str">
        <f t="shared" si="7"/>
        <v>1710404</v>
      </c>
      <c r="B113" s="2" t="str">
        <f t="shared" si="9"/>
        <v>1710</v>
      </c>
      <c r="C113" s="8" t="str">
        <f t="shared" si="8"/>
        <v>0PremiumSS5</v>
      </c>
      <c r="D113" s="8" t="str">
        <f t="shared" si="10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2">
        <f>VLOOKUP(D113,gacha_171_base!A:B,2,FALSE)</f>
        <v>93</v>
      </c>
      <c r="N113" s="36">
        <f>IFERROR(VLOOKUP($F113,bug_conf_sheet!$A:$H,3,FALSE),VLOOKUP("other",bug_conf_sheet!$A:$H,3,FALSE))</f>
        <v>1</v>
      </c>
      <c r="O113" s="36">
        <f>IFERROR(VLOOKUP($F113,bug_conf_sheet!$A:$H,4,FALSE),VLOOKUP("other",bug_conf_sheet!$A:$H,4,FALSE))</f>
        <v>0</v>
      </c>
      <c r="P113" s="36">
        <f>IFERROR(VLOOKUP($F113,bug_conf_sheet!$A:$H,5,FALSE),VLOOKUP("other",bug_conf_sheet!$A:$H,5,FALSE))</f>
        <v>0</v>
      </c>
      <c r="Q113" s="36">
        <f>IFERROR(VLOOKUP($F113,bug_conf_sheet!$A:$H,6,FALSE),VLOOKUP("other",bug_conf_sheet!$A:$H,6,FALSE))</f>
        <v>0</v>
      </c>
      <c r="R113" s="36">
        <f>IFERROR(VLOOKUP($F113,bug_conf_sheet!$A:$H,7,FALSE),VLOOKUP("other",bug_conf_sheet!$A:$H,7,FALSE))</f>
        <v>0</v>
      </c>
      <c r="S113" s="36">
        <f>IFERROR(VLOOKUP($F113,bug_conf_sheet!$A:$H,8,FALSE),VLOOKUP("other",bug_conf_sheet!$A:$H,8,FALSE))</f>
        <v>1</v>
      </c>
    </row>
    <row r="114" spans="1:19" ht="21" customHeight="1">
      <c r="A114" s="7" t="str">
        <f t="shared" si="7"/>
        <v>1710406</v>
      </c>
      <c r="B114" s="2" t="str">
        <f t="shared" si="9"/>
        <v>1710</v>
      </c>
      <c r="C114" s="8" t="str">
        <f t="shared" si="8"/>
        <v>0PremiumS4</v>
      </c>
      <c r="D114" s="8" t="str">
        <f t="shared" si="10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2">
        <f>VLOOKUP(D114,gacha_171_base!A:B,2,FALSE)</f>
        <v>12141</v>
      </c>
      <c r="N114" s="36">
        <f>IFERROR(VLOOKUP($F114,bug_conf_sheet!$A:$H,3,FALSE),VLOOKUP("other",bug_conf_sheet!$A:$H,3,FALSE))</f>
        <v>1</v>
      </c>
      <c r="O114" s="36">
        <f>IFERROR(VLOOKUP($F114,bug_conf_sheet!$A:$H,4,FALSE),VLOOKUP("other",bug_conf_sheet!$A:$H,4,FALSE))</f>
        <v>0</v>
      </c>
      <c r="P114" s="36">
        <f>IFERROR(VLOOKUP($F114,bug_conf_sheet!$A:$H,5,FALSE),VLOOKUP("other",bug_conf_sheet!$A:$H,5,FALSE))</f>
        <v>0</v>
      </c>
      <c r="Q114" s="36">
        <f>IFERROR(VLOOKUP($F114,bug_conf_sheet!$A:$H,6,FALSE),VLOOKUP("other",bug_conf_sheet!$A:$H,6,FALSE))</f>
        <v>0</v>
      </c>
      <c r="R114" s="36">
        <f>IFERROR(VLOOKUP($F114,bug_conf_sheet!$A:$H,7,FALSE),VLOOKUP("other",bug_conf_sheet!$A:$H,7,FALSE))</f>
        <v>0</v>
      </c>
      <c r="S114" s="36">
        <f>IFERROR(VLOOKUP($F114,bug_conf_sheet!$A:$H,8,FALSE),VLOOKUP("other",bug_conf_sheet!$A:$H,8,FALSE))</f>
        <v>1</v>
      </c>
    </row>
    <row r="115" spans="1:19" ht="21" customHeight="1">
      <c r="A115" s="7" t="str">
        <f t="shared" si="7"/>
        <v>1710407</v>
      </c>
      <c r="B115" s="2" t="str">
        <f t="shared" si="9"/>
        <v>1710</v>
      </c>
      <c r="C115" s="8" t="str">
        <f t="shared" si="8"/>
        <v>0PremiumS5</v>
      </c>
      <c r="D115" s="8" t="str">
        <f t="shared" si="10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2">
        <f>VLOOKUP(D115,gacha_171_base!A:B,2,FALSE)</f>
        <v>775</v>
      </c>
      <c r="N115" s="36">
        <f>IFERROR(VLOOKUP($F115,bug_conf_sheet!$A:$H,3,FALSE),VLOOKUP("other",bug_conf_sheet!$A:$H,3,FALSE))</f>
        <v>1</v>
      </c>
      <c r="O115" s="36">
        <f>IFERROR(VLOOKUP($F115,bug_conf_sheet!$A:$H,4,FALSE),VLOOKUP("other",bug_conf_sheet!$A:$H,4,FALSE))</f>
        <v>0</v>
      </c>
      <c r="P115" s="36">
        <f>IFERROR(VLOOKUP($F115,bug_conf_sheet!$A:$H,5,FALSE),VLOOKUP("other",bug_conf_sheet!$A:$H,5,FALSE))</f>
        <v>0</v>
      </c>
      <c r="Q115" s="36">
        <f>IFERROR(VLOOKUP($F115,bug_conf_sheet!$A:$H,6,FALSE),VLOOKUP("other",bug_conf_sheet!$A:$H,6,FALSE))</f>
        <v>0</v>
      </c>
      <c r="R115" s="36">
        <f>IFERROR(VLOOKUP($F115,bug_conf_sheet!$A:$H,7,FALSE),VLOOKUP("other",bug_conf_sheet!$A:$H,7,FALSE))</f>
        <v>0</v>
      </c>
      <c r="S115" s="36">
        <f>IFERROR(VLOOKUP($F115,bug_conf_sheet!$A:$H,8,FALSE),VLOOKUP("other",bug_conf_sheet!$A:$H,8,FALSE))</f>
        <v>1</v>
      </c>
    </row>
    <row r="116" spans="1:19" ht="21" customHeight="1">
      <c r="A116" s="7" t="str">
        <f t="shared" si="7"/>
        <v>1710408</v>
      </c>
      <c r="B116" s="2" t="str">
        <f t="shared" si="9"/>
        <v>1710</v>
      </c>
      <c r="C116" s="8" t="str">
        <f t="shared" si="8"/>
        <v>0PremiumSS4</v>
      </c>
      <c r="D116" s="8" t="str">
        <f t="shared" si="10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2">
        <f>VLOOKUP(D116,gacha_171_base!A:B,2,FALSE)</f>
        <v>1464</v>
      </c>
      <c r="N116" s="36">
        <f>IFERROR(VLOOKUP($F116,bug_conf_sheet!$A:$H,3,FALSE),VLOOKUP("other",bug_conf_sheet!$A:$H,3,FALSE))</f>
        <v>1</v>
      </c>
      <c r="O116" s="36">
        <f>IFERROR(VLOOKUP($F116,bug_conf_sheet!$A:$H,4,FALSE),VLOOKUP("other",bug_conf_sheet!$A:$H,4,FALSE))</f>
        <v>0</v>
      </c>
      <c r="P116" s="36">
        <f>IFERROR(VLOOKUP($F116,bug_conf_sheet!$A:$H,5,FALSE),VLOOKUP("other",bug_conf_sheet!$A:$H,5,FALSE))</f>
        <v>0</v>
      </c>
      <c r="Q116" s="36">
        <f>IFERROR(VLOOKUP($F116,bug_conf_sheet!$A:$H,6,FALSE),VLOOKUP("other",bug_conf_sheet!$A:$H,6,FALSE))</f>
        <v>0</v>
      </c>
      <c r="R116" s="36">
        <f>IFERROR(VLOOKUP($F116,bug_conf_sheet!$A:$H,7,FALSE),VLOOKUP("other",bug_conf_sheet!$A:$H,7,FALSE))</f>
        <v>0</v>
      </c>
      <c r="S116" s="36">
        <f>IFERROR(VLOOKUP($F116,bug_conf_sheet!$A:$H,8,FALSE),VLOOKUP("other",bug_conf_sheet!$A:$H,8,FALSE))</f>
        <v>1</v>
      </c>
    </row>
    <row r="117" spans="1:19" ht="21" customHeight="1">
      <c r="A117" s="7" t="str">
        <f t="shared" si="7"/>
        <v>1710409</v>
      </c>
      <c r="B117" s="2" t="str">
        <f t="shared" si="9"/>
        <v>1710</v>
      </c>
      <c r="C117" s="8" t="str">
        <f t="shared" si="8"/>
        <v>0PremiumSS5</v>
      </c>
      <c r="D117" s="8" t="str">
        <f t="shared" si="10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2">
        <f>VLOOKUP(D117,gacha_171_base!A:B,2,FALSE)</f>
        <v>93</v>
      </c>
      <c r="N117" s="36">
        <f>IFERROR(VLOOKUP($F117,bug_conf_sheet!$A:$H,3,FALSE),VLOOKUP("other",bug_conf_sheet!$A:$H,3,FALSE))</f>
        <v>1</v>
      </c>
      <c r="O117" s="36">
        <f>IFERROR(VLOOKUP($F117,bug_conf_sheet!$A:$H,4,FALSE),VLOOKUP("other",bug_conf_sheet!$A:$H,4,FALSE))</f>
        <v>0</v>
      </c>
      <c r="P117" s="36">
        <f>IFERROR(VLOOKUP($F117,bug_conf_sheet!$A:$H,5,FALSE),VLOOKUP("other",bug_conf_sheet!$A:$H,5,FALSE))</f>
        <v>0</v>
      </c>
      <c r="Q117" s="36">
        <f>IFERROR(VLOOKUP($F117,bug_conf_sheet!$A:$H,6,FALSE),VLOOKUP("other",bug_conf_sheet!$A:$H,6,FALSE))</f>
        <v>0</v>
      </c>
      <c r="R117" s="36">
        <f>IFERROR(VLOOKUP($F117,bug_conf_sheet!$A:$H,7,FALSE),VLOOKUP("other",bug_conf_sheet!$A:$H,7,FALSE))</f>
        <v>0</v>
      </c>
      <c r="S117" s="36">
        <f>IFERROR(VLOOKUP($F117,bug_conf_sheet!$A:$H,8,FALSE),VLOOKUP("other",bug_conf_sheet!$A:$H,8,FALSE))</f>
        <v>1</v>
      </c>
    </row>
    <row r="118" spans="1:19" ht="21" customHeight="1">
      <c r="A118" s="7" t="str">
        <f t="shared" si="7"/>
        <v>1710434</v>
      </c>
      <c r="B118" s="2" t="str">
        <f t="shared" si="9"/>
        <v>1710</v>
      </c>
      <c r="C118" s="8" t="str">
        <f t="shared" si="8"/>
        <v>0PremiumSS4</v>
      </c>
      <c r="D118" s="8" t="str">
        <f t="shared" si="10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2">
        <f>VLOOKUP(D118,gacha_171_base!A:B,2,FALSE)</f>
        <v>1464</v>
      </c>
      <c r="N118" s="36">
        <f>IFERROR(VLOOKUP($F118,bug_conf_sheet!$A:$H,3,FALSE),VLOOKUP("other",bug_conf_sheet!$A:$H,3,FALSE))</f>
        <v>1</v>
      </c>
      <c r="O118" s="36">
        <f>IFERROR(VLOOKUP($F118,bug_conf_sheet!$A:$H,4,FALSE),VLOOKUP("other",bug_conf_sheet!$A:$H,4,FALSE))</f>
        <v>0</v>
      </c>
      <c r="P118" s="36">
        <f>IFERROR(VLOOKUP($F118,bug_conf_sheet!$A:$H,5,FALSE),VLOOKUP("other",bug_conf_sheet!$A:$H,5,FALSE))</f>
        <v>0</v>
      </c>
      <c r="Q118" s="36">
        <f>IFERROR(VLOOKUP($F118,bug_conf_sheet!$A:$H,6,FALSE),VLOOKUP("other",bug_conf_sheet!$A:$H,6,FALSE))</f>
        <v>0</v>
      </c>
      <c r="R118" s="36">
        <f>IFERROR(VLOOKUP($F118,bug_conf_sheet!$A:$H,7,FALSE),VLOOKUP("other",bug_conf_sheet!$A:$H,7,FALSE))</f>
        <v>0</v>
      </c>
      <c r="S118" s="36">
        <f>IFERROR(VLOOKUP($F118,bug_conf_sheet!$A:$H,8,FALSE),VLOOKUP("other",bug_conf_sheet!$A:$H,8,FALSE))</f>
        <v>1</v>
      </c>
    </row>
    <row r="119" spans="1:19" ht="21" customHeight="1">
      <c r="A119" s="7" t="str">
        <f t="shared" si="7"/>
        <v>1710435</v>
      </c>
      <c r="B119" s="2" t="str">
        <f t="shared" si="9"/>
        <v>1710</v>
      </c>
      <c r="C119" s="8" t="str">
        <f t="shared" si="8"/>
        <v>0PremiumSS5</v>
      </c>
      <c r="D119" s="8" t="str">
        <f t="shared" si="10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2">
        <f>VLOOKUP(D119,gacha_171_base!A:B,2,FALSE)</f>
        <v>93</v>
      </c>
      <c r="N119" s="36">
        <f>IFERROR(VLOOKUP($F119,bug_conf_sheet!$A:$H,3,FALSE),VLOOKUP("other",bug_conf_sheet!$A:$H,3,FALSE))</f>
        <v>1</v>
      </c>
      <c r="O119" s="36">
        <f>IFERROR(VLOOKUP($F119,bug_conf_sheet!$A:$H,4,FALSE),VLOOKUP("other",bug_conf_sheet!$A:$H,4,FALSE))</f>
        <v>0</v>
      </c>
      <c r="P119" s="36">
        <f>IFERROR(VLOOKUP($F119,bug_conf_sheet!$A:$H,5,FALSE),VLOOKUP("other",bug_conf_sheet!$A:$H,5,FALSE))</f>
        <v>0</v>
      </c>
      <c r="Q119" s="36">
        <f>IFERROR(VLOOKUP($F119,bug_conf_sheet!$A:$H,6,FALSE),VLOOKUP("other",bug_conf_sheet!$A:$H,6,FALSE))</f>
        <v>0</v>
      </c>
      <c r="R119" s="36">
        <f>IFERROR(VLOOKUP($F119,bug_conf_sheet!$A:$H,7,FALSE),VLOOKUP("other",bug_conf_sheet!$A:$H,7,FALSE))</f>
        <v>0</v>
      </c>
      <c r="S119" s="36">
        <f>IFERROR(VLOOKUP($F119,bug_conf_sheet!$A:$H,8,FALSE),VLOOKUP("other",bug_conf_sheet!$A:$H,8,FALSE))</f>
        <v>1</v>
      </c>
    </row>
    <row r="120" spans="1:19" ht="21" customHeight="1">
      <c r="A120" s="7" t="str">
        <f t="shared" si="7"/>
        <v>1710437</v>
      </c>
      <c r="B120" s="2" t="str">
        <f t="shared" si="9"/>
        <v>1710</v>
      </c>
      <c r="C120" s="8" t="str">
        <f t="shared" si="8"/>
        <v>0PremiumS4</v>
      </c>
      <c r="D120" s="8" t="str">
        <f t="shared" si="10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2">
        <f>VLOOKUP(D120,gacha_171_base!A:B,2,FALSE)</f>
        <v>12141</v>
      </c>
      <c r="N120" s="36">
        <f>IFERROR(VLOOKUP($F120,bug_conf_sheet!$A:$H,3,FALSE),VLOOKUP("other",bug_conf_sheet!$A:$H,3,FALSE))</f>
        <v>1</v>
      </c>
      <c r="O120" s="36">
        <f>IFERROR(VLOOKUP($F120,bug_conf_sheet!$A:$H,4,FALSE),VLOOKUP("other",bug_conf_sheet!$A:$H,4,FALSE))</f>
        <v>0</v>
      </c>
      <c r="P120" s="36">
        <f>IFERROR(VLOOKUP($F120,bug_conf_sheet!$A:$H,5,FALSE),VLOOKUP("other",bug_conf_sheet!$A:$H,5,FALSE))</f>
        <v>0</v>
      </c>
      <c r="Q120" s="36">
        <f>IFERROR(VLOOKUP($F120,bug_conf_sheet!$A:$H,6,FALSE),VLOOKUP("other",bug_conf_sheet!$A:$H,6,FALSE))</f>
        <v>0</v>
      </c>
      <c r="R120" s="36">
        <f>IFERROR(VLOOKUP($F120,bug_conf_sheet!$A:$H,7,FALSE),VLOOKUP("other",bug_conf_sheet!$A:$H,7,FALSE))</f>
        <v>0</v>
      </c>
      <c r="S120" s="36">
        <f>IFERROR(VLOOKUP($F120,bug_conf_sheet!$A:$H,8,FALSE),VLOOKUP("other",bug_conf_sheet!$A:$H,8,FALSE))</f>
        <v>1</v>
      </c>
    </row>
    <row r="121" spans="1:19" ht="21" customHeight="1">
      <c r="A121" s="7" t="str">
        <f t="shared" si="7"/>
        <v>1710438</v>
      </c>
      <c r="B121" s="2" t="str">
        <f t="shared" si="9"/>
        <v>1710</v>
      </c>
      <c r="C121" s="8" t="str">
        <f t="shared" si="8"/>
        <v>0PremiumS5</v>
      </c>
      <c r="D121" s="8" t="str">
        <f t="shared" si="10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2">
        <f>VLOOKUP(D121,gacha_171_base!A:B,2,FALSE)</f>
        <v>775</v>
      </c>
      <c r="N121" s="36">
        <f>IFERROR(VLOOKUP($F121,bug_conf_sheet!$A:$H,3,FALSE),VLOOKUP("other",bug_conf_sheet!$A:$H,3,FALSE))</f>
        <v>1</v>
      </c>
      <c r="O121" s="36">
        <f>IFERROR(VLOOKUP($F121,bug_conf_sheet!$A:$H,4,FALSE),VLOOKUP("other",bug_conf_sheet!$A:$H,4,FALSE))</f>
        <v>0</v>
      </c>
      <c r="P121" s="36">
        <f>IFERROR(VLOOKUP($F121,bug_conf_sheet!$A:$H,5,FALSE),VLOOKUP("other",bug_conf_sheet!$A:$H,5,FALSE))</f>
        <v>0</v>
      </c>
      <c r="Q121" s="36">
        <f>IFERROR(VLOOKUP($F121,bug_conf_sheet!$A:$H,6,FALSE),VLOOKUP("other",bug_conf_sheet!$A:$H,6,FALSE))</f>
        <v>0</v>
      </c>
      <c r="R121" s="36">
        <f>IFERROR(VLOOKUP($F121,bug_conf_sheet!$A:$H,7,FALSE),VLOOKUP("other",bug_conf_sheet!$A:$H,7,FALSE))</f>
        <v>0</v>
      </c>
      <c r="S121" s="36">
        <f>IFERROR(VLOOKUP($F121,bug_conf_sheet!$A:$H,8,FALSE),VLOOKUP("other",bug_conf_sheet!$A:$H,8,FALSE))</f>
        <v>1</v>
      </c>
    </row>
    <row r="122" spans="1:19" ht="21" customHeight="1">
      <c r="A122" s="7" t="str">
        <f t="shared" si="7"/>
        <v>1710440</v>
      </c>
      <c r="B122" s="2" t="str">
        <f t="shared" si="9"/>
        <v>1710</v>
      </c>
      <c r="C122" s="8" t="str">
        <f t="shared" si="8"/>
        <v>0PremiumS4</v>
      </c>
      <c r="D122" s="8" t="str">
        <f t="shared" si="10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2">
        <f>VLOOKUP(D122,gacha_171_base!A:B,2,FALSE)</f>
        <v>12141</v>
      </c>
      <c r="N122" s="36">
        <f>IFERROR(VLOOKUP($F122,bug_conf_sheet!$A:$H,3,FALSE),VLOOKUP("other",bug_conf_sheet!$A:$H,3,FALSE))</f>
        <v>1</v>
      </c>
      <c r="O122" s="36">
        <f>IFERROR(VLOOKUP($F122,bug_conf_sheet!$A:$H,4,FALSE),VLOOKUP("other",bug_conf_sheet!$A:$H,4,FALSE))</f>
        <v>0</v>
      </c>
      <c r="P122" s="36">
        <f>IFERROR(VLOOKUP($F122,bug_conf_sheet!$A:$H,5,FALSE),VLOOKUP("other",bug_conf_sheet!$A:$H,5,FALSE))</f>
        <v>0</v>
      </c>
      <c r="Q122" s="36">
        <f>IFERROR(VLOOKUP($F122,bug_conf_sheet!$A:$H,6,FALSE),VLOOKUP("other",bug_conf_sheet!$A:$H,6,FALSE))</f>
        <v>0</v>
      </c>
      <c r="R122" s="36">
        <f>IFERROR(VLOOKUP($F122,bug_conf_sheet!$A:$H,7,FALSE),VLOOKUP("other",bug_conf_sheet!$A:$H,7,FALSE))</f>
        <v>0</v>
      </c>
      <c r="S122" s="36">
        <f>IFERROR(VLOOKUP($F122,bug_conf_sheet!$A:$H,8,FALSE),VLOOKUP("other",bug_conf_sheet!$A:$H,8,FALSE))</f>
        <v>1</v>
      </c>
    </row>
    <row r="123" spans="1:19" ht="21" customHeight="1">
      <c r="A123" s="7" t="str">
        <f t="shared" si="7"/>
        <v>1710441</v>
      </c>
      <c r="B123" s="2" t="str">
        <f t="shared" si="9"/>
        <v>1710</v>
      </c>
      <c r="C123" s="8" t="str">
        <f t="shared" si="8"/>
        <v>0PremiumS5</v>
      </c>
      <c r="D123" s="8" t="str">
        <f t="shared" si="10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2">
        <f>VLOOKUP(D123,gacha_171_base!A:B,2,FALSE)</f>
        <v>775</v>
      </c>
      <c r="N123" s="36">
        <f>IFERROR(VLOOKUP($F123,bug_conf_sheet!$A:$H,3,FALSE),VLOOKUP("other",bug_conf_sheet!$A:$H,3,FALSE))</f>
        <v>1</v>
      </c>
      <c r="O123" s="36">
        <f>IFERROR(VLOOKUP($F123,bug_conf_sheet!$A:$H,4,FALSE),VLOOKUP("other",bug_conf_sheet!$A:$H,4,FALSE))</f>
        <v>0</v>
      </c>
      <c r="P123" s="36">
        <f>IFERROR(VLOOKUP($F123,bug_conf_sheet!$A:$H,5,FALSE),VLOOKUP("other",bug_conf_sheet!$A:$H,5,FALSE))</f>
        <v>0</v>
      </c>
      <c r="Q123" s="36">
        <f>IFERROR(VLOOKUP($F123,bug_conf_sheet!$A:$H,6,FALSE),VLOOKUP("other",bug_conf_sheet!$A:$H,6,FALSE))</f>
        <v>0</v>
      </c>
      <c r="R123" s="36">
        <f>IFERROR(VLOOKUP($F123,bug_conf_sheet!$A:$H,7,FALSE),VLOOKUP("other",bug_conf_sheet!$A:$H,7,FALSE))</f>
        <v>0</v>
      </c>
      <c r="S123" s="36">
        <f>IFERROR(VLOOKUP($F123,bug_conf_sheet!$A:$H,8,FALSE),VLOOKUP("other",bug_conf_sheet!$A:$H,8,FALSE))</f>
        <v>1</v>
      </c>
    </row>
    <row r="124" spans="1:19" ht="21" customHeight="1">
      <c r="A124" s="7" t="str">
        <f t="shared" si="7"/>
        <v>1710442</v>
      </c>
      <c r="B124" s="2" t="str">
        <f t="shared" si="9"/>
        <v>1710</v>
      </c>
      <c r="C124" s="8" t="str">
        <f t="shared" si="8"/>
        <v>0PremiumSS4</v>
      </c>
      <c r="D124" s="8" t="str">
        <f t="shared" si="10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2">
        <f>VLOOKUP(D124,gacha_171_base!A:B,2,FALSE)</f>
        <v>1464</v>
      </c>
      <c r="N124" s="36">
        <f>IFERROR(VLOOKUP($F124,bug_conf_sheet!$A:$H,3,FALSE),VLOOKUP("other",bug_conf_sheet!$A:$H,3,FALSE))</f>
        <v>1</v>
      </c>
      <c r="O124" s="36">
        <f>IFERROR(VLOOKUP($F124,bug_conf_sheet!$A:$H,4,FALSE),VLOOKUP("other",bug_conf_sheet!$A:$H,4,FALSE))</f>
        <v>0</v>
      </c>
      <c r="P124" s="36">
        <f>IFERROR(VLOOKUP($F124,bug_conf_sheet!$A:$H,5,FALSE),VLOOKUP("other",bug_conf_sheet!$A:$H,5,FALSE))</f>
        <v>0</v>
      </c>
      <c r="Q124" s="36">
        <f>IFERROR(VLOOKUP($F124,bug_conf_sheet!$A:$H,6,FALSE),VLOOKUP("other",bug_conf_sheet!$A:$H,6,FALSE))</f>
        <v>0</v>
      </c>
      <c r="R124" s="36">
        <f>IFERROR(VLOOKUP($F124,bug_conf_sheet!$A:$H,7,FALSE),VLOOKUP("other",bug_conf_sheet!$A:$H,7,FALSE))</f>
        <v>0</v>
      </c>
      <c r="S124" s="36">
        <f>IFERROR(VLOOKUP($F124,bug_conf_sheet!$A:$H,8,FALSE),VLOOKUP("other",bug_conf_sheet!$A:$H,8,FALSE))</f>
        <v>1</v>
      </c>
    </row>
    <row r="125" spans="1:19" ht="21" customHeight="1">
      <c r="A125" s="7" t="str">
        <f t="shared" si="7"/>
        <v>1710443</v>
      </c>
      <c r="B125" s="2" t="str">
        <f t="shared" si="9"/>
        <v>1710</v>
      </c>
      <c r="C125" s="8" t="str">
        <f t="shared" si="8"/>
        <v>0PremiumSS5</v>
      </c>
      <c r="D125" s="8" t="str">
        <f t="shared" si="10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2">
        <f>VLOOKUP(D125,gacha_171_base!A:B,2,FALSE)</f>
        <v>93</v>
      </c>
      <c r="N125" s="36">
        <f>IFERROR(VLOOKUP($F125,bug_conf_sheet!$A:$H,3,FALSE),VLOOKUP("other",bug_conf_sheet!$A:$H,3,FALSE))</f>
        <v>1</v>
      </c>
      <c r="O125" s="36">
        <f>IFERROR(VLOOKUP($F125,bug_conf_sheet!$A:$H,4,FALSE),VLOOKUP("other",bug_conf_sheet!$A:$H,4,FALSE))</f>
        <v>0</v>
      </c>
      <c r="P125" s="36">
        <f>IFERROR(VLOOKUP($F125,bug_conf_sheet!$A:$H,5,FALSE),VLOOKUP("other",bug_conf_sheet!$A:$H,5,FALSE))</f>
        <v>0</v>
      </c>
      <c r="Q125" s="36">
        <f>IFERROR(VLOOKUP($F125,bug_conf_sheet!$A:$H,6,FALSE),VLOOKUP("other",bug_conf_sheet!$A:$H,6,FALSE))</f>
        <v>0</v>
      </c>
      <c r="R125" s="36">
        <f>IFERROR(VLOOKUP($F125,bug_conf_sheet!$A:$H,7,FALSE),VLOOKUP("other",bug_conf_sheet!$A:$H,7,FALSE))</f>
        <v>0</v>
      </c>
      <c r="S125" s="36">
        <f>IFERROR(VLOOKUP($F125,bug_conf_sheet!$A:$H,8,FALSE),VLOOKUP("other",bug_conf_sheet!$A:$H,8,FALSE))</f>
        <v>1</v>
      </c>
    </row>
    <row r="126" spans="1:19" ht="21" customHeight="1">
      <c r="A126" s="7" t="str">
        <f t="shared" si="7"/>
        <v>1710463</v>
      </c>
      <c r="B126" s="2" t="str">
        <f t="shared" si="9"/>
        <v>1710</v>
      </c>
      <c r="C126" s="8" t="str">
        <f t="shared" si="8"/>
        <v>0PremiumS4</v>
      </c>
      <c r="D126" s="8" t="str">
        <f t="shared" si="10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2">
        <f>VLOOKUP(D126,gacha_171_base!A:B,2,FALSE)</f>
        <v>12141</v>
      </c>
      <c r="N126" s="36">
        <f>IFERROR(VLOOKUP($F126,bug_conf_sheet!$A:$H,3,FALSE),VLOOKUP("other",bug_conf_sheet!$A:$H,3,FALSE))</f>
        <v>1</v>
      </c>
      <c r="O126" s="36">
        <f>IFERROR(VLOOKUP($F126,bug_conf_sheet!$A:$H,4,FALSE),VLOOKUP("other",bug_conf_sheet!$A:$H,4,FALSE))</f>
        <v>0</v>
      </c>
      <c r="P126" s="36">
        <f>IFERROR(VLOOKUP($F126,bug_conf_sheet!$A:$H,5,FALSE),VLOOKUP("other",bug_conf_sheet!$A:$H,5,FALSE))</f>
        <v>0</v>
      </c>
      <c r="Q126" s="36">
        <f>IFERROR(VLOOKUP($F126,bug_conf_sheet!$A:$H,6,FALSE),VLOOKUP("other",bug_conf_sheet!$A:$H,6,FALSE))</f>
        <v>0</v>
      </c>
      <c r="R126" s="36">
        <f>IFERROR(VLOOKUP($F126,bug_conf_sheet!$A:$H,7,FALSE),VLOOKUP("other",bug_conf_sheet!$A:$H,7,FALSE))</f>
        <v>0</v>
      </c>
      <c r="S126" s="36">
        <f>IFERROR(VLOOKUP($F126,bug_conf_sheet!$A:$H,8,FALSE),VLOOKUP("other",bug_conf_sheet!$A:$H,8,FALSE))</f>
        <v>1</v>
      </c>
    </row>
    <row r="127" spans="1:19" ht="21" customHeight="1">
      <c r="A127" s="7" t="str">
        <f t="shared" si="7"/>
        <v>1710464</v>
      </c>
      <c r="B127" s="2" t="str">
        <f t="shared" si="9"/>
        <v>1710</v>
      </c>
      <c r="C127" s="8" t="str">
        <f t="shared" si="8"/>
        <v>0PremiumS5</v>
      </c>
      <c r="D127" s="8" t="str">
        <f t="shared" si="10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2">
        <f>VLOOKUP(D127,gacha_171_base!A:B,2,FALSE)</f>
        <v>775</v>
      </c>
      <c r="N127" s="36">
        <f>IFERROR(VLOOKUP($F127,bug_conf_sheet!$A:$H,3,FALSE),VLOOKUP("other",bug_conf_sheet!$A:$H,3,FALSE))</f>
        <v>1</v>
      </c>
      <c r="O127" s="36">
        <f>IFERROR(VLOOKUP($F127,bug_conf_sheet!$A:$H,4,FALSE),VLOOKUP("other",bug_conf_sheet!$A:$H,4,FALSE))</f>
        <v>0</v>
      </c>
      <c r="P127" s="36">
        <f>IFERROR(VLOOKUP($F127,bug_conf_sheet!$A:$H,5,FALSE),VLOOKUP("other",bug_conf_sheet!$A:$H,5,FALSE))</f>
        <v>0</v>
      </c>
      <c r="Q127" s="36">
        <f>IFERROR(VLOOKUP($F127,bug_conf_sheet!$A:$H,6,FALSE),VLOOKUP("other",bug_conf_sheet!$A:$H,6,FALSE))</f>
        <v>0</v>
      </c>
      <c r="R127" s="36">
        <f>IFERROR(VLOOKUP($F127,bug_conf_sheet!$A:$H,7,FALSE),VLOOKUP("other",bug_conf_sheet!$A:$H,7,FALSE))</f>
        <v>0</v>
      </c>
      <c r="S127" s="36">
        <f>IFERROR(VLOOKUP($F127,bug_conf_sheet!$A:$H,8,FALSE),VLOOKUP("other",bug_conf_sheet!$A:$H,8,FALSE))</f>
        <v>1</v>
      </c>
    </row>
    <row r="128" spans="1:19" ht="21" customHeight="1">
      <c r="A128" s="7" t="str">
        <f t="shared" si="7"/>
        <v>1710465</v>
      </c>
      <c r="B128" s="2" t="str">
        <f t="shared" si="9"/>
        <v>1710</v>
      </c>
      <c r="C128" s="8" t="str">
        <f t="shared" si="8"/>
        <v>0PremiumSS4</v>
      </c>
      <c r="D128" s="8" t="str">
        <f t="shared" si="10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2">
        <f>VLOOKUP(D128,gacha_171_base!A:B,2,FALSE)</f>
        <v>1464</v>
      </c>
      <c r="N128" s="36">
        <f>IFERROR(VLOOKUP($F128,bug_conf_sheet!$A:$H,3,FALSE),VLOOKUP("other",bug_conf_sheet!$A:$H,3,FALSE))</f>
        <v>1</v>
      </c>
      <c r="O128" s="36">
        <f>IFERROR(VLOOKUP($F128,bug_conf_sheet!$A:$H,4,FALSE),VLOOKUP("other",bug_conf_sheet!$A:$H,4,FALSE))</f>
        <v>0</v>
      </c>
      <c r="P128" s="36">
        <f>IFERROR(VLOOKUP($F128,bug_conf_sheet!$A:$H,5,FALSE),VLOOKUP("other",bug_conf_sheet!$A:$H,5,FALSE))</f>
        <v>0</v>
      </c>
      <c r="Q128" s="36">
        <f>IFERROR(VLOOKUP($F128,bug_conf_sheet!$A:$H,6,FALSE),VLOOKUP("other",bug_conf_sheet!$A:$H,6,FALSE))</f>
        <v>0</v>
      </c>
      <c r="R128" s="36">
        <f>IFERROR(VLOOKUP($F128,bug_conf_sheet!$A:$H,7,FALSE),VLOOKUP("other",bug_conf_sheet!$A:$H,7,FALSE))</f>
        <v>0</v>
      </c>
      <c r="S128" s="36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11">B129&amp;F129</f>
        <v>1710466</v>
      </c>
      <c r="B129" s="2" t="str">
        <f t="shared" si="9"/>
        <v>1710</v>
      </c>
      <c r="C129" s="8" t="str">
        <f t="shared" si="8"/>
        <v>0PremiumSS5</v>
      </c>
      <c r="D129" s="8" t="str">
        <f t="shared" si="10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2">
        <f>VLOOKUP(D129,gacha_171_base!A:B,2,FALSE)</f>
        <v>93</v>
      </c>
      <c r="N129" s="36">
        <f>IFERROR(VLOOKUP($F129,bug_conf_sheet!$A:$H,3,FALSE),VLOOKUP("other",bug_conf_sheet!$A:$H,3,FALSE))</f>
        <v>1</v>
      </c>
      <c r="O129" s="36">
        <f>IFERROR(VLOOKUP($F129,bug_conf_sheet!$A:$H,4,FALSE),VLOOKUP("other",bug_conf_sheet!$A:$H,4,FALSE))</f>
        <v>0</v>
      </c>
      <c r="P129" s="36">
        <f>IFERROR(VLOOKUP($F129,bug_conf_sheet!$A:$H,5,FALSE),VLOOKUP("other",bug_conf_sheet!$A:$H,5,FALSE))</f>
        <v>0</v>
      </c>
      <c r="Q129" s="36">
        <f>IFERROR(VLOOKUP($F129,bug_conf_sheet!$A:$H,6,FALSE),VLOOKUP("other",bug_conf_sheet!$A:$H,6,FALSE))</f>
        <v>0</v>
      </c>
      <c r="R129" s="36">
        <f>IFERROR(VLOOKUP($F129,bug_conf_sheet!$A:$H,7,FALSE),VLOOKUP("other",bug_conf_sheet!$A:$H,7,FALSE))</f>
        <v>0</v>
      </c>
      <c r="S129" s="36">
        <f>IFERROR(VLOOKUP($F129,bug_conf_sheet!$A:$H,8,FALSE),VLOOKUP("other",bug_conf_sheet!$A:$H,8,FALSE))</f>
        <v>1</v>
      </c>
    </row>
    <row r="130" spans="1:19" ht="21" customHeight="1">
      <c r="A130" s="7" t="str">
        <f t="shared" si="11"/>
        <v>1710467</v>
      </c>
      <c r="B130" s="2" t="str">
        <f t="shared" si="9"/>
        <v>1710</v>
      </c>
      <c r="C130" s="8" t="str">
        <f t="shared" si="8"/>
        <v>0PremiumSS4</v>
      </c>
      <c r="D130" s="8" t="str">
        <f t="shared" si="10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2">
        <f>VLOOKUP(D130,gacha_171_base!A:B,2,FALSE)</f>
        <v>1464</v>
      </c>
      <c r="N130" s="36">
        <f>IFERROR(VLOOKUP($F130,bug_conf_sheet!$A:$H,3,FALSE),VLOOKUP("other",bug_conf_sheet!$A:$H,3,FALSE))</f>
        <v>1</v>
      </c>
      <c r="O130" s="36">
        <f>IFERROR(VLOOKUP($F130,bug_conf_sheet!$A:$H,4,FALSE),VLOOKUP("other",bug_conf_sheet!$A:$H,4,FALSE))</f>
        <v>0</v>
      </c>
      <c r="P130" s="36">
        <f>IFERROR(VLOOKUP($F130,bug_conf_sheet!$A:$H,5,FALSE),VLOOKUP("other",bug_conf_sheet!$A:$H,5,FALSE))</f>
        <v>0</v>
      </c>
      <c r="Q130" s="36">
        <f>IFERROR(VLOOKUP($F130,bug_conf_sheet!$A:$H,6,FALSE),VLOOKUP("other",bug_conf_sheet!$A:$H,6,FALSE))</f>
        <v>0</v>
      </c>
      <c r="R130" s="36">
        <f>IFERROR(VLOOKUP($F130,bug_conf_sheet!$A:$H,7,FALSE),VLOOKUP("other",bug_conf_sheet!$A:$H,7,FALSE))</f>
        <v>0</v>
      </c>
      <c r="S130" s="36">
        <f>IFERROR(VLOOKUP($F130,bug_conf_sheet!$A:$H,8,FALSE),VLOOKUP("other",bug_conf_sheet!$A:$H,8,FALSE))</f>
        <v>1</v>
      </c>
    </row>
    <row r="131" spans="1:19" ht="21" customHeight="1">
      <c r="A131" s="7" t="str">
        <f t="shared" si="11"/>
        <v>1710468</v>
      </c>
      <c r="B131" s="2" t="str">
        <f t="shared" si="9"/>
        <v>1710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2">
        <f>VLOOKUP(D131,gacha_171_base!A:B,2,FALSE)</f>
        <v>93</v>
      </c>
      <c r="N131" s="36">
        <f>IFERROR(VLOOKUP($F131,bug_conf_sheet!$A:$H,3,FALSE),VLOOKUP("other",bug_conf_sheet!$A:$H,3,FALSE))</f>
        <v>1</v>
      </c>
      <c r="O131" s="36">
        <f>IFERROR(VLOOKUP($F131,bug_conf_sheet!$A:$H,4,FALSE),VLOOKUP("other",bug_conf_sheet!$A:$H,4,FALSE))</f>
        <v>0</v>
      </c>
      <c r="P131" s="36">
        <f>IFERROR(VLOOKUP($F131,bug_conf_sheet!$A:$H,5,FALSE),VLOOKUP("other",bug_conf_sheet!$A:$H,5,FALSE))</f>
        <v>0</v>
      </c>
      <c r="Q131" s="36">
        <f>IFERROR(VLOOKUP($F131,bug_conf_sheet!$A:$H,6,FALSE),VLOOKUP("other",bug_conf_sheet!$A:$H,6,FALSE))</f>
        <v>0</v>
      </c>
      <c r="R131" s="36">
        <f>IFERROR(VLOOKUP($F131,bug_conf_sheet!$A:$H,7,FALSE),VLOOKUP("other",bug_conf_sheet!$A:$H,7,FALSE))</f>
        <v>0</v>
      </c>
      <c r="S131" s="36">
        <f>IFERROR(VLOOKUP($F131,bug_conf_sheet!$A:$H,8,FALSE),VLOOKUP("other",bug_conf_sheet!$A:$H,8,FALSE))</f>
        <v>1</v>
      </c>
    </row>
    <row r="132" spans="1:19" ht="21" customHeight="1">
      <c r="A132" s="7" t="str">
        <f t="shared" si="11"/>
        <v>1710470</v>
      </c>
      <c r="B132" s="2" t="str">
        <f t="shared" si="9"/>
        <v>1710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2">
        <f>VLOOKUP(D132,gacha_171_base!A:B,2,FALSE)</f>
        <v>12141</v>
      </c>
      <c r="N132" s="36">
        <f>IFERROR(VLOOKUP($F132,bug_conf_sheet!$A:$H,3,FALSE),VLOOKUP("other",bug_conf_sheet!$A:$H,3,FALSE))</f>
        <v>1</v>
      </c>
      <c r="O132" s="36">
        <f>IFERROR(VLOOKUP($F132,bug_conf_sheet!$A:$H,4,FALSE),VLOOKUP("other",bug_conf_sheet!$A:$H,4,FALSE))</f>
        <v>0</v>
      </c>
      <c r="P132" s="36">
        <f>IFERROR(VLOOKUP($F132,bug_conf_sheet!$A:$H,5,FALSE),VLOOKUP("other",bug_conf_sheet!$A:$H,5,FALSE))</f>
        <v>0</v>
      </c>
      <c r="Q132" s="36">
        <f>IFERROR(VLOOKUP($F132,bug_conf_sheet!$A:$H,6,FALSE),VLOOKUP("other",bug_conf_sheet!$A:$H,6,FALSE))</f>
        <v>0</v>
      </c>
      <c r="R132" s="36">
        <f>IFERROR(VLOOKUP($F132,bug_conf_sheet!$A:$H,7,FALSE),VLOOKUP("other",bug_conf_sheet!$A:$H,7,FALSE))</f>
        <v>0</v>
      </c>
      <c r="S132" s="36">
        <f>IFERROR(VLOOKUP($F132,bug_conf_sheet!$A:$H,8,FALSE),VLOOKUP("other",bug_conf_sheet!$A:$H,8,FALSE))</f>
        <v>1</v>
      </c>
    </row>
    <row r="133" spans="1:19" ht="21" customHeight="1">
      <c r="A133" s="7" t="str">
        <f t="shared" si="11"/>
        <v>1710471</v>
      </c>
      <c r="B133" s="2" t="str">
        <f t="shared" si="9"/>
        <v>1710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2">
        <f>VLOOKUP(D133,gacha_171_base!A:B,2,FALSE)</f>
        <v>775</v>
      </c>
      <c r="N133" s="36">
        <f>IFERROR(VLOOKUP($F133,bug_conf_sheet!$A:$H,3,FALSE),VLOOKUP("other",bug_conf_sheet!$A:$H,3,FALSE))</f>
        <v>1</v>
      </c>
      <c r="O133" s="36">
        <f>IFERROR(VLOOKUP($F133,bug_conf_sheet!$A:$H,4,FALSE),VLOOKUP("other",bug_conf_sheet!$A:$H,4,FALSE))</f>
        <v>0</v>
      </c>
      <c r="P133" s="36">
        <f>IFERROR(VLOOKUP($F133,bug_conf_sheet!$A:$H,5,FALSE),VLOOKUP("other",bug_conf_sheet!$A:$H,5,FALSE))</f>
        <v>0</v>
      </c>
      <c r="Q133" s="36">
        <f>IFERROR(VLOOKUP($F133,bug_conf_sheet!$A:$H,6,FALSE),VLOOKUP("other",bug_conf_sheet!$A:$H,6,FALSE))</f>
        <v>0</v>
      </c>
      <c r="R133" s="36">
        <f>IFERROR(VLOOKUP($F133,bug_conf_sheet!$A:$H,7,FALSE),VLOOKUP("other",bug_conf_sheet!$A:$H,7,FALSE))</f>
        <v>0</v>
      </c>
      <c r="S133" s="36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1710474</v>
      </c>
      <c r="B134" s="2" t="str">
        <f t="shared" si="9"/>
        <v>1710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2">
        <f>VLOOKUP(D134,gacha_171_base!A:B,2,FALSE)</f>
        <v>1464</v>
      </c>
      <c r="N134" s="36">
        <f>IFERROR(VLOOKUP($F134,bug_conf_sheet!$A:$H,3,FALSE),VLOOKUP("other",bug_conf_sheet!$A:$H,3,FALSE))</f>
        <v>1</v>
      </c>
      <c r="O134" s="36">
        <f>IFERROR(VLOOKUP($F134,bug_conf_sheet!$A:$H,4,FALSE),VLOOKUP("other",bug_conf_sheet!$A:$H,4,FALSE))</f>
        <v>0</v>
      </c>
      <c r="P134" s="36">
        <f>IFERROR(VLOOKUP($F134,bug_conf_sheet!$A:$H,5,FALSE),VLOOKUP("other",bug_conf_sheet!$A:$H,5,FALSE))</f>
        <v>0</v>
      </c>
      <c r="Q134" s="36">
        <f>IFERROR(VLOOKUP($F134,bug_conf_sheet!$A:$H,6,FALSE),VLOOKUP("other",bug_conf_sheet!$A:$H,6,FALSE))</f>
        <v>0</v>
      </c>
      <c r="R134" s="36">
        <f>IFERROR(VLOOKUP($F134,bug_conf_sheet!$A:$H,7,FALSE),VLOOKUP("other",bug_conf_sheet!$A:$H,7,FALSE))</f>
        <v>0</v>
      </c>
      <c r="S134" s="36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1710475</v>
      </c>
      <c r="B135" s="2" t="str">
        <f t="shared" si="9"/>
        <v>1710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2">
        <f>VLOOKUP(D135,gacha_171_base!A:B,2,FALSE)</f>
        <v>93</v>
      </c>
      <c r="N135" s="36">
        <f>IFERROR(VLOOKUP($F135,bug_conf_sheet!$A:$H,3,FALSE),VLOOKUP("other",bug_conf_sheet!$A:$H,3,FALSE))</f>
        <v>1</v>
      </c>
      <c r="O135" s="36">
        <f>IFERROR(VLOOKUP($F135,bug_conf_sheet!$A:$H,4,FALSE),VLOOKUP("other",bug_conf_sheet!$A:$H,4,FALSE))</f>
        <v>0</v>
      </c>
      <c r="P135" s="36">
        <f>IFERROR(VLOOKUP($F135,bug_conf_sheet!$A:$H,5,FALSE),VLOOKUP("other",bug_conf_sheet!$A:$H,5,FALSE))</f>
        <v>0</v>
      </c>
      <c r="Q135" s="36">
        <f>IFERROR(VLOOKUP($F135,bug_conf_sheet!$A:$H,6,FALSE),VLOOKUP("other",bug_conf_sheet!$A:$H,6,FALSE))</f>
        <v>0</v>
      </c>
      <c r="R135" s="36">
        <f>IFERROR(VLOOKUP($F135,bug_conf_sheet!$A:$H,7,FALSE),VLOOKUP("other",bug_conf_sheet!$A:$H,7,FALSE))</f>
        <v>0</v>
      </c>
      <c r="S135" s="36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1710477</v>
      </c>
      <c r="B136" s="2" t="str">
        <f t="shared" si="9"/>
        <v>1710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2">
        <f>VLOOKUP(D136,gacha_171_base!A:B,2,FALSE)</f>
        <v>12141</v>
      </c>
      <c r="N136" s="36">
        <f>IFERROR(VLOOKUP($F136,bug_conf_sheet!$A:$H,3,FALSE),VLOOKUP("other",bug_conf_sheet!$A:$H,3,FALSE))</f>
        <v>1</v>
      </c>
      <c r="O136" s="36">
        <f>IFERROR(VLOOKUP($F136,bug_conf_sheet!$A:$H,4,FALSE),VLOOKUP("other",bug_conf_sheet!$A:$H,4,FALSE))</f>
        <v>0</v>
      </c>
      <c r="P136" s="36">
        <f>IFERROR(VLOOKUP($F136,bug_conf_sheet!$A:$H,5,FALSE),VLOOKUP("other",bug_conf_sheet!$A:$H,5,FALSE))</f>
        <v>0</v>
      </c>
      <c r="Q136" s="36">
        <f>IFERROR(VLOOKUP($F136,bug_conf_sheet!$A:$H,6,FALSE),VLOOKUP("other",bug_conf_sheet!$A:$H,6,FALSE))</f>
        <v>0</v>
      </c>
      <c r="R136" s="36">
        <f>IFERROR(VLOOKUP($F136,bug_conf_sheet!$A:$H,7,FALSE),VLOOKUP("other",bug_conf_sheet!$A:$H,7,FALSE))</f>
        <v>0</v>
      </c>
      <c r="S136" s="36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1710478</v>
      </c>
      <c r="B137" s="2" t="str">
        <f t="shared" si="9"/>
        <v>1710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2">
        <f>VLOOKUP(D137,gacha_171_base!A:B,2,FALSE)</f>
        <v>775</v>
      </c>
      <c r="N137" s="36">
        <f>IFERROR(VLOOKUP($F137,bug_conf_sheet!$A:$H,3,FALSE),VLOOKUP("other",bug_conf_sheet!$A:$H,3,FALSE))</f>
        <v>1</v>
      </c>
      <c r="O137" s="36">
        <f>IFERROR(VLOOKUP($F137,bug_conf_sheet!$A:$H,4,FALSE),VLOOKUP("other",bug_conf_sheet!$A:$H,4,FALSE))</f>
        <v>0</v>
      </c>
      <c r="P137" s="36">
        <f>IFERROR(VLOOKUP($F137,bug_conf_sheet!$A:$H,5,FALSE),VLOOKUP("other",bug_conf_sheet!$A:$H,5,FALSE))</f>
        <v>0</v>
      </c>
      <c r="Q137" s="36">
        <f>IFERROR(VLOOKUP($F137,bug_conf_sheet!$A:$H,6,FALSE),VLOOKUP("other",bug_conf_sheet!$A:$H,6,FALSE))</f>
        <v>0</v>
      </c>
      <c r="R137" s="36">
        <f>IFERROR(VLOOKUP($F137,bug_conf_sheet!$A:$H,7,FALSE),VLOOKUP("other",bug_conf_sheet!$A:$H,7,FALSE))</f>
        <v>0</v>
      </c>
      <c r="S137" s="36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1710479</v>
      </c>
      <c r="B138" s="2" t="str">
        <f t="shared" si="9"/>
        <v>1710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2">
        <f>VLOOKUP(D138,gacha_171_base!A:B,2,FALSE)</f>
        <v>1464</v>
      </c>
      <c r="N138" s="36">
        <f>IFERROR(VLOOKUP($F138,bug_conf_sheet!$A:$H,3,FALSE),VLOOKUP("other",bug_conf_sheet!$A:$H,3,FALSE))</f>
        <v>1</v>
      </c>
      <c r="O138" s="36">
        <f>IFERROR(VLOOKUP($F138,bug_conf_sheet!$A:$H,4,FALSE),VLOOKUP("other",bug_conf_sheet!$A:$H,4,FALSE))</f>
        <v>0</v>
      </c>
      <c r="P138" s="36">
        <f>IFERROR(VLOOKUP($F138,bug_conf_sheet!$A:$H,5,FALSE),VLOOKUP("other",bug_conf_sheet!$A:$H,5,FALSE))</f>
        <v>0</v>
      </c>
      <c r="Q138" s="36">
        <f>IFERROR(VLOOKUP($F138,bug_conf_sheet!$A:$H,6,FALSE),VLOOKUP("other",bug_conf_sheet!$A:$H,6,FALSE))</f>
        <v>0</v>
      </c>
      <c r="R138" s="36">
        <f>IFERROR(VLOOKUP($F138,bug_conf_sheet!$A:$H,7,FALSE),VLOOKUP("other",bug_conf_sheet!$A:$H,7,FALSE))</f>
        <v>0</v>
      </c>
      <c r="S138" s="36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1710480</v>
      </c>
      <c r="B139" s="2" t="str">
        <f t="shared" si="9"/>
        <v>1710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2">
        <f>VLOOKUP(D139,gacha_171_base!A:B,2,FALSE)</f>
        <v>93</v>
      </c>
      <c r="N139" s="36">
        <f>IFERROR(VLOOKUP($F139,bug_conf_sheet!$A:$H,3,FALSE),VLOOKUP("other",bug_conf_sheet!$A:$H,3,FALSE))</f>
        <v>1</v>
      </c>
      <c r="O139" s="36">
        <f>IFERROR(VLOOKUP($F139,bug_conf_sheet!$A:$H,4,FALSE),VLOOKUP("other",bug_conf_sheet!$A:$H,4,FALSE))</f>
        <v>0</v>
      </c>
      <c r="P139" s="36">
        <f>IFERROR(VLOOKUP($F139,bug_conf_sheet!$A:$H,5,FALSE),VLOOKUP("other",bug_conf_sheet!$A:$H,5,FALSE))</f>
        <v>0</v>
      </c>
      <c r="Q139" s="36">
        <f>IFERROR(VLOOKUP($F139,bug_conf_sheet!$A:$H,6,FALSE),VLOOKUP("other",bug_conf_sheet!$A:$H,6,FALSE))</f>
        <v>0</v>
      </c>
      <c r="R139" s="36">
        <f>IFERROR(VLOOKUP($F139,bug_conf_sheet!$A:$H,7,FALSE),VLOOKUP("other",bug_conf_sheet!$A:$H,7,FALSE))</f>
        <v>0</v>
      </c>
      <c r="S139" s="36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1710482</v>
      </c>
      <c r="B140" s="2" t="str">
        <f t="shared" si="9"/>
        <v>1710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2">
        <f>VLOOKUP(D140,gacha_171_base!A:B,2,FALSE)</f>
        <v>12141</v>
      </c>
      <c r="N140" s="36">
        <f>IFERROR(VLOOKUP($F140,bug_conf_sheet!$A:$H,3,FALSE),VLOOKUP("other",bug_conf_sheet!$A:$H,3,FALSE))</f>
        <v>1</v>
      </c>
      <c r="O140" s="36">
        <f>IFERROR(VLOOKUP($F140,bug_conf_sheet!$A:$H,4,FALSE),VLOOKUP("other",bug_conf_sheet!$A:$H,4,FALSE))</f>
        <v>0</v>
      </c>
      <c r="P140" s="36">
        <f>IFERROR(VLOOKUP($F140,bug_conf_sheet!$A:$H,5,FALSE),VLOOKUP("other",bug_conf_sheet!$A:$H,5,FALSE))</f>
        <v>0</v>
      </c>
      <c r="Q140" s="36">
        <f>IFERROR(VLOOKUP($F140,bug_conf_sheet!$A:$H,6,FALSE),VLOOKUP("other",bug_conf_sheet!$A:$H,6,FALSE))</f>
        <v>0</v>
      </c>
      <c r="R140" s="36">
        <f>IFERROR(VLOOKUP($F140,bug_conf_sheet!$A:$H,7,FALSE),VLOOKUP("other",bug_conf_sheet!$A:$H,7,FALSE))</f>
        <v>0</v>
      </c>
      <c r="S140" s="36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1710483</v>
      </c>
      <c r="B141" s="2" t="str">
        <f t="shared" si="9"/>
        <v>1710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2">
        <f>VLOOKUP(D141,gacha_171_base!A:B,2,FALSE)</f>
        <v>775</v>
      </c>
      <c r="N141" s="36">
        <f>IFERROR(VLOOKUP($F141,bug_conf_sheet!$A:$H,3,FALSE),VLOOKUP("other",bug_conf_sheet!$A:$H,3,FALSE))</f>
        <v>1</v>
      </c>
      <c r="O141" s="36">
        <f>IFERROR(VLOOKUP($F141,bug_conf_sheet!$A:$H,4,FALSE),VLOOKUP("other",bug_conf_sheet!$A:$H,4,FALSE))</f>
        <v>0</v>
      </c>
      <c r="P141" s="36">
        <f>IFERROR(VLOOKUP($F141,bug_conf_sheet!$A:$H,5,FALSE),VLOOKUP("other",bug_conf_sheet!$A:$H,5,FALSE))</f>
        <v>0</v>
      </c>
      <c r="Q141" s="36">
        <f>IFERROR(VLOOKUP($F141,bug_conf_sheet!$A:$H,6,FALSE),VLOOKUP("other",bug_conf_sheet!$A:$H,6,FALSE))</f>
        <v>0</v>
      </c>
      <c r="R141" s="36">
        <f>IFERROR(VLOOKUP($F141,bug_conf_sheet!$A:$H,7,FALSE),VLOOKUP("other",bug_conf_sheet!$A:$H,7,FALSE))</f>
        <v>0</v>
      </c>
      <c r="S141" s="36">
        <f>IFERROR(VLOOKUP($F141,bug_conf_sheet!$A:$H,8,FALSE),VLOOKUP("other",bug_conf_sheet!$A:$H,8,FALSE))</f>
        <v>1</v>
      </c>
    </row>
    <row r="142" spans="1:19" ht="21" customHeight="1">
      <c r="A142" s="7" t="str">
        <f t="shared" ref="A142:A149" si="15">B142&amp;F142</f>
        <v>1710492</v>
      </c>
      <c r="B142" s="2" t="str">
        <f t="shared" si="9"/>
        <v>1710</v>
      </c>
      <c r="C142" s="8" t="str">
        <f t="shared" ref="C142:C149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2">
        <f>VLOOKUP(D142,gacha_171_base!A:B,2,FALSE)</f>
        <v>1464</v>
      </c>
      <c r="N142" s="36">
        <f>IFERROR(VLOOKUP($F142,bug_conf_sheet!$A:$H,3,FALSE),VLOOKUP("other",bug_conf_sheet!$A:$H,3,FALSE))</f>
        <v>1</v>
      </c>
      <c r="O142" s="36">
        <f>IFERROR(VLOOKUP($F142,bug_conf_sheet!$A:$H,4,FALSE),VLOOKUP("other",bug_conf_sheet!$A:$H,4,FALSE))</f>
        <v>0</v>
      </c>
      <c r="P142" s="36">
        <f>IFERROR(VLOOKUP($F142,bug_conf_sheet!$A:$H,5,FALSE),VLOOKUP("other",bug_conf_sheet!$A:$H,5,FALSE))</f>
        <v>0</v>
      </c>
      <c r="Q142" s="36">
        <f>IFERROR(VLOOKUP($F142,bug_conf_sheet!$A:$H,6,FALSE),VLOOKUP("other",bug_conf_sheet!$A:$H,6,FALSE))</f>
        <v>0</v>
      </c>
      <c r="R142" s="36">
        <f>IFERROR(VLOOKUP($F142,bug_conf_sheet!$A:$H,7,FALSE),VLOOKUP("other",bug_conf_sheet!$A:$H,7,FALSE))</f>
        <v>0</v>
      </c>
      <c r="S142" s="36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1710493</v>
      </c>
      <c r="B143" s="2" t="str">
        <f t="shared" si="9"/>
        <v>1710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2">
        <f>VLOOKUP(D143,gacha_171_base!A:B,2,FALSE)</f>
        <v>93</v>
      </c>
      <c r="N143" s="36">
        <f>IFERROR(VLOOKUP($F143,bug_conf_sheet!$A:$H,3,FALSE),VLOOKUP("other",bug_conf_sheet!$A:$H,3,FALSE))</f>
        <v>1</v>
      </c>
      <c r="O143" s="36">
        <f>IFERROR(VLOOKUP($F143,bug_conf_sheet!$A:$H,4,FALSE),VLOOKUP("other",bug_conf_sheet!$A:$H,4,FALSE))</f>
        <v>0</v>
      </c>
      <c r="P143" s="36">
        <f>IFERROR(VLOOKUP($F143,bug_conf_sheet!$A:$H,5,FALSE),VLOOKUP("other",bug_conf_sheet!$A:$H,5,FALSE))</f>
        <v>0</v>
      </c>
      <c r="Q143" s="36">
        <f>IFERROR(VLOOKUP($F143,bug_conf_sheet!$A:$H,6,FALSE),VLOOKUP("other",bug_conf_sheet!$A:$H,6,FALSE))</f>
        <v>0</v>
      </c>
      <c r="R143" s="36">
        <f>IFERROR(VLOOKUP($F143,bug_conf_sheet!$A:$H,7,FALSE),VLOOKUP("other",bug_conf_sheet!$A:$H,7,FALSE))</f>
        <v>0</v>
      </c>
      <c r="S143" s="36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1710494</v>
      </c>
      <c r="B144" s="2" t="str">
        <f t="shared" si="9"/>
        <v>1710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2">
        <f>VLOOKUP(D144,gacha_171_base!A:B,2,FALSE)</f>
        <v>1464</v>
      </c>
      <c r="N144" s="36">
        <f>IFERROR(VLOOKUP($F144,bug_conf_sheet!$A:$H,3,FALSE),VLOOKUP("other",bug_conf_sheet!$A:$H,3,FALSE))</f>
        <v>1</v>
      </c>
      <c r="O144" s="36">
        <f>IFERROR(VLOOKUP($F144,bug_conf_sheet!$A:$H,4,FALSE),VLOOKUP("other",bug_conf_sheet!$A:$H,4,FALSE))</f>
        <v>0</v>
      </c>
      <c r="P144" s="36">
        <f>IFERROR(VLOOKUP($F144,bug_conf_sheet!$A:$H,5,FALSE),VLOOKUP("other",bug_conf_sheet!$A:$H,5,FALSE))</f>
        <v>0</v>
      </c>
      <c r="Q144" s="36">
        <f>IFERROR(VLOOKUP($F144,bug_conf_sheet!$A:$H,6,FALSE),VLOOKUP("other",bug_conf_sheet!$A:$H,6,FALSE))</f>
        <v>0</v>
      </c>
      <c r="R144" s="36">
        <f>IFERROR(VLOOKUP($F144,bug_conf_sheet!$A:$H,7,FALSE),VLOOKUP("other",bug_conf_sheet!$A:$H,7,FALSE))</f>
        <v>0</v>
      </c>
      <c r="S144" s="36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1710495</v>
      </c>
      <c r="B145" s="2" t="str">
        <f t="shared" si="9"/>
        <v>1710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2">
        <f>VLOOKUP(D145,gacha_171_base!A:B,2,FALSE)</f>
        <v>93</v>
      </c>
      <c r="N145" s="36">
        <f>IFERROR(VLOOKUP($F145,bug_conf_sheet!$A:$H,3,FALSE),VLOOKUP("other",bug_conf_sheet!$A:$H,3,FALSE))</f>
        <v>1</v>
      </c>
      <c r="O145" s="36">
        <f>IFERROR(VLOOKUP($F145,bug_conf_sheet!$A:$H,4,FALSE),VLOOKUP("other",bug_conf_sheet!$A:$H,4,FALSE))</f>
        <v>0</v>
      </c>
      <c r="P145" s="36">
        <f>IFERROR(VLOOKUP($F145,bug_conf_sheet!$A:$H,5,FALSE),VLOOKUP("other",bug_conf_sheet!$A:$H,5,FALSE))</f>
        <v>0</v>
      </c>
      <c r="Q145" s="36">
        <f>IFERROR(VLOOKUP($F145,bug_conf_sheet!$A:$H,6,FALSE),VLOOKUP("other",bug_conf_sheet!$A:$H,6,FALSE))</f>
        <v>0</v>
      </c>
      <c r="R145" s="36">
        <f>IFERROR(VLOOKUP($F145,bug_conf_sheet!$A:$H,7,FALSE),VLOOKUP("other",bug_conf_sheet!$A:$H,7,FALSE))</f>
        <v>0</v>
      </c>
      <c r="S145" s="36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1710497</v>
      </c>
      <c r="B146" s="2" t="str">
        <f t="shared" si="9"/>
        <v>1710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2">
        <f>VLOOKUP(D146,gacha_171_base!A:B,2,FALSE)</f>
        <v>12141</v>
      </c>
      <c r="N146" s="36">
        <f>IFERROR(VLOOKUP($F146,bug_conf_sheet!$A:$H,3,FALSE),VLOOKUP("other",bug_conf_sheet!$A:$H,3,FALSE))</f>
        <v>1</v>
      </c>
      <c r="O146" s="36">
        <f>IFERROR(VLOOKUP($F146,bug_conf_sheet!$A:$H,4,FALSE),VLOOKUP("other",bug_conf_sheet!$A:$H,4,FALSE))</f>
        <v>0</v>
      </c>
      <c r="P146" s="36">
        <f>IFERROR(VLOOKUP($F146,bug_conf_sheet!$A:$H,5,FALSE),VLOOKUP("other",bug_conf_sheet!$A:$H,5,FALSE))</f>
        <v>0</v>
      </c>
      <c r="Q146" s="36">
        <f>IFERROR(VLOOKUP($F146,bug_conf_sheet!$A:$H,6,FALSE),VLOOKUP("other",bug_conf_sheet!$A:$H,6,FALSE))</f>
        <v>0</v>
      </c>
      <c r="R146" s="36">
        <f>IFERROR(VLOOKUP($F146,bug_conf_sheet!$A:$H,7,FALSE),VLOOKUP("other",bug_conf_sheet!$A:$H,7,FALSE))</f>
        <v>0</v>
      </c>
      <c r="S146" s="36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1710498</v>
      </c>
      <c r="B147" s="2" t="str">
        <f t="shared" si="9"/>
        <v>1710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2">
        <f>VLOOKUP(D147,gacha_171_base!A:B,2,FALSE)</f>
        <v>775</v>
      </c>
      <c r="N147" s="36">
        <f>IFERROR(VLOOKUP($F147,bug_conf_sheet!$A:$H,3,FALSE),VLOOKUP("other",bug_conf_sheet!$A:$H,3,FALSE))</f>
        <v>1</v>
      </c>
      <c r="O147" s="36">
        <f>IFERROR(VLOOKUP($F147,bug_conf_sheet!$A:$H,4,FALSE),VLOOKUP("other",bug_conf_sheet!$A:$H,4,FALSE))</f>
        <v>0</v>
      </c>
      <c r="P147" s="36">
        <f>IFERROR(VLOOKUP($F147,bug_conf_sheet!$A:$H,5,FALSE),VLOOKUP("other",bug_conf_sheet!$A:$H,5,FALSE))</f>
        <v>0</v>
      </c>
      <c r="Q147" s="36">
        <f>IFERROR(VLOOKUP($F147,bug_conf_sheet!$A:$H,6,FALSE),VLOOKUP("other",bug_conf_sheet!$A:$H,6,FALSE))</f>
        <v>0</v>
      </c>
      <c r="R147" s="36">
        <f>IFERROR(VLOOKUP($F147,bug_conf_sheet!$A:$H,7,FALSE),VLOOKUP("other",bug_conf_sheet!$A:$H,7,FALSE))</f>
        <v>0</v>
      </c>
      <c r="S147" s="36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1710499</v>
      </c>
      <c r="B148" s="2" t="str">
        <f t="shared" si="9"/>
        <v>1710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2">
        <f>VLOOKUP(D148,gacha_171_base!A:B,2,FALSE)</f>
        <v>1464</v>
      </c>
      <c r="N148" s="36">
        <f>IFERROR(VLOOKUP($F148,bug_conf_sheet!$A:$H,3,FALSE),VLOOKUP("other",bug_conf_sheet!$A:$H,3,FALSE))</f>
        <v>1</v>
      </c>
      <c r="O148" s="36">
        <f>IFERROR(VLOOKUP($F148,bug_conf_sheet!$A:$H,4,FALSE),VLOOKUP("other",bug_conf_sheet!$A:$H,4,FALSE))</f>
        <v>0</v>
      </c>
      <c r="P148" s="36">
        <f>IFERROR(VLOOKUP($F148,bug_conf_sheet!$A:$H,5,FALSE),VLOOKUP("other",bug_conf_sheet!$A:$H,5,FALSE))</f>
        <v>0</v>
      </c>
      <c r="Q148" s="36">
        <f>IFERROR(VLOOKUP($F148,bug_conf_sheet!$A:$H,6,FALSE),VLOOKUP("other",bug_conf_sheet!$A:$H,6,FALSE))</f>
        <v>0</v>
      </c>
      <c r="R148" s="36">
        <f>IFERROR(VLOOKUP($F148,bug_conf_sheet!$A:$H,7,FALSE),VLOOKUP("other",bug_conf_sheet!$A:$H,7,FALSE))</f>
        <v>0</v>
      </c>
      <c r="S148" s="36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1710500</v>
      </c>
      <c r="B149" s="2" t="str">
        <f t="shared" si="9"/>
        <v>1710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2">
        <f>VLOOKUP(D149,gacha_171_base!A:B,2,FALSE)</f>
        <v>93</v>
      </c>
      <c r="N149" s="36">
        <f>IFERROR(VLOOKUP($F149,bug_conf_sheet!$A:$H,3,FALSE),VLOOKUP("other",bug_conf_sheet!$A:$H,3,FALSE))</f>
        <v>1</v>
      </c>
      <c r="O149" s="36">
        <f>IFERROR(VLOOKUP($F149,bug_conf_sheet!$A:$H,4,FALSE),VLOOKUP("other",bug_conf_sheet!$A:$H,4,FALSE))</f>
        <v>0</v>
      </c>
      <c r="P149" s="36">
        <f>IFERROR(VLOOKUP($F149,bug_conf_sheet!$A:$H,5,FALSE),VLOOKUP("other",bug_conf_sheet!$A:$H,5,FALSE))</f>
        <v>0</v>
      </c>
      <c r="Q149" s="36">
        <f>IFERROR(VLOOKUP($F149,bug_conf_sheet!$A:$H,6,FALSE),VLOOKUP("other",bug_conf_sheet!$A:$H,6,FALSE))</f>
        <v>0</v>
      </c>
      <c r="R149" s="36">
        <f>IFERROR(VLOOKUP($F149,bug_conf_sheet!$A:$H,7,FALSE),VLOOKUP("other",bug_conf_sheet!$A:$H,7,FALSE))</f>
        <v>0</v>
      </c>
      <c r="S149" s="36">
        <f>IFERROR(VLOOKUP($F149,bug_conf_sheet!$A:$H,8,FALSE),VLOOKUP("other",bug_conf_sheet!$A:$H,8,FALSE))</f>
        <v>1</v>
      </c>
    </row>
  </sheetData>
  <autoFilter ref="A1:S149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61"/>
  <sheetViews>
    <sheetView showGridLines="0" workbookViewId="0">
      <pane ySplit="1" topLeftCell="A2" activePane="bottomLeft" state="frozen"/>
      <selection activeCell="M24" sqref="M24"/>
      <selection pane="bottomLeft" activeCell="F11" sqref="F11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3" t="s">
        <v>20</v>
      </c>
      <c r="C1" s="3" t="s">
        <v>18</v>
      </c>
      <c r="D1" s="14" t="s">
        <v>19</v>
      </c>
      <c r="E1" s="13" t="s">
        <v>1</v>
      </c>
      <c r="F1" s="3" t="s">
        <v>5</v>
      </c>
      <c r="G1" s="14" t="s">
        <v>6</v>
      </c>
      <c r="H1" s="14" t="s">
        <v>4</v>
      </c>
      <c r="I1" s="14" t="s">
        <v>7</v>
      </c>
      <c r="J1" s="14" t="s">
        <v>8</v>
      </c>
      <c r="K1" s="14" t="s">
        <v>9</v>
      </c>
      <c r="L1" s="13" t="s">
        <v>3</v>
      </c>
      <c r="M1" s="13" t="s">
        <v>2</v>
      </c>
      <c r="N1" s="35" t="s">
        <v>13</v>
      </c>
      <c r="O1" s="35" t="s">
        <v>14</v>
      </c>
      <c r="P1" s="35" t="s">
        <v>15</v>
      </c>
      <c r="Q1" s="35" t="s">
        <v>16</v>
      </c>
      <c r="R1" s="35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4"/>
      <c r="M2" s="36"/>
      <c r="N2" s="36"/>
      <c r="O2" s="36"/>
      <c r="P2" s="36"/>
      <c r="Q2" s="36"/>
      <c r="R2" s="36"/>
    </row>
    <row r="3" spans="1:18" ht="21" customHeight="1">
      <c r="B3" s="2"/>
      <c r="C3" s="8"/>
      <c r="E3" s="9"/>
      <c r="F3" s="8"/>
      <c r="G3" s="8"/>
      <c r="H3" s="8"/>
      <c r="I3" s="8"/>
      <c r="J3" s="8"/>
      <c r="K3" s="8"/>
      <c r="L3" s="34"/>
      <c r="M3" s="36"/>
      <c r="N3" s="36"/>
      <c r="O3" s="36"/>
      <c r="P3" s="36"/>
      <c r="Q3" s="36"/>
      <c r="R3" s="36"/>
    </row>
    <row r="4" spans="1:18" ht="21" customHeight="1">
      <c r="B4" s="2"/>
      <c r="C4" s="8"/>
      <c r="E4" s="5"/>
      <c r="F4" s="8"/>
      <c r="G4" s="8"/>
      <c r="H4" s="8"/>
      <c r="I4" s="8"/>
      <c r="J4" s="8"/>
      <c r="K4" s="8"/>
      <c r="L4" s="34"/>
      <c r="M4" s="36"/>
      <c r="N4" s="36"/>
      <c r="O4" s="36"/>
      <c r="P4" s="36"/>
      <c r="Q4" s="36"/>
      <c r="R4" s="36"/>
    </row>
    <row r="5" spans="1:18" ht="21" customHeight="1">
      <c r="B5" s="2"/>
      <c r="C5" s="8"/>
      <c r="E5" s="5"/>
      <c r="F5" s="8"/>
      <c r="G5" s="8"/>
      <c r="H5" s="8"/>
      <c r="I5" s="8"/>
      <c r="J5" s="8"/>
      <c r="K5" s="8"/>
      <c r="L5" s="34"/>
      <c r="M5" s="36"/>
      <c r="N5" s="36"/>
      <c r="O5" s="36"/>
      <c r="P5" s="36"/>
      <c r="Q5" s="36"/>
      <c r="R5" s="36"/>
    </row>
    <row r="6" spans="1:18" ht="21" customHeight="1">
      <c r="B6" s="2"/>
      <c r="C6" s="8"/>
      <c r="E6" s="5"/>
      <c r="F6" s="8"/>
      <c r="G6" s="8"/>
      <c r="H6" s="8"/>
      <c r="I6" s="8"/>
      <c r="J6" s="8"/>
      <c r="K6" s="8"/>
      <c r="L6" s="34"/>
      <c r="M6" s="36"/>
      <c r="N6" s="36"/>
      <c r="O6" s="36"/>
      <c r="P6" s="36"/>
      <c r="Q6" s="36"/>
      <c r="R6" s="36"/>
    </row>
    <row r="7" spans="1:18" ht="21" customHeight="1">
      <c r="B7" s="2"/>
      <c r="C7" s="8"/>
      <c r="E7" s="5"/>
      <c r="F7" s="8"/>
      <c r="G7" s="8"/>
      <c r="H7" s="8"/>
      <c r="I7" s="8"/>
      <c r="J7" s="8"/>
      <c r="K7" s="8"/>
      <c r="L7" s="34"/>
      <c r="M7" s="36"/>
      <c r="N7" s="36"/>
      <c r="O7" s="36"/>
      <c r="P7" s="36"/>
      <c r="Q7" s="36"/>
      <c r="R7" s="36"/>
    </row>
    <row r="8" spans="1:18" ht="21" customHeight="1">
      <c r="B8" s="2"/>
      <c r="C8" s="8"/>
      <c r="E8" s="5"/>
      <c r="F8" s="8"/>
      <c r="G8" s="8"/>
      <c r="H8" s="8"/>
      <c r="I8" s="8"/>
      <c r="J8" s="8"/>
      <c r="K8" s="8"/>
      <c r="L8" s="34"/>
      <c r="M8" s="36"/>
      <c r="N8" s="36"/>
      <c r="O8" s="36"/>
      <c r="P8" s="36"/>
      <c r="Q8" s="36"/>
      <c r="R8" s="36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4"/>
      <c r="M9" s="36"/>
      <c r="N9" s="36"/>
      <c r="O9" s="36"/>
      <c r="P9" s="36"/>
      <c r="Q9" s="36"/>
      <c r="R9" s="36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4"/>
      <c r="M10" s="36"/>
      <c r="N10" s="36"/>
      <c r="O10" s="36"/>
      <c r="P10" s="36"/>
      <c r="Q10" s="36"/>
      <c r="R10" s="36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4"/>
      <c r="M11" s="36"/>
      <c r="N11" s="36"/>
      <c r="O11" s="36"/>
      <c r="P11" s="36"/>
      <c r="Q11" s="36"/>
      <c r="R11" s="36"/>
    </row>
    <row r="12" spans="1:18" ht="21" customHeight="1">
      <c r="B12" s="2"/>
      <c r="C12" s="8"/>
      <c r="E12" s="6"/>
      <c r="F12" s="8"/>
      <c r="G12" s="8"/>
      <c r="H12" s="8"/>
      <c r="I12" s="8"/>
      <c r="J12" s="8"/>
      <c r="K12" s="8"/>
      <c r="L12" s="34"/>
      <c r="M12" s="36"/>
      <c r="N12" s="36"/>
      <c r="O12" s="36"/>
      <c r="P12" s="36"/>
      <c r="Q12" s="36"/>
      <c r="R12" s="36"/>
    </row>
    <row r="13" spans="1:18" ht="21" customHeight="1">
      <c r="B13" s="2"/>
      <c r="C13" s="8"/>
      <c r="E13" s="6"/>
      <c r="F13" s="8"/>
      <c r="G13" s="8"/>
      <c r="H13" s="8"/>
      <c r="I13" s="8"/>
      <c r="J13" s="8"/>
      <c r="K13" s="8"/>
      <c r="L13" s="34"/>
      <c r="M13" s="36"/>
      <c r="N13" s="36"/>
      <c r="O13" s="36"/>
      <c r="P13" s="36"/>
      <c r="Q13" s="36"/>
      <c r="R13" s="36"/>
    </row>
    <row r="14" spans="1:18" ht="21" customHeight="1">
      <c r="B14" s="2"/>
      <c r="C14" s="8"/>
      <c r="E14" s="6"/>
      <c r="F14" s="8"/>
      <c r="G14" s="8"/>
      <c r="H14" s="8"/>
      <c r="I14" s="8"/>
      <c r="J14" s="8"/>
      <c r="K14" s="8"/>
      <c r="L14" s="34"/>
      <c r="M14" s="36"/>
      <c r="N14" s="36"/>
      <c r="O14" s="36"/>
      <c r="P14" s="36"/>
      <c r="Q14" s="36"/>
      <c r="R14" s="36"/>
    </row>
    <row r="15" spans="1:18" ht="21" customHeight="1">
      <c r="B15" s="2"/>
      <c r="C15" s="8"/>
      <c r="E15" s="6"/>
      <c r="F15" s="8"/>
      <c r="G15" s="8"/>
      <c r="H15" s="8"/>
      <c r="I15" s="8"/>
      <c r="J15" s="8"/>
      <c r="K15" s="8"/>
      <c r="L15" s="34"/>
      <c r="M15" s="36"/>
      <c r="N15" s="36"/>
      <c r="O15" s="36"/>
      <c r="P15" s="36"/>
      <c r="Q15" s="36"/>
      <c r="R15" s="36"/>
    </row>
    <row r="16" spans="1:18" ht="21" customHeight="1">
      <c r="B16" s="2"/>
      <c r="C16" s="8"/>
      <c r="E16" s="6"/>
      <c r="F16" s="8"/>
      <c r="G16" s="8"/>
      <c r="H16" s="8"/>
      <c r="I16" s="8"/>
      <c r="J16" s="8"/>
      <c r="K16" s="8"/>
      <c r="L16" s="34"/>
      <c r="M16" s="36"/>
      <c r="N16" s="36"/>
      <c r="O16" s="36"/>
      <c r="P16" s="36"/>
      <c r="Q16" s="36"/>
      <c r="R16" s="36"/>
    </row>
    <row r="17" spans="2:18" ht="21" customHeight="1">
      <c r="B17" s="2"/>
      <c r="C17" s="8"/>
      <c r="E17" s="6"/>
      <c r="F17" s="8"/>
      <c r="G17" s="8"/>
      <c r="H17" s="8"/>
      <c r="I17" s="8"/>
      <c r="J17" s="8"/>
      <c r="K17" s="8"/>
      <c r="L17" s="34"/>
      <c r="M17" s="36"/>
      <c r="N17" s="36"/>
      <c r="O17" s="36"/>
      <c r="P17" s="36"/>
      <c r="Q17" s="36"/>
      <c r="R17" s="36"/>
    </row>
    <row r="18" spans="2:18" ht="21" customHeight="1">
      <c r="B18" s="2"/>
      <c r="C18" s="8"/>
      <c r="E18" s="6"/>
      <c r="F18" s="8"/>
      <c r="G18" s="8"/>
      <c r="H18" s="8"/>
      <c r="I18" s="8"/>
      <c r="J18" s="8"/>
      <c r="K18" s="8"/>
      <c r="L18" s="34"/>
      <c r="M18" s="36"/>
      <c r="N18" s="36"/>
      <c r="O18" s="36"/>
      <c r="P18" s="36"/>
      <c r="Q18" s="36"/>
      <c r="R18" s="36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4"/>
      <c r="M19" s="36"/>
      <c r="N19" s="36"/>
      <c r="O19" s="36"/>
      <c r="P19" s="36"/>
      <c r="Q19" s="36"/>
      <c r="R19" s="36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4"/>
      <c r="M20" s="36"/>
      <c r="N20" s="36"/>
      <c r="O20" s="36"/>
      <c r="P20" s="36"/>
      <c r="Q20" s="36"/>
      <c r="R20" s="36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4"/>
      <c r="M21" s="36"/>
      <c r="N21" s="36"/>
      <c r="O21" s="36"/>
      <c r="P21" s="36"/>
      <c r="Q21" s="36"/>
      <c r="R21" s="36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4"/>
      <c r="M22" s="36"/>
      <c r="N22" s="36"/>
      <c r="O22" s="36"/>
      <c r="P22" s="36"/>
      <c r="Q22" s="36"/>
      <c r="R22" s="36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4"/>
      <c r="M23" s="36"/>
      <c r="N23" s="36"/>
      <c r="O23" s="36"/>
      <c r="P23" s="36"/>
      <c r="Q23" s="36"/>
      <c r="R23" s="36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4"/>
      <c r="M24" s="36"/>
      <c r="N24" s="36"/>
      <c r="O24" s="36"/>
      <c r="P24" s="36"/>
      <c r="Q24" s="36"/>
      <c r="R24" s="36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4"/>
      <c r="M25" s="36"/>
      <c r="N25" s="36"/>
      <c r="O25" s="36"/>
      <c r="P25" s="36"/>
      <c r="Q25" s="36"/>
      <c r="R25" s="36"/>
    </row>
    <row r="26" spans="2:18" ht="21" customHeight="1">
      <c r="B26" s="2"/>
      <c r="C26" s="8"/>
      <c r="E26" s="5"/>
      <c r="F26" s="8"/>
      <c r="G26" s="8"/>
      <c r="H26" s="8"/>
      <c r="I26" s="8"/>
      <c r="J26" s="8"/>
      <c r="K26" s="8"/>
      <c r="L26" s="34"/>
      <c r="M26" s="36"/>
      <c r="N26" s="36"/>
      <c r="O26" s="36"/>
      <c r="P26" s="36"/>
      <c r="Q26" s="36"/>
      <c r="R26" s="36"/>
    </row>
    <row r="27" spans="2:18" ht="21" customHeight="1">
      <c r="B27" s="2"/>
      <c r="C27" s="8"/>
      <c r="E27" s="5"/>
      <c r="F27" s="8"/>
      <c r="G27" s="8"/>
      <c r="H27" s="8"/>
      <c r="I27" s="8"/>
      <c r="J27" s="8"/>
      <c r="K27" s="8"/>
      <c r="L27" s="34"/>
      <c r="M27" s="36"/>
      <c r="N27" s="36"/>
      <c r="O27" s="36"/>
      <c r="P27" s="36"/>
      <c r="Q27" s="36"/>
      <c r="R27" s="36"/>
    </row>
    <row r="28" spans="2:18" ht="21" customHeight="1">
      <c r="B28" s="2"/>
      <c r="C28" s="8"/>
      <c r="E28" s="5"/>
      <c r="F28" s="8"/>
      <c r="G28" s="8"/>
      <c r="H28" s="8"/>
      <c r="I28" s="8"/>
      <c r="J28" s="8"/>
      <c r="K28" s="8"/>
      <c r="L28" s="34"/>
      <c r="M28" s="36"/>
      <c r="N28" s="36"/>
      <c r="O28" s="36"/>
      <c r="P28" s="36"/>
      <c r="Q28" s="36"/>
      <c r="R28" s="36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4"/>
      <c r="M29" s="36"/>
      <c r="N29" s="36"/>
      <c r="O29" s="36"/>
      <c r="P29" s="36"/>
      <c r="Q29" s="36"/>
      <c r="R29" s="36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4"/>
      <c r="M30" s="36"/>
      <c r="N30" s="36"/>
      <c r="O30" s="36"/>
      <c r="P30" s="36"/>
      <c r="Q30" s="36"/>
      <c r="R30" s="36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4"/>
      <c r="M31" s="36"/>
      <c r="N31" s="36"/>
      <c r="O31" s="36"/>
      <c r="P31" s="36"/>
      <c r="Q31" s="36"/>
      <c r="R31" s="36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4"/>
      <c r="M32" s="36"/>
      <c r="N32" s="36"/>
      <c r="O32" s="36"/>
      <c r="P32" s="36"/>
      <c r="Q32" s="36"/>
      <c r="R32" s="36"/>
    </row>
    <row r="33" spans="2:18" ht="21" customHeight="1">
      <c r="B33" s="2"/>
      <c r="C33" s="8"/>
      <c r="E33" s="9"/>
      <c r="F33" s="8"/>
      <c r="G33" s="8"/>
      <c r="H33" s="8"/>
      <c r="I33" s="8"/>
      <c r="J33" s="8"/>
      <c r="K33" s="8"/>
      <c r="L33" s="34"/>
      <c r="M33" s="36"/>
      <c r="N33" s="36"/>
      <c r="O33" s="36"/>
      <c r="P33" s="36"/>
      <c r="Q33" s="36"/>
      <c r="R33" s="36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4"/>
      <c r="M34" s="36"/>
      <c r="N34" s="36"/>
      <c r="O34" s="36"/>
      <c r="P34" s="36"/>
      <c r="Q34" s="36"/>
      <c r="R34" s="36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4"/>
      <c r="M35" s="36"/>
      <c r="N35" s="36"/>
      <c r="O35" s="36"/>
      <c r="P35" s="36"/>
      <c r="Q35" s="36"/>
      <c r="R35" s="36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4"/>
      <c r="M36" s="36"/>
      <c r="N36" s="36"/>
      <c r="O36" s="36"/>
      <c r="P36" s="36"/>
      <c r="Q36" s="36"/>
      <c r="R36" s="36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4"/>
      <c r="M37" s="36"/>
      <c r="N37" s="36"/>
      <c r="O37" s="36"/>
      <c r="P37" s="36"/>
      <c r="Q37" s="36"/>
      <c r="R37" s="36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4"/>
      <c r="M38" s="36"/>
      <c r="N38" s="36"/>
      <c r="O38" s="36"/>
      <c r="P38" s="36"/>
      <c r="Q38" s="36"/>
      <c r="R38" s="36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4"/>
      <c r="M39" s="36"/>
      <c r="N39" s="36"/>
      <c r="O39" s="36"/>
      <c r="P39" s="36"/>
      <c r="Q39" s="36"/>
      <c r="R39" s="36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4"/>
      <c r="M40" s="36"/>
      <c r="N40" s="36"/>
      <c r="O40" s="36"/>
      <c r="P40" s="36"/>
      <c r="Q40" s="36"/>
      <c r="R40" s="36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4"/>
      <c r="M41" s="36"/>
      <c r="N41" s="36"/>
      <c r="O41" s="36"/>
      <c r="P41" s="36"/>
      <c r="Q41" s="36"/>
      <c r="R41" s="36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4"/>
      <c r="M42" s="36"/>
      <c r="N42" s="36"/>
      <c r="O42" s="36"/>
      <c r="P42" s="36"/>
      <c r="Q42" s="36"/>
      <c r="R42" s="36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4"/>
      <c r="M43" s="36"/>
      <c r="N43" s="36"/>
      <c r="O43" s="36"/>
      <c r="P43" s="36"/>
      <c r="Q43" s="36"/>
      <c r="R43" s="36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4"/>
      <c r="M44" s="36"/>
      <c r="N44" s="36"/>
      <c r="O44" s="36"/>
      <c r="P44" s="36"/>
      <c r="Q44" s="36"/>
      <c r="R44" s="36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4"/>
      <c r="M45" s="36"/>
      <c r="N45" s="36"/>
      <c r="O45" s="36"/>
      <c r="P45" s="36"/>
      <c r="Q45" s="36"/>
      <c r="R45" s="36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4"/>
      <c r="M46" s="36"/>
      <c r="N46" s="36"/>
      <c r="O46" s="36"/>
      <c r="P46" s="36"/>
      <c r="Q46" s="36"/>
      <c r="R46" s="36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4"/>
      <c r="M47" s="36"/>
      <c r="N47" s="36"/>
      <c r="O47" s="36"/>
      <c r="P47" s="36"/>
      <c r="Q47" s="36"/>
      <c r="R47" s="36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4"/>
      <c r="M48" s="36"/>
      <c r="N48" s="36"/>
      <c r="O48" s="36"/>
      <c r="P48" s="36"/>
      <c r="Q48" s="36"/>
      <c r="R48" s="36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4"/>
      <c r="M49" s="36"/>
      <c r="N49" s="36"/>
      <c r="O49" s="36"/>
      <c r="P49" s="36"/>
      <c r="Q49" s="36"/>
      <c r="R49" s="36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4"/>
      <c r="M50" s="36"/>
      <c r="N50" s="36"/>
      <c r="O50" s="36"/>
      <c r="P50" s="36"/>
      <c r="Q50" s="36"/>
      <c r="R50" s="36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4"/>
      <c r="M51" s="36"/>
      <c r="N51" s="36"/>
      <c r="O51" s="36"/>
      <c r="P51" s="36"/>
      <c r="Q51" s="36"/>
      <c r="R51" s="36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4"/>
      <c r="M52" s="36"/>
      <c r="N52" s="36"/>
      <c r="O52" s="36"/>
      <c r="P52" s="36"/>
      <c r="Q52" s="36"/>
      <c r="R52" s="36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4"/>
      <c r="M53" s="36"/>
      <c r="N53" s="36"/>
      <c r="O53" s="36"/>
      <c r="P53" s="36"/>
      <c r="Q53" s="36"/>
      <c r="R53" s="36"/>
    </row>
    <row r="54" spans="2:18" ht="21" customHeight="1">
      <c r="B54" s="2"/>
      <c r="C54" s="8"/>
      <c r="E54" s="9"/>
      <c r="F54" s="8"/>
      <c r="G54" s="8"/>
      <c r="H54" s="8"/>
      <c r="I54" s="8"/>
      <c r="J54" s="8"/>
      <c r="K54" s="8"/>
      <c r="L54" s="34"/>
      <c r="M54" s="36"/>
      <c r="N54" s="36"/>
      <c r="O54" s="36"/>
      <c r="P54" s="36"/>
      <c r="Q54" s="36"/>
      <c r="R54" s="36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4"/>
      <c r="M55" s="36"/>
      <c r="N55" s="36"/>
      <c r="O55" s="36"/>
      <c r="P55" s="36"/>
      <c r="Q55" s="36"/>
      <c r="R55" s="36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4"/>
      <c r="M56" s="36"/>
      <c r="N56" s="36"/>
      <c r="O56" s="36"/>
      <c r="P56" s="36"/>
      <c r="Q56" s="36"/>
      <c r="R56" s="36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4"/>
      <c r="M57" s="36"/>
      <c r="N57" s="36"/>
      <c r="O57" s="36"/>
      <c r="P57" s="36"/>
      <c r="Q57" s="36"/>
      <c r="R57" s="36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4"/>
      <c r="M58" s="36"/>
      <c r="N58" s="36"/>
      <c r="O58" s="36"/>
      <c r="P58" s="36"/>
      <c r="Q58" s="36"/>
      <c r="R58" s="36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4"/>
      <c r="M59" s="36"/>
      <c r="N59" s="36"/>
      <c r="O59" s="36"/>
      <c r="P59" s="36"/>
      <c r="Q59" s="36"/>
      <c r="R59" s="36"/>
    </row>
    <row r="60" spans="2:18" ht="21" customHeight="1">
      <c r="B60" s="2"/>
      <c r="C60" s="8"/>
      <c r="E60" s="6"/>
      <c r="F60" s="8"/>
      <c r="G60" s="8"/>
      <c r="H60" s="8"/>
      <c r="I60" s="8"/>
      <c r="J60" s="8"/>
      <c r="K60" s="8"/>
      <c r="L60" s="34"/>
      <c r="M60" s="36"/>
      <c r="N60" s="36"/>
      <c r="O60" s="36"/>
      <c r="P60" s="36"/>
      <c r="Q60" s="36"/>
      <c r="R60" s="36"/>
    </row>
    <row r="61" spans="2:18" ht="21" customHeight="1">
      <c r="B61" s="2"/>
      <c r="C61" s="8"/>
      <c r="E61" s="6"/>
      <c r="F61" s="8"/>
      <c r="G61" s="8"/>
      <c r="H61" s="8"/>
      <c r="I61" s="8"/>
      <c r="J61" s="8"/>
      <c r="K61" s="8"/>
      <c r="L61" s="34"/>
      <c r="M61" s="36"/>
      <c r="N61" s="36"/>
      <c r="O61" s="36"/>
      <c r="P61" s="36"/>
      <c r="Q61" s="36"/>
      <c r="R61" s="36"/>
    </row>
  </sheetData>
  <autoFilter ref="A1:R62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65"/>
  <sheetViews>
    <sheetView showGridLines="0" tabSelected="1" workbookViewId="0">
      <pane ySplit="1" topLeftCell="A2" activePane="bottomLeft" state="frozen"/>
      <selection activeCell="M24" sqref="M24"/>
      <selection pane="bottomLeft" activeCell="I3" sqref="I3"/>
    </sheetView>
  </sheetViews>
  <sheetFormatPr baseColWidth="12" defaultRowHeight="21" customHeight="1" outlineLevelCol="1" x14ac:dyDescent="0"/>
  <cols>
    <col min="1" max="1" width="12.83203125" style="15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48" t="s">
        <v>22</v>
      </c>
      <c r="C1" s="49" t="s">
        <v>25</v>
      </c>
      <c r="D1" s="50" t="s">
        <v>27</v>
      </c>
      <c r="E1" s="50" t="s">
        <v>28</v>
      </c>
      <c r="F1" s="50" t="s">
        <v>29</v>
      </c>
      <c r="G1" s="48" t="s">
        <v>3</v>
      </c>
      <c r="H1" s="48" t="s">
        <v>30</v>
      </c>
      <c r="I1" s="48" t="s">
        <v>31</v>
      </c>
      <c r="J1" s="48" t="s">
        <v>32</v>
      </c>
      <c r="K1" s="48" t="s">
        <v>33</v>
      </c>
    </row>
    <row r="2" spans="1:11" ht="21" customHeight="1">
      <c r="A2" s="51" t="str">
        <f>B2&amp;C2</f>
        <v>1711711</v>
      </c>
      <c r="B2" s="2">
        <v>171</v>
      </c>
      <c r="C2" s="2">
        <v>1711</v>
      </c>
      <c r="D2" s="2" t="s">
        <v>89</v>
      </c>
      <c r="E2" s="2">
        <v>168</v>
      </c>
      <c r="F2" s="2">
        <v>1</v>
      </c>
      <c r="G2" s="2">
        <v>1</v>
      </c>
      <c r="H2" s="2" t="s">
        <v>90</v>
      </c>
      <c r="I2" s="2" t="s">
        <v>94</v>
      </c>
      <c r="J2" s="2" t="s">
        <v>91</v>
      </c>
      <c r="K2" s="52" t="s">
        <v>93</v>
      </c>
    </row>
    <row r="3" spans="1:11" ht="21" customHeight="1">
      <c r="A3" s="51" t="str">
        <f t="shared" ref="A3:A65" si="0">B3&amp;C3</f>
        <v>1711712</v>
      </c>
      <c r="B3" s="2">
        <v>171</v>
      </c>
      <c r="C3" s="2">
        <v>1712</v>
      </c>
      <c r="D3" s="2" t="s">
        <v>89</v>
      </c>
      <c r="E3" s="2">
        <v>171</v>
      </c>
      <c r="F3" s="2">
        <v>1</v>
      </c>
      <c r="G3" s="2">
        <v>1</v>
      </c>
      <c r="H3" s="2" t="s">
        <v>90</v>
      </c>
      <c r="I3" s="2" t="s">
        <v>92</v>
      </c>
      <c r="J3" s="2" t="s">
        <v>91</v>
      </c>
      <c r="K3" s="52" t="s">
        <v>93</v>
      </c>
    </row>
    <row r="4" spans="1:11" ht="21" customHeight="1">
      <c r="A4" s="51" t="str">
        <f t="shared" si="0"/>
        <v>1711713</v>
      </c>
      <c r="B4" s="2">
        <v>171</v>
      </c>
      <c r="C4" s="2">
        <v>1713</v>
      </c>
      <c r="D4" s="2" t="s">
        <v>89</v>
      </c>
      <c r="E4" s="2">
        <v>174</v>
      </c>
      <c r="F4" s="2">
        <v>1</v>
      </c>
      <c r="G4" s="2">
        <v>1</v>
      </c>
      <c r="H4" s="2" t="s">
        <v>90</v>
      </c>
      <c r="I4" s="2" t="s">
        <v>92</v>
      </c>
      <c r="J4" s="2" t="s">
        <v>91</v>
      </c>
      <c r="K4" s="52" t="s">
        <v>93</v>
      </c>
    </row>
    <row r="5" spans="1:11" ht="21" customHeight="1">
      <c r="A5" s="51" t="str">
        <f t="shared" si="0"/>
        <v>1711714</v>
      </c>
      <c r="B5" s="2">
        <v>171</v>
      </c>
      <c r="C5" s="2">
        <v>1714</v>
      </c>
      <c r="D5" s="2" t="s">
        <v>89</v>
      </c>
      <c r="E5" s="2">
        <v>177</v>
      </c>
      <c r="F5" s="2">
        <v>1</v>
      </c>
      <c r="G5" s="2">
        <v>1</v>
      </c>
      <c r="H5" s="2" t="s">
        <v>90</v>
      </c>
      <c r="I5" s="2" t="s">
        <v>92</v>
      </c>
      <c r="J5" s="2" t="s">
        <v>91</v>
      </c>
      <c r="K5" s="52" t="s">
        <v>93</v>
      </c>
    </row>
    <row r="6" spans="1:11" ht="21" customHeight="1">
      <c r="A6" s="51" t="str">
        <f t="shared" si="0"/>
        <v>1711715</v>
      </c>
      <c r="B6" s="2">
        <v>171</v>
      </c>
      <c r="C6" s="2">
        <v>1715</v>
      </c>
      <c r="D6" s="2" t="s">
        <v>89</v>
      </c>
      <c r="E6" s="2">
        <v>180</v>
      </c>
      <c r="F6" s="2">
        <v>1</v>
      </c>
      <c r="G6" s="2">
        <v>1</v>
      </c>
      <c r="H6" s="2" t="s">
        <v>90</v>
      </c>
      <c r="I6" s="2" t="s">
        <v>92</v>
      </c>
      <c r="J6" s="2" t="s">
        <v>91</v>
      </c>
      <c r="K6" s="52" t="s">
        <v>93</v>
      </c>
    </row>
    <row r="7" spans="1:11" ht="21" customHeight="1">
      <c r="A7" s="51" t="str">
        <f t="shared" si="0"/>
        <v>1711716</v>
      </c>
      <c r="B7" s="2">
        <v>171</v>
      </c>
      <c r="C7" s="2">
        <v>1716</v>
      </c>
      <c r="D7" s="2" t="s">
        <v>89</v>
      </c>
      <c r="E7" s="2">
        <v>183</v>
      </c>
      <c r="F7" s="2">
        <v>1</v>
      </c>
      <c r="G7" s="2">
        <v>1</v>
      </c>
      <c r="H7" s="2" t="s">
        <v>90</v>
      </c>
      <c r="I7" s="2" t="s">
        <v>92</v>
      </c>
      <c r="J7" s="2" t="s">
        <v>91</v>
      </c>
      <c r="K7" s="52" t="s">
        <v>93</v>
      </c>
    </row>
    <row r="8" spans="1:11" ht="21" customHeight="1">
      <c r="A8" s="51" t="str">
        <f t="shared" si="0"/>
        <v>1711717</v>
      </c>
      <c r="B8" s="2">
        <v>171</v>
      </c>
      <c r="C8" s="2">
        <v>1717</v>
      </c>
      <c r="D8" s="2" t="s">
        <v>89</v>
      </c>
      <c r="E8" s="2">
        <v>186</v>
      </c>
      <c r="F8" s="2">
        <v>1</v>
      </c>
      <c r="G8" s="2">
        <v>1</v>
      </c>
      <c r="H8" s="2" t="s">
        <v>90</v>
      </c>
      <c r="I8" s="2" t="s">
        <v>92</v>
      </c>
      <c r="J8" s="2" t="s">
        <v>91</v>
      </c>
      <c r="K8" s="52" t="s">
        <v>93</v>
      </c>
    </row>
    <row r="9" spans="1:11" ht="21" customHeight="1">
      <c r="A9" s="51" t="str">
        <f t="shared" si="0"/>
        <v>1711718</v>
      </c>
      <c r="B9" s="2">
        <v>171</v>
      </c>
      <c r="C9" s="2">
        <v>1718</v>
      </c>
      <c r="D9" s="2" t="s">
        <v>89</v>
      </c>
      <c r="E9" s="2">
        <v>189</v>
      </c>
      <c r="F9" s="2">
        <v>1</v>
      </c>
      <c r="G9" s="2">
        <v>1</v>
      </c>
      <c r="H9" s="2" t="s">
        <v>90</v>
      </c>
      <c r="I9" s="2" t="s">
        <v>92</v>
      </c>
      <c r="J9" s="2" t="s">
        <v>91</v>
      </c>
      <c r="K9" s="52" t="s">
        <v>93</v>
      </c>
    </row>
    <row r="10" spans="1:11" ht="21" customHeight="1">
      <c r="A10" s="51" t="str">
        <f t="shared" si="0"/>
        <v>1711719</v>
      </c>
      <c r="B10" s="2">
        <v>171</v>
      </c>
      <c r="C10" s="2">
        <v>1719</v>
      </c>
      <c r="D10" s="2" t="s">
        <v>89</v>
      </c>
      <c r="E10" s="2">
        <v>192</v>
      </c>
      <c r="F10" s="2">
        <v>1</v>
      </c>
      <c r="G10" s="2">
        <v>1</v>
      </c>
      <c r="H10" s="2" t="s">
        <v>90</v>
      </c>
      <c r="I10" s="2" t="s">
        <v>92</v>
      </c>
      <c r="J10" s="2" t="s">
        <v>91</v>
      </c>
      <c r="K10" s="52" t="s">
        <v>93</v>
      </c>
    </row>
    <row r="11" spans="1:11" ht="21" customHeight="1">
      <c r="A11" s="51" t="str">
        <f t="shared" si="0"/>
        <v>1711720</v>
      </c>
      <c r="B11" s="2">
        <v>171</v>
      </c>
      <c r="C11" s="2">
        <v>1720</v>
      </c>
      <c r="D11" s="2" t="s">
        <v>89</v>
      </c>
      <c r="E11" s="2">
        <v>195</v>
      </c>
      <c r="F11" s="2">
        <v>1</v>
      </c>
      <c r="G11" s="2">
        <v>1</v>
      </c>
      <c r="H11" s="2" t="s">
        <v>90</v>
      </c>
      <c r="I11" s="2" t="s">
        <v>92</v>
      </c>
      <c r="J11" s="2" t="s">
        <v>91</v>
      </c>
      <c r="K11" s="52" t="s">
        <v>93</v>
      </c>
    </row>
    <row r="12" spans="1:11" ht="21" customHeight="1">
      <c r="A12" s="51" t="str">
        <f t="shared" si="0"/>
        <v>1711721</v>
      </c>
      <c r="B12" s="2">
        <v>171</v>
      </c>
      <c r="C12" s="2">
        <v>1721</v>
      </c>
      <c r="D12" s="2" t="s">
        <v>89</v>
      </c>
      <c r="E12" s="2">
        <v>198</v>
      </c>
      <c r="F12" s="2">
        <v>1</v>
      </c>
      <c r="G12" s="2">
        <v>1</v>
      </c>
      <c r="H12" s="2" t="s">
        <v>90</v>
      </c>
      <c r="I12" s="2" t="s">
        <v>92</v>
      </c>
      <c r="J12" s="2" t="s">
        <v>91</v>
      </c>
      <c r="K12" s="52" t="s">
        <v>93</v>
      </c>
    </row>
    <row r="13" spans="1:11" ht="21" customHeight="1">
      <c r="A13" s="51" t="str">
        <f t="shared" si="0"/>
        <v>1711722</v>
      </c>
      <c r="B13" s="2">
        <v>171</v>
      </c>
      <c r="C13" s="2">
        <v>1722</v>
      </c>
      <c r="D13" s="2" t="s">
        <v>89</v>
      </c>
      <c r="E13" s="2">
        <v>201</v>
      </c>
      <c r="F13" s="2">
        <v>1</v>
      </c>
      <c r="G13" s="2">
        <v>1</v>
      </c>
      <c r="H13" s="2" t="s">
        <v>90</v>
      </c>
      <c r="I13" s="2" t="s">
        <v>92</v>
      </c>
      <c r="J13" s="2" t="s">
        <v>91</v>
      </c>
      <c r="K13" s="52" t="s">
        <v>93</v>
      </c>
    </row>
    <row r="14" spans="1:11" ht="21" customHeight="1">
      <c r="A14" s="51" t="str">
        <f t="shared" si="0"/>
        <v>1711723</v>
      </c>
      <c r="B14" s="2">
        <v>171</v>
      </c>
      <c r="C14" s="2">
        <v>1723</v>
      </c>
      <c r="D14" s="2" t="s">
        <v>89</v>
      </c>
      <c r="E14" s="2">
        <v>204</v>
      </c>
      <c r="F14" s="2">
        <v>1</v>
      </c>
      <c r="G14" s="2">
        <v>1</v>
      </c>
      <c r="H14" s="2" t="s">
        <v>90</v>
      </c>
      <c r="I14" s="2" t="s">
        <v>92</v>
      </c>
      <c r="J14" s="2" t="s">
        <v>91</v>
      </c>
      <c r="K14" s="52" t="s">
        <v>93</v>
      </c>
    </row>
    <row r="15" spans="1:11" ht="21" customHeight="1">
      <c r="A15" s="51" t="str">
        <f t="shared" si="0"/>
        <v>1711724</v>
      </c>
      <c r="B15" s="2">
        <v>171</v>
      </c>
      <c r="C15" s="2">
        <v>1724</v>
      </c>
      <c r="D15" s="2" t="s">
        <v>89</v>
      </c>
      <c r="E15" s="2">
        <v>207</v>
      </c>
      <c r="F15" s="2">
        <v>1</v>
      </c>
      <c r="G15" s="2">
        <v>1</v>
      </c>
      <c r="H15" s="2" t="s">
        <v>90</v>
      </c>
      <c r="I15" s="2" t="s">
        <v>92</v>
      </c>
      <c r="J15" s="2" t="s">
        <v>91</v>
      </c>
      <c r="K15" s="52" t="s">
        <v>93</v>
      </c>
    </row>
    <row r="16" spans="1:11" ht="21" customHeight="1">
      <c r="A16" s="51" t="str">
        <f t="shared" si="0"/>
        <v>1711725</v>
      </c>
      <c r="B16" s="2">
        <v>171</v>
      </c>
      <c r="C16" s="2">
        <v>1725</v>
      </c>
      <c r="D16" s="2" t="s">
        <v>89</v>
      </c>
      <c r="E16" s="2">
        <v>210</v>
      </c>
      <c r="F16" s="2">
        <v>1</v>
      </c>
      <c r="G16" s="2">
        <v>1</v>
      </c>
      <c r="H16" s="2" t="s">
        <v>90</v>
      </c>
      <c r="I16" s="2" t="s">
        <v>92</v>
      </c>
      <c r="J16" s="2" t="s">
        <v>91</v>
      </c>
      <c r="K16" s="52" t="s">
        <v>93</v>
      </c>
    </row>
    <row r="17" spans="1:11" ht="21" customHeight="1">
      <c r="A17" s="51" t="str">
        <f t="shared" si="0"/>
        <v>1711726</v>
      </c>
      <c r="B17" s="2">
        <v>171</v>
      </c>
      <c r="C17" s="2">
        <v>1726</v>
      </c>
      <c r="D17" s="2" t="s">
        <v>89</v>
      </c>
      <c r="E17" s="2">
        <v>213</v>
      </c>
      <c r="F17" s="2">
        <v>1</v>
      </c>
      <c r="G17" s="2">
        <v>1</v>
      </c>
      <c r="H17" s="2" t="s">
        <v>90</v>
      </c>
      <c r="I17" s="2" t="s">
        <v>92</v>
      </c>
      <c r="J17" s="2" t="s">
        <v>91</v>
      </c>
      <c r="K17" s="52" t="s">
        <v>93</v>
      </c>
    </row>
    <row r="18" spans="1:11" ht="21" customHeight="1">
      <c r="A18" s="51" t="str">
        <f t="shared" si="0"/>
        <v>1711727</v>
      </c>
      <c r="B18" s="2">
        <v>171</v>
      </c>
      <c r="C18" s="2">
        <v>1727</v>
      </c>
      <c r="D18" s="2" t="s">
        <v>89</v>
      </c>
      <c r="E18" s="2">
        <v>216</v>
      </c>
      <c r="F18" s="2">
        <v>1</v>
      </c>
      <c r="G18" s="2">
        <v>1</v>
      </c>
      <c r="H18" s="2" t="s">
        <v>90</v>
      </c>
      <c r="I18" s="2" t="s">
        <v>92</v>
      </c>
      <c r="J18" s="2" t="s">
        <v>91</v>
      </c>
      <c r="K18" s="52" t="s">
        <v>93</v>
      </c>
    </row>
    <row r="19" spans="1:11" ht="21" customHeight="1">
      <c r="A19" s="51" t="str">
        <f t="shared" si="0"/>
        <v>1711728</v>
      </c>
      <c r="B19" s="2">
        <v>171</v>
      </c>
      <c r="C19" s="2">
        <v>1728</v>
      </c>
      <c r="D19" s="2" t="s">
        <v>89</v>
      </c>
      <c r="E19" s="2">
        <v>219</v>
      </c>
      <c r="F19" s="2">
        <v>1</v>
      </c>
      <c r="G19" s="2">
        <v>1</v>
      </c>
      <c r="H19" s="2" t="s">
        <v>90</v>
      </c>
      <c r="I19" s="2" t="s">
        <v>92</v>
      </c>
      <c r="J19" s="2" t="s">
        <v>91</v>
      </c>
      <c r="K19" s="52" t="s">
        <v>93</v>
      </c>
    </row>
    <row r="20" spans="1:11" ht="21" customHeight="1">
      <c r="A20" s="51" t="str">
        <f t="shared" si="0"/>
        <v>1711729</v>
      </c>
      <c r="B20" s="2">
        <v>171</v>
      </c>
      <c r="C20" s="2">
        <v>1729</v>
      </c>
      <c r="D20" s="2" t="s">
        <v>89</v>
      </c>
      <c r="E20" s="2">
        <v>222</v>
      </c>
      <c r="F20" s="2">
        <v>1</v>
      </c>
      <c r="G20" s="2">
        <v>1</v>
      </c>
      <c r="H20" s="2" t="s">
        <v>90</v>
      </c>
      <c r="I20" s="2" t="s">
        <v>92</v>
      </c>
      <c r="J20" s="2" t="s">
        <v>91</v>
      </c>
      <c r="K20" s="52" t="s">
        <v>93</v>
      </c>
    </row>
    <row r="21" spans="1:11" ht="21" customHeight="1">
      <c r="A21" s="51" t="str">
        <f t="shared" si="0"/>
        <v>1711730</v>
      </c>
      <c r="B21" s="2">
        <v>171</v>
      </c>
      <c r="C21" s="2">
        <v>1730</v>
      </c>
      <c r="D21" s="2" t="s">
        <v>89</v>
      </c>
      <c r="E21" s="2">
        <v>225</v>
      </c>
      <c r="F21" s="2">
        <v>1</v>
      </c>
      <c r="G21" s="2">
        <v>1</v>
      </c>
      <c r="H21" s="2" t="s">
        <v>90</v>
      </c>
      <c r="I21" s="2" t="s">
        <v>92</v>
      </c>
      <c r="J21" s="2" t="s">
        <v>91</v>
      </c>
      <c r="K21" s="52" t="s">
        <v>93</v>
      </c>
    </row>
    <row r="22" spans="1:11" ht="21" customHeight="1">
      <c r="A22" s="51" t="str">
        <f t="shared" si="0"/>
        <v>1711731</v>
      </c>
      <c r="B22" s="2">
        <v>171</v>
      </c>
      <c r="C22" s="2">
        <v>1731</v>
      </c>
      <c r="D22" s="2" t="s">
        <v>89</v>
      </c>
      <c r="E22" s="2">
        <v>228</v>
      </c>
      <c r="F22" s="2">
        <v>1</v>
      </c>
      <c r="G22" s="2">
        <v>1</v>
      </c>
      <c r="H22" s="2" t="s">
        <v>90</v>
      </c>
      <c r="I22" s="2" t="s">
        <v>92</v>
      </c>
      <c r="J22" s="2" t="s">
        <v>91</v>
      </c>
      <c r="K22" s="52" t="s">
        <v>93</v>
      </c>
    </row>
    <row r="23" spans="1:11" ht="21" customHeight="1">
      <c r="A23" s="51" t="str">
        <f t="shared" si="0"/>
        <v>1711732</v>
      </c>
      <c r="B23" s="2">
        <v>171</v>
      </c>
      <c r="C23" s="2">
        <v>1732</v>
      </c>
      <c r="D23" s="2" t="s">
        <v>89</v>
      </c>
      <c r="E23" s="2">
        <v>231</v>
      </c>
      <c r="F23" s="2">
        <v>1</v>
      </c>
      <c r="G23" s="2">
        <v>1</v>
      </c>
      <c r="H23" s="2" t="s">
        <v>90</v>
      </c>
      <c r="I23" s="2" t="s">
        <v>92</v>
      </c>
      <c r="J23" s="2" t="s">
        <v>91</v>
      </c>
      <c r="K23" s="52" t="s">
        <v>93</v>
      </c>
    </row>
    <row r="24" spans="1:11" ht="21" customHeight="1">
      <c r="A24" s="51" t="str">
        <f t="shared" si="0"/>
        <v>1711733</v>
      </c>
      <c r="B24" s="2">
        <v>171</v>
      </c>
      <c r="C24" s="2">
        <v>1733</v>
      </c>
      <c r="D24" s="2" t="s">
        <v>89</v>
      </c>
      <c r="E24" s="2">
        <v>234</v>
      </c>
      <c r="F24" s="2">
        <v>1</v>
      </c>
      <c r="G24" s="2">
        <v>1</v>
      </c>
      <c r="H24" s="2" t="s">
        <v>90</v>
      </c>
      <c r="I24" s="2" t="s">
        <v>92</v>
      </c>
      <c r="J24" s="2" t="s">
        <v>91</v>
      </c>
      <c r="K24" s="52" t="s">
        <v>93</v>
      </c>
    </row>
    <row r="25" spans="1:11" ht="21" customHeight="1">
      <c r="A25" s="51" t="str">
        <f t="shared" si="0"/>
        <v>1711734</v>
      </c>
      <c r="B25" s="2">
        <v>171</v>
      </c>
      <c r="C25" s="2">
        <v>1734</v>
      </c>
      <c r="D25" s="2" t="s">
        <v>89</v>
      </c>
      <c r="E25" s="2">
        <v>237</v>
      </c>
      <c r="F25" s="2">
        <v>1</v>
      </c>
      <c r="G25" s="2">
        <v>1</v>
      </c>
      <c r="H25" s="2" t="s">
        <v>90</v>
      </c>
      <c r="I25" s="2" t="s">
        <v>92</v>
      </c>
      <c r="J25" s="2" t="s">
        <v>91</v>
      </c>
      <c r="K25" s="52" t="s">
        <v>93</v>
      </c>
    </row>
    <row r="26" spans="1:11" ht="21" customHeight="1">
      <c r="A26" s="51" t="str">
        <f t="shared" si="0"/>
        <v>1711735</v>
      </c>
      <c r="B26" s="2">
        <v>171</v>
      </c>
      <c r="C26" s="2">
        <v>1735</v>
      </c>
      <c r="D26" s="2" t="s">
        <v>89</v>
      </c>
      <c r="E26" s="2">
        <v>240</v>
      </c>
      <c r="F26" s="2">
        <v>1</v>
      </c>
      <c r="G26" s="2">
        <v>1</v>
      </c>
      <c r="H26" s="2" t="s">
        <v>90</v>
      </c>
      <c r="I26" s="2" t="s">
        <v>92</v>
      </c>
      <c r="J26" s="2" t="s">
        <v>91</v>
      </c>
      <c r="K26" s="52" t="s">
        <v>93</v>
      </c>
    </row>
    <row r="27" spans="1:11" ht="21" customHeight="1">
      <c r="A27" s="51" t="str">
        <f t="shared" si="0"/>
        <v>1711736</v>
      </c>
      <c r="B27" s="2">
        <v>171</v>
      </c>
      <c r="C27" s="2">
        <v>1736</v>
      </c>
      <c r="D27" s="2" t="s">
        <v>89</v>
      </c>
      <c r="E27" s="2">
        <v>243</v>
      </c>
      <c r="F27" s="2">
        <v>1</v>
      </c>
      <c r="G27" s="2">
        <v>1</v>
      </c>
      <c r="H27" s="2" t="s">
        <v>90</v>
      </c>
      <c r="I27" s="2" t="s">
        <v>92</v>
      </c>
      <c r="J27" s="2" t="s">
        <v>91</v>
      </c>
      <c r="K27" s="52" t="s">
        <v>93</v>
      </c>
    </row>
    <row r="28" spans="1:11" ht="21" customHeight="1">
      <c r="A28" s="51" t="str">
        <f t="shared" si="0"/>
        <v>1711737</v>
      </c>
      <c r="B28" s="2">
        <v>171</v>
      </c>
      <c r="C28" s="2">
        <v>1737</v>
      </c>
      <c r="D28" s="2" t="s">
        <v>89</v>
      </c>
      <c r="E28" s="2">
        <v>246</v>
      </c>
      <c r="F28" s="2">
        <v>1</v>
      </c>
      <c r="G28" s="2">
        <v>1</v>
      </c>
      <c r="H28" s="2" t="s">
        <v>90</v>
      </c>
      <c r="I28" s="2" t="s">
        <v>92</v>
      </c>
      <c r="J28" s="2" t="s">
        <v>91</v>
      </c>
      <c r="K28" s="52" t="s">
        <v>93</v>
      </c>
    </row>
    <row r="29" spans="1:11" ht="21" customHeight="1">
      <c r="A29" s="51" t="str">
        <f t="shared" si="0"/>
        <v>1711738</v>
      </c>
      <c r="B29" s="2">
        <v>171</v>
      </c>
      <c r="C29" s="2">
        <v>1738</v>
      </c>
      <c r="D29" s="2" t="s">
        <v>89</v>
      </c>
      <c r="E29" s="2">
        <v>249</v>
      </c>
      <c r="F29" s="2">
        <v>1</v>
      </c>
      <c r="G29" s="2">
        <v>1</v>
      </c>
      <c r="H29" s="2" t="s">
        <v>90</v>
      </c>
      <c r="I29" s="2" t="s">
        <v>92</v>
      </c>
      <c r="J29" s="2" t="s">
        <v>91</v>
      </c>
      <c r="K29" s="52" t="s">
        <v>93</v>
      </c>
    </row>
    <row r="30" spans="1:11" ht="21" customHeight="1">
      <c r="A30" s="51" t="str">
        <f t="shared" si="0"/>
        <v>1711739</v>
      </c>
      <c r="B30" s="2">
        <v>171</v>
      </c>
      <c r="C30" s="2">
        <v>1739</v>
      </c>
      <c r="D30" s="2" t="s">
        <v>89</v>
      </c>
      <c r="E30" s="2">
        <v>252</v>
      </c>
      <c r="F30" s="2">
        <v>1</v>
      </c>
      <c r="G30" s="2">
        <v>1</v>
      </c>
      <c r="H30" s="2" t="s">
        <v>90</v>
      </c>
      <c r="I30" s="2" t="s">
        <v>92</v>
      </c>
      <c r="J30" s="2" t="s">
        <v>91</v>
      </c>
      <c r="K30" s="52" t="s">
        <v>93</v>
      </c>
    </row>
    <row r="31" spans="1:11" ht="21" customHeight="1">
      <c r="A31" s="51" t="str">
        <f t="shared" si="0"/>
        <v>1711740</v>
      </c>
      <c r="B31" s="2">
        <v>171</v>
      </c>
      <c r="C31" s="2">
        <v>1740</v>
      </c>
      <c r="D31" s="2" t="s">
        <v>89</v>
      </c>
      <c r="E31" s="2">
        <v>255</v>
      </c>
      <c r="F31" s="2">
        <v>1</v>
      </c>
      <c r="G31" s="2">
        <v>1</v>
      </c>
      <c r="H31" s="2" t="s">
        <v>90</v>
      </c>
      <c r="I31" s="2" t="s">
        <v>92</v>
      </c>
      <c r="J31" s="2" t="s">
        <v>91</v>
      </c>
      <c r="K31" s="52" t="s">
        <v>93</v>
      </c>
    </row>
    <row r="32" spans="1:11" ht="21" customHeight="1">
      <c r="A32" s="51" t="str">
        <f t="shared" si="0"/>
        <v>1711741</v>
      </c>
      <c r="B32" s="2">
        <v>171</v>
      </c>
      <c r="C32" s="2">
        <v>1741</v>
      </c>
      <c r="D32" s="2" t="s">
        <v>89</v>
      </c>
      <c r="E32" s="2">
        <v>258</v>
      </c>
      <c r="F32" s="2">
        <v>1</v>
      </c>
      <c r="G32" s="2">
        <v>1</v>
      </c>
      <c r="H32" s="2" t="s">
        <v>90</v>
      </c>
      <c r="I32" s="2" t="s">
        <v>92</v>
      </c>
      <c r="J32" s="2" t="s">
        <v>91</v>
      </c>
      <c r="K32" s="52" t="s">
        <v>93</v>
      </c>
    </row>
    <row r="33" spans="1:11" ht="21" customHeight="1">
      <c r="A33" s="51" t="str">
        <f t="shared" si="0"/>
        <v>1711742</v>
      </c>
      <c r="B33" s="2">
        <v>171</v>
      </c>
      <c r="C33" s="2">
        <v>1742</v>
      </c>
      <c r="D33" s="2" t="s">
        <v>89</v>
      </c>
      <c r="E33" s="2">
        <v>261</v>
      </c>
      <c r="F33" s="2">
        <v>1</v>
      </c>
      <c r="G33" s="2">
        <v>1</v>
      </c>
      <c r="H33" s="2" t="s">
        <v>90</v>
      </c>
      <c r="I33" s="2" t="s">
        <v>92</v>
      </c>
      <c r="J33" s="2" t="s">
        <v>91</v>
      </c>
      <c r="K33" s="52" t="s">
        <v>93</v>
      </c>
    </row>
    <row r="34" spans="1:11" ht="21" customHeight="1">
      <c r="A34" s="51" t="str">
        <f t="shared" si="0"/>
        <v>1711743</v>
      </c>
      <c r="B34" s="2">
        <v>171</v>
      </c>
      <c r="C34" s="2">
        <v>1743</v>
      </c>
      <c r="D34" s="2" t="s">
        <v>89</v>
      </c>
      <c r="E34" s="2">
        <v>321</v>
      </c>
      <c r="F34" s="2">
        <v>1</v>
      </c>
      <c r="G34" s="2">
        <v>1</v>
      </c>
      <c r="H34" s="2" t="s">
        <v>90</v>
      </c>
      <c r="I34" s="2" t="s">
        <v>92</v>
      </c>
      <c r="J34" s="2" t="s">
        <v>91</v>
      </c>
      <c r="K34" s="52" t="s">
        <v>93</v>
      </c>
    </row>
    <row r="35" spans="1:11" ht="21" customHeight="1">
      <c r="A35" s="51" t="str">
        <f t="shared" si="0"/>
        <v>1711744</v>
      </c>
      <c r="B35" s="2">
        <v>171</v>
      </c>
      <c r="C35" s="2">
        <v>1744</v>
      </c>
      <c r="D35" s="2" t="s">
        <v>89</v>
      </c>
      <c r="E35" s="2">
        <v>323</v>
      </c>
      <c r="F35" s="2">
        <v>1</v>
      </c>
      <c r="G35" s="2">
        <v>1</v>
      </c>
      <c r="H35" s="2" t="s">
        <v>90</v>
      </c>
      <c r="I35" s="2" t="s">
        <v>92</v>
      </c>
      <c r="J35" s="2" t="s">
        <v>91</v>
      </c>
      <c r="K35" s="52" t="s">
        <v>93</v>
      </c>
    </row>
    <row r="36" spans="1:11" ht="21" customHeight="1">
      <c r="A36" s="51" t="str">
        <f t="shared" si="0"/>
        <v>1711745</v>
      </c>
      <c r="B36" s="2">
        <v>171</v>
      </c>
      <c r="C36" s="2">
        <v>1745</v>
      </c>
      <c r="D36" s="2" t="s">
        <v>89</v>
      </c>
      <c r="E36" s="2">
        <v>325</v>
      </c>
      <c r="F36" s="2">
        <v>1</v>
      </c>
      <c r="G36" s="2">
        <v>1</v>
      </c>
      <c r="H36" s="2" t="s">
        <v>90</v>
      </c>
      <c r="I36" s="2" t="s">
        <v>92</v>
      </c>
      <c r="J36" s="2" t="s">
        <v>91</v>
      </c>
      <c r="K36" s="52" t="s">
        <v>93</v>
      </c>
    </row>
    <row r="37" spans="1:11" ht="21" customHeight="1">
      <c r="A37" s="51" t="str">
        <f t="shared" si="0"/>
        <v>1711746</v>
      </c>
      <c r="B37" s="2">
        <v>171</v>
      </c>
      <c r="C37" s="2">
        <v>1746</v>
      </c>
      <c r="D37" s="2" t="s">
        <v>89</v>
      </c>
      <c r="E37" s="2">
        <v>327</v>
      </c>
      <c r="F37" s="2">
        <v>1</v>
      </c>
      <c r="G37" s="2">
        <v>1</v>
      </c>
      <c r="H37" s="2" t="s">
        <v>90</v>
      </c>
      <c r="I37" s="2" t="s">
        <v>92</v>
      </c>
      <c r="J37" s="2" t="s">
        <v>91</v>
      </c>
      <c r="K37" s="52" t="s">
        <v>93</v>
      </c>
    </row>
    <row r="38" spans="1:11" ht="21" customHeight="1">
      <c r="A38" s="51" t="str">
        <f t="shared" si="0"/>
        <v>1711747</v>
      </c>
      <c r="B38" s="2">
        <v>171</v>
      </c>
      <c r="C38" s="2">
        <v>1747</v>
      </c>
      <c r="D38" s="2" t="s">
        <v>89</v>
      </c>
      <c r="E38" s="2">
        <v>382</v>
      </c>
      <c r="F38" s="2">
        <v>1</v>
      </c>
      <c r="G38" s="2">
        <v>1</v>
      </c>
      <c r="H38" s="2" t="s">
        <v>90</v>
      </c>
      <c r="I38" s="2" t="s">
        <v>92</v>
      </c>
      <c r="J38" s="2" t="s">
        <v>91</v>
      </c>
      <c r="K38" s="52" t="s">
        <v>93</v>
      </c>
    </row>
    <row r="39" spans="1:11" ht="21" customHeight="1">
      <c r="A39" s="51" t="str">
        <f t="shared" si="0"/>
        <v>1711748</v>
      </c>
      <c r="B39" s="2">
        <v>171</v>
      </c>
      <c r="C39" s="2">
        <v>1748</v>
      </c>
      <c r="D39" s="2" t="s">
        <v>89</v>
      </c>
      <c r="E39" s="2">
        <v>384</v>
      </c>
      <c r="F39" s="2">
        <v>1</v>
      </c>
      <c r="G39" s="2">
        <v>1</v>
      </c>
      <c r="H39" s="2" t="s">
        <v>90</v>
      </c>
      <c r="I39" s="2" t="s">
        <v>92</v>
      </c>
      <c r="J39" s="2" t="s">
        <v>91</v>
      </c>
      <c r="K39" s="52" t="s">
        <v>93</v>
      </c>
    </row>
    <row r="40" spans="1:11" ht="21" customHeight="1">
      <c r="A40" s="51" t="str">
        <f t="shared" si="0"/>
        <v>1711749</v>
      </c>
      <c r="B40" s="2">
        <v>171</v>
      </c>
      <c r="C40" s="2">
        <v>1749</v>
      </c>
      <c r="D40" s="2" t="s">
        <v>89</v>
      </c>
      <c r="E40" s="2">
        <v>386</v>
      </c>
      <c r="F40" s="2">
        <v>1</v>
      </c>
      <c r="G40" s="2">
        <v>1</v>
      </c>
      <c r="H40" s="2" t="s">
        <v>90</v>
      </c>
      <c r="I40" s="2" t="s">
        <v>92</v>
      </c>
      <c r="J40" s="2" t="s">
        <v>91</v>
      </c>
      <c r="K40" s="52" t="s">
        <v>93</v>
      </c>
    </row>
    <row r="41" spans="1:11" ht="21" customHeight="1">
      <c r="A41" s="51" t="str">
        <f t="shared" si="0"/>
        <v>1711750</v>
      </c>
      <c r="B41" s="2">
        <v>171</v>
      </c>
      <c r="C41" s="2">
        <v>1750</v>
      </c>
      <c r="D41" s="2" t="s">
        <v>89</v>
      </c>
      <c r="E41" s="2">
        <v>389</v>
      </c>
      <c r="F41" s="2">
        <v>1</v>
      </c>
      <c r="G41" s="2">
        <v>1</v>
      </c>
      <c r="H41" s="2" t="s">
        <v>90</v>
      </c>
      <c r="I41" s="2" t="s">
        <v>92</v>
      </c>
      <c r="J41" s="2" t="s">
        <v>91</v>
      </c>
      <c r="K41" s="52" t="s">
        <v>93</v>
      </c>
    </row>
    <row r="42" spans="1:11" ht="21" customHeight="1">
      <c r="A42" s="51" t="str">
        <f t="shared" si="0"/>
        <v>1711751</v>
      </c>
      <c r="B42" s="2">
        <v>171</v>
      </c>
      <c r="C42" s="2">
        <v>1751</v>
      </c>
      <c r="D42" s="2" t="s">
        <v>89</v>
      </c>
      <c r="E42" s="2">
        <v>391</v>
      </c>
      <c r="F42" s="2">
        <v>1</v>
      </c>
      <c r="G42" s="2">
        <v>1</v>
      </c>
      <c r="H42" s="2" t="s">
        <v>90</v>
      </c>
      <c r="I42" s="2" t="s">
        <v>92</v>
      </c>
      <c r="J42" s="2" t="s">
        <v>91</v>
      </c>
      <c r="K42" s="52" t="s">
        <v>93</v>
      </c>
    </row>
    <row r="43" spans="1:11" ht="21" customHeight="1">
      <c r="A43" s="51" t="str">
        <f t="shared" si="0"/>
        <v>1711752</v>
      </c>
      <c r="B43" s="2">
        <v>171</v>
      </c>
      <c r="C43" s="2">
        <v>1752</v>
      </c>
      <c r="D43" s="2" t="s">
        <v>89</v>
      </c>
      <c r="E43" s="2">
        <v>394</v>
      </c>
      <c r="F43" s="2">
        <v>1</v>
      </c>
      <c r="G43" s="2">
        <v>1</v>
      </c>
      <c r="H43" s="2" t="s">
        <v>90</v>
      </c>
      <c r="I43" s="2" t="s">
        <v>92</v>
      </c>
      <c r="J43" s="2" t="s">
        <v>91</v>
      </c>
      <c r="K43" s="52" t="s">
        <v>93</v>
      </c>
    </row>
    <row r="44" spans="1:11" ht="21" customHeight="1">
      <c r="A44" s="51" t="str">
        <f t="shared" si="0"/>
        <v>1711753</v>
      </c>
      <c r="B44" s="2">
        <v>171</v>
      </c>
      <c r="C44" s="2">
        <v>1753</v>
      </c>
      <c r="D44" s="2" t="s">
        <v>89</v>
      </c>
      <c r="E44" s="2">
        <v>397</v>
      </c>
      <c r="F44" s="2">
        <v>1</v>
      </c>
      <c r="G44" s="2">
        <v>1</v>
      </c>
      <c r="H44" s="2" t="s">
        <v>90</v>
      </c>
      <c r="I44" s="2" t="s">
        <v>92</v>
      </c>
      <c r="J44" s="2" t="s">
        <v>91</v>
      </c>
      <c r="K44" s="52" t="s">
        <v>93</v>
      </c>
    </row>
    <row r="45" spans="1:11" ht="21" customHeight="1">
      <c r="A45" s="51" t="str">
        <f t="shared" si="0"/>
        <v>1711754</v>
      </c>
      <c r="B45" s="2">
        <v>171</v>
      </c>
      <c r="C45" s="2">
        <v>1754</v>
      </c>
      <c r="D45" s="2" t="s">
        <v>89</v>
      </c>
      <c r="E45" s="2">
        <v>399</v>
      </c>
      <c r="F45" s="2">
        <v>1</v>
      </c>
      <c r="G45" s="2">
        <v>1</v>
      </c>
      <c r="H45" s="2" t="s">
        <v>90</v>
      </c>
      <c r="I45" s="2" t="s">
        <v>92</v>
      </c>
      <c r="J45" s="2" t="s">
        <v>91</v>
      </c>
      <c r="K45" s="52" t="s">
        <v>93</v>
      </c>
    </row>
    <row r="46" spans="1:11" ht="21" customHeight="1">
      <c r="A46" s="51" t="str">
        <f t="shared" si="0"/>
        <v>1711755</v>
      </c>
      <c r="B46" s="2">
        <v>171</v>
      </c>
      <c r="C46" s="2">
        <v>1755</v>
      </c>
      <c r="D46" s="2" t="s">
        <v>89</v>
      </c>
      <c r="E46" s="2">
        <v>402</v>
      </c>
      <c r="F46" s="2">
        <v>1</v>
      </c>
      <c r="G46" s="2">
        <v>1</v>
      </c>
      <c r="H46" s="2" t="s">
        <v>90</v>
      </c>
      <c r="I46" s="2" t="s">
        <v>92</v>
      </c>
      <c r="J46" s="2" t="s">
        <v>91</v>
      </c>
      <c r="K46" s="52" t="s">
        <v>93</v>
      </c>
    </row>
    <row r="47" spans="1:11" ht="21" customHeight="1">
      <c r="A47" s="51" t="str">
        <f t="shared" si="0"/>
        <v>1711756</v>
      </c>
      <c r="B47" s="2">
        <v>171</v>
      </c>
      <c r="C47" s="2">
        <v>1756</v>
      </c>
      <c r="D47" s="2" t="s">
        <v>89</v>
      </c>
      <c r="E47" s="2">
        <v>404</v>
      </c>
      <c r="F47" s="2">
        <v>1</v>
      </c>
      <c r="G47" s="2">
        <v>1</v>
      </c>
      <c r="H47" s="2" t="s">
        <v>90</v>
      </c>
      <c r="I47" s="2" t="s">
        <v>92</v>
      </c>
      <c r="J47" s="2" t="s">
        <v>91</v>
      </c>
      <c r="K47" s="52" t="s">
        <v>93</v>
      </c>
    </row>
    <row r="48" spans="1:11" ht="21" customHeight="1">
      <c r="A48" s="51" t="str">
        <f t="shared" si="0"/>
        <v>1711757</v>
      </c>
      <c r="B48" s="2">
        <v>171</v>
      </c>
      <c r="C48" s="2">
        <v>1757</v>
      </c>
      <c r="D48" s="2" t="s">
        <v>89</v>
      </c>
      <c r="E48" s="2">
        <v>407</v>
      </c>
      <c r="F48" s="2">
        <v>1</v>
      </c>
      <c r="G48" s="2">
        <v>1</v>
      </c>
      <c r="H48" s="2" t="s">
        <v>90</v>
      </c>
      <c r="I48" s="2" t="s">
        <v>92</v>
      </c>
      <c r="J48" s="2" t="s">
        <v>91</v>
      </c>
      <c r="K48" s="52" t="s">
        <v>93</v>
      </c>
    </row>
    <row r="49" spans="1:11" ht="21" customHeight="1">
      <c r="A49" s="51" t="str">
        <f t="shared" si="0"/>
        <v>1711758</v>
      </c>
      <c r="B49" s="2">
        <v>171</v>
      </c>
      <c r="C49" s="2">
        <v>1758</v>
      </c>
      <c r="D49" s="2" t="s">
        <v>89</v>
      </c>
      <c r="E49" s="2">
        <v>409</v>
      </c>
      <c r="F49" s="2">
        <v>1</v>
      </c>
      <c r="G49" s="2">
        <v>1</v>
      </c>
      <c r="H49" s="2" t="s">
        <v>90</v>
      </c>
      <c r="I49" s="2" t="s">
        <v>92</v>
      </c>
      <c r="J49" s="2" t="s">
        <v>91</v>
      </c>
      <c r="K49" s="52" t="s">
        <v>93</v>
      </c>
    </row>
    <row r="50" spans="1:11" ht="21" customHeight="1">
      <c r="A50" s="51" t="str">
        <f t="shared" si="0"/>
        <v>1711759</v>
      </c>
      <c r="B50" s="2">
        <v>171</v>
      </c>
      <c r="C50" s="2">
        <v>1759</v>
      </c>
      <c r="D50" s="2" t="s">
        <v>89</v>
      </c>
      <c r="E50" s="2">
        <v>435</v>
      </c>
      <c r="F50" s="2">
        <v>1</v>
      </c>
      <c r="G50" s="2">
        <v>1</v>
      </c>
      <c r="H50" s="2" t="s">
        <v>90</v>
      </c>
      <c r="I50" s="2" t="s">
        <v>92</v>
      </c>
      <c r="J50" s="2" t="s">
        <v>91</v>
      </c>
      <c r="K50" s="52" t="s">
        <v>93</v>
      </c>
    </row>
    <row r="51" spans="1:11" ht="21" customHeight="1">
      <c r="A51" s="51" t="str">
        <f t="shared" si="0"/>
        <v>1711760</v>
      </c>
      <c r="B51" s="2">
        <v>171</v>
      </c>
      <c r="C51" s="2">
        <v>1760</v>
      </c>
      <c r="D51" s="2" t="s">
        <v>89</v>
      </c>
      <c r="E51" s="2">
        <v>438</v>
      </c>
      <c r="F51" s="2">
        <v>1</v>
      </c>
      <c r="G51" s="2">
        <v>1</v>
      </c>
      <c r="H51" s="2" t="s">
        <v>90</v>
      </c>
      <c r="I51" s="2" t="s">
        <v>92</v>
      </c>
      <c r="J51" s="2" t="s">
        <v>91</v>
      </c>
      <c r="K51" s="52" t="s">
        <v>93</v>
      </c>
    </row>
    <row r="52" spans="1:11" ht="21" customHeight="1">
      <c r="A52" s="51" t="str">
        <f t="shared" si="0"/>
        <v>1711761</v>
      </c>
      <c r="B52" s="2">
        <v>171</v>
      </c>
      <c r="C52" s="2">
        <v>1761</v>
      </c>
      <c r="D52" s="2" t="s">
        <v>89</v>
      </c>
      <c r="E52" s="2">
        <v>441</v>
      </c>
      <c r="F52" s="2">
        <v>1</v>
      </c>
      <c r="G52" s="2">
        <v>1</v>
      </c>
      <c r="H52" s="2" t="s">
        <v>90</v>
      </c>
      <c r="I52" s="2" t="s">
        <v>92</v>
      </c>
      <c r="J52" s="2" t="s">
        <v>91</v>
      </c>
      <c r="K52" s="52" t="s">
        <v>93</v>
      </c>
    </row>
    <row r="53" spans="1:11" ht="21" customHeight="1">
      <c r="A53" s="51" t="str">
        <f t="shared" si="0"/>
        <v>1711762</v>
      </c>
      <c r="B53" s="2">
        <v>171</v>
      </c>
      <c r="C53" s="2">
        <v>1762</v>
      </c>
      <c r="D53" s="2" t="s">
        <v>89</v>
      </c>
      <c r="E53" s="2">
        <v>443</v>
      </c>
      <c r="F53" s="2">
        <v>1</v>
      </c>
      <c r="G53" s="2">
        <v>1</v>
      </c>
      <c r="H53" s="2" t="s">
        <v>90</v>
      </c>
      <c r="I53" s="2" t="s">
        <v>92</v>
      </c>
      <c r="J53" s="2" t="s">
        <v>91</v>
      </c>
      <c r="K53" s="52" t="s">
        <v>93</v>
      </c>
    </row>
    <row r="54" spans="1:11" ht="21" customHeight="1">
      <c r="A54" s="51" t="str">
        <f t="shared" si="0"/>
        <v>1711763</v>
      </c>
      <c r="B54" s="2">
        <v>171</v>
      </c>
      <c r="C54" s="2">
        <v>1763</v>
      </c>
      <c r="D54" s="2" t="s">
        <v>89</v>
      </c>
      <c r="E54" s="2">
        <v>464</v>
      </c>
      <c r="F54" s="2">
        <v>1</v>
      </c>
      <c r="G54" s="2">
        <v>1</v>
      </c>
      <c r="H54" s="2" t="s">
        <v>90</v>
      </c>
      <c r="I54" s="2" t="s">
        <v>92</v>
      </c>
      <c r="J54" s="2" t="s">
        <v>91</v>
      </c>
      <c r="K54" s="52" t="s">
        <v>93</v>
      </c>
    </row>
    <row r="55" spans="1:11" ht="21" customHeight="1">
      <c r="A55" s="51" t="str">
        <f t="shared" si="0"/>
        <v>1711764</v>
      </c>
      <c r="B55" s="2">
        <v>171</v>
      </c>
      <c r="C55" s="2">
        <v>1764</v>
      </c>
      <c r="D55" s="2" t="s">
        <v>89</v>
      </c>
      <c r="E55" s="2">
        <v>466</v>
      </c>
      <c r="F55" s="2">
        <v>1</v>
      </c>
      <c r="G55" s="2">
        <v>1</v>
      </c>
      <c r="H55" s="2" t="s">
        <v>90</v>
      </c>
      <c r="I55" s="2" t="s">
        <v>92</v>
      </c>
      <c r="J55" s="2" t="s">
        <v>91</v>
      </c>
      <c r="K55" s="52" t="s">
        <v>93</v>
      </c>
    </row>
    <row r="56" spans="1:11" ht="21" customHeight="1">
      <c r="A56" s="51" t="str">
        <f t="shared" si="0"/>
        <v>1711765</v>
      </c>
      <c r="B56" s="2">
        <v>171</v>
      </c>
      <c r="C56" s="2">
        <v>1765</v>
      </c>
      <c r="D56" s="2" t="s">
        <v>89</v>
      </c>
      <c r="E56" s="2">
        <v>468</v>
      </c>
      <c r="F56" s="2">
        <v>1</v>
      </c>
      <c r="G56" s="2">
        <v>1</v>
      </c>
      <c r="H56" s="2" t="s">
        <v>90</v>
      </c>
      <c r="I56" s="2" t="s">
        <v>92</v>
      </c>
      <c r="J56" s="2" t="s">
        <v>91</v>
      </c>
      <c r="K56" s="52" t="s">
        <v>93</v>
      </c>
    </row>
    <row r="57" spans="1:11" ht="21" customHeight="1">
      <c r="A57" s="51" t="str">
        <f t="shared" si="0"/>
        <v>1711766</v>
      </c>
      <c r="B57" s="2">
        <v>171</v>
      </c>
      <c r="C57" s="2">
        <v>1766</v>
      </c>
      <c r="D57" s="2" t="s">
        <v>89</v>
      </c>
      <c r="E57" s="2">
        <v>471</v>
      </c>
      <c r="F57" s="2">
        <v>1</v>
      </c>
      <c r="G57" s="2">
        <v>1</v>
      </c>
      <c r="H57" s="2" t="s">
        <v>90</v>
      </c>
      <c r="I57" s="2" t="s">
        <v>92</v>
      </c>
      <c r="J57" s="2" t="s">
        <v>91</v>
      </c>
      <c r="K57" s="52" t="s">
        <v>93</v>
      </c>
    </row>
    <row r="58" spans="1:11" ht="21" customHeight="1">
      <c r="A58" s="51" t="str">
        <f t="shared" si="0"/>
        <v>1711767</v>
      </c>
      <c r="B58" s="2">
        <v>171</v>
      </c>
      <c r="C58" s="2">
        <v>1767</v>
      </c>
      <c r="D58" s="2" t="s">
        <v>89</v>
      </c>
      <c r="E58" s="2">
        <v>475</v>
      </c>
      <c r="F58" s="2">
        <v>1</v>
      </c>
      <c r="G58" s="2">
        <v>1</v>
      </c>
      <c r="H58" s="2" t="s">
        <v>90</v>
      </c>
      <c r="I58" s="2" t="s">
        <v>92</v>
      </c>
      <c r="J58" s="2" t="s">
        <v>91</v>
      </c>
      <c r="K58" s="52" t="s">
        <v>93</v>
      </c>
    </row>
    <row r="59" spans="1:11" ht="21" customHeight="1">
      <c r="A59" s="51" t="str">
        <f t="shared" si="0"/>
        <v>1711768</v>
      </c>
      <c r="B59" s="2">
        <v>171</v>
      </c>
      <c r="C59" s="2">
        <v>1768</v>
      </c>
      <c r="D59" s="2" t="s">
        <v>89</v>
      </c>
      <c r="E59" s="2">
        <v>478</v>
      </c>
      <c r="F59" s="2">
        <v>1</v>
      </c>
      <c r="G59" s="2">
        <v>1</v>
      </c>
      <c r="H59" s="2" t="s">
        <v>90</v>
      </c>
      <c r="I59" s="2" t="s">
        <v>92</v>
      </c>
      <c r="J59" s="2" t="s">
        <v>91</v>
      </c>
      <c r="K59" s="52" t="s">
        <v>93</v>
      </c>
    </row>
    <row r="60" spans="1:11" ht="21" customHeight="1">
      <c r="A60" s="51" t="str">
        <f t="shared" si="0"/>
        <v>1711769</v>
      </c>
      <c r="B60" s="2">
        <v>171</v>
      </c>
      <c r="C60" s="2">
        <v>1769</v>
      </c>
      <c r="D60" s="2" t="s">
        <v>89</v>
      </c>
      <c r="E60" s="2">
        <v>480</v>
      </c>
      <c r="F60" s="2">
        <v>1</v>
      </c>
      <c r="G60" s="2">
        <v>1</v>
      </c>
      <c r="H60" s="2" t="s">
        <v>90</v>
      </c>
      <c r="I60" s="2" t="s">
        <v>92</v>
      </c>
      <c r="J60" s="2" t="s">
        <v>91</v>
      </c>
      <c r="K60" s="52" t="s">
        <v>93</v>
      </c>
    </row>
    <row r="61" spans="1:11" ht="21" customHeight="1">
      <c r="A61" s="51" t="str">
        <f t="shared" si="0"/>
        <v>1711770</v>
      </c>
      <c r="B61" s="2">
        <v>171</v>
      </c>
      <c r="C61" s="2">
        <v>1770</v>
      </c>
      <c r="D61" s="2" t="s">
        <v>89</v>
      </c>
      <c r="E61" s="2">
        <v>483</v>
      </c>
      <c r="F61" s="2">
        <v>1</v>
      </c>
      <c r="G61" s="2">
        <v>1</v>
      </c>
      <c r="H61" s="2" t="s">
        <v>90</v>
      </c>
      <c r="I61" s="2" t="s">
        <v>92</v>
      </c>
      <c r="J61" s="2" t="s">
        <v>91</v>
      </c>
      <c r="K61" s="52" t="s">
        <v>93</v>
      </c>
    </row>
    <row r="62" spans="1:11" ht="21" customHeight="1">
      <c r="A62" s="51" t="str">
        <f t="shared" si="0"/>
        <v>1711771</v>
      </c>
      <c r="B62" s="2">
        <v>171</v>
      </c>
      <c r="C62" s="2">
        <v>1771</v>
      </c>
      <c r="D62" s="2" t="s">
        <v>89</v>
      </c>
      <c r="E62" s="2">
        <v>493</v>
      </c>
      <c r="F62" s="2">
        <v>1</v>
      </c>
      <c r="G62" s="2">
        <v>1</v>
      </c>
      <c r="H62" s="2" t="s">
        <v>90</v>
      </c>
      <c r="I62" s="2" t="s">
        <v>92</v>
      </c>
      <c r="J62" s="2" t="s">
        <v>91</v>
      </c>
      <c r="K62" s="52" t="s">
        <v>93</v>
      </c>
    </row>
    <row r="63" spans="1:11" ht="21" customHeight="1">
      <c r="A63" s="51" t="str">
        <f t="shared" si="0"/>
        <v>1711772</v>
      </c>
      <c r="B63" s="2">
        <v>171</v>
      </c>
      <c r="C63" s="2">
        <v>1772</v>
      </c>
      <c r="D63" s="2" t="s">
        <v>89</v>
      </c>
      <c r="E63" s="2">
        <v>495</v>
      </c>
      <c r="F63" s="2">
        <v>1</v>
      </c>
      <c r="G63" s="2">
        <v>1</v>
      </c>
      <c r="H63" s="2" t="s">
        <v>90</v>
      </c>
      <c r="I63" s="2" t="s">
        <v>92</v>
      </c>
      <c r="J63" s="2" t="s">
        <v>91</v>
      </c>
      <c r="K63" s="52" t="s">
        <v>93</v>
      </c>
    </row>
    <row r="64" spans="1:11" ht="21" customHeight="1">
      <c r="A64" s="51" t="str">
        <f t="shared" si="0"/>
        <v>1711773</v>
      </c>
      <c r="B64" s="2">
        <v>171</v>
      </c>
      <c r="C64" s="2">
        <v>1773</v>
      </c>
      <c r="D64" s="2" t="s">
        <v>89</v>
      </c>
      <c r="E64" s="2">
        <v>498</v>
      </c>
      <c r="F64" s="2">
        <v>1</v>
      </c>
      <c r="G64" s="2">
        <v>1</v>
      </c>
      <c r="H64" s="2" t="s">
        <v>90</v>
      </c>
      <c r="I64" s="2" t="s">
        <v>92</v>
      </c>
      <c r="J64" s="2" t="s">
        <v>91</v>
      </c>
      <c r="K64" s="52" t="s">
        <v>93</v>
      </c>
    </row>
    <row r="65" spans="1:11" ht="21" customHeight="1">
      <c r="A65" s="51" t="str">
        <f t="shared" si="0"/>
        <v>1711774</v>
      </c>
      <c r="B65" s="2">
        <v>171</v>
      </c>
      <c r="C65" s="2">
        <v>1774</v>
      </c>
      <c r="D65" s="2" t="s">
        <v>89</v>
      </c>
      <c r="E65" s="2">
        <v>500</v>
      </c>
      <c r="F65" s="2">
        <v>1</v>
      </c>
      <c r="G65" s="2">
        <v>1</v>
      </c>
      <c r="H65" s="2" t="s">
        <v>90</v>
      </c>
      <c r="I65" s="2" t="s">
        <v>92</v>
      </c>
      <c r="J65" s="2" t="s">
        <v>91</v>
      </c>
      <c r="K65" s="52" t="s">
        <v>93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1"/>
  <sheetViews>
    <sheetView workbookViewId="0">
      <pane ySplit="1" topLeftCell="A2" activePane="bottomLeft" state="frozen"/>
      <selection pane="bottomLeft" activeCell="I17" sqref="I17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2" t="s">
        <v>1</v>
      </c>
      <c r="B1" s="47" t="s">
        <v>80</v>
      </c>
      <c r="C1" s="37" t="s">
        <v>83</v>
      </c>
      <c r="D1" s="38" t="s">
        <v>13</v>
      </c>
      <c r="E1" s="38" t="s">
        <v>14</v>
      </c>
      <c r="F1" s="38" t="s">
        <v>15</v>
      </c>
      <c r="G1" s="38" t="s">
        <v>16</v>
      </c>
      <c r="H1" s="38" t="s">
        <v>17</v>
      </c>
    </row>
    <row r="2" spans="1:8">
      <c r="A2" s="12"/>
      <c r="B2" s="8"/>
      <c r="C2" s="5"/>
      <c r="D2" s="5"/>
      <c r="E2" s="5"/>
      <c r="F2" s="5"/>
      <c r="G2" s="5"/>
      <c r="H2" s="12"/>
    </row>
    <row r="3" spans="1:8">
      <c r="A3" s="12"/>
      <c r="B3" s="8"/>
      <c r="C3" s="5"/>
      <c r="D3" s="5"/>
      <c r="E3" s="5"/>
      <c r="F3" s="5"/>
      <c r="G3" s="5"/>
      <c r="H3" s="12"/>
    </row>
    <row r="4" spans="1:8">
      <c r="A4" s="12"/>
      <c r="B4" s="8"/>
      <c r="C4" s="5"/>
      <c r="D4" s="5"/>
      <c r="E4" s="5"/>
      <c r="F4" s="5"/>
      <c r="G4" s="5"/>
      <c r="H4" s="12"/>
    </row>
    <row r="5" spans="1:8">
      <c r="A5" s="12"/>
      <c r="B5" s="8"/>
      <c r="C5" s="5"/>
      <c r="D5" s="5"/>
      <c r="E5" s="5"/>
      <c r="F5" s="5"/>
      <c r="G5" s="5"/>
      <c r="H5" s="12"/>
    </row>
    <row r="6" spans="1:8">
      <c r="A6" s="12"/>
      <c r="B6" s="8"/>
      <c r="C6" s="5"/>
      <c r="D6" s="5"/>
      <c r="E6" s="5"/>
      <c r="F6" s="5"/>
      <c r="G6" s="5"/>
      <c r="H6" s="12"/>
    </row>
    <row r="7" spans="1:8">
      <c r="A7" s="12"/>
      <c r="B7" s="8"/>
      <c r="C7" s="5"/>
      <c r="D7" s="5"/>
      <c r="E7" s="5"/>
      <c r="F7" s="5"/>
      <c r="G7" s="5"/>
      <c r="H7" s="12"/>
    </row>
    <row r="8" spans="1:8">
      <c r="A8" s="12"/>
      <c r="B8" s="8"/>
      <c r="C8" s="5"/>
      <c r="D8" s="5"/>
      <c r="E8" s="5"/>
      <c r="F8" s="5"/>
      <c r="G8" s="5"/>
      <c r="H8" s="12"/>
    </row>
    <row r="9" spans="1:8">
      <c r="A9" s="12"/>
      <c r="B9" s="8"/>
      <c r="C9" s="5"/>
      <c r="D9" s="5"/>
      <c r="E9" s="5"/>
      <c r="F9" s="5"/>
      <c r="G9" s="5"/>
      <c r="H9" s="12"/>
    </row>
    <row r="10" spans="1:8">
      <c r="A10" s="12"/>
      <c r="B10" s="8"/>
      <c r="C10" s="5"/>
      <c r="D10" s="5"/>
      <c r="E10" s="5"/>
      <c r="F10" s="5"/>
      <c r="G10" s="5"/>
      <c r="H10" s="12"/>
    </row>
    <row r="11" spans="1:8">
      <c r="A11" s="12" t="s">
        <v>88</v>
      </c>
      <c r="B11" s="8" t="str">
        <f>IFERROR(VLOOKUP(A11,[1]characters!$A:$C,3,FALSE),"")</f>
        <v/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2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F8" sqref="F8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39">
        <v>171</v>
      </c>
    </row>
    <row r="5" spans="1:8">
      <c r="A5" s="40" t="s">
        <v>82</v>
      </c>
      <c r="B5" s="41" t="str">
        <f>$A$3 &amp; "1"</f>
        <v>1711</v>
      </c>
      <c r="D5" s="40" t="s">
        <v>85</v>
      </c>
      <c r="E5" s="41" t="str">
        <f>$A$3 &amp; "0"</f>
        <v>1710</v>
      </c>
      <c r="G5" s="40" t="s">
        <v>86</v>
      </c>
      <c r="H5" s="41" t="str">
        <f>$A$3 &amp; "3"</f>
        <v>1713</v>
      </c>
    </row>
    <row r="6" spans="1:8">
      <c r="A6" s="42" t="s">
        <v>84</v>
      </c>
      <c r="B6" s="43"/>
      <c r="D6" s="42" t="s">
        <v>84</v>
      </c>
      <c r="E6" s="43"/>
      <c r="G6" s="42" t="s">
        <v>84</v>
      </c>
      <c r="H6" s="43"/>
    </row>
    <row r="7" spans="1:8">
      <c r="A7" s="45">
        <f>COUNTIFS(gacha_select_tables!$H:$H,"PremiumSSS",gacha_select_tables!$B:$B,B5)</f>
        <v>0</v>
      </c>
      <c r="B7" s="43"/>
      <c r="D7" s="45">
        <f>COUNTIFS(gacha_select_tables!$H:$H,"PremiumSSS",gacha_select_tables!$B:$B,E5)</f>
        <v>0</v>
      </c>
      <c r="E7" s="43"/>
      <c r="G7" s="45">
        <f>COUNTIF(gacha_settle_tables!G:G,"PremiumSSS")</f>
        <v>0</v>
      </c>
      <c r="H7" s="43"/>
    </row>
    <row r="8" spans="1:8">
      <c r="A8" s="42"/>
      <c r="B8" s="43"/>
      <c r="D8" s="42"/>
      <c r="E8" s="43"/>
      <c r="G8" s="42"/>
      <c r="H8" s="43"/>
    </row>
    <row r="9" spans="1:8">
      <c r="A9" s="42" t="s">
        <v>81</v>
      </c>
      <c r="B9" s="43"/>
      <c r="D9" s="42" t="s">
        <v>81</v>
      </c>
      <c r="E9" s="43"/>
      <c r="G9" s="42" t="s">
        <v>81</v>
      </c>
      <c r="H9" s="43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gacha_select_tables!$B:$B,B5)</f>
        <v>0</v>
      </c>
      <c r="E10" s="44"/>
      <c r="G10" s="46">
        <f>COUNTIF(gacha_settle_tables!$R:$R,"&gt;1")</f>
        <v>0</v>
      </c>
      <c r="H10" s="44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gacha_171_base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2016-01-08T03:16:31Z</dcterms:modified>
</cp:coreProperties>
</file>