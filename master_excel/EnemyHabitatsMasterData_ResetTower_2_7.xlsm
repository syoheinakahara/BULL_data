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640" yWindow="2440" windowWidth="33000" windowHeight="180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0" l="1"/>
  <c r="B11" i="10"/>
  <c r="B14" i="10"/>
  <c r="B15" i="10"/>
  <c r="B16" i="10"/>
  <c r="B17" i="10"/>
  <c r="B18" i="10"/>
  <c r="B19" i="10"/>
  <c r="B20" i="10"/>
  <c r="B21" i="10"/>
  <c r="B22" i="10"/>
  <c r="B23" i="10"/>
  <c r="B24" i="10"/>
  <c r="B13" i="10"/>
  <c r="O4" i="21"/>
  <c r="I4" i="21"/>
  <c r="G4" i="21"/>
  <c r="F4" i="21"/>
  <c r="D4" i="21"/>
  <c r="C4" i="21"/>
  <c r="D15" i="9"/>
  <c r="C3" i="21"/>
  <c r="D3" i="21"/>
  <c r="F3" i="21"/>
  <c r="G3" i="21"/>
  <c r="I3" i="21"/>
  <c r="O3" i="21"/>
  <c r="C5" i="21"/>
  <c r="D5" i="21"/>
  <c r="F5" i="21"/>
  <c r="G5" i="21"/>
  <c r="I5" i="21"/>
  <c r="O5" i="21"/>
  <c r="C6" i="21"/>
  <c r="D6" i="21"/>
  <c r="F6" i="21"/>
  <c r="G6" i="21"/>
  <c r="I6" i="21"/>
  <c r="O6" i="21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C8" i="18"/>
  <c r="D8" i="18"/>
  <c r="C3" i="18"/>
  <c r="D3" i="18"/>
  <c r="C4" i="18"/>
  <c r="D4" i="18"/>
  <c r="C5" i="18"/>
  <c r="D5" i="18"/>
  <c r="C6" i="18"/>
  <c r="D6" i="18"/>
  <c r="C7" i="18"/>
  <c r="D7" i="18"/>
  <c r="T5" i="1"/>
  <c r="T4" i="1"/>
  <c r="T3" i="1"/>
  <c r="T2" i="1"/>
  <c r="V5" i="1"/>
  <c r="V4" i="1"/>
  <c r="V3" i="1"/>
  <c r="V2" i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A15" i="9"/>
  <c r="E15" i="9"/>
  <c r="O15" i="9"/>
  <c r="A16" i="9"/>
  <c r="D16" i="9"/>
  <c r="E16" i="9"/>
  <c r="O16" i="9"/>
  <c r="A17" i="9"/>
  <c r="D17" i="9"/>
  <c r="E17" i="9"/>
  <c r="O17" i="9"/>
  <c r="A18" i="9"/>
  <c r="D18" i="9"/>
  <c r="E18" i="9"/>
  <c r="O18" i="9"/>
  <c r="A19" i="9"/>
  <c r="D19" i="9"/>
  <c r="E19" i="9"/>
  <c r="O19" i="9"/>
  <c r="A20" i="9"/>
  <c r="D20" i="9"/>
  <c r="E20" i="9"/>
  <c r="O20" i="9"/>
  <c r="A21" i="9"/>
  <c r="D21" i="9"/>
  <c r="E21" i="9"/>
  <c r="O21" i="9"/>
  <c r="A22" i="9"/>
  <c r="D22" i="9"/>
  <c r="E22" i="9"/>
  <c r="O22" i="9"/>
  <c r="A23" i="9"/>
  <c r="D23" i="9"/>
  <c r="E23" i="9"/>
  <c r="O23" i="9"/>
  <c r="A24" i="9"/>
  <c r="D24" i="9"/>
  <c r="E24" i="9"/>
  <c r="O24" i="9"/>
  <c r="A3" i="9"/>
  <c r="D3" i="9"/>
  <c r="E3" i="9"/>
  <c r="O3" i="9"/>
  <c r="A4" i="9"/>
  <c r="D4" i="9"/>
  <c r="E4" i="9"/>
  <c r="O4" i="9"/>
  <c r="A5" i="9"/>
  <c r="D5" i="9"/>
  <c r="E5" i="9"/>
  <c r="O5" i="9"/>
  <c r="A6" i="9"/>
  <c r="D6" i="9"/>
  <c r="E6" i="9"/>
  <c r="O6" i="9"/>
  <c r="A7" i="9"/>
  <c r="D7" i="9"/>
  <c r="E7" i="9"/>
  <c r="O7" i="9"/>
  <c r="A8" i="9"/>
  <c r="D8" i="9"/>
  <c r="E8" i="9"/>
  <c r="O8" i="9"/>
  <c r="A9" i="9"/>
  <c r="D9" i="9"/>
  <c r="E9" i="9"/>
  <c r="O9" i="9"/>
  <c r="A10" i="9"/>
  <c r="D10" i="9"/>
  <c r="E10" i="9"/>
  <c r="O10" i="9"/>
  <c r="A11" i="9"/>
  <c r="D11" i="9"/>
  <c r="E11" i="9"/>
  <c r="O11" i="9"/>
  <c r="A12" i="9"/>
  <c r="D12" i="9"/>
  <c r="E12" i="9"/>
  <c r="O12" i="9"/>
  <c r="A13" i="9"/>
  <c r="D13" i="9"/>
  <c r="E13" i="9"/>
  <c r="O13" i="9"/>
  <c r="A14" i="9"/>
  <c r="D14" i="9"/>
  <c r="E14" i="9"/>
  <c r="O14" i="9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B3" i="10"/>
  <c r="G3" i="10"/>
  <c r="H3" i="10"/>
  <c r="I3" i="10"/>
  <c r="J3" i="10"/>
  <c r="K3" i="10"/>
  <c r="L3" i="10"/>
  <c r="M3" i="10"/>
  <c r="B8" i="10"/>
  <c r="M8" i="10"/>
  <c r="M13" i="10"/>
  <c r="M18" i="10"/>
  <c r="N18" i="10"/>
  <c r="Q18" i="10"/>
  <c r="P18" i="10"/>
  <c r="R18" i="10"/>
  <c r="O18" i="10"/>
  <c r="S18" i="10"/>
  <c r="N13" i="10"/>
  <c r="Q13" i="10"/>
  <c r="P13" i="10"/>
  <c r="R13" i="10"/>
  <c r="O13" i="10"/>
  <c r="S13" i="10"/>
  <c r="N8" i="10"/>
  <c r="Q8" i="10"/>
  <c r="P8" i="10"/>
  <c r="R8" i="10"/>
  <c r="O8" i="10"/>
  <c r="S8" i="10"/>
  <c r="N3" i="10"/>
  <c r="O3" i="10"/>
  <c r="P3" i="10"/>
  <c r="Q3" i="10"/>
  <c r="R3" i="10"/>
  <c r="S3" i="10"/>
  <c r="T3" i="10"/>
  <c r="U3" i="10"/>
  <c r="V3" i="10"/>
  <c r="W3" i="10"/>
  <c r="X3" i="10"/>
  <c r="Y3" i="10"/>
  <c r="B4" i="10"/>
  <c r="G4" i="10"/>
  <c r="H4" i="10"/>
  <c r="I4" i="10"/>
  <c r="J4" i="10"/>
  <c r="K4" i="10"/>
  <c r="L4" i="10"/>
  <c r="M4" i="10"/>
  <c r="B9" i="10"/>
  <c r="M9" i="10"/>
  <c r="M14" i="10"/>
  <c r="M19" i="10"/>
  <c r="N19" i="10"/>
  <c r="Q19" i="10"/>
  <c r="P19" i="10"/>
  <c r="R19" i="10"/>
  <c r="O19" i="10"/>
  <c r="S19" i="10"/>
  <c r="N14" i="10"/>
  <c r="Q14" i="10"/>
  <c r="P14" i="10"/>
  <c r="R14" i="10"/>
  <c r="O14" i="10"/>
  <c r="S14" i="10"/>
  <c r="N9" i="10"/>
  <c r="Q9" i="10"/>
  <c r="P9" i="10"/>
  <c r="R9" i="10"/>
  <c r="O9" i="10"/>
  <c r="S9" i="10"/>
  <c r="N4" i="10"/>
  <c r="O4" i="10"/>
  <c r="P4" i="10"/>
  <c r="Q4" i="10"/>
  <c r="R4" i="10"/>
  <c r="S4" i="10"/>
  <c r="T4" i="10"/>
  <c r="U4" i="10"/>
  <c r="V4" i="10"/>
  <c r="W4" i="10"/>
  <c r="X4" i="10"/>
  <c r="Y4" i="10"/>
  <c r="B5" i="10"/>
  <c r="G5" i="10"/>
  <c r="H5" i="10"/>
  <c r="I5" i="10"/>
  <c r="J5" i="10"/>
  <c r="K5" i="10"/>
  <c r="L5" i="10"/>
  <c r="M5" i="10"/>
  <c r="M10" i="10"/>
  <c r="M15" i="10"/>
  <c r="N15" i="10"/>
  <c r="Q15" i="10"/>
  <c r="P15" i="10"/>
  <c r="R15" i="10"/>
  <c r="O15" i="10"/>
  <c r="S15" i="10"/>
  <c r="N10" i="10"/>
  <c r="Q10" i="10"/>
  <c r="P10" i="10"/>
  <c r="R10" i="10"/>
  <c r="O10" i="10"/>
  <c r="S10" i="10"/>
  <c r="N5" i="10"/>
  <c r="O5" i="10"/>
  <c r="P5" i="10"/>
  <c r="Q5" i="10"/>
  <c r="R5" i="10"/>
  <c r="S5" i="10"/>
  <c r="T5" i="10"/>
  <c r="U5" i="10"/>
  <c r="V5" i="10"/>
  <c r="W5" i="10"/>
  <c r="X5" i="10"/>
  <c r="Y5" i="10"/>
  <c r="B6" i="10"/>
  <c r="G6" i="10"/>
  <c r="H6" i="10"/>
  <c r="I6" i="10"/>
  <c r="J6" i="10"/>
  <c r="K6" i="10"/>
  <c r="L6" i="10"/>
  <c r="M6" i="10"/>
  <c r="M11" i="10"/>
  <c r="M16" i="10"/>
  <c r="N16" i="10"/>
  <c r="Q16" i="10"/>
  <c r="P16" i="10"/>
  <c r="R16" i="10"/>
  <c r="O16" i="10"/>
  <c r="S16" i="10"/>
  <c r="N11" i="10"/>
  <c r="Q11" i="10"/>
  <c r="P11" i="10"/>
  <c r="R11" i="10"/>
  <c r="O11" i="10"/>
  <c r="S11" i="10"/>
  <c r="N6" i="10"/>
  <c r="O6" i="10"/>
  <c r="P6" i="10"/>
  <c r="Q6" i="10"/>
  <c r="R6" i="10"/>
  <c r="S6" i="10"/>
  <c r="T6" i="10"/>
  <c r="U6" i="10"/>
  <c r="V6" i="10"/>
  <c r="W6" i="10"/>
  <c r="X6" i="10"/>
  <c r="Y6" i="10"/>
  <c r="B7" i="10"/>
  <c r="G7" i="10"/>
  <c r="H7" i="10"/>
  <c r="I7" i="10"/>
  <c r="J7" i="10"/>
  <c r="K7" i="10"/>
  <c r="L7" i="10"/>
  <c r="M7" i="10"/>
  <c r="M12" i="10"/>
  <c r="M17" i="10"/>
  <c r="N17" i="10"/>
  <c r="Q17" i="10"/>
  <c r="P17" i="10"/>
  <c r="R17" i="10"/>
  <c r="O17" i="10"/>
  <c r="S17" i="10"/>
  <c r="N12" i="10"/>
  <c r="Q12" i="10"/>
  <c r="P12" i="10"/>
  <c r="R12" i="10"/>
  <c r="O12" i="10"/>
  <c r="S1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T8" i="10"/>
  <c r="U8" i="10"/>
  <c r="V8" i="10"/>
  <c r="W8" i="10"/>
  <c r="X8" i="10"/>
  <c r="Y8" i="10"/>
  <c r="G9" i="10"/>
  <c r="H9" i="10"/>
  <c r="I9" i="10"/>
  <c r="J9" i="10"/>
  <c r="K9" i="10"/>
  <c r="L9" i="10"/>
  <c r="T9" i="10"/>
  <c r="U9" i="10"/>
  <c r="V9" i="10"/>
  <c r="W9" i="10"/>
  <c r="X9" i="10"/>
  <c r="Y9" i="10"/>
  <c r="G10" i="10"/>
  <c r="H10" i="10"/>
  <c r="I10" i="10"/>
  <c r="J10" i="10"/>
  <c r="K10" i="10"/>
  <c r="L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5" i="2"/>
  <c r="A5" i="2"/>
  <c r="H3" i="1"/>
  <c r="H4" i="1"/>
  <c r="H5" i="1"/>
  <c r="H2" i="1"/>
  <c r="B5" i="2"/>
  <c r="D5" i="2"/>
  <c r="E5" i="2"/>
  <c r="H5" i="2"/>
  <c r="A3" i="1"/>
  <c r="D3" i="1"/>
  <c r="E3" i="1"/>
  <c r="F3" i="1"/>
  <c r="G2" i="2"/>
  <c r="A2" i="2"/>
  <c r="G3" i="2"/>
  <c r="A3" i="2"/>
  <c r="G4" i="2"/>
  <c r="A4" i="2"/>
  <c r="I3" i="1"/>
  <c r="J3" i="1"/>
  <c r="M3" i="1"/>
  <c r="N3" i="1"/>
  <c r="O3" i="1"/>
  <c r="P3" i="1"/>
  <c r="Q3" i="1"/>
  <c r="E2" i="9"/>
  <c r="X3" i="1"/>
  <c r="AD3" i="1"/>
  <c r="AE3" i="1"/>
  <c r="AF3" i="1"/>
  <c r="AG3" i="1"/>
  <c r="AI3" i="1"/>
  <c r="A4" i="1"/>
  <c r="D4" i="1"/>
  <c r="E4" i="1"/>
  <c r="F4" i="1"/>
  <c r="I4" i="1"/>
  <c r="J4" i="1"/>
  <c r="M4" i="1"/>
  <c r="N4" i="1"/>
  <c r="O4" i="1"/>
  <c r="P4" i="1"/>
  <c r="Q4" i="1"/>
  <c r="X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X5" i="1"/>
  <c r="AD5" i="1"/>
  <c r="AE5" i="1"/>
  <c r="AF5" i="1"/>
  <c r="AG5" i="1"/>
  <c r="AI5" i="1"/>
  <c r="B3" i="2"/>
  <c r="D3" i="2"/>
  <c r="E3" i="2"/>
  <c r="H3" i="2"/>
  <c r="B4" i="2"/>
  <c r="D4" i="2"/>
  <c r="E4" i="2"/>
  <c r="H4" i="2"/>
  <c r="W2" i="7"/>
  <c r="U2" i="7"/>
  <c r="R2" i="7"/>
  <c r="Q2" i="7"/>
  <c r="P2" i="7"/>
  <c r="O2" i="7"/>
  <c r="N2" i="7"/>
  <c r="H2" i="7"/>
  <c r="D2" i="7"/>
  <c r="F2" i="7"/>
  <c r="E2" i="7"/>
  <c r="A2" i="7"/>
  <c r="O2" i="21"/>
  <c r="J2" i="11"/>
  <c r="B2" i="10"/>
  <c r="X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<sst xmlns="http://schemas.openxmlformats.org/spreadsheetml/2006/main" count="675" uniqueCount="348">
  <si>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</si>
  <si>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</si>
  <si>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</si>
  <si>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</si>
  <si>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</si>
  <si>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</si>
  <si>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</si>
  <si>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</si>
  <si>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</si>
  <si>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</si>
  <si>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</si>
  <si>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</si>
  <si>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</si>
  <si>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</si>
  <si>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</si>
  <si>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</si>
  <si>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</si>
  <si>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</si>
  <si>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</si>
  <si>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</si>
  <si>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</si>
  <si>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</si>
  <si>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</si>
  <si>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</si>
  <si>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</si>
  <si>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</si>
  <si>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</si>
  <si>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</si>
  <si>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</si>
  <si>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</si>
  <si>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</si>
  <si>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</si>
  <si>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</si>
  <si>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</si>
  <si>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</si>
  <si>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</si>
  <si>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</si>
  <si>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</si>
  <si>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</si>
  <si>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</si>
  <si>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</si>
  <si>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</si>
  <si>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</si>
  <si>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</si>
  <si>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</si>
  <si>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</si>
  <si>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</si>
  <si>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</si>
  <si>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</si>
  <si>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</si>
  <si>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</si>
  <si>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</si>
  <si>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</si>
  <si>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</si>
  <si>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</si>
  <si>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</si>
  <si>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</si>
  <si>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</si>
  <si>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</si>
  <si>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</si>
  <si>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</si>
  <si>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</si>
  <si>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</si>
  <si>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</si>
  <si>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</si>
  <si>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</si>
  <si>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</si>
  <si>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</si>
  <si>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</si>
  <si>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</si>
  <si>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</si>
  <si>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</si>
  <si>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</si>
  <si>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</si>
  <si>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</si>
  <si>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</si>
  <si>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</si>
  <si>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</si>
  <si>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</si>
  <si>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</si>
  <si>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</si>
  <si>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</si>
  <si>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</si>
  <si>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</si>
  <si>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</si>
  <si>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</si>
  <si>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</si>
  <si>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</si>
  <si>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</si>
  <si>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</si>
  <si>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</si>
  <si>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</si>
  <si>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</si>
  <si>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</si>
  <si>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</si>
  <si>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</si>
  <si>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</si>
  <si>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</si>
  <si>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</si>
  <si>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</si>
  <si>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</si>
  <si>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</si>
  <si>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</si>
  <si>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</si>
  <si>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</si>
  <si>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</si>
  <si>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</si>
  <si>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</si>
  <si>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</si>
  <si>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</si>
  <si>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</si>
  <si>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</si>
  <si>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</si>
  <si>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</si>
  <si>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</si>
  <si>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</si>
  <si>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</si>
  <si>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</si>
  <si>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</si>
  <si>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</si>
  <si>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</si>
  <si>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</si>
  <si>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</si>
  <si>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</si>
  <si>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</si>
  <si>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</si>
  <si>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</si>
  <si>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</si>
  <si>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</si>
  <si>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</si>
  <si>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</si>
  <si>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</si>
  <si>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</si>
  <si>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</si>
  <si>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</si>
  <si>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</si>
  <si>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</si>
  <si>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</si>
  <si>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</si>
  <si>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</si>
  <si>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</si>
  <si>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</si>
  <si>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</si>
  <si>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</si>
  <si>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</si>
  <si>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</si>
  <si>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</si>
  <si>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</si>
  <si>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</si>
  <si>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</si>
  <si>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</si>
  <si>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</si>
  <si>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</si>
  <si>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</si>
  <si>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</si>
  <si>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</si>
  <si>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</si>
  <si>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</si>
  <si>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</si>
  <si>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</si>
  <si>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</si>
  <si>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</si>
  <si>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</si>
  <si>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</si>
  <si>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</si>
  <si>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</si>
  <si>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</si>
  <si>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</si>
  <si>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</si>
  <si>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</si>
  <si>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</si>
  <si>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</si>
  <si>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</si>
  <si>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</si>
  <si>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</si>
  <si>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</si>
  <si>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</si>
  <si>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</si>
  <si>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</si>
  <si>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</si>
  <si>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</si>
  <si>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</si>
  <si>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</si>
  <si>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</si>
  <si>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</si>
  <si>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</si>
  <si>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</si>
  <si>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</si>
  <si>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</si>
  <si>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</si>
  <si>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</si>
  <si>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</si>
  <si>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</si>
  <si>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</si>
  <si>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</si>
  <si>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</si>
  <si>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</si>
  <si>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</si>
  <si>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</si>
  <si>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</si>
  <si>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</si>
  <si>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</si>
  <si>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</si>
  <si>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</si>
  <si>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</si>
  <si>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</si>
  <si>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</si>
  <si>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</si>
  <si>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</si>
  <si>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</si>
  <si>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</si>
  <si>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</si>
  <si>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</si>
  <si>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</si>
  <si>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</si>
  <si>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</si>
  <si>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</si>
  <si>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</si>
  <si>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</si>
  <si>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</si>
  <si>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</si>
  <si>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</si>
  <si>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</si>
  <si>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</si>
  <si>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</si>
  <si>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</si>
  <si>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</si>
  <si>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</si>
  <si>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</si>
  <si>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</si>
  <si>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</si>
  <si>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</si>
  <si>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</si>
  <si>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</si>
  <si>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</si>
  <si>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</si>
  <si>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</si>
  <si>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</si>
  <si>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</si>
  <si>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</si>
  <si>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</si>
  <si>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</si>
  <si>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</si>
  <si>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</si>
  <si>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</si>
  <si>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</si>
  <si>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</si>
  <si>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</si>
  <si>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</si>
  <si>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</si>
  <si>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</si>
  <si>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単体攻撃+青パネルを緑パネルに変換</t>
    <rPh sb="0" eb="4">
      <t>タンタイコウゲキ</t>
    </rPh>
    <rPh sb="5" eb="6">
      <t>アオパネル</t>
    </rPh>
    <rPh sb="10" eb="11">
      <t>ミドリパネル</t>
    </rPh>
    <rPh sb="15" eb="17">
      <t>ヘンカｎ</t>
    </rPh>
    <phoneticPr fontId="5"/>
  </si>
  <si>
    <t xml:space="preserve">[effect:damage_anti_cost, target:unit_all, lower:31, val1:99.9, val2:0.01, cost_type:unit],[effect:damage_anti_cost, target:unit_all, lower:31, val1:99.9, val2:0.01, cost_type:unit]    </t>
    <phoneticPr fontId="5"/>
  </si>
  <si>
    <t>エメラルドフーガ</t>
    <phoneticPr fontId="5"/>
  </si>
  <si>
    <t>バーニングメトロノーム</t>
    <phoneticPr fontId="5"/>
  </si>
  <si>
    <t>塔の結界</t>
    <rPh sb="0" eb="1">
      <t>トウノケッカイ</t>
    </rPh>
    <phoneticPr fontId="5"/>
  </si>
  <si>
    <t>ふむ…中々愉快だったぞ！</t>
    <rPh sb="3" eb="4">
      <t>ナカナカ</t>
    </rPh>
    <rPh sb="5" eb="7">
      <t>ユカイ</t>
    </rPh>
    <phoneticPr fontId="5"/>
  </si>
  <si>
    <t>見よ！美しい色だろう！</t>
    <rPh sb="0" eb="1">
      <t>ミヨ</t>
    </rPh>
    <rPh sb="3" eb="4">
      <t>ウツクシイ</t>
    </rPh>
    <rPh sb="6" eb="7">
      <t>イロ</t>
    </rPh>
    <phoneticPr fontId="5"/>
  </si>
  <si>
    <t>ギフトオブライアー</t>
    <phoneticPr fontId="5"/>
  </si>
  <si>
    <t xml:space="preserve">[effect:rush, val:1, count:1],[effect:degrade_unit, target:unit_all, turn:-1, status:heal, val:0.25, calc:mul, animation:degrade_unit_all_heal]    </t>
    <phoneticPr fontId="5"/>
  </si>
  <si>
    <t>old</t>
  </si>
  <si>
    <t>13400_7</t>
    <phoneticPr fontId="5"/>
  </si>
  <si>
    <t>null</t>
  </si>
  <si>
    <t>null</t>
    <phoneticPr fontId="5"/>
  </si>
  <si>
    <t>null</t>
    <phoneticPr fontId="5"/>
  </si>
  <si>
    <t>null</t>
    <phoneticPr fontId="5"/>
  </si>
  <si>
    <t>なぜだろう…君を壊したくて仕方がない…！</t>
    <rPh sb="6" eb="7">
      <t>キミ</t>
    </rPh>
    <rPh sb="8" eb="9">
      <t>コワシタクテ</t>
    </rPh>
    <rPh sb="13" eb="15">
      <t>シカタガナイ</t>
    </rPh>
    <phoneticPr fontId="5"/>
  </si>
  <si>
    <t>恐れよ！
私はエメラルド王国のオズだ！</t>
    <rPh sb="0" eb="1">
      <t>オソレヨ</t>
    </rPh>
    <rPh sb="5" eb="6">
      <t>ワタシハ</t>
    </rPh>
    <rPh sb="12" eb="14">
      <t>オウコクノ</t>
    </rPh>
    <phoneticPr fontId="5"/>
  </si>
  <si>
    <t>コスト31以上のユニットに大ダメージ</t>
    <phoneticPr fontId="5"/>
  </si>
  <si>
    <t>よろしい！少し遊んでやろうか！</t>
    <rPh sb="5" eb="6">
      <t>スコシアソンデ</t>
    </rPh>
    <phoneticPr fontId="5"/>
  </si>
  <si>
    <t>singleonly</t>
    <phoneticPr fontId="5"/>
  </si>
  <si>
    <t>clear</t>
    <phoneticPr fontId="5"/>
  </si>
  <si>
    <t>bit</t>
    <phoneticPr fontId="5"/>
  </si>
  <si>
    <t>singleonly</t>
    <phoneticPr fontId="5"/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</si>
  <si>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</si>
  <si>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</si>
  <si>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</si>
  <si>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</si>
  <si>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</si>
  <si>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</si>
  <si>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</si>
  <si>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</si>
  <si>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</si>
  <si>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</si>
  <si>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</si>
  <si>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</si>
  <si>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unit</t>
  </si>
  <si>
    <t xml:space="preserve">[effect:rush, val:1, count:1],[effect:force_change_block, new_block:block_green, target:block_blue, count:0, val:0, animation:change_block]    </t>
    <phoneticPr fontId="5"/>
  </si>
  <si>
    <t>[effect:rush, val:1, count:1],[effect:force_change_block, new_block:time_bomb, target:block_green, color:red, count:0, val:0.1, animation:change_block]</t>
    <phoneticPr fontId="5"/>
  </si>
  <si>
    <t xml:space="preserve">[effect:tolerance, target:myself, turn:-1, count:-1, tolerance_effect:all,animation:enemy_tolerance],[effect:attack_break, target:unit_animal, turn:4, val:0.5, calc:mul, animation:attack_break01]    </t>
    <phoneticPr fontId="5"/>
  </si>
  <si>
    <t xml:space="preserve">[effect:rush, val:1, count:1],[effect:force_change_block, new_block:jammer, target:block_red, count:2, val:0, animation:change_block]    </t>
    <phoneticPr fontId="5"/>
  </si>
  <si>
    <t xml:space="preserve">[effect:tolerance, target:myself, turn:-1, count:-1, tolerance_effect:all,animation:enemy_tolerance],[effect:degrade_unit, target:unit_human, turn:-1, status:heal, val:0.5, calc:mul, animation:degrade_unit_all_heal]    </t>
    <phoneticPr fontId="5"/>
  </si>
  <si>
    <t>[effect:rush, val:1, count:1],[effect:force_change_block, new_block:block_blue, target:block_yellow, count:0, val:0, animation:change_block]</t>
    <phoneticPr fontId="5"/>
  </si>
  <si>
    <t xml:space="preserve">[effect:force_change_block, new_block:damage, target:normal, count:2, val:0.07, animation:change_block],[effect:force_change_block, new_block:jammer, target:normal, count:2, val:0, animation:change_block],[effect:force_change_block, new_block:time_bomb, target:normal, count:2, val:0.1, animation:change_block]     </t>
    <phoneticPr fontId="5"/>
  </si>
  <si>
    <t xml:space="preserve">[effect:rush, val:1, count:1],[effect:force_change_block, new_block:time_bomb, target:block_red, color:block_yellow, count:2, val:0.1, animation:change_block]    </t>
    <phoneticPr fontId="5"/>
  </si>
  <si>
    <t xml:space="preserve">[effect:rush, val:1, count:1],[effect:force_change_block, new_block:jammer, target:block_green, count:2, val:0, animation:change_block]    </t>
    <phoneticPr fontId="5"/>
  </si>
  <si>
    <t>[effect:rush, val:1, count:1],[effect:force_change_block, new_block:damage, target:block_blue, color:block_yellow, count:2, val:0.07, animation:change_block]</t>
    <phoneticPr fontId="5"/>
  </si>
  <si>
    <t>[effect:rush, val:0.6, count:2],[effect:force_change_block, new_block:jammer, target:normal, count:3, val:0, animation:change_block]</t>
    <phoneticPr fontId="5"/>
  </si>
  <si>
    <t xml:space="preserve">[effect:spread, val:0.27],[effect:force_change_block, new_block:time_bomb, target:normal, count:3, val:0.1, animation:change_block]    </t>
    <phoneticPr fontId="5"/>
  </si>
  <si>
    <t>[effect:break_enchance_enemy, target:myself, val:0.03, lowest_val:0, count:-1, status:attack, turn:-1, block_color:block_yellow, block01:normal, calc:mul, animation:enemy_enhance_attack]</t>
    <phoneticPr fontId="5"/>
  </si>
  <si>
    <t>単体攻撃+
緑パネルを赤の時限式ダメージパネルに変換</t>
    <rPh sb="0" eb="4">
      <t>タンタイコウゲキ</t>
    </rPh>
    <rPh sb="6" eb="7">
      <t>ミドリパネル</t>
    </rPh>
    <rPh sb="11" eb="12">
      <t>アカノ</t>
    </rPh>
    <rPh sb="13" eb="16">
      <t>ジゲンシキパネル</t>
    </rPh>
    <rPh sb="24" eb="26">
      <t>ヘンカン</t>
    </rPh>
    <phoneticPr fontId="5"/>
  </si>
  <si>
    <t xml:space="preserve">[effect:break_enchance_enemy, target:myself, val:0.05, lowest_val:0, count:-1, status:attack, turn:-1, block_color:block_blue, block01:normal, calc:mul, animation:enemy_enhance_attack],[effect:drop_block, block_type:jammer, color:block_blue, val:0, rate:0.5, turn:2, animation:jammer_influence04]    </t>
    <phoneticPr fontId="5"/>
  </si>
  <si>
    <t>[effect:force_change_block, new_block:block_green, target:block_red, count:0, val:0, animation:change_block],[effect:force_change_block, new_block:block_blue, target:block_yellow, count:0, val:0, animation:change_block],[effect:critical, val:1.5, animation:enemy_critical]</t>
    <phoneticPr fontId="5"/>
  </si>
  <si>
    <t>黄パネルを青パネルに変換+
赤パネルを緑パネルに変換+
クリティカル！</t>
    <rPh sb="0" eb="1">
      <t>キパネルヲ</t>
    </rPh>
    <rPh sb="5" eb="6">
      <t>アオ</t>
    </rPh>
    <rPh sb="14" eb="15">
      <t>アカパネル</t>
    </rPh>
    <rPh sb="19" eb="20">
      <t>ミドリニ</t>
    </rPh>
    <rPh sb="24" eb="26">
      <t>ヘンカｎ</t>
    </rPh>
    <phoneticPr fontId="5"/>
  </si>
  <si>
    <t>状態異常耐性+
種族ヒューマンのユニットの回復力50%DOWN</t>
    <rPh sb="0" eb="6">
      <t>ジョウタイイジョウタイセイ</t>
    </rPh>
    <rPh sb="8" eb="10">
      <t>シュゾk</t>
    </rPh>
    <rPh sb="21" eb="24">
      <t>カイフクリョク</t>
    </rPh>
    <phoneticPr fontId="5"/>
  </si>
  <si>
    <t>単体攻撃+黄パネルを青パネルに変換</t>
    <rPh sb="5" eb="6">
      <t>キパネル</t>
    </rPh>
    <rPh sb="10" eb="11">
      <t>アオパネル</t>
    </rPh>
    <rPh sb="15" eb="17">
      <t>ヘンカｎ</t>
    </rPh>
    <phoneticPr fontId="5"/>
  </si>
  <si>
    <t xml:space="preserve">[effect:break_attack_fix, target:unit_all, val:80, lowest_val:1000, count:-1, color:yellow, block_color:block_yellow, block01:normal]    </t>
    <phoneticPr fontId="5"/>
  </si>
  <si>
    <t>黄パネルを吸収して全体攻撃</t>
    <rPh sb="9" eb="13">
      <t>ゼンタ</t>
    </rPh>
    <phoneticPr fontId="5"/>
  </si>
  <si>
    <t>[effect:enemy_message, val1:1.8, val2:0, dead_type:escape]</t>
    <phoneticPr fontId="5"/>
  </si>
  <si>
    <t xml:space="preserve">[effect:force_change_block, new_block:damage, target:normal, color:block_blue, count:5, val:0.11, animation:change_block]    </t>
    <phoneticPr fontId="5"/>
  </si>
  <si>
    <t>ディファイングフェイク</t>
    <phoneticPr fontId="5"/>
  </si>
  <si>
    <t>不敵な笑みを浮かべ去って行った…</t>
    <rPh sb="0" eb="2">
      <t>フテk</t>
    </rPh>
    <rPh sb="9" eb="10">
      <t>サッt</t>
    </rPh>
    <phoneticPr fontId="5"/>
  </si>
  <si>
    <t>どうだ…？
美しいだろう…！</t>
    <rPh sb="6" eb="7">
      <t>ウツクs</t>
    </rPh>
    <phoneticPr fontId="5"/>
  </si>
  <si>
    <t>こっちの方が綺麗だな…</t>
    <rPh sb="6" eb="8">
      <t>キレイ</t>
    </rPh>
    <phoneticPr fontId="5"/>
  </si>
  <si>
    <t>君も僕を否定するのかっ！？</t>
    <rPh sb="0" eb="1">
      <t>キミ</t>
    </rPh>
    <rPh sb="2" eb="3">
      <t>ボk</t>
    </rPh>
    <rPh sb="4" eb="6">
      <t>ヒテ</t>
    </rPh>
    <phoneticPr fontId="5"/>
  </si>
  <si>
    <t>おじさんをなめるなよ！</t>
    <phoneticPr fontId="5"/>
  </si>
  <si>
    <t>よくここまで来たな！</t>
    <rPh sb="6" eb="7">
      <t>キタナ</t>
    </rPh>
    <phoneticPr fontId="5"/>
  </si>
  <si>
    <t>心頭滅却</t>
    <rPh sb="0" eb="4">
      <t>シントウメッキャ</t>
    </rPh>
    <phoneticPr fontId="5"/>
  </si>
  <si>
    <t>赤転刻斬</t>
    <rPh sb="0" eb="1">
      <t>アk</t>
    </rPh>
    <rPh sb="1" eb="2">
      <t>テn</t>
    </rPh>
    <rPh sb="2" eb="3">
      <t>コク</t>
    </rPh>
    <rPh sb="3" eb="4">
      <t>ギリ</t>
    </rPh>
    <phoneticPr fontId="5"/>
  </si>
  <si>
    <t>緑転石斬</t>
    <rPh sb="0" eb="1">
      <t>ミドr</t>
    </rPh>
    <rPh sb="1" eb="2">
      <t>・</t>
    </rPh>
    <rPh sb="2" eb="3">
      <t>イシ</t>
    </rPh>
    <rPh sb="3" eb="4">
      <t>キr</t>
    </rPh>
    <phoneticPr fontId="5"/>
  </si>
  <si>
    <t>青転傷斬</t>
    <rPh sb="0" eb="1">
      <t>ア</t>
    </rPh>
    <rPh sb="1" eb="2">
      <t>テn</t>
    </rPh>
    <rPh sb="2" eb="3">
      <t>キz</t>
    </rPh>
    <rPh sb="3" eb="4">
      <t>キリ</t>
    </rPh>
    <phoneticPr fontId="5"/>
  </si>
  <si>
    <t xml:space="preserve">[effect:tolerance, target:myself, turn:-1, count:-1, tolerance_effect:all,animation:enemy_tolerance],[effect:enhance_enemy, target:myself, turn:-1, status:defense, val:800, calc:add, animation:enemy_enhance_defense]    </t>
    <phoneticPr fontId="5"/>
  </si>
  <si>
    <t>単体攻撃+全ユニットの回復力25%DOWN</t>
    <rPh sb="0" eb="4">
      <t>タンタイコウゲキ</t>
    </rPh>
    <rPh sb="5" eb="6">
      <t>ゼンユニットノ</t>
    </rPh>
    <rPh sb="11" eb="14">
      <t>カイフクリョクヲ</t>
    </rPh>
    <phoneticPr fontId="5"/>
  </si>
  <si>
    <t>単体攻撃+
赤パネルをお邪魔パネルに2個変換</t>
    <rPh sb="0" eb="4">
      <t>タンタイコウゲキ</t>
    </rPh>
    <rPh sb="6" eb="7">
      <t>アカパエンルヲ</t>
    </rPh>
    <phoneticPr fontId="5"/>
  </si>
  <si>
    <t>[effect:force_change_block, new_block:damage, target:block_blue, color:block_blue, count:7, val:0.11, animation:change_block],[effect:damage_gravity, val:0.2, animation:fevergauge_down]</t>
    <phoneticPr fontId="5"/>
  </si>
  <si>
    <t>状態異常耐性+防御力UP</t>
    <rPh sb="0" eb="6">
      <t>ジョウタイイジョウタイセイ</t>
    </rPh>
    <rPh sb="7" eb="10">
      <t>ボウギョリョク</t>
    </rPh>
    <phoneticPr fontId="5"/>
  </si>
  <si>
    <t>単体攻撃+
赤パネルを黄の時限式ダメージパネルに2個変換</t>
    <rPh sb="0" eb="2">
      <t>タンタ</t>
    </rPh>
    <phoneticPr fontId="5"/>
  </si>
  <si>
    <t>単体攻撃+
緑パネルをお邪魔パネルに2個変換</t>
    <phoneticPr fontId="5"/>
  </si>
  <si>
    <t>単体攻撃+
青パネルを黄のダメージパネルに2個変換</t>
    <phoneticPr fontId="5"/>
  </si>
  <si>
    <t>[effect:critical, val:1.2, animation:enemy_critical],[effect:force_change_block, new_block:damage, target:normal, count:3, val:0.07, animation:change_block]</t>
    <phoneticPr fontId="5"/>
  </si>
  <si>
    <t>八相発破！</t>
    <phoneticPr fontId="5"/>
  </si>
  <si>
    <t>喝！！！！</t>
    <rPh sb="0" eb="1">
      <t>カツ</t>
    </rPh>
    <phoneticPr fontId="5"/>
  </si>
  <si>
    <t>虎振！！</t>
    <phoneticPr fontId="5"/>
  </si>
  <si>
    <t>煩悩を植え付けてやろうか…</t>
    <rPh sb="0" eb="2">
      <t>ボンノ</t>
    </rPh>
    <rPh sb="3" eb="4">
      <t>ウエツk</t>
    </rPh>
    <phoneticPr fontId="5"/>
  </si>
  <si>
    <t>状態異常耐性+
4ターン種族アニマルのユニットの攻撃力50%DOWN</t>
    <rPh sb="0" eb="6">
      <t>ジョウタイイジョウタイセイ</t>
    </rPh>
    <rPh sb="12" eb="14">
      <t>シュゾk</t>
    </rPh>
    <rPh sb="24" eb="27">
      <t>コウゲキリョク</t>
    </rPh>
    <phoneticPr fontId="5"/>
  </si>
  <si>
    <t>青パネルを吸収して攻撃力UP+
2ターン確率で青パネルがお邪魔パネルでドロップ</t>
    <phoneticPr fontId="5"/>
  </si>
  <si>
    <t>属性パネルを青のダメージパネルに5個変換</t>
    <rPh sb="6" eb="7">
      <t>アオダメージパネル</t>
    </rPh>
    <rPh sb="18" eb="20">
      <t>ヘンカｎ</t>
    </rPh>
    <phoneticPr fontId="5"/>
  </si>
  <si>
    <t>属性パネルをお邪魔パネル&amp;
黄の時限式ダメージパネル&amp;
黄のダメージパネルに2個ずつ変換</t>
    <phoneticPr fontId="5"/>
  </si>
  <si>
    <t>2回連続攻撃+
属性パネルをお邪魔パネルに3個変換</t>
    <rPh sb="1" eb="2">
      <t>k</t>
    </rPh>
    <phoneticPr fontId="5"/>
  </si>
  <si>
    <t>全体攻撃+
属性パネルを黄の時限式ダメージパネルに3個変換</t>
    <phoneticPr fontId="5"/>
  </si>
  <si>
    <t>クリティカル！+
属性パネルを黄のダメージパネルに3個変換</t>
    <phoneticPr fontId="5"/>
  </si>
  <si>
    <t>ブレーメンはコスト31以上のユニットに
即死攻撃スキルを使用します
コスト30以下のユニットで
パーティを編成しましょう</t>
    <phoneticPr fontId="5"/>
  </si>
  <si>
    <t>オズは解除するまで回復力DOWNの
スキルを使用します
回復力UPが出来るユニットで
解除すると戦いやすくなります</t>
    <phoneticPr fontId="5"/>
  </si>
  <si>
    <t>オズはお邪魔パネル変換を行います
変換スキルやフィーバーで
お邪魔パネルを処理することで
戦いやすくなります</t>
    <phoneticPr fontId="5"/>
  </si>
  <si>
    <t>クリムトはダメージパネル変換を行います
変換される数が多いので
変換スキルやフィーバーを使って
安全に対処しましょう</t>
    <phoneticPr fontId="5"/>
  </si>
  <si>
    <t xml:space="preserve">沢庵は様々なパネル変換スキルを
ほぼ毎ターン使用します
対応したパネル変換スキルを
持っているユニットで挑戦すると有利です
</t>
    <phoneticPr fontId="5"/>
  </si>
  <si>
    <t>青パネルを青のダメージパネルに7個変換+
残りHPの20%ダメージ！</t>
    <phoneticPr fontId="5"/>
  </si>
  <si>
    <t>黄パネルを吸収して攻撃力UP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</si>
</sst>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1" fillId="0" borderId="0" xfId="0" applyFont="1" applyAlignment="1">
      <alignment vertical="center"/>
    </xf>
    <xf numFmtId="0" fontId="16" fillId="13" borderId="7" xfId="0" applyFont="1" applyFill="1" applyBorder="1" applyAlignment="1">
      <alignment vertical="center"/>
    </xf>
    <xf numFmtId="0" fontId="26" fillId="0" borderId="7" xfId="0" applyFont="1" applyBorder="1"/>
    <xf numFmtId="0" fontId="26" fillId="0" borderId="10" xfId="0" applyFont="1" applyBorder="1"/>
    <xf numFmtId="0" fontId="26" fillId="0" borderId="11" xfId="0" applyFont="1" applyBorder="1"/>
    <xf numFmtId="0" fontId="26" fillId="0" borderId="24" xfId="0" applyFont="1" applyBorder="1"/>
    <xf numFmtId="0" fontId="16" fillId="0" borderId="11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left" vertical="center"/>
    </xf>
    <xf numFmtId="0" fontId="16" fillId="3" borderId="11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/>
    </xf>
    <xf numFmtId="0" fontId="16" fillId="3" borderId="26" xfId="0" applyFont="1" applyFill="1" applyBorder="1" applyAlignment="1">
      <alignment vertical="center"/>
    </xf>
    <xf numFmtId="0" fontId="16" fillId="0" borderId="0" xfId="0" applyFont="1" applyFill="1" applyAlignment="1">
      <alignment vertical="center" wrapText="1"/>
    </xf>
    <xf numFmtId="0" fontId="53" fillId="0" borderId="7" xfId="0" applyFont="1" applyFill="1" applyBorder="1" applyAlignment="1">
      <alignment horizontal="left" vertical="center" wrapText="1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40044</v>
          </cell>
        </row>
        <row r="236">
          <cell r="A236">
            <v>48001</v>
          </cell>
        </row>
        <row r="237">
          <cell r="A237">
            <v>48002</v>
          </cell>
        </row>
        <row r="238">
          <cell r="A238">
            <v>48003</v>
          </cell>
        </row>
        <row r="239">
          <cell r="A239">
            <v>48004</v>
          </cell>
        </row>
        <row r="240">
          <cell r="A240">
            <v>48005</v>
          </cell>
        </row>
        <row r="241">
          <cell r="A241">
            <v>48006</v>
          </cell>
        </row>
        <row r="242">
          <cell r="A242">
            <v>48007</v>
          </cell>
        </row>
        <row r="243">
          <cell r="A243">
            <v>48008</v>
          </cell>
        </row>
        <row r="244">
          <cell r="A244">
            <v>48009</v>
          </cell>
        </row>
        <row r="245">
          <cell r="A245">
            <v>48010</v>
          </cell>
        </row>
        <row r="246">
          <cell r="A246">
            <v>48011</v>
          </cell>
        </row>
        <row r="247">
          <cell r="A247">
            <v>48012</v>
          </cell>
        </row>
        <row r="248">
          <cell r="A248">
            <v>48501</v>
          </cell>
        </row>
        <row r="249">
          <cell r="A249">
            <v>48502</v>
          </cell>
        </row>
        <row r="250">
          <cell r="A250">
            <v>48701</v>
          </cell>
        </row>
        <row r="251">
          <cell r="A251">
            <v>41001</v>
          </cell>
        </row>
        <row r="252">
          <cell r="A252">
            <v>41002</v>
          </cell>
        </row>
        <row r="253">
          <cell r="A253">
            <v>41003</v>
          </cell>
        </row>
        <row r="254">
          <cell r="A254">
            <v>41004</v>
          </cell>
        </row>
        <row r="255">
          <cell r="A255">
            <v>41005</v>
          </cell>
        </row>
        <row r="256">
          <cell r="A256">
            <v>41006</v>
          </cell>
        </row>
        <row r="257">
          <cell r="A257">
            <v>41007</v>
          </cell>
        </row>
        <row r="258">
          <cell r="A258">
            <v>41008</v>
          </cell>
        </row>
        <row r="259">
          <cell r="A259">
            <v>41009</v>
          </cell>
        </row>
        <row r="260">
          <cell r="A260">
            <v>41010</v>
          </cell>
        </row>
        <row r="261">
          <cell r="A261">
            <v>41011</v>
          </cell>
        </row>
        <row r="262">
          <cell r="A262">
            <v>41012</v>
          </cell>
        </row>
        <row r="263">
          <cell r="A263">
            <v>41013</v>
          </cell>
        </row>
        <row r="264">
          <cell r="A264">
            <v>41014</v>
          </cell>
        </row>
        <row r="265">
          <cell r="A265">
            <v>41015</v>
          </cell>
        </row>
        <row r="266">
          <cell r="A266">
            <v>47001</v>
          </cell>
        </row>
        <row r="267">
          <cell r="A267">
            <v>47002</v>
          </cell>
        </row>
        <row r="268">
          <cell r="A268">
            <v>47003</v>
          </cell>
        </row>
        <row r="269">
          <cell r="A269">
            <v>47004</v>
          </cell>
        </row>
        <row r="270">
          <cell r="A270">
            <v>47005</v>
          </cell>
        </row>
        <row r="271">
          <cell r="A271">
            <v>47006</v>
          </cell>
        </row>
        <row r="272">
          <cell r="A272">
            <v>47007</v>
          </cell>
        </row>
        <row r="273">
          <cell r="A273">
            <v>47008</v>
          </cell>
        </row>
        <row r="274">
          <cell r="A274">
            <v>47009</v>
          </cell>
        </row>
        <row r="275">
          <cell r="A275">
            <v>47010</v>
          </cell>
        </row>
        <row r="276">
          <cell r="A276">
            <v>47011</v>
          </cell>
        </row>
        <row r="277">
          <cell r="A277">
            <v>47012</v>
          </cell>
        </row>
        <row r="278">
          <cell r="A278">
            <v>49001</v>
          </cell>
        </row>
        <row r="279">
          <cell r="A279">
            <v>49002</v>
          </cell>
        </row>
        <row r="280">
          <cell r="A280">
            <v>49003</v>
          </cell>
        </row>
        <row r="281">
          <cell r="A281">
            <v>49004</v>
          </cell>
        </row>
        <row r="282">
          <cell r="A282">
            <v>49005</v>
          </cell>
        </row>
        <row r="283">
          <cell r="A283">
            <v>49006</v>
          </cell>
        </row>
        <row r="284">
          <cell r="A284">
            <v>49007</v>
          </cell>
        </row>
        <row r="285">
          <cell r="A285">
            <v>49008</v>
          </cell>
        </row>
        <row r="286">
          <cell r="A286">
            <v>49009</v>
          </cell>
        </row>
        <row r="287">
          <cell r="A287">
            <v>49010</v>
          </cell>
        </row>
        <row r="288">
          <cell r="A288">
            <v>49011</v>
          </cell>
        </row>
        <row r="289">
          <cell r="A289">
            <v>49012</v>
          </cell>
        </row>
        <row r="290">
          <cell r="A290">
            <v>49013</v>
          </cell>
        </row>
        <row r="291">
          <cell r="A291">
            <v>49014</v>
          </cell>
        </row>
        <row r="292">
          <cell r="A292">
            <v>49015</v>
          </cell>
        </row>
        <row r="293">
          <cell r="A293">
            <v>50001</v>
          </cell>
        </row>
        <row r="294">
          <cell r="A294">
            <v>50002</v>
          </cell>
        </row>
        <row r="295">
          <cell r="A295">
            <v>50003</v>
          </cell>
        </row>
        <row r="296">
          <cell r="A296">
            <v>50004</v>
          </cell>
        </row>
        <row r="297">
          <cell r="A297">
            <v>50005</v>
          </cell>
        </row>
        <row r="298">
          <cell r="A298">
            <v>50006</v>
          </cell>
        </row>
        <row r="299">
          <cell r="A299">
            <v>50007</v>
          </cell>
        </row>
        <row r="300">
          <cell r="A300">
            <v>50008</v>
          </cell>
        </row>
        <row r="301">
          <cell r="A301">
            <v>50009</v>
          </cell>
        </row>
        <row r="302">
          <cell r="A302">
            <v>50010</v>
          </cell>
        </row>
        <row r="303">
          <cell r="A303">
            <v>50011</v>
          </cell>
        </row>
        <row r="304">
          <cell r="A304">
            <v>50012</v>
          </cell>
        </row>
        <row r="305">
          <cell r="A305">
            <v>50013</v>
          </cell>
        </row>
        <row r="306">
          <cell r="A306">
            <v>50014</v>
          </cell>
        </row>
        <row r="307">
          <cell r="A307">
            <v>51001</v>
          </cell>
        </row>
        <row r="308">
          <cell r="A308">
            <v>51002</v>
          </cell>
        </row>
        <row r="309">
          <cell r="A309">
            <v>58001</v>
          </cell>
        </row>
        <row r="310">
          <cell r="A310">
            <v>59001</v>
          </cell>
        </row>
        <row r="311">
          <cell r="A311">
            <v>59002</v>
          </cell>
        </row>
        <row r="312">
          <cell r="A312">
            <v>60001</v>
          </cell>
        </row>
        <row r="313">
          <cell r="A313">
            <v>60002</v>
          </cell>
        </row>
        <row r="314">
          <cell r="A314">
            <v>60003</v>
          </cell>
        </row>
        <row r="315">
          <cell r="A315">
            <v>60004</v>
          </cell>
        </row>
        <row r="316">
          <cell r="A316">
            <v>60005</v>
          </cell>
        </row>
        <row r="317">
          <cell r="A317">
            <v>60006</v>
          </cell>
        </row>
        <row r="318">
          <cell r="A318">
            <v>60007</v>
          </cell>
        </row>
        <row r="319">
          <cell r="A319">
            <v>60010</v>
          </cell>
        </row>
        <row r="320">
          <cell r="A320">
            <v>60011</v>
          </cell>
        </row>
        <row r="321">
          <cell r="A321">
            <v>61011</v>
          </cell>
        </row>
        <row r="322">
          <cell r="A322">
            <v>60012</v>
          </cell>
        </row>
        <row r="323">
          <cell r="A323">
            <v>60013</v>
          </cell>
        </row>
        <row r="324">
          <cell r="A324">
            <v>60014</v>
          </cell>
        </row>
        <row r="325">
          <cell r="A325">
            <v>60015</v>
          </cell>
        </row>
        <row r="326">
          <cell r="A326">
            <v>60016</v>
          </cell>
        </row>
        <row r="327">
          <cell r="A327">
            <v>60017</v>
          </cell>
        </row>
        <row r="328">
          <cell r="A328">
            <v>60018</v>
          </cell>
        </row>
        <row r="329">
          <cell r="A329">
            <v>60019</v>
          </cell>
        </row>
        <row r="330">
          <cell r="A330">
            <v>60020</v>
          </cell>
        </row>
        <row r="331">
          <cell r="A331">
            <v>60025</v>
          </cell>
        </row>
        <row r="332">
          <cell r="A332">
            <v>60026</v>
          </cell>
        </row>
        <row r="333">
          <cell r="A333">
            <v>60027</v>
          </cell>
        </row>
        <row r="334">
          <cell r="A334">
            <v>60028</v>
          </cell>
        </row>
        <row r="335">
          <cell r="A335">
            <v>65525</v>
          </cell>
        </row>
        <row r="336">
          <cell r="A336">
            <v>65526</v>
          </cell>
        </row>
        <row r="337">
          <cell r="A337">
            <v>65527</v>
          </cell>
        </row>
        <row r="338">
          <cell r="A338">
            <v>65528</v>
          </cell>
        </row>
        <row r="339">
          <cell r="A339">
            <v>65529</v>
          </cell>
        </row>
        <row r="340">
          <cell r="A340">
            <v>65530</v>
          </cell>
        </row>
        <row r="341">
          <cell r="A341">
            <v>65531</v>
          </cell>
        </row>
        <row r="342">
          <cell r="A342">
            <v>65532</v>
          </cell>
        </row>
        <row r="343">
          <cell r="A343">
            <v>65533</v>
          </cell>
        </row>
        <row r="344">
          <cell r="A344">
            <v>65534</v>
          </cell>
        </row>
        <row r="345">
          <cell r="A345">
            <v>65535</v>
          </cell>
        </row>
        <row r="346">
          <cell r="A346">
            <v>60021</v>
          </cell>
        </row>
        <row r="347">
          <cell r="A347">
            <v>60022</v>
          </cell>
        </row>
        <row r="348">
          <cell r="A348">
            <v>60023</v>
          </cell>
        </row>
        <row r="349">
          <cell r="A34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40044_1</v>
          </cell>
        </row>
        <row r="789">
          <cell r="A789" t="str">
            <v>40044_2</v>
          </cell>
        </row>
        <row r="790">
          <cell r="A790" t="str">
            <v>41001_1</v>
          </cell>
        </row>
        <row r="791">
          <cell r="A791" t="str">
            <v>41001_2</v>
          </cell>
        </row>
        <row r="792">
          <cell r="A792" t="str">
            <v>41001_3</v>
          </cell>
        </row>
        <row r="793">
          <cell r="A793" t="str">
            <v>41002_1</v>
          </cell>
        </row>
        <row r="794">
          <cell r="A794" t="str">
            <v>41002_2</v>
          </cell>
        </row>
        <row r="795">
          <cell r="A795" t="str">
            <v>41002_3</v>
          </cell>
        </row>
        <row r="796">
          <cell r="A796" t="str">
            <v>41003_1</v>
          </cell>
        </row>
        <row r="797">
          <cell r="A797" t="str">
            <v>41003_2</v>
          </cell>
        </row>
        <row r="798">
          <cell r="A798" t="str">
            <v>41003_3</v>
          </cell>
        </row>
        <row r="799">
          <cell r="A799" t="str">
            <v>41004_1</v>
          </cell>
        </row>
        <row r="800">
          <cell r="A800" t="str">
            <v>41004_2</v>
          </cell>
        </row>
        <row r="801">
          <cell r="A801" t="str">
            <v>41004_3</v>
          </cell>
        </row>
        <row r="802">
          <cell r="A802" t="str">
            <v>41005_1</v>
          </cell>
        </row>
        <row r="803">
          <cell r="A803" t="str">
            <v>41005_2</v>
          </cell>
        </row>
        <row r="804">
          <cell r="A804" t="str">
            <v>41005_3</v>
          </cell>
        </row>
        <row r="805">
          <cell r="A805" t="str">
            <v>41006_1</v>
          </cell>
        </row>
        <row r="806">
          <cell r="A806" t="str">
            <v>41006_2</v>
          </cell>
        </row>
        <row r="807">
          <cell r="A807" t="str">
            <v>41006_3</v>
          </cell>
        </row>
        <row r="808">
          <cell r="A808" t="str">
            <v>41007_1</v>
          </cell>
        </row>
        <row r="809">
          <cell r="A809" t="str">
            <v>41007_2</v>
          </cell>
        </row>
        <row r="810">
          <cell r="A810" t="str">
            <v>41007_3</v>
          </cell>
        </row>
        <row r="811">
          <cell r="A811" t="str">
            <v>41008_1</v>
          </cell>
        </row>
        <row r="812">
          <cell r="A812" t="str">
            <v>41008_2</v>
          </cell>
        </row>
        <row r="813">
          <cell r="A813" t="str">
            <v>41008_3</v>
          </cell>
        </row>
        <row r="814">
          <cell r="A814" t="str">
            <v>41009_1</v>
          </cell>
        </row>
        <row r="815">
          <cell r="A815" t="str">
            <v>41009_2</v>
          </cell>
        </row>
        <row r="816">
          <cell r="A816" t="str">
            <v>41009_3</v>
          </cell>
        </row>
        <row r="817">
          <cell r="A817" t="str">
            <v>41010_1</v>
          </cell>
        </row>
        <row r="818">
          <cell r="A818" t="str">
            <v>41010_2</v>
          </cell>
        </row>
        <row r="819">
          <cell r="A819" t="str">
            <v>41010_3</v>
          </cell>
        </row>
        <row r="820">
          <cell r="A820" t="str">
            <v>41011_1</v>
          </cell>
        </row>
        <row r="821">
          <cell r="A821" t="str">
            <v>41011_2</v>
          </cell>
        </row>
        <row r="822">
          <cell r="A822" t="str">
            <v>41012_1</v>
          </cell>
        </row>
        <row r="823">
          <cell r="A823" t="str">
            <v>41012_2</v>
          </cell>
        </row>
        <row r="824">
          <cell r="A824" t="str">
            <v>41013_1</v>
          </cell>
        </row>
        <row r="825">
          <cell r="A825" t="str">
            <v>41013_2</v>
          </cell>
        </row>
        <row r="826">
          <cell r="A826" t="str">
            <v>41014_1</v>
          </cell>
        </row>
        <row r="827">
          <cell r="A827" t="str">
            <v>41014_2</v>
          </cell>
        </row>
        <row r="828">
          <cell r="A828" t="str">
            <v>41015_1</v>
          </cell>
        </row>
        <row r="829">
          <cell r="A829" t="str">
            <v>41015_2</v>
          </cell>
        </row>
        <row r="830">
          <cell r="A830" t="str">
            <v>47001_1</v>
          </cell>
        </row>
        <row r="831">
          <cell r="A831" t="str">
            <v>47001_2</v>
          </cell>
        </row>
        <row r="832">
          <cell r="A832" t="str">
            <v>47002_1</v>
          </cell>
        </row>
        <row r="833">
          <cell r="A833" t="str">
            <v>47002_2</v>
          </cell>
        </row>
        <row r="834">
          <cell r="A834" t="str">
            <v>47003_1</v>
          </cell>
        </row>
        <row r="835">
          <cell r="A835" t="str">
            <v>47003_2</v>
          </cell>
        </row>
        <row r="836">
          <cell r="A836" t="str">
            <v>47003_3</v>
          </cell>
        </row>
        <row r="837">
          <cell r="A837" t="str">
            <v>47003_4</v>
          </cell>
        </row>
        <row r="838">
          <cell r="A838" t="str">
            <v>47004_1</v>
          </cell>
        </row>
        <row r="839">
          <cell r="A839" t="str">
            <v>47004_2</v>
          </cell>
        </row>
        <row r="840">
          <cell r="A840" t="str">
            <v>47004_3</v>
          </cell>
        </row>
        <row r="841">
          <cell r="A841" t="str">
            <v>47004_4</v>
          </cell>
        </row>
        <row r="842">
          <cell r="A842" t="str">
            <v>47005_1</v>
          </cell>
        </row>
        <row r="843">
          <cell r="A843" t="str">
            <v>47006_1</v>
          </cell>
        </row>
        <row r="844">
          <cell r="A844" t="str">
            <v>47006_2</v>
          </cell>
        </row>
        <row r="845">
          <cell r="A845" t="str">
            <v>47007_1</v>
          </cell>
        </row>
        <row r="846">
          <cell r="A846" t="str">
            <v>47007_2</v>
          </cell>
        </row>
        <row r="847">
          <cell r="A847" t="str">
            <v>47008_1</v>
          </cell>
        </row>
        <row r="848">
          <cell r="A848" t="str">
            <v>47008_2</v>
          </cell>
        </row>
        <row r="849">
          <cell r="A849" t="str">
            <v>47009_1</v>
          </cell>
        </row>
        <row r="850">
          <cell r="A850" t="str">
            <v>47009_2</v>
          </cell>
        </row>
        <row r="851">
          <cell r="A851" t="str">
            <v>47010_1</v>
          </cell>
        </row>
        <row r="852">
          <cell r="A852" t="str">
            <v>47010_2</v>
          </cell>
        </row>
        <row r="853">
          <cell r="A853" t="str">
            <v>47011_1</v>
          </cell>
        </row>
        <row r="854">
          <cell r="A854" t="str">
            <v>47012_1</v>
          </cell>
        </row>
        <row r="855">
          <cell r="A855" t="str">
            <v>47012_2</v>
          </cell>
        </row>
        <row r="856">
          <cell r="A856" t="str">
            <v>48001_1</v>
          </cell>
        </row>
        <row r="857">
          <cell r="A857" t="str">
            <v>48002_1</v>
          </cell>
        </row>
        <row r="858">
          <cell r="A858" t="str">
            <v>48002_2</v>
          </cell>
        </row>
        <row r="859">
          <cell r="A859" t="str">
            <v>48002_3</v>
          </cell>
        </row>
        <row r="860">
          <cell r="A860" t="str">
            <v>48003_1</v>
          </cell>
        </row>
        <row r="861">
          <cell r="A861" t="str">
            <v>48003_2</v>
          </cell>
        </row>
        <row r="862">
          <cell r="A862" t="str">
            <v>48004_1</v>
          </cell>
        </row>
        <row r="863">
          <cell r="A863" t="str">
            <v>48004_2</v>
          </cell>
        </row>
        <row r="864">
          <cell r="A864" t="str">
            <v>48005_1</v>
          </cell>
        </row>
        <row r="865">
          <cell r="A865" t="str">
            <v>48005_2</v>
          </cell>
        </row>
        <row r="866">
          <cell r="A866" t="str">
            <v>48006_1</v>
          </cell>
        </row>
        <row r="867">
          <cell r="A867" t="str">
            <v>48006_2</v>
          </cell>
        </row>
        <row r="868">
          <cell r="A868" t="str">
            <v>48007_1</v>
          </cell>
        </row>
        <row r="869">
          <cell r="A869" t="str">
            <v>48007_2</v>
          </cell>
        </row>
        <row r="870">
          <cell r="A870" t="str">
            <v>48008_1</v>
          </cell>
        </row>
        <row r="871">
          <cell r="A871" t="str">
            <v>48008_2</v>
          </cell>
        </row>
        <row r="872">
          <cell r="A872" t="str">
            <v>48009_1</v>
          </cell>
        </row>
        <row r="873">
          <cell r="A873" t="str">
            <v>48009_2</v>
          </cell>
        </row>
        <row r="874">
          <cell r="A874" t="str">
            <v>48010_1</v>
          </cell>
        </row>
        <row r="875">
          <cell r="A875" t="str">
            <v>48011_1</v>
          </cell>
        </row>
        <row r="876">
          <cell r="A876" t="str">
            <v>48011_2</v>
          </cell>
        </row>
        <row r="877">
          <cell r="A877" t="str">
            <v>48012_1</v>
          </cell>
        </row>
        <row r="878">
          <cell r="A878" t="str">
            <v>48012_2</v>
          </cell>
        </row>
        <row r="879">
          <cell r="A879" t="str">
            <v>48501_1</v>
          </cell>
        </row>
        <row r="880">
          <cell r="A880" t="str">
            <v>48501_2</v>
          </cell>
        </row>
        <row r="881">
          <cell r="A881" t="str">
            <v>48502_1</v>
          </cell>
        </row>
        <row r="882">
          <cell r="A882" t="str">
            <v>48502_2</v>
          </cell>
        </row>
        <row r="883">
          <cell r="A883" t="str">
            <v>48701_1</v>
          </cell>
        </row>
        <row r="884">
          <cell r="A884" t="str">
            <v>48701_2</v>
          </cell>
        </row>
        <row r="885">
          <cell r="A885" t="str">
            <v>49001_1</v>
          </cell>
        </row>
        <row r="886">
          <cell r="A886" t="str">
            <v>49002_1</v>
          </cell>
        </row>
        <row r="887">
          <cell r="A887" t="str">
            <v>49002_2</v>
          </cell>
        </row>
        <row r="888">
          <cell r="A888" t="str">
            <v>49003_1</v>
          </cell>
        </row>
        <row r="889">
          <cell r="A889" t="str">
            <v>49003_2</v>
          </cell>
        </row>
        <row r="890">
          <cell r="A890" t="str">
            <v>49004_1</v>
          </cell>
        </row>
        <row r="891">
          <cell r="A891" t="str">
            <v>49004_2</v>
          </cell>
        </row>
        <row r="892">
          <cell r="A892" t="str">
            <v>49004_3</v>
          </cell>
        </row>
        <row r="893">
          <cell r="A893" t="str">
            <v>49005_1</v>
          </cell>
        </row>
        <row r="894">
          <cell r="A894" t="str">
            <v>49006_1</v>
          </cell>
        </row>
        <row r="895">
          <cell r="A895" t="str">
            <v>49006_2</v>
          </cell>
        </row>
        <row r="896">
          <cell r="A896" t="str">
            <v>49007_1</v>
          </cell>
        </row>
        <row r="897">
          <cell r="A897" t="str">
            <v>49007_2</v>
          </cell>
        </row>
        <row r="898">
          <cell r="A898" t="str">
            <v>49007_3</v>
          </cell>
        </row>
        <row r="899">
          <cell r="A899" t="str">
            <v>49008_1</v>
          </cell>
        </row>
        <row r="900">
          <cell r="A900" t="str">
            <v>49009_1</v>
          </cell>
        </row>
        <row r="901">
          <cell r="A901" t="str">
            <v>49010_1</v>
          </cell>
        </row>
        <row r="902">
          <cell r="A902" t="str">
            <v>49011_1</v>
          </cell>
        </row>
        <row r="903">
          <cell r="A903" t="str">
            <v>49012_1</v>
          </cell>
        </row>
        <row r="904">
          <cell r="A904" t="str">
            <v>49013_1</v>
          </cell>
        </row>
        <row r="905">
          <cell r="A905" t="str">
            <v>49014_1</v>
          </cell>
        </row>
        <row r="906">
          <cell r="A906" t="str">
            <v>49014_2</v>
          </cell>
        </row>
        <row r="907">
          <cell r="A907" t="str">
            <v>49015_1</v>
          </cell>
        </row>
        <row r="908">
          <cell r="A908" t="str">
            <v>49015_2</v>
          </cell>
        </row>
        <row r="909">
          <cell r="A909" t="str">
            <v>49015_3</v>
          </cell>
        </row>
        <row r="910">
          <cell r="A910" t="str">
            <v>50001_1</v>
          </cell>
        </row>
        <row r="911">
          <cell r="A911" t="str">
            <v>50002_1</v>
          </cell>
        </row>
        <row r="912">
          <cell r="A912" t="str">
            <v>50003_1</v>
          </cell>
        </row>
        <row r="913">
          <cell r="A913" t="str">
            <v>50004_1</v>
          </cell>
        </row>
        <row r="914">
          <cell r="A914" t="str">
            <v>50005_1</v>
          </cell>
        </row>
        <row r="915">
          <cell r="A915" t="str">
            <v>50006_1</v>
          </cell>
        </row>
        <row r="916">
          <cell r="A916" t="str">
            <v>50007_1</v>
          </cell>
        </row>
        <row r="917">
          <cell r="A917" t="str">
            <v>50008_1</v>
          </cell>
        </row>
        <row r="918">
          <cell r="A918" t="str">
            <v>50009_1</v>
          </cell>
        </row>
        <row r="919">
          <cell r="A919" t="str">
            <v>50010_1</v>
          </cell>
        </row>
        <row r="920">
          <cell r="A920" t="str">
            <v>50011_1</v>
          </cell>
        </row>
        <row r="921">
          <cell r="A921" t="str">
            <v>50012_1</v>
          </cell>
        </row>
        <row r="922">
          <cell r="A922" t="str">
            <v>50013_1</v>
          </cell>
        </row>
        <row r="923">
          <cell r="A923" t="str">
            <v>50014_1</v>
          </cell>
        </row>
        <row r="924">
          <cell r="A924" t="str">
            <v>51001_1</v>
          </cell>
        </row>
        <row r="925">
          <cell r="A925" t="str">
            <v>51002_1</v>
          </cell>
        </row>
        <row r="926">
          <cell r="A926" t="str">
            <v>58001_1</v>
          </cell>
        </row>
        <row r="927">
          <cell r="A927" t="str">
            <v>59001_1</v>
          </cell>
        </row>
        <row r="928">
          <cell r="A928" t="str">
            <v>59002_1</v>
          </cell>
        </row>
        <row r="929">
          <cell r="A929" t="str">
            <v>60001_1</v>
          </cell>
        </row>
        <row r="930">
          <cell r="A930" t="str">
            <v>60002_1</v>
          </cell>
        </row>
        <row r="931">
          <cell r="A931" t="str">
            <v>60002_2</v>
          </cell>
        </row>
        <row r="932">
          <cell r="A932" t="str">
            <v>60003_1</v>
          </cell>
        </row>
        <row r="933">
          <cell r="A933" t="str">
            <v>60003_2</v>
          </cell>
        </row>
        <row r="934">
          <cell r="A934" t="str">
            <v>60003_3</v>
          </cell>
        </row>
        <row r="935">
          <cell r="A935" t="str">
            <v>60004_1</v>
          </cell>
        </row>
        <row r="936">
          <cell r="A936" t="str">
            <v>60005_1</v>
          </cell>
        </row>
        <row r="937">
          <cell r="A937" t="str">
            <v>60006_1</v>
          </cell>
        </row>
        <row r="938">
          <cell r="A938" t="str">
            <v>60006_2</v>
          </cell>
        </row>
        <row r="939">
          <cell r="A939" t="str">
            <v>60006_3</v>
          </cell>
        </row>
        <row r="940">
          <cell r="A940" t="str">
            <v>60007_1</v>
          </cell>
        </row>
        <row r="941">
          <cell r="A941" t="str">
            <v>60007_2</v>
          </cell>
        </row>
        <row r="942">
          <cell r="A942" t="str">
            <v>60007_3</v>
          </cell>
        </row>
        <row r="943">
          <cell r="A943" t="str">
            <v>60010_1</v>
          </cell>
        </row>
        <row r="944">
          <cell r="A944" t="str">
            <v>60011_1</v>
          </cell>
        </row>
        <row r="945">
          <cell r="A945" t="str">
            <v>60011_2</v>
          </cell>
        </row>
        <row r="946">
          <cell r="A946" t="str">
            <v>60012_1</v>
          </cell>
        </row>
        <row r="947">
          <cell r="A947" t="str">
            <v>60013_1</v>
          </cell>
        </row>
        <row r="948">
          <cell r="A948" t="str">
            <v>60013_2</v>
          </cell>
        </row>
        <row r="949">
          <cell r="A949" t="str">
            <v>60013_3</v>
          </cell>
        </row>
        <row r="950">
          <cell r="A950" t="str">
            <v>60014_1</v>
          </cell>
        </row>
        <row r="951">
          <cell r="A951" t="str">
            <v>60015_1</v>
          </cell>
        </row>
        <row r="952">
          <cell r="A952" t="str">
            <v>60016_1</v>
          </cell>
        </row>
        <row r="953">
          <cell r="A953" t="str">
            <v>60017_1</v>
          </cell>
        </row>
        <row r="954">
          <cell r="A954" t="str">
            <v>60018_1</v>
          </cell>
        </row>
        <row r="955">
          <cell r="A955" t="str">
            <v>60019_1</v>
          </cell>
        </row>
        <row r="956">
          <cell r="A956" t="str">
            <v>60020_1</v>
          </cell>
        </row>
        <row r="957">
          <cell r="A957" t="str">
            <v>60021_3</v>
          </cell>
        </row>
        <row r="958">
          <cell r="A958" t="str">
            <v>60022_3</v>
          </cell>
        </row>
        <row r="959">
          <cell r="A959" t="str">
            <v>60023_3</v>
          </cell>
        </row>
        <row r="960">
          <cell r="A960" t="str">
            <v>60024_3</v>
          </cell>
        </row>
        <row r="961">
          <cell r="A961" t="str">
            <v>60025_1</v>
          </cell>
        </row>
        <row r="962">
          <cell r="A962" t="str">
            <v>60026_1</v>
          </cell>
        </row>
        <row r="963">
          <cell r="A963" t="str">
            <v>61011_1</v>
          </cell>
        </row>
        <row r="964">
          <cell r="A964" t="str">
            <v>60027_1</v>
          </cell>
        </row>
        <row r="965">
          <cell r="A965" t="str">
            <v>60028_1</v>
          </cell>
        </row>
        <row r="966">
          <cell r="A966" t="str">
            <v>65525_1</v>
          </cell>
        </row>
        <row r="967">
          <cell r="A967" t="str">
            <v>65526_1</v>
          </cell>
        </row>
        <row r="968">
          <cell r="A968" t="str">
            <v>65526_2</v>
          </cell>
        </row>
        <row r="969">
          <cell r="A969" t="str">
            <v>65527_1</v>
          </cell>
        </row>
        <row r="970">
          <cell r="A970" t="str">
            <v>65528_1</v>
          </cell>
        </row>
        <row r="971">
          <cell r="A971" t="str">
            <v>65529_1</v>
          </cell>
        </row>
        <row r="972">
          <cell r="A972" t="str">
            <v>65530_1</v>
          </cell>
        </row>
        <row r="973">
          <cell r="A973" t="str">
            <v>65531_1</v>
          </cell>
        </row>
        <row r="974">
          <cell r="A974" t="str">
            <v>65531_2</v>
          </cell>
        </row>
        <row r="975">
          <cell r="A975" t="str">
            <v>65532_1</v>
          </cell>
        </row>
        <row r="976">
          <cell r="A976" t="str">
            <v>65532_2</v>
          </cell>
        </row>
        <row r="977">
          <cell r="A977" t="str">
            <v>65533_1</v>
          </cell>
        </row>
        <row r="978">
          <cell r="A978" t="str">
            <v>65533_2</v>
          </cell>
        </row>
        <row r="979">
          <cell r="A979" t="str">
            <v>65534_1</v>
          </cell>
        </row>
        <row r="980">
          <cell r="A980" t="str">
            <v>65534_2</v>
          </cell>
        </row>
        <row r="981">
          <cell r="A981" t="str">
            <v>65535_1</v>
          </cell>
        </row>
        <row r="982">
          <cell r="A982" t="str">
            <v>65535_2</v>
          </cell>
        </row>
        <row r="983">
          <cell r="A983" t="str">
            <v>65535_3</v>
          </cell>
        </row>
        <row r="984">
          <cell r="A984" t="str">
            <v>65535_4</v>
          </cell>
        </row>
        <row r="985">
          <cell r="A985" t="str">
            <v>65535_5</v>
          </cell>
        </row>
        <row r="986">
          <cell r="A986" t="str">
            <v>65535_6</v>
          </cell>
        </row>
        <row r="987">
          <cell r="A987" t="str">
            <v>65535_7</v>
          </cell>
        </row>
        <row r="988">
          <cell r="A988" t="str">
            <v>65535_8</v>
          </cell>
        </row>
        <row r="989">
          <cell r="A989" t="str">
            <v>65535_9</v>
          </cell>
        </row>
        <row r="990">
          <cell r="A99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1431</v>
          </cell>
        </row>
        <row r="1341">
          <cell r="A1341">
            <v>1432</v>
          </cell>
        </row>
        <row r="1342">
          <cell r="A1342">
            <v>1466</v>
          </cell>
        </row>
        <row r="1343">
          <cell r="A1343">
            <v>1467</v>
          </cell>
        </row>
        <row r="1344">
          <cell r="A1344">
            <v>1468</v>
          </cell>
        </row>
        <row r="1345">
          <cell r="A1345">
            <v>1469</v>
          </cell>
        </row>
        <row r="1346">
          <cell r="A1346">
            <v>1470</v>
          </cell>
        </row>
        <row r="1347">
          <cell r="A1347">
            <v>1471</v>
          </cell>
        </row>
        <row r="1348">
          <cell r="A1348">
            <v>1495</v>
          </cell>
        </row>
        <row r="1349">
          <cell r="A1349">
            <v>1496</v>
          </cell>
        </row>
        <row r="1350">
          <cell r="A1350">
            <v>1497</v>
          </cell>
        </row>
        <row r="1351">
          <cell r="A1351">
            <v>1498</v>
          </cell>
        </row>
        <row r="1352">
          <cell r="A1352">
            <v>1499</v>
          </cell>
        </row>
        <row r="1353">
          <cell r="A1353">
            <v>1500</v>
          </cell>
        </row>
        <row r="1354">
          <cell r="A1354">
            <v>1501</v>
          </cell>
        </row>
        <row r="1355">
          <cell r="A1355">
            <v>1502</v>
          </cell>
        </row>
        <row r="1356">
          <cell r="A1356">
            <v>1503</v>
          </cell>
        </row>
        <row r="1357">
          <cell r="A1357">
            <v>1504</v>
          </cell>
        </row>
        <row r="1358">
          <cell r="A1358">
            <v>1505</v>
          </cell>
        </row>
        <row r="1359">
          <cell r="A1359">
            <v>1506</v>
          </cell>
        </row>
        <row r="1360">
          <cell r="A1360">
            <v>1507</v>
          </cell>
        </row>
        <row r="1361">
          <cell r="A1361">
            <v>1508</v>
          </cell>
        </row>
        <row r="1362">
          <cell r="A1362">
            <v>1509</v>
          </cell>
        </row>
        <row r="1363">
          <cell r="A1363">
            <v>1510</v>
          </cell>
        </row>
        <row r="1364">
          <cell r="A1364">
            <v>1511</v>
          </cell>
        </row>
        <row r="1365">
          <cell r="A1365">
            <v>1512</v>
          </cell>
        </row>
        <row r="1366">
          <cell r="A1366">
            <v>1523</v>
          </cell>
        </row>
        <row r="1367">
          <cell r="A1367">
            <v>1524</v>
          </cell>
        </row>
        <row r="1368">
          <cell r="A1368">
            <v>1525</v>
          </cell>
        </row>
        <row r="1369">
          <cell r="A1369">
            <v>1526</v>
          </cell>
        </row>
        <row r="1370">
          <cell r="A1370">
            <v>5001</v>
          </cell>
        </row>
        <row r="1371">
          <cell r="A1371">
            <v>5002</v>
          </cell>
        </row>
        <row r="1372">
          <cell r="A1372">
            <v>5003</v>
          </cell>
        </row>
        <row r="1373">
          <cell r="A1373">
            <v>5004</v>
          </cell>
        </row>
        <row r="1374">
          <cell r="A1374">
            <v>5005</v>
          </cell>
        </row>
        <row r="1375">
          <cell r="A1375">
            <v>5006</v>
          </cell>
        </row>
        <row r="1376">
          <cell r="A1376">
            <v>5007</v>
          </cell>
        </row>
        <row r="1377">
          <cell r="A1377">
            <v>5008</v>
          </cell>
        </row>
        <row r="1378">
          <cell r="A1378">
            <v>6001</v>
          </cell>
        </row>
        <row r="1379">
          <cell r="A1379">
            <v>6002</v>
          </cell>
        </row>
        <row r="1380">
          <cell r="A1380">
            <v>6003</v>
          </cell>
        </row>
        <row r="1381">
          <cell r="A1381">
            <v>6004</v>
          </cell>
        </row>
        <row r="1382">
          <cell r="A1382">
            <v>6005</v>
          </cell>
        </row>
        <row r="1383">
          <cell r="A1383">
            <v>6006</v>
          </cell>
        </row>
        <row r="1384">
          <cell r="A1384">
            <v>6007</v>
          </cell>
        </row>
        <row r="1385">
          <cell r="A1385">
            <v>6008</v>
          </cell>
        </row>
        <row r="1386">
          <cell r="A1386">
            <v>6009</v>
          </cell>
        </row>
        <row r="1387">
          <cell r="A1387">
            <v>6010</v>
          </cell>
        </row>
        <row r="1388">
          <cell r="A1388">
            <v>6011</v>
          </cell>
        </row>
        <row r="1389">
          <cell r="A1389">
            <v>6012</v>
          </cell>
        </row>
        <row r="1390">
          <cell r="A1390">
            <v>6013</v>
          </cell>
        </row>
        <row r="1391">
          <cell r="A1391">
            <v>6014</v>
          </cell>
        </row>
        <row r="1392">
          <cell r="A1392">
            <v>6015</v>
          </cell>
        </row>
        <row r="1393">
          <cell r="A1393">
            <v>6016</v>
          </cell>
        </row>
        <row r="1394">
          <cell r="A1394">
            <v>6017</v>
          </cell>
        </row>
        <row r="1395">
          <cell r="A1395">
            <v>6018</v>
          </cell>
        </row>
        <row r="1396">
          <cell r="A1396">
            <v>6019</v>
          </cell>
        </row>
        <row r="1397">
          <cell r="A1397">
            <v>6020</v>
          </cell>
        </row>
        <row r="1398">
          <cell r="A1398">
            <v>8001</v>
          </cell>
        </row>
        <row r="1399">
          <cell r="A1399">
            <v>8002</v>
          </cell>
        </row>
        <row r="1400">
          <cell r="A1400">
            <v>8003</v>
          </cell>
        </row>
        <row r="1401">
          <cell r="A1401">
            <v>8004</v>
          </cell>
        </row>
        <row r="1402">
          <cell r="A1402">
            <v>8005</v>
          </cell>
        </row>
        <row r="1403">
          <cell r="A1403">
            <v>8006</v>
          </cell>
        </row>
        <row r="1404">
          <cell r="A1404">
            <v>8007</v>
          </cell>
        </row>
        <row r="1405">
          <cell r="A1405">
            <v>8008</v>
          </cell>
        </row>
        <row r="1406">
          <cell r="A1406">
            <v>8009</v>
          </cell>
        </row>
        <row r="1407">
          <cell r="A1407">
            <v>8010</v>
          </cell>
        </row>
        <row r="1408">
          <cell r="A1408">
            <v>8011</v>
          </cell>
        </row>
        <row r="1409">
          <cell r="A1409">
            <v>8012</v>
          </cell>
        </row>
        <row r="1410">
          <cell r="A1410">
            <v>8013</v>
          </cell>
        </row>
        <row r="1411">
          <cell r="A1411">
            <v>8014</v>
          </cell>
        </row>
        <row r="1412">
          <cell r="A1412">
            <v>8015</v>
          </cell>
        </row>
        <row r="1413">
          <cell r="A1413">
            <v>8016</v>
          </cell>
        </row>
        <row r="1414">
          <cell r="A1414">
            <v>8017</v>
          </cell>
        </row>
        <row r="1415">
          <cell r="A1415">
            <v>8018</v>
          </cell>
        </row>
        <row r="1416">
          <cell r="A1416">
            <v>8019</v>
          </cell>
        </row>
        <row r="1417">
          <cell r="A1417">
            <v>8020</v>
          </cell>
        </row>
        <row r="1418">
          <cell r="A1418">
            <v>8021</v>
          </cell>
        </row>
        <row r="1419">
          <cell r="A1419">
            <v>8022</v>
          </cell>
        </row>
        <row r="1420">
          <cell r="A1420">
            <v>8023</v>
          </cell>
        </row>
        <row r="1421">
          <cell r="A1421">
            <v>8024</v>
          </cell>
        </row>
        <row r="1422">
          <cell r="A1422">
            <v>8025</v>
          </cell>
        </row>
        <row r="1423">
          <cell r="A1423">
            <v>8026</v>
          </cell>
        </row>
        <row r="1424">
          <cell r="A1424">
            <v>8027</v>
          </cell>
        </row>
        <row r="1425">
          <cell r="A1425">
            <v>8028</v>
          </cell>
        </row>
        <row r="1426">
          <cell r="A1426">
            <v>8029</v>
          </cell>
        </row>
        <row r="1427">
          <cell r="A1427">
            <v>8030</v>
          </cell>
        </row>
        <row r="1428">
          <cell r="A1428">
            <v>8031</v>
          </cell>
        </row>
        <row r="1429">
          <cell r="A1429">
            <v>8032</v>
          </cell>
        </row>
        <row r="1430">
          <cell r="A1430">
            <v>8033</v>
          </cell>
        </row>
        <row r="1431">
          <cell r="A1431">
            <v>8034</v>
          </cell>
        </row>
        <row r="1432">
          <cell r="A1432">
            <v>8035</v>
          </cell>
        </row>
        <row r="1433">
          <cell r="A1433">
            <v>8036</v>
          </cell>
        </row>
        <row r="1434">
          <cell r="A1434">
            <v>8037</v>
          </cell>
        </row>
        <row r="1435">
          <cell r="A1435">
            <v>8038</v>
          </cell>
        </row>
        <row r="1436">
          <cell r="A1436">
            <v>8039</v>
          </cell>
        </row>
        <row r="1437">
          <cell r="A1437">
            <v>8040</v>
          </cell>
        </row>
        <row r="1438">
          <cell r="A1438">
            <v>8041</v>
          </cell>
        </row>
        <row r="1439">
          <cell r="A1439">
            <v>8042</v>
          </cell>
        </row>
        <row r="1440">
          <cell r="A1440">
            <v>8043</v>
          </cell>
        </row>
        <row r="1441">
          <cell r="A1441">
            <v>8044</v>
          </cell>
        </row>
        <row r="1442">
          <cell r="A1442">
            <v>8045</v>
          </cell>
        </row>
        <row r="1443">
          <cell r="A1443">
            <v>8046</v>
          </cell>
        </row>
        <row r="1444">
          <cell r="A1444">
            <v>8047</v>
          </cell>
        </row>
        <row r="1445">
          <cell r="A1445">
            <v>8048</v>
          </cell>
        </row>
        <row r="1446">
          <cell r="A1446">
            <v>8049</v>
          </cell>
        </row>
        <row r="1447">
          <cell r="A1447">
            <v>8050</v>
          </cell>
        </row>
        <row r="1448">
          <cell r="A1448">
            <v>8051</v>
          </cell>
        </row>
        <row r="1449">
          <cell r="A1449">
            <v>8052</v>
          </cell>
        </row>
        <row r="1450">
          <cell r="A1450">
            <v>8053</v>
          </cell>
        </row>
        <row r="1451">
          <cell r="A1451">
            <v>8054</v>
          </cell>
        </row>
        <row r="1452">
          <cell r="A1452">
            <v>8055</v>
          </cell>
        </row>
        <row r="1453">
          <cell r="A1453">
            <v>8056</v>
          </cell>
        </row>
        <row r="1454">
          <cell r="A1454">
            <v>8057</v>
          </cell>
        </row>
        <row r="1455">
          <cell r="A1455">
            <v>8058</v>
          </cell>
        </row>
        <row r="1456">
          <cell r="A1456">
            <v>8059</v>
          </cell>
        </row>
        <row r="1457">
          <cell r="A1457">
            <v>8060</v>
          </cell>
        </row>
        <row r="1458">
          <cell r="A1458">
            <v>8061</v>
          </cell>
        </row>
        <row r="1459">
          <cell r="A1459">
            <v>8062</v>
          </cell>
        </row>
        <row r="1460">
          <cell r="A1460">
            <v>8063</v>
          </cell>
        </row>
        <row r="1461">
          <cell r="A1461">
            <v>8064</v>
          </cell>
        </row>
        <row r="1462">
          <cell r="A1462">
            <v>8065</v>
          </cell>
        </row>
        <row r="1463">
          <cell r="A1463">
            <v>8066</v>
          </cell>
        </row>
        <row r="1464">
          <cell r="A1464">
            <v>8067</v>
          </cell>
        </row>
        <row r="1465">
          <cell r="A1465">
            <v>8068</v>
          </cell>
        </row>
        <row r="1466">
          <cell r="A1466">
            <v>8069</v>
          </cell>
        </row>
        <row r="1467">
          <cell r="A1467">
            <v>8070</v>
          </cell>
        </row>
        <row r="1468">
          <cell r="A1468">
            <v>8071</v>
          </cell>
        </row>
        <row r="1469">
          <cell r="A1469">
            <v>8072</v>
          </cell>
        </row>
        <row r="1470">
          <cell r="A1470">
            <v>8073</v>
          </cell>
        </row>
        <row r="1471">
          <cell r="A1471">
            <v>8074</v>
          </cell>
        </row>
        <row r="1472">
          <cell r="A1472">
            <v>8077</v>
          </cell>
        </row>
        <row r="1473">
          <cell r="A1473">
            <v>8078</v>
          </cell>
        </row>
        <row r="1474">
          <cell r="A1474">
            <v>8079</v>
          </cell>
        </row>
        <row r="1475">
          <cell r="A1475">
            <v>8080</v>
          </cell>
        </row>
        <row r="1476">
          <cell r="A1476">
            <v>8081</v>
          </cell>
        </row>
        <row r="1477">
          <cell r="A1477">
            <v>8082</v>
          </cell>
        </row>
        <row r="1478">
          <cell r="A1478">
            <v>8083</v>
          </cell>
        </row>
        <row r="1479">
          <cell r="A1479">
            <v>8084</v>
          </cell>
        </row>
        <row r="1480">
          <cell r="A1480">
            <v>8087</v>
          </cell>
        </row>
        <row r="1481">
          <cell r="A1481">
            <v>8088</v>
          </cell>
        </row>
        <row r="1482">
          <cell r="A1482">
            <v>8089</v>
          </cell>
        </row>
        <row r="1483">
          <cell r="A1483">
            <v>8090</v>
          </cell>
        </row>
        <row r="1484">
          <cell r="A1484">
            <v>8095</v>
          </cell>
        </row>
        <row r="1485">
          <cell r="A1485">
            <v>8096</v>
          </cell>
        </row>
        <row r="1486">
          <cell r="A1486">
            <v>8097</v>
          </cell>
        </row>
        <row r="1487">
          <cell r="A1487">
            <v>8098</v>
          </cell>
        </row>
        <row r="1488">
          <cell r="A1488">
            <v>8099</v>
          </cell>
        </row>
        <row r="1489">
          <cell r="A1489">
            <v>8100</v>
          </cell>
        </row>
        <row r="1490">
          <cell r="A1490">
            <v>8101</v>
          </cell>
        </row>
        <row r="1491">
          <cell r="A1491">
            <v>8102</v>
          </cell>
        </row>
        <row r="1492">
          <cell r="A1492">
            <v>9001</v>
          </cell>
        </row>
        <row r="1493">
          <cell r="A1493">
            <v>9002</v>
          </cell>
        </row>
        <row r="1494">
          <cell r="A1494">
            <v>9003</v>
          </cell>
        </row>
        <row r="1495">
          <cell r="A1495">
            <v>9004</v>
          </cell>
        </row>
        <row r="1496">
          <cell r="A1496">
            <v>9005</v>
          </cell>
        </row>
        <row r="1497">
          <cell r="A1497">
            <v>9006</v>
          </cell>
        </row>
        <row r="1498">
          <cell r="A1498">
            <v>9007</v>
          </cell>
        </row>
        <row r="1499">
          <cell r="A1499">
            <v>9008</v>
          </cell>
        </row>
        <row r="1500">
          <cell r="A1500">
            <v>10101</v>
          </cell>
        </row>
        <row r="1501">
          <cell r="A1501">
            <v>10102</v>
          </cell>
        </row>
        <row r="1502">
          <cell r="A1502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33" sqref="F33"/>
    </sheetView>
  </sheetViews>
  <sheetFormatPr baseColWidth="12" defaultRowHeight="15" x14ac:dyDescent="0.15"/>
  <cols>
    <col min="2" max="2" width="19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260</v>
      </c>
      <c r="B2" s="55" t="s">
        <v>105</v>
      </c>
      <c r="C2" s="60" t="s">
        <v>261</v>
      </c>
      <c r="D2" s="55" t="s">
        <v>106</v>
      </c>
      <c r="E2" s="54" t="str">
        <f>B2&amp;C2&amp;D2</f>
        <v>floors_13400_7.tmp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260</v>
      </c>
      <c r="B3" s="55" t="s">
        <v>108</v>
      </c>
      <c r="C3" s="60" t="s">
        <v>261</v>
      </c>
      <c r="D3" s="55" t="s">
        <v>106</v>
      </c>
      <c r="E3" s="54" t="str">
        <f>B3&amp;C3&amp;D3</f>
        <v>enemy_habitats_13400_7.tmp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175</v>
      </c>
    </row>
    <row r="4" spans="1:30" x14ac:dyDescent="0.15">
      <c r="A4" s="59" t="s">
        <v>260</v>
      </c>
      <c r="B4" s="55" t="s">
        <v>110</v>
      </c>
      <c r="C4" s="60" t="s">
        <v>261</v>
      </c>
      <c r="D4" s="55" t="s">
        <v>106</v>
      </c>
      <c r="E4" s="54" t="str">
        <f>B4&amp;C4&amp;D4</f>
        <v>enemy_habitat_S_13400_7.tmp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260</v>
      </c>
      <c r="B5" s="55" t="s">
        <v>112</v>
      </c>
      <c r="C5" s="60" t="s">
        <v>261</v>
      </c>
      <c r="D5" s="55" t="s">
        <v>106</v>
      </c>
      <c r="E5" s="54" t="str">
        <f>B5&amp;C5&amp;D5</f>
        <v>enemy_skill_sets_13400_7.tmp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260</v>
      </c>
      <c r="B6" s="55" t="s">
        <v>114</v>
      </c>
      <c r="C6" s="60" t="s">
        <v>261</v>
      </c>
      <c r="D6" s="55" t="s">
        <v>115</v>
      </c>
      <c r="E6" s="54" t="str">
        <f t="shared" ref="E6:E10" si="0">B6&amp;C6&amp;D6</f>
        <v>enemy_skills_tmp_13400_7.tmp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260</v>
      </c>
      <c r="B7" s="55" t="s">
        <v>116</v>
      </c>
      <c r="C7" s="60" t="s">
        <v>261</v>
      </c>
      <c r="D7" s="55" t="s">
        <v>106</v>
      </c>
      <c r="E7" s="54" t="str">
        <f>B7&amp;C7&amp;D7</f>
        <v>enemy_skills_i18n_13400_7.tmp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260</v>
      </c>
      <c r="B8" s="55" t="s">
        <v>118</v>
      </c>
      <c r="C8" s="60" t="s">
        <v>261</v>
      </c>
      <c r="D8" s="55" t="s">
        <v>119</v>
      </c>
      <c r="E8" s="54" t="str">
        <f t="shared" si="0"/>
        <v>enemy_skill_triggers_13400_7.tmp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260</v>
      </c>
      <c r="B9" s="65" t="s">
        <v>174</v>
      </c>
      <c r="C9" s="60" t="s">
        <v>261</v>
      </c>
      <c r="D9" s="65" t="s">
        <v>168</v>
      </c>
      <c r="E9" s="66" t="str">
        <f t="shared" si="0"/>
        <v>stage_bug_bonuses_13400_7.tmp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184</v>
      </c>
      <c r="B10" s="65" t="s">
        <v>197</v>
      </c>
      <c r="C10" s="60" t="s">
        <v>261</v>
      </c>
      <c r="D10" s="65" t="s">
        <v>177</v>
      </c>
      <c r="E10" s="66" t="str">
        <f t="shared" si="0"/>
        <v>stage_hints_data_c_13400_7.tmp</v>
      </c>
      <c r="F10" s="65" t="s">
        <v>205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260</v>
      </c>
      <c r="B11" s="65" t="s">
        <v>198</v>
      </c>
      <c r="C11" s="60" t="s">
        <v>261</v>
      </c>
      <c r="D11" s="65" t="s">
        <v>168</v>
      </c>
      <c r="E11" s="66" t="str">
        <f t="shared" ref="E11:E13" si="1">B11&amp;C11&amp;D11</f>
        <v>stage_hints_data_f_13400_7.tmp</v>
      </c>
      <c r="F11" s="65" t="s">
        <v>206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9" t="s">
        <v>260</v>
      </c>
      <c r="B12" s="65" t="s">
        <v>199</v>
      </c>
      <c r="C12" s="60" t="s">
        <v>261</v>
      </c>
      <c r="D12" s="65" t="s">
        <v>168</v>
      </c>
      <c r="E12" s="66" t="str">
        <f t="shared" si="1"/>
        <v>stage_hints_i18n_13400_7.tmp</v>
      </c>
      <c r="F12" s="65" t="s">
        <v>207</v>
      </c>
      <c r="G12" s="71" t="s">
        <v>200</v>
      </c>
      <c r="H12" s="89" t="s">
        <v>201</v>
      </c>
      <c r="I12" s="70" t="s">
        <v>202</v>
      </c>
      <c r="J12" s="97" t="s">
        <v>203</v>
      </c>
      <c r="K12" s="64" t="s">
        <v>204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9" t="s">
        <v>260</v>
      </c>
      <c r="B13" s="65" t="s">
        <v>244</v>
      </c>
      <c r="C13" s="60" t="s">
        <v>261</v>
      </c>
      <c r="D13" s="65" t="s">
        <v>225</v>
      </c>
      <c r="E13" s="66" t="str">
        <f t="shared" si="1"/>
        <v>stage_bonuses_13400_7.tmp</v>
      </c>
      <c r="F13" s="65" t="s">
        <v>224</v>
      </c>
      <c r="G13" s="70" t="s">
        <v>226</v>
      </c>
      <c r="H13" s="70" t="s">
        <v>227</v>
      </c>
      <c r="I13" s="70" t="s">
        <v>228</v>
      </c>
      <c r="J13" s="70" t="s">
        <v>229</v>
      </c>
      <c r="K13" s="70" t="s">
        <v>230</v>
      </c>
      <c r="L13" s="70" t="s">
        <v>231</v>
      </c>
      <c r="M13" s="70" t="s">
        <v>232</v>
      </c>
      <c r="N13" s="70" t="s">
        <v>233</v>
      </c>
      <c r="O13" s="70" t="s">
        <v>234</v>
      </c>
      <c r="P13" s="70" t="s">
        <v>235</v>
      </c>
      <c r="Q13" s="70" t="s">
        <v>236</v>
      </c>
      <c r="R13" s="70" t="s">
        <v>237</v>
      </c>
      <c r="S13" s="70" t="s">
        <v>238</v>
      </c>
      <c r="T13" s="70" t="s">
        <v>239</v>
      </c>
      <c r="U13" s="70" t="s">
        <v>240</v>
      </c>
      <c r="V13" s="70" t="s">
        <v>241</v>
      </c>
      <c r="W13" s="70" t="s">
        <v>242</v>
      </c>
      <c r="X13" s="70" t="s">
        <v>243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G11" sqref="G11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13400_7-1</v>
      </c>
      <c r="B2" s="15" t="str">
        <f>IF(COUNTIF(enemy_habitats!$H:$H,A2),"OK","NG")</f>
        <v>OK</v>
      </c>
      <c r="C2" s="106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7</v>
      </c>
      <c r="G2" s="21" t="str">
        <f>C2&amp;"_"&amp;F2</f>
        <v>13400_7</v>
      </c>
      <c r="H2" s="14" t="str">
        <f ca="1">VLOOKUP($G2,OFFSET([2]stages!$A$1,0,0,COUNTA([2]stages!$A:$A),MATCH(H$1,[2]stages!$2:$2,0)-MATCH($G$1,[2]stages!$2:$2,0)+1),MATCH(H$1,[2]stages!$2:$2,0)-MATCH($G$1,[2]stages!$2:$2,0)+1,FALSE)</f>
        <v>7階 コスト30以下限定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 t="shared" ref="A3:A4" si="0">G3&amp;"-"&amp;I3</f>
        <v>13400_7-2</v>
      </c>
      <c r="B3" s="15" t="str">
        <f>IF(COUNTIF(enemy_habitats!$H:$H,A3),"OK","NG")</f>
        <v>OK</v>
      </c>
      <c r="C3" s="106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7</v>
      </c>
      <c r="G3" s="21" t="str">
        <f t="shared" ref="G3:G4" si="1">C3&amp;"_"&amp;F3</f>
        <v>13400_7</v>
      </c>
      <c r="H3" s="14" t="str">
        <f ca="1">VLOOKUP($G3,OFFSET([2]stages!$A$1,0,0,COUNTA([2]stages!$A:$A),MATCH(H$1,[2]stages!$2:$2,0)-MATCH($G$1,[2]stages!$2:$2,0)+1),MATCH(H$1,[2]stages!$2:$2,0)-MATCH($G$1,[2]stages!$2:$2,0)+1,FALSE)</f>
        <v>7階 コスト30以下限定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 t="shared" si="0"/>
        <v>13400_7-3</v>
      </c>
      <c r="B4" s="15" t="str">
        <f>IF(COUNTIF(enemy_habitats!$H:$H,A4),"OK","NG")</f>
        <v>OK</v>
      </c>
      <c r="C4" s="106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-エルフラム-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7</v>
      </c>
      <c r="G4" s="21" t="str">
        <f t="shared" si="1"/>
        <v>13400_7</v>
      </c>
      <c r="H4" s="14" t="str">
        <f ca="1">VLOOKUP($G4,OFFSET([2]stages!$A$1,0,0,COUNTA([2]stages!$A:$A),MATCH(H$1,[2]stages!$2:$2,0)-MATCH($G$1,[2]stages!$2:$2,0)+1),MATCH(H$1,[2]stages!$2:$2,0)-MATCH($G$1,[2]stages!$2:$2,0)+1,FALSE)</f>
        <v>7階 コスト30以下限定</v>
      </c>
      <c r="I4" s="19">
        <v>3</v>
      </c>
      <c r="J4" s="12">
        <v>60</v>
      </c>
      <c r="K4" s="12">
        <v>60</v>
      </c>
    </row>
    <row r="5" spans="1:11" ht="21" customHeight="1" x14ac:dyDescent="0.15">
      <c r="A5" s="15" t="str">
        <f t="shared" ref="A5" si="2">G5&amp;"-"&amp;I5</f>
        <v>13400_7-4</v>
      </c>
      <c r="B5" s="15" t="str">
        <f>IF(COUNTIF(enemy_habitats!$H:$H,A5),"OK","NG")</f>
        <v>OK</v>
      </c>
      <c r="C5" s="106">
        <v>13400</v>
      </c>
      <c r="D5" s="11" t="str">
        <f ca="1">VLOOKUP($C5,OFFSET([2]quests!$A$1,0,0,COUNTA([2]quests!$A:$A),MATCH(D$1,[2]quests!$1:$1,0)-MATCH($C$1,[2]quests!$1:$1,0)+1),MATCH(D$1,[2]quests!$1:$1,0)-MATCH($C$1,[2]quests!$1:$1,0)+1,FALSE)</f>
        <v>タワーオブザクイーン -エルフラム-</v>
      </c>
      <c r="E5" s="17" t="str">
        <f ca="1">VLOOKUP($C5,OFFSET([2]quests!$A$1,0,0,COUNTA([2]quests!$A:$A),MATCH(E$1,[2]quests!$1:$1,0)-MATCH($C$1,[2]quests!$1:$1,0)+1),MATCH(E$1,[2]quests!$1:$1,0)-MATCH($C$1,[2]quests!$1:$1,0)+1,FALSE)</f>
        <v>タワーオブザクイーン2本目</v>
      </c>
      <c r="F5" s="19">
        <v>7</v>
      </c>
      <c r="G5" s="21" t="str">
        <f t="shared" ref="G5" si="3">C5&amp;"_"&amp;F5</f>
        <v>13400_7</v>
      </c>
      <c r="H5" s="14" t="str">
        <f ca="1">VLOOKUP($G5,OFFSET([2]stages!$A$1,0,0,COUNTA([2]stages!$A:$A),MATCH(H$1,[2]stages!$2:$2,0)-MATCH($G$1,[2]stages!$2:$2,0)+1),MATCH(H$1,[2]stages!$2:$2,0)-MATCH($G$1,[2]stages!$2:$2,0)+1,FALSE)</f>
        <v>7階 コスト30以下限定</v>
      </c>
      <c r="I5" s="19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X7" sqref="X7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19.33203125" style="104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245</v>
      </c>
      <c r="U1" s="24" t="s">
        <v>50</v>
      </c>
      <c r="V1" s="98" t="s">
        <v>246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13400_7-1/863&lt;lv60&gt;s2</v>
      </c>
      <c r="B2" s="20">
        <v>13400</v>
      </c>
      <c r="C2" s="19">
        <v>7</v>
      </c>
      <c r="D2" s="2" t="str">
        <f>B2&amp;"_"&amp;C2</f>
        <v>13400_7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7階 コスト30以下限定</v>
      </c>
      <c r="G2" s="19">
        <v>1</v>
      </c>
      <c r="H2" s="14" t="str">
        <f>B2&amp;"_"&amp;C2&amp;"-"&amp;G2</f>
        <v>13400_7-1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3">
        <v>863</v>
      </c>
      <c r="M2" s="102" t="str">
        <f ca="1">VLOOKUP($L2,OFFSET([3]enemies!$A$1,0,0,COUNTA([3]enemies!$A:$A),MATCH(M$1,[3]enemies!$1:$1,0)-MATCH($L$1,[3]enemies!$1:$1,0)+1),MATCH(M$1,[3]enemies!$1:$1,0)-MATCH($L$1,[3]enemies!$1:$1,0)+1,FALSE)</f>
        <v>歓揮の楽団長 ブレーメン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60</v>
      </c>
      <c r="S2" s="23">
        <v>1.2</v>
      </c>
      <c r="T2" s="99">
        <f>S2*104550</f>
        <v>125460</v>
      </c>
      <c r="U2" s="23">
        <v>0.5</v>
      </c>
      <c r="V2" s="99">
        <f>U2*7535</f>
        <v>3767.5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2" s="107">
        <v>13400250</v>
      </c>
      <c r="Z2" s="6">
        <v>0</v>
      </c>
      <c r="AA2" s="6">
        <v>100</v>
      </c>
      <c r="AB2" s="6">
        <v>1</v>
      </c>
      <c r="AC2" s="101">
        <v>2</v>
      </c>
      <c r="AD2" s="22">
        <f t="shared" ref="AD2" si="1">L2</f>
        <v>863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歓揮の楽団長 ブレーメン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2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5" si="2">B3&amp;"_"&amp;C3&amp;"-"&amp;G3&amp;"/"&amp;L3&amp;"&lt;lv"&amp;R3&amp;"&gt;s"&amp;AC3</f>
        <v>13400_7-2/818&lt;lv60&gt;s1</v>
      </c>
      <c r="B3" s="20">
        <v>13400</v>
      </c>
      <c r="C3" s="19">
        <v>7</v>
      </c>
      <c r="D3" s="2" t="str">
        <f t="shared" ref="D3:D5" si="3">B3&amp;"_"&amp;C3</f>
        <v>13400_7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7階 コスト30以下限定</v>
      </c>
      <c r="G3" s="19">
        <v>2</v>
      </c>
      <c r="H3" s="14" t="str">
        <f t="shared" ref="H3:H5" si="4">B3&amp;"_"&amp;C3&amp;"-"&amp;G3</f>
        <v>13400_7-2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3">
        <v>818</v>
      </c>
      <c r="M3" s="102" t="str">
        <f ca="1">VLOOKUP($L3,OFFSET([3]enemies!$A$1,0,0,COUNTA([3]enemies!$A:$A),MATCH(M$1,[3]enemies!$1:$1,0)-MATCH($L$1,[3]enemies!$1:$1,0)+1),MATCH(M$1,[3]enemies!$1:$1,0)-MATCH($L$1,[3]enemies!$1:$1,0)+1,FALSE)</f>
        <v>虚空を飾る大輪 オズ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60</v>
      </c>
      <c r="S3" s="23">
        <v>1.5</v>
      </c>
      <c r="T3" s="99">
        <f>S3*90219</f>
        <v>135328.5</v>
      </c>
      <c r="U3" s="23">
        <v>0.5</v>
      </c>
      <c r="V3" s="99">
        <f>U3*5864</f>
        <v>2932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状態異常耐性+_x000D_4ターン種族アニマルのユニットの攻撃力50%DOWN</v>
      </c>
      <c r="Y3" s="107">
        <v>13400251</v>
      </c>
      <c r="Z3" s="6">
        <v>0</v>
      </c>
      <c r="AA3" s="6">
        <v>100</v>
      </c>
      <c r="AB3" s="6">
        <v>1</v>
      </c>
      <c r="AC3" s="101">
        <v>1</v>
      </c>
      <c r="AD3" s="22">
        <f t="shared" ref="AD3:AD5" si="5">L3</f>
        <v>818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虚空を飾る大輪 オズ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2">
        <f t="shared" ref="AI3:AI5" ca="1" si="6">AF3</f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2"/>
        <v>13400_7-3/1105&lt;lv60&gt;s1</v>
      </c>
      <c r="B4" s="20">
        <v>13400</v>
      </c>
      <c r="C4" s="19">
        <v>7</v>
      </c>
      <c r="D4" s="2" t="str">
        <f t="shared" si="3"/>
        <v>13400_7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-エルフラム-</v>
      </c>
      <c r="F4" s="4" t="str">
        <f ca="1">VLOOKUP($D4,OFFSET([2]stages!$A$1,0,0,COUNTA([2]stages!$A:$A),MATCH(F$1,[2]stages!$2:$2,0)-MATCH($D$1,[2]stages!$2:$2,0)+1),MATCH(F$1,[2]stages!$2:$2,0)-MATCH($D$1,[2]stages!$2:$2,0)+1,FALSE)</f>
        <v>7階 コスト30以下限定</v>
      </c>
      <c r="G4" s="19">
        <v>3</v>
      </c>
      <c r="H4" s="14" t="str">
        <f t="shared" si="4"/>
        <v>13400_7-3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3">
        <v>1105</v>
      </c>
      <c r="M4" s="102" t="str">
        <f ca="1">VLOOKUP($L4,OFFSET([3]enemies!$A$1,0,0,COUNTA([3]enemies!$A:$A),MATCH(M$1,[3]enemies!$1:$1,0)-MATCH($L$1,[3]enemies!$1:$1,0)+1),MATCH(M$1,[3]enemies!$1:$1,0)-MATCH($L$1,[3]enemies!$1:$1,0)+1,FALSE)</f>
        <v>甘美なる背徳 クリムト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60</v>
      </c>
      <c r="S4" s="23">
        <v>1.7</v>
      </c>
      <c r="T4" s="99">
        <f>S4*88450</f>
        <v>150365</v>
      </c>
      <c r="U4" s="23">
        <v>0.5</v>
      </c>
      <c r="V4" s="99">
        <f>U4*5864</f>
        <v>2932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状態異常耐性+_x000D_種族ヒューマンのユニットの回復力50%DOWN</v>
      </c>
      <c r="Y4" s="107">
        <v>13400252</v>
      </c>
      <c r="Z4" s="6">
        <v>0</v>
      </c>
      <c r="AA4" s="6">
        <v>100</v>
      </c>
      <c r="AB4" s="6">
        <v>1</v>
      </c>
      <c r="AC4" s="101">
        <v>1</v>
      </c>
      <c r="AD4" s="22">
        <f t="shared" si="5"/>
        <v>1105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甘美なる背徳 クリムト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2">
        <f t="shared" ca="1" si="6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2"/>
        <v>13400_7-4/482&lt;lv60&gt;s1</v>
      </c>
      <c r="B5" s="20">
        <v>13400</v>
      </c>
      <c r="C5" s="19">
        <v>7</v>
      </c>
      <c r="D5" s="2" t="str">
        <f t="shared" si="3"/>
        <v>13400_7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-エルフラム-</v>
      </c>
      <c r="F5" s="4" t="str">
        <f ca="1">VLOOKUP($D5,OFFSET([2]stages!$A$1,0,0,COUNTA([2]stages!$A:$A),MATCH(F$1,[2]stages!$2:$2,0)-MATCH($D$1,[2]stages!$2:$2,0)+1),MATCH(F$1,[2]stages!$2:$2,0)-MATCH($D$1,[2]stages!$2:$2,0)+1,FALSE)</f>
        <v>7階 コスト30以下限定</v>
      </c>
      <c r="G5" s="19">
        <v>4</v>
      </c>
      <c r="H5" s="14" t="str">
        <f t="shared" si="4"/>
        <v>13400_7-4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1</v>
      </c>
      <c r="L5" s="103">
        <v>482</v>
      </c>
      <c r="M5" s="102" t="str">
        <f ca="1">VLOOKUP($L5,OFFSET([3]enemies!$A$1,0,0,COUNTA([3]enemies!$A:$A),MATCH(M$1,[3]enemies!$1:$1,0)-MATCH($L$1,[3]enemies!$1:$1,0)+1),MATCH(M$1,[3]enemies!$1:$1,0)-MATCH($L$1,[3]enemies!$1:$1,0)+1,FALSE)</f>
        <v>魁僧 沢庵宗彭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60</v>
      </c>
      <c r="S5" s="23">
        <v>1.2</v>
      </c>
      <c r="T5" s="99">
        <f>S5*139652</f>
        <v>167582.39999999999</v>
      </c>
      <c r="U5" s="23">
        <v>0.6</v>
      </c>
      <c r="V5" s="99">
        <f>U5*5708</f>
        <v>3424.7999999999997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状態異常耐性+防御力UP</v>
      </c>
      <c r="Y5" s="107">
        <v>13400253</v>
      </c>
      <c r="Z5" s="6">
        <v>0</v>
      </c>
      <c r="AA5" s="6">
        <v>100</v>
      </c>
      <c r="AB5" s="6">
        <v>1</v>
      </c>
      <c r="AC5" s="101">
        <v>1</v>
      </c>
      <c r="AD5" s="22">
        <f t="shared" si="5"/>
        <v>482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2">
        <f t="shared" ca="1" si="6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T6" s="3"/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V4" sqref="V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245</v>
      </c>
      <c r="V1" s="24" t="s">
        <v>50</v>
      </c>
      <c r="W1" s="98" t="s">
        <v>246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13400_7-4/483&lt;lv60&gt;sq1st2</v>
      </c>
      <c r="B2" s="20">
        <v>13400</v>
      </c>
      <c r="C2" s="108">
        <v>7</v>
      </c>
      <c r="D2" s="14" t="str">
        <f>B2&amp;"_"&amp;C2</f>
        <v>13400_7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7階 コスト30以下限定</v>
      </c>
      <c r="G2" s="108">
        <v>4</v>
      </c>
      <c r="H2" s="14" t="str">
        <f>B2&amp;"_"&amp;C2&amp;"-"&amp;G2</f>
        <v>13400_7-4</v>
      </c>
      <c r="I2" s="4" t="e">
        <v>#N/A</v>
      </c>
      <c r="J2" s="4" t="e">
        <v>#N/A</v>
      </c>
      <c r="K2" s="36">
        <v>1</v>
      </c>
      <c r="L2" s="36">
        <v>2</v>
      </c>
      <c r="M2" s="103">
        <v>483</v>
      </c>
      <c r="N2" s="16" t="str">
        <f ca="1">VLOOKUP($M2,OFFSET([3]enemies!$A$1,0,0,COUNTA([3]enemies!$A:$A),MATCH(N$1,[3]enemies!$1:$1,0)-MATCH($M$1,[3]enemies!$1:$1,0)+1),MATCH(N$1,[3]enemies!$1:$1,0)-MATCH($M$1,[3]enemies!$1:$1,0)+1,FALSE)</f>
        <v xml:space="preserve">命経死遂 沢庵宗彭 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3">
        <v>1.2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167582.39999999999</v>
      </c>
      <c r="V2" s="23">
        <v>0.6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3424.7999999999997</v>
      </c>
      <c r="X2" s="5">
        <v>0</v>
      </c>
      <c r="Y2" s="4" t="e">
        <v>#N/A</v>
      </c>
      <c r="Z2" s="107">
        <v>13400254</v>
      </c>
      <c r="AA2" s="109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2" sqref="E12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9.33203125" style="47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13400250_13400250</v>
      </c>
      <c r="B2" s="45">
        <v>13400250</v>
      </c>
      <c r="C2" s="45">
        <v>13400250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塔の結界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コスト31以上のユニットに大ダメージ</v>
      </c>
      <c r="F2" s="45">
        <v>13400250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14" si="1">B3&amp;"_"&amp;C3</f>
        <v>13400250_13400251</v>
      </c>
      <c r="B3" s="45">
        <v>13400250</v>
      </c>
      <c r="C3" s="45">
        <v>13400251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エメラルドフーガ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単体攻撃+青パネルを緑パネルに変換</v>
      </c>
      <c r="F3" s="45">
        <v>13400251</v>
      </c>
      <c r="G3" s="46">
        <v>0</v>
      </c>
      <c r="H3" s="46">
        <v>500</v>
      </c>
      <c r="I3" s="46">
        <v>100</v>
      </c>
      <c r="J3" s="46" t="s">
        <v>263</v>
      </c>
      <c r="K3" s="46" t="s">
        <v>263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thickBot="1" x14ac:dyDescent="0.2">
      <c r="A4" s="120" t="str">
        <f t="shared" si="1"/>
        <v>13400250_13400252</v>
      </c>
      <c r="B4" s="121">
        <v>13400250</v>
      </c>
      <c r="C4" s="121">
        <v>13400252</v>
      </c>
      <c r="D4" s="122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バーニングメトロノーム</v>
      </c>
      <c r="E4" s="122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単体攻撃+_x000D_緑パネルを赤の時限式ダメージパネルに変換</v>
      </c>
      <c r="F4" s="121">
        <v>13400252</v>
      </c>
      <c r="G4" s="123">
        <v>0</v>
      </c>
      <c r="H4" s="123">
        <v>300</v>
      </c>
      <c r="I4" s="123">
        <v>100</v>
      </c>
      <c r="J4" s="123" t="s">
        <v>263</v>
      </c>
      <c r="K4" s="123" t="s">
        <v>263</v>
      </c>
      <c r="L4" s="123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23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123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2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13400251_13400253</v>
      </c>
      <c r="B5" s="117">
        <v>13400251</v>
      </c>
      <c r="C5" s="117">
        <v>13400253</v>
      </c>
      <c r="D5" s="118" t="str">
        <f ca="1">VLOOKUP($C5,OFFSET(enemy_skills!$A$1,0,0,COUNTA(enemy_skills!$A:$A),MATCH(D$1,enemy_skills!$1:$1,0)-MATCH("enemy_skill_id",enemy_skills!$1:$1,0)+1),MATCH(D$1,enemy_skills!$1:$1,0)-MATCH("enemy_skill_id",enemy_skills!$1:$1,0)+1,FALSE)</f>
        <v>恐れよ！_x000D_私はエメラルド王国のオズだ！</v>
      </c>
      <c r="E5" s="118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状態異常耐性+_x000D_4ターン種族アニマルのユニットの攻撃力50%DOWN</v>
      </c>
      <c r="F5" s="117">
        <v>13400253</v>
      </c>
      <c r="G5" s="119">
        <v>1</v>
      </c>
      <c r="H5" s="119">
        <v>900</v>
      </c>
      <c r="I5" s="119">
        <v>100</v>
      </c>
      <c r="J5" s="119" t="s">
        <v>263</v>
      </c>
      <c r="K5" s="119" t="s">
        <v>263</v>
      </c>
      <c r="L5" s="119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19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19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19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13400251_13400254</v>
      </c>
      <c r="B6" s="45">
        <v>13400251</v>
      </c>
      <c r="C6" s="45">
        <v>13400254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ディファイングフェイク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単体攻撃+全ユニットの回復力25%DOWN</v>
      </c>
      <c r="F6" s="45">
        <v>13400254</v>
      </c>
      <c r="G6" s="46">
        <v>0</v>
      </c>
      <c r="H6" s="46">
        <v>300</v>
      </c>
      <c r="I6" s="46">
        <v>100</v>
      </c>
      <c r="J6" s="46" t="s">
        <v>263</v>
      </c>
      <c r="K6" s="46" t="s">
        <v>263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13400251_13400255</v>
      </c>
      <c r="B7" s="45">
        <v>13400251</v>
      </c>
      <c r="C7" s="45">
        <v>13400255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よろしい！少し遊んでやろうか！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青パネルを吸収して攻撃力UP+_x000D_2ターン確率で青パネルがお邪魔パネルでドロップ</v>
      </c>
      <c r="F7" s="45">
        <v>13400255</v>
      </c>
      <c r="G7" s="46">
        <v>0</v>
      </c>
      <c r="H7" s="46">
        <v>500</v>
      </c>
      <c r="I7" s="46">
        <v>100</v>
      </c>
      <c r="J7" s="46" t="s">
        <v>263</v>
      </c>
      <c r="K7" s="46" t="s">
        <v>263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1"/>
        <v>13400251_13400256</v>
      </c>
      <c r="B8" s="45">
        <v>13400251</v>
      </c>
      <c r="C8" s="45">
        <v>13400256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ギフトオブライアー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単体攻撃+_x000D_赤パネルをお邪魔パネルに2個変換</v>
      </c>
      <c r="F8" s="45">
        <v>13400256</v>
      </c>
      <c r="G8" s="46">
        <v>0</v>
      </c>
      <c r="H8" s="46">
        <v>200</v>
      </c>
      <c r="I8" s="46">
        <v>100</v>
      </c>
      <c r="J8" s="46" t="s">
        <v>263</v>
      </c>
      <c r="K8" s="46" t="s">
        <v>263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13400251_13400257</v>
      </c>
      <c r="B9" s="45">
        <v>13400251</v>
      </c>
      <c r="C9" s="45">
        <v>13400257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見よ！美しい色だろう！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黄パネルを青パネルに変換+_x000D_赤パネルを緑パネルに変換+_x000D_クリティカル！</v>
      </c>
      <c r="F9" s="45">
        <v>13400257</v>
      </c>
      <c r="G9" s="46">
        <v>0</v>
      </c>
      <c r="H9" s="46">
        <v>100</v>
      </c>
      <c r="I9" s="46">
        <v>100</v>
      </c>
      <c r="J9" s="46" t="s">
        <v>263</v>
      </c>
      <c r="K9" s="46" t="s">
        <v>263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thickBot="1" x14ac:dyDescent="0.2">
      <c r="A10" s="120" t="str">
        <f t="shared" si="1"/>
        <v>13400251_13400258</v>
      </c>
      <c r="B10" s="121">
        <v>13400251</v>
      </c>
      <c r="C10" s="121">
        <v>13400258</v>
      </c>
      <c r="D10" s="12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ふむ…中々愉快だったぞ！</v>
      </c>
      <c r="E10" s="12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不敵な笑みを浮かべ去って行った…</v>
      </c>
      <c r="F10" s="121">
        <v>13400258</v>
      </c>
      <c r="G10" s="123">
        <v>0</v>
      </c>
      <c r="H10" s="123">
        <v>600</v>
      </c>
      <c r="I10" s="123">
        <v>100</v>
      </c>
      <c r="J10" s="123" t="s">
        <v>263</v>
      </c>
      <c r="K10" s="123" t="s">
        <v>263</v>
      </c>
      <c r="L10" s="123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" s="12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23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" s="12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1"/>
        <v>13400252_13400259</v>
      </c>
      <c r="B11" s="117">
        <v>13400252</v>
      </c>
      <c r="C11" s="117">
        <v>13400259</v>
      </c>
      <c r="D11" s="118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なぜだろう…君を壊したくて仕方がない…！</v>
      </c>
      <c r="E11" s="118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状態異常耐性+_x000D_種族ヒューマンのユニットの回復力50%DOWN</v>
      </c>
      <c r="F11" s="117">
        <v>13400259</v>
      </c>
      <c r="G11" s="119">
        <v>1</v>
      </c>
      <c r="H11" s="119">
        <v>900</v>
      </c>
      <c r="I11" s="119">
        <v>100</v>
      </c>
      <c r="J11" s="119" t="s">
        <v>263</v>
      </c>
      <c r="K11" s="119" t="s">
        <v>263</v>
      </c>
      <c r="L11" s="119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19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19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19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1"/>
        <v>13400252_13400260</v>
      </c>
      <c r="B12" s="45">
        <v>13400252</v>
      </c>
      <c r="C12" s="45">
        <v>13400260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君も僕を否定するのかっ！？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青パネルを青のダメージパネルに7個変換+_x000D_残りHPの20%ダメージ！</v>
      </c>
      <c r="F12" s="45">
        <v>13400260</v>
      </c>
      <c r="G12" s="46">
        <v>0</v>
      </c>
      <c r="H12" s="46">
        <v>300</v>
      </c>
      <c r="I12" s="46">
        <v>100</v>
      </c>
      <c r="J12" s="46" t="s">
        <v>263</v>
      </c>
      <c r="K12" s="46" t="s">
        <v>263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1"/>
        <v>13400252_13400261</v>
      </c>
      <c r="B13" s="45">
        <v>13400252</v>
      </c>
      <c r="C13" s="45">
        <v>13400261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どうだ…？_x000D_美しいだろう…！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属性パネルを青のダメージパネルに5個変換</v>
      </c>
      <c r="F13" s="45">
        <v>13400261</v>
      </c>
      <c r="G13" s="46">
        <v>0</v>
      </c>
      <c r="H13" s="46">
        <v>500</v>
      </c>
      <c r="I13" s="46">
        <v>100</v>
      </c>
      <c r="J13" s="46" t="s">
        <v>263</v>
      </c>
      <c r="K13" s="46" t="s">
        <v>263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thickBot="1" x14ac:dyDescent="0.2">
      <c r="A14" s="120" t="str">
        <f t="shared" si="1"/>
        <v>13400252_13400262</v>
      </c>
      <c r="B14" s="121">
        <v>13400252</v>
      </c>
      <c r="C14" s="121">
        <v>13400262</v>
      </c>
      <c r="D14" s="12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こっちの方が綺麗だな…</v>
      </c>
      <c r="E14" s="12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単体攻撃+黄パネルを青パネルに変換</v>
      </c>
      <c r="F14" s="121">
        <v>13400262</v>
      </c>
      <c r="G14" s="123">
        <v>0</v>
      </c>
      <c r="H14" s="123">
        <v>100</v>
      </c>
      <c r="I14" s="123">
        <v>75</v>
      </c>
      <c r="J14" s="123" t="s">
        <v>263</v>
      </c>
      <c r="K14" s="123" t="s">
        <v>263</v>
      </c>
      <c r="L14" s="123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123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23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23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4" s="45"/>
      <c r="Q14" s="45"/>
      <c r="R14" s="45"/>
    </row>
    <row r="15" spans="1:18" ht="21" customHeight="1" x14ac:dyDescent="0.15">
      <c r="A15" s="37" t="str">
        <f t="shared" ref="A15:A24" si="2">B15&amp;"_"&amp;C15</f>
        <v>13400253_13400263</v>
      </c>
      <c r="B15" s="117">
        <v>13400253</v>
      </c>
      <c r="C15" s="117">
        <v>13400263</v>
      </c>
      <c r="D15" s="118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よくここまで来たな！</v>
      </c>
      <c r="E15" s="118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状態異常耐性+防御力UP</v>
      </c>
      <c r="F15" s="117">
        <v>13400263</v>
      </c>
      <c r="G15" s="119">
        <v>1</v>
      </c>
      <c r="H15" s="119">
        <v>900</v>
      </c>
      <c r="I15" s="119">
        <v>100</v>
      </c>
      <c r="J15" s="119" t="s">
        <v>263</v>
      </c>
      <c r="K15" s="119" t="s">
        <v>263</v>
      </c>
      <c r="L15" s="119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119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119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19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2"/>
        <v>13400253_13400264</v>
      </c>
      <c r="B16" s="45">
        <v>13400253</v>
      </c>
      <c r="C16" s="45">
        <v>13400264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心頭滅却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属性パネルをお邪魔パネル&amp;_x000D_黄の時限式ダメージパネル&amp;_x000D_黄のダメージパネルに2個ずつ変換</v>
      </c>
      <c r="F16" s="45">
        <v>13400264</v>
      </c>
      <c r="G16" s="46">
        <v>0</v>
      </c>
      <c r="H16" s="46">
        <v>300</v>
      </c>
      <c r="I16" s="46">
        <v>100</v>
      </c>
      <c r="J16" s="46" t="s">
        <v>263</v>
      </c>
      <c r="K16" s="46" t="s">
        <v>263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2"/>
        <v>13400253_13400265</v>
      </c>
      <c r="B17" s="45">
        <v>13400253</v>
      </c>
      <c r="C17" s="45">
        <v>13400265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赤転刻斬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単体攻撃+_x000D_赤パネルを黄の時限式ダメージパネルに2個変換</v>
      </c>
      <c r="F17" s="45">
        <v>13400265</v>
      </c>
      <c r="G17" s="46">
        <v>0</v>
      </c>
      <c r="H17" s="46">
        <v>700</v>
      </c>
      <c r="I17" s="46">
        <v>33</v>
      </c>
      <c r="J17" s="46" t="s">
        <v>263</v>
      </c>
      <c r="K17" s="46" t="s">
        <v>263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7" s="45"/>
      <c r="Q17" s="45"/>
      <c r="R17" s="45"/>
    </row>
    <row r="18" spans="1:18" ht="21" customHeight="1" x14ac:dyDescent="0.15">
      <c r="A18" s="37" t="str">
        <f t="shared" si="2"/>
        <v>13400253_13400266</v>
      </c>
      <c r="B18" s="45">
        <v>13400253</v>
      </c>
      <c r="C18" s="45">
        <v>13400266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緑転石斬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単体攻撃+_x000D_緑パネルをお邪魔パネルに2個変換</v>
      </c>
      <c r="F18" s="45">
        <v>13400266</v>
      </c>
      <c r="G18" s="46">
        <v>0</v>
      </c>
      <c r="H18" s="46">
        <v>600</v>
      </c>
      <c r="I18" s="46">
        <v>50</v>
      </c>
      <c r="J18" s="46" t="s">
        <v>263</v>
      </c>
      <c r="K18" s="46" t="s">
        <v>263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5"/>
      <c r="Q18" s="45"/>
      <c r="R18" s="45"/>
    </row>
    <row r="19" spans="1:18" ht="21" customHeight="1" thickBot="1" x14ac:dyDescent="0.2">
      <c r="A19" s="120" t="str">
        <f t="shared" si="2"/>
        <v>13400253_13400267</v>
      </c>
      <c r="B19" s="45">
        <v>13400253</v>
      </c>
      <c r="C19" s="45">
        <v>13400267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青転傷斬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単体攻撃+_x000D_青パネルを黄のダメージパネルに2個変換</v>
      </c>
      <c r="F19" s="45">
        <v>13400267</v>
      </c>
      <c r="G19" s="46">
        <v>0</v>
      </c>
      <c r="H19" s="46">
        <v>500</v>
      </c>
      <c r="I19" s="46">
        <v>100</v>
      </c>
      <c r="J19" s="46" t="s">
        <v>263</v>
      </c>
      <c r="K19" s="46" t="s">
        <v>263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2"/>
        <v>13400254_13400268</v>
      </c>
      <c r="B20" s="117">
        <v>13400254</v>
      </c>
      <c r="C20" s="117">
        <v>13400268</v>
      </c>
      <c r="D20" s="118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おじさんをなめるなよ！</v>
      </c>
      <c r="E20" s="118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20" s="117">
        <v>13400268</v>
      </c>
      <c r="G20" s="119">
        <v>1</v>
      </c>
      <c r="H20" s="119">
        <v>900</v>
      </c>
      <c r="I20" s="119">
        <v>100</v>
      </c>
      <c r="J20" s="119" t="s">
        <v>263</v>
      </c>
      <c r="K20" s="119" t="s">
        <v>263</v>
      </c>
      <c r="L20" s="119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119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19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19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2"/>
        <v>13400254_13400269</v>
      </c>
      <c r="B21" s="45">
        <v>13400254</v>
      </c>
      <c r="C21" s="45">
        <v>13400269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煩悩を植え付けてやろうか…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2回連続攻撃+_x000D_属性パネルをお邪魔パネルに3個変換</v>
      </c>
      <c r="F21" s="45">
        <v>13400269</v>
      </c>
      <c r="G21" s="46">
        <v>0</v>
      </c>
      <c r="H21" s="46">
        <v>700</v>
      </c>
      <c r="I21" s="46">
        <v>33</v>
      </c>
      <c r="J21" s="46" t="s">
        <v>263</v>
      </c>
      <c r="K21" s="46" t="s">
        <v>263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1" s="45"/>
      <c r="Q21" s="45"/>
      <c r="R21" s="45"/>
    </row>
    <row r="22" spans="1:18" ht="21" customHeight="1" x14ac:dyDescent="0.15">
      <c r="A22" s="37" t="str">
        <f t="shared" si="2"/>
        <v>13400254_13400270</v>
      </c>
      <c r="B22" s="45">
        <v>13400254</v>
      </c>
      <c r="C22" s="45">
        <v>13400270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八相発破！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全体攻撃+_x000D_属性パネルを黄の時限式ダメージパネルに3個変換</v>
      </c>
      <c r="F22" s="45">
        <v>13400270</v>
      </c>
      <c r="G22" s="46">
        <v>0</v>
      </c>
      <c r="H22" s="46">
        <v>600</v>
      </c>
      <c r="I22" s="46">
        <v>50</v>
      </c>
      <c r="J22" s="46" t="s">
        <v>263</v>
      </c>
      <c r="K22" s="46" t="s">
        <v>263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5"/>
      <c r="Q22" s="45"/>
      <c r="R22" s="45"/>
    </row>
    <row r="23" spans="1:18" ht="21" customHeight="1" x14ac:dyDescent="0.15">
      <c r="A23" s="37" t="str">
        <f t="shared" si="2"/>
        <v>13400254_13400271</v>
      </c>
      <c r="B23" s="45">
        <v>13400254</v>
      </c>
      <c r="C23" s="45">
        <v>13400271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虎振！！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クリティカル！+_x000D_属性パネルを黄のダメージパネルに3個変換</v>
      </c>
      <c r="F23" s="45">
        <v>13400271</v>
      </c>
      <c r="G23" s="46">
        <v>0</v>
      </c>
      <c r="H23" s="46">
        <v>500</v>
      </c>
      <c r="I23" s="46">
        <v>100</v>
      </c>
      <c r="J23" s="46" t="s">
        <v>263</v>
      </c>
      <c r="K23" s="46" t="s">
        <v>263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2"/>
        <v>13400254_13400272</v>
      </c>
      <c r="B24" s="45">
        <v>13400254</v>
      </c>
      <c r="C24" s="45">
        <v>13400272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喝！！！！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24" s="45">
        <v>13400272</v>
      </c>
      <c r="G24" s="46">
        <v>0</v>
      </c>
      <c r="H24" s="46">
        <v>500</v>
      </c>
      <c r="I24" s="46">
        <v>100</v>
      </c>
      <c r="J24" s="46" t="s">
        <v>263</v>
      </c>
      <c r="K24" s="46" t="s">
        <v>263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27"/>
  <sheetViews>
    <sheetView showGridLines="0" tabSelected="1" zoomScale="120" zoomScaleNormal="120" zoomScalePageLayoutView="120" workbookViewId="0">
      <pane ySplit="1" topLeftCell="A15" activePane="bottomLeft" state="frozenSplit"/>
      <selection pane="bottomLeft" activeCell="F21" sqref="F21"/>
    </sheetView>
  </sheetViews>
  <sheetFormatPr baseColWidth="12" defaultColWidth="12.83203125" defaultRowHeight="43" customHeight="1" outlineLevelCol="1" x14ac:dyDescent="0.15"/>
  <cols>
    <col min="1" max="1" width="12.83203125" style="47"/>
    <col min="2" max="2" width="33" style="47" customWidth="1"/>
    <col min="3" max="4" width="4.33203125" style="47" customWidth="1"/>
    <col min="5" max="5" width="23.6640625" style="47" bestFit="1" customWidth="1"/>
    <col min="6" max="6" width="49.5" style="47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hidden="1" customWidth="1"/>
    <col min="28" max="28" width="29.83203125" style="47" hidden="1" customWidth="1"/>
    <col min="29" max="29" width="53.6640625" style="47" customWidth="1"/>
    <col min="30" max="16384" width="12.83203125" style="47"/>
  </cols>
  <sheetData>
    <row r="1" spans="1:29" ht="43" customHeight="1" x14ac:dyDescent="0.15">
      <c r="A1" s="38" t="s">
        <v>79</v>
      </c>
      <c r="B1" s="38" t="s">
        <v>80</v>
      </c>
      <c r="C1" s="38" t="s">
        <v>81</v>
      </c>
      <c r="D1" s="38" t="s">
        <v>125</v>
      </c>
      <c r="E1" s="38" t="s">
        <v>82</v>
      </c>
      <c r="F1" s="38" t="s">
        <v>83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76</v>
      </c>
      <c r="AA1" s="39" t="s">
        <v>77</v>
      </c>
      <c r="AB1" s="39" t="s">
        <v>78</v>
      </c>
      <c r="AC1" s="39" t="s">
        <v>249</v>
      </c>
    </row>
    <row r="2" spans="1:29" ht="43" customHeight="1" x14ac:dyDescent="0.15">
      <c r="A2" s="45">
        <v>13400250</v>
      </c>
      <c r="B2" s="46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 xml:space="preserve">[effect:enemy_message, val1:1.2, val2:1.8],[effect:damage_anti_cost, target:unit_all, lower:31, val1:99.9, val2:0.01, cost_type:unit],[effect:damage_anti_cost, target:unit_all, lower:31, val1:99.9, val2:0.01, cost_type:unit]    </v>
      </c>
      <c r="C2" s="48">
        <v>3</v>
      </c>
      <c r="D2" s="48" t="s">
        <v>248</v>
      </c>
      <c r="E2" s="49" t="s">
        <v>255</v>
      </c>
      <c r="F2" s="49" t="s">
        <v>268</v>
      </c>
      <c r="G2" s="61" t="str">
        <f>IFERROR(LEFT(B2,FIND("],",B2)),B2)</f>
        <v>[effect:enemy_message, val1:1.2, val2:1.8]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 xml:space="preserve">[effect:damage_anti_cost, target:unit_all, lower:31, val1:99.9, val2:0.01, cost_type:unit],[effect:damage_anti_cost, target:unit_all, lower:31, val1:99.9, val2:0.01, cost_type:unit]    </v>
      </c>
      <c r="N2" s="46" t="str">
        <f>IFERROR(LEFT(M2,FIND("],",M2)+S7),M2)</f>
        <v xml:space="preserve">[effect:damage_anti_cost, target:unit_all, lower:31, val1:99.9, val2:0.01, cost_type:unit],[effect:damage_anti_cost, target:unit_all, lower:31, val1:99.9, val2:0.01, cost_type:unit]    </v>
      </c>
      <c r="O2" s="61">
        <f>FIND("effect:",N2)+7</f>
        <v>9</v>
      </c>
      <c r="P2" s="61">
        <f>IFERROR(FIND(",",N2),LEN(N2))</f>
        <v>25</v>
      </c>
      <c r="Q2" s="61">
        <f>FIND("target:",N2)+7</f>
        <v>34</v>
      </c>
      <c r="R2" s="61">
        <f>FIND(",",N2,P2+1)</f>
        <v>42</v>
      </c>
      <c r="S2" s="61" t="str">
        <f>IFERROR(VLOOKUP(MID(N2,Q2,R2-Q2),[5]skilldef!$C:$D,2,FALSE),"-") &amp; " / " &amp; IFERROR(VLOOKUP(MID(N2,O2,P2-O2),[5]skilldef!$A:$B,2,FALSE),"-")</f>
        <v>味方全体に / -</v>
      </c>
      <c r="T2" s="46" t="str">
        <f>IFERROR(RIGHT(M2,LEN(M2)-FIND("],",M2)-1),"none")</f>
        <v xml:space="preserve">[effect:damage_anti_cost, target:unit_all, lower:31, val1:99.9, val2:0.01, cost_type:unit]    </v>
      </c>
      <c r="U2" s="61">
        <f>FIND("effect:",T2)+7</f>
        <v>9</v>
      </c>
      <c r="V2" s="61">
        <f>IFERROR(FIND(",",T2),LEN(T2))</f>
        <v>25</v>
      </c>
      <c r="W2" s="61">
        <f>FIND("target:",T2)+7</f>
        <v>34</v>
      </c>
      <c r="X2" s="61">
        <f>FIND(",",T2,V2+1)</f>
        <v>42</v>
      </c>
      <c r="Y2" s="61" t="str">
        <f>IFERROR(VLOOKUP(MID(T2,W2,X2-W2),[5]skilldef!$C:$D,2,FALSE),"-") &amp; " / " &amp; IFERROR(VLOOKUP(MID(T2,U2,V2-U2),[5]skilldef!$A:$B,2,FALSE),"-")</f>
        <v>味方全体に / -</v>
      </c>
      <c r="Z2" s="48"/>
      <c r="AA2" s="50"/>
      <c r="AB2" s="48"/>
      <c r="AC2" s="100" t="s">
        <v>252</v>
      </c>
    </row>
    <row r="3" spans="1:29" ht="43" customHeight="1" x14ac:dyDescent="0.15">
      <c r="A3" s="45">
        <v>13400251</v>
      </c>
      <c r="B3" s="46" t="str">
        <f t="shared" ref="B3:B9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LEN(F3)*0.1)),"0.0")&amp;"]"&amp;IF(LEN(AC3)&gt;0, ","&amp;AC3,AC3)</f>
        <v xml:space="preserve">[effect:enemy_message, val1:1.2, val2:1.7],[effect:rush, val:1, count:1],[effect:force_change_block, new_block:block_green, target:block_blue, count:0, val:0, animation:change_block]    </v>
      </c>
      <c r="C3" s="48">
        <v>3</v>
      </c>
      <c r="D3" s="48" t="s">
        <v>195</v>
      </c>
      <c r="E3" s="49" t="s">
        <v>253</v>
      </c>
      <c r="F3" s="49" t="s">
        <v>251</v>
      </c>
      <c r="G3" s="61" t="str">
        <f t="shared" ref="G3:G19" si="1">IFERROR(LEFT(B3,FIND("],",B3)),B3)</f>
        <v>[effect:enemy_message, val1:1.2, val2:1.7]</v>
      </c>
      <c r="H3" s="61">
        <f t="shared" ref="H3:H24" si="2">FIND("effect:",G3)+7</f>
        <v>9</v>
      </c>
      <c r="I3" s="61">
        <f t="shared" ref="I3:I19" si="3">IFERROR(FIND(",",G3),LEN(G3))</f>
        <v>22</v>
      </c>
      <c r="J3" s="61" t="e">
        <f t="shared" ref="J3:J19" si="4">FIND("target:",G3)+7</f>
        <v>#VALUE!</v>
      </c>
      <c r="K3" s="61">
        <f t="shared" ref="K3:K19" si="5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ref="M3:M19" si="6">IFERROR(RIGHT(B3,LEN(B3)-FIND("],",B3)-1),"none")</f>
        <v xml:space="preserve">[effect:rush, val:1, count:1],[effect:force_change_block, new_block:block_green, target:block_blue, count:0, val:0, animation:change_block]    </v>
      </c>
      <c r="N3" s="46" t="str">
        <f t="shared" ref="N3:N19" si="7">IFERROR(LEFT(M3,FIND("],",M3)+S8),M3)</f>
        <v xml:space="preserve">[effect:rush, val:1, count:1],[effect:force_change_block, new_block:block_green, target:block_blue, count:0, val:0, animation:change_block]    </v>
      </c>
      <c r="O3" s="61">
        <f t="shared" ref="O3:O24" si="8">FIND("effect:",N3)+7</f>
        <v>9</v>
      </c>
      <c r="P3" s="61">
        <f t="shared" ref="P3:P19" si="9">IFERROR(FIND(",",N3),LEN(N3))</f>
        <v>13</v>
      </c>
      <c r="Q3" s="61">
        <f t="shared" ref="Q3:Q19" si="10">FIND("target:",N3)+7</f>
        <v>89</v>
      </c>
      <c r="R3" s="61">
        <f t="shared" ref="R3:R19" si="11">FIND(",",N3,P3+1)</f>
        <v>20</v>
      </c>
      <c r="S3" s="61" t="str">
        <f>IFERROR(VLOOKUP(MID(N3,Q3,R3-Q3),[5]skilldef!$C:$D,2,FALSE),"-") &amp; " / " &amp; IFERROR(VLOOKUP(MID(N3,O3,P3-O3),[5]skilldef!$A:$B,2,FALSE),"-")</f>
        <v>- / 連続攻撃</v>
      </c>
      <c r="T3" s="46" t="str">
        <f t="shared" ref="T3:T19" si="12">IFERROR(RIGHT(M3,LEN(M3)-FIND("],",M3)-1),"none")</f>
        <v xml:space="preserve">[effect:force_change_block, new_block:block_green, target:block_blue, count:0, val:0, animation:change_block]    </v>
      </c>
      <c r="U3" s="61">
        <f t="shared" ref="U3:U24" si="13">FIND("effect:",T3)+7</f>
        <v>9</v>
      </c>
      <c r="V3" s="61">
        <f t="shared" ref="V3:V19" si="14">IFERROR(FIND(",",T3),LEN(T3))</f>
        <v>27</v>
      </c>
      <c r="W3" s="61">
        <f t="shared" ref="W3:W19" si="15">FIND("target:",T3)+7</f>
        <v>59</v>
      </c>
      <c r="X3" s="61">
        <f t="shared" ref="X3:X19" si="16">FIND(",",T3,V3+1)</f>
        <v>50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0" t="s">
        <v>287</v>
      </c>
    </row>
    <row r="4" spans="1:29" ht="43" customHeight="1" x14ac:dyDescent="0.15">
      <c r="A4" s="45">
        <v>13400252</v>
      </c>
      <c r="B4" s="46" t="str">
        <f t="shared" si="0"/>
        <v>[effect:enemy_message, val1:1.2, val2:2.6],[effect:rush, val:1, count:1],[effect:force_change_block, new_block:time_bomb, target:block_green, color:red, count:0, val:0.1, animation:change_block]</v>
      </c>
      <c r="C4" s="48">
        <v>3</v>
      </c>
      <c r="D4" s="48" t="s">
        <v>195</v>
      </c>
      <c r="E4" s="49" t="s">
        <v>254</v>
      </c>
      <c r="F4" s="49" t="s">
        <v>300</v>
      </c>
      <c r="G4" s="61" t="str">
        <f t="shared" si="1"/>
        <v>[effect:enemy_message, val1:1.2, val2:2.6]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6"/>
        <v>[effect:rush, val:1, count:1],[effect:force_change_block, new_block:time_bomb, target:block_green, color:red, count:0, val:0.1, animation:change_block]</v>
      </c>
      <c r="N4" s="46" t="str">
        <f t="shared" si="7"/>
        <v>[effect:rush, val:1, count:1],[effect:force_change_block, new_block:time_bomb, target:block_green, color:red, count:0, val:0.1, animation:change_block]</v>
      </c>
      <c r="O4" s="61">
        <f t="shared" si="8"/>
        <v>9</v>
      </c>
      <c r="P4" s="61">
        <f t="shared" si="9"/>
        <v>13</v>
      </c>
      <c r="Q4" s="61">
        <f t="shared" si="10"/>
        <v>87</v>
      </c>
      <c r="R4" s="61">
        <f t="shared" si="11"/>
        <v>20</v>
      </c>
      <c r="S4" s="61" t="str">
        <f>IFERROR(VLOOKUP(MID(N4,Q4,R4-Q4),[5]skilldef!$C:$D,2,FALSE),"-") &amp; " / " &amp; IFERROR(VLOOKUP(MID(N4,O4,P4-O4),[5]skilldef!$A:$B,2,FALSE),"-")</f>
        <v>- / 連続攻撃</v>
      </c>
      <c r="T4" s="46" t="str">
        <f t="shared" si="12"/>
        <v>[effect:force_change_block, new_block:time_bomb, target:block_green, color:red, count:0, val:0.1, animation:change_block]</v>
      </c>
      <c r="U4" s="61">
        <f t="shared" si="13"/>
        <v>9</v>
      </c>
      <c r="V4" s="61">
        <f t="shared" si="14"/>
        <v>27</v>
      </c>
      <c r="W4" s="61">
        <f t="shared" si="15"/>
        <v>57</v>
      </c>
      <c r="X4" s="61">
        <f t="shared" si="16"/>
        <v>48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0" t="s">
        <v>288</v>
      </c>
    </row>
    <row r="5" spans="1:29" ht="43" customHeight="1" x14ac:dyDescent="0.15">
      <c r="A5" s="45">
        <v>13400253</v>
      </c>
      <c r="B5" s="46" t="str">
        <f t="shared" si="0"/>
        <v xml:space="preserve">[effect:enemy_message, val1:1.8, val2:3.4],[effect:tolerance, target:myself, turn:-1, count:-1, tolerance_effect:all,animation:enemy_tolerance],[effect:attack_break, target:unit_animal, turn:4, val:0.5, calc:mul, animation:attack_break01]    </v>
      </c>
      <c r="C5" s="48">
        <v>3</v>
      </c>
      <c r="D5" s="48" t="s">
        <v>195</v>
      </c>
      <c r="E5" s="49" t="s">
        <v>267</v>
      </c>
      <c r="F5" s="49" t="s">
        <v>334</v>
      </c>
      <c r="G5" s="61" t="str">
        <f t="shared" si="1"/>
        <v>[effect:enemy_message, val1:1.8, val2:3.4]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6"/>
        <v xml:space="preserve">[effect:tolerance, target:myself, turn:-1, count:-1, tolerance_effect:all,animation:enemy_tolerance],[effect:attack_break, target:unit_animal, turn:4, val:0.5, calc:mul, animation:attack_break01]    </v>
      </c>
      <c r="N5" s="46" t="str">
        <f t="shared" si="7"/>
        <v xml:space="preserve">[effect:tolerance, target:myself, turn:-1, count:-1, tolerance_effect:all,animation:enemy_tolerance],[effect:attack_break, target:unit_animal, turn:4, val:0.5, calc:mul, animation:attack_break01]    </v>
      </c>
      <c r="O5" s="61">
        <f t="shared" si="8"/>
        <v>9</v>
      </c>
      <c r="P5" s="61">
        <f t="shared" si="9"/>
        <v>18</v>
      </c>
      <c r="Q5" s="61">
        <f t="shared" si="10"/>
        <v>27</v>
      </c>
      <c r="R5" s="61">
        <f t="shared" si="11"/>
        <v>33</v>
      </c>
      <c r="S5" s="61" t="str">
        <f>IFERROR(VLOOKUP(MID(N5,Q5,R5-Q5),[5]skilldef!$C:$D,2,FALSE),"-") &amp; " / " &amp; IFERROR(VLOOKUP(MID(N5,O5,P5-O5),[5]skilldef!$A:$B,2,FALSE),"-")</f>
        <v>自分自身に / 状態異常耐性</v>
      </c>
      <c r="T5" s="46" t="str">
        <f t="shared" si="12"/>
        <v xml:space="preserve">[effect:attack_break, target:unit_animal, turn:4, val:0.5, calc:mul, animation:attack_break01]    </v>
      </c>
      <c r="U5" s="61">
        <f t="shared" si="13"/>
        <v>9</v>
      </c>
      <c r="V5" s="61">
        <f t="shared" si="14"/>
        <v>21</v>
      </c>
      <c r="W5" s="61">
        <f t="shared" si="15"/>
        <v>30</v>
      </c>
      <c r="X5" s="61">
        <f t="shared" si="16"/>
        <v>41</v>
      </c>
      <c r="Y5" s="61" t="str">
        <f>IFERROR(VLOOKUP(MID(T5,W5,X5-W5),[5]skilldef!$C:$D,2,FALSE),"-") &amp; " / " &amp; IFERROR(VLOOKUP(MID(T5,U5,V5-U5),[5]skilldef!$A:$B,2,FALSE),"-")</f>
        <v>アニマルの味方に / -</v>
      </c>
      <c r="Z5" s="48"/>
      <c r="AA5" s="50"/>
      <c r="AB5" s="48"/>
      <c r="AC5" s="100" t="s">
        <v>289</v>
      </c>
    </row>
    <row r="6" spans="1:29" ht="43" customHeight="1" x14ac:dyDescent="0.15">
      <c r="A6" s="45">
        <v>13400254</v>
      </c>
      <c r="B6" s="46" t="str">
        <f t="shared" si="0"/>
        <v xml:space="preserve">[effect:enemy_message, val1:1.2, val2:2.1],[effect:rush, val:1, count:1],[effect:degrade_unit, target:unit_all, turn:-1, status:heal, val:0.25, calc:mul, animation:degrade_unit_all_heal]    </v>
      </c>
      <c r="C6" s="48">
        <v>3</v>
      </c>
      <c r="D6" s="48" t="s">
        <v>195</v>
      </c>
      <c r="E6" s="49" t="s">
        <v>310</v>
      </c>
      <c r="F6" s="49" t="s">
        <v>322</v>
      </c>
      <c r="G6" s="61" t="str">
        <f t="shared" si="1"/>
        <v>[effect:enemy_message, val1:1.2, val2:2.1]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6"/>
        <v xml:space="preserve">[effect:rush, val:1, count:1],[effect:degrade_unit, target:unit_all, turn:-1, status:heal, val:0.25, calc:mul, animation:degrade_unit_all_heal]    </v>
      </c>
      <c r="N6" s="46" t="str">
        <f t="shared" si="7"/>
        <v xml:space="preserve">[effect:rush, val:1, count:1],[effect:degrade_unit, target:unit_all, turn:-1, status:heal, val:0.25, calc:mul, animation:degrade_unit_all_heal]    </v>
      </c>
      <c r="O6" s="61">
        <f t="shared" si="8"/>
        <v>9</v>
      </c>
      <c r="P6" s="61">
        <f t="shared" si="9"/>
        <v>13</v>
      </c>
      <c r="Q6" s="61">
        <f t="shared" si="10"/>
        <v>60</v>
      </c>
      <c r="R6" s="61">
        <f t="shared" si="11"/>
        <v>20</v>
      </c>
      <c r="S6" s="61" t="str">
        <f>IFERROR(VLOOKUP(MID(N6,Q6,R6-Q6),[5]skilldef!$C:$D,2,FALSE),"-") &amp; " / " &amp; IFERROR(VLOOKUP(MID(N6,O6,P6-O6),[5]skilldef!$A:$B,2,FALSE),"-")</f>
        <v>- / 連続攻撃</v>
      </c>
      <c r="T6" s="46" t="str">
        <f t="shared" si="12"/>
        <v xml:space="preserve">[effect:degrade_unit, target:unit_all, turn:-1, status:heal, val:0.25, calc:mul, animation:degrade_unit_all_heal]    </v>
      </c>
      <c r="U6" s="61">
        <f t="shared" si="13"/>
        <v>9</v>
      </c>
      <c r="V6" s="61">
        <f t="shared" si="14"/>
        <v>21</v>
      </c>
      <c r="W6" s="61">
        <f t="shared" si="15"/>
        <v>30</v>
      </c>
      <c r="X6" s="61">
        <f t="shared" si="16"/>
        <v>38</v>
      </c>
      <c r="Y6" s="61" t="str">
        <f>IFERROR(VLOOKUP(MID(T6,W6,X6-W6),[5]skilldef!$C:$D,2,FALSE),"-") &amp; " / " &amp; IFERROR(VLOOKUP(MID(T6,U6,V6-U6),[5]skilldef!$A:$B,2,FALSE),"-")</f>
        <v>味方全体に / ステータスDOWN</v>
      </c>
      <c r="Z6" s="48"/>
      <c r="AA6" s="50"/>
      <c r="AB6" s="48"/>
      <c r="AC6" s="100" t="s">
        <v>259</v>
      </c>
    </row>
    <row r="7" spans="1:29" ht="43" customHeight="1" x14ac:dyDescent="0.15">
      <c r="A7" s="45">
        <v>13400255</v>
      </c>
      <c r="B7" s="46" t="str">
        <f t="shared" si="0"/>
        <v xml:space="preserve">[effect:enemy_message, val1:1.5, val2:3.9],[effect:break_enchance_enemy, target:myself, val:0.05, lowest_val:0, count:-1, status:attack, turn:-1, block_color:block_blue, block01:normal, calc:mul, animation:enemy_enhance_attack],[effect:drop_block, block_type:jammer, color:block_blue, val:0, rate:0.5, turn:2, animation:jammer_influence04]    </v>
      </c>
      <c r="C7" s="48">
        <v>3</v>
      </c>
      <c r="D7" s="48" t="s">
        <v>195</v>
      </c>
      <c r="E7" s="49" t="s">
        <v>269</v>
      </c>
      <c r="F7" s="49" t="s">
        <v>335</v>
      </c>
      <c r="G7" s="61" t="str">
        <f t="shared" si="1"/>
        <v>[effect:enemy_message, val1:1.5, val2:3.9]</v>
      </c>
      <c r="H7" s="61">
        <f t="shared" si="2"/>
        <v>9</v>
      </c>
      <c r="I7" s="61">
        <f t="shared" si="3"/>
        <v>22</v>
      </c>
      <c r="J7" s="61" t="e">
        <f t="shared" si="4"/>
        <v>#VALUE!</v>
      </c>
      <c r="K7" s="61">
        <f t="shared" si="5"/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si="6"/>
        <v xml:space="preserve">[effect:break_enchance_enemy, target:myself, val:0.05, lowest_val:0, count:-1, status:attack, turn:-1, block_color:block_blue, block01:normal, calc:mul, animation:enemy_enhance_attack],[effect:drop_block, block_type:jammer, color:block_blue, val:0, rate:0.5, turn:2, animation:jammer_influence04]    </v>
      </c>
      <c r="N7" s="46" t="str">
        <f t="shared" si="7"/>
        <v xml:space="preserve">[effect:break_enchance_enemy, target:myself, val:0.05, lowest_val:0, count:-1, status:attack, turn:-1, block_color:block_blue, block01:normal, calc:mul, animation:enemy_enhance_attack],[effect:drop_block, block_type:jammer, color:block_blue, val:0, rate:0.5, turn:2, animation:jammer_influence04]    </v>
      </c>
      <c r="O7" s="61">
        <f t="shared" si="8"/>
        <v>9</v>
      </c>
      <c r="P7" s="61">
        <f t="shared" si="9"/>
        <v>29</v>
      </c>
      <c r="Q7" s="61">
        <f t="shared" si="10"/>
        <v>38</v>
      </c>
      <c r="R7" s="61">
        <f t="shared" si="11"/>
        <v>44</v>
      </c>
      <c r="S7" s="61" t="str">
        <f>IFERROR(VLOOKUP(MID(N7,Q7,R7-Q7),[5]skilldef!$C:$D,2,FALSE),"-") &amp; " / " &amp; IFERROR(VLOOKUP(MID(N7,O7,P7-O7),[5]skilldef!$A:$B,2,FALSE),"-")</f>
        <v>自分自身に / -</v>
      </c>
      <c r="T7" s="46" t="str">
        <f t="shared" si="12"/>
        <v xml:space="preserve">[effect:drop_block, block_type:jammer, color:block_blue, val:0, rate:0.5, turn:2, animation:jammer_influence04]    </v>
      </c>
      <c r="U7" s="61">
        <f t="shared" si="13"/>
        <v>9</v>
      </c>
      <c r="V7" s="61">
        <f t="shared" si="14"/>
        <v>19</v>
      </c>
      <c r="W7" s="61" t="e">
        <f t="shared" si="15"/>
        <v>#VALUE!</v>
      </c>
      <c r="X7" s="61">
        <f t="shared" si="16"/>
        <v>38</v>
      </c>
      <c r="Y7" s="61" t="str">
        <f>IFERROR(VLOOKUP(MID(T7,W7,X7-W7),[5]skilldef!$C:$D,2,FALSE),"-") &amp; " / " &amp; IFERROR(VLOOKUP(MID(T7,U7,V7-U7),[5]skilldef!$A:$B,2,FALSE),"-")</f>
        <v>- / 特定ブロックの割合ドロップ</v>
      </c>
      <c r="Z7" s="48"/>
      <c r="AA7" s="50"/>
      <c r="AB7" s="48"/>
      <c r="AC7" s="100" t="s">
        <v>301</v>
      </c>
    </row>
    <row r="8" spans="1:29" ht="43" customHeight="1" x14ac:dyDescent="0.15">
      <c r="A8" s="45">
        <v>13400256</v>
      </c>
      <c r="B8" s="46" t="str">
        <f t="shared" si="0"/>
        <v xml:space="preserve">[effect:enemy_message, val1:1.2, val2:2.2],[effect:rush, val:1, count:1],[effect:force_change_block, new_block:jammer, target:block_red, count:2, val:0, animation:change_block]    </v>
      </c>
      <c r="C8" s="48">
        <v>3</v>
      </c>
      <c r="D8" s="48" t="s">
        <v>195</v>
      </c>
      <c r="E8" s="49" t="s">
        <v>258</v>
      </c>
      <c r="F8" s="49" t="s">
        <v>323</v>
      </c>
      <c r="G8" s="61" t="str">
        <f t="shared" si="1"/>
        <v>[effect:enemy_message, val1:1.2, val2:2.2]</v>
      </c>
      <c r="H8" s="61">
        <f t="shared" si="2"/>
        <v>9</v>
      </c>
      <c r="I8" s="61">
        <f t="shared" si="3"/>
        <v>22</v>
      </c>
      <c r="J8" s="61" t="e">
        <f t="shared" si="4"/>
        <v>#VALUE!</v>
      </c>
      <c r="K8" s="61">
        <f t="shared" si="5"/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6"/>
        <v xml:space="preserve">[effect:rush, val:1, count:1],[effect:force_change_block, new_block:jammer, target:block_red, count:2, val:0, animation:change_block]    </v>
      </c>
      <c r="N8" s="46" t="str">
        <f t="shared" si="7"/>
        <v xml:space="preserve">[effect:rush, val:1, count:1],[effect:force_change_block, new_block:jammer, target:block_red, count:2, val:0, animation:change_block]    </v>
      </c>
      <c r="O8" s="61">
        <f t="shared" si="8"/>
        <v>9</v>
      </c>
      <c r="P8" s="61">
        <f t="shared" si="9"/>
        <v>13</v>
      </c>
      <c r="Q8" s="61">
        <f t="shared" si="10"/>
        <v>84</v>
      </c>
      <c r="R8" s="61">
        <f t="shared" si="11"/>
        <v>20</v>
      </c>
      <c r="S8" s="61" t="str">
        <f>IFERROR(VLOOKUP(MID(N8,Q8,R8-Q8),[5]skilldef!$C:$D,2,FALSE),"-") &amp; " / " &amp; IFERROR(VLOOKUP(MID(N8,O8,P8-O8),[5]skilldef!$A:$B,2,FALSE),"-")</f>
        <v>- / 連続攻撃</v>
      </c>
      <c r="T8" s="46" t="str">
        <f t="shared" si="12"/>
        <v xml:space="preserve">[effect:force_change_block, new_block:jammer, target:block_red, count:2, val:0, animation:change_block]    </v>
      </c>
      <c r="U8" s="61">
        <f t="shared" si="13"/>
        <v>9</v>
      </c>
      <c r="V8" s="61">
        <f t="shared" si="14"/>
        <v>27</v>
      </c>
      <c r="W8" s="61">
        <f t="shared" si="15"/>
        <v>54</v>
      </c>
      <c r="X8" s="61">
        <f t="shared" si="16"/>
        <v>45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  <c r="AC8" s="100" t="s">
        <v>290</v>
      </c>
    </row>
    <row r="9" spans="1:29" ht="43" customHeight="1" x14ac:dyDescent="0.15">
      <c r="A9" s="45">
        <v>13400257</v>
      </c>
      <c r="B9" s="46" t="str">
        <f t="shared" si="0"/>
        <v>[effect:enemy_message, val1:1.2, val2:3.5],[effect:force_change_block, new_block:block_green, target:block_red, count:0, val:0, animation:change_block],[effect:force_change_block, new_block:block_blue, target:block_yellow, count:0, val:0, animation:change_block],[effect:critical, val:1.5, animation:enemy_critical]</v>
      </c>
      <c r="C9" s="48">
        <v>3</v>
      </c>
      <c r="D9" s="48" t="s">
        <v>195</v>
      </c>
      <c r="E9" s="49" t="s">
        <v>257</v>
      </c>
      <c r="F9" s="49" t="s">
        <v>303</v>
      </c>
      <c r="G9" s="61" t="str">
        <f t="shared" si="1"/>
        <v>[effect:enemy_message, val1:1.2, val2:3.5]</v>
      </c>
      <c r="H9" s="61">
        <f t="shared" si="2"/>
        <v>9</v>
      </c>
      <c r="I9" s="61">
        <f t="shared" si="3"/>
        <v>22</v>
      </c>
      <c r="J9" s="61" t="e">
        <f t="shared" si="4"/>
        <v>#VALUE!</v>
      </c>
      <c r="K9" s="61">
        <f t="shared" si="5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6"/>
        <v>[effect:force_change_block, new_block:block_green, target:block_red, count:0, val:0, animation:change_block],[effect:force_change_block, new_block:block_blue, target:block_yellow, count:0, val:0, animation:change_block],[effect:critical, val:1.5, animation:enemy_critical]</v>
      </c>
      <c r="N9" s="46" t="str">
        <f t="shared" si="7"/>
        <v>[effect:force_change_block, new_block:block_green, target:block_red, count:0, val:0, animation:change_block],[effect:force_change_block, new_block:block_blue, target:block_yellow, count:0, val:0, animation:change_block],[effect:critical, val:1.5, animation:enemy_critical]</v>
      </c>
      <c r="O9" s="61">
        <f t="shared" si="8"/>
        <v>9</v>
      </c>
      <c r="P9" s="61">
        <f t="shared" si="9"/>
        <v>27</v>
      </c>
      <c r="Q9" s="61">
        <f t="shared" si="10"/>
        <v>59</v>
      </c>
      <c r="R9" s="61">
        <f t="shared" si="11"/>
        <v>50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12"/>
        <v>[effect:force_change_block, new_block:block_blue, target:block_yellow, count:0, val:0, animation:change_block],[effect:critical, val:1.5, animation:enemy_critical]</v>
      </c>
      <c r="U9" s="61">
        <f t="shared" si="13"/>
        <v>9</v>
      </c>
      <c r="V9" s="61">
        <f t="shared" si="14"/>
        <v>27</v>
      </c>
      <c r="W9" s="61">
        <f t="shared" si="15"/>
        <v>58</v>
      </c>
      <c r="X9" s="61">
        <f t="shared" si="16"/>
        <v>49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  <c r="AC9" s="100" t="s">
        <v>302</v>
      </c>
    </row>
    <row r="10" spans="1:29" ht="43" customHeight="1" x14ac:dyDescent="0.15">
      <c r="A10" s="45">
        <v>13400258</v>
      </c>
      <c r="B10" s="112" t="s">
        <v>308</v>
      </c>
      <c r="C10" s="48">
        <v>3</v>
      </c>
      <c r="D10" s="48" t="s">
        <v>195</v>
      </c>
      <c r="E10" s="45" t="s">
        <v>256</v>
      </c>
      <c r="F10" s="124" t="s">
        <v>311</v>
      </c>
      <c r="G10" s="61" t="str">
        <f t="shared" si="1"/>
        <v>[effect:enemy_message, val1:1.8, val2:0, dead_type:escape]</v>
      </c>
      <c r="H10" s="61">
        <f t="shared" si="2"/>
        <v>9</v>
      </c>
      <c r="I10" s="61">
        <f t="shared" si="3"/>
        <v>22</v>
      </c>
      <c r="J10" s="61" t="e">
        <f t="shared" si="4"/>
        <v>#VALUE!</v>
      </c>
      <c r="K10" s="61">
        <f t="shared" si="5"/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6"/>
        <v>none</v>
      </c>
      <c r="N10" s="46" t="str">
        <f t="shared" si="7"/>
        <v>none</v>
      </c>
      <c r="O10" s="61" t="e">
        <f t="shared" si="8"/>
        <v>#VALUE!</v>
      </c>
      <c r="P10" s="61">
        <f t="shared" si="9"/>
        <v>4</v>
      </c>
      <c r="Q10" s="61" t="e">
        <f t="shared" si="10"/>
        <v>#VALUE!</v>
      </c>
      <c r="R10" s="61" t="e">
        <f t="shared" si="11"/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si="12"/>
        <v>none</v>
      </c>
      <c r="U10" s="61" t="e">
        <f t="shared" si="13"/>
        <v>#VALUE!</v>
      </c>
      <c r="V10" s="61">
        <f t="shared" si="14"/>
        <v>4</v>
      </c>
      <c r="W10" s="61" t="e">
        <f t="shared" si="15"/>
        <v>#VALUE!</v>
      </c>
      <c r="X10" s="61" t="e">
        <f t="shared" si="16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  <c r="AC10" s="100"/>
    </row>
    <row r="11" spans="1:29" ht="43" customHeight="1" x14ac:dyDescent="0.15">
      <c r="A11" s="45">
        <v>13400259</v>
      </c>
      <c r="B11" s="46" t="str">
        <f t="shared" ref="B11:B12" si="17">"[effect:enemy_message, val1:"&amp;TEXT(IF(TEXT(E11,0)="[表示しない]", "0", IF(LEN(SUBSTITUTE(E11,CHAR(13),""))*0.1&lt;1.2, 1.2, LEN(SUBSTITUTE(E11,CHAR(13),""))*0.1)), "0.0")&amp;", val2:"&amp;TEXT(IF(TEXT(F11,0)="[表示しない]", "0", IF(LEN(SUBSTITUTE(F11,CHAR(13),""))*0.1&lt;1.2, 1.2, LEN(SUBSTITUTE(F11,CHAR(13),""))*0.1)),"0.0")&amp;"]"&amp;IF(LEN(AC11)&gt;0, ","&amp;AC11,AC11)</f>
        <v xml:space="preserve">[effect:enemy_message, val1:2.0, val2:3.0],[effect:tolerance, target:myself, turn:-1, count:-1, tolerance_effect:all,animation:enemy_tolerance],[effect:degrade_unit, target:unit_human, turn:-1, status:heal, val:0.5, calc:mul, animation:degrade_unit_all_heal]    </v>
      </c>
      <c r="C11" s="48">
        <v>3</v>
      </c>
      <c r="D11" s="48" t="s">
        <v>195</v>
      </c>
      <c r="E11" s="49" t="s">
        <v>266</v>
      </c>
      <c r="F11" s="49" t="s">
        <v>304</v>
      </c>
      <c r="G11" s="61" t="str">
        <f t="shared" si="1"/>
        <v>[effect:enemy_message, val1:2.0, val2:3.0]</v>
      </c>
      <c r="H11" s="61">
        <f t="shared" si="2"/>
        <v>9</v>
      </c>
      <c r="I11" s="61">
        <f t="shared" si="3"/>
        <v>22</v>
      </c>
      <c r="J11" s="61" t="e">
        <f t="shared" si="4"/>
        <v>#VALUE!</v>
      </c>
      <c r="K11" s="61">
        <f t="shared" si="5"/>
        <v>32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6"/>
        <v xml:space="preserve">[effect:tolerance, target:myself, turn:-1, count:-1, tolerance_effect:all,animation:enemy_tolerance],[effect:degrade_unit, target:unit_human, turn:-1, status:heal, val:0.5, calc:mul, animation:degrade_unit_all_heal]    </v>
      </c>
      <c r="N11" s="46" t="str">
        <f t="shared" si="7"/>
        <v xml:space="preserve">[effect:tolerance, target:myself, turn:-1, count:-1, tolerance_effect:all,animation:enemy_tolerance],[effect:degrade_unit, target:unit_human, turn:-1, status:heal, val:0.5, calc:mul, animation:degrade_unit_all_heal]    </v>
      </c>
      <c r="O11" s="61">
        <f t="shared" si="8"/>
        <v>9</v>
      </c>
      <c r="P11" s="61">
        <f t="shared" si="9"/>
        <v>18</v>
      </c>
      <c r="Q11" s="61">
        <f t="shared" si="10"/>
        <v>27</v>
      </c>
      <c r="R11" s="61">
        <f t="shared" si="11"/>
        <v>33</v>
      </c>
      <c r="S11" s="61" t="str">
        <f>IFERROR(VLOOKUP(MID(N11,Q11,R11-Q11),[5]skilldef!$C:$D,2,FALSE),"-") &amp; " / " &amp; IFERROR(VLOOKUP(MID(N11,O11,P11-O11),[5]skilldef!$A:$B,2,FALSE),"-")</f>
        <v>自分自身に / 状態異常耐性</v>
      </c>
      <c r="T11" s="46" t="str">
        <f t="shared" si="12"/>
        <v xml:space="preserve">[effect:degrade_unit, target:unit_human, turn:-1, status:heal, val:0.5, calc:mul, animation:degrade_unit_all_heal]    </v>
      </c>
      <c r="U11" s="61">
        <f t="shared" si="13"/>
        <v>9</v>
      </c>
      <c r="V11" s="61">
        <f t="shared" si="14"/>
        <v>21</v>
      </c>
      <c r="W11" s="61">
        <f t="shared" si="15"/>
        <v>30</v>
      </c>
      <c r="X11" s="61">
        <f t="shared" si="16"/>
        <v>40</v>
      </c>
      <c r="Y11" s="61" t="str">
        <f>IFERROR(VLOOKUP(MID(T11,W11,X11-W11),[5]skilldef!$C:$D,2,FALSE),"-") &amp; " / " &amp; IFERROR(VLOOKUP(MID(T11,U11,V11-U11),[5]skilldef!$A:$B,2,FALSE),"-")</f>
        <v>ヒューマンの味方に / ステータスDOWN</v>
      </c>
      <c r="Z11" s="48"/>
      <c r="AA11" s="50"/>
      <c r="AB11" s="48"/>
      <c r="AC11" s="100" t="s">
        <v>291</v>
      </c>
    </row>
    <row r="12" spans="1:29" ht="43" customHeight="1" x14ac:dyDescent="0.15">
      <c r="A12" s="45">
        <v>13400260</v>
      </c>
      <c r="B12" s="46" t="str">
        <f t="shared" si="17"/>
        <v>[effect:enemy_message, val1:1.3, val2:3.3],[effect:force_change_block, new_block:damage, target:block_blue, color:block_blue, count:7, val:0.11, animation:change_block],[effect:damage_gravity, val:0.2, animation:fevergauge_down]</v>
      </c>
      <c r="C12" s="48">
        <v>3</v>
      </c>
      <c r="D12" s="48" t="s">
        <v>195</v>
      </c>
      <c r="E12" s="49" t="s">
        <v>314</v>
      </c>
      <c r="F12" s="49" t="s">
        <v>346</v>
      </c>
      <c r="G12" s="61" t="str">
        <f t="shared" si="1"/>
        <v>[effect:enemy_message, val1:1.3, val2:3.3]</v>
      </c>
      <c r="H12" s="61">
        <f t="shared" si="2"/>
        <v>9</v>
      </c>
      <c r="I12" s="61">
        <f t="shared" si="3"/>
        <v>22</v>
      </c>
      <c r="J12" s="61" t="e">
        <f t="shared" si="4"/>
        <v>#VALUE!</v>
      </c>
      <c r="K12" s="61">
        <f t="shared" si="5"/>
        <v>32</v>
      </c>
      <c r="L12" s="61" t="str">
        <f>IFERROR(VLOOKUP(MID(G12,J12,K12-J12),[5]skilldef!$C:$D,2,FALSE),"-") &amp; " / " &amp; IFERROR(VLOOKUP(MID(G12,H12,I12-H12),[5]skilldef!$A:$B,2,FALSE),"-")</f>
        <v>- / -</v>
      </c>
      <c r="M12" s="61" t="str">
        <f t="shared" si="6"/>
        <v>[effect:force_change_block, new_block:damage, target:block_blue, color:block_blue, count:7, val:0.11, animation:change_block],[effect:damage_gravity, val:0.2, animation:fevergauge_down]</v>
      </c>
      <c r="N12" s="46" t="str">
        <f t="shared" si="7"/>
        <v>[effect:force_change_block, new_block:damage, target:block_blue, color:block_blue, count:7, val:0.11, animation:change_block],[effect:damage_gravity, val:0.2, animation:fevergauge_down]</v>
      </c>
      <c r="O12" s="61">
        <f t="shared" si="8"/>
        <v>9</v>
      </c>
      <c r="P12" s="61">
        <f t="shared" si="9"/>
        <v>27</v>
      </c>
      <c r="Q12" s="61">
        <f t="shared" si="10"/>
        <v>54</v>
      </c>
      <c r="R12" s="61">
        <f t="shared" si="11"/>
        <v>45</v>
      </c>
      <c r="S12" s="61" t="str">
        <f>IFERROR(VLOOKUP(MID(N12,Q12,R12-Q12),[5]skilldef!$C:$D,2,FALSE),"-") &amp; " / " &amp; IFERROR(VLOOKUP(MID(N12,O12,P12-O12),[5]skilldef!$A:$B,2,FALSE),"-")</f>
        <v>- / -</v>
      </c>
      <c r="T12" s="46" t="str">
        <f t="shared" si="12"/>
        <v>[effect:damage_gravity, val:0.2, animation:fevergauge_down]</v>
      </c>
      <c r="U12" s="61">
        <f t="shared" si="13"/>
        <v>9</v>
      </c>
      <c r="V12" s="61">
        <f t="shared" si="14"/>
        <v>23</v>
      </c>
      <c r="W12" s="61" t="e">
        <f t="shared" si="15"/>
        <v>#VALUE!</v>
      </c>
      <c r="X12" s="61">
        <f t="shared" si="16"/>
        <v>32</v>
      </c>
      <c r="Y12" s="61" t="str">
        <f>IFERROR(VLOOKUP(MID(T12,W12,X12-W12),[5]skilldef!$C:$D,2,FALSE),"-") &amp; " / " &amp; IFERROR(VLOOKUP(MID(T12,U12,V12-U12),[5]skilldef!$A:$B,2,FALSE),"-")</f>
        <v>- / 割合ダメージ</v>
      </c>
      <c r="Z12" s="48"/>
      <c r="AA12" s="50"/>
      <c r="AB12" s="48"/>
      <c r="AC12" s="100" t="s">
        <v>324</v>
      </c>
    </row>
    <row r="13" spans="1:29" ht="43" customHeight="1" x14ac:dyDescent="0.15">
      <c r="A13" s="45">
        <v>13400261</v>
      </c>
      <c r="B13" s="46" t="str">
        <f>"[effect:enemy_message, val1:"&amp;TEXT(IF(TEXT(E13,0)="[表示しない]", "0", IF(LEN(SUBSTITUTE(E13,CHAR(13),""))*0.1&lt;1.2, 1.2, LEN(SUBSTITUTE(E13,CHAR(13),""))*0.1)), "0.0")&amp;", val2:"&amp;TEXT(IF(TEXT(F13,0)="[表示しない]", "0", IF(LEN(SUBSTITUTE(F13,CHAR(13),""))*0.1&lt;1.2, 1.2, LEN(SUBSTITUTE(F13,CHAR(13),""))*0.1)),"0.0")&amp;"]"&amp;IF(LEN(AC13)&gt;0, ","&amp;AC13,AC13)</f>
        <v xml:space="preserve">[effect:enemy_message, val1:1.3, val2:2.0],[effect:force_change_block, new_block:damage, target:normal, color:block_blue, count:5, val:0.11, animation:change_block]    </v>
      </c>
      <c r="C13" s="48">
        <v>3</v>
      </c>
      <c r="D13" s="48" t="s">
        <v>195</v>
      </c>
      <c r="E13" s="49" t="s">
        <v>312</v>
      </c>
      <c r="F13" s="49" t="s">
        <v>336</v>
      </c>
      <c r="G13" s="61" t="str">
        <f t="shared" si="1"/>
        <v>[effect:enemy_message, val1:1.3, val2:2.0]</v>
      </c>
      <c r="H13" s="61">
        <f t="shared" si="2"/>
        <v>9</v>
      </c>
      <c r="I13" s="61">
        <f t="shared" si="3"/>
        <v>22</v>
      </c>
      <c r="J13" s="61" t="e">
        <f t="shared" si="4"/>
        <v>#VALUE!</v>
      </c>
      <c r="K13" s="61">
        <f t="shared" si="5"/>
        <v>32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6"/>
        <v xml:space="preserve">[effect:force_change_block, new_block:damage, target:normal, color:block_blue, count:5, val:0.11, animation:change_block]    </v>
      </c>
      <c r="N13" s="46" t="str">
        <f t="shared" si="7"/>
        <v xml:space="preserve">[effect:force_change_block, new_block:damage, target:normal, color:block_blue, count:5, val:0.11, animation:change_block]    </v>
      </c>
      <c r="O13" s="61">
        <f t="shared" si="8"/>
        <v>9</v>
      </c>
      <c r="P13" s="61">
        <f t="shared" si="9"/>
        <v>27</v>
      </c>
      <c r="Q13" s="61">
        <f t="shared" si="10"/>
        <v>54</v>
      </c>
      <c r="R13" s="61">
        <f t="shared" si="11"/>
        <v>45</v>
      </c>
      <c r="S13" s="61" t="str">
        <f>IFERROR(VLOOKUP(MID(N13,Q13,R13-Q13),[5]skilldef!$C:$D,2,FALSE),"-") &amp; " / " &amp; IFERROR(VLOOKUP(MID(N13,O13,P13-O13),[5]skilldef!$A:$B,2,FALSE),"-")</f>
        <v>- / -</v>
      </c>
      <c r="T13" s="46" t="str">
        <f t="shared" si="12"/>
        <v>none</v>
      </c>
      <c r="U13" s="61" t="e">
        <f t="shared" si="13"/>
        <v>#VALUE!</v>
      </c>
      <c r="V13" s="61">
        <f t="shared" si="14"/>
        <v>4</v>
      </c>
      <c r="W13" s="61" t="e">
        <f t="shared" si="15"/>
        <v>#VALUE!</v>
      </c>
      <c r="X13" s="61" t="e">
        <f t="shared" si="16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50"/>
      <c r="AB13" s="48"/>
      <c r="AC13" s="100" t="s">
        <v>309</v>
      </c>
    </row>
    <row r="14" spans="1:29" ht="43" customHeight="1" x14ac:dyDescent="0.15">
      <c r="A14" s="45">
        <v>13400262</v>
      </c>
      <c r="B14" s="46" t="str">
        <f t="shared" ref="B14:B24" si="18">"[effect:enemy_message, val1:"&amp;TEXT(IF(TEXT(E14,0)="[表示しない]", "0", IF(LEN(SUBSTITUTE(E14,CHAR(13),""))*0.1&lt;1.2, 1.2, LEN(SUBSTITUTE(E14,CHAR(13),""))*0.1)), "0.0")&amp;", val2:"&amp;TEXT(IF(TEXT(F14,0)="[表示しない]", "0", IF(LEN(SUBSTITUTE(F14,CHAR(13),""))*0.1&lt;1.2, 1.2, LEN(SUBSTITUTE(F14,CHAR(13),""))*0.1)),"0.0")&amp;"]"&amp;IF(LEN(AC14)&gt;0, ","&amp;AC14,AC14)</f>
        <v>[effect:enemy_message, val1:1.2, val2:1.7],[effect:rush, val:1, count:1],[effect:force_change_block, new_block:block_blue, target:block_yellow, count:0, val:0, animation:change_block]</v>
      </c>
      <c r="C14" s="48">
        <v>3</v>
      </c>
      <c r="D14" s="48" t="s">
        <v>195</v>
      </c>
      <c r="E14" s="49" t="s">
        <v>313</v>
      </c>
      <c r="F14" s="49" t="s">
        <v>305</v>
      </c>
      <c r="G14" s="61" t="str">
        <f t="shared" si="1"/>
        <v>[effect:enemy_message, val1:1.2, val2:1.7]</v>
      </c>
      <c r="H14" s="61">
        <f t="shared" si="2"/>
        <v>9</v>
      </c>
      <c r="I14" s="61">
        <f t="shared" si="3"/>
        <v>22</v>
      </c>
      <c r="J14" s="61" t="e">
        <f t="shared" si="4"/>
        <v>#VALUE!</v>
      </c>
      <c r="K14" s="61">
        <f t="shared" si="5"/>
        <v>32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6"/>
        <v>[effect:rush, val:1, count:1],[effect:force_change_block, new_block:block_blue, target:block_yellow, count:0, val:0, animation:change_block]</v>
      </c>
      <c r="N14" s="46" t="str">
        <f t="shared" si="7"/>
        <v>[effect:rush, val:1, count:1],[effect:force_change_block, new_block:block_blue, target:block_yellow, count:0, val:0, animation:change_block]</v>
      </c>
      <c r="O14" s="61">
        <f t="shared" si="8"/>
        <v>9</v>
      </c>
      <c r="P14" s="61">
        <f t="shared" si="9"/>
        <v>13</v>
      </c>
      <c r="Q14" s="61">
        <f t="shared" si="10"/>
        <v>88</v>
      </c>
      <c r="R14" s="61">
        <f t="shared" si="11"/>
        <v>20</v>
      </c>
      <c r="S14" s="61" t="str">
        <f>IFERROR(VLOOKUP(MID(N14,Q14,R14-Q14),[5]skilldef!$C:$D,2,FALSE),"-") &amp; " / " &amp; IFERROR(VLOOKUP(MID(N14,O14,P14-O14),[5]skilldef!$A:$B,2,FALSE),"-")</f>
        <v>- / 連続攻撃</v>
      </c>
      <c r="T14" s="46" t="str">
        <f t="shared" si="12"/>
        <v>[effect:force_change_block, new_block:block_blue, target:block_yellow, count:0, val:0, animation:change_block]</v>
      </c>
      <c r="U14" s="61">
        <f t="shared" si="13"/>
        <v>9</v>
      </c>
      <c r="V14" s="61">
        <f t="shared" si="14"/>
        <v>27</v>
      </c>
      <c r="W14" s="61">
        <f t="shared" si="15"/>
        <v>58</v>
      </c>
      <c r="X14" s="61">
        <f t="shared" si="16"/>
        <v>49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  <c r="AC14" s="100" t="s">
        <v>292</v>
      </c>
    </row>
    <row r="15" spans="1:29" ht="43" customHeight="1" x14ac:dyDescent="0.15">
      <c r="A15" s="45">
        <v>13400263</v>
      </c>
      <c r="B15" s="46" t="str">
        <f t="shared" si="18"/>
        <v xml:space="preserve">[effect:enemy_message, val1:1.2, val2:1.2],[effect:tolerance, target:myself, turn:-1, count:-1, tolerance_effect:all,animation:enemy_tolerance],[effect:enhance_enemy, target:myself, turn:-1, status:defense, val:800, calc:add, animation:enemy_enhance_defense]    </v>
      </c>
      <c r="C15" s="48">
        <v>3</v>
      </c>
      <c r="D15" s="48" t="s">
        <v>195</v>
      </c>
      <c r="E15" s="49" t="s">
        <v>316</v>
      </c>
      <c r="F15" s="49" t="s">
        <v>325</v>
      </c>
      <c r="G15" s="61" t="str">
        <f t="shared" si="1"/>
        <v>[effect:enemy_message, val1:1.2, val2:1.2]</v>
      </c>
      <c r="H15" s="61">
        <f t="shared" si="2"/>
        <v>9</v>
      </c>
      <c r="I15" s="61">
        <f t="shared" si="3"/>
        <v>22</v>
      </c>
      <c r="J15" s="61" t="e">
        <f t="shared" si="4"/>
        <v>#VALUE!</v>
      </c>
      <c r="K15" s="61">
        <f t="shared" si="5"/>
        <v>32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6"/>
        <v xml:space="preserve">[effect:tolerance, target:myself, turn:-1, count:-1, tolerance_effect:all,animation:enemy_tolerance],[effect:enhance_enemy, target:myself, turn:-1, status:defense, val:800, calc:add, animation:enemy_enhance_defense]    </v>
      </c>
      <c r="N15" s="46" t="str">
        <f t="shared" si="7"/>
        <v xml:space="preserve">[effect:tolerance, target:myself, turn:-1, count:-1, tolerance_effect:all,animation:enemy_tolerance],[effect:enhance_enemy, target:myself, turn:-1, status:defense, val:800, calc:add, animation:enemy_enhance_defense]    </v>
      </c>
      <c r="O15" s="61">
        <f t="shared" si="8"/>
        <v>9</v>
      </c>
      <c r="P15" s="61">
        <f t="shared" si="9"/>
        <v>18</v>
      </c>
      <c r="Q15" s="61">
        <f t="shared" si="10"/>
        <v>27</v>
      </c>
      <c r="R15" s="61">
        <f t="shared" si="11"/>
        <v>33</v>
      </c>
      <c r="S15" s="61" t="str">
        <f>IFERROR(VLOOKUP(MID(N15,Q15,R15-Q15),[5]skilldef!$C:$D,2,FALSE),"-") &amp; " / " &amp; IFERROR(VLOOKUP(MID(N15,O15,P15-O15),[5]skilldef!$A:$B,2,FALSE),"-")</f>
        <v>自分自身に / 状態異常耐性</v>
      </c>
      <c r="T15" s="46" t="str">
        <f t="shared" si="12"/>
        <v xml:space="preserve">[effect:enhance_enemy, target:myself, turn:-1, status:defense, val:800, calc:add, animation:enemy_enhance_defense]    </v>
      </c>
      <c r="U15" s="61">
        <f t="shared" si="13"/>
        <v>9</v>
      </c>
      <c r="V15" s="61">
        <f t="shared" si="14"/>
        <v>22</v>
      </c>
      <c r="W15" s="61">
        <f t="shared" si="15"/>
        <v>31</v>
      </c>
      <c r="X15" s="61">
        <f t="shared" si="16"/>
        <v>37</v>
      </c>
      <c r="Y15" s="61" t="str">
        <f>IFERROR(VLOOKUP(MID(T15,W15,X15-W15),[5]skilldef!$C:$D,2,FALSE),"-") &amp; " / " &amp; IFERROR(VLOOKUP(MID(T15,U15,V15-U15),[5]skilldef!$A:$B,2,FALSE),"-")</f>
        <v>自分自身に / ステータス強化</v>
      </c>
      <c r="Z15" s="48"/>
      <c r="AA15" s="50"/>
      <c r="AB15" s="48"/>
      <c r="AC15" s="100" t="s">
        <v>321</v>
      </c>
    </row>
    <row r="16" spans="1:29" ht="43" customHeight="1" x14ac:dyDescent="0.15">
      <c r="A16" s="45">
        <v>13400264</v>
      </c>
      <c r="B16" s="46" t="str">
        <f t="shared" si="18"/>
        <v xml:space="preserve">[effect:enemy_message, val1:1.2, val2:4.2],[effect:force_change_block, new_block:damage, target:normal, count:2, val:0.07, animation:change_block],[effect:force_change_block, new_block:jammer, target:normal, count:2, val:0, animation:change_block],[effect:force_change_block, new_block:time_bomb, target:normal, count:2, val:0.1, animation:change_block]     </v>
      </c>
      <c r="C16" s="48">
        <v>3</v>
      </c>
      <c r="D16" s="48" t="s">
        <v>195</v>
      </c>
      <c r="E16" s="49" t="s">
        <v>317</v>
      </c>
      <c r="F16" s="125" t="s">
        <v>337</v>
      </c>
      <c r="G16" s="61" t="str">
        <f t="shared" si="1"/>
        <v>[effect:enemy_message, val1:1.2, val2:4.2]</v>
      </c>
      <c r="H16" s="61">
        <f t="shared" si="2"/>
        <v>9</v>
      </c>
      <c r="I16" s="61">
        <f t="shared" si="3"/>
        <v>22</v>
      </c>
      <c r="J16" s="61" t="e">
        <f t="shared" si="4"/>
        <v>#VALUE!</v>
      </c>
      <c r="K16" s="61">
        <f t="shared" si="5"/>
        <v>32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6"/>
        <v xml:space="preserve">[effect:force_change_block, new_block:damage, target:normal, count:2, val:0.07, animation:change_block],[effect:force_change_block, new_block:jammer, target:normal, count:2, val:0, animation:change_block],[effect:force_change_block, new_block:time_bomb, target:normal, count:2, val:0.1, animation:change_block]     </v>
      </c>
      <c r="N16" s="46" t="str">
        <f t="shared" si="7"/>
        <v xml:space="preserve">[effect:force_change_block, new_block:damage, target:normal, count:2, val:0.07, animation:change_block],[effect:force_change_block, new_block:jammer, target:normal, count:2, val:0, animation:change_block],[effect:force_change_block, new_block:time_bomb, target:normal, count:2, val:0.1, animation:change_block]     </v>
      </c>
      <c r="O16" s="61">
        <f t="shared" si="8"/>
        <v>9</v>
      </c>
      <c r="P16" s="61">
        <f t="shared" si="9"/>
        <v>27</v>
      </c>
      <c r="Q16" s="61">
        <f t="shared" si="10"/>
        <v>54</v>
      </c>
      <c r="R16" s="61">
        <f t="shared" si="11"/>
        <v>45</v>
      </c>
      <c r="S16" s="61" t="str">
        <f>IFERROR(VLOOKUP(MID(N16,Q16,R16-Q16),[5]skilldef!$C:$D,2,FALSE),"-") &amp; " / " &amp; IFERROR(VLOOKUP(MID(N16,O16,P16-O16),[5]skilldef!$A:$B,2,FALSE),"-")</f>
        <v>- / -</v>
      </c>
      <c r="T16" s="46" t="str">
        <f t="shared" si="12"/>
        <v xml:space="preserve">[effect:force_change_block, new_block:jammer, target:normal, count:2, val:0, animation:change_block],[effect:force_change_block, new_block:time_bomb, target:normal, count:2, val:0.1, animation:change_block]     </v>
      </c>
      <c r="U16" s="61">
        <f t="shared" si="13"/>
        <v>9</v>
      </c>
      <c r="V16" s="61">
        <f t="shared" si="14"/>
        <v>27</v>
      </c>
      <c r="W16" s="61">
        <f t="shared" si="15"/>
        <v>54</v>
      </c>
      <c r="X16" s="61">
        <f t="shared" si="16"/>
        <v>45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  <c r="AC16" s="100" t="s">
        <v>293</v>
      </c>
    </row>
    <row r="17" spans="1:29" ht="43" customHeight="1" x14ac:dyDescent="0.15">
      <c r="A17" s="45">
        <v>13400265</v>
      </c>
      <c r="B17" s="46" t="str">
        <f t="shared" si="18"/>
        <v xml:space="preserve">[effect:enemy_message, val1:1.2, val2:2.7],[effect:rush, val:1, count:1],[effect:force_change_block, new_block:time_bomb, target:block_red, color:block_yellow, count:2, val:0.1, animation:change_block]    </v>
      </c>
      <c r="C17" s="48">
        <v>3</v>
      </c>
      <c r="D17" s="48" t="s">
        <v>195</v>
      </c>
      <c r="E17" s="49" t="s">
        <v>318</v>
      </c>
      <c r="F17" s="49" t="s">
        <v>326</v>
      </c>
      <c r="G17" s="61" t="str">
        <f t="shared" si="1"/>
        <v>[effect:enemy_message, val1:1.2, val2:2.7]</v>
      </c>
      <c r="H17" s="61">
        <f t="shared" si="2"/>
        <v>9</v>
      </c>
      <c r="I17" s="61">
        <f t="shared" si="3"/>
        <v>22</v>
      </c>
      <c r="J17" s="61" t="e">
        <f t="shared" si="4"/>
        <v>#VALUE!</v>
      </c>
      <c r="K17" s="61">
        <f t="shared" si="5"/>
        <v>32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si="6"/>
        <v xml:space="preserve">[effect:rush, val:1, count:1],[effect:force_change_block, new_block:time_bomb, target:block_red, color:block_yellow, count:2, val:0.1, animation:change_block]    </v>
      </c>
      <c r="N17" s="46" t="str">
        <f t="shared" si="7"/>
        <v xml:space="preserve">[effect:rush, val:1, count:1],[effect:force_change_block, new_block:time_bomb, target:block_red, color:block_yellow, count:2, val:0.1, animation:change_block]    </v>
      </c>
      <c r="O17" s="61">
        <f t="shared" si="8"/>
        <v>9</v>
      </c>
      <c r="P17" s="61">
        <f t="shared" si="9"/>
        <v>13</v>
      </c>
      <c r="Q17" s="61">
        <f t="shared" si="10"/>
        <v>87</v>
      </c>
      <c r="R17" s="61">
        <f t="shared" si="11"/>
        <v>20</v>
      </c>
      <c r="S17" s="61" t="str">
        <f>IFERROR(VLOOKUP(MID(N17,Q17,R17-Q17),[5]skilldef!$C:$D,2,FALSE),"-") &amp; " / " &amp; IFERROR(VLOOKUP(MID(N17,O17,P17-O17),[5]skilldef!$A:$B,2,FALSE),"-")</f>
        <v>- / 連続攻撃</v>
      </c>
      <c r="T17" s="46" t="str">
        <f t="shared" si="12"/>
        <v xml:space="preserve">[effect:force_change_block, new_block:time_bomb, target:block_red, color:block_yellow, count:2, val:0.1, animation:change_block]    </v>
      </c>
      <c r="U17" s="61">
        <f t="shared" si="13"/>
        <v>9</v>
      </c>
      <c r="V17" s="61">
        <f t="shared" si="14"/>
        <v>27</v>
      </c>
      <c r="W17" s="61">
        <f t="shared" si="15"/>
        <v>57</v>
      </c>
      <c r="X17" s="61">
        <f t="shared" si="16"/>
        <v>48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  <c r="AC17" s="100" t="s">
        <v>294</v>
      </c>
    </row>
    <row r="18" spans="1:29" ht="43" customHeight="1" x14ac:dyDescent="0.15">
      <c r="A18" s="45">
        <v>13400266</v>
      </c>
      <c r="B18" s="46" t="str">
        <f t="shared" si="18"/>
        <v xml:space="preserve">[effect:enemy_message, val1:1.2, val2:2.1],[effect:rush, val:1, count:1],[effect:force_change_block, new_block:jammer, target:block_green, count:2, val:0, animation:change_block]    </v>
      </c>
      <c r="C18" s="48">
        <v>3</v>
      </c>
      <c r="D18" s="48" t="s">
        <v>195</v>
      </c>
      <c r="E18" s="49" t="s">
        <v>319</v>
      </c>
      <c r="F18" s="49" t="s">
        <v>327</v>
      </c>
      <c r="G18" s="61" t="str">
        <f t="shared" si="1"/>
        <v>[effect:enemy_message, val1:1.2, val2:2.1]</v>
      </c>
      <c r="H18" s="61">
        <f t="shared" si="2"/>
        <v>9</v>
      </c>
      <c r="I18" s="61">
        <f t="shared" si="3"/>
        <v>22</v>
      </c>
      <c r="J18" s="61" t="e">
        <f t="shared" si="4"/>
        <v>#VALUE!</v>
      </c>
      <c r="K18" s="61">
        <f t="shared" si="5"/>
        <v>32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6"/>
        <v xml:space="preserve">[effect:rush, val:1, count:1],[effect:force_change_block, new_block:jammer, target:block_green, count:2, val:0, animation:change_block]    </v>
      </c>
      <c r="N18" s="46" t="str">
        <f t="shared" si="7"/>
        <v xml:space="preserve">[effect:rush, val:1, count:1],[effect:force_change_block, new_block:jammer, target:block_green, count:2, val:0, animation:change_block]    </v>
      </c>
      <c r="O18" s="61">
        <f t="shared" si="8"/>
        <v>9</v>
      </c>
      <c r="P18" s="61">
        <f t="shared" si="9"/>
        <v>13</v>
      </c>
      <c r="Q18" s="61">
        <f t="shared" si="10"/>
        <v>84</v>
      </c>
      <c r="R18" s="61">
        <f t="shared" si="11"/>
        <v>20</v>
      </c>
      <c r="S18" s="61" t="str">
        <f>IFERROR(VLOOKUP(MID(N18,Q18,R18-Q18),[5]skilldef!$C:$D,2,FALSE),"-") &amp; " / " &amp; IFERROR(VLOOKUP(MID(N18,O18,P18-O18),[5]skilldef!$A:$B,2,FALSE),"-")</f>
        <v>- / 連続攻撃</v>
      </c>
      <c r="T18" s="46" t="str">
        <f t="shared" si="12"/>
        <v xml:space="preserve">[effect:force_change_block, new_block:jammer, target:block_green, count:2, val:0, animation:change_block]    </v>
      </c>
      <c r="U18" s="61">
        <f t="shared" si="13"/>
        <v>9</v>
      </c>
      <c r="V18" s="61">
        <f t="shared" si="14"/>
        <v>27</v>
      </c>
      <c r="W18" s="61">
        <f t="shared" si="15"/>
        <v>54</v>
      </c>
      <c r="X18" s="61">
        <f t="shared" si="16"/>
        <v>45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  <c r="AC18" s="100" t="s">
        <v>295</v>
      </c>
    </row>
    <row r="19" spans="1:29" ht="43" customHeight="1" x14ac:dyDescent="0.15">
      <c r="A19" s="45">
        <v>13400267</v>
      </c>
      <c r="B19" s="46" t="str">
        <f t="shared" si="18"/>
        <v>[effect:enemy_message, val1:1.2, val2:2.4],[effect:rush, val:1, count:1],[effect:force_change_block, new_block:damage, target:block_blue, color:block_yellow, count:2, val:0.07, animation:change_block]</v>
      </c>
      <c r="C19" s="48">
        <v>3</v>
      </c>
      <c r="D19" s="48" t="s">
        <v>195</v>
      </c>
      <c r="E19" s="49" t="s">
        <v>320</v>
      </c>
      <c r="F19" s="49" t="s">
        <v>328</v>
      </c>
      <c r="G19" s="61" t="str">
        <f t="shared" si="1"/>
        <v>[effect:enemy_message, val1:1.2, val2:2.4]</v>
      </c>
      <c r="H19" s="61">
        <f t="shared" si="2"/>
        <v>9</v>
      </c>
      <c r="I19" s="61">
        <f t="shared" si="3"/>
        <v>22</v>
      </c>
      <c r="J19" s="61" t="e">
        <f t="shared" si="4"/>
        <v>#VALUE!</v>
      </c>
      <c r="K19" s="61">
        <f t="shared" si="5"/>
        <v>32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6"/>
        <v>[effect:rush, val:1, count:1],[effect:force_change_block, new_block:damage, target:block_blue, color:block_yellow, count:2, val:0.07, animation:change_block]</v>
      </c>
      <c r="N19" s="46" t="str">
        <f t="shared" si="7"/>
        <v>[effect:rush, val:1, count:1],[effect:force_change_block, new_block:damage, target:block_blue, color:block_yellow, count:2, val:0.07, animation:change_block]</v>
      </c>
      <c r="O19" s="61">
        <f t="shared" si="8"/>
        <v>9</v>
      </c>
      <c r="P19" s="61">
        <f t="shared" si="9"/>
        <v>13</v>
      </c>
      <c r="Q19" s="61">
        <f t="shared" si="10"/>
        <v>84</v>
      </c>
      <c r="R19" s="61">
        <f t="shared" si="11"/>
        <v>20</v>
      </c>
      <c r="S19" s="61" t="str">
        <f>IFERROR(VLOOKUP(MID(N19,Q19,R19-Q19),[5]skilldef!$C:$D,2,FALSE),"-") &amp; " / " &amp; IFERROR(VLOOKUP(MID(N19,O19,P19-O19),[5]skilldef!$A:$B,2,FALSE),"-")</f>
        <v>- / 連続攻撃</v>
      </c>
      <c r="T19" s="46" t="str">
        <f t="shared" si="12"/>
        <v>[effect:force_change_block, new_block:damage, target:block_blue, color:block_yellow, count:2, val:0.07, animation:change_block]</v>
      </c>
      <c r="U19" s="61">
        <f t="shared" si="13"/>
        <v>9</v>
      </c>
      <c r="V19" s="61">
        <f t="shared" si="14"/>
        <v>27</v>
      </c>
      <c r="W19" s="61">
        <f t="shared" si="15"/>
        <v>54</v>
      </c>
      <c r="X19" s="61">
        <f t="shared" si="16"/>
        <v>45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  <c r="AC19" s="100" t="s">
        <v>296</v>
      </c>
    </row>
    <row r="20" spans="1:29" ht="43" customHeight="1" x14ac:dyDescent="0.15">
      <c r="A20" s="45">
        <v>13400268</v>
      </c>
      <c r="B20" s="46" t="str">
        <f t="shared" si="18"/>
        <v>[effect:enemy_message, val1:1.2, val2:1.4],[effect:break_enchance_enemy, target:myself, val:0.03, lowest_val:0, count:-1, status:attack, turn:-1, block_color:block_yellow, block01:normal, calc:mul, animation:enemy_enhance_attack]</v>
      </c>
      <c r="C20" s="48">
        <v>3</v>
      </c>
      <c r="D20" s="48" t="s">
        <v>195</v>
      </c>
      <c r="E20" s="49" t="s">
        <v>315</v>
      </c>
      <c r="F20" s="49" t="s">
        <v>347</v>
      </c>
      <c r="G20" s="61" t="str">
        <f t="shared" ref="G20:G24" si="19">IFERROR(LEFT(B20,FIND("],",B20)),B20)</f>
        <v>[effect:enemy_message, val1:1.2, val2:1.4]</v>
      </c>
      <c r="H20" s="61">
        <f t="shared" si="2"/>
        <v>9</v>
      </c>
      <c r="I20" s="61">
        <f t="shared" ref="I20:I24" si="20">IFERROR(FIND(",",G20),LEN(G20))</f>
        <v>22</v>
      </c>
      <c r="J20" s="61" t="e">
        <f t="shared" ref="J20:J24" si="21">FIND("target:",G20)+7</f>
        <v>#VALUE!</v>
      </c>
      <c r="K20" s="61">
        <f t="shared" ref="K20:K24" si="22">FIND(",",G20,I20+1)</f>
        <v>32</v>
      </c>
      <c r="L20" s="61" t="str">
        <f>IFERROR(VLOOKUP(MID(G20,J20,K20-J20),[5]skilldef!$C:$D,2,FALSE),"-") &amp; " / " &amp; IFERROR(VLOOKUP(MID(G20,H20,I20-H20),[5]skilldef!$A:$B,2,FALSE),"-")</f>
        <v>- / -</v>
      </c>
      <c r="M20" s="61" t="str">
        <f t="shared" ref="M20:M24" si="23">IFERROR(RIGHT(B20,LEN(B20)-FIND("],",B20)-1),"none")</f>
        <v>[effect:break_enchance_enemy, target:myself, val:0.03, lowest_val:0, count:-1, status:attack, turn:-1, block_color:block_yellow, block01:normal, calc:mul, animation:enemy_enhance_attack]</v>
      </c>
      <c r="N20" s="46" t="str">
        <f t="shared" ref="N20:N24" si="24">IFERROR(LEFT(M20,FIND("],",M20)+S25),M20)</f>
        <v>[effect:break_enchance_enemy, target:myself, val:0.03, lowest_val:0, count:-1, status:attack, turn:-1, block_color:block_yellow, block01:normal, calc:mul, animation:enemy_enhance_attack]</v>
      </c>
      <c r="O20" s="61">
        <f t="shared" si="8"/>
        <v>9</v>
      </c>
      <c r="P20" s="61">
        <f t="shared" ref="P20:P24" si="25">IFERROR(FIND(",",N20),LEN(N20))</f>
        <v>29</v>
      </c>
      <c r="Q20" s="61">
        <f t="shared" ref="Q20:Q24" si="26">FIND("target:",N20)+7</f>
        <v>38</v>
      </c>
      <c r="R20" s="61">
        <f t="shared" ref="R20:R24" si="27">FIND(",",N20,P20+1)</f>
        <v>44</v>
      </c>
      <c r="S20" s="61" t="str">
        <f>IFERROR(VLOOKUP(MID(N20,Q20,R20-Q20),[5]skilldef!$C:$D,2,FALSE),"-") &amp; " / " &amp; IFERROR(VLOOKUP(MID(N20,O20,P20-O20),[5]skilldef!$A:$B,2,FALSE),"-")</f>
        <v>自分自身に / -</v>
      </c>
      <c r="T20" s="46" t="str">
        <f t="shared" ref="T20:T24" si="28">IFERROR(RIGHT(M20,LEN(M20)-FIND("],",M20)-1),"none")</f>
        <v>none</v>
      </c>
      <c r="U20" s="61" t="e">
        <f t="shared" si="13"/>
        <v>#VALUE!</v>
      </c>
      <c r="V20" s="61">
        <f t="shared" ref="V20:V24" si="29">IFERROR(FIND(",",T20),LEN(T20))</f>
        <v>4</v>
      </c>
      <c r="W20" s="61" t="e">
        <f t="shared" ref="W20:W24" si="30">FIND("target:",T20)+7</f>
        <v>#VALUE!</v>
      </c>
      <c r="X20" s="61" t="e">
        <f t="shared" ref="X20:X24" si="31">FIND(",",T20,V20+1)</f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  <c r="AC20" s="100" t="s">
        <v>299</v>
      </c>
    </row>
    <row r="21" spans="1:29" ht="43" customHeight="1" x14ac:dyDescent="0.15">
      <c r="A21" s="45">
        <v>13400269</v>
      </c>
      <c r="B21" s="46" t="str">
        <f t="shared" si="18"/>
        <v>[effect:enemy_message, val1:1.3, val2:2.4],[effect:rush, val:0.6, count:2],[effect:force_change_block, new_block:jammer, target:normal, count:3, val:0, animation:change_block]</v>
      </c>
      <c r="C21" s="48">
        <v>3</v>
      </c>
      <c r="D21" s="48" t="s">
        <v>195</v>
      </c>
      <c r="E21" s="49" t="s">
        <v>333</v>
      </c>
      <c r="F21" s="49" t="s">
        <v>338</v>
      </c>
      <c r="G21" s="61" t="str">
        <f t="shared" si="19"/>
        <v>[effect:enemy_message, val1:1.3, val2:2.4]</v>
      </c>
      <c r="H21" s="61">
        <f t="shared" si="2"/>
        <v>9</v>
      </c>
      <c r="I21" s="61">
        <f t="shared" si="20"/>
        <v>22</v>
      </c>
      <c r="J21" s="61" t="e">
        <f t="shared" si="21"/>
        <v>#VALUE!</v>
      </c>
      <c r="K21" s="61">
        <f t="shared" si="22"/>
        <v>32</v>
      </c>
      <c r="L21" s="61" t="str">
        <f>IFERROR(VLOOKUP(MID(G21,J21,K21-J21),[5]skilldef!$C:$D,2,FALSE),"-") &amp; " / " &amp; IFERROR(VLOOKUP(MID(G21,H21,I21-H21),[5]skilldef!$A:$B,2,FALSE),"-")</f>
        <v>- / -</v>
      </c>
      <c r="M21" s="61" t="str">
        <f t="shared" si="23"/>
        <v>[effect:rush, val:0.6, count:2],[effect:force_change_block, new_block:jammer, target:normal, count:3, val:0, animation:change_block]</v>
      </c>
      <c r="N21" s="46" t="str">
        <f t="shared" si="24"/>
        <v>[effect:rush, val:0.6, count:2]</v>
      </c>
      <c r="O21" s="61">
        <f t="shared" si="8"/>
        <v>9</v>
      </c>
      <c r="P21" s="61">
        <f t="shared" si="25"/>
        <v>13</v>
      </c>
      <c r="Q21" s="61" t="e">
        <f t="shared" si="26"/>
        <v>#VALUE!</v>
      </c>
      <c r="R21" s="61">
        <f t="shared" si="27"/>
        <v>22</v>
      </c>
      <c r="S21" s="61" t="str">
        <f>IFERROR(VLOOKUP(MID(N21,Q21,R21-Q21),[5]skilldef!$C:$D,2,FALSE),"-") &amp; " / " &amp; IFERROR(VLOOKUP(MID(N21,O21,P21-O21),[5]skilldef!$A:$B,2,FALSE),"-")</f>
        <v>- / 連続攻撃</v>
      </c>
      <c r="T21" s="46" t="str">
        <f t="shared" si="28"/>
        <v>[effect:force_change_block, new_block:jammer, target:normal, count:3, val:0, animation:change_block]</v>
      </c>
      <c r="U21" s="61">
        <f t="shared" si="13"/>
        <v>9</v>
      </c>
      <c r="V21" s="61">
        <f t="shared" si="29"/>
        <v>27</v>
      </c>
      <c r="W21" s="61">
        <f t="shared" si="30"/>
        <v>54</v>
      </c>
      <c r="X21" s="61">
        <f t="shared" si="31"/>
        <v>45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  <c r="AC21" s="100" t="s">
        <v>297</v>
      </c>
    </row>
    <row r="22" spans="1:29" ht="43" customHeight="1" x14ac:dyDescent="0.15">
      <c r="A22" s="45">
        <v>13400270</v>
      </c>
      <c r="B22" s="46" t="str">
        <f t="shared" si="18"/>
        <v xml:space="preserve">[effect:enemy_message, val1:1.2, val2:2.8],[effect:spread, val:0.27],[effect:force_change_block, new_block:time_bomb, target:normal, count:3, val:0.1, animation:change_block]    </v>
      </c>
      <c r="C22" s="48">
        <v>3</v>
      </c>
      <c r="D22" s="48" t="s">
        <v>195</v>
      </c>
      <c r="E22" s="49" t="s">
        <v>330</v>
      </c>
      <c r="F22" s="49" t="s">
        <v>339</v>
      </c>
      <c r="G22" s="61" t="str">
        <f t="shared" si="19"/>
        <v>[effect:enemy_message, val1:1.2, val2:2.8]</v>
      </c>
      <c r="H22" s="61">
        <f t="shared" si="2"/>
        <v>9</v>
      </c>
      <c r="I22" s="61">
        <f t="shared" si="20"/>
        <v>22</v>
      </c>
      <c r="J22" s="61" t="e">
        <f t="shared" si="21"/>
        <v>#VALUE!</v>
      </c>
      <c r="K22" s="61">
        <f t="shared" si="22"/>
        <v>32</v>
      </c>
      <c r="L22" s="61" t="str">
        <f>IFERROR(VLOOKUP(MID(G22,J22,K22-J22),[5]skilldef!$C:$D,2,FALSE),"-") &amp; " / " &amp; IFERROR(VLOOKUP(MID(G22,H22,I22-H22),[5]skilldef!$A:$B,2,FALSE),"-")</f>
        <v>- / -</v>
      </c>
      <c r="M22" s="61" t="str">
        <f t="shared" si="23"/>
        <v xml:space="preserve">[effect:spread, val:0.27],[effect:force_change_block, new_block:time_bomb, target:normal, count:3, val:0.1, animation:change_block]    </v>
      </c>
      <c r="N22" s="46" t="str">
        <f t="shared" si="24"/>
        <v>[effect:spread, val:0.27]</v>
      </c>
      <c r="O22" s="61">
        <f t="shared" si="8"/>
        <v>9</v>
      </c>
      <c r="P22" s="61">
        <f t="shared" si="25"/>
        <v>15</v>
      </c>
      <c r="Q22" s="61" t="e">
        <f t="shared" si="26"/>
        <v>#VALUE!</v>
      </c>
      <c r="R22" s="61" t="e">
        <f t="shared" si="27"/>
        <v>#VALUE!</v>
      </c>
      <c r="S22" s="61" t="str">
        <f>IFERROR(VLOOKUP(MID(N22,Q22,R22-Q22),[5]skilldef!$C:$D,2,FALSE),"-") &amp; " / " &amp; IFERROR(VLOOKUP(MID(N22,O22,P22-O22),[5]skilldef!$A:$B,2,FALSE),"-")</f>
        <v>- / 全体攻撃</v>
      </c>
      <c r="T22" s="46" t="str">
        <f t="shared" si="28"/>
        <v xml:space="preserve">[effect:force_change_block, new_block:time_bomb, target:normal, count:3, val:0.1, animation:change_block]    </v>
      </c>
      <c r="U22" s="61">
        <f t="shared" si="13"/>
        <v>9</v>
      </c>
      <c r="V22" s="61">
        <f t="shared" si="29"/>
        <v>27</v>
      </c>
      <c r="W22" s="61">
        <f t="shared" si="30"/>
        <v>57</v>
      </c>
      <c r="X22" s="61">
        <f t="shared" si="31"/>
        <v>48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48"/>
      <c r="AC22" s="100" t="s">
        <v>298</v>
      </c>
    </row>
    <row r="23" spans="1:29" ht="43" customHeight="1" x14ac:dyDescent="0.15">
      <c r="A23" s="45">
        <v>13400271</v>
      </c>
      <c r="B23" s="46" t="str">
        <f t="shared" si="18"/>
        <v>[effect:enemy_message, val1:1.2, val2:2.8],[effect:critical, val:1.2, animation:enemy_critical],[effect:force_change_block, new_block:damage, target:normal, count:3, val:0.07, animation:change_block]</v>
      </c>
      <c r="C23" s="48">
        <v>3</v>
      </c>
      <c r="D23" s="48" t="s">
        <v>195</v>
      </c>
      <c r="E23" s="49" t="s">
        <v>332</v>
      </c>
      <c r="F23" s="49" t="s">
        <v>340</v>
      </c>
      <c r="G23" s="61" t="str">
        <f t="shared" si="19"/>
        <v>[effect:enemy_message, val1:1.2, val2:2.8]</v>
      </c>
      <c r="H23" s="61">
        <f t="shared" si="2"/>
        <v>9</v>
      </c>
      <c r="I23" s="61">
        <f t="shared" si="20"/>
        <v>22</v>
      </c>
      <c r="J23" s="61" t="e">
        <f t="shared" si="21"/>
        <v>#VALUE!</v>
      </c>
      <c r="K23" s="61">
        <f t="shared" si="22"/>
        <v>32</v>
      </c>
      <c r="L23" s="61" t="str">
        <f>IFERROR(VLOOKUP(MID(G23,J23,K23-J23),[5]skilldef!$C:$D,2,FALSE),"-") &amp; " / " &amp; IFERROR(VLOOKUP(MID(G23,H23,I23-H23),[5]skilldef!$A:$B,2,FALSE),"-")</f>
        <v>- / -</v>
      </c>
      <c r="M23" s="61" t="str">
        <f t="shared" si="23"/>
        <v>[effect:critical, val:1.2, animation:enemy_critical],[effect:force_change_block, new_block:damage, target:normal, count:3, val:0.07, animation:change_block]</v>
      </c>
      <c r="N23" s="46" t="str">
        <f t="shared" si="24"/>
        <v>[effect:critical, val:1.2, animation:enemy_critical]</v>
      </c>
      <c r="O23" s="61">
        <f t="shared" si="8"/>
        <v>9</v>
      </c>
      <c r="P23" s="61">
        <f t="shared" si="25"/>
        <v>17</v>
      </c>
      <c r="Q23" s="61" t="e">
        <f t="shared" si="26"/>
        <v>#VALUE!</v>
      </c>
      <c r="R23" s="61">
        <f t="shared" si="27"/>
        <v>26</v>
      </c>
      <c r="S23" s="61" t="str">
        <f>IFERROR(VLOOKUP(MID(N23,Q23,R23-Q23),[5]skilldef!$C:$D,2,FALSE),"-") &amp; " / " &amp; IFERROR(VLOOKUP(MID(N23,O23,P23-O23),[5]skilldef!$A:$B,2,FALSE),"-")</f>
        <v>- / 大攻撃</v>
      </c>
      <c r="T23" s="46" t="str">
        <f t="shared" si="28"/>
        <v>[effect:force_change_block, new_block:damage, target:normal, count:3, val:0.07, animation:change_block]</v>
      </c>
      <c r="U23" s="61">
        <f t="shared" si="13"/>
        <v>9</v>
      </c>
      <c r="V23" s="61">
        <f t="shared" si="29"/>
        <v>27</v>
      </c>
      <c r="W23" s="61">
        <f t="shared" si="30"/>
        <v>54</v>
      </c>
      <c r="X23" s="61">
        <f t="shared" si="31"/>
        <v>45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50"/>
      <c r="AB23" s="48"/>
      <c r="AC23" s="100" t="s">
        <v>329</v>
      </c>
    </row>
    <row r="24" spans="1:29" ht="43" customHeight="1" x14ac:dyDescent="0.15">
      <c r="A24" s="45">
        <v>13400272</v>
      </c>
      <c r="B24" s="46" t="str">
        <f t="shared" si="18"/>
        <v xml:space="preserve">[effect:enemy_message, val1:1.2, val2:1.3],[effect:break_attack_fix, target:unit_all, val:80, lowest_val:1000, count:-1, color:yellow, block_color:block_yellow, block01:normal]    </v>
      </c>
      <c r="C24" s="48">
        <v>3</v>
      </c>
      <c r="D24" s="48" t="s">
        <v>195</v>
      </c>
      <c r="E24" s="49" t="s">
        <v>331</v>
      </c>
      <c r="F24" s="45" t="s">
        <v>307</v>
      </c>
      <c r="G24" s="61" t="str">
        <f t="shared" si="19"/>
        <v>[effect:enemy_message, val1:1.2, val2:1.3]</v>
      </c>
      <c r="H24" s="61">
        <f t="shared" si="2"/>
        <v>9</v>
      </c>
      <c r="I24" s="61">
        <f t="shared" si="20"/>
        <v>22</v>
      </c>
      <c r="J24" s="61" t="e">
        <f t="shared" si="21"/>
        <v>#VALUE!</v>
      </c>
      <c r="K24" s="61">
        <f t="shared" si="22"/>
        <v>32</v>
      </c>
      <c r="L24" s="61" t="str">
        <f>IFERROR(VLOOKUP(MID(G24,J24,K24-J24),[5]skilldef!$C:$D,2,FALSE),"-") &amp; " / " &amp; IFERROR(VLOOKUP(MID(G24,H24,I24-H24),[5]skilldef!$A:$B,2,FALSE),"-")</f>
        <v>- / -</v>
      </c>
      <c r="M24" s="61" t="str">
        <f t="shared" si="23"/>
        <v xml:space="preserve">[effect:break_attack_fix, target:unit_all, val:80, lowest_val:1000, count:-1, color:yellow, block_color:block_yellow, block01:normal]    </v>
      </c>
      <c r="N24" s="46" t="str">
        <f t="shared" si="24"/>
        <v xml:space="preserve">[effect:break_attack_fix, target:unit_all, val:80, lowest_val:1000, count:-1, color:yellow, block_color:block_yellow, block01:normal]    </v>
      </c>
      <c r="O24" s="61">
        <f t="shared" si="8"/>
        <v>9</v>
      </c>
      <c r="P24" s="61">
        <f t="shared" si="25"/>
        <v>25</v>
      </c>
      <c r="Q24" s="61">
        <f t="shared" si="26"/>
        <v>34</v>
      </c>
      <c r="R24" s="61">
        <f t="shared" si="27"/>
        <v>42</v>
      </c>
      <c r="S24" s="61" t="str">
        <f>IFERROR(VLOOKUP(MID(N24,Q24,R24-Q24),[5]skilldef!$C:$D,2,FALSE),"-") &amp; " / " &amp; IFERROR(VLOOKUP(MID(N24,O24,P24-O24),[5]skilldef!$A:$B,2,FALSE),"-")</f>
        <v>味方全体に / -</v>
      </c>
      <c r="T24" s="46" t="str">
        <f t="shared" si="28"/>
        <v>none</v>
      </c>
      <c r="U24" s="61" t="e">
        <f t="shared" si="13"/>
        <v>#VALUE!</v>
      </c>
      <c r="V24" s="61">
        <f t="shared" si="29"/>
        <v>4</v>
      </c>
      <c r="W24" s="61" t="e">
        <f t="shared" si="30"/>
        <v>#VALUE!</v>
      </c>
      <c r="X24" s="61" t="e">
        <f t="shared" si="31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  <c r="AC24" s="100" t="s">
        <v>306</v>
      </c>
    </row>
    <row r="25" spans="1:29" ht="43" customHeight="1" x14ac:dyDescent="0.15">
      <c r="E25" s="111"/>
    </row>
    <row r="26" spans="1:29" ht="43" customHeight="1" x14ac:dyDescent="0.15">
      <c r="E26" s="111"/>
    </row>
    <row r="27" spans="1:29" ht="43" customHeight="1" x14ac:dyDescent="0.15">
      <c r="E27" s="111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4"/>
  <sheetViews>
    <sheetView showGridLines="0" workbookViewId="0">
      <pane ySplit="1" topLeftCell="A2" activePane="bottomLeft" state="frozenSplit"/>
      <selection pane="bottomLeft" activeCell="H19" sqref="H19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13400250</v>
      </c>
      <c r="B2" s="45">
        <v>1</v>
      </c>
      <c r="C2" s="45">
        <v>900</v>
      </c>
      <c r="D2" s="45">
        <v>100</v>
      </c>
      <c r="E2" s="45" t="s">
        <v>262</v>
      </c>
      <c r="F2" s="45" t="s">
        <v>262</v>
      </c>
      <c r="G2" s="45">
        <v>1</v>
      </c>
      <c r="H2" s="45" t="s">
        <v>262</v>
      </c>
      <c r="I2" s="45" t="s">
        <v>262</v>
      </c>
      <c r="J2" s="46">
        <f t="shared" ref="J2:J24" si="0">D2</f>
        <v>100</v>
      </c>
    </row>
    <row r="3" spans="1:11" ht="21" customHeight="1" x14ac:dyDescent="0.15">
      <c r="A3" s="45">
        <v>13400251</v>
      </c>
      <c r="B3" s="45">
        <v>0</v>
      </c>
      <c r="C3" s="45">
        <v>500</v>
      </c>
      <c r="D3" s="45">
        <v>100</v>
      </c>
      <c r="E3" s="45" t="s">
        <v>263</v>
      </c>
      <c r="F3" s="45" t="s">
        <v>263</v>
      </c>
      <c r="G3" s="45" t="s">
        <v>263</v>
      </c>
      <c r="H3" s="45">
        <v>2</v>
      </c>
      <c r="I3" s="45" t="s">
        <v>263</v>
      </c>
      <c r="J3" s="46">
        <f t="shared" si="0"/>
        <v>100</v>
      </c>
    </row>
    <row r="4" spans="1:11" ht="21" customHeight="1" x14ac:dyDescent="0.15">
      <c r="A4" s="45">
        <v>13400252</v>
      </c>
      <c r="B4" s="45">
        <v>0</v>
      </c>
      <c r="C4" s="45">
        <v>300</v>
      </c>
      <c r="D4" s="45">
        <v>100</v>
      </c>
      <c r="E4" s="45" t="s">
        <v>263</v>
      </c>
      <c r="F4" s="45" t="s">
        <v>263</v>
      </c>
      <c r="G4" s="45" t="s">
        <v>263</v>
      </c>
      <c r="H4" s="45">
        <v>1</v>
      </c>
      <c r="I4" s="45" t="s">
        <v>263</v>
      </c>
      <c r="J4" s="46">
        <f t="shared" si="0"/>
        <v>100</v>
      </c>
    </row>
    <row r="5" spans="1:11" ht="21" customHeight="1" x14ac:dyDescent="0.15">
      <c r="A5" s="45">
        <v>13400253</v>
      </c>
      <c r="B5" s="45">
        <v>1</v>
      </c>
      <c r="C5" s="45">
        <v>900</v>
      </c>
      <c r="D5" s="45">
        <v>100</v>
      </c>
      <c r="E5" s="45" t="s">
        <v>263</v>
      </c>
      <c r="F5" s="45" t="s">
        <v>263</v>
      </c>
      <c r="G5" s="45">
        <v>1</v>
      </c>
      <c r="H5" s="45" t="s">
        <v>263</v>
      </c>
      <c r="I5" s="45" t="s">
        <v>263</v>
      </c>
      <c r="J5" s="46">
        <f t="shared" si="0"/>
        <v>100</v>
      </c>
    </row>
    <row r="6" spans="1:11" ht="21" customHeight="1" x14ac:dyDescent="0.15">
      <c r="A6" s="45">
        <v>13400254</v>
      </c>
      <c r="B6" s="45">
        <v>0</v>
      </c>
      <c r="C6" s="45">
        <v>300</v>
      </c>
      <c r="D6" s="45">
        <v>100</v>
      </c>
      <c r="E6" s="45" t="s">
        <v>263</v>
      </c>
      <c r="F6" s="45" t="s">
        <v>263</v>
      </c>
      <c r="G6" s="45">
        <v>1</v>
      </c>
      <c r="H6" s="45">
        <v>1</v>
      </c>
      <c r="I6" s="45" t="s">
        <v>263</v>
      </c>
      <c r="J6" s="46">
        <f t="shared" si="0"/>
        <v>100</v>
      </c>
    </row>
    <row r="7" spans="1:11" ht="21" customHeight="1" x14ac:dyDescent="0.15">
      <c r="A7" s="45">
        <v>13400255</v>
      </c>
      <c r="B7" s="45">
        <v>0</v>
      </c>
      <c r="C7" s="45">
        <v>500</v>
      </c>
      <c r="D7" s="45">
        <v>100</v>
      </c>
      <c r="E7" s="45" t="s">
        <v>263</v>
      </c>
      <c r="F7" s="45" t="s">
        <v>263</v>
      </c>
      <c r="G7" s="45">
        <v>1</v>
      </c>
      <c r="H7" s="45">
        <v>2</v>
      </c>
      <c r="I7" s="45" t="s">
        <v>263</v>
      </c>
      <c r="J7" s="46">
        <f t="shared" si="0"/>
        <v>100</v>
      </c>
    </row>
    <row r="8" spans="1:11" ht="21" customHeight="1" x14ac:dyDescent="0.15">
      <c r="A8" s="45">
        <v>13400256</v>
      </c>
      <c r="B8" s="45">
        <v>0</v>
      </c>
      <c r="C8" s="45">
        <v>200</v>
      </c>
      <c r="D8" s="45">
        <v>100</v>
      </c>
      <c r="E8" s="45" t="s">
        <v>263</v>
      </c>
      <c r="F8" s="45" t="s">
        <v>263</v>
      </c>
      <c r="G8" s="45" t="s">
        <v>263</v>
      </c>
      <c r="H8" s="45">
        <v>2</v>
      </c>
      <c r="I8" s="45" t="s">
        <v>263</v>
      </c>
      <c r="J8" s="46">
        <f t="shared" si="0"/>
        <v>100</v>
      </c>
    </row>
    <row r="9" spans="1:11" ht="21" customHeight="1" x14ac:dyDescent="0.15">
      <c r="A9" s="45">
        <v>13400257</v>
      </c>
      <c r="B9" s="45">
        <v>0</v>
      </c>
      <c r="C9" s="45">
        <v>100</v>
      </c>
      <c r="D9" s="45">
        <v>100</v>
      </c>
      <c r="E9" s="45" t="s">
        <v>263</v>
      </c>
      <c r="F9" s="45" t="s">
        <v>263</v>
      </c>
      <c r="G9" s="45" t="s">
        <v>263</v>
      </c>
      <c r="H9" s="45">
        <v>1</v>
      </c>
      <c r="I9" s="45" t="s">
        <v>263</v>
      </c>
      <c r="J9" s="46">
        <f t="shared" si="0"/>
        <v>100</v>
      </c>
    </row>
    <row r="10" spans="1:11" ht="21" customHeight="1" x14ac:dyDescent="0.15">
      <c r="A10" s="45">
        <v>13400258</v>
      </c>
      <c r="B10" s="45">
        <v>0</v>
      </c>
      <c r="C10" s="45">
        <v>600</v>
      </c>
      <c r="D10" s="45">
        <v>100</v>
      </c>
      <c r="E10" s="45" t="s">
        <v>263</v>
      </c>
      <c r="F10" s="45" t="s">
        <v>263</v>
      </c>
      <c r="G10" s="45">
        <v>0</v>
      </c>
      <c r="H10" s="45" t="s">
        <v>263</v>
      </c>
      <c r="I10" s="45">
        <v>0</v>
      </c>
      <c r="J10" s="46">
        <f t="shared" si="0"/>
        <v>100</v>
      </c>
    </row>
    <row r="11" spans="1:11" ht="21" customHeight="1" x14ac:dyDescent="0.15">
      <c r="A11" s="45">
        <v>13400259</v>
      </c>
      <c r="B11" s="45">
        <v>1</v>
      </c>
      <c r="C11" s="45">
        <v>900</v>
      </c>
      <c r="D11" s="45">
        <v>100</v>
      </c>
      <c r="E11" s="45" t="s">
        <v>263</v>
      </c>
      <c r="F11" s="45" t="s">
        <v>263</v>
      </c>
      <c r="G11" s="45">
        <v>1</v>
      </c>
      <c r="H11" s="45" t="s">
        <v>263</v>
      </c>
      <c r="I11" s="45" t="s">
        <v>263</v>
      </c>
      <c r="J11" s="46">
        <f t="shared" si="0"/>
        <v>100</v>
      </c>
    </row>
    <row r="12" spans="1:11" ht="21" customHeight="1" x14ac:dyDescent="0.15">
      <c r="A12" s="45">
        <v>13400260</v>
      </c>
      <c r="B12" s="45">
        <v>0</v>
      </c>
      <c r="C12" s="45">
        <v>300</v>
      </c>
      <c r="D12" s="45">
        <v>100</v>
      </c>
      <c r="E12" s="45" t="s">
        <v>263</v>
      </c>
      <c r="F12" s="45" t="s">
        <v>263</v>
      </c>
      <c r="G12" s="45">
        <v>1</v>
      </c>
      <c r="H12" s="45">
        <v>1</v>
      </c>
      <c r="I12" s="45" t="s">
        <v>263</v>
      </c>
      <c r="J12" s="46">
        <f t="shared" si="0"/>
        <v>100</v>
      </c>
    </row>
    <row r="13" spans="1:11" ht="21" customHeight="1" x14ac:dyDescent="0.15">
      <c r="A13" s="45">
        <v>13400261</v>
      </c>
      <c r="B13" s="45">
        <v>0</v>
      </c>
      <c r="C13" s="45">
        <v>500</v>
      </c>
      <c r="D13" s="45">
        <v>100</v>
      </c>
      <c r="E13" s="45" t="s">
        <v>263</v>
      </c>
      <c r="F13" s="45" t="s">
        <v>263</v>
      </c>
      <c r="G13" s="45" t="s">
        <v>264</v>
      </c>
      <c r="H13" s="45">
        <v>3</v>
      </c>
      <c r="I13" s="45" t="s">
        <v>263</v>
      </c>
      <c r="J13" s="46">
        <f t="shared" si="0"/>
        <v>100</v>
      </c>
    </row>
    <row r="14" spans="1:11" ht="21" customHeight="1" x14ac:dyDescent="0.15">
      <c r="A14" s="45">
        <v>13400262</v>
      </c>
      <c r="B14" s="45">
        <v>0</v>
      </c>
      <c r="C14" s="45">
        <v>100</v>
      </c>
      <c r="D14" s="45">
        <v>75</v>
      </c>
      <c r="E14" s="45" t="s">
        <v>263</v>
      </c>
      <c r="F14" s="45" t="s">
        <v>263</v>
      </c>
      <c r="G14" s="45" t="s">
        <v>264</v>
      </c>
      <c r="H14" s="45" t="s">
        <v>265</v>
      </c>
      <c r="I14" s="45" t="s">
        <v>263</v>
      </c>
      <c r="J14" s="46">
        <f t="shared" si="0"/>
        <v>75</v>
      </c>
    </row>
    <row r="15" spans="1:11" ht="21" customHeight="1" x14ac:dyDescent="0.15">
      <c r="A15" s="45">
        <v>13400263</v>
      </c>
      <c r="B15" s="45">
        <v>1</v>
      </c>
      <c r="C15" s="45">
        <v>900</v>
      </c>
      <c r="D15" s="45">
        <v>100</v>
      </c>
      <c r="E15" s="45" t="s">
        <v>263</v>
      </c>
      <c r="F15" s="45" t="s">
        <v>263</v>
      </c>
      <c r="G15" s="45">
        <v>1</v>
      </c>
      <c r="H15" s="45" t="s">
        <v>263</v>
      </c>
      <c r="I15" s="45" t="s">
        <v>263</v>
      </c>
      <c r="J15" s="46">
        <f t="shared" si="0"/>
        <v>100</v>
      </c>
    </row>
    <row r="16" spans="1:11" ht="21" customHeight="1" x14ac:dyDescent="0.15">
      <c r="A16" s="45">
        <v>13400264</v>
      </c>
      <c r="B16" s="45">
        <v>0</v>
      </c>
      <c r="C16" s="45">
        <v>300</v>
      </c>
      <c r="D16" s="45">
        <v>100</v>
      </c>
      <c r="E16" s="45" t="s">
        <v>263</v>
      </c>
      <c r="F16" s="45" t="s">
        <v>263</v>
      </c>
      <c r="G16" s="45">
        <v>1</v>
      </c>
      <c r="H16" s="45">
        <v>1</v>
      </c>
      <c r="I16" s="45" t="s">
        <v>263</v>
      </c>
      <c r="J16" s="46">
        <f t="shared" si="0"/>
        <v>100</v>
      </c>
    </row>
    <row r="17" spans="1:10" ht="21" customHeight="1" x14ac:dyDescent="0.15">
      <c r="A17" s="45">
        <v>13400265</v>
      </c>
      <c r="B17" s="45">
        <v>0</v>
      </c>
      <c r="C17" s="45">
        <v>700</v>
      </c>
      <c r="D17" s="45">
        <v>33</v>
      </c>
      <c r="E17" s="45" t="s">
        <v>263</v>
      </c>
      <c r="F17" s="45" t="s">
        <v>263</v>
      </c>
      <c r="G17" s="45" t="s">
        <v>263</v>
      </c>
      <c r="H17" s="45" t="s">
        <v>263</v>
      </c>
      <c r="I17" s="45" t="s">
        <v>263</v>
      </c>
      <c r="J17" s="46">
        <f t="shared" si="0"/>
        <v>33</v>
      </c>
    </row>
    <row r="18" spans="1:10" ht="21" customHeight="1" x14ac:dyDescent="0.15">
      <c r="A18" s="45">
        <v>13400266</v>
      </c>
      <c r="B18" s="45">
        <v>0</v>
      </c>
      <c r="C18" s="45">
        <v>600</v>
      </c>
      <c r="D18" s="45">
        <v>50</v>
      </c>
      <c r="E18" s="45" t="s">
        <v>263</v>
      </c>
      <c r="F18" s="45" t="s">
        <v>263</v>
      </c>
      <c r="G18" s="45" t="s">
        <v>263</v>
      </c>
      <c r="H18" s="45" t="s">
        <v>263</v>
      </c>
      <c r="I18" s="45" t="s">
        <v>263</v>
      </c>
      <c r="J18" s="46">
        <f t="shared" si="0"/>
        <v>50</v>
      </c>
    </row>
    <row r="19" spans="1:10" ht="21" customHeight="1" x14ac:dyDescent="0.15">
      <c r="A19" s="45">
        <v>13400267</v>
      </c>
      <c r="B19" s="45">
        <v>0</v>
      </c>
      <c r="C19" s="45">
        <v>500</v>
      </c>
      <c r="D19" s="45">
        <v>100</v>
      </c>
      <c r="E19" s="45" t="s">
        <v>263</v>
      </c>
      <c r="F19" s="45" t="s">
        <v>263</v>
      </c>
      <c r="G19" s="45" t="s">
        <v>263</v>
      </c>
      <c r="H19" s="45" t="s">
        <v>263</v>
      </c>
      <c r="I19" s="45" t="s">
        <v>263</v>
      </c>
      <c r="J19" s="46">
        <f t="shared" si="0"/>
        <v>100</v>
      </c>
    </row>
    <row r="20" spans="1:10" ht="21" customHeight="1" x14ac:dyDescent="0.15">
      <c r="A20" s="45">
        <v>13400268</v>
      </c>
      <c r="B20" s="45">
        <v>1</v>
      </c>
      <c r="C20" s="45">
        <v>900</v>
      </c>
      <c r="D20" s="45">
        <v>100</v>
      </c>
      <c r="E20" s="45" t="s">
        <v>263</v>
      </c>
      <c r="F20" s="45" t="s">
        <v>263</v>
      </c>
      <c r="G20" s="45">
        <v>1</v>
      </c>
      <c r="H20" s="45" t="s">
        <v>263</v>
      </c>
      <c r="I20" s="45" t="s">
        <v>263</v>
      </c>
      <c r="J20" s="46">
        <f t="shared" si="0"/>
        <v>100</v>
      </c>
    </row>
    <row r="21" spans="1:10" ht="21" customHeight="1" x14ac:dyDescent="0.15">
      <c r="A21" s="45">
        <v>13400269</v>
      </c>
      <c r="B21" s="45">
        <v>0</v>
      </c>
      <c r="C21" s="45">
        <v>700</v>
      </c>
      <c r="D21" s="45">
        <v>33</v>
      </c>
      <c r="E21" s="45" t="s">
        <v>263</v>
      </c>
      <c r="F21" s="45" t="s">
        <v>263</v>
      </c>
      <c r="G21" s="45" t="s">
        <v>263</v>
      </c>
      <c r="H21" s="45" t="s">
        <v>263</v>
      </c>
      <c r="I21" s="45" t="s">
        <v>263</v>
      </c>
      <c r="J21" s="46">
        <f t="shared" si="0"/>
        <v>33</v>
      </c>
    </row>
    <row r="22" spans="1:10" ht="21" customHeight="1" x14ac:dyDescent="0.15">
      <c r="A22" s="45">
        <v>13400270</v>
      </c>
      <c r="B22" s="45">
        <v>0</v>
      </c>
      <c r="C22" s="45">
        <v>600</v>
      </c>
      <c r="D22" s="45">
        <v>50</v>
      </c>
      <c r="E22" s="45" t="s">
        <v>263</v>
      </c>
      <c r="F22" s="45" t="s">
        <v>263</v>
      </c>
      <c r="G22" s="45" t="s">
        <v>263</v>
      </c>
      <c r="H22" s="45" t="s">
        <v>263</v>
      </c>
      <c r="I22" s="45" t="s">
        <v>263</v>
      </c>
      <c r="J22" s="46">
        <f t="shared" si="0"/>
        <v>50</v>
      </c>
    </row>
    <row r="23" spans="1:10" ht="21" customHeight="1" x14ac:dyDescent="0.15">
      <c r="A23" s="45">
        <v>13400271</v>
      </c>
      <c r="B23" s="45">
        <v>0</v>
      </c>
      <c r="C23" s="45">
        <v>500</v>
      </c>
      <c r="D23" s="45">
        <v>100</v>
      </c>
      <c r="E23" s="45" t="s">
        <v>263</v>
      </c>
      <c r="F23" s="45" t="s">
        <v>263</v>
      </c>
      <c r="G23" s="45" t="s">
        <v>263</v>
      </c>
      <c r="H23" s="45" t="s">
        <v>263</v>
      </c>
      <c r="I23" s="45" t="s">
        <v>263</v>
      </c>
      <c r="J23" s="46">
        <f t="shared" si="0"/>
        <v>100</v>
      </c>
    </row>
    <row r="24" spans="1:10" ht="21" customHeight="1" x14ac:dyDescent="0.15">
      <c r="A24" s="45">
        <v>13400272</v>
      </c>
      <c r="B24" s="45">
        <v>0</v>
      </c>
      <c r="C24" s="45">
        <v>500</v>
      </c>
      <c r="D24" s="45">
        <v>100</v>
      </c>
      <c r="E24" s="45" t="s">
        <v>263</v>
      </c>
      <c r="F24" s="45" t="s">
        <v>263</v>
      </c>
      <c r="G24" s="45" t="s">
        <v>264</v>
      </c>
      <c r="H24" s="45">
        <v>5</v>
      </c>
      <c r="I24" s="45" t="s">
        <v>263</v>
      </c>
      <c r="J24" s="46">
        <f t="shared" si="0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E13" sqref="E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13400</v>
      </c>
      <c r="B2" s="55">
        <v>7</v>
      </c>
      <c r="C2" s="68" t="str">
        <f>A2&amp; "_"&amp;B2</f>
        <v>13400_7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113">
        <v>1</v>
      </c>
      <c r="F2" s="114" t="s">
        <v>286</v>
      </c>
      <c r="G2" s="114">
        <v>122</v>
      </c>
      <c r="H2" s="114">
        <v>1</v>
      </c>
      <c r="I2" s="114">
        <v>1</v>
      </c>
      <c r="J2" s="114">
        <v>1</v>
      </c>
      <c r="K2" s="114">
        <v>0</v>
      </c>
      <c r="L2" s="114">
        <v>0</v>
      </c>
      <c r="M2" s="114">
        <v>0</v>
      </c>
      <c r="N2" s="114">
        <v>0</v>
      </c>
      <c r="O2" s="114">
        <v>1</v>
      </c>
      <c r="P2" s="114">
        <v>40</v>
      </c>
      <c r="Q2" s="55" t="s">
        <v>166</v>
      </c>
      <c r="R2" s="55" t="s">
        <v>167</v>
      </c>
    </row>
    <row r="3" spans="1:18" x14ac:dyDescent="0.15">
      <c r="A3" s="55">
        <v>13400</v>
      </c>
      <c r="B3" s="55">
        <v>7</v>
      </c>
      <c r="C3" s="68" t="str">
        <f t="shared" ref="C3:C7" si="0">A3&amp; "_"&amp;B3</f>
        <v>13400_7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115">
        <v>2</v>
      </c>
      <c r="F3" s="116" t="s">
        <v>286</v>
      </c>
      <c r="G3" s="116">
        <v>608</v>
      </c>
      <c r="H3" s="116">
        <v>1</v>
      </c>
      <c r="I3" s="116">
        <v>1</v>
      </c>
      <c r="J3" s="116">
        <v>1</v>
      </c>
      <c r="K3" s="116">
        <v>0</v>
      </c>
      <c r="L3" s="116">
        <v>0</v>
      </c>
      <c r="M3" s="116">
        <v>0</v>
      </c>
      <c r="N3" s="116">
        <v>0</v>
      </c>
      <c r="O3" s="116">
        <v>1</v>
      </c>
      <c r="P3" s="116">
        <v>210</v>
      </c>
      <c r="Q3" s="55" t="s">
        <v>274</v>
      </c>
      <c r="R3" s="55" t="s">
        <v>275</v>
      </c>
    </row>
    <row r="4" spans="1:18" x14ac:dyDescent="0.15">
      <c r="A4" s="55">
        <v>13400</v>
      </c>
      <c r="B4" s="55">
        <v>7</v>
      </c>
      <c r="C4" s="68" t="str">
        <f t="shared" si="0"/>
        <v>13400_7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115">
        <v>3</v>
      </c>
      <c r="F4" s="116" t="s">
        <v>286</v>
      </c>
      <c r="G4" s="116">
        <v>612</v>
      </c>
      <c r="H4" s="116">
        <v>1</v>
      </c>
      <c r="I4" s="116">
        <v>1</v>
      </c>
      <c r="J4" s="116">
        <v>1</v>
      </c>
      <c r="K4" s="116">
        <v>0</v>
      </c>
      <c r="L4" s="116">
        <v>0</v>
      </c>
      <c r="M4" s="116">
        <v>0</v>
      </c>
      <c r="N4" s="116">
        <v>0</v>
      </c>
      <c r="O4" s="116">
        <v>1</v>
      </c>
      <c r="P4" s="116">
        <v>10</v>
      </c>
      <c r="Q4" s="55" t="s">
        <v>276</v>
      </c>
      <c r="R4" s="55" t="s">
        <v>277</v>
      </c>
    </row>
    <row r="5" spans="1:18" x14ac:dyDescent="0.15">
      <c r="A5" s="55">
        <v>13400</v>
      </c>
      <c r="B5" s="55">
        <v>7</v>
      </c>
      <c r="C5" s="68" t="str">
        <f t="shared" si="0"/>
        <v>13400_7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115">
        <v>4</v>
      </c>
      <c r="F5" s="116" t="s">
        <v>286</v>
      </c>
      <c r="G5" s="116">
        <v>125</v>
      </c>
      <c r="H5" s="116">
        <v>1</v>
      </c>
      <c r="I5" s="116">
        <v>1</v>
      </c>
      <c r="J5" s="116">
        <v>1</v>
      </c>
      <c r="K5" s="116">
        <v>0</v>
      </c>
      <c r="L5" s="116">
        <v>0</v>
      </c>
      <c r="M5" s="116">
        <v>0</v>
      </c>
      <c r="N5" s="116">
        <v>0</v>
      </c>
      <c r="O5" s="116">
        <v>1</v>
      </c>
      <c r="P5" s="116">
        <v>40</v>
      </c>
      <c r="Q5" s="55" t="s">
        <v>278</v>
      </c>
      <c r="R5" s="55" t="s">
        <v>279</v>
      </c>
    </row>
    <row r="6" spans="1:18" x14ac:dyDescent="0.15">
      <c r="A6" s="55">
        <v>13400</v>
      </c>
      <c r="B6" s="55">
        <v>7</v>
      </c>
      <c r="C6" s="68" t="str">
        <f t="shared" si="0"/>
        <v>13400_7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115">
        <v>5</v>
      </c>
      <c r="F6" s="116" t="s">
        <v>286</v>
      </c>
      <c r="G6" s="116">
        <v>610</v>
      </c>
      <c r="H6" s="116">
        <v>1</v>
      </c>
      <c r="I6" s="116">
        <v>1</v>
      </c>
      <c r="J6" s="116">
        <v>1</v>
      </c>
      <c r="K6" s="116">
        <v>0</v>
      </c>
      <c r="L6" s="116">
        <v>0</v>
      </c>
      <c r="M6" s="116">
        <v>0</v>
      </c>
      <c r="N6" s="116">
        <v>0</v>
      </c>
      <c r="O6" s="116">
        <v>1</v>
      </c>
      <c r="P6" s="116">
        <v>10</v>
      </c>
      <c r="Q6" s="55" t="s">
        <v>280</v>
      </c>
      <c r="R6" s="55" t="s">
        <v>281</v>
      </c>
    </row>
    <row r="7" spans="1:18" x14ac:dyDescent="0.15">
      <c r="A7" s="55">
        <v>13400</v>
      </c>
      <c r="B7" s="55">
        <v>7</v>
      </c>
      <c r="C7" s="68" t="str">
        <f t="shared" si="0"/>
        <v>13400_7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115">
        <v>6</v>
      </c>
      <c r="F7" s="116" t="s">
        <v>286</v>
      </c>
      <c r="G7" s="116">
        <v>342</v>
      </c>
      <c r="H7" s="116">
        <v>1</v>
      </c>
      <c r="I7" s="116">
        <v>1</v>
      </c>
      <c r="J7" s="116">
        <v>1</v>
      </c>
      <c r="K7" s="116">
        <v>0</v>
      </c>
      <c r="L7" s="116">
        <v>0</v>
      </c>
      <c r="M7" s="116">
        <v>0</v>
      </c>
      <c r="N7" s="116">
        <v>0</v>
      </c>
      <c r="O7" s="116">
        <v>1</v>
      </c>
      <c r="P7" s="116">
        <v>280</v>
      </c>
      <c r="Q7" s="55" t="s">
        <v>282</v>
      </c>
      <c r="R7" s="55" t="s">
        <v>283</v>
      </c>
    </row>
    <row r="8" spans="1:18" x14ac:dyDescent="0.15">
      <c r="A8" s="55">
        <v>13400</v>
      </c>
      <c r="B8" s="55">
        <v>7</v>
      </c>
      <c r="C8" s="68" t="str">
        <f>A8&amp; "_"&amp;B8</f>
        <v>13400_7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115">
        <v>7</v>
      </c>
      <c r="F8" s="116" t="s">
        <v>286</v>
      </c>
      <c r="G8" s="116">
        <v>343</v>
      </c>
      <c r="H8" s="116">
        <v>1</v>
      </c>
      <c r="I8" s="116">
        <v>1</v>
      </c>
      <c r="J8" s="116">
        <v>1</v>
      </c>
      <c r="K8" s="116">
        <v>0</v>
      </c>
      <c r="L8" s="116">
        <v>0</v>
      </c>
      <c r="M8" s="116">
        <v>0</v>
      </c>
      <c r="N8" s="116">
        <v>0</v>
      </c>
      <c r="O8" s="116">
        <v>1</v>
      </c>
      <c r="P8" s="116">
        <v>410</v>
      </c>
      <c r="Q8" s="55" t="s">
        <v>284</v>
      </c>
      <c r="R8" s="55" t="s">
        <v>285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A3" sqref="A3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183</v>
      </c>
      <c r="L1" s="88" t="s">
        <v>182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6"/>
  <sheetViews>
    <sheetView showGridLines="0" workbookViewId="0">
      <pane ySplit="1" topLeftCell="A2" activePane="bottomLeft" state="frozen"/>
      <selection pane="bottomLeft" activeCell="M8" sqref="M8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185</v>
      </c>
      <c r="B1" s="70" t="s">
        <v>148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183</v>
      </c>
      <c r="M1" s="88" t="s">
        <v>182</v>
      </c>
      <c r="N1" s="77" t="s">
        <v>193</v>
      </c>
      <c r="O1" s="88" t="s">
        <v>250</v>
      </c>
    </row>
    <row r="2" spans="1:15" ht="75" x14ac:dyDescent="0.15">
      <c r="A2" s="78" t="s">
        <v>194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7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7階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6">
        <f>ROW()-1</f>
        <v>1</v>
      </c>
      <c r="J2" s="45">
        <v>13400250</v>
      </c>
      <c r="K2" s="81" t="s">
        <v>195</v>
      </c>
      <c r="L2" s="83" t="s">
        <v>247</v>
      </c>
      <c r="M2" s="110" t="s">
        <v>341</v>
      </c>
      <c r="N2" s="55" t="s">
        <v>196</v>
      </c>
      <c r="O2" s="105" t="str">
        <f>"１２３４５６７８９０１２３４５６７８９０"&amp;M2</f>
        <v>１２３４５６７８９０１２３４５６７８９０ブレーメンはコスト31以上のユニットに_x000D_即死攻撃スキルを使用します_x000D_コスト30以下のユニットで_x000D_パーティを編成しましょう</v>
      </c>
    </row>
    <row r="3" spans="1:15" ht="89" customHeight="1" x14ac:dyDescent="0.15">
      <c r="A3" s="78" t="s">
        <v>194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7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7階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6">
        <f t="shared" ref="I3:I6" si="0">ROW()-1</f>
        <v>2</v>
      </c>
      <c r="J3" s="45">
        <v>13400251</v>
      </c>
      <c r="K3" s="81" t="s">
        <v>195</v>
      </c>
      <c r="L3" s="83" t="s">
        <v>247</v>
      </c>
      <c r="M3" s="110" t="s">
        <v>342</v>
      </c>
      <c r="N3" s="55" t="s">
        <v>196</v>
      </c>
      <c r="O3" s="105" t="str">
        <f t="shared" ref="O3:O6" si="1">"１２３４５６７８９０１２３４５６７８９０"&amp;M3</f>
        <v>１２３４５６７８９０１２３４５６７８９０オズは解除するまで回復力DOWNの_x000D_スキルを使用します_x000D_回復力UPが出来るユニットで_x000D_解除すると戦いやすくなります</v>
      </c>
    </row>
    <row r="4" spans="1:15" ht="89" customHeight="1" x14ac:dyDescent="0.15">
      <c r="A4" s="78" t="s">
        <v>194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7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7階 コスト30以下限定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2</v>
      </c>
      <c r="I4" s="86">
        <f t="shared" si="0"/>
        <v>3</v>
      </c>
      <c r="J4" s="45">
        <v>13400252</v>
      </c>
      <c r="K4" s="81" t="s">
        <v>195</v>
      </c>
      <c r="L4" s="83" t="s">
        <v>247</v>
      </c>
      <c r="M4" s="110" t="s">
        <v>343</v>
      </c>
      <c r="N4" s="55" t="s">
        <v>196</v>
      </c>
      <c r="O4" s="105" t="str">
        <f t="shared" ref="O4" si="2">"１２３４５６７８９０１２３４５６７８９０"&amp;M4</f>
        <v>１２３４５６７８９０１２３４５６７８９０オズはお邪魔パネル変換を行います_x000D_変換スキルやフィーバーで_x000D_お邪魔パネルを処理することで_x000D_戦いやすくなります</v>
      </c>
    </row>
    <row r="5" spans="1:15" ht="73" customHeight="1" x14ac:dyDescent="0.15">
      <c r="A5" s="78" t="s">
        <v>194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-エルフラム-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1">
        <v>7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7階 コスト30以下限定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82">
        <v>3</v>
      </c>
      <c r="I5" s="86">
        <f t="shared" si="0"/>
        <v>4</v>
      </c>
      <c r="J5" s="45">
        <v>13400253</v>
      </c>
      <c r="K5" s="81" t="s">
        <v>195</v>
      </c>
      <c r="L5" s="83" t="s">
        <v>247</v>
      </c>
      <c r="M5" s="110" t="s">
        <v>344</v>
      </c>
      <c r="N5" s="55" t="s">
        <v>196</v>
      </c>
      <c r="O5" s="105" t="str">
        <f t="shared" si="1"/>
        <v>１２３４５６７８９０１２３４５６７８９０クリムトはダメージパネル変換を行います_x000D_変換される数が多いので_x000D_変換スキルやフィーバーを使って_x000D_安全に対処しましょう</v>
      </c>
    </row>
    <row r="6" spans="1:15" ht="77" customHeight="1" x14ac:dyDescent="0.15">
      <c r="A6" s="78" t="s">
        <v>194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-エルフラム-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1">
        <v>7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7階 コスト30以下限定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タワーオブザクイーン2本目</v>
      </c>
      <c r="H6" s="82">
        <v>4</v>
      </c>
      <c r="I6" s="86">
        <f t="shared" si="0"/>
        <v>5</v>
      </c>
      <c r="J6" s="45">
        <v>13400254</v>
      </c>
      <c r="K6" s="81" t="s">
        <v>195</v>
      </c>
      <c r="L6" s="83" t="s">
        <v>247</v>
      </c>
      <c r="M6" s="110" t="s">
        <v>345</v>
      </c>
      <c r="N6" s="55" t="s">
        <v>196</v>
      </c>
      <c r="O6" s="105" t="str">
        <f t="shared" si="1"/>
        <v>１２３４５６７８９０１２３４５６７８９０沢庵は様々なパネル変換スキルを_x000D_ほぼ毎ターン使用します_x000D_対応したパネル変換スキルを_x000D_持っているユニットで挑戦すると有利です_x000D_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I3" sqref="I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208</v>
      </c>
      <c r="B1" s="91" t="s">
        <v>209</v>
      </c>
      <c r="C1" s="74" t="s">
        <v>210</v>
      </c>
      <c r="D1" s="74" t="s">
        <v>33</v>
      </c>
      <c r="E1" s="91" t="s">
        <v>211</v>
      </c>
      <c r="F1" s="74" t="s">
        <v>212</v>
      </c>
      <c r="G1" s="74" t="s">
        <v>33</v>
      </c>
      <c r="H1" s="91" t="s">
        <v>213</v>
      </c>
      <c r="I1" s="91" t="s">
        <v>214</v>
      </c>
      <c r="J1" s="91" t="s">
        <v>215</v>
      </c>
      <c r="K1" s="70" t="s">
        <v>216</v>
      </c>
      <c r="L1" s="70" t="s">
        <v>217</v>
      </c>
      <c r="M1" s="70" t="s">
        <v>154</v>
      </c>
      <c r="N1" s="74" t="s">
        <v>16</v>
      </c>
      <c r="O1" s="70" t="s">
        <v>218</v>
      </c>
      <c r="P1" s="70" t="s">
        <v>57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2" t="str">
        <f>B2&amp;"_"&amp;E2&amp;"_"&amp;H2&amp;"_"&amp;I2&amp;"_"&amp;J2</f>
        <v>13400_7_singleonly_clear_1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7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7階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270</v>
      </c>
      <c r="I2" s="81" t="s">
        <v>271</v>
      </c>
      <c r="J2" s="81">
        <v>1</v>
      </c>
      <c r="K2" s="81">
        <v>650</v>
      </c>
      <c r="L2" s="81" t="s">
        <v>272</v>
      </c>
      <c r="M2" s="81">
        <v>17000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222</v>
      </c>
      <c r="X2" s="95" t="s">
        <v>223</v>
      </c>
    </row>
    <row r="3" spans="1:24" x14ac:dyDescent="0.15">
      <c r="A3" s="92" t="str">
        <f>B3&amp;"_"&amp;E3&amp;"_"&amp;H3&amp;"_"&amp;I3&amp;"_"&amp;J3</f>
        <v>13400_7_singleonly_clear_2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7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7階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273</v>
      </c>
      <c r="I3" s="81" t="s">
        <v>271</v>
      </c>
      <c r="J3" s="81">
        <v>2</v>
      </c>
      <c r="K3" s="81">
        <v>350</v>
      </c>
      <c r="L3" s="81" t="s">
        <v>272</v>
      </c>
      <c r="M3" s="81">
        <v>52000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222</v>
      </c>
      <c r="X3" s="95" t="s">
        <v>223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2017-03-24T10:21:43Z</dcterms:modified>
</cp:coreProperties>
</file>