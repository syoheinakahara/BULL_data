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8/BULL_data/master_excel/"/>
    </mc:Choice>
  </mc:AlternateContent>
  <bookViews>
    <workbookView xWindow="5400" yWindow="460" windowWidth="31780" windowHeight="194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enemy_habitat_S!$B$1:$AA$6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enemy_skills!$A$1:$AD$1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stage_hints_failure!$B$1:$M$10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1" l="1"/>
  <c r="O151" i="9"/>
  <c r="N151" i="9"/>
  <c r="M151" i="9"/>
  <c r="L151" i="9"/>
  <c r="K151" i="9"/>
  <c r="J151" i="9"/>
  <c r="I151" i="9"/>
  <c r="H151" i="9"/>
  <c r="G151" i="9"/>
  <c r="A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4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Y5" i="7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5" i="7"/>
  <c r="I5" i="7"/>
  <c r="D5" i="7"/>
  <c r="F5" i="7"/>
  <c r="E5" i="7"/>
  <c r="A5" i="7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E18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J66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O89" i="10"/>
  <c r="V89" i="10"/>
  <c r="Y89" i="10"/>
  <c r="X89" i="10"/>
  <c r="Z89" i="10"/>
  <c r="W89" i="10"/>
  <c r="AA89" i="10"/>
  <c r="P89" i="10"/>
  <c r="S89" i="10"/>
  <c r="R89" i="10"/>
  <c r="T89" i="10"/>
  <c r="Q89" i="10"/>
  <c r="U89" i="10"/>
  <c r="I89" i="10"/>
  <c r="L89" i="10"/>
  <c r="K89" i="10"/>
  <c r="M89" i="10"/>
  <c r="J89" i="10"/>
  <c r="N89" i="10"/>
  <c r="O23" i="10"/>
  <c r="V23" i="10"/>
  <c r="Y23" i="10"/>
  <c r="X23" i="10"/>
  <c r="Z23" i="10"/>
  <c r="W23" i="10"/>
  <c r="AA23" i="10"/>
  <c r="P23" i="10"/>
  <c r="S23" i="10"/>
  <c r="R23" i="10"/>
  <c r="T23" i="10"/>
  <c r="Q23" i="10"/>
  <c r="U23" i="10"/>
  <c r="I23" i="10"/>
  <c r="L23" i="10"/>
  <c r="K23" i="10"/>
  <c r="M23" i="10"/>
  <c r="J23" i="10"/>
  <c r="N23" i="10"/>
  <c r="J24" i="11"/>
  <c r="O23" i="9"/>
  <c r="N23" i="9"/>
  <c r="M23" i="9"/>
  <c r="L23" i="9"/>
  <c r="K23" i="9"/>
  <c r="J23" i="9"/>
  <c r="I23" i="9"/>
  <c r="H23" i="9"/>
  <c r="G23" i="9"/>
  <c r="E23" i="9"/>
  <c r="D23" i="9"/>
  <c r="A23" i="9"/>
  <c r="J25" i="11"/>
  <c r="O89" i="9"/>
  <c r="N89" i="9"/>
  <c r="M89" i="9"/>
  <c r="L89" i="9"/>
  <c r="K89" i="9"/>
  <c r="J89" i="9"/>
  <c r="I89" i="9"/>
  <c r="H89" i="9"/>
  <c r="G89" i="9"/>
  <c r="E89" i="9"/>
  <c r="D89" i="9"/>
  <c r="A89" i="9"/>
  <c r="B25" i="10"/>
  <c r="O25" i="10"/>
  <c r="V25" i="10"/>
  <c r="Y25" i="10"/>
  <c r="X25" i="10"/>
  <c r="Z25" i="10"/>
  <c r="W25" i="10"/>
  <c r="AA25" i="10"/>
  <c r="P25" i="10"/>
  <c r="S25" i="10"/>
  <c r="R25" i="10"/>
  <c r="T25" i="10"/>
  <c r="Q25" i="10"/>
  <c r="U25" i="10"/>
  <c r="I25" i="10"/>
  <c r="L25" i="10"/>
  <c r="K25" i="10"/>
  <c r="M25" i="10"/>
  <c r="J25" i="10"/>
  <c r="N25" i="10"/>
  <c r="B91" i="10"/>
  <c r="O91" i="10"/>
  <c r="V91" i="10"/>
  <c r="Y91" i="10"/>
  <c r="X91" i="10"/>
  <c r="Z91" i="10"/>
  <c r="W91" i="10"/>
  <c r="AA91" i="10"/>
  <c r="P91" i="10"/>
  <c r="S91" i="10"/>
  <c r="R91" i="10"/>
  <c r="T91" i="10"/>
  <c r="Q91" i="10"/>
  <c r="U91" i="10"/>
  <c r="I91" i="10"/>
  <c r="L91" i="10"/>
  <c r="K91" i="10"/>
  <c r="M91" i="10"/>
  <c r="J91" i="10"/>
  <c r="N91" i="10"/>
  <c r="J75" i="11"/>
  <c r="O149" i="9"/>
  <c r="N149" i="9"/>
  <c r="M149" i="9"/>
  <c r="L149" i="9"/>
  <c r="K149" i="9"/>
  <c r="J149" i="9"/>
  <c r="I149" i="9"/>
  <c r="H149" i="9"/>
  <c r="G149" i="9"/>
  <c r="E149" i="9"/>
  <c r="D149" i="9"/>
  <c r="A149" i="9"/>
  <c r="J74" i="11"/>
  <c r="O148" i="9"/>
  <c r="N148" i="9"/>
  <c r="M148" i="9"/>
  <c r="L148" i="9"/>
  <c r="K148" i="9"/>
  <c r="J148" i="9"/>
  <c r="I148" i="9"/>
  <c r="H148" i="9"/>
  <c r="G148" i="9"/>
  <c r="E148" i="9"/>
  <c r="D148" i="9"/>
  <c r="A148" i="9"/>
  <c r="J73" i="11"/>
  <c r="O147" i="9"/>
  <c r="N147" i="9"/>
  <c r="M147" i="9"/>
  <c r="L147" i="9"/>
  <c r="K147" i="9"/>
  <c r="J147" i="9"/>
  <c r="I147" i="9"/>
  <c r="H147" i="9"/>
  <c r="G147" i="9"/>
  <c r="E147" i="9"/>
  <c r="D147" i="9"/>
  <c r="A147" i="9"/>
  <c r="J72" i="11"/>
  <c r="O146" i="9"/>
  <c r="N146" i="9"/>
  <c r="M146" i="9"/>
  <c r="L146" i="9"/>
  <c r="K146" i="9"/>
  <c r="J146" i="9"/>
  <c r="I146" i="9"/>
  <c r="H146" i="9"/>
  <c r="G146" i="9"/>
  <c r="E146" i="9"/>
  <c r="D146" i="9"/>
  <c r="A146" i="9"/>
  <c r="J71" i="11"/>
  <c r="O145" i="9"/>
  <c r="N145" i="9"/>
  <c r="M145" i="9"/>
  <c r="L145" i="9"/>
  <c r="K145" i="9"/>
  <c r="J145" i="9"/>
  <c r="I145" i="9"/>
  <c r="H145" i="9"/>
  <c r="G145" i="9"/>
  <c r="E145" i="9"/>
  <c r="D145" i="9"/>
  <c r="A145" i="9"/>
  <c r="J70" i="11"/>
  <c r="O144" i="9"/>
  <c r="N144" i="9"/>
  <c r="M144" i="9"/>
  <c r="L144" i="9"/>
  <c r="K144" i="9"/>
  <c r="J144" i="9"/>
  <c r="I144" i="9"/>
  <c r="H144" i="9"/>
  <c r="G144" i="9"/>
  <c r="E144" i="9"/>
  <c r="D144" i="9"/>
  <c r="A144" i="9"/>
  <c r="J69" i="11"/>
  <c r="O143" i="9"/>
  <c r="N143" i="9"/>
  <c r="M143" i="9"/>
  <c r="L143" i="9"/>
  <c r="K143" i="9"/>
  <c r="J143" i="9"/>
  <c r="I143" i="9"/>
  <c r="H143" i="9"/>
  <c r="G143" i="9"/>
  <c r="E143" i="9"/>
  <c r="D143" i="9"/>
  <c r="A143" i="9"/>
  <c r="J68" i="11"/>
  <c r="O142" i="9"/>
  <c r="N142" i="9"/>
  <c r="M142" i="9"/>
  <c r="L142" i="9"/>
  <c r="K142" i="9"/>
  <c r="J142" i="9"/>
  <c r="I142" i="9"/>
  <c r="H142" i="9"/>
  <c r="G142" i="9"/>
  <c r="E142" i="9"/>
  <c r="D142" i="9"/>
  <c r="A142" i="9"/>
  <c r="J67" i="11"/>
  <c r="O141" i="9"/>
  <c r="N141" i="9"/>
  <c r="M141" i="9"/>
  <c r="L141" i="9"/>
  <c r="K141" i="9"/>
  <c r="J141" i="9"/>
  <c r="I141" i="9"/>
  <c r="H141" i="9"/>
  <c r="G141" i="9"/>
  <c r="E141" i="9"/>
  <c r="D141" i="9"/>
  <c r="A141" i="9"/>
  <c r="E136" i="9"/>
  <c r="G136" i="9"/>
  <c r="H136" i="9"/>
  <c r="I136" i="9"/>
  <c r="J136" i="9"/>
  <c r="K136" i="9"/>
  <c r="L136" i="9"/>
  <c r="M136" i="9"/>
  <c r="N136" i="9"/>
  <c r="O136" i="9"/>
  <c r="B136" i="10"/>
  <c r="O136" i="10"/>
  <c r="V136" i="10"/>
  <c r="Y136" i="10"/>
  <c r="X136" i="10"/>
  <c r="Z136" i="10"/>
  <c r="W136" i="10"/>
  <c r="AA136" i="10"/>
  <c r="P136" i="10"/>
  <c r="S136" i="10"/>
  <c r="R136" i="10"/>
  <c r="T136" i="10"/>
  <c r="Q136" i="10"/>
  <c r="U136" i="10"/>
  <c r="I136" i="10"/>
  <c r="L136" i="10"/>
  <c r="K136" i="10"/>
  <c r="M136" i="10"/>
  <c r="J136" i="10"/>
  <c r="N136" i="10"/>
  <c r="B135" i="10"/>
  <c r="O135" i="10"/>
  <c r="V135" i="10"/>
  <c r="Y135" i="10"/>
  <c r="X135" i="10"/>
  <c r="Z135" i="10"/>
  <c r="W135" i="10"/>
  <c r="AA135" i="10"/>
  <c r="P135" i="10"/>
  <c r="S135" i="10"/>
  <c r="R135" i="10"/>
  <c r="T135" i="10"/>
  <c r="Q135" i="10"/>
  <c r="U135" i="10"/>
  <c r="I135" i="10"/>
  <c r="L135" i="10"/>
  <c r="K135" i="10"/>
  <c r="M135" i="10"/>
  <c r="J135" i="10"/>
  <c r="N135" i="10"/>
  <c r="B134" i="10"/>
  <c r="O134" i="10"/>
  <c r="V134" i="10"/>
  <c r="Y134" i="10"/>
  <c r="X134" i="10"/>
  <c r="Z134" i="10"/>
  <c r="W134" i="10"/>
  <c r="AA134" i="10"/>
  <c r="P134" i="10"/>
  <c r="S134" i="10"/>
  <c r="R134" i="10"/>
  <c r="T134" i="10"/>
  <c r="Q134" i="10"/>
  <c r="U134" i="10"/>
  <c r="I134" i="10"/>
  <c r="L134" i="10"/>
  <c r="K134" i="10"/>
  <c r="M134" i="10"/>
  <c r="J134" i="10"/>
  <c r="N134" i="10"/>
  <c r="I140" i="10"/>
  <c r="J140" i="10"/>
  <c r="K140" i="10"/>
  <c r="L140" i="10"/>
  <c r="M140" i="10"/>
  <c r="N140" i="10"/>
  <c r="O140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I141" i="10"/>
  <c r="J141" i="10"/>
  <c r="K141" i="10"/>
  <c r="L141" i="10"/>
  <c r="M141" i="10"/>
  <c r="N141" i="10"/>
  <c r="O141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I142" i="10"/>
  <c r="J142" i="10"/>
  <c r="K142" i="10"/>
  <c r="L142" i="10"/>
  <c r="M142" i="10"/>
  <c r="N142" i="10"/>
  <c r="O142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136" i="9"/>
  <c r="D136" i="9"/>
  <c r="A137" i="9"/>
  <c r="D137" i="9"/>
  <c r="E137" i="9"/>
  <c r="G137" i="9"/>
  <c r="H137" i="9"/>
  <c r="I137" i="9"/>
  <c r="J137" i="9"/>
  <c r="K137" i="9"/>
  <c r="L137" i="9"/>
  <c r="M137" i="9"/>
  <c r="N137" i="9"/>
  <c r="O137" i="9"/>
  <c r="A138" i="9"/>
  <c r="D138" i="9"/>
  <c r="E138" i="9"/>
  <c r="G138" i="9"/>
  <c r="H138" i="9"/>
  <c r="I138" i="9"/>
  <c r="J138" i="9"/>
  <c r="K138" i="9"/>
  <c r="L138" i="9"/>
  <c r="M138" i="9"/>
  <c r="N138" i="9"/>
  <c r="O138" i="9"/>
  <c r="A139" i="9"/>
  <c r="D139" i="9"/>
  <c r="E139" i="9"/>
  <c r="G139" i="9"/>
  <c r="H139" i="9"/>
  <c r="I139" i="9"/>
  <c r="J139" i="9"/>
  <c r="K139" i="9"/>
  <c r="L139" i="9"/>
  <c r="M139" i="9"/>
  <c r="N139" i="9"/>
  <c r="O139" i="9"/>
  <c r="A140" i="9"/>
  <c r="D140" i="9"/>
  <c r="E140" i="9"/>
  <c r="G140" i="9"/>
  <c r="H140" i="9"/>
  <c r="I140" i="9"/>
  <c r="J140" i="9"/>
  <c r="K140" i="9"/>
  <c r="L140" i="9"/>
  <c r="M140" i="9"/>
  <c r="N140" i="9"/>
  <c r="O140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A134" i="9"/>
  <c r="D134" i="9"/>
  <c r="E134" i="9"/>
  <c r="G134" i="9"/>
  <c r="H134" i="9"/>
  <c r="I134" i="9"/>
  <c r="J134" i="9"/>
  <c r="K134" i="9"/>
  <c r="L134" i="9"/>
  <c r="M134" i="9"/>
  <c r="N134" i="9"/>
  <c r="O134" i="9"/>
  <c r="A133" i="9"/>
  <c r="D133" i="9"/>
  <c r="E133" i="9"/>
  <c r="G133" i="9"/>
  <c r="H133" i="9"/>
  <c r="I133" i="9"/>
  <c r="J133" i="9"/>
  <c r="K133" i="9"/>
  <c r="L133" i="9"/>
  <c r="M133" i="9"/>
  <c r="N133" i="9"/>
  <c r="O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I137" i="10"/>
  <c r="J137" i="10"/>
  <c r="K137" i="10"/>
  <c r="L137" i="10"/>
  <c r="M137" i="10"/>
  <c r="N137" i="10"/>
  <c r="O137" i="10"/>
  <c r="P137" i="10"/>
  <c r="Q137" i="10"/>
  <c r="R137" i="10"/>
  <c r="S137" i="10"/>
  <c r="T137" i="10"/>
  <c r="U137" i="10"/>
  <c r="V137" i="10"/>
  <c r="W137" i="10"/>
  <c r="X137" i="10"/>
  <c r="Y137" i="10"/>
  <c r="Z137" i="10"/>
  <c r="AA137" i="10"/>
  <c r="I138" i="10"/>
  <c r="J138" i="10"/>
  <c r="K138" i="10"/>
  <c r="L138" i="10"/>
  <c r="M138" i="10"/>
  <c r="N138" i="10"/>
  <c r="O138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I139" i="10"/>
  <c r="J139" i="10"/>
  <c r="K139" i="10"/>
  <c r="L139" i="10"/>
  <c r="M139" i="10"/>
  <c r="N139" i="10"/>
  <c r="O139" i="10"/>
  <c r="P139" i="10"/>
  <c r="Q139" i="10"/>
  <c r="R139" i="10"/>
  <c r="S139" i="10"/>
  <c r="T139" i="10"/>
  <c r="U139" i="10"/>
  <c r="V139" i="10"/>
  <c r="W139" i="10"/>
  <c r="X139" i="10"/>
  <c r="Y139" i="10"/>
  <c r="Z139" i="10"/>
  <c r="AA139" i="10"/>
  <c r="B53" i="10"/>
  <c r="O53" i="10"/>
  <c r="V53" i="10"/>
  <c r="Y53" i="10"/>
  <c r="X53" i="10"/>
  <c r="Z53" i="10"/>
  <c r="W53" i="10"/>
  <c r="AA53" i="10"/>
  <c r="P53" i="10"/>
  <c r="S53" i="10"/>
  <c r="R53" i="10"/>
  <c r="T53" i="10"/>
  <c r="Q53" i="10"/>
  <c r="U53" i="10"/>
  <c r="I53" i="10"/>
  <c r="L53" i="10"/>
  <c r="K53" i="10"/>
  <c r="M53" i="10"/>
  <c r="J53" i="10"/>
  <c r="N53" i="10"/>
  <c r="B50" i="10"/>
  <c r="O50" i="10"/>
  <c r="V50" i="10"/>
  <c r="Y50" i="10"/>
  <c r="X50" i="10"/>
  <c r="Z50" i="10"/>
  <c r="W50" i="10"/>
  <c r="AA50" i="10"/>
  <c r="P50" i="10"/>
  <c r="S50" i="10"/>
  <c r="R50" i="10"/>
  <c r="T50" i="10"/>
  <c r="Q50" i="10"/>
  <c r="U50" i="10"/>
  <c r="I50" i="10"/>
  <c r="L50" i="10"/>
  <c r="K50" i="10"/>
  <c r="M50" i="10"/>
  <c r="J50" i="10"/>
  <c r="N50" i="10"/>
  <c r="R3" i="1"/>
  <c r="R4" i="1"/>
  <c r="R5" i="1"/>
  <c r="R6" i="1"/>
  <c r="R7" i="1"/>
  <c r="R2" i="1"/>
  <c r="AD7" i="1"/>
  <c r="O67" i="10"/>
  <c r="V67" i="10"/>
  <c r="Y67" i="10"/>
  <c r="X67" i="10"/>
  <c r="Z67" i="10"/>
  <c r="W67" i="10"/>
  <c r="AA67" i="10"/>
  <c r="P67" i="10"/>
  <c r="S67" i="10"/>
  <c r="R67" i="10"/>
  <c r="T67" i="10"/>
  <c r="Q67" i="10"/>
  <c r="U67" i="10"/>
  <c r="I67" i="10"/>
  <c r="L67" i="10"/>
  <c r="K67" i="10"/>
  <c r="M67" i="10"/>
  <c r="J67" i="10"/>
  <c r="N67" i="10"/>
  <c r="B66" i="10"/>
  <c r="O66" i="10"/>
  <c r="V66" i="10"/>
  <c r="Y66" i="10"/>
  <c r="X66" i="10"/>
  <c r="Z66" i="10"/>
  <c r="W66" i="10"/>
  <c r="AA66" i="10"/>
  <c r="P66" i="10"/>
  <c r="S66" i="10"/>
  <c r="R66" i="10"/>
  <c r="T66" i="10"/>
  <c r="Q66" i="10"/>
  <c r="U66" i="10"/>
  <c r="I66" i="10"/>
  <c r="L66" i="10"/>
  <c r="K66" i="10"/>
  <c r="M66" i="10"/>
  <c r="J66" i="10"/>
  <c r="N66" i="10"/>
  <c r="B65" i="10"/>
  <c r="O65" i="10"/>
  <c r="V65" i="10"/>
  <c r="Y65" i="10"/>
  <c r="X65" i="10"/>
  <c r="Z65" i="10"/>
  <c r="W65" i="10"/>
  <c r="AA65" i="10"/>
  <c r="P65" i="10"/>
  <c r="S65" i="10"/>
  <c r="R65" i="10"/>
  <c r="T65" i="10"/>
  <c r="Q65" i="10"/>
  <c r="U65" i="10"/>
  <c r="I65" i="10"/>
  <c r="L65" i="10"/>
  <c r="K65" i="10"/>
  <c r="M65" i="10"/>
  <c r="J65" i="10"/>
  <c r="N65" i="10"/>
  <c r="B64" i="10"/>
  <c r="O64" i="10"/>
  <c r="V64" i="10"/>
  <c r="Y64" i="10"/>
  <c r="X64" i="10"/>
  <c r="Z64" i="10"/>
  <c r="W64" i="10"/>
  <c r="AA64" i="10"/>
  <c r="P64" i="10"/>
  <c r="S64" i="10"/>
  <c r="R64" i="10"/>
  <c r="T64" i="10"/>
  <c r="Q64" i="10"/>
  <c r="U64" i="10"/>
  <c r="I64" i="10"/>
  <c r="L64" i="10"/>
  <c r="K64" i="10"/>
  <c r="M64" i="10"/>
  <c r="J64" i="10"/>
  <c r="N64" i="10"/>
  <c r="B63" i="10"/>
  <c r="O63" i="10"/>
  <c r="V63" i="10"/>
  <c r="Y63" i="10"/>
  <c r="X63" i="10"/>
  <c r="Z63" i="10"/>
  <c r="W63" i="10"/>
  <c r="AA63" i="10"/>
  <c r="P63" i="10"/>
  <c r="S63" i="10"/>
  <c r="R63" i="10"/>
  <c r="T63" i="10"/>
  <c r="Q63" i="10"/>
  <c r="U63" i="10"/>
  <c r="I63" i="10"/>
  <c r="L63" i="10"/>
  <c r="K63" i="10"/>
  <c r="M63" i="10"/>
  <c r="J63" i="10"/>
  <c r="N63" i="10"/>
  <c r="B62" i="10"/>
  <c r="O62" i="10"/>
  <c r="V62" i="10"/>
  <c r="Y62" i="10"/>
  <c r="X62" i="10"/>
  <c r="Z62" i="10"/>
  <c r="W62" i="10"/>
  <c r="AA62" i="10"/>
  <c r="P62" i="10"/>
  <c r="S62" i="10"/>
  <c r="R62" i="10"/>
  <c r="T62" i="10"/>
  <c r="Q62" i="10"/>
  <c r="U62" i="10"/>
  <c r="I62" i="10"/>
  <c r="L62" i="10"/>
  <c r="K62" i="10"/>
  <c r="M62" i="10"/>
  <c r="J62" i="10"/>
  <c r="N62" i="10"/>
  <c r="B61" i="10"/>
  <c r="O61" i="10"/>
  <c r="V61" i="10"/>
  <c r="Y61" i="10"/>
  <c r="X61" i="10"/>
  <c r="Z61" i="10"/>
  <c r="W61" i="10"/>
  <c r="AA61" i="10"/>
  <c r="P61" i="10"/>
  <c r="S61" i="10"/>
  <c r="R61" i="10"/>
  <c r="T61" i="10"/>
  <c r="Q61" i="10"/>
  <c r="U61" i="10"/>
  <c r="I61" i="10"/>
  <c r="L61" i="10"/>
  <c r="K61" i="10"/>
  <c r="M61" i="10"/>
  <c r="J61" i="10"/>
  <c r="N61" i="10"/>
  <c r="B60" i="10"/>
  <c r="O60" i="10"/>
  <c r="V60" i="10"/>
  <c r="Y60" i="10"/>
  <c r="X60" i="10"/>
  <c r="Z60" i="10"/>
  <c r="W60" i="10"/>
  <c r="AA60" i="10"/>
  <c r="P60" i="10"/>
  <c r="S60" i="10"/>
  <c r="R60" i="10"/>
  <c r="T60" i="10"/>
  <c r="Q60" i="10"/>
  <c r="U60" i="10"/>
  <c r="I60" i="10"/>
  <c r="L60" i="10"/>
  <c r="K60" i="10"/>
  <c r="M60" i="10"/>
  <c r="J60" i="10"/>
  <c r="N60" i="10"/>
  <c r="B59" i="10"/>
  <c r="O59" i="10"/>
  <c r="V59" i="10"/>
  <c r="Y59" i="10"/>
  <c r="X59" i="10"/>
  <c r="Z59" i="10"/>
  <c r="W59" i="10"/>
  <c r="AA59" i="10"/>
  <c r="P59" i="10"/>
  <c r="S59" i="10"/>
  <c r="R59" i="10"/>
  <c r="T59" i="10"/>
  <c r="Q59" i="10"/>
  <c r="U59" i="10"/>
  <c r="I59" i="10"/>
  <c r="L59" i="10"/>
  <c r="K59" i="10"/>
  <c r="M59" i="10"/>
  <c r="J59" i="10"/>
  <c r="N59" i="10"/>
  <c r="B58" i="10"/>
  <c r="O58" i="10"/>
  <c r="V58" i="10"/>
  <c r="Y58" i="10"/>
  <c r="X58" i="10"/>
  <c r="Z58" i="10"/>
  <c r="W58" i="10"/>
  <c r="AA58" i="10"/>
  <c r="P58" i="10"/>
  <c r="S58" i="10"/>
  <c r="R58" i="10"/>
  <c r="T58" i="10"/>
  <c r="Q58" i="10"/>
  <c r="U58" i="10"/>
  <c r="I58" i="10"/>
  <c r="L58" i="10"/>
  <c r="K58" i="10"/>
  <c r="M58" i="10"/>
  <c r="J58" i="10"/>
  <c r="N58" i="10"/>
  <c r="B57" i="10"/>
  <c r="O57" i="10"/>
  <c r="V57" i="10"/>
  <c r="Y57" i="10"/>
  <c r="X57" i="10"/>
  <c r="Z57" i="10"/>
  <c r="W57" i="10"/>
  <c r="AA57" i="10"/>
  <c r="P57" i="10"/>
  <c r="S57" i="10"/>
  <c r="R57" i="10"/>
  <c r="T57" i="10"/>
  <c r="Q57" i="10"/>
  <c r="U57" i="10"/>
  <c r="I57" i="10"/>
  <c r="L57" i="10"/>
  <c r="K57" i="10"/>
  <c r="M57" i="10"/>
  <c r="J57" i="10"/>
  <c r="N57" i="10"/>
  <c r="B56" i="10"/>
  <c r="O56" i="10"/>
  <c r="V56" i="10"/>
  <c r="Y56" i="10"/>
  <c r="X56" i="10"/>
  <c r="Z56" i="10"/>
  <c r="W56" i="10"/>
  <c r="AA56" i="10"/>
  <c r="P56" i="10"/>
  <c r="S56" i="10"/>
  <c r="R56" i="10"/>
  <c r="T56" i="10"/>
  <c r="Q56" i="10"/>
  <c r="U56" i="10"/>
  <c r="I56" i="10"/>
  <c r="L56" i="10"/>
  <c r="K56" i="10"/>
  <c r="M56" i="10"/>
  <c r="J56" i="10"/>
  <c r="N56" i="10"/>
  <c r="B55" i="10"/>
  <c r="O55" i="10"/>
  <c r="V55" i="10"/>
  <c r="Y55" i="10"/>
  <c r="X55" i="10"/>
  <c r="Z55" i="10"/>
  <c r="W55" i="10"/>
  <c r="AA55" i="10"/>
  <c r="P55" i="10"/>
  <c r="S55" i="10"/>
  <c r="R55" i="10"/>
  <c r="T55" i="10"/>
  <c r="Q55" i="10"/>
  <c r="U55" i="10"/>
  <c r="I55" i="10"/>
  <c r="L55" i="10"/>
  <c r="K55" i="10"/>
  <c r="M55" i="10"/>
  <c r="J55" i="10"/>
  <c r="N55" i="10"/>
  <c r="B54" i="10"/>
  <c r="O54" i="10"/>
  <c r="V54" i="10"/>
  <c r="Y54" i="10"/>
  <c r="X54" i="10"/>
  <c r="Z54" i="10"/>
  <c r="W54" i="10"/>
  <c r="AA54" i="10"/>
  <c r="P54" i="10"/>
  <c r="S54" i="10"/>
  <c r="R54" i="10"/>
  <c r="T54" i="10"/>
  <c r="Q54" i="10"/>
  <c r="U54" i="10"/>
  <c r="I54" i="10"/>
  <c r="L54" i="10"/>
  <c r="K54" i="10"/>
  <c r="M54" i="10"/>
  <c r="J54" i="10"/>
  <c r="N54" i="10"/>
  <c r="B52" i="10"/>
  <c r="O52" i="10"/>
  <c r="V52" i="10"/>
  <c r="Y52" i="10"/>
  <c r="X52" i="10"/>
  <c r="Z52" i="10"/>
  <c r="W52" i="10"/>
  <c r="AA52" i="10"/>
  <c r="P52" i="10"/>
  <c r="S52" i="10"/>
  <c r="R52" i="10"/>
  <c r="T52" i="10"/>
  <c r="Q52" i="10"/>
  <c r="U52" i="10"/>
  <c r="I52" i="10"/>
  <c r="L52" i="10"/>
  <c r="K52" i="10"/>
  <c r="M52" i="10"/>
  <c r="J52" i="10"/>
  <c r="N52" i="10"/>
  <c r="B51" i="10"/>
  <c r="O51" i="10"/>
  <c r="V51" i="10"/>
  <c r="Y51" i="10"/>
  <c r="X51" i="10"/>
  <c r="Z51" i="10"/>
  <c r="W51" i="10"/>
  <c r="AA51" i="10"/>
  <c r="P51" i="10"/>
  <c r="S51" i="10"/>
  <c r="R51" i="10"/>
  <c r="T51" i="10"/>
  <c r="Q51" i="10"/>
  <c r="U51" i="10"/>
  <c r="I51" i="10"/>
  <c r="L51" i="10"/>
  <c r="K51" i="10"/>
  <c r="M51" i="10"/>
  <c r="J51" i="10"/>
  <c r="N51" i="10"/>
  <c r="B49" i="10"/>
  <c r="O49" i="10"/>
  <c r="V49" i="10"/>
  <c r="Y49" i="10"/>
  <c r="X49" i="10"/>
  <c r="Z49" i="10"/>
  <c r="W49" i="10"/>
  <c r="AA49" i="10"/>
  <c r="P49" i="10"/>
  <c r="S49" i="10"/>
  <c r="R49" i="10"/>
  <c r="T49" i="10"/>
  <c r="Q49" i="10"/>
  <c r="U49" i="10"/>
  <c r="I49" i="10"/>
  <c r="L49" i="10"/>
  <c r="K49" i="10"/>
  <c r="M49" i="10"/>
  <c r="J49" i="10"/>
  <c r="N49" i="10"/>
  <c r="B48" i="10"/>
  <c r="O48" i="10"/>
  <c r="V48" i="10"/>
  <c r="Y48" i="10"/>
  <c r="X48" i="10"/>
  <c r="Z48" i="10"/>
  <c r="W48" i="10"/>
  <c r="AA48" i="10"/>
  <c r="P48" i="10"/>
  <c r="S48" i="10"/>
  <c r="R48" i="10"/>
  <c r="T48" i="10"/>
  <c r="Q48" i="10"/>
  <c r="U48" i="10"/>
  <c r="I48" i="10"/>
  <c r="L48" i="10"/>
  <c r="K48" i="10"/>
  <c r="M48" i="10"/>
  <c r="J48" i="10"/>
  <c r="N48" i="10"/>
  <c r="B47" i="10"/>
  <c r="O47" i="10"/>
  <c r="V47" i="10"/>
  <c r="Y47" i="10"/>
  <c r="X47" i="10"/>
  <c r="Z47" i="10"/>
  <c r="W47" i="10"/>
  <c r="AA47" i="10"/>
  <c r="P47" i="10"/>
  <c r="S47" i="10"/>
  <c r="R47" i="10"/>
  <c r="T47" i="10"/>
  <c r="Q47" i="10"/>
  <c r="U47" i="10"/>
  <c r="I47" i="10"/>
  <c r="L47" i="10"/>
  <c r="K47" i="10"/>
  <c r="M47" i="10"/>
  <c r="J47" i="10"/>
  <c r="N47" i="10"/>
  <c r="B46" i="10"/>
  <c r="O46" i="10"/>
  <c r="V46" i="10"/>
  <c r="Y46" i="10"/>
  <c r="X46" i="10"/>
  <c r="Z46" i="10"/>
  <c r="W46" i="10"/>
  <c r="AA46" i="10"/>
  <c r="P46" i="10"/>
  <c r="S46" i="10"/>
  <c r="R46" i="10"/>
  <c r="T46" i="10"/>
  <c r="Q46" i="10"/>
  <c r="U46" i="10"/>
  <c r="I46" i="10"/>
  <c r="L46" i="10"/>
  <c r="K46" i="10"/>
  <c r="M46" i="10"/>
  <c r="J46" i="10"/>
  <c r="N46" i="10"/>
  <c r="B45" i="10"/>
  <c r="O45" i="10"/>
  <c r="V45" i="10"/>
  <c r="Y45" i="10"/>
  <c r="X45" i="10"/>
  <c r="Z45" i="10"/>
  <c r="W45" i="10"/>
  <c r="AA45" i="10"/>
  <c r="P45" i="10"/>
  <c r="S45" i="10"/>
  <c r="R45" i="10"/>
  <c r="T45" i="10"/>
  <c r="Q45" i="10"/>
  <c r="U45" i="10"/>
  <c r="I45" i="10"/>
  <c r="L45" i="10"/>
  <c r="K45" i="10"/>
  <c r="M45" i="10"/>
  <c r="J45" i="10"/>
  <c r="N45" i="10"/>
  <c r="AF44" i="10"/>
  <c r="B44" i="10"/>
  <c r="O44" i="10"/>
  <c r="V44" i="10"/>
  <c r="Y44" i="10"/>
  <c r="X44" i="10"/>
  <c r="Z44" i="10"/>
  <c r="W44" i="10"/>
  <c r="AA44" i="10"/>
  <c r="P44" i="10"/>
  <c r="S44" i="10"/>
  <c r="R44" i="10"/>
  <c r="T44" i="10"/>
  <c r="Q44" i="10"/>
  <c r="U44" i="10"/>
  <c r="I44" i="10"/>
  <c r="L44" i="10"/>
  <c r="K44" i="10"/>
  <c r="M44" i="10"/>
  <c r="J44" i="10"/>
  <c r="N44" i="10"/>
  <c r="B42" i="10"/>
  <c r="O42" i="10"/>
  <c r="V42" i="10"/>
  <c r="Y42" i="10"/>
  <c r="X42" i="10"/>
  <c r="Z42" i="10"/>
  <c r="W42" i="10"/>
  <c r="AA42" i="10"/>
  <c r="P42" i="10"/>
  <c r="S42" i="10"/>
  <c r="R42" i="10"/>
  <c r="T42" i="10"/>
  <c r="Q42" i="10"/>
  <c r="U42" i="10"/>
  <c r="I42" i="10"/>
  <c r="L42" i="10"/>
  <c r="K42" i="10"/>
  <c r="M42" i="10"/>
  <c r="J42" i="10"/>
  <c r="N42" i="10"/>
  <c r="B41" i="10"/>
  <c r="O41" i="10"/>
  <c r="V41" i="10"/>
  <c r="Y41" i="10"/>
  <c r="X41" i="10"/>
  <c r="Z41" i="10"/>
  <c r="W41" i="10"/>
  <c r="AA41" i="10"/>
  <c r="P41" i="10"/>
  <c r="S41" i="10"/>
  <c r="R41" i="10"/>
  <c r="T41" i="10"/>
  <c r="Q41" i="10"/>
  <c r="U41" i="10"/>
  <c r="I41" i="10"/>
  <c r="L41" i="10"/>
  <c r="K41" i="10"/>
  <c r="M41" i="10"/>
  <c r="J41" i="10"/>
  <c r="N41" i="10"/>
  <c r="B40" i="10"/>
  <c r="O40" i="10"/>
  <c r="V40" i="10"/>
  <c r="Y40" i="10"/>
  <c r="X40" i="10"/>
  <c r="Z40" i="10"/>
  <c r="W40" i="10"/>
  <c r="AA40" i="10"/>
  <c r="P40" i="10"/>
  <c r="S40" i="10"/>
  <c r="R40" i="10"/>
  <c r="T40" i="10"/>
  <c r="Q40" i="10"/>
  <c r="U40" i="10"/>
  <c r="I40" i="10"/>
  <c r="L40" i="10"/>
  <c r="K40" i="10"/>
  <c r="M40" i="10"/>
  <c r="J40" i="10"/>
  <c r="N40" i="10"/>
  <c r="B39" i="10"/>
  <c r="O39" i="10"/>
  <c r="V39" i="10"/>
  <c r="Y39" i="10"/>
  <c r="X39" i="10"/>
  <c r="Z39" i="10"/>
  <c r="W39" i="10"/>
  <c r="AA39" i="10"/>
  <c r="P39" i="10"/>
  <c r="S39" i="10"/>
  <c r="R39" i="10"/>
  <c r="T39" i="10"/>
  <c r="Q39" i="10"/>
  <c r="U39" i="10"/>
  <c r="I39" i="10"/>
  <c r="L39" i="10"/>
  <c r="K39" i="10"/>
  <c r="M39" i="10"/>
  <c r="J39" i="10"/>
  <c r="N39" i="10"/>
  <c r="B38" i="10"/>
  <c r="B37" i="10"/>
  <c r="O37" i="10"/>
  <c r="V37" i="10"/>
  <c r="Y37" i="10"/>
  <c r="X37" i="10"/>
  <c r="Z37" i="10"/>
  <c r="W37" i="10"/>
  <c r="AA37" i="10"/>
  <c r="P37" i="10"/>
  <c r="S37" i="10"/>
  <c r="R37" i="10"/>
  <c r="T37" i="10"/>
  <c r="Q37" i="10"/>
  <c r="U37" i="10"/>
  <c r="I37" i="10"/>
  <c r="L37" i="10"/>
  <c r="K37" i="10"/>
  <c r="M37" i="10"/>
  <c r="J37" i="10"/>
  <c r="N37" i="10"/>
  <c r="B36" i="10"/>
  <c r="O36" i="10"/>
  <c r="V36" i="10"/>
  <c r="Y36" i="10"/>
  <c r="X36" i="10"/>
  <c r="Z36" i="10"/>
  <c r="W36" i="10"/>
  <c r="AA36" i="10"/>
  <c r="P36" i="10"/>
  <c r="S36" i="10"/>
  <c r="R36" i="10"/>
  <c r="T36" i="10"/>
  <c r="Q36" i="10"/>
  <c r="U36" i="10"/>
  <c r="I36" i="10"/>
  <c r="L36" i="10"/>
  <c r="K36" i="10"/>
  <c r="M36" i="10"/>
  <c r="J36" i="10"/>
  <c r="N36" i="10"/>
  <c r="B35" i="10"/>
  <c r="O35" i="10"/>
  <c r="V35" i="10"/>
  <c r="Y35" i="10"/>
  <c r="X35" i="10"/>
  <c r="Z35" i="10"/>
  <c r="W35" i="10"/>
  <c r="AA35" i="10"/>
  <c r="P35" i="10"/>
  <c r="S35" i="10"/>
  <c r="R35" i="10"/>
  <c r="T35" i="10"/>
  <c r="Q35" i="10"/>
  <c r="U35" i="10"/>
  <c r="I35" i="10"/>
  <c r="L35" i="10"/>
  <c r="K35" i="10"/>
  <c r="M35" i="10"/>
  <c r="J35" i="10"/>
  <c r="N35" i="10"/>
  <c r="B34" i="10"/>
  <c r="O34" i="10"/>
  <c r="V34" i="10"/>
  <c r="Y34" i="10"/>
  <c r="X34" i="10"/>
  <c r="Z34" i="10"/>
  <c r="W34" i="10"/>
  <c r="AA34" i="10"/>
  <c r="P34" i="10"/>
  <c r="S34" i="10"/>
  <c r="R34" i="10"/>
  <c r="T34" i="10"/>
  <c r="Q34" i="10"/>
  <c r="U34" i="10"/>
  <c r="I34" i="10"/>
  <c r="L34" i="10"/>
  <c r="K34" i="10"/>
  <c r="M34" i="10"/>
  <c r="J34" i="10"/>
  <c r="N34" i="10"/>
  <c r="B33" i="10"/>
  <c r="O33" i="10"/>
  <c r="V33" i="10"/>
  <c r="Y33" i="10"/>
  <c r="X33" i="10"/>
  <c r="Z33" i="10"/>
  <c r="W33" i="10"/>
  <c r="AA33" i="10"/>
  <c r="P33" i="10"/>
  <c r="S33" i="10"/>
  <c r="R33" i="10"/>
  <c r="T33" i="10"/>
  <c r="Q33" i="10"/>
  <c r="U33" i="10"/>
  <c r="I33" i="10"/>
  <c r="L33" i="10"/>
  <c r="K33" i="10"/>
  <c r="M33" i="10"/>
  <c r="J33" i="10"/>
  <c r="N33" i="10"/>
  <c r="B32" i="10"/>
  <c r="O32" i="10"/>
  <c r="V32" i="10"/>
  <c r="Y32" i="10"/>
  <c r="X32" i="10"/>
  <c r="Z32" i="10"/>
  <c r="W32" i="10"/>
  <c r="AA32" i="10"/>
  <c r="P32" i="10"/>
  <c r="S32" i="10"/>
  <c r="R32" i="10"/>
  <c r="T32" i="10"/>
  <c r="Q32" i="10"/>
  <c r="U32" i="10"/>
  <c r="I32" i="10"/>
  <c r="L32" i="10"/>
  <c r="K32" i="10"/>
  <c r="M32" i="10"/>
  <c r="J32" i="10"/>
  <c r="N32" i="10"/>
  <c r="B31" i="10"/>
  <c r="O31" i="10"/>
  <c r="V31" i="10"/>
  <c r="Y31" i="10"/>
  <c r="X31" i="10"/>
  <c r="Z31" i="10"/>
  <c r="W31" i="10"/>
  <c r="AA31" i="10"/>
  <c r="P31" i="10"/>
  <c r="S31" i="10"/>
  <c r="R31" i="10"/>
  <c r="T31" i="10"/>
  <c r="Q31" i="10"/>
  <c r="U31" i="10"/>
  <c r="I31" i="10"/>
  <c r="L31" i="10"/>
  <c r="K31" i="10"/>
  <c r="M31" i="10"/>
  <c r="J31" i="10"/>
  <c r="N31" i="10"/>
  <c r="B30" i="10"/>
  <c r="O30" i="10"/>
  <c r="V30" i="10"/>
  <c r="Y30" i="10"/>
  <c r="X30" i="10"/>
  <c r="Z30" i="10"/>
  <c r="W30" i="10"/>
  <c r="AA30" i="10"/>
  <c r="P30" i="10"/>
  <c r="S30" i="10"/>
  <c r="R30" i="10"/>
  <c r="T30" i="10"/>
  <c r="Q30" i="10"/>
  <c r="U30" i="10"/>
  <c r="I30" i="10"/>
  <c r="L30" i="10"/>
  <c r="K30" i="10"/>
  <c r="M30" i="10"/>
  <c r="J30" i="10"/>
  <c r="N30" i="10"/>
  <c r="B29" i="10"/>
  <c r="O29" i="10"/>
  <c r="V29" i="10"/>
  <c r="Y29" i="10"/>
  <c r="X29" i="10"/>
  <c r="Z29" i="10"/>
  <c r="W29" i="10"/>
  <c r="AA29" i="10"/>
  <c r="P29" i="10"/>
  <c r="S29" i="10"/>
  <c r="R29" i="10"/>
  <c r="T29" i="10"/>
  <c r="Q29" i="10"/>
  <c r="U29" i="10"/>
  <c r="I29" i="10"/>
  <c r="L29" i="10"/>
  <c r="K29" i="10"/>
  <c r="M29" i="10"/>
  <c r="J29" i="10"/>
  <c r="N29" i="10"/>
  <c r="B28" i="10"/>
  <c r="O28" i="10"/>
  <c r="V28" i="10"/>
  <c r="Y28" i="10"/>
  <c r="X28" i="10"/>
  <c r="Z28" i="10"/>
  <c r="W28" i="10"/>
  <c r="AA28" i="10"/>
  <c r="P28" i="10"/>
  <c r="S28" i="10"/>
  <c r="R28" i="10"/>
  <c r="T28" i="10"/>
  <c r="Q28" i="10"/>
  <c r="U28" i="10"/>
  <c r="I28" i="10"/>
  <c r="L28" i="10"/>
  <c r="K28" i="10"/>
  <c r="M28" i="10"/>
  <c r="J28" i="10"/>
  <c r="N28" i="10"/>
  <c r="B27" i="10"/>
  <c r="O27" i="10"/>
  <c r="V27" i="10"/>
  <c r="Y27" i="10"/>
  <c r="X27" i="10"/>
  <c r="Z27" i="10"/>
  <c r="W27" i="10"/>
  <c r="AA27" i="10"/>
  <c r="P27" i="10"/>
  <c r="S27" i="10"/>
  <c r="R27" i="10"/>
  <c r="T27" i="10"/>
  <c r="Q27" i="10"/>
  <c r="U27" i="10"/>
  <c r="I27" i="10"/>
  <c r="L27" i="10"/>
  <c r="K27" i="10"/>
  <c r="M27" i="10"/>
  <c r="J27" i="10"/>
  <c r="N27" i="10"/>
  <c r="B26" i="10"/>
  <c r="O26" i="10"/>
  <c r="V26" i="10"/>
  <c r="Y26" i="10"/>
  <c r="X26" i="10"/>
  <c r="Z26" i="10"/>
  <c r="W26" i="10"/>
  <c r="AA26" i="10"/>
  <c r="P26" i="10"/>
  <c r="S26" i="10"/>
  <c r="R26" i="10"/>
  <c r="T26" i="10"/>
  <c r="Q26" i="10"/>
  <c r="U26" i="10"/>
  <c r="I26" i="10"/>
  <c r="L26" i="10"/>
  <c r="K26" i="10"/>
  <c r="M26" i="10"/>
  <c r="J26" i="10"/>
  <c r="N26" i="10"/>
  <c r="B24" i="10"/>
  <c r="O24" i="10"/>
  <c r="V24" i="10"/>
  <c r="Y24" i="10"/>
  <c r="X24" i="10"/>
  <c r="Z24" i="10"/>
  <c r="W24" i="10"/>
  <c r="AA24" i="10"/>
  <c r="P24" i="10"/>
  <c r="S24" i="10"/>
  <c r="R24" i="10"/>
  <c r="T24" i="10"/>
  <c r="Q24" i="10"/>
  <c r="U24" i="10"/>
  <c r="I24" i="10"/>
  <c r="L24" i="10"/>
  <c r="K24" i="10"/>
  <c r="M24" i="10"/>
  <c r="J24" i="10"/>
  <c r="N24" i="10"/>
  <c r="B22" i="10"/>
  <c r="O22" i="10"/>
  <c r="V22" i="10"/>
  <c r="Y22" i="10"/>
  <c r="X22" i="10"/>
  <c r="Z22" i="10"/>
  <c r="W22" i="10"/>
  <c r="AA22" i="10"/>
  <c r="P22" i="10"/>
  <c r="S22" i="10"/>
  <c r="R22" i="10"/>
  <c r="T22" i="10"/>
  <c r="Q22" i="10"/>
  <c r="U22" i="10"/>
  <c r="I22" i="10"/>
  <c r="L22" i="10"/>
  <c r="K22" i="10"/>
  <c r="M22" i="10"/>
  <c r="J22" i="10"/>
  <c r="N22" i="10"/>
  <c r="B21" i="10"/>
  <c r="O21" i="10"/>
  <c r="V21" i="10"/>
  <c r="Y21" i="10"/>
  <c r="X21" i="10"/>
  <c r="Z21" i="10"/>
  <c r="W21" i="10"/>
  <c r="AA21" i="10"/>
  <c r="P21" i="10"/>
  <c r="S21" i="10"/>
  <c r="R21" i="10"/>
  <c r="T21" i="10"/>
  <c r="Q21" i="10"/>
  <c r="U21" i="10"/>
  <c r="I21" i="10"/>
  <c r="L21" i="10"/>
  <c r="K21" i="10"/>
  <c r="M21" i="10"/>
  <c r="J21" i="10"/>
  <c r="N21" i="10"/>
  <c r="B20" i="10"/>
  <c r="O20" i="10"/>
  <c r="V20" i="10"/>
  <c r="Y20" i="10"/>
  <c r="X20" i="10"/>
  <c r="Z20" i="10"/>
  <c r="W20" i="10"/>
  <c r="AA20" i="10"/>
  <c r="P20" i="10"/>
  <c r="S20" i="10"/>
  <c r="R20" i="10"/>
  <c r="T20" i="10"/>
  <c r="Q20" i="10"/>
  <c r="U20" i="10"/>
  <c r="I20" i="10"/>
  <c r="L20" i="10"/>
  <c r="K20" i="10"/>
  <c r="M20" i="10"/>
  <c r="J20" i="10"/>
  <c r="N20" i="10"/>
  <c r="B19" i="10"/>
  <c r="O19" i="10"/>
  <c r="V19" i="10"/>
  <c r="Y19" i="10"/>
  <c r="X19" i="10"/>
  <c r="Z19" i="10"/>
  <c r="W19" i="10"/>
  <c r="AA19" i="10"/>
  <c r="P19" i="10"/>
  <c r="S19" i="10"/>
  <c r="R19" i="10"/>
  <c r="T19" i="10"/>
  <c r="Q19" i="10"/>
  <c r="U19" i="10"/>
  <c r="I19" i="10"/>
  <c r="L19" i="10"/>
  <c r="K19" i="10"/>
  <c r="M19" i="10"/>
  <c r="J19" i="10"/>
  <c r="N19" i="10"/>
  <c r="B18" i="10"/>
  <c r="O18" i="10"/>
  <c r="V18" i="10"/>
  <c r="Y18" i="10"/>
  <c r="X18" i="10"/>
  <c r="Z18" i="10"/>
  <c r="W18" i="10"/>
  <c r="AA18" i="10"/>
  <c r="P18" i="10"/>
  <c r="S18" i="10"/>
  <c r="R18" i="10"/>
  <c r="T18" i="10"/>
  <c r="Q18" i="10"/>
  <c r="U18" i="10"/>
  <c r="I18" i="10"/>
  <c r="L18" i="10"/>
  <c r="K18" i="10"/>
  <c r="M18" i="10"/>
  <c r="J18" i="10"/>
  <c r="N18" i="10"/>
  <c r="B17" i="10"/>
  <c r="O17" i="10"/>
  <c r="V17" i="10"/>
  <c r="Y17" i="10"/>
  <c r="X17" i="10"/>
  <c r="Z17" i="10"/>
  <c r="W17" i="10"/>
  <c r="AA17" i="10"/>
  <c r="P17" i="10"/>
  <c r="S17" i="10"/>
  <c r="R17" i="10"/>
  <c r="T17" i="10"/>
  <c r="Q17" i="10"/>
  <c r="U17" i="10"/>
  <c r="I17" i="10"/>
  <c r="L17" i="10"/>
  <c r="K17" i="10"/>
  <c r="M17" i="10"/>
  <c r="J17" i="10"/>
  <c r="N17" i="10"/>
  <c r="B16" i="10"/>
  <c r="O16" i="10"/>
  <c r="V16" i="10"/>
  <c r="Y16" i="10"/>
  <c r="X16" i="10"/>
  <c r="Z16" i="10"/>
  <c r="W16" i="10"/>
  <c r="AA16" i="10"/>
  <c r="P16" i="10"/>
  <c r="S16" i="10"/>
  <c r="R16" i="10"/>
  <c r="T16" i="10"/>
  <c r="Q16" i="10"/>
  <c r="U16" i="10"/>
  <c r="I16" i="10"/>
  <c r="L16" i="10"/>
  <c r="K16" i="10"/>
  <c r="M16" i="10"/>
  <c r="J16" i="10"/>
  <c r="N16" i="10"/>
  <c r="B15" i="10"/>
  <c r="O15" i="10"/>
  <c r="V15" i="10"/>
  <c r="Y15" i="10"/>
  <c r="X15" i="10"/>
  <c r="Z15" i="10"/>
  <c r="W15" i="10"/>
  <c r="AA15" i="10"/>
  <c r="P15" i="10"/>
  <c r="S15" i="10"/>
  <c r="R15" i="10"/>
  <c r="T15" i="10"/>
  <c r="Q15" i="10"/>
  <c r="U15" i="10"/>
  <c r="I15" i="10"/>
  <c r="L15" i="10"/>
  <c r="K15" i="10"/>
  <c r="M15" i="10"/>
  <c r="J15" i="10"/>
  <c r="N15" i="10"/>
  <c r="B14" i="10"/>
  <c r="O14" i="10"/>
  <c r="V14" i="10"/>
  <c r="Y14" i="10"/>
  <c r="X14" i="10"/>
  <c r="Z14" i="10"/>
  <c r="W14" i="10"/>
  <c r="AA14" i="10"/>
  <c r="P14" i="10"/>
  <c r="S14" i="10"/>
  <c r="R14" i="10"/>
  <c r="T14" i="10"/>
  <c r="Q14" i="10"/>
  <c r="U14" i="10"/>
  <c r="I14" i="10"/>
  <c r="L14" i="10"/>
  <c r="K14" i="10"/>
  <c r="M14" i="10"/>
  <c r="J14" i="10"/>
  <c r="N14" i="10"/>
  <c r="B13" i="10"/>
  <c r="O13" i="10"/>
  <c r="V13" i="10"/>
  <c r="Y13" i="10"/>
  <c r="X13" i="10"/>
  <c r="Z13" i="10"/>
  <c r="W13" i="10"/>
  <c r="AA13" i="10"/>
  <c r="P13" i="10"/>
  <c r="S13" i="10"/>
  <c r="R13" i="10"/>
  <c r="T13" i="10"/>
  <c r="Q13" i="10"/>
  <c r="U13" i="10"/>
  <c r="I13" i="10"/>
  <c r="L13" i="10"/>
  <c r="K13" i="10"/>
  <c r="M13" i="10"/>
  <c r="J13" i="10"/>
  <c r="N13" i="10"/>
  <c r="B12" i="10"/>
  <c r="O12" i="10"/>
  <c r="V12" i="10"/>
  <c r="Y12" i="10"/>
  <c r="X12" i="10"/>
  <c r="Z12" i="10"/>
  <c r="W12" i="10"/>
  <c r="AA12" i="10"/>
  <c r="P12" i="10"/>
  <c r="S12" i="10"/>
  <c r="R12" i="10"/>
  <c r="T12" i="10"/>
  <c r="Q12" i="10"/>
  <c r="U12" i="10"/>
  <c r="I12" i="10"/>
  <c r="L12" i="10"/>
  <c r="K12" i="10"/>
  <c r="M12" i="10"/>
  <c r="J12" i="10"/>
  <c r="N12" i="10"/>
  <c r="B11" i="10"/>
  <c r="O11" i="10"/>
  <c r="V11" i="10"/>
  <c r="Y11" i="10"/>
  <c r="X11" i="10"/>
  <c r="Z11" i="10"/>
  <c r="W11" i="10"/>
  <c r="AA11" i="10"/>
  <c r="P11" i="10"/>
  <c r="S11" i="10"/>
  <c r="R11" i="10"/>
  <c r="T11" i="10"/>
  <c r="Q11" i="10"/>
  <c r="U11" i="10"/>
  <c r="I11" i="10"/>
  <c r="L11" i="10"/>
  <c r="K11" i="10"/>
  <c r="M11" i="10"/>
  <c r="J11" i="10"/>
  <c r="N11" i="10"/>
  <c r="B10" i="10"/>
  <c r="O10" i="10"/>
  <c r="V10" i="10"/>
  <c r="Y10" i="10"/>
  <c r="X10" i="10"/>
  <c r="Z10" i="10"/>
  <c r="W10" i="10"/>
  <c r="AA10" i="10"/>
  <c r="P10" i="10"/>
  <c r="S10" i="10"/>
  <c r="R10" i="10"/>
  <c r="T10" i="10"/>
  <c r="Q10" i="10"/>
  <c r="U10" i="10"/>
  <c r="I10" i="10"/>
  <c r="L10" i="10"/>
  <c r="K10" i="10"/>
  <c r="M10" i="10"/>
  <c r="J10" i="10"/>
  <c r="N10" i="10"/>
  <c r="B9" i="10"/>
  <c r="O9" i="10"/>
  <c r="V9" i="10"/>
  <c r="Y9" i="10"/>
  <c r="X9" i="10"/>
  <c r="Z9" i="10"/>
  <c r="W9" i="10"/>
  <c r="AA9" i="10"/>
  <c r="P9" i="10"/>
  <c r="S9" i="10"/>
  <c r="R9" i="10"/>
  <c r="T9" i="10"/>
  <c r="Q9" i="10"/>
  <c r="U9" i="10"/>
  <c r="I9" i="10"/>
  <c r="L9" i="10"/>
  <c r="K9" i="10"/>
  <c r="M9" i="10"/>
  <c r="J9" i="10"/>
  <c r="N9" i="10"/>
  <c r="B8" i="10"/>
  <c r="O8" i="10"/>
  <c r="V8" i="10"/>
  <c r="Y8" i="10"/>
  <c r="X8" i="10"/>
  <c r="Z8" i="10"/>
  <c r="W8" i="10"/>
  <c r="AA8" i="10"/>
  <c r="P8" i="10"/>
  <c r="S8" i="10"/>
  <c r="R8" i="10"/>
  <c r="T8" i="10"/>
  <c r="Q8" i="10"/>
  <c r="U8" i="10"/>
  <c r="I8" i="10"/>
  <c r="L8" i="10"/>
  <c r="K8" i="10"/>
  <c r="M8" i="10"/>
  <c r="J8" i="10"/>
  <c r="N8" i="10"/>
  <c r="B7" i="10"/>
  <c r="O7" i="10"/>
  <c r="V7" i="10"/>
  <c r="Y7" i="10"/>
  <c r="X7" i="10"/>
  <c r="Z7" i="10"/>
  <c r="W7" i="10"/>
  <c r="AA7" i="10"/>
  <c r="P7" i="10"/>
  <c r="S7" i="10"/>
  <c r="R7" i="10"/>
  <c r="T7" i="10"/>
  <c r="Q7" i="10"/>
  <c r="U7" i="10"/>
  <c r="I7" i="10"/>
  <c r="L7" i="10"/>
  <c r="K7" i="10"/>
  <c r="M7" i="10"/>
  <c r="J7" i="10"/>
  <c r="N7" i="10"/>
  <c r="B6" i="10"/>
  <c r="O6" i="10"/>
  <c r="V6" i="10"/>
  <c r="Y6" i="10"/>
  <c r="X6" i="10"/>
  <c r="Z6" i="10"/>
  <c r="W6" i="10"/>
  <c r="AA6" i="10"/>
  <c r="P6" i="10"/>
  <c r="S6" i="10"/>
  <c r="R6" i="10"/>
  <c r="T6" i="10"/>
  <c r="Q6" i="10"/>
  <c r="U6" i="10"/>
  <c r="I6" i="10"/>
  <c r="L6" i="10"/>
  <c r="K6" i="10"/>
  <c r="M6" i="10"/>
  <c r="J6" i="10"/>
  <c r="N6" i="10"/>
  <c r="B5" i="10"/>
  <c r="O5" i="10"/>
  <c r="V5" i="10"/>
  <c r="Y5" i="10"/>
  <c r="X5" i="10"/>
  <c r="Z5" i="10"/>
  <c r="W5" i="10"/>
  <c r="AA5" i="10"/>
  <c r="P5" i="10"/>
  <c r="S5" i="10"/>
  <c r="R5" i="10"/>
  <c r="T5" i="10"/>
  <c r="Q5" i="10"/>
  <c r="U5" i="10"/>
  <c r="I5" i="10"/>
  <c r="L5" i="10"/>
  <c r="K5" i="10"/>
  <c r="M5" i="10"/>
  <c r="J5" i="10"/>
  <c r="N5" i="10"/>
  <c r="B4" i="10"/>
  <c r="O4" i="10"/>
  <c r="V4" i="10"/>
  <c r="Y4" i="10"/>
  <c r="X4" i="10"/>
  <c r="Z4" i="10"/>
  <c r="W4" i="10"/>
  <c r="AA4" i="10"/>
  <c r="P4" i="10"/>
  <c r="S4" i="10"/>
  <c r="R4" i="10"/>
  <c r="T4" i="10"/>
  <c r="Q4" i="10"/>
  <c r="U4" i="10"/>
  <c r="I4" i="10"/>
  <c r="L4" i="10"/>
  <c r="K4" i="10"/>
  <c r="M4" i="10"/>
  <c r="J4" i="10"/>
  <c r="N4" i="10"/>
  <c r="B3" i="10"/>
  <c r="O3" i="10"/>
  <c r="V3" i="10"/>
  <c r="Y3" i="10"/>
  <c r="X3" i="10"/>
  <c r="Z3" i="10"/>
  <c r="W3" i="10"/>
  <c r="AA3" i="10"/>
  <c r="P3" i="10"/>
  <c r="S3" i="10"/>
  <c r="R3" i="10"/>
  <c r="T3" i="10"/>
  <c r="Q3" i="10"/>
  <c r="U3" i="10"/>
  <c r="I3" i="10"/>
  <c r="L3" i="10"/>
  <c r="K3" i="10"/>
  <c r="M3" i="10"/>
  <c r="J3" i="10"/>
  <c r="N3" i="10"/>
  <c r="B2" i="10"/>
  <c r="O2" i="10"/>
  <c r="V2" i="10"/>
  <c r="Y2" i="10"/>
  <c r="X2" i="10"/>
  <c r="Z2" i="10"/>
  <c r="W2" i="10"/>
  <c r="AA2" i="10"/>
  <c r="P2" i="10"/>
  <c r="S2" i="10"/>
  <c r="R2" i="10"/>
  <c r="T2" i="10"/>
  <c r="Q2" i="10"/>
  <c r="U2" i="10"/>
  <c r="I2" i="10"/>
  <c r="L2" i="10"/>
  <c r="K2" i="10"/>
  <c r="M2" i="10"/>
  <c r="J2" i="10"/>
  <c r="N2" i="10"/>
  <c r="B108" i="10"/>
  <c r="O108" i="10"/>
  <c r="V108" i="10"/>
  <c r="Y108" i="10"/>
  <c r="X108" i="10"/>
  <c r="Z108" i="10"/>
  <c r="W108" i="10"/>
  <c r="AA108" i="10"/>
  <c r="P108" i="10"/>
  <c r="S108" i="10"/>
  <c r="R108" i="10"/>
  <c r="T108" i="10"/>
  <c r="Q108" i="10"/>
  <c r="U108" i="10"/>
  <c r="I108" i="10"/>
  <c r="L108" i="10"/>
  <c r="K108" i="10"/>
  <c r="M108" i="10"/>
  <c r="J108" i="10"/>
  <c r="N108" i="10"/>
  <c r="O42" i="9"/>
  <c r="N42" i="9"/>
  <c r="M42" i="9"/>
  <c r="L42" i="9"/>
  <c r="K42" i="9"/>
  <c r="J42" i="9"/>
  <c r="I42" i="9"/>
  <c r="H42" i="9"/>
  <c r="G42" i="9"/>
  <c r="E42" i="9"/>
  <c r="D42" i="9"/>
  <c r="A42" i="9"/>
  <c r="B98" i="10"/>
  <c r="O98" i="10"/>
  <c r="V98" i="10"/>
  <c r="Y98" i="10"/>
  <c r="X98" i="10"/>
  <c r="Z98" i="10"/>
  <c r="W98" i="10"/>
  <c r="AA98" i="10"/>
  <c r="P98" i="10"/>
  <c r="S98" i="10"/>
  <c r="R98" i="10"/>
  <c r="T98" i="10"/>
  <c r="Q98" i="10"/>
  <c r="U98" i="10"/>
  <c r="I98" i="10"/>
  <c r="L98" i="10"/>
  <c r="K98" i="10"/>
  <c r="M98" i="10"/>
  <c r="J98" i="10"/>
  <c r="N98" i="10"/>
  <c r="B116" i="10"/>
  <c r="O116" i="10"/>
  <c r="V116" i="10"/>
  <c r="Y116" i="10"/>
  <c r="X116" i="10"/>
  <c r="Z116" i="10"/>
  <c r="W116" i="10"/>
  <c r="AA116" i="10"/>
  <c r="P116" i="10"/>
  <c r="S116" i="10"/>
  <c r="R116" i="10"/>
  <c r="T116" i="10"/>
  <c r="Q116" i="10"/>
  <c r="U116" i="10"/>
  <c r="I116" i="10"/>
  <c r="L116" i="10"/>
  <c r="K116" i="10"/>
  <c r="M116" i="10"/>
  <c r="J116" i="10"/>
  <c r="N116" i="10"/>
  <c r="B120" i="10"/>
  <c r="O120" i="10"/>
  <c r="V120" i="10"/>
  <c r="Y120" i="10"/>
  <c r="X120" i="10"/>
  <c r="Z120" i="10"/>
  <c r="W120" i="10"/>
  <c r="AA120" i="10"/>
  <c r="P120" i="10"/>
  <c r="S120" i="10"/>
  <c r="R120" i="10"/>
  <c r="T120" i="10"/>
  <c r="Q120" i="10"/>
  <c r="U120" i="10"/>
  <c r="I120" i="10"/>
  <c r="L120" i="10"/>
  <c r="K120" i="10"/>
  <c r="M120" i="10"/>
  <c r="J120" i="10"/>
  <c r="N120" i="10"/>
  <c r="B117" i="10"/>
  <c r="O117" i="10"/>
  <c r="V117" i="10"/>
  <c r="Y117" i="10"/>
  <c r="X117" i="10"/>
  <c r="Z117" i="10"/>
  <c r="W117" i="10"/>
  <c r="AA117" i="10"/>
  <c r="P117" i="10"/>
  <c r="S117" i="10"/>
  <c r="R117" i="10"/>
  <c r="T117" i="10"/>
  <c r="Q117" i="10"/>
  <c r="U117" i="10"/>
  <c r="I117" i="10"/>
  <c r="L117" i="10"/>
  <c r="K117" i="10"/>
  <c r="M117" i="10"/>
  <c r="J117" i="10"/>
  <c r="N117" i="10"/>
  <c r="B118" i="10"/>
  <c r="O118" i="10"/>
  <c r="V118" i="10"/>
  <c r="Y118" i="10"/>
  <c r="X118" i="10"/>
  <c r="Z118" i="10"/>
  <c r="W118" i="10"/>
  <c r="AA118" i="10"/>
  <c r="P118" i="10"/>
  <c r="S118" i="10"/>
  <c r="R118" i="10"/>
  <c r="T118" i="10"/>
  <c r="Q118" i="10"/>
  <c r="U118" i="10"/>
  <c r="I118" i="10"/>
  <c r="L118" i="10"/>
  <c r="K118" i="10"/>
  <c r="M118" i="10"/>
  <c r="J118" i="10"/>
  <c r="N118" i="10"/>
  <c r="B115" i="10"/>
  <c r="O115" i="10"/>
  <c r="V115" i="10"/>
  <c r="Y115" i="10"/>
  <c r="X115" i="10"/>
  <c r="Z115" i="10"/>
  <c r="W115" i="10"/>
  <c r="AA115" i="10"/>
  <c r="P115" i="10"/>
  <c r="S115" i="10"/>
  <c r="R115" i="10"/>
  <c r="T115" i="10"/>
  <c r="Q115" i="10"/>
  <c r="U115" i="10"/>
  <c r="I115" i="10"/>
  <c r="L115" i="10"/>
  <c r="K115" i="10"/>
  <c r="M115" i="10"/>
  <c r="J115" i="10"/>
  <c r="N115" i="10"/>
  <c r="B2" i="9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1" i="9"/>
  <c r="N41" i="9"/>
  <c r="M41" i="9"/>
  <c r="L41" i="9"/>
  <c r="K41" i="9"/>
  <c r="J41" i="9"/>
  <c r="I41" i="9"/>
  <c r="H41" i="9"/>
  <c r="G41" i="9"/>
  <c r="E41" i="9"/>
  <c r="D41" i="9"/>
  <c r="A41" i="9"/>
  <c r="J41" i="11"/>
  <c r="O40" i="9"/>
  <c r="N40" i="9"/>
  <c r="M40" i="9"/>
  <c r="L40" i="9"/>
  <c r="K40" i="9"/>
  <c r="J40" i="9"/>
  <c r="I40" i="9"/>
  <c r="H40" i="9"/>
  <c r="G40" i="9"/>
  <c r="E40" i="9"/>
  <c r="D40" i="9"/>
  <c r="A40" i="9"/>
  <c r="J40" i="11"/>
  <c r="O39" i="9"/>
  <c r="N39" i="9"/>
  <c r="M39" i="9"/>
  <c r="L39" i="9"/>
  <c r="K39" i="9"/>
  <c r="J39" i="9"/>
  <c r="I39" i="9"/>
  <c r="H39" i="9"/>
  <c r="G39" i="9"/>
  <c r="E39" i="9"/>
  <c r="D39" i="9"/>
  <c r="A39" i="9"/>
  <c r="J39" i="11"/>
  <c r="O38" i="9"/>
  <c r="N38" i="9"/>
  <c r="M38" i="9"/>
  <c r="L38" i="9"/>
  <c r="K38" i="9"/>
  <c r="J38" i="9"/>
  <c r="I38" i="9"/>
  <c r="H38" i="9"/>
  <c r="G38" i="9"/>
  <c r="E38" i="9"/>
  <c r="D38" i="9"/>
  <c r="A38" i="9"/>
  <c r="J38" i="11"/>
  <c r="O37" i="9"/>
  <c r="N37" i="9"/>
  <c r="M37" i="9"/>
  <c r="L37" i="9"/>
  <c r="K37" i="9"/>
  <c r="J37" i="9"/>
  <c r="I37" i="9"/>
  <c r="H37" i="9"/>
  <c r="G37" i="9"/>
  <c r="E37" i="9"/>
  <c r="D37" i="9"/>
  <c r="A37" i="9"/>
  <c r="J37" i="11"/>
  <c r="O36" i="9"/>
  <c r="N36" i="9"/>
  <c r="M36" i="9"/>
  <c r="L36" i="9"/>
  <c r="K36" i="9"/>
  <c r="J36" i="9"/>
  <c r="I36" i="9"/>
  <c r="H36" i="9"/>
  <c r="G36" i="9"/>
  <c r="E36" i="9"/>
  <c r="D36" i="9"/>
  <c r="A36" i="9"/>
  <c r="J36" i="11"/>
  <c r="O35" i="9"/>
  <c r="N35" i="9"/>
  <c r="M35" i="9"/>
  <c r="L35" i="9"/>
  <c r="K35" i="9"/>
  <c r="J35" i="9"/>
  <c r="I35" i="9"/>
  <c r="H35" i="9"/>
  <c r="G35" i="9"/>
  <c r="E35" i="9"/>
  <c r="D35" i="9"/>
  <c r="A35" i="9"/>
  <c r="J35" i="11"/>
  <c r="O34" i="9"/>
  <c r="N34" i="9"/>
  <c r="M34" i="9"/>
  <c r="L34" i="9"/>
  <c r="K34" i="9"/>
  <c r="J34" i="9"/>
  <c r="I34" i="9"/>
  <c r="H34" i="9"/>
  <c r="G34" i="9"/>
  <c r="E34" i="9"/>
  <c r="D34" i="9"/>
  <c r="A34" i="9"/>
  <c r="J34" i="11"/>
  <c r="O33" i="9"/>
  <c r="N33" i="9"/>
  <c r="M33" i="9"/>
  <c r="L33" i="9"/>
  <c r="K33" i="9"/>
  <c r="J33" i="9"/>
  <c r="I33" i="9"/>
  <c r="H33" i="9"/>
  <c r="G33" i="9"/>
  <c r="E33" i="9"/>
  <c r="D33" i="9"/>
  <c r="A33" i="9"/>
  <c r="J33" i="11"/>
  <c r="O32" i="9"/>
  <c r="N32" i="9"/>
  <c r="M32" i="9"/>
  <c r="L32" i="9"/>
  <c r="K32" i="9"/>
  <c r="J32" i="9"/>
  <c r="I32" i="9"/>
  <c r="H32" i="9"/>
  <c r="G32" i="9"/>
  <c r="E32" i="9"/>
  <c r="D32" i="9"/>
  <c r="A32" i="9"/>
  <c r="J32" i="11"/>
  <c r="O31" i="9"/>
  <c r="N31" i="9"/>
  <c r="M31" i="9"/>
  <c r="L31" i="9"/>
  <c r="K31" i="9"/>
  <c r="J31" i="9"/>
  <c r="I31" i="9"/>
  <c r="H31" i="9"/>
  <c r="G31" i="9"/>
  <c r="E31" i="9"/>
  <c r="D31" i="9"/>
  <c r="A31" i="9"/>
  <c r="J31" i="11"/>
  <c r="O30" i="9"/>
  <c r="N30" i="9"/>
  <c r="M30" i="9"/>
  <c r="L30" i="9"/>
  <c r="K30" i="9"/>
  <c r="J30" i="9"/>
  <c r="I30" i="9"/>
  <c r="H30" i="9"/>
  <c r="G30" i="9"/>
  <c r="E30" i="9"/>
  <c r="D30" i="9"/>
  <c r="A30" i="9"/>
  <c r="J30" i="11"/>
  <c r="O29" i="9"/>
  <c r="N29" i="9"/>
  <c r="M29" i="9"/>
  <c r="L29" i="9"/>
  <c r="K29" i="9"/>
  <c r="J29" i="9"/>
  <c r="I29" i="9"/>
  <c r="H29" i="9"/>
  <c r="G29" i="9"/>
  <c r="E29" i="9"/>
  <c r="D29" i="9"/>
  <c r="A29" i="9"/>
  <c r="J29" i="11"/>
  <c r="O28" i="9"/>
  <c r="N28" i="9"/>
  <c r="M28" i="9"/>
  <c r="L28" i="9"/>
  <c r="K28" i="9"/>
  <c r="J28" i="9"/>
  <c r="I28" i="9"/>
  <c r="H28" i="9"/>
  <c r="G28" i="9"/>
  <c r="E28" i="9"/>
  <c r="D28" i="9"/>
  <c r="A28" i="9"/>
  <c r="J28" i="11"/>
  <c r="O27" i="9"/>
  <c r="N27" i="9"/>
  <c r="M27" i="9"/>
  <c r="L27" i="9"/>
  <c r="K27" i="9"/>
  <c r="J27" i="9"/>
  <c r="I27" i="9"/>
  <c r="H27" i="9"/>
  <c r="G27" i="9"/>
  <c r="E27" i="9"/>
  <c r="D27" i="9"/>
  <c r="A27" i="9"/>
  <c r="J27" i="11"/>
  <c r="O26" i="9"/>
  <c r="N26" i="9"/>
  <c r="M26" i="9"/>
  <c r="L26" i="9"/>
  <c r="K26" i="9"/>
  <c r="J26" i="9"/>
  <c r="I26" i="9"/>
  <c r="H26" i="9"/>
  <c r="G26" i="9"/>
  <c r="E26" i="9"/>
  <c r="D26" i="9"/>
  <c r="A26" i="9"/>
  <c r="J26" i="11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J18" i="11"/>
  <c r="O22" i="9"/>
  <c r="N22" i="9"/>
  <c r="M22" i="9"/>
  <c r="L22" i="9"/>
  <c r="K22" i="9"/>
  <c r="J22" i="9"/>
  <c r="I22" i="9"/>
  <c r="H22" i="9"/>
  <c r="G22" i="9"/>
  <c r="E22" i="9"/>
  <c r="D22" i="9"/>
  <c r="A22" i="9"/>
  <c r="J22" i="11"/>
  <c r="O21" i="9"/>
  <c r="N21" i="9"/>
  <c r="M21" i="9"/>
  <c r="L21" i="9"/>
  <c r="K21" i="9"/>
  <c r="J21" i="9"/>
  <c r="I21" i="9"/>
  <c r="H21" i="9"/>
  <c r="G21" i="9"/>
  <c r="E21" i="9"/>
  <c r="D21" i="9"/>
  <c r="A21" i="9"/>
  <c r="J21" i="11"/>
  <c r="O20" i="9"/>
  <c r="N20" i="9"/>
  <c r="M20" i="9"/>
  <c r="L20" i="9"/>
  <c r="K20" i="9"/>
  <c r="J20" i="9"/>
  <c r="I20" i="9"/>
  <c r="H20" i="9"/>
  <c r="G20" i="9"/>
  <c r="E20" i="9"/>
  <c r="D20" i="9"/>
  <c r="A20" i="9"/>
  <c r="J20" i="11"/>
  <c r="O19" i="9"/>
  <c r="N19" i="9"/>
  <c r="M19" i="9"/>
  <c r="L19" i="9"/>
  <c r="K19" i="9"/>
  <c r="J19" i="9"/>
  <c r="I19" i="9"/>
  <c r="H19" i="9"/>
  <c r="G19" i="9"/>
  <c r="E19" i="9"/>
  <c r="D19" i="9"/>
  <c r="A19" i="9"/>
  <c r="J19" i="11"/>
  <c r="O18" i="9"/>
  <c r="N18" i="9"/>
  <c r="M18" i="9"/>
  <c r="L18" i="9"/>
  <c r="K18" i="9"/>
  <c r="J18" i="9"/>
  <c r="I18" i="9"/>
  <c r="H18" i="9"/>
  <c r="G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2" i="11"/>
  <c r="O2" i="9"/>
  <c r="N2" i="9"/>
  <c r="M2" i="9"/>
  <c r="L2" i="9"/>
  <c r="K2" i="9"/>
  <c r="J2" i="9"/>
  <c r="I2" i="9"/>
  <c r="H2" i="9"/>
  <c r="G2" i="9"/>
  <c r="E2" i="9"/>
  <c r="D2" i="9"/>
  <c r="A2" i="9"/>
  <c r="Z4" i="7"/>
  <c r="Z3" i="7"/>
  <c r="Y3" i="1"/>
  <c r="Y4" i="1"/>
  <c r="Y5" i="1"/>
  <c r="Y6" i="1"/>
  <c r="Y7" i="1"/>
  <c r="Y2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F2" i="1"/>
  <c r="AI2" i="1"/>
  <c r="AG2" i="1"/>
  <c r="AE2" i="1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B83" i="10"/>
  <c r="O83" i="10"/>
  <c r="V83" i="10"/>
  <c r="Y83" i="10"/>
  <c r="X83" i="10"/>
  <c r="Z83" i="10"/>
  <c r="W83" i="10"/>
  <c r="AA83" i="10"/>
  <c r="P83" i="10"/>
  <c r="S83" i="10"/>
  <c r="R83" i="10"/>
  <c r="T83" i="10"/>
  <c r="Q83" i="10"/>
  <c r="U83" i="10"/>
  <c r="I83" i="10"/>
  <c r="L83" i="10"/>
  <c r="K83" i="10"/>
  <c r="M83" i="10"/>
  <c r="J83" i="10"/>
  <c r="N83" i="10"/>
  <c r="O86" i="9"/>
  <c r="N86" i="9"/>
  <c r="M86" i="9"/>
  <c r="L86" i="9"/>
  <c r="K86" i="9"/>
  <c r="J86" i="9"/>
  <c r="I86" i="9"/>
  <c r="H86" i="9"/>
  <c r="G86" i="9"/>
  <c r="E86" i="9"/>
  <c r="D86" i="9"/>
  <c r="A86" i="9"/>
  <c r="A68" i="9"/>
  <c r="D68" i="9"/>
  <c r="E68" i="9"/>
  <c r="G68" i="9"/>
  <c r="H68" i="9"/>
  <c r="I68" i="9"/>
  <c r="J68" i="9"/>
  <c r="K68" i="9"/>
  <c r="L68" i="9"/>
  <c r="M68" i="9"/>
  <c r="N68" i="9"/>
  <c r="O68" i="9"/>
  <c r="A69" i="9"/>
  <c r="D69" i="9"/>
  <c r="E69" i="9"/>
  <c r="G69" i="9"/>
  <c r="H69" i="9"/>
  <c r="I69" i="9"/>
  <c r="J69" i="9"/>
  <c r="K69" i="9"/>
  <c r="L69" i="9"/>
  <c r="M69" i="9"/>
  <c r="N69" i="9"/>
  <c r="O69" i="9"/>
  <c r="A70" i="9"/>
  <c r="D70" i="9"/>
  <c r="E70" i="9"/>
  <c r="G70" i="9"/>
  <c r="H70" i="9"/>
  <c r="I70" i="9"/>
  <c r="J70" i="9"/>
  <c r="K70" i="9"/>
  <c r="L70" i="9"/>
  <c r="M70" i="9"/>
  <c r="N70" i="9"/>
  <c r="O70" i="9"/>
  <c r="A71" i="9"/>
  <c r="D71" i="9"/>
  <c r="E71" i="9"/>
  <c r="G71" i="9"/>
  <c r="H71" i="9"/>
  <c r="I71" i="9"/>
  <c r="J71" i="9"/>
  <c r="K71" i="9"/>
  <c r="L71" i="9"/>
  <c r="M71" i="9"/>
  <c r="N71" i="9"/>
  <c r="O71" i="9"/>
  <c r="A72" i="9"/>
  <c r="D72" i="9"/>
  <c r="E72" i="9"/>
  <c r="G72" i="9"/>
  <c r="H72" i="9"/>
  <c r="I72" i="9"/>
  <c r="J72" i="9"/>
  <c r="K72" i="9"/>
  <c r="L72" i="9"/>
  <c r="M72" i="9"/>
  <c r="N72" i="9"/>
  <c r="O72" i="9"/>
  <c r="A73" i="9"/>
  <c r="D73" i="9"/>
  <c r="E73" i="9"/>
  <c r="G73" i="9"/>
  <c r="H73" i="9"/>
  <c r="I73" i="9"/>
  <c r="J73" i="9"/>
  <c r="K73" i="9"/>
  <c r="L73" i="9"/>
  <c r="M73" i="9"/>
  <c r="N73" i="9"/>
  <c r="O73" i="9"/>
  <c r="A74" i="9"/>
  <c r="D74" i="9"/>
  <c r="E74" i="9"/>
  <c r="G74" i="9"/>
  <c r="H74" i="9"/>
  <c r="I74" i="9"/>
  <c r="J74" i="9"/>
  <c r="K74" i="9"/>
  <c r="L74" i="9"/>
  <c r="M74" i="9"/>
  <c r="N74" i="9"/>
  <c r="O74" i="9"/>
  <c r="A75" i="9"/>
  <c r="D75" i="9"/>
  <c r="E75" i="9"/>
  <c r="G75" i="9"/>
  <c r="H75" i="9"/>
  <c r="I75" i="9"/>
  <c r="J75" i="9"/>
  <c r="K75" i="9"/>
  <c r="L75" i="9"/>
  <c r="M75" i="9"/>
  <c r="N75" i="9"/>
  <c r="O75" i="9"/>
  <c r="A76" i="9"/>
  <c r="D76" i="9"/>
  <c r="E76" i="9"/>
  <c r="G76" i="9"/>
  <c r="H76" i="9"/>
  <c r="I76" i="9"/>
  <c r="J76" i="9"/>
  <c r="K76" i="9"/>
  <c r="L76" i="9"/>
  <c r="M76" i="9"/>
  <c r="N76" i="9"/>
  <c r="O76" i="9"/>
  <c r="A77" i="9"/>
  <c r="D77" i="9"/>
  <c r="E77" i="9"/>
  <c r="G77" i="9"/>
  <c r="H77" i="9"/>
  <c r="I77" i="9"/>
  <c r="J77" i="9"/>
  <c r="K77" i="9"/>
  <c r="L77" i="9"/>
  <c r="M77" i="9"/>
  <c r="N77" i="9"/>
  <c r="O77" i="9"/>
  <c r="A78" i="9"/>
  <c r="D78" i="9"/>
  <c r="E78" i="9"/>
  <c r="G78" i="9"/>
  <c r="H78" i="9"/>
  <c r="I78" i="9"/>
  <c r="J78" i="9"/>
  <c r="K78" i="9"/>
  <c r="L78" i="9"/>
  <c r="M78" i="9"/>
  <c r="N78" i="9"/>
  <c r="O78" i="9"/>
  <c r="A79" i="9"/>
  <c r="D79" i="9"/>
  <c r="E79" i="9"/>
  <c r="G79" i="9"/>
  <c r="H79" i="9"/>
  <c r="I79" i="9"/>
  <c r="J79" i="9"/>
  <c r="K79" i="9"/>
  <c r="L79" i="9"/>
  <c r="M79" i="9"/>
  <c r="N79" i="9"/>
  <c r="O79" i="9"/>
  <c r="A80" i="9"/>
  <c r="D80" i="9"/>
  <c r="E80" i="9"/>
  <c r="G80" i="9"/>
  <c r="H80" i="9"/>
  <c r="I80" i="9"/>
  <c r="J80" i="9"/>
  <c r="K80" i="9"/>
  <c r="L80" i="9"/>
  <c r="M80" i="9"/>
  <c r="N80" i="9"/>
  <c r="O80" i="9"/>
  <c r="A81" i="9"/>
  <c r="D81" i="9"/>
  <c r="E81" i="9"/>
  <c r="G81" i="9"/>
  <c r="H81" i="9"/>
  <c r="I81" i="9"/>
  <c r="J81" i="9"/>
  <c r="K81" i="9"/>
  <c r="L81" i="9"/>
  <c r="M81" i="9"/>
  <c r="N81" i="9"/>
  <c r="O81" i="9"/>
  <c r="A82" i="9"/>
  <c r="D82" i="9"/>
  <c r="E82" i="9"/>
  <c r="G82" i="9"/>
  <c r="H82" i="9"/>
  <c r="I82" i="9"/>
  <c r="J82" i="9"/>
  <c r="K82" i="9"/>
  <c r="L82" i="9"/>
  <c r="M82" i="9"/>
  <c r="N82" i="9"/>
  <c r="O82" i="9"/>
  <c r="A83" i="9"/>
  <c r="D83" i="9"/>
  <c r="E83" i="9"/>
  <c r="G83" i="9"/>
  <c r="H83" i="9"/>
  <c r="I83" i="9"/>
  <c r="J83" i="9"/>
  <c r="K83" i="9"/>
  <c r="L83" i="9"/>
  <c r="M83" i="9"/>
  <c r="N83" i="9"/>
  <c r="O83" i="9"/>
  <c r="A84" i="9"/>
  <c r="D84" i="9"/>
  <c r="E84" i="9"/>
  <c r="G84" i="9"/>
  <c r="H84" i="9"/>
  <c r="I84" i="9"/>
  <c r="J84" i="9"/>
  <c r="K84" i="9"/>
  <c r="L84" i="9"/>
  <c r="M84" i="9"/>
  <c r="N84" i="9"/>
  <c r="O84" i="9"/>
  <c r="A85" i="9"/>
  <c r="D85" i="9"/>
  <c r="E85" i="9"/>
  <c r="G85" i="9"/>
  <c r="H85" i="9"/>
  <c r="I85" i="9"/>
  <c r="J85" i="9"/>
  <c r="K85" i="9"/>
  <c r="L85" i="9"/>
  <c r="M85" i="9"/>
  <c r="N85" i="9"/>
  <c r="O85" i="9"/>
  <c r="A87" i="9"/>
  <c r="D87" i="9"/>
  <c r="E87" i="9"/>
  <c r="G87" i="9"/>
  <c r="H87" i="9"/>
  <c r="I87" i="9"/>
  <c r="J87" i="9"/>
  <c r="K87" i="9"/>
  <c r="L87" i="9"/>
  <c r="M87" i="9"/>
  <c r="N87" i="9"/>
  <c r="O87" i="9"/>
  <c r="A88" i="9"/>
  <c r="D88" i="9"/>
  <c r="E88" i="9"/>
  <c r="G88" i="9"/>
  <c r="H88" i="9"/>
  <c r="I88" i="9"/>
  <c r="J88" i="9"/>
  <c r="K88" i="9"/>
  <c r="L88" i="9"/>
  <c r="M88" i="9"/>
  <c r="N88" i="9"/>
  <c r="O88" i="9"/>
  <c r="A90" i="9"/>
  <c r="D90" i="9"/>
  <c r="E90" i="9"/>
  <c r="G90" i="9"/>
  <c r="H90" i="9"/>
  <c r="I90" i="9"/>
  <c r="J90" i="9"/>
  <c r="K90" i="9"/>
  <c r="L90" i="9"/>
  <c r="M90" i="9"/>
  <c r="N90" i="9"/>
  <c r="O90" i="9"/>
  <c r="A91" i="9"/>
  <c r="D91" i="9"/>
  <c r="E91" i="9"/>
  <c r="G91" i="9"/>
  <c r="H91" i="9"/>
  <c r="I91" i="9"/>
  <c r="J91" i="9"/>
  <c r="K91" i="9"/>
  <c r="L91" i="9"/>
  <c r="M91" i="9"/>
  <c r="N91" i="9"/>
  <c r="O91" i="9"/>
  <c r="A92" i="9"/>
  <c r="D92" i="9"/>
  <c r="E92" i="9"/>
  <c r="G92" i="9"/>
  <c r="H92" i="9"/>
  <c r="I92" i="9"/>
  <c r="J92" i="9"/>
  <c r="K92" i="9"/>
  <c r="L92" i="9"/>
  <c r="M92" i="9"/>
  <c r="N92" i="9"/>
  <c r="O92" i="9"/>
  <c r="A93" i="9"/>
  <c r="D93" i="9"/>
  <c r="E93" i="9"/>
  <c r="G93" i="9"/>
  <c r="H93" i="9"/>
  <c r="I93" i="9"/>
  <c r="J93" i="9"/>
  <c r="K93" i="9"/>
  <c r="L93" i="9"/>
  <c r="M93" i="9"/>
  <c r="N93" i="9"/>
  <c r="O93" i="9"/>
  <c r="A94" i="9"/>
  <c r="D94" i="9"/>
  <c r="E94" i="9"/>
  <c r="G94" i="9"/>
  <c r="H94" i="9"/>
  <c r="I94" i="9"/>
  <c r="J94" i="9"/>
  <c r="K94" i="9"/>
  <c r="L94" i="9"/>
  <c r="M94" i="9"/>
  <c r="N94" i="9"/>
  <c r="O94" i="9"/>
  <c r="A95" i="9"/>
  <c r="D95" i="9"/>
  <c r="E95" i="9"/>
  <c r="G95" i="9"/>
  <c r="H95" i="9"/>
  <c r="I95" i="9"/>
  <c r="J95" i="9"/>
  <c r="K95" i="9"/>
  <c r="L95" i="9"/>
  <c r="M95" i="9"/>
  <c r="N95" i="9"/>
  <c r="O95" i="9"/>
  <c r="A96" i="9"/>
  <c r="D96" i="9"/>
  <c r="E96" i="9"/>
  <c r="G96" i="9"/>
  <c r="H96" i="9"/>
  <c r="I96" i="9"/>
  <c r="J96" i="9"/>
  <c r="K96" i="9"/>
  <c r="L96" i="9"/>
  <c r="M96" i="9"/>
  <c r="N96" i="9"/>
  <c r="O96" i="9"/>
  <c r="A97" i="9"/>
  <c r="D97" i="9"/>
  <c r="E97" i="9"/>
  <c r="G97" i="9"/>
  <c r="H97" i="9"/>
  <c r="I97" i="9"/>
  <c r="J97" i="9"/>
  <c r="K97" i="9"/>
  <c r="L97" i="9"/>
  <c r="M97" i="9"/>
  <c r="N97" i="9"/>
  <c r="O97" i="9"/>
  <c r="A98" i="9"/>
  <c r="D98" i="9"/>
  <c r="E98" i="9"/>
  <c r="G98" i="9"/>
  <c r="H98" i="9"/>
  <c r="I98" i="9"/>
  <c r="J98" i="9"/>
  <c r="K98" i="9"/>
  <c r="L98" i="9"/>
  <c r="M98" i="9"/>
  <c r="N98" i="9"/>
  <c r="O98" i="9"/>
  <c r="A99" i="9"/>
  <c r="D99" i="9"/>
  <c r="E99" i="9"/>
  <c r="G99" i="9"/>
  <c r="H99" i="9"/>
  <c r="I99" i="9"/>
  <c r="J99" i="9"/>
  <c r="K99" i="9"/>
  <c r="L99" i="9"/>
  <c r="M99" i="9"/>
  <c r="N99" i="9"/>
  <c r="O99" i="9"/>
  <c r="A100" i="9"/>
  <c r="D100" i="9"/>
  <c r="E100" i="9"/>
  <c r="G100" i="9"/>
  <c r="H100" i="9"/>
  <c r="I100" i="9"/>
  <c r="J100" i="9"/>
  <c r="K100" i="9"/>
  <c r="L100" i="9"/>
  <c r="M100" i="9"/>
  <c r="N100" i="9"/>
  <c r="O100" i="9"/>
  <c r="A101" i="9"/>
  <c r="D101" i="9"/>
  <c r="E101" i="9"/>
  <c r="G101" i="9"/>
  <c r="H101" i="9"/>
  <c r="I101" i="9"/>
  <c r="J101" i="9"/>
  <c r="K101" i="9"/>
  <c r="L101" i="9"/>
  <c r="M101" i="9"/>
  <c r="N101" i="9"/>
  <c r="O101" i="9"/>
  <c r="A102" i="9"/>
  <c r="D102" i="9"/>
  <c r="E102" i="9"/>
  <c r="G102" i="9"/>
  <c r="H102" i="9"/>
  <c r="I102" i="9"/>
  <c r="J102" i="9"/>
  <c r="K102" i="9"/>
  <c r="L102" i="9"/>
  <c r="M102" i="9"/>
  <c r="N102" i="9"/>
  <c r="O102" i="9"/>
  <c r="A103" i="9"/>
  <c r="D103" i="9"/>
  <c r="E103" i="9"/>
  <c r="G103" i="9"/>
  <c r="H103" i="9"/>
  <c r="I103" i="9"/>
  <c r="J103" i="9"/>
  <c r="K103" i="9"/>
  <c r="L103" i="9"/>
  <c r="M103" i="9"/>
  <c r="N103" i="9"/>
  <c r="O103" i="9"/>
  <c r="A104" i="9"/>
  <c r="D104" i="9"/>
  <c r="E104" i="9"/>
  <c r="G104" i="9"/>
  <c r="H104" i="9"/>
  <c r="I104" i="9"/>
  <c r="J104" i="9"/>
  <c r="K104" i="9"/>
  <c r="L104" i="9"/>
  <c r="M104" i="9"/>
  <c r="N104" i="9"/>
  <c r="O104" i="9"/>
  <c r="A105" i="9"/>
  <c r="D105" i="9"/>
  <c r="E105" i="9"/>
  <c r="G105" i="9"/>
  <c r="H105" i="9"/>
  <c r="I105" i="9"/>
  <c r="J105" i="9"/>
  <c r="K105" i="9"/>
  <c r="L105" i="9"/>
  <c r="M105" i="9"/>
  <c r="N105" i="9"/>
  <c r="O105" i="9"/>
  <c r="A106" i="9"/>
  <c r="D106" i="9"/>
  <c r="E106" i="9"/>
  <c r="G106" i="9"/>
  <c r="H106" i="9"/>
  <c r="I106" i="9"/>
  <c r="J106" i="9"/>
  <c r="K106" i="9"/>
  <c r="L106" i="9"/>
  <c r="M106" i="9"/>
  <c r="N106" i="9"/>
  <c r="O106" i="9"/>
  <c r="A108" i="9"/>
  <c r="D108" i="9"/>
  <c r="E108" i="9"/>
  <c r="G108" i="9"/>
  <c r="H108" i="9"/>
  <c r="I108" i="9"/>
  <c r="J108" i="9"/>
  <c r="K108" i="9"/>
  <c r="L108" i="9"/>
  <c r="M108" i="9"/>
  <c r="N108" i="9"/>
  <c r="O108" i="9"/>
  <c r="A109" i="9"/>
  <c r="D109" i="9"/>
  <c r="E109" i="9"/>
  <c r="G109" i="9"/>
  <c r="H109" i="9"/>
  <c r="I109" i="9"/>
  <c r="J109" i="9"/>
  <c r="K109" i="9"/>
  <c r="L109" i="9"/>
  <c r="M109" i="9"/>
  <c r="N109" i="9"/>
  <c r="O109" i="9"/>
  <c r="A110" i="9"/>
  <c r="D110" i="9"/>
  <c r="E110" i="9"/>
  <c r="G110" i="9"/>
  <c r="H110" i="9"/>
  <c r="I110" i="9"/>
  <c r="J110" i="9"/>
  <c r="K110" i="9"/>
  <c r="L110" i="9"/>
  <c r="M110" i="9"/>
  <c r="N110" i="9"/>
  <c r="O110" i="9"/>
  <c r="A111" i="9"/>
  <c r="D111" i="9"/>
  <c r="E111" i="9"/>
  <c r="G111" i="9"/>
  <c r="H111" i="9"/>
  <c r="I111" i="9"/>
  <c r="J111" i="9"/>
  <c r="K111" i="9"/>
  <c r="L111" i="9"/>
  <c r="M111" i="9"/>
  <c r="N111" i="9"/>
  <c r="O111" i="9"/>
  <c r="A112" i="9"/>
  <c r="D112" i="9"/>
  <c r="E112" i="9"/>
  <c r="G112" i="9"/>
  <c r="H112" i="9"/>
  <c r="I112" i="9"/>
  <c r="J112" i="9"/>
  <c r="K112" i="9"/>
  <c r="L112" i="9"/>
  <c r="M112" i="9"/>
  <c r="N112" i="9"/>
  <c r="O112" i="9"/>
  <c r="A113" i="9"/>
  <c r="D113" i="9"/>
  <c r="E113" i="9"/>
  <c r="G113" i="9"/>
  <c r="H113" i="9"/>
  <c r="I113" i="9"/>
  <c r="J113" i="9"/>
  <c r="K113" i="9"/>
  <c r="L113" i="9"/>
  <c r="M113" i="9"/>
  <c r="N113" i="9"/>
  <c r="O113" i="9"/>
  <c r="A114" i="9"/>
  <c r="D114" i="9"/>
  <c r="E114" i="9"/>
  <c r="G114" i="9"/>
  <c r="H114" i="9"/>
  <c r="I114" i="9"/>
  <c r="J114" i="9"/>
  <c r="K114" i="9"/>
  <c r="L114" i="9"/>
  <c r="M114" i="9"/>
  <c r="N114" i="9"/>
  <c r="O114" i="9"/>
  <c r="A115" i="9"/>
  <c r="D115" i="9"/>
  <c r="E115" i="9"/>
  <c r="G115" i="9"/>
  <c r="H115" i="9"/>
  <c r="I115" i="9"/>
  <c r="J115" i="9"/>
  <c r="K115" i="9"/>
  <c r="L115" i="9"/>
  <c r="M115" i="9"/>
  <c r="N115" i="9"/>
  <c r="O115" i="9"/>
  <c r="A116" i="9"/>
  <c r="D116" i="9"/>
  <c r="E116" i="9"/>
  <c r="G116" i="9"/>
  <c r="H116" i="9"/>
  <c r="I116" i="9"/>
  <c r="J116" i="9"/>
  <c r="K116" i="9"/>
  <c r="L116" i="9"/>
  <c r="M116" i="9"/>
  <c r="N116" i="9"/>
  <c r="O116" i="9"/>
  <c r="A117" i="9"/>
  <c r="D117" i="9"/>
  <c r="E117" i="9"/>
  <c r="G117" i="9"/>
  <c r="H117" i="9"/>
  <c r="I117" i="9"/>
  <c r="J117" i="9"/>
  <c r="K117" i="9"/>
  <c r="L117" i="9"/>
  <c r="M117" i="9"/>
  <c r="N117" i="9"/>
  <c r="O117" i="9"/>
  <c r="A118" i="9"/>
  <c r="D118" i="9"/>
  <c r="E118" i="9"/>
  <c r="G118" i="9"/>
  <c r="H118" i="9"/>
  <c r="I118" i="9"/>
  <c r="J118" i="9"/>
  <c r="K118" i="9"/>
  <c r="L118" i="9"/>
  <c r="M118" i="9"/>
  <c r="N118" i="9"/>
  <c r="O118" i="9"/>
  <c r="A119" i="9"/>
  <c r="D119" i="9"/>
  <c r="E119" i="9"/>
  <c r="G119" i="9"/>
  <c r="H119" i="9"/>
  <c r="I119" i="9"/>
  <c r="J119" i="9"/>
  <c r="K119" i="9"/>
  <c r="L119" i="9"/>
  <c r="M119" i="9"/>
  <c r="N119" i="9"/>
  <c r="O119" i="9"/>
  <c r="A120" i="9"/>
  <c r="D120" i="9"/>
  <c r="E120" i="9"/>
  <c r="G120" i="9"/>
  <c r="H120" i="9"/>
  <c r="I120" i="9"/>
  <c r="J120" i="9"/>
  <c r="K120" i="9"/>
  <c r="L120" i="9"/>
  <c r="M120" i="9"/>
  <c r="N120" i="9"/>
  <c r="O120" i="9"/>
  <c r="A121" i="9"/>
  <c r="D121" i="9"/>
  <c r="E121" i="9"/>
  <c r="G121" i="9"/>
  <c r="H121" i="9"/>
  <c r="I121" i="9"/>
  <c r="J121" i="9"/>
  <c r="K121" i="9"/>
  <c r="L121" i="9"/>
  <c r="M121" i="9"/>
  <c r="N121" i="9"/>
  <c r="O121" i="9"/>
  <c r="A122" i="9"/>
  <c r="D122" i="9"/>
  <c r="E122" i="9"/>
  <c r="G122" i="9"/>
  <c r="H122" i="9"/>
  <c r="I122" i="9"/>
  <c r="J122" i="9"/>
  <c r="K122" i="9"/>
  <c r="L122" i="9"/>
  <c r="M122" i="9"/>
  <c r="N122" i="9"/>
  <c r="O122" i="9"/>
  <c r="A123" i="9"/>
  <c r="D123" i="9"/>
  <c r="E123" i="9"/>
  <c r="G123" i="9"/>
  <c r="H123" i="9"/>
  <c r="I123" i="9"/>
  <c r="J123" i="9"/>
  <c r="K123" i="9"/>
  <c r="L123" i="9"/>
  <c r="M123" i="9"/>
  <c r="N123" i="9"/>
  <c r="O123" i="9"/>
  <c r="A124" i="9"/>
  <c r="D124" i="9"/>
  <c r="E124" i="9"/>
  <c r="G124" i="9"/>
  <c r="H124" i="9"/>
  <c r="I124" i="9"/>
  <c r="J124" i="9"/>
  <c r="K124" i="9"/>
  <c r="L124" i="9"/>
  <c r="M124" i="9"/>
  <c r="N124" i="9"/>
  <c r="O124" i="9"/>
  <c r="A125" i="9"/>
  <c r="D125" i="9"/>
  <c r="E125" i="9"/>
  <c r="G125" i="9"/>
  <c r="H125" i="9"/>
  <c r="I125" i="9"/>
  <c r="J125" i="9"/>
  <c r="K125" i="9"/>
  <c r="L125" i="9"/>
  <c r="M125" i="9"/>
  <c r="N125" i="9"/>
  <c r="O125" i="9"/>
  <c r="A126" i="9"/>
  <c r="D126" i="9"/>
  <c r="E126" i="9"/>
  <c r="G126" i="9"/>
  <c r="H126" i="9"/>
  <c r="I126" i="9"/>
  <c r="J126" i="9"/>
  <c r="K126" i="9"/>
  <c r="L126" i="9"/>
  <c r="M126" i="9"/>
  <c r="N126" i="9"/>
  <c r="O126" i="9"/>
  <c r="A127" i="9"/>
  <c r="D127" i="9"/>
  <c r="E127" i="9"/>
  <c r="G127" i="9"/>
  <c r="H127" i="9"/>
  <c r="I127" i="9"/>
  <c r="J127" i="9"/>
  <c r="K127" i="9"/>
  <c r="L127" i="9"/>
  <c r="M127" i="9"/>
  <c r="N127" i="9"/>
  <c r="O127" i="9"/>
  <c r="A128" i="9"/>
  <c r="D128" i="9"/>
  <c r="E128" i="9"/>
  <c r="G128" i="9"/>
  <c r="H128" i="9"/>
  <c r="I128" i="9"/>
  <c r="J128" i="9"/>
  <c r="K128" i="9"/>
  <c r="L128" i="9"/>
  <c r="M128" i="9"/>
  <c r="N128" i="9"/>
  <c r="O128" i="9"/>
  <c r="A129" i="9"/>
  <c r="D129" i="9"/>
  <c r="E129" i="9"/>
  <c r="G129" i="9"/>
  <c r="H129" i="9"/>
  <c r="I129" i="9"/>
  <c r="J129" i="9"/>
  <c r="K129" i="9"/>
  <c r="L129" i="9"/>
  <c r="M129" i="9"/>
  <c r="N129" i="9"/>
  <c r="O129" i="9"/>
  <c r="A130" i="9"/>
  <c r="D130" i="9"/>
  <c r="E130" i="9"/>
  <c r="G130" i="9"/>
  <c r="H130" i="9"/>
  <c r="I130" i="9"/>
  <c r="J130" i="9"/>
  <c r="K130" i="9"/>
  <c r="L130" i="9"/>
  <c r="M130" i="9"/>
  <c r="N130" i="9"/>
  <c r="O130" i="9"/>
  <c r="A131" i="9"/>
  <c r="D131" i="9"/>
  <c r="E131" i="9"/>
  <c r="G131" i="9"/>
  <c r="H131" i="9"/>
  <c r="I131" i="9"/>
  <c r="J131" i="9"/>
  <c r="K131" i="9"/>
  <c r="L131" i="9"/>
  <c r="M131" i="9"/>
  <c r="N131" i="9"/>
  <c r="O131" i="9"/>
  <c r="P13" i="1"/>
  <c r="AF110" i="10"/>
  <c r="B104" i="10"/>
  <c r="B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I133" i="10"/>
  <c r="J133" i="10"/>
  <c r="K133" i="10"/>
  <c r="L133" i="10"/>
  <c r="M133" i="10"/>
  <c r="N133" i="10"/>
  <c r="O133" i="10"/>
  <c r="P133" i="10"/>
  <c r="Q133" i="10"/>
  <c r="R133" i="10"/>
  <c r="S133" i="10"/>
  <c r="T133" i="10"/>
  <c r="U133" i="10"/>
  <c r="V133" i="10"/>
  <c r="W133" i="10"/>
  <c r="X133" i="10"/>
  <c r="Y133" i="10"/>
  <c r="Z133" i="10"/>
  <c r="AA133" i="10"/>
  <c r="B132" i="10"/>
  <c r="O132" i="10"/>
  <c r="V132" i="10"/>
  <c r="Y132" i="10"/>
  <c r="X132" i="10"/>
  <c r="Z132" i="10"/>
  <c r="W132" i="10"/>
  <c r="AA132" i="10"/>
  <c r="P132" i="10"/>
  <c r="S132" i="10"/>
  <c r="R132" i="10"/>
  <c r="T132" i="10"/>
  <c r="Q132" i="10"/>
  <c r="U132" i="10"/>
  <c r="I132" i="10"/>
  <c r="L132" i="10"/>
  <c r="K132" i="10"/>
  <c r="M132" i="10"/>
  <c r="J132" i="10"/>
  <c r="N132" i="10"/>
  <c r="B131" i="10"/>
  <c r="O131" i="10"/>
  <c r="V131" i="10"/>
  <c r="Y131" i="10"/>
  <c r="X131" i="10"/>
  <c r="Z131" i="10"/>
  <c r="W131" i="10"/>
  <c r="AA131" i="10"/>
  <c r="P131" i="10"/>
  <c r="S131" i="10"/>
  <c r="R131" i="10"/>
  <c r="T131" i="10"/>
  <c r="Q131" i="10"/>
  <c r="U131" i="10"/>
  <c r="I131" i="10"/>
  <c r="L131" i="10"/>
  <c r="K131" i="10"/>
  <c r="M131" i="10"/>
  <c r="J131" i="10"/>
  <c r="N131" i="10"/>
  <c r="B130" i="10"/>
  <c r="O130" i="10"/>
  <c r="V130" i="10"/>
  <c r="Y130" i="10"/>
  <c r="X130" i="10"/>
  <c r="Z130" i="10"/>
  <c r="W130" i="10"/>
  <c r="AA130" i="10"/>
  <c r="P130" i="10"/>
  <c r="S130" i="10"/>
  <c r="R130" i="10"/>
  <c r="T130" i="10"/>
  <c r="Q130" i="10"/>
  <c r="U130" i="10"/>
  <c r="I130" i="10"/>
  <c r="L130" i="10"/>
  <c r="K130" i="10"/>
  <c r="M130" i="10"/>
  <c r="J130" i="10"/>
  <c r="N130" i="10"/>
  <c r="B129" i="10"/>
  <c r="O129" i="10"/>
  <c r="V129" i="10"/>
  <c r="Y129" i="10"/>
  <c r="X129" i="10"/>
  <c r="Z129" i="10"/>
  <c r="W129" i="10"/>
  <c r="AA129" i="10"/>
  <c r="P129" i="10"/>
  <c r="S129" i="10"/>
  <c r="R129" i="10"/>
  <c r="T129" i="10"/>
  <c r="Q129" i="10"/>
  <c r="U129" i="10"/>
  <c r="I129" i="10"/>
  <c r="L129" i="10"/>
  <c r="K129" i="10"/>
  <c r="M129" i="10"/>
  <c r="J129" i="10"/>
  <c r="N129" i="10"/>
  <c r="B128" i="10"/>
  <c r="O128" i="10"/>
  <c r="V128" i="10"/>
  <c r="Y128" i="10"/>
  <c r="X128" i="10"/>
  <c r="Z128" i="10"/>
  <c r="W128" i="10"/>
  <c r="AA128" i="10"/>
  <c r="P128" i="10"/>
  <c r="S128" i="10"/>
  <c r="R128" i="10"/>
  <c r="T128" i="10"/>
  <c r="Q128" i="10"/>
  <c r="U128" i="10"/>
  <c r="I128" i="10"/>
  <c r="L128" i="10"/>
  <c r="K128" i="10"/>
  <c r="M128" i="10"/>
  <c r="J128" i="10"/>
  <c r="N128" i="10"/>
  <c r="B127" i="10"/>
  <c r="O127" i="10"/>
  <c r="V127" i="10"/>
  <c r="Y127" i="10"/>
  <c r="X127" i="10"/>
  <c r="Z127" i="10"/>
  <c r="W127" i="10"/>
  <c r="AA127" i="10"/>
  <c r="P127" i="10"/>
  <c r="S127" i="10"/>
  <c r="R127" i="10"/>
  <c r="T127" i="10"/>
  <c r="Q127" i="10"/>
  <c r="U127" i="10"/>
  <c r="I127" i="10"/>
  <c r="L127" i="10"/>
  <c r="K127" i="10"/>
  <c r="M127" i="10"/>
  <c r="J127" i="10"/>
  <c r="N127" i="10"/>
  <c r="B126" i="10"/>
  <c r="O126" i="10"/>
  <c r="V126" i="10"/>
  <c r="Y126" i="10"/>
  <c r="X126" i="10"/>
  <c r="Z126" i="10"/>
  <c r="W126" i="10"/>
  <c r="AA126" i="10"/>
  <c r="P126" i="10"/>
  <c r="S126" i="10"/>
  <c r="R126" i="10"/>
  <c r="T126" i="10"/>
  <c r="Q126" i="10"/>
  <c r="U126" i="10"/>
  <c r="I126" i="10"/>
  <c r="L126" i="10"/>
  <c r="K126" i="10"/>
  <c r="M126" i="10"/>
  <c r="J126" i="10"/>
  <c r="N126" i="10"/>
  <c r="B125" i="10"/>
  <c r="O125" i="10"/>
  <c r="V125" i="10"/>
  <c r="Y125" i="10"/>
  <c r="X125" i="10"/>
  <c r="Z125" i="10"/>
  <c r="W125" i="10"/>
  <c r="AA125" i="10"/>
  <c r="P125" i="10"/>
  <c r="S125" i="10"/>
  <c r="R125" i="10"/>
  <c r="T125" i="10"/>
  <c r="Q125" i="10"/>
  <c r="U125" i="10"/>
  <c r="I125" i="10"/>
  <c r="L125" i="10"/>
  <c r="K125" i="10"/>
  <c r="M125" i="10"/>
  <c r="J125" i="10"/>
  <c r="N125" i="10"/>
  <c r="B124" i="10"/>
  <c r="O124" i="10"/>
  <c r="V124" i="10"/>
  <c r="Y124" i="10"/>
  <c r="X124" i="10"/>
  <c r="Z124" i="10"/>
  <c r="W124" i="10"/>
  <c r="AA124" i="10"/>
  <c r="P124" i="10"/>
  <c r="S124" i="10"/>
  <c r="R124" i="10"/>
  <c r="T124" i="10"/>
  <c r="Q124" i="10"/>
  <c r="U124" i="10"/>
  <c r="I124" i="10"/>
  <c r="L124" i="10"/>
  <c r="K124" i="10"/>
  <c r="M124" i="10"/>
  <c r="J124" i="10"/>
  <c r="N124" i="10"/>
  <c r="B123" i="10"/>
  <c r="O123" i="10"/>
  <c r="V123" i="10"/>
  <c r="Y123" i="10"/>
  <c r="X123" i="10"/>
  <c r="Z123" i="10"/>
  <c r="W123" i="10"/>
  <c r="AA123" i="10"/>
  <c r="P123" i="10"/>
  <c r="S123" i="10"/>
  <c r="R123" i="10"/>
  <c r="T123" i="10"/>
  <c r="Q123" i="10"/>
  <c r="U123" i="10"/>
  <c r="I123" i="10"/>
  <c r="L123" i="10"/>
  <c r="K123" i="10"/>
  <c r="M123" i="10"/>
  <c r="J123" i="10"/>
  <c r="N123" i="10"/>
  <c r="B122" i="10"/>
  <c r="O122" i="10"/>
  <c r="V122" i="10"/>
  <c r="Y122" i="10"/>
  <c r="X122" i="10"/>
  <c r="Z122" i="10"/>
  <c r="W122" i="10"/>
  <c r="AA122" i="10"/>
  <c r="P122" i="10"/>
  <c r="S122" i="10"/>
  <c r="R122" i="10"/>
  <c r="T122" i="10"/>
  <c r="Q122" i="10"/>
  <c r="U122" i="10"/>
  <c r="I122" i="10"/>
  <c r="L122" i="10"/>
  <c r="K122" i="10"/>
  <c r="M122" i="10"/>
  <c r="J122" i="10"/>
  <c r="N122" i="10"/>
  <c r="B121" i="10"/>
  <c r="O121" i="10"/>
  <c r="V121" i="10"/>
  <c r="Y121" i="10"/>
  <c r="X121" i="10"/>
  <c r="Z121" i="10"/>
  <c r="W121" i="10"/>
  <c r="AA121" i="10"/>
  <c r="P121" i="10"/>
  <c r="S121" i="10"/>
  <c r="R121" i="10"/>
  <c r="T121" i="10"/>
  <c r="Q121" i="10"/>
  <c r="U121" i="10"/>
  <c r="I121" i="10"/>
  <c r="L121" i="10"/>
  <c r="K121" i="10"/>
  <c r="M121" i="10"/>
  <c r="J121" i="10"/>
  <c r="N121" i="10"/>
  <c r="B119" i="10"/>
  <c r="O119" i="10"/>
  <c r="V119" i="10"/>
  <c r="Y119" i="10"/>
  <c r="X119" i="10"/>
  <c r="Z119" i="10"/>
  <c r="W119" i="10"/>
  <c r="AA119" i="10"/>
  <c r="P119" i="10"/>
  <c r="S119" i="10"/>
  <c r="R119" i="10"/>
  <c r="T119" i="10"/>
  <c r="Q119" i="10"/>
  <c r="U119" i="10"/>
  <c r="I119" i="10"/>
  <c r="L119" i="10"/>
  <c r="K119" i="10"/>
  <c r="M119" i="10"/>
  <c r="J119" i="10"/>
  <c r="N119" i="10"/>
  <c r="B114" i="10"/>
  <c r="O114" i="10"/>
  <c r="V114" i="10"/>
  <c r="Y114" i="10"/>
  <c r="X114" i="10"/>
  <c r="Z114" i="10"/>
  <c r="W114" i="10"/>
  <c r="AA114" i="10"/>
  <c r="P114" i="10"/>
  <c r="S114" i="10"/>
  <c r="R114" i="10"/>
  <c r="T114" i="10"/>
  <c r="Q114" i="10"/>
  <c r="U114" i="10"/>
  <c r="I114" i="10"/>
  <c r="L114" i="10"/>
  <c r="K114" i="10"/>
  <c r="M114" i="10"/>
  <c r="J114" i="10"/>
  <c r="N114" i="10"/>
  <c r="B113" i="10"/>
  <c r="O113" i="10"/>
  <c r="V113" i="10"/>
  <c r="Y113" i="10"/>
  <c r="X113" i="10"/>
  <c r="Z113" i="10"/>
  <c r="W113" i="10"/>
  <c r="AA113" i="10"/>
  <c r="P113" i="10"/>
  <c r="S113" i="10"/>
  <c r="R113" i="10"/>
  <c r="T113" i="10"/>
  <c r="Q113" i="10"/>
  <c r="U113" i="10"/>
  <c r="I113" i="10"/>
  <c r="L113" i="10"/>
  <c r="K113" i="10"/>
  <c r="M113" i="10"/>
  <c r="J113" i="10"/>
  <c r="N113" i="10"/>
  <c r="B112" i="10"/>
  <c r="O112" i="10"/>
  <c r="V112" i="10"/>
  <c r="Y112" i="10"/>
  <c r="X112" i="10"/>
  <c r="Z112" i="10"/>
  <c r="W112" i="10"/>
  <c r="AA112" i="10"/>
  <c r="P112" i="10"/>
  <c r="S112" i="10"/>
  <c r="R112" i="10"/>
  <c r="T112" i="10"/>
  <c r="Q112" i="10"/>
  <c r="U112" i="10"/>
  <c r="I112" i="10"/>
  <c r="L112" i="10"/>
  <c r="K112" i="10"/>
  <c r="M112" i="10"/>
  <c r="J112" i="10"/>
  <c r="N112" i="10"/>
  <c r="B111" i="10"/>
  <c r="O111" i="10"/>
  <c r="V111" i="10"/>
  <c r="Y111" i="10"/>
  <c r="X111" i="10"/>
  <c r="Z111" i="10"/>
  <c r="W111" i="10"/>
  <c r="AA111" i="10"/>
  <c r="P111" i="10"/>
  <c r="S111" i="10"/>
  <c r="R111" i="10"/>
  <c r="T111" i="10"/>
  <c r="Q111" i="10"/>
  <c r="U111" i="10"/>
  <c r="I111" i="10"/>
  <c r="L111" i="10"/>
  <c r="K111" i="10"/>
  <c r="M111" i="10"/>
  <c r="J111" i="10"/>
  <c r="N111" i="10"/>
  <c r="B110" i="10"/>
  <c r="O110" i="10"/>
  <c r="V110" i="10"/>
  <c r="Y110" i="10"/>
  <c r="X110" i="10"/>
  <c r="Z110" i="10"/>
  <c r="W110" i="10"/>
  <c r="AA110" i="10"/>
  <c r="P110" i="10"/>
  <c r="S110" i="10"/>
  <c r="R110" i="10"/>
  <c r="T110" i="10"/>
  <c r="Q110" i="10"/>
  <c r="U110" i="10"/>
  <c r="I110" i="10"/>
  <c r="L110" i="10"/>
  <c r="K110" i="10"/>
  <c r="M110" i="10"/>
  <c r="J110" i="10"/>
  <c r="N110" i="10"/>
  <c r="B107" i="10"/>
  <c r="O107" i="10"/>
  <c r="V107" i="10"/>
  <c r="Y107" i="10"/>
  <c r="X107" i="10"/>
  <c r="Z107" i="10"/>
  <c r="W107" i="10"/>
  <c r="AA107" i="10"/>
  <c r="P107" i="10"/>
  <c r="S107" i="10"/>
  <c r="R107" i="10"/>
  <c r="T107" i="10"/>
  <c r="Q107" i="10"/>
  <c r="U107" i="10"/>
  <c r="I107" i="10"/>
  <c r="L107" i="10"/>
  <c r="K107" i="10"/>
  <c r="M107" i="10"/>
  <c r="J107" i="10"/>
  <c r="N107" i="10"/>
  <c r="B106" i="10"/>
  <c r="O106" i="10"/>
  <c r="V106" i="10"/>
  <c r="Y106" i="10"/>
  <c r="X106" i="10"/>
  <c r="Z106" i="10"/>
  <c r="W106" i="10"/>
  <c r="AA106" i="10"/>
  <c r="P106" i="10"/>
  <c r="S106" i="10"/>
  <c r="R106" i="10"/>
  <c r="T106" i="10"/>
  <c r="Q106" i="10"/>
  <c r="U106" i="10"/>
  <c r="I106" i="10"/>
  <c r="L106" i="10"/>
  <c r="K106" i="10"/>
  <c r="M106" i="10"/>
  <c r="J106" i="10"/>
  <c r="N106" i="10"/>
  <c r="B103" i="10"/>
  <c r="O103" i="10"/>
  <c r="V103" i="10"/>
  <c r="Y103" i="10"/>
  <c r="X103" i="10"/>
  <c r="Z103" i="10"/>
  <c r="W103" i="10"/>
  <c r="AA103" i="10"/>
  <c r="P103" i="10"/>
  <c r="S103" i="10"/>
  <c r="R103" i="10"/>
  <c r="T103" i="10"/>
  <c r="Q103" i="10"/>
  <c r="U103" i="10"/>
  <c r="I103" i="10"/>
  <c r="L103" i="10"/>
  <c r="K103" i="10"/>
  <c r="M103" i="10"/>
  <c r="J103" i="10"/>
  <c r="N103" i="10"/>
  <c r="B102" i="10"/>
  <c r="O102" i="10"/>
  <c r="V102" i="10"/>
  <c r="Y102" i="10"/>
  <c r="X102" i="10"/>
  <c r="Z102" i="10"/>
  <c r="W102" i="10"/>
  <c r="AA102" i="10"/>
  <c r="P102" i="10"/>
  <c r="S102" i="10"/>
  <c r="R102" i="10"/>
  <c r="T102" i="10"/>
  <c r="Q102" i="10"/>
  <c r="U102" i="10"/>
  <c r="I102" i="10"/>
  <c r="L102" i="10"/>
  <c r="K102" i="10"/>
  <c r="M102" i="10"/>
  <c r="J102" i="10"/>
  <c r="N102" i="10"/>
  <c r="B101" i="10"/>
  <c r="O101" i="10"/>
  <c r="V101" i="10"/>
  <c r="Y101" i="10"/>
  <c r="X101" i="10"/>
  <c r="Z101" i="10"/>
  <c r="W101" i="10"/>
  <c r="AA101" i="10"/>
  <c r="P101" i="10"/>
  <c r="S101" i="10"/>
  <c r="R101" i="10"/>
  <c r="T101" i="10"/>
  <c r="Q101" i="10"/>
  <c r="U101" i="10"/>
  <c r="I101" i="10"/>
  <c r="L101" i="10"/>
  <c r="K101" i="10"/>
  <c r="M101" i="10"/>
  <c r="J101" i="10"/>
  <c r="N101" i="10"/>
  <c r="B100" i="10"/>
  <c r="O100" i="10"/>
  <c r="V100" i="10"/>
  <c r="Y100" i="10"/>
  <c r="X100" i="10"/>
  <c r="Z100" i="10"/>
  <c r="W100" i="10"/>
  <c r="AA100" i="10"/>
  <c r="P100" i="10"/>
  <c r="S100" i="10"/>
  <c r="R100" i="10"/>
  <c r="T100" i="10"/>
  <c r="Q100" i="10"/>
  <c r="U100" i="10"/>
  <c r="I100" i="10"/>
  <c r="L100" i="10"/>
  <c r="K100" i="10"/>
  <c r="M100" i="10"/>
  <c r="J100" i="10"/>
  <c r="N100" i="10"/>
  <c r="B99" i="10"/>
  <c r="O99" i="10"/>
  <c r="V99" i="10"/>
  <c r="Y99" i="10"/>
  <c r="X99" i="10"/>
  <c r="Z99" i="10"/>
  <c r="W99" i="10"/>
  <c r="AA99" i="10"/>
  <c r="P99" i="10"/>
  <c r="S99" i="10"/>
  <c r="R99" i="10"/>
  <c r="T99" i="10"/>
  <c r="Q99" i="10"/>
  <c r="U99" i="10"/>
  <c r="I99" i="10"/>
  <c r="L99" i="10"/>
  <c r="K99" i="10"/>
  <c r="M99" i="10"/>
  <c r="J99" i="10"/>
  <c r="N99" i="10"/>
  <c r="B97" i="10"/>
  <c r="O97" i="10"/>
  <c r="V97" i="10"/>
  <c r="Y97" i="10"/>
  <c r="X97" i="10"/>
  <c r="Z97" i="10"/>
  <c r="W97" i="10"/>
  <c r="AA97" i="10"/>
  <c r="P97" i="10"/>
  <c r="S97" i="10"/>
  <c r="R97" i="10"/>
  <c r="T97" i="10"/>
  <c r="Q97" i="10"/>
  <c r="U97" i="10"/>
  <c r="I97" i="10"/>
  <c r="L97" i="10"/>
  <c r="K97" i="10"/>
  <c r="M97" i="10"/>
  <c r="J97" i="10"/>
  <c r="N97" i="10"/>
  <c r="B96" i="10"/>
  <c r="O96" i="10"/>
  <c r="V96" i="10"/>
  <c r="Y96" i="10"/>
  <c r="X96" i="10"/>
  <c r="Z96" i="10"/>
  <c r="W96" i="10"/>
  <c r="AA96" i="10"/>
  <c r="P96" i="10"/>
  <c r="S96" i="10"/>
  <c r="R96" i="10"/>
  <c r="T96" i="10"/>
  <c r="Q96" i="10"/>
  <c r="U96" i="10"/>
  <c r="I96" i="10"/>
  <c r="L96" i="10"/>
  <c r="K96" i="10"/>
  <c r="M96" i="10"/>
  <c r="J96" i="10"/>
  <c r="N96" i="10"/>
  <c r="B95" i="10"/>
  <c r="O95" i="10"/>
  <c r="V95" i="10"/>
  <c r="Y95" i="10"/>
  <c r="X95" i="10"/>
  <c r="Z95" i="10"/>
  <c r="W95" i="10"/>
  <c r="AA95" i="10"/>
  <c r="P95" i="10"/>
  <c r="S95" i="10"/>
  <c r="R95" i="10"/>
  <c r="T95" i="10"/>
  <c r="Q95" i="10"/>
  <c r="U95" i="10"/>
  <c r="I95" i="10"/>
  <c r="L95" i="10"/>
  <c r="K95" i="10"/>
  <c r="M95" i="10"/>
  <c r="J95" i="10"/>
  <c r="N95" i="10"/>
  <c r="B94" i="10"/>
  <c r="O94" i="10"/>
  <c r="V94" i="10"/>
  <c r="Y94" i="10"/>
  <c r="X94" i="10"/>
  <c r="Z94" i="10"/>
  <c r="W94" i="10"/>
  <c r="AA94" i="10"/>
  <c r="P94" i="10"/>
  <c r="S94" i="10"/>
  <c r="R94" i="10"/>
  <c r="T94" i="10"/>
  <c r="Q94" i="10"/>
  <c r="U94" i="10"/>
  <c r="I94" i="10"/>
  <c r="L94" i="10"/>
  <c r="K94" i="10"/>
  <c r="M94" i="10"/>
  <c r="J94" i="10"/>
  <c r="N94" i="10"/>
  <c r="B93" i="10"/>
  <c r="O93" i="10"/>
  <c r="V93" i="10"/>
  <c r="Y93" i="10"/>
  <c r="X93" i="10"/>
  <c r="Z93" i="10"/>
  <c r="W93" i="10"/>
  <c r="AA93" i="10"/>
  <c r="P93" i="10"/>
  <c r="S93" i="10"/>
  <c r="R93" i="10"/>
  <c r="T93" i="10"/>
  <c r="Q93" i="10"/>
  <c r="U93" i="10"/>
  <c r="I93" i="10"/>
  <c r="L93" i="10"/>
  <c r="K93" i="10"/>
  <c r="M93" i="10"/>
  <c r="J93" i="10"/>
  <c r="N93" i="10"/>
  <c r="B92" i="10"/>
  <c r="O92" i="10"/>
  <c r="V92" i="10"/>
  <c r="Y92" i="10"/>
  <c r="X92" i="10"/>
  <c r="Z92" i="10"/>
  <c r="W92" i="10"/>
  <c r="AA92" i="10"/>
  <c r="P92" i="10"/>
  <c r="S92" i="10"/>
  <c r="R92" i="10"/>
  <c r="T92" i="10"/>
  <c r="Q92" i="10"/>
  <c r="U92" i="10"/>
  <c r="I92" i="10"/>
  <c r="L92" i="10"/>
  <c r="K92" i="10"/>
  <c r="M92" i="10"/>
  <c r="J92" i="10"/>
  <c r="N92" i="10"/>
  <c r="B90" i="10"/>
  <c r="O90" i="10"/>
  <c r="V90" i="10"/>
  <c r="Y90" i="10"/>
  <c r="X90" i="10"/>
  <c r="Z90" i="10"/>
  <c r="W90" i="10"/>
  <c r="AA90" i="10"/>
  <c r="P90" i="10"/>
  <c r="S90" i="10"/>
  <c r="R90" i="10"/>
  <c r="T90" i="10"/>
  <c r="Q90" i="10"/>
  <c r="U90" i="10"/>
  <c r="I90" i="10"/>
  <c r="L90" i="10"/>
  <c r="K90" i="10"/>
  <c r="M90" i="10"/>
  <c r="J90" i="10"/>
  <c r="N90" i="10"/>
  <c r="B88" i="10"/>
  <c r="O88" i="10"/>
  <c r="V88" i="10"/>
  <c r="Y88" i="10"/>
  <c r="X88" i="10"/>
  <c r="Z88" i="10"/>
  <c r="W88" i="10"/>
  <c r="AA88" i="10"/>
  <c r="P88" i="10"/>
  <c r="S88" i="10"/>
  <c r="R88" i="10"/>
  <c r="T88" i="10"/>
  <c r="Q88" i="10"/>
  <c r="U88" i="10"/>
  <c r="I88" i="10"/>
  <c r="L88" i="10"/>
  <c r="K88" i="10"/>
  <c r="M88" i="10"/>
  <c r="J88" i="10"/>
  <c r="N88" i="10"/>
  <c r="B87" i="10"/>
  <c r="O87" i="10"/>
  <c r="V87" i="10"/>
  <c r="Y87" i="10"/>
  <c r="X87" i="10"/>
  <c r="Z87" i="10"/>
  <c r="W87" i="10"/>
  <c r="AA87" i="10"/>
  <c r="P87" i="10"/>
  <c r="S87" i="10"/>
  <c r="R87" i="10"/>
  <c r="T87" i="10"/>
  <c r="Q87" i="10"/>
  <c r="U87" i="10"/>
  <c r="I87" i="10"/>
  <c r="L87" i="10"/>
  <c r="K87" i="10"/>
  <c r="M87" i="10"/>
  <c r="J87" i="10"/>
  <c r="N87" i="10"/>
  <c r="B86" i="10"/>
  <c r="O86" i="10"/>
  <c r="V86" i="10"/>
  <c r="Y86" i="10"/>
  <c r="X86" i="10"/>
  <c r="Z86" i="10"/>
  <c r="W86" i="10"/>
  <c r="AA86" i="10"/>
  <c r="P86" i="10"/>
  <c r="S86" i="10"/>
  <c r="R86" i="10"/>
  <c r="T86" i="10"/>
  <c r="Q86" i="10"/>
  <c r="U86" i="10"/>
  <c r="I86" i="10"/>
  <c r="L86" i="10"/>
  <c r="K86" i="10"/>
  <c r="M86" i="10"/>
  <c r="J86" i="10"/>
  <c r="N86" i="10"/>
  <c r="B85" i="10"/>
  <c r="O85" i="10"/>
  <c r="V85" i="10"/>
  <c r="Y85" i="10"/>
  <c r="X85" i="10"/>
  <c r="Z85" i="10"/>
  <c r="W85" i="10"/>
  <c r="AA85" i="10"/>
  <c r="P85" i="10"/>
  <c r="S85" i="10"/>
  <c r="R85" i="10"/>
  <c r="T85" i="10"/>
  <c r="Q85" i="10"/>
  <c r="U85" i="10"/>
  <c r="I85" i="10"/>
  <c r="L85" i="10"/>
  <c r="K85" i="10"/>
  <c r="M85" i="10"/>
  <c r="J85" i="10"/>
  <c r="N85" i="10"/>
  <c r="B84" i="10"/>
  <c r="O84" i="10"/>
  <c r="V84" i="10"/>
  <c r="Y84" i="10"/>
  <c r="X84" i="10"/>
  <c r="Z84" i="10"/>
  <c r="W84" i="10"/>
  <c r="AA84" i="10"/>
  <c r="P84" i="10"/>
  <c r="S84" i="10"/>
  <c r="R84" i="10"/>
  <c r="T84" i="10"/>
  <c r="Q84" i="10"/>
  <c r="U84" i="10"/>
  <c r="I84" i="10"/>
  <c r="L84" i="10"/>
  <c r="K84" i="10"/>
  <c r="M84" i="10"/>
  <c r="J84" i="10"/>
  <c r="N84" i="10"/>
  <c r="B82" i="10"/>
  <c r="O82" i="10"/>
  <c r="V82" i="10"/>
  <c r="Y82" i="10"/>
  <c r="X82" i="10"/>
  <c r="Z82" i="10"/>
  <c r="W82" i="10"/>
  <c r="AA82" i="10"/>
  <c r="P82" i="10"/>
  <c r="S82" i="10"/>
  <c r="R82" i="10"/>
  <c r="T82" i="10"/>
  <c r="Q82" i="10"/>
  <c r="U82" i="10"/>
  <c r="I82" i="10"/>
  <c r="L82" i="10"/>
  <c r="K82" i="10"/>
  <c r="M82" i="10"/>
  <c r="J82" i="10"/>
  <c r="N82" i="10"/>
  <c r="B81" i="10"/>
  <c r="O81" i="10"/>
  <c r="V81" i="10"/>
  <c r="Y81" i="10"/>
  <c r="X81" i="10"/>
  <c r="Z81" i="10"/>
  <c r="W81" i="10"/>
  <c r="AA81" i="10"/>
  <c r="P81" i="10"/>
  <c r="S81" i="10"/>
  <c r="R81" i="10"/>
  <c r="T81" i="10"/>
  <c r="Q81" i="10"/>
  <c r="U81" i="10"/>
  <c r="I81" i="10"/>
  <c r="L81" i="10"/>
  <c r="K81" i="10"/>
  <c r="M81" i="10"/>
  <c r="J81" i="10"/>
  <c r="N81" i="10"/>
  <c r="B80" i="10"/>
  <c r="O80" i="10"/>
  <c r="V80" i="10"/>
  <c r="Y80" i="10"/>
  <c r="X80" i="10"/>
  <c r="Z80" i="10"/>
  <c r="W80" i="10"/>
  <c r="AA80" i="10"/>
  <c r="P80" i="10"/>
  <c r="S80" i="10"/>
  <c r="R80" i="10"/>
  <c r="T80" i="10"/>
  <c r="Q80" i="10"/>
  <c r="U80" i="10"/>
  <c r="I80" i="10"/>
  <c r="L80" i="10"/>
  <c r="K80" i="10"/>
  <c r="M80" i="10"/>
  <c r="J80" i="10"/>
  <c r="N80" i="10"/>
  <c r="B79" i="10"/>
  <c r="O79" i="10"/>
  <c r="V79" i="10"/>
  <c r="Y79" i="10"/>
  <c r="X79" i="10"/>
  <c r="Z79" i="10"/>
  <c r="W79" i="10"/>
  <c r="AA79" i="10"/>
  <c r="P79" i="10"/>
  <c r="S79" i="10"/>
  <c r="R79" i="10"/>
  <c r="T79" i="10"/>
  <c r="Q79" i="10"/>
  <c r="U79" i="10"/>
  <c r="I79" i="10"/>
  <c r="L79" i="10"/>
  <c r="K79" i="10"/>
  <c r="M79" i="10"/>
  <c r="J79" i="10"/>
  <c r="N79" i="10"/>
  <c r="B78" i="10"/>
  <c r="O78" i="10"/>
  <c r="V78" i="10"/>
  <c r="Y78" i="10"/>
  <c r="X78" i="10"/>
  <c r="Z78" i="10"/>
  <c r="W78" i="10"/>
  <c r="AA78" i="10"/>
  <c r="P78" i="10"/>
  <c r="S78" i="10"/>
  <c r="R78" i="10"/>
  <c r="T78" i="10"/>
  <c r="Q78" i="10"/>
  <c r="U78" i="10"/>
  <c r="I78" i="10"/>
  <c r="L78" i="10"/>
  <c r="K78" i="10"/>
  <c r="M78" i="10"/>
  <c r="J78" i="10"/>
  <c r="N78" i="10"/>
  <c r="B77" i="10"/>
  <c r="O77" i="10"/>
  <c r="V77" i="10"/>
  <c r="Y77" i="10"/>
  <c r="X77" i="10"/>
  <c r="Z77" i="10"/>
  <c r="W77" i="10"/>
  <c r="AA77" i="10"/>
  <c r="P77" i="10"/>
  <c r="S77" i="10"/>
  <c r="R77" i="10"/>
  <c r="T77" i="10"/>
  <c r="Q77" i="10"/>
  <c r="U77" i="10"/>
  <c r="I77" i="10"/>
  <c r="L77" i="10"/>
  <c r="K77" i="10"/>
  <c r="M77" i="10"/>
  <c r="J77" i="10"/>
  <c r="N77" i="10"/>
  <c r="B76" i="10"/>
  <c r="O76" i="10"/>
  <c r="V76" i="10"/>
  <c r="Y76" i="10"/>
  <c r="X76" i="10"/>
  <c r="Z76" i="10"/>
  <c r="W76" i="10"/>
  <c r="AA76" i="10"/>
  <c r="P76" i="10"/>
  <c r="S76" i="10"/>
  <c r="R76" i="10"/>
  <c r="T76" i="10"/>
  <c r="Q76" i="10"/>
  <c r="U76" i="10"/>
  <c r="I76" i="10"/>
  <c r="L76" i="10"/>
  <c r="K76" i="10"/>
  <c r="M76" i="10"/>
  <c r="J76" i="10"/>
  <c r="N76" i="10"/>
  <c r="B75" i="10"/>
  <c r="O75" i="10"/>
  <c r="V75" i="10"/>
  <c r="Y75" i="10"/>
  <c r="X75" i="10"/>
  <c r="Z75" i="10"/>
  <c r="W75" i="10"/>
  <c r="AA75" i="10"/>
  <c r="P75" i="10"/>
  <c r="S75" i="10"/>
  <c r="R75" i="10"/>
  <c r="T75" i="10"/>
  <c r="Q75" i="10"/>
  <c r="U75" i="10"/>
  <c r="I75" i="10"/>
  <c r="L75" i="10"/>
  <c r="K75" i="10"/>
  <c r="M75" i="10"/>
  <c r="J75" i="10"/>
  <c r="N75" i="10"/>
  <c r="B74" i="10"/>
  <c r="O74" i="10"/>
  <c r="V74" i="10"/>
  <c r="Y74" i="10"/>
  <c r="X74" i="10"/>
  <c r="Z74" i="10"/>
  <c r="W74" i="10"/>
  <c r="AA74" i="10"/>
  <c r="P74" i="10"/>
  <c r="S74" i="10"/>
  <c r="R74" i="10"/>
  <c r="T74" i="10"/>
  <c r="Q74" i="10"/>
  <c r="U74" i="10"/>
  <c r="I74" i="10"/>
  <c r="L74" i="10"/>
  <c r="K74" i="10"/>
  <c r="M74" i="10"/>
  <c r="J74" i="10"/>
  <c r="N74" i="10"/>
  <c r="B73" i="10"/>
  <c r="O73" i="10"/>
  <c r="V73" i="10"/>
  <c r="Y73" i="10"/>
  <c r="X73" i="10"/>
  <c r="Z73" i="10"/>
  <c r="W73" i="10"/>
  <c r="AA73" i="10"/>
  <c r="P73" i="10"/>
  <c r="S73" i="10"/>
  <c r="R73" i="10"/>
  <c r="T73" i="10"/>
  <c r="Q73" i="10"/>
  <c r="U73" i="10"/>
  <c r="I73" i="10"/>
  <c r="L73" i="10"/>
  <c r="K73" i="10"/>
  <c r="M73" i="10"/>
  <c r="J73" i="10"/>
  <c r="N73" i="10"/>
  <c r="B72" i="10"/>
  <c r="O72" i="10"/>
  <c r="V72" i="10"/>
  <c r="Y72" i="10"/>
  <c r="X72" i="10"/>
  <c r="Z72" i="10"/>
  <c r="W72" i="10"/>
  <c r="AA72" i="10"/>
  <c r="P72" i="10"/>
  <c r="S72" i="10"/>
  <c r="R72" i="10"/>
  <c r="T72" i="10"/>
  <c r="Q72" i="10"/>
  <c r="U72" i="10"/>
  <c r="I72" i="10"/>
  <c r="L72" i="10"/>
  <c r="K72" i="10"/>
  <c r="M72" i="10"/>
  <c r="J72" i="10"/>
  <c r="N72" i="10"/>
  <c r="B71" i="10"/>
  <c r="O71" i="10"/>
  <c r="V71" i="10"/>
  <c r="Y71" i="10"/>
  <c r="X71" i="10"/>
  <c r="Z71" i="10"/>
  <c r="W71" i="10"/>
  <c r="AA71" i="10"/>
  <c r="P71" i="10"/>
  <c r="S71" i="10"/>
  <c r="R71" i="10"/>
  <c r="T71" i="10"/>
  <c r="Q71" i="10"/>
  <c r="U71" i="10"/>
  <c r="I71" i="10"/>
  <c r="L71" i="10"/>
  <c r="K71" i="10"/>
  <c r="M71" i="10"/>
  <c r="J71" i="10"/>
  <c r="N71" i="10"/>
  <c r="B70" i="10"/>
  <c r="O70" i="10"/>
  <c r="V70" i="10"/>
  <c r="Y70" i="10"/>
  <c r="X70" i="10"/>
  <c r="Z70" i="10"/>
  <c r="W70" i="10"/>
  <c r="AA70" i="10"/>
  <c r="P70" i="10"/>
  <c r="S70" i="10"/>
  <c r="R70" i="10"/>
  <c r="T70" i="10"/>
  <c r="Q70" i="10"/>
  <c r="U70" i="10"/>
  <c r="I70" i="10"/>
  <c r="L70" i="10"/>
  <c r="K70" i="10"/>
  <c r="M70" i="10"/>
  <c r="J70" i="10"/>
  <c r="N70" i="10"/>
  <c r="B69" i="10"/>
  <c r="O69" i="10"/>
  <c r="V69" i="10"/>
  <c r="Y69" i="10"/>
  <c r="X69" i="10"/>
  <c r="Z69" i="10"/>
  <c r="W69" i="10"/>
  <c r="AA69" i="10"/>
  <c r="P69" i="10"/>
  <c r="S69" i="10"/>
  <c r="R69" i="10"/>
  <c r="T69" i="10"/>
  <c r="Q69" i="10"/>
  <c r="U69" i="10"/>
  <c r="I69" i="10"/>
  <c r="L69" i="10"/>
  <c r="K69" i="10"/>
  <c r="M69" i="10"/>
  <c r="J69" i="10"/>
  <c r="N69" i="10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E67" i="9"/>
  <c r="A7" i="7"/>
  <c r="D7" i="7"/>
  <c r="E7" i="7"/>
  <c r="F7" i="7"/>
  <c r="H7" i="7"/>
  <c r="I7" i="7"/>
  <c r="J7" i="7"/>
  <c r="N7" i="7"/>
  <c r="O7" i="7"/>
  <c r="P7" i="7"/>
  <c r="Q7" i="7"/>
  <c r="R7" i="7"/>
  <c r="U7" i="7"/>
  <c r="W7" i="7"/>
  <c r="Y7" i="7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T9" i="1"/>
  <c r="T10" i="1"/>
  <c r="T11" i="1"/>
  <c r="T12" i="1"/>
  <c r="T13" i="1"/>
  <c r="T8" i="1"/>
  <c r="B68" i="10"/>
  <c r="I68" i="10"/>
  <c r="O68" i="10"/>
  <c r="V68" i="10"/>
  <c r="Y68" i="10"/>
  <c r="X68" i="10"/>
  <c r="Z68" i="10"/>
  <c r="W68" i="10"/>
  <c r="AA68" i="10"/>
  <c r="P68" i="10"/>
  <c r="S68" i="10"/>
  <c r="R68" i="10"/>
  <c r="T68" i="10"/>
  <c r="Q68" i="10"/>
  <c r="U68" i="10"/>
  <c r="L68" i="10"/>
  <c r="K68" i="10"/>
  <c r="M68" i="10"/>
  <c r="J68" i="10"/>
  <c r="N68" i="10"/>
  <c r="P9" i="21"/>
  <c r="O9" i="21"/>
  <c r="I9" i="21"/>
  <c r="J9" i="21"/>
  <c r="G9" i="21"/>
  <c r="F9" i="21"/>
  <c r="D9" i="21"/>
  <c r="C9" i="21"/>
  <c r="P8" i="21"/>
  <c r="O8" i="21"/>
  <c r="I8" i="21"/>
  <c r="J8" i="21"/>
  <c r="G8" i="21"/>
  <c r="F8" i="21"/>
  <c r="D8" i="21"/>
  <c r="C8" i="21"/>
  <c r="P7" i="21"/>
  <c r="O7" i="21"/>
  <c r="I7" i="21"/>
  <c r="J7" i="21"/>
  <c r="G7" i="21"/>
  <c r="F7" i="21"/>
  <c r="D7" i="21"/>
  <c r="C7" i="21"/>
  <c r="P6" i="21"/>
  <c r="O6" i="21"/>
  <c r="I6" i="21"/>
  <c r="J6" i="21"/>
  <c r="G6" i="21"/>
  <c r="F6" i="21"/>
  <c r="D6" i="21"/>
  <c r="C6" i="21"/>
  <c r="P5" i="21"/>
  <c r="O5" i="21"/>
  <c r="I5" i="21"/>
  <c r="J5" i="21"/>
  <c r="G5" i="21"/>
  <c r="F5" i="21"/>
  <c r="D5" i="21"/>
  <c r="C5" i="21"/>
  <c r="P4" i="21"/>
  <c r="O4" i="21"/>
  <c r="I4" i="21"/>
  <c r="J4" i="21"/>
  <c r="G4" i="21"/>
  <c r="F4" i="21"/>
  <c r="D4" i="21"/>
  <c r="C4" i="21"/>
  <c r="P3" i="21"/>
  <c r="O3" i="21"/>
  <c r="I3" i="21"/>
  <c r="J3" i="21"/>
  <c r="G3" i="21"/>
  <c r="F3" i="21"/>
  <c r="D3" i="21"/>
  <c r="C3" i="21"/>
  <c r="P2" i="21"/>
  <c r="O2" i="21"/>
  <c r="I2" i="21"/>
  <c r="J2" i="21"/>
  <c r="G2" i="21"/>
  <c r="F2" i="21"/>
  <c r="D2" i="21"/>
  <c r="C2" i="21"/>
  <c r="O67" i="9"/>
  <c r="N67" i="9"/>
  <c r="M67" i="9"/>
  <c r="L67" i="9"/>
  <c r="K67" i="9"/>
  <c r="J67" i="9"/>
  <c r="I67" i="9"/>
  <c r="H67" i="9"/>
  <c r="G67" i="9"/>
  <c r="D67" i="9"/>
  <c r="A67" i="9"/>
  <c r="AD13" i="1"/>
  <c r="AF13" i="1"/>
  <c r="AI13" i="1"/>
  <c r="AG13" i="1"/>
  <c r="AE13" i="1"/>
  <c r="X13" i="1"/>
  <c r="V13" i="1"/>
  <c r="Q13" i="1"/>
  <c r="O13" i="1"/>
  <c r="N13" i="1"/>
  <c r="M13" i="1"/>
  <c r="H13" i="1"/>
  <c r="J13" i="1"/>
  <c r="I13" i="1"/>
  <c r="D13" i="1"/>
  <c r="F13" i="1"/>
  <c r="E13" i="1"/>
  <c r="A13" i="1"/>
  <c r="AF12" i="1"/>
  <c r="AI12" i="1"/>
  <c r="AG12" i="1"/>
  <c r="AE12" i="1"/>
  <c r="X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F11" i="1"/>
  <c r="AI11" i="1"/>
  <c r="AG11" i="1"/>
  <c r="AE11" i="1"/>
  <c r="X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F10" i="1"/>
  <c r="AI10" i="1"/>
  <c r="AG10" i="1"/>
  <c r="AE10" i="1"/>
  <c r="X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F9" i="1"/>
  <c r="AI9" i="1"/>
  <c r="AG9" i="1"/>
  <c r="AE9" i="1"/>
  <c r="X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F8" i="1"/>
  <c r="AI8" i="1"/>
  <c r="AG8" i="1"/>
  <c r="AE8" i="1"/>
  <c r="X8" i="1"/>
  <c r="V8" i="1"/>
  <c r="Q8" i="1"/>
  <c r="P8" i="1"/>
  <c r="O8" i="1"/>
  <c r="N8" i="1"/>
  <c r="M8" i="1"/>
  <c r="H8" i="1"/>
  <c r="J8" i="1"/>
  <c r="I8" i="1"/>
  <c r="D8" i="1"/>
  <c r="F8" i="1"/>
  <c r="E8" i="1"/>
  <c r="A8" i="1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P11" i="21"/>
  <c r="P12" i="21"/>
  <c r="P13" i="21"/>
  <c r="P14" i="21"/>
  <c r="P15" i="21"/>
  <c r="P16" i="21"/>
  <c r="P17" i="21"/>
  <c r="P10" i="21"/>
  <c r="C16" i="21"/>
  <c r="D16" i="21"/>
  <c r="F16" i="21"/>
  <c r="G16" i="21"/>
  <c r="I16" i="21"/>
  <c r="J16" i="21"/>
  <c r="O16" i="21"/>
  <c r="C17" i="21"/>
  <c r="D17" i="21"/>
  <c r="F17" i="21"/>
  <c r="G17" i="21"/>
  <c r="I17" i="21"/>
  <c r="J17" i="21"/>
  <c r="O17" i="21"/>
  <c r="O15" i="21"/>
  <c r="I15" i="21"/>
  <c r="J15" i="21"/>
  <c r="G15" i="21"/>
  <c r="F15" i="21"/>
  <c r="D15" i="21"/>
  <c r="C15" i="21"/>
  <c r="C14" i="21"/>
  <c r="D14" i="21"/>
  <c r="F14" i="21"/>
  <c r="G14" i="21"/>
  <c r="I14" i="21"/>
  <c r="J14" i="21"/>
  <c r="O14" i="21"/>
  <c r="O11" i="21"/>
  <c r="O12" i="21"/>
  <c r="O13" i="21"/>
  <c r="O10" i="21"/>
  <c r="C11" i="21"/>
  <c r="D11" i="21"/>
  <c r="F11" i="21"/>
  <c r="G11" i="21"/>
  <c r="I11" i="21"/>
  <c r="J11" i="21"/>
  <c r="C12" i="21"/>
  <c r="D12" i="21"/>
  <c r="F12" i="21"/>
  <c r="G12" i="21"/>
  <c r="I12" i="21"/>
  <c r="J12" i="21"/>
  <c r="C13" i="21"/>
  <c r="D13" i="21"/>
  <c r="F13" i="21"/>
  <c r="G13" i="21"/>
  <c r="I13" i="21"/>
  <c r="J13" i="21"/>
  <c r="B3" i="2"/>
  <c r="D3" i="2"/>
  <c r="E3" i="2"/>
  <c r="H3" i="2"/>
  <c r="B4" i="2"/>
  <c r="D4" i="2"/>
  <c r="E4" i="2"/>
  <c r="H4" i="2"/>
  <c r="B5" i="2"/>
  <c r="D5" i="2"/>
  <c r="E5" i="2"/>
  <c r="H5" i="2"/>
  <c r="W6" i="7"/>
  <c r="U6" i="7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10" i="21"/>
  <c r="J10" i="21"/>
  <c r="G10" i="21"/>
  <c r="F10" i="21"/>
  <c r="D10" i="21"/>
  <c r="C10" i="21"/>
  <c r="E12" i="16"/>
  <c r="E11" i="16"/>
  <c r="E10" i="16"/>
  <c r="E9" i="16"/>
  <c r="Y6" i="7"/>
  <c r="R6" i="7"/>
  <c r="Q6" i="7"/>
  <c r="P6" i="7"/>
  <c r="O6" i="7"/>
  <c r="N6" i="7"/>
  <c r="H6" i="7"/>
  <c r="J6" i="7"/>
  <c r="E8" i="16"/>
  <c r="E7" i="16"/>
  <c r="E6" i="16"/>
  <c r="E5" i="16"/>
  <c r="E4" i="16"/>
  <c r="E3" i="16"/>
  <c r="E2" i="16"/>
  <c r="A6" i="7"/>
  <c r="I6" i="7"/>
  <c r="D6" i="7"/>
  <c r="F6" i="7"/>
  <c r="E6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<sst xmlns="http://schemas.openxmlformats.org/spreadsheetml/2006/main" count="1589" uniqueCount="562">
  <si>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</si>
  <si>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</si>
  <si>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</si>
  <si>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</si>
  <si>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</si>
  <si>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</si>
  <si>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</si>
  <si>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</si>
  <si>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</si>
  <si>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</si>
  <si>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</si>
  <si>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</si>
  <si>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</si>
  <si>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</si>
  <si>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</si>
  <si>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</si>
  <si>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</si>
  <si>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</si>
  <si>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</si>
  <si>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</si>
  <si>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</si>
  <si>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</si>
  <si>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</si>
  <si>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</si>
  <si>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</si>
  <si>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</si>
  <si>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</si>
  <si>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</si>
  <si>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</si>
  <si>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</si>
  <si>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</si>
  <si>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</si>
  <si>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</si>
  <si>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</si>
  <si>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</si>
  <si>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</si>
  <si>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</si>
  <si>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</si>
  <si>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</si>
  <si>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</si>
  <si>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</si>
  <si>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</si>
  <si>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</si>
  <si>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</si>
  <si>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</si>
  <si>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</si>
  <si>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</si>
  <si>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</si>
  <si>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</si>
  <si>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</si>
  <si>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</si>
  <si>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</si>
  <si>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</si>
  <si>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</si>
  <si>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</si>
  <si>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</si>
  <si>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</si>
  <si>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</si>
  <si>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</si>
  <si>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</si>
  <si>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</si>
  <si>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</si>
  <si>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</si>
  <si>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</si>
  <si>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</si>
  <si>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</si>
  <si>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</si>
  <si>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</si>
  <si>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</si>
  <si>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</si>
  <si>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</si>
  <si>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</si>
  <si>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</si>
  <si>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</si>
  <si>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</si>
  <si>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</si>
  <si>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</si>
  <si>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</si>
  <si>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</si>
  <si>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</si>
  <si>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</si>
  <si>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</si>
  <si>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</si>
  <si>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</si>
  <si>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</si>
  <si>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</si>
  <si>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</si>
  <si>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</si>
  <si>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</si>
  <si>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</si>
  <si>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</si>
  <si>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</si>
  <si>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</si>
  <si>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</si>
  <si>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</si>
  <si>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</si>
  <si>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</si>
  <si>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</si>
  <si>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</si>
  <si>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</si>
  <si>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</si>
  <si>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</si>
  <si>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</si>
  <si>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</si>
  <si>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</si>
  <si>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</si>
  <si>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</si>
  <si>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</si>
  <si>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</si>
  <si>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</si>
  <si>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</si>
  <si>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</si>
  <si>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</si>
  <si>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</si>
  <si>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</si>
  <si>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</si>
  <si>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</si>
  <si>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</si>
  <si>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</si>
  <si>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</si>
  <si>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</si>
  <si>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</si>
  <si>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</si>
  <si>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</si>
  <si>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</si>
  <si>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</si>
  <si>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</si>
  <si>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</si>
  <si>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</si>
  <si>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</si>
  <si>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</si>
  <si>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</si>
  <si>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</si>
  <si>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</si>
  <si>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</si>
  <si>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</si>
  <si>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</si>
  <si>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</si>
  <si>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</si>
  <si>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</si>
  <si>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</si>
  <si>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</si>
  <si>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</si>
  <si>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</si>
  <si>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</si>
  <si>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</si>
  <si>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</si>
  <si>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</si>
  <si>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</si>
  <si>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</si>
  <si>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</si>
  <si>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</si>
  <si>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</si>
  <si>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</si>
  <si>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</si>
  <si>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</si>
  <si>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</si>
  <si>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</si>
  <si>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</si>
  <si>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</si>
  <si>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</si>
  <si>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</si>
  <si>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</si>
  <si>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</si>
  <si>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</si>
  <si>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</si>
  <si>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</si>
  <si>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</si>
  <si>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</si>
  <si>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</si>
  <si>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</si>
  <si>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</si>
  <si>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</si>
  <si>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</si>
  <si>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</si>
  <si>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</si>
  <si>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</si>
  <si>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</si>
  <si>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</si>
  <si>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</si>
  <si>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</si>
  <si>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</si>
  <si>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</si>
  <si>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</si>
  <si>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</si>
  <si>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</si>
  <si>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</si>
  <si>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</si>
  <si>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</si>
  <si>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</si>
  <si>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</si>
  <si>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</si>
  <si>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</si>
  <si>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</si>
  <si>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</si>
  <si>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</si>
  <si>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NULL</t>
    <phoneticPr fontId="6"/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</si>
  <si>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</si>
  <si>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</si>
  <si>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</si>
  <si>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</si>
  <si>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</si>
  <si>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</si>
  <si>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</si>
  <si>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</si>
  <si>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</si>
  <si>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stage_hints_failure</t>
    <phoneticPr fontId="6"/>
  </si>
  <si>
    <t>stage_hints_failure</t>
    <phoneticPr fontId="6"/>
  </si>
  <si>
    <t>temp_id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</si>
  <si>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</si>
  <si>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</si>
  <si>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</si>
  <si>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</si>
  <si>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stage_target</t>
    <phoneticPr fontId="6"/>
  </si>
  <si>
    <t>bonus_category</t>
    <phoneticPr fontId="6"/>
  </si>
  <si>
    <t>bonus_id</t>
    <phoneticPr fontId="6"/>
  </si>
  <si>
    <t>weight</t>
    <phoneticPr fontId="6"/>
  </si>
  <si>
    <t>bonus_type</t>
    <phoneticPr fontId="6"/>
  </si>
  <si>
    <t>bonus_count</t>
    <phoneticPr fontId="6"/>
  </si>
  <si>
    <t>skill_level</t>
    <phoneticPr fontId="6"/>
  </si>
  <si>
    <t>definite_start_date</t>
    <phoneticPr fontId="6"/>
  </si>
  <si>
    <t>definite_end_date</t>
    <phoneticPr fontId="6"/>
  </si>
  <si>
    <t>everyone</t>
    <phoneticPr fontId="6"/>
  </si>
  <si>
    <t>unit</t>
    <phoneticPr fontId="6"/>
  </si>
  <si>
    <t>2016-5-27 0:00:00</t>
    <phoneticPr fontId="6"/>
  </si>
  <si>
    <t>2970-01-01 09:00:00</t>
    <phoneticPr fontId="6"/>
  </si>
  <si>
    <t>no_continue</t>
    <phoneticPr fontId="6"/>
  </si>
  <si>
    <t>stage_bonuses</t>
    <phoneticPr fontId="6"/>
  </si>
  <si>
    <t>.tmp</t>
    <phoneticPr fontId="6"/>
  </si>
  <si>
    <t>quest_id</t>
    <phoneticPr fontId="6"/>
  </si>
  <si>
    <t>stage_id</t>
    <phoneticPr fontId="6"/>
  </si>
  <si>
    <t>stage_target</t>
    <phoneticPr fontId="6"/>
  </si>
  <si>
    <t>bonus_category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</si>
  <si>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</si>
  <si>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</si>
  <si>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</si>
  <si>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</si>
  <si>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</si>
  <si>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</si>
  <si>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</si>
  <si>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</si>
  <si>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</si>
  <si>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</si>
  <si>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</si>
  <si>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</si>
  <si>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</si>
  <si>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</si>
  <si>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stage_bonuses_</t>
    <phoneticPr fontId="6"/>
  </si>
  <si>
    <t>hp</t>
    <phoneticPr fontId="6"/>
  </si>
  <si>
    <t>attack</t>
    <phoneticPr fontId="6"/>
  </si>
  <si>
    <t>攻略のヒント</t>
    <rPh sb="0" eb="2">
      <t>コウリャク</t>
    </rPh>
    <phoneticPr fontId="6"/>
  </si>
  <si>
    <t>null</t>
    <phoneticPr fontId="6"/>
  </si>
  <si>
    <t>old</t>
    <phoneticPr fontId="6"/>
  </si>
  <si>
    <t>参照用コード（ここにeffect_paramを入力してください）</t>
    <rPh sb="0" eb="3">
      <t>サンショウヨウ</t>
    </rPh>
    <rPh sb="23" eb="25">
      <t>ニュウry</t>
    </rPh>
    <phoneticPr fontId="6"/>
  </si>
  <si>
    <t>全体攻撃</t>
    <phoneticPr fontId="6"/>
  </si>
  <si>
    <t>old</t>
    <phoneticPr fontId="6"/>
  </si>
  <si>
    <t>old</t>
    <phoneticPr fontId="8"/>
  </si>
  <si>
    <t>文字数確認欄</t>
    <rPh sb="0" eb="6">
      <t>モジス</t>
    </rPh>
    <phoneticPr fontId="6"/>
  </si>
  <si>
    <t>complete</t>
  </si>
  <si>
    <t>文字数</t>
    <rPh sb="0" eb="3">
      <t>モジス</t>
    </rPh>
    <phoneticPr fontId="6"/>
  </si>
  <si>
    <t>full_member</t>
    <phoneticPr fontId="6"/>
  </si>
  <si>
    <t>bit</t>
  </si>
  <si>
    <t>null</t>
  </si>
  <si>
    <t>link</t>
  </si>
  <si>
    <t>unit</t>
  </si>
  <si>
    <t>1F 敵A</t>
    <rPh sb="3" eb="4">
      <t>テk</t>
    </rPh>
    <phoneticPr fontId="6"/>
  </si>
  <si>
    <t>1ターン目</t>
    <phoneticPr fontId="6"/>
  </si>
  <si>
    <t>1F 敵B</t>
    <rPh sb="3" eb="4">
      <t>テk</t>
    </rPh>
    <phoneticPr fontId="6"/>
  </si>
  <si>
    <t>3ターン目</t>
  </si>
  <si>
    <t>3ターン目</t>
    <phoneticPr fontId="6"/>
  </si>
  <si>
    <t>開幕</t>
    <rPh sb="0" eb="2">
      <t>カイマk</t>
    </rPh>
    <phoneticPr fontId="6"/>
  </si>
  <si>
    <t>2ターン目</t>
    <phoneticPr fontId="6"/>
  </si>
  <si>
    <t>4ターン目</t>
  </si>
  <si>
    <t>1every</t>
    <phoneticPr fontId="6"/>
  </si>
  <si>
    <t>2every</t>
    <phoneticPr fontId="6"/>
  </si>
  <si>
    <t>4every</t>
    <phoneticPr fontId="6"/>
  </si>
  <si>
    <t>1F 敵C</t>
    <rPh sb="3" eb="4">
      <t>テk</t>
    </rPh>
    <phoneticPr fontId="6"/>
  </si>
  <si>
    <t>2F 敵A</t>
    <rPh sb="3" eb="4">
      <t>テk</t>
    </rPh>
    <phoneticPr fontId="6"/>
  </si>
  <si>
    <t>HP50%以上</t>
    <rPh sb="5" eb="7">
      <t>イジョウ</t>
    </rPh>
    <phoneticPr fontId="6"/>
  </si>
  <si>
    <t>HP12％以下</t>
    <rPh sb="5" eb="7">
      <t>イk</t>
    </rPh>
    <phoneticPr fontId="6"/>
  </si>
  <si>
    <t>偶数ターン</t>
    <rPh sb="0" eb="2">
      <t>グウス</t>
    </rPh>
    <phoneticPr fontId="6"/>
  </si>
  <si>
    <t>奇数ターン40％</t>
    <rPh sb="0" eb="2">
      <t>キス</t>
    </rPh>
    <phoneticPr fontId="6"/>
  </si>
  <si>
    <t>奇数ターン60％</t>
    <rPh sb="0" eb="2">
      <t>キス</t>
    </rPh>
    <phoneticPr fontId="6"/>
  </si>
  <si>
    <t>3every</t>
    <phoneticPr fontId="6"/>
  </si>
  <si>
    <t>3F 敵A 2ゲージ目</t>
    <rPh sb="3" eb="4">
      <t>テk</t>
    </rPh>
    <phoneticPr fontId="6"/>
  </si>
  <si>
    <t>3F 敵A 1ゲージ目</t>
    <rPh sb="3" eb="4">
      <t>テk</t>
    </rPh>
    <phoneticPr fontId="6"/>
  </si>
  <si>
    <t>HP60%以上25％</t>
    <rPh sb="5" eb="7">
      <t>イジョ</t>
    </rPh>
    <phoneticPr fontId="6"/>
  </si>
  <si>
    <t>HP60%未満25%</t>
    <rPh sb="5" eb="7">
      <t>ミマン</t>
    </rPh>
    <phoneticPr fontId="6"/>
  </si>
  <si>
    <t>7ターン目</t>
    <phoneticPr fontId="6"/>
  </si>
  <si>
    <t>8ターン目</t>
  </si>
  <si>
    <t>9ターン目</t>
  </si>
  <si>
    <t>11ターン目</t>
    <phoneticPr fontId="6"/>
  </si>
  <si>
    <t>12ターン目</t>
  </si>
  <si>
    <t>13ターン目</t>
  </si>
  <si>
    <t>4F 敵A 1ゲージ目</t>
    <rPh sb="3" eb="4">
      <t>テk</t>
    </rPh>
    <phoneticPr fontId="6"/>
  </si>
  <si>
    <t>4F 敵A 2ゲージ目</t>
    <rPh sb="3" eb="4">
      <t>テk</t>
    </rPh>
    <phoneticPr fontId="6"/>
  </si>
  <si>
    <t>HP50%以下1回</t>
    <rPh sb="5" eb="7">
      <t>イカ</t>
    </rPh>
    <rPh sb="8" eb="9">
      <t>カ</t>
    </rPh>
    <phoneticPr fontId="6"/>
  </si>
  <si>
    <t>HP30%以下</t>
    <rPh sb="5" eb="7">
      <t>イk</t>
    </rPh>
    <phoneticPr fontId="6"/>
  </si>
  <si>
    <t>クリティカル！</t>
  </si>
  <si>
    <t>3ターンハートパネルを吸収して防御力UP</t>
  </si>
  <si>
    <t>黄パネルプロテクト</t>
    <phoneticPr fontId="6"/>
  </si>
  <si>
    <t>黄パネルを吸収して全体攻撃</t>
    <phoneticPr fontId="6"/>
  </si>
  <si>
    <t>クリティカル！
(次のターン黄パネルを吸収して攻撃！)</t>
    <rPh sb="9" eb="10">
      <t>ツg</t>
    </rPh>
    <rPh sb="14" eb="15">
      <t>ki</t>
    </rPh>
    <rPh sb="19" eb="21">
      <t>キュウシュ</t>
    </rPh>
    <rPh sb="23" eb="25">
      <t>コウゲk</t>
    </rPh>
    <phoneticPr fontId="6"/>
  </si>
  <si>
    <t>クリティカル！</t>
    <phoneticPr fontId="6"/>
  </si>
  <si>
    <t>赤パネルを緑のダメージパネルに5個変換</t>
    <phoneticPr fontId="6"/>
  </si>
  <si>
    <t>赤パネルプロテクト(最大6個)
(次のターン赤パネルを吸収して攻撃！)</t>
    <rPh sb="22" eb="23">
      <t>アk</t>
    </rPh>
    <phoneticPr fontId="6"/>
  </si>
  <si>
    <t>青パネルプロテクト(最大6個)
(次のターン青パネルを吸収して攻撃！)</t>
    <rPh sb="22" eb="23">
      <t>ア</t>
    </rPh>
    <phoneticPr fontId="6"/>
  </si>
  <si>
    <t>3回連続攻撃+ハートパネルプロテクト(最大3個)</t>
    <phoneticPr fontId="6"/>
  </si>
  <si>
    <t>全体攻撃</t>
    <rPh sb="0" eb="4">
      <t>ゼンタイコウg</t>
    </rPh>
    <phoneticPr fontId="6"/>
  </si>
  <si>
    <t>2ターン防御力UP+クリティカル！</t>
    <phoneticPr fontId="6"/>
  </si>
  <si>
    <t>全体攻撃+属性パネルプロテクト(最大3個)</t>
    <phoneticPr fontId="6"/>
  </si>
  <si>
    <t>ハートパネルが出現しない</t>
    <phoneticPr fontId="6"/>
  </si>
  <si>
    <t>死亡時</t>
    <rPh sb="0" eb="2">
      <t>シボ</t>
    </rPh>
    <rPh sb="2" eb="3">
      <t>ジ</t>
    </rPh>
    <phoneticPr fontId="6"/>
  </si>
  <si>
    <t>[effect:critical, val:1.2, animation:enemy_critical]</t>
    <phoneticPr fontId="6"/>
  </si>
  <si>
    <t>[effect:spread, val:0.3]</t>
    <phoneticPr fontId="6"/>
  </si>
  <si>
    <t>[effect:panel_freeze, target:normal, color:block_yellow, count:-1]</t>
    <phoneticPr fontId="6"/>
  </si>
  <si>
    <t>[effect:panel_freeze, target:normal, color:block_blue, count:6]</t>
    <phoneticPr fontId="6"/>
  </si>
  <si>
    <t>[effect:rush, count:3, val:0.4],
[effect:panel_freeze, target:normal, color:block_heart, count:3]</t>
    <phoneticPr fontId="6"/>
  </si>
  <si>
    <t>[effect:spread, val:0.3],
[effect:panel_freeze, target:normal, count:3]</t>
    <phoneticPr fontId="6"/>
  </si>
  <si>
    <t>1ターン全属性の攻撃をカウンター</t>
    <rPh sb="4" eb="7">
      <t>ゼンz</t>
    </rPh>
    <phoneticPr fontId="6"/>
  </si>
  <si>
    <t>全体攻撃+
お邪魔パネルを緑のダメージパネルに変換</t>
    <phoneticPr fontId="6"/>
  </si>
  <si>
    <t>[effect:rush, count:1, val:1.0],
[effect:enemy_counter, target:myself, invoke_condition:unit_all, counter_target:attacker, turn:1, val:0.1, animation:enemy_counter]</t>
    <phoneticPr fontId="6"/>
  </si>
  <si>
    <t>[effect:enhance_enemy, target:myself, turn:2, status:defense, val:2000, calc:add, animation:enemy_enhance_defense],
[effect:critical, val:1.2, animation:enemy_critical]</t>
    <phoneticPr fontId="6"/>
  </si>
  <si>
    <t>2回連続攻撃+
2ターン全ユニットの回復力30%DOWN</t>
    <phoneticPr fontId="6"/>
  </si>
  <si>
    <t>全体攻撃+
2ターン全ユニットの回復力50%DOWN</t>
    <phoneticPr fontId="6"/>
  </si>
  <si>
    <t>全体攻撃+
3ターン全ユニットの回復力25%DOWN</t>
    <rPh sb="10" eb="11">
      <t>ゼンユn</t>
    </rPh>
    <phoneticPr fontId="6"/>
  </si>
  <si>
    <t>[effect:rush, count:2, val:0.4],
[effect:degrade_unit, target:unit_all, turn:2, status:heal, val:0.3, calc:mul, animation:degrade_unit_all_heal]</t>
    <phoneticPr fontId="6"/>
  </si>
  <si>
    <t>[effect:rush, count:3, val:0.3],
[effect:panel_freeze, target:normal, color:block_heart, count:3]</t>
    <phoneticPr fontId="6"/>
  </si>
  <si>
    <t>[effect:spread, val:0.3],
[effect:degrade_unit, target:unit_all, turn:3, status:heal, val:0.25, calc:mul, animation:degrade_unit_all_heal]</t>
    <phoneticPr fontId="6"/>
  </si>
  <si>
    <t>単体攻撃+
1ターン全属性の攻撃をカウンター</t>
    <phoneticPr fontId="6"/>
  </si>
  <si>
    <t>[effect:change_panel_ratio, turn:-1, block_type:heal, val:0, animation:block_incidence04]</t>
    <phoneticPr fontId="6"/>
  </si>
  <si>
    <t>緑パネルは確率でプロテクトされてドロップ</t>
    <phoneticPr fontId="6"/>
  </si>
  <si>
    <t>赤パネルを吸収して全体攻撃</t>
    <phoneticPr fontId="6"/>
  </si>
  <si>
    <t>青パネルを吸収して全体攻撃</t>
    <phoneticPr fontId="6"/>
  </si>
  <si>
    <t>HP60%未満開幕</t>
    <rPh sb="5" eb="7">
      <t>ミマン</t>
    </rPh>
    <rPh sb="7" eb="9">
      <t>カイm</t>
    </rPh>
    <phoneticPr fontId="6"/>
  </si>
  <si>
    <t xml:space="preserve">[effect:freq_turn, target:myself, turn:-1, val:1, animation:enemy_freq_turn],
[effect:crash_condition, target:unit_all, turn:4, val:2, animation:enemy_crash_extend]    </t>
    <phoneticPr fontId="6"/>
  </si>
  <si>
    <t>[effect:rush, count:1, val:0.1],[effect:rush, count:1, val:0.1],[effect:rush, count:1, val:0.1]</t>
    <phoneticPr fontId="6"/>
  </si>
  <si>
    <t>[effect:panel_freeze, target:normal, color:block_red, count:6],
[effect:fix_speed, target:myself, turn:1]</t>
    <phoneticPr fontId="6"/>
  </si>
  <si>
    <t>[effect:drop_freeze, turn:-1, block_type:normal, block_color:block_green, rate:0.5, animation:drop_protect],
[effect:fix_speed, target:myself, turn:2]</t>
    <phoneticPr fontId="6"/>
  </si>
  <si>
    <t>[effect:break_enchance_enemy, target:myself, val:100, lowest_val:1000, count:-1, status:defense, turn:3, block01:block_heart, calc:add, animation:enemy_enhance_defense],
[effect:fix_speed, target:myself, turn:1],[effect:fix_speed, target:enemy_green, turn:2]</t>
    <phoneticPr fontId="6"/>
  </si>
  <si>
    <t>赤パネルを吸収して攻撃(最大6個)</t>
  </si>
  <si>
    <t>青パネルを吸収して攻撃(最大6個)</t>
  </si>
  <si>
    <t>[effect:fix_speed, target:myself, turn:1],
[effect:tolerance, target:myself, turn:-1, count:-1, tolerance_effect:all, animation:enemy_tolerance],
[effect:change_range_block, block_change:1, base_type:0, square_count:3, position01:0, value_h01:1, value_w01:3, 
new_block:jammer, target:block_all, count:0, val:0, animation:change _range_bock]</t>
    <phoneticPr fontId="6"/>
  </si>
  <si>
    <t>[effect:drop_freeze, turn:-1, block_type:normal, block_color:block_yellow, rate:0.5, animation:drop_protect],
[effect:fix_speed, target:myself, turn:1]</t>
    <phoneticPr fontId="6"/>
  </si>
  <si>
    <t>[effect:rush, count:1, val:0.7],[effect:rush, count:1, val:0.4]</t>
    <phoneticPr fontId="6"/>
  </si>
  <si>
    <t>[effect:rush, count:1, val:0.1],[effect:rush, count:1, val:0.1],[effect:rush, count:1, val:0.1],[effect:rush, count:1, val:0.1],[effect:rush, count:1, val:0.1]</t>
    <phoneticPr fontId="6"/>
  </si>
  <si>
    <t>[effect:rush, count:1, val:0.1],[effect:rush, count:1, val:0.3],[effect:rush, count:1, val:0.2],[effect:rush, count:1, val:0.1]</t>
    <phoneticPr fontId="6"/>
  </si>
  <si>
    <t>[effect:rush, count:1, val:0.4],[effect:rush, count:1, val:0.2],[effect:rush, count:1, val:0.3]</t>
    <phoneticPr fontId="6"/>
  </si>
  <si>
    <t>[effect:rush, count:1, val:0.3],[effect:rush, count:1, val:0.1],[effect:rush, count:1, val:0.1]</t>
    <phoneticPr fontId="6"/>
  </si>
  <si>
    <t>[effect:rush, count:1, val:0.2],[effect:rush, count:1, val:0.3],[effect:rush, count:1, val:0.2]</t>
    <phoneticPr fontId="6"/>
  </si>
  <si>
    <t>[effect:critical, val:1.3, animation:enemy_critical]</t>
    <phoneticPr fontId="6"/>
  </si>
  <si>
    <t>[effect:spread, val:0.3],
[effect:force_change_block, new_block:damage, target:jammer, color:block_green, count:0, val:0.02, animation:change_bock]</t>
    <phoneticPr fontId="6"/>
  </si>
  <si>
    <t>[effect:break_attack_fix, target:unit_all, val:250, lowest_val:750, count:-1, block01:block_yellow]</t>
    <phoneticPr fontId="6"/>
  </si>
  <si>
    <t>[effect:spread, val:0.7]</t>
    <phoneticPr fontId="6"/>
  </si>
  <si>
    <t>[effect:break_attack_fix, target:unit_one, val:150, lowest_val:1429, count:6, block01:block_red]</t>
    <phoneticPr fontId="6"/>
  </si>
  <si>
    <t>[effect:break_attack_fix, target:unit_one, val:150, lowest_val:1429, count:6, block01:block_blue]</t>
    <phoneticPr fontId="6"/>
  </si>
  <si>
    <t>[effect:break_attack_fix, target:unit_all, val:100, lowest_val:200, count:-1, block01:block_yellow]</t>
    <phoneticPr fontId="6"/>
  </si>
  <si>
    <t>2回連続攻撃</t>
    <phoneticPr fontId="6"/>
  </si>
  <si>
    <t>3回連続攻撃</t>
    <phoneticPr fontId="6"/>
  </si>
  <si>
    <t>4回連続攻撃</t>
    <phoneticPr fontId="6"/>
  </si>
  <si>
    <t>5回連続攻撃</t>
    <phoneticPr fontId="6"/>
  </si>
  <si>
    <t>ミステリアスな占い師</t>
    <rPh sb="7" eb="8">
      <t>ウラナ</t>
    </rPh>
    <phoneticPr fontId="6"/>
  </si>
  <si>
    <t>ALICEのデータベース</t>
    <phoneticPr fontId="6"/>
  </si>
  <si>
    <t>分かり合えない二人</t>
    <rPh sb="0" eb="1">
      <t>ワカリアエナ</t>
    </rPh>
    <phoneticPr fontId="6"/>
  </si>
  <si>
    <t>没収ス…ル！</t>
  </si>
  <si>
    <t>没収ス…ル！</t>
    <rPh sb="0" eb="2">
      <t>ボッシュ</t>
    </rPh>
    <phoneticPr fontId="6"/>
  </si>
  <si>
    <t>ハ…ジョ…
排除…スル！</t>
  </si>
  <si>
    <t>ハ…ジョ…
排除…スル！</t>
    <rPh sb="6" eb="8">
      <t>ハイj</t>
    </rPh>
    <phoneticPr fontId="6"/>
  </si>
  <si>
    <t>単体攻撃+
緑パネルを緑のダメージパネルに5個変換</t>
    <rPh sb="0" eb="4">
      <t>タンタ</t>
    </rPh>
    <rPh sb="11" eb="12">
      <t>ミドr</t>
    </rPh>
    <phoneticPr fontId="6"/>
  </si>
  <si>
    <t>[effect:rush, count:1, val:1.0],
[effect:force_change_block, new_block:damage, target:block_green, color:block_green, count:5, val:0.04, animation:change_bock]</t>
    <phoneticPr fontId="6"/>
  </si>
  <si>
    <t>[effect:fix_speed, target:myself, turn:1],
[effect:tolerance, target:myself, turn:-1, count:-1, tolerance_effect:all, animation:enemy_tolerance],
[effect:change_range_block, block_change:1, base_type:0, square_count:6, position01:2, value_h01:2, value_w01:2, 
new_block:damage, target:block_all, color:block_red, count:0, val:0.02, animation:change_range_bock],
[effect:change_range_block, block_change:1, base_type:0, square_count:6, position01:24, value_h01:2, value_w01:2, 
new_block:damage, target:block_all, color:block_green, count:0, val:0.02, animation:change_range_bock],
[effect:change_range_block, block_change:1, base_type:0, square_count:6, position01:28, value_h01:2, value_w01:2, 
new_block:damage, target:block_all, color:block_blue, count:0, val:0.02, animation:change_range_bock]</t>
    <phoneticPr fontId="6"/>
  </si>
  <si>
    <t>[effect:enemy_counter, target:myself, invoke_condition:unit_all, counter_target:attacker, turn:1, val:0.3, animation:enemy_counter]</t>
    <phoneticPr fontId="6"/>
  </si>
  <si>
    <t>[effect:break_attack_fix, target:unit_all, val:250, lowest_val:200, count:-1, block01:block_blue]</t>
    <phoneticPr fontId="6"/>
  </si>
  <si>
    <t>[effect:break_attack_fix, target:unit_all, val:250, lowest_val:200, count:-1, block01:block_red]</t>
    <phoneticPr fontId="6"/>
  </si>
  <si>
    <t>ピカピカハンマー！</t>
  </si>
  <si>
    <t>ピカピカハンマー！</t>
    <phoneticPr fontId="6"/>
  </si>
  <si>
    <t>ここは占拠したわ！</t>
  </si>
  <si>
    <t>ここは占拠したわ！</t>
    <rPh sb="3" eb="5">
      <t>センky</t>
    </rPh>
    <phoneticPr fontId="6"/>
  </si>
  <si>
    <t>これは私が壊すの！</t>
  </si>
  <si>
    <t>これは私が壊すの！</t>
    <phoneticPr fontId="6"/>
  </si>
  <si>
    <t>カッチカチハンマー！</t>
  </si>
  <si>
    <t>カッチカチハンマー！</t>
    <phoneticPr fontId="6"/>
  </si>
  <si>
    <t>壊しちゃダメ！</t>
  </si>
  <si>
    <t>壊しちゃダメ！</t>
    <rPh sb="0" eb="1">
      <t>コワs</t>
    </rPh>
    <phoneticPr fontId="6"/>
  </si>
  <si>
    <t>やっぱり来たのね…</t>
  </si>
  <si>
    <t>やっぱり来たのね…</t>
    <rPh sb="4" eb="5">
      <t>キタワネ</t>
    </rPh>
    <phoneticPr fontId="6"/>
  </si>
  <si>
    <t>もう十分だわ…</t>
    <rPh sb="2" eb="4">
      <t>１０b</t>
    </rPh>
    <phoneticPr fontId="6"/>
  </si>
  <si>
    <t>邪魔をしないで…！</t>
  </si>
  <si>
    <t>邪魔をしないで…！</t>
    <rPh sb="0" eb="2">
      <t>ジャm</t>
    </rPh>
    <phoneticPr fontId="6"/>
  </si>
  <si>
    <t>なかなかね…</t>
    <phoneticPr fontId="6"/>
  </si>
  <si>
    <t>トリシューラ</t>
  </si>
  <si>
    <t>トリシューラ</t>
    <phoneticPr fontId="6"/>
  </si>
  <si>
    <t>[effect:damage_fix_absolute, target:unit_all, val:2222]</t>
    <phoneticPr fontId="6"/>
  </si>
  <si>
    <t>[effect:force_change_block, new_block:damage, target:block_red, color:block_green, count:5, val:0.05, animation:change_bock]</t>
    <phoneticPr fontId="6"/>
  </si>
  <si>
    <t>[effect:spread, val:0.25],
[effect:degrade_unit, target:unit_all, turn:2, status:heal, val:0.5, calc:mul, animation:degrade_unit_all_heal]</t>
    <phoneticPr fontId="6"/>
  </si>
  <si>
    <t>[effect:spread, val:0.25]</t>
    <phoneticPr fontId="6"/>
  </si>
  <si>
    <t>[effect:rush, count:1, val:1.0],
[effect:force_change_block, new_block:damage, target:block_green, color:block_green, count:3, val:0.05, animation:change_bock]</t>
    <phoneticPr fontId="6"/>
  </si>
  <si>
    <t>単体攻撃+
緑パネルを緑のダメージパネルに3個変換</t>
    <phoneticPr fontId="6"/>
  </si>
  <si>
    <t>[effect:force_change_block, new_block:crash, target:normal, count:6, val:6, animation:change_block]</t>
    <phoneticPr fontId="6"/>
  </si>
  <si>
    <t>HP20％以下</t>
    <rPh sb="5" eb="7">
      <t>イk</t>
    </rPh>
    <phoneticPr fontId="6"/>
  </si>
  <si>
    <t>全体攻撃+
ハートパネルをハートボムパネルに5個変換</t>
    <rPh sb="23" eb="26">
      <t>k</t>
    </rPh>
    <phoneticPr fontId="6"/>
  </si>
  <si>
    <t>[effect:spread, val:0.25],
[effect:force_change_block, new_block:crack_bomb, target:block_heart, count:5, val:12, animation:change_block]</t>
    <phoneticPr fontId="6"/>
  </si>
  <si>
    <t>私に力を示してみよ！</t>
  </si>
  <si>
    <t>私に力を示してみよ！</t>
    <rPh sb="0" eb="1">
      <t>ワタs</t>
    </rPh>
    <rPh sb="2" eb="3">
      <t>チカr</t>
    </rPh>
    <rPh sb="4" eb="5">
      <t>シメs</t>
    </rPh>
    <phoneticPr fontId="6"/>
  </si>
  <si>
    <t>ピッカピカハンマー！</t>
  </si>
  <si>
    <t>ピッカピカハンマー！</t>
    <phoneticPr fontId="6"/>
  </si>
  <si>
    <t>死亡時</t>
    <rPh sb="0" eb="3">
      <t>シボ</t>
    </rPh>
    <phoneticPr fontId="6"/>
  </si>
  <si>
    <t>5回連続攻撃
(1ターン低確率で命中したユニットにスリープ)</t>
    <phoneticPr fontId="6"/>
  </si>
  <si>
    <t>[effect:damage_abnormal, target:unit_one, val:0.2, status:sleep, turn:1, rate:0.1, animation:sleep01],
[effect:damage_abnormal, target:unit_one, val:0.1, status:sleep, turn:1, rate:0.1, animation:sleep01],
[effect:damage_abnormal, target:unit_one, val:0.2, status:sleep, turn:1, rate:0.1, animation:sleep01],
[effect:damage_abnormal, target:unit_one, val:0.1, status:sleep, turn:1, rate:0.1, animation:sleep01],
[effect:damage_abnormal, target:unit_one, val:0.2, status:sleep, turn:1, rate:0.1, animation:sleep01]</t>
    <phoneticPr fontId="6"/>
  </si>
  <si>
    <t>…悪気はないの</t>
  </si>
  <si>
    <t>…悪気はないの</t>
    <rPh sb="1" eb="3">
      <t>ワルg</t>
    </rPh>
    <phoneticPr fontId="6"/>
  </si>
  <si>
    <t>ごめんなさいね…</t>
  </si>
  <si>
    <t>ごめんなさいね…</t>
    <phoneticPr fontId="6"/>
  </si>
  <si>
    <t>[effect:break_attack_fix, target:unit_one, val:100, lowest_val:571, count:6, block01:block_red]</t>
    <phoneticPr fontId="6"/>
  </si>
  <si>
    <t>[effect:break_attack_fix, target:unit_one, val:100, lowest_val:571, count:6, block01:block_blue]</t>
    <phoneticPr fontId="6"/>
  </si>
  <si>
    <t>[effect:break_enchance_enemy, target:myself, val:100, lowest_val:700, count:-1, status:defense, turn:3, block01:block_heart, calc:add, animation:enemy_enhance_defense],
[effect:fix_speed, target:myself, turn:1],[effect:fix_speed, target:enemy_green, turn:2]</t>
    <phoneticPr fontId="6"/>
  </si>
  <si>
    <t>[effect:break_attack_fix, target:unit_all, val:75, lowest_val:150, count:-1, block01:block_yellow]</t>
    <phoneticPr fontId="6"/>
  </si>
  <si>
    <t>[effect:damage_fix_absolute, target:unit_all, val:2000]</t>
    <phoneticPr fontId="6"/>
  </si>
  <si>
    <t>[effect:force_change_block, new_block:damage, target:block_red, color:block_green, count:4, val:0.04, animation:change_bock]</t>
    <phoneticPr fontId="6"/>
  </si>
  <si>
    <t>赤パネルを緑のダメージパネルに4個変換</t>
    <phoneticPr fontId="6"/>
  </si>
  <si>
    <t>全体攻撃+
2ターン全ユニットの回復力40%DOWN</t>
    <phoneticPr fontId="6"/>
  </si>
  <si>
    <t>[effect:spread, val:0.25],
[effect:degrade_unit, target:unit_all, turn:2, status:heal, val:0.4, calc:mul, animation:degrade_unit_all_heal]</t>
    <phoneticPr fontId="6"/>
  </si>
  <si>
    <t>単体攻撃+
緑パネルを緑のダメージパネルに3個変換</t>
    <rPh sb="0" eb="4">
      <t>タンタ</t>
    </rPh>
    <rPh sb="11" eb="12">
      <t>ミドr</t>
    </rPh>
    <phoneticPr fontId="6"/>
  </si>
  <si>
    <t>[effect:drop_freeze, turn:-1, block_type:normal, block_color:block_green, rate:0.4, animation:drop_protect],
[effect:fix_speed, target:myself, turn:2]</t>
    <phoneticPr fontId="6"/>
  </si>
  <si>
    <t xml:space="preserve">[effect:freq_turn, target:myself, turn:-1, val:1, animation:enemy_freq_turn],
[effect:crash_condition, target:unit_all, turn:3, val:2, animation:enemy_crash_extend]    </t>
    <phoneticPr fontId="6"/>
  </si>
  <si>
    <t>[effect:spread, val:0.3],
[effect:degrade_unit, target:unit_all, turn:2, status:heal, val:0.25, calc:mul, animation:degrade_unit_all_heal]</t>
    <phoneticPr fontId="6"/>
  </si>
  <si>
    <t>全体攻撃+
2ターン全ユニットの回復力25%DOWN</t>
    <rPh sb="10" eb="11">
      <t>ゼンユn</t>
    </rPh>
    <phoneticPr fontId="6"/>
  </si>
  <si>
    <t>[effect:enhance_enemy, target:myself, turn:2, status:defense, val:1500, calc:add, animation:enemy_enhance_defense],
[effect:critical, val:1.2, animation:enemy_critical]</t>
    <phoneticPr fontId="6"/>
  </si>
  <si>
    <t>強力な全体攻撃</t>
    <phoneticPr fontId="6"/>
  </si>
  <si>
    <t>[effect:break_attack_fix, target:unit_all, val:150, lowest_val:200, count:-1, block01:block_red]</t>
    <phoneticPr fontId="6"/>
  </si>
  <si>
    <t>[effect:break_attack_fix, target:unit_all, val:150, lowest_val:200, count:-1, block01:block_blue]</t>
    <phoneticPr fontId="6"/>
  </si>
  <si>
    <t>[effect:rush, count:1, val:0.8],
[effect:force_change_block, new_block:damage, target:block_green, color:block_green, count:3, val:0.04, animation:change_bock]</t>
    <phoneticPr fontId="6"/>
  </si>
  <si>
    <t>[effect:break_attack_fix, target:unit_all, val:175, lowest_val:700, count:-1, block01:block_yellow]</t>
    <phoneticPr fontId="6"/>
  </si>
  <si>
    <t>状態異常耐性+
特定エリアをお邪魔パネルに変換</t>
    <rPh sb="8" eb="10">
      <t>トクテ</t>
    </rPh>
    <phoneticPr fontId="6"/>
  </si>
  <si>
    <t>Cパネルを吸収して強力な攻撃(最大6個)</t>
    <rPh sb="9" eb="11">
      <t>キョウリョk</t>
    </rPh>
    <rPh sb="15" eb="17">
      <t>サイダ</t>
    </rPh>
    <rPh sb="18" eb="19">
      <t>コ</t>
    </rPh>
    <phoneticPr fontId="6"/>
  </si>
  <si>
    <t>ちょっと探し物があるの…</t>
  </si>
  <si>
    <t>ちょっと探し物があるの…</t>
    <rPh sb="4" eb="5">
      <t>サガs</t>
    </rPh>
    <phoneticPr fontId="6"/>
  </si>
  <si>
    <t>えい！</t>
  </si>
  <si>
    <t>えい！</t>
    <phoneticPr fontId="6"/>
  </si>
  <si>
    <t>この先にいるやつは手強いぞ…</t>
  </si>
  <si>
    <t>この先にいるやつは手強いぞ…</t>
    <phoneticPr fontId="6"/>
  </si>
  <si>
    <t>ウルズは様々な歴史の記録を得るため
ヒストリア・アーカイブに
潜入していました
彼女の本当の目的は…</t>
    <phoneticPr fontId="6"/>
  </si>
  <si>
    <t>周囲に持てはやされているクレオパトラを
ゼノビアは妬んでいましたが
クレオパトラもゼノビアの高圧的な態度が
苦手で避けていました</t>
    <phoneticPr fontId="6"/>
  </si>
  <si>
    <t>状態異常耐性+
特定エリアを赤&amp;緑&amp;青のダメージパネルに変換</t>
    <rPh sb="8" eb="10">
      <t>トクテ</t>
    </rPh>
    <phoneticPr fontId="6"/>
  </si>
  <si>
    <t>属性パネルを先頭ユニットのCパネルに6個変換
(次のターンCパネルを吸収して強力な攻撃！)</t>
    <rPh sb="0" eb="2">
      <t>ゾクセ</t>
    </rPh>
    <rPh sb="6" eb="8">
      <t>セント</t>
    </rPh>
    <rPh sb="19" eb="22">
      <t>ko</t>
    </rPh>
    <rPh sb="38" eb="40">
      <t>キョ</t>
    </rPh>
    <phoneticPr fontId="6"/>
  </si>
  <si>
    <t>3回連続攻撃+ハートパネルプロテクト(最大3個)</t>
    <rPh sb="22" eb="23">
      <t>k</t>
    </rPh>
    <phoneticPr fontId="6"/>
  </si>
  <si>
    <t>黄パネルは確率でプロテクトされてドロップ
(HP50%以上のときに強力な攻撃！)</t>
    <phoneticPr fontId="6"/>
  </si>
  <si>
    <t>ALICEのデータベース</t>
    <phoneticPr fontId="6"/>
  </si>
  <si>
    <t>ウルズはHPが50%以下になると
攻撃の威力が弱くなります
強力な攻撃を受ける前に
HPを減らして突破しましょう</t>
    <phoneticPr fontId="6"/>
  </si>
  <si>
    <t>ゼノビアの2ゲージ目は
HPが一定以下になると
強力な全体攻撃を繰り返します
スキルやフィーバーで一気に倒しましょう</t>
    <phoneticPr fontId="6"/>
  </si>
  <si>
    <t>マミコが吸収攻撃予告をしたら
次のターンに備えて対応しましょう
カウンタースキルを使用したら
ターンスキップするのも一つの手です</t>
    <rPh sb="4" eb="10">
      <t>キュウシュ</t>
    </rPh>
    <rPh sb="15" eb="16">
      <t>ツg</t>
    </rPh>
    <rPh sb="21" eb="22">
      <t>ソナ</t>
    </rPh>
    <rPh sb="24" eb="26">
      <t>タイオ</t>
    </rPh>
    <rPh sb="41" eb="43">
      <t>シヨウs</t>
    </rPh>
    <rPh sb="58" eb="59">
      <t>ヒトツノ</t>
    </rPh>
    <phoneticPr fontId="6"/>
  </si>
  <si>
    <t>シヴァはパネルプロテクトを使用します
さらに強力なパネル吸収攻撃で
大ダメージを与えてくるので
予告を見逃さないようにしましょう</t>
    <rPh sb="22" eb="24">
      <t>キョ</t>
    </rPh>
    <phoneticPr fontId="6"/>
  </si>
  <si>
    <t>ゼノビアはCパネル変換した次のターンに
強力なCパネル吸収攻撃を行います
Cパネルは残さないようにしましょう</t>
    <rPh sb="13" eb="14">
      <t>ツギノタ</t>
    </rPh>
    <phoneticPr fontId="6"/>
  </si>
  <si>
    <t>シヴァはヴェーダ・アーカイブの
統合管理AIとして
ヒストリア・アーカイブの異変を
察知して駆けつけたようです</t>
    <rPh sb="16" eb="20">
      <t>トウゴウカンr</t>
    </rPh>
    <rPh sb="38" eb="40">
      <t>イヘn</t>
    </rPh>
    <phoneticPr fontId="6"/>
  </si>
  <si>
    <t>シヴァはヴェーダ・アーカイブの
統合管理AIとして
ヒストリア・アーカイブの異変を
察知して駆けつけたようです</t>
    <phoneticPr fontId="6"/>
  </si>
  <si>
    <t>ピナーカ</t>
  </si>
  <si>
    <t>ピナーカ</t>
    <phoneticPr fontId="6"/>
  </si>
  <si>
    <t>第三の目…開眼！</t>
  </si>
  <si>
    <t>第三の目…開眼！</t>
    <rPh sb="5" eb="7">
      <t>カイガn</t>
    </rPh>
    <phoneticPr fontId="6"/>
  </si>
  <si>
    <t>マハーカーラ</t>
  </si>
  <si>
    <t>マハーカーラ</t>
    <phoneticPr fontId="6"/>
  </si>
  <si>
    <t>ここは…任せた…！</t>
  </si>
  <si>
    <t>ここは…任せた…！</t>
    <phoneticPr fontId="6"/>
  </si>
  <si>
    <t>全力でいくぞっ！</t>
  </si>
  <si>
    <t>全力でいくぞっ！</t>
    <rPh sb="0" eb="2">
      <t>ゼンリョk</t>
    </rPh>
    <phoneticPr fontId="6"/>
  </si>
  <si>
    <t>ダブル・ハルバード</t>
  </si>
  <si>
    <t>ダブル・ハルバード</t>
    <phoneticPr fontId="6"/>
  </si>
  <si>
    <t>[表示しない]</t>
    <rPh sb="1" eb="3">
      <t>ヒョ</t>
    </rPh>
    <phoneticPr fontId="6"/>
  </si>
  <si>
    <t>私についてこられるか！</t>
  </si>
  <si>
    <t>私についてこられるか！</t>
    <rPh sb="0" eb="1">
      <t>ワタシニツイテコr</t>
    </rPh>
    <phoneticPr fontId="6"/>
  </si>
  <si>
    <t>覚悟せよ！</t>
  </si>
  <si>
    <t>覚悟せよ！</t>
    <rPh sb="0" eb="2">
      <t>カクg</t>
    </rPh>
    <phoneticPr fontId="6"/>
  </si>
  <si>
    <t>私は負けん！</t>
  </si>
  <si>
    <t>私は負けん！</t>
    <rPh sb="0" eb="1">
      <t>ワタシ</t>
    </rPh>
    <rPh sb="2" eb="3">
      <t>マk</t>
    </rPh>
    <phoneticPr fontId="6"/>
  </si>
  <si>
    <t>かわしてみよ！</t>
  </si>
  <si>
    <t>かわしてみよ！</t>
    <phoneticPr fontId="6"/>
  </si>
  <si>
    <t>わたくしの邪魔をするなんて
思い知らしてあげますわっ！</t>
  </si>
  <si>
    <t>わたくしの邪魔をするなんて
思い知らしてあげますわっ！</t>
    <rPh sb="5" eb="7">
      <t>ジャm</t>
    </rPh>
    <rPh sb="14" eb="15">
      <t>オモ</t>
    </rPh>
    <phoneticPr fontId="6"/>
  </si>
  <si>
    <t>そんな…わたくしが負けるなんて…</t>
  </si>
  <si>
    <t>そんな…わたくしが負けるなんて…</t>
    <rPh sb="9" eb="10">
      <t>マk</t>
    </rPh>
    <phoneticPr fontId="6"/>
  </si>
  <si>
    <t>シネホス・ヒュプノス</t>
  </si>
  <si>
    <t>シネホス・ヒュプノス</t>
    <phoneticPr fontId="6"/>
  </si>
  <si>
    <t>貴方もあの女を選ぶのでしょう？</t>
  </si>
  <si>
    <t>貴方もあの女を選ぶのでしょう？</t>
    <rPh sb="0" eb="2">
      <t>アナタ</t>
    </rPh>
    <rPh sb="5" eb="6">
      <t>オンn</t>
    </rPh>
    <rPh sb="7" eb="8">
      <t>エラb</t>
    </rPh>
    <phoneticPr fontId="6"/>
  </si>
  <si>
    <t>歴史を塗り替えるのよ…</t>
  </si>
  <si>
    <t>歴史を塗り替えるのよ…</t>
    <rPh sb="0" eb="2">
      <t>レキs</t>
    </rPh>
    <rPh sb="3" eb="4">
      <t>ヌリカエr</t>
    </rPh>
    <phoneticPr fontId="6"/>
  </si>
  <si>
    <t>クラッシュ・アポロフィシー</t>
  </si>
  <si>
    <t>クラッシュ・アポロフィシー</t>
    <phoneticPr fontId="6"/>
  </si>
  <si>
    <t>誰にも邪魔はさせませんの…！</t>
  </si>
  <si>
    <t>誰にも邪魔はさせませんの…！</t>
    <rPh sb="0" eb="1">
      <t>ダレn</t>
    </rPh>
    <rPh sb="3" eb="5">
      <t>ジャm</t>
    </rPh>
    <phoneticPr fontId="6"/>
  </si>
  <si>
    <t>痛い目を見ますわよ…</t>
  </si>
  <si>
    <t>痛い目を見ますわよ…</t>
    <rPh sb="0" eb="1">
      <t>イタ</t>
    </rPh>
    <rPh sb="4" eb="5">
      <t>ミマs</t>
    </rPh>
    <phoneticPr fontId="6"/>
  </si>
  <si>
    <t>ごきげんよう…
わたくしを止めるおつもりかしら？</t>
  </si>
  <si>
    <t>ごきげんよう…
わたくしを止めるおつもりかしら？</t>
    <rPh sb="13" eb="14">
      <t>トm</t>
    </rPh>
    <phoneticPr fontId="6"/>
  </si>
  <si>
    <t>プロテクタス・エピーサシー</t>
  </si>
  <si>
    <t>プロテクタス・エピーサシー</t>
    <phoneticPr fontId="6"/>
  </si>
  <si>
    <t>ラ・レーヴ・ド・パピヨン</t>
  </si>
  <si>
    <t>ラ・レーヴ・ド・パピヨン</t>
    <phoneticPr fontId="6"/>
  </si>
  <si>
    <t>キートリノス・アポロフィシー</t>
  </si>
  <si>
    <t>キートリノス・アポロフィシー</t>
    <phoneticPr fontId="6"/>
  </si>
  <si>
    <t>オンヴレーラ・アーミナ</t>
  </si>
  <si>
    <t>オンヴレーラ・アーミナ</t>
    <phoneticPr fontId="6"/>
  </si>
  <si>
    <t>貴方も消して差し上げましょう…</t>
  </si>
  <si>
    <t>貴方も消して差し上げましょう…</t>
    <rPh sb="0" eb="2">
      <t>アナt</t>
    </rPh>
    <rPh sb="3" eb="4">
      <t>ケs</t>
    </rPh>
    <phoneticPr fontId="6"/>
  </si>
  <si>
    <t>負けるわけにはいきませんわ！</t>
  </si>
  <si>
    <t>負けるわけにはいきませんわ！</t>
    <rPh sb="0" eb="1">
      <t>マケr</t>
    </rPh>
    <phoneticPr fontId="6"/>
  </si>
  <si>
    <t>ミーヌ・エピーサシー</t>
  </si>
  <si>
    <t>ミーヌ・エピーサシー</t>
    <phoneticPr fontId="6"/>
  </si>
  <si>
    <t>アレキサンダー…
後は頼みましたわ…</t>
    <rPh sb="9" eb="10">
      <t>アトh</t>
    </rPh>
    <rPh sb="11" eb="12">
      <t>タノm</t>
    </rPh>
    <phoneticPr fontId="6"/>
  </si>
  <si>
    <t>許しませんわ！！</t>
  </si>
  <si>
    <t>許しませんわ！！</t>
    <rPh sb="0" eb="1">
      <t>ユルs</t>
    </rPh>
    <phoneticPr fontId="6"/>
  </si>
  <si>
    <t>これでお仕舞いにしましょう…</t>
  </si>
  <si>
    <t>これでお仕舞いにしましょう…</t>
    <phoneticPr fontId="6"/>
  </si>
  <si>
    <t>死亡時
クレオパトラ</t>
    <rPh sb="0" eb="2">
      <t>シボ</t>
    </rPh>
    <rPh sb="2" eb="3">
      <t>ジ</t>
    </rPh>
    <phoneticPr fontId="6"/>
  </si>
  <si>
    <t>クレオパトラR5</t>
    <phoneticPr fontId="6"/>
  </si>
  <si>
    <t>クレオパトラR6</t>
    <phoneticPr fontId="6"/>
  </si>
  <si>
    <t>ハンニバルR5</t>
    <phoneticPr fontId="6"/>
  </si>
  <si>
    <t>ハンニバルR6</t>
    <phoneticPr fontId="6"/>
  </si>
  <si>
    <t>カエサルR5</t>
    <phoneticPr fontId="6"/>
  </si>
  <si>
    <t>カエサルR6</t>
    <phoneticPr fontId="6"/>
  </si>
  <si>
    <t>開幕
クレオパトラ</t>
    <rPh sb="0" eb="2">
      <t>カイマk</t>
    </rPh>
    <phoneticPr fontId="6"/>
  </si>
  <si>
    <t>開幕
カエサル</t>
    <rPh sb="0" eb="2">
      <t>カイマk</t>
    </rPh>
    <phoneticPr fontId="6"/>
  </si>
  <si>
    <t>開幕
ハンニバル</t>
    <rPh sb="0" eb="2">
      <t>カイマk</t>
    </rPh>
    <phoneticPr fontId="6"/>
  </si>
  <si>
    <t>死亡時
ハンニバル</t>
    <rPh sb="0" eb="2">
      <t>シボ</t>
    </rPh>
    <rPh sb="2" eb="3">
      <t>ジ</t>
    </rPh>
    <phoneticPr fontId="6"/>
  </si>
  <si>
    <t>出ましたわね…
貴方さえいなければ…！</t>
    <rPh sb="0" eb="1">
      <t>デマs</t>
    </rPh>
    <rPh sb="8" eb="10">
      <t>アナt</t>
    </rPh>
    <phoneticPr fontId="6"/>
  </si>
  <si>
    <t>クレオパトラ…
貴方のこと…認めますわ…</t>
    <rPh sb="8" eb="10">
      <t>アナt</t>
    </rPh>
    <rPh sb="14" eb="15">
      <t>ミトm</t>
    </rPh>
    <phoneticPr fontId="6"/>
  </si>
  <si>
    <t>ごきげんよう　そんなにたくさんの
兵器をどこから出したのですか？</t>
    <rPh sb="17" eb="19">
      <t>ヘイk</t>
    </rPh>
    <rPh sb="24" eb="25">
      <t>ダs</t>
    </rPh>
    <phoneticPr fontId="6"/>
  </si>
  <si>
    <t>貴方お強いんですのね…
参りましたわ…</t>
    <rPh sb="0" eb="2">
      <t>アナt</t>
    </rPh>
    <rPh sb="12" eb="13">
      <t>マイr</t>
    </rPh>
    <phoneticPr fontId="6"/>
  </si>
  <si>
    <t>死亡時
カエサル</t>
    <rPh sb="0" eb="2">
      <t>シボ</t>
    </rPh>
    <rPh sb="2" eb="3">
      <t>ジ</t>
    </rPh>
    <phoneticPr fontId="6"/>
  </si>
  <si>
    <t>あの女のどこが良いのかしら
理解できませんわ</t>
    <rPh sb="2" eb="3">
      <t>オンn</t>
    </rPh>
    <rPh sb="7" eb="8">
      <t>ヨ</t>
    </rPh>
    <rPh sb="14" eb="16">
      <t>リカ</t>
    </rPh>
    <phoneticPr fontId="6"/>
  </si>
  <si>
    <t>さすがカエサル軍団ね…
参りましたわ</t>
    <rPh sb="12" eb="13">
      <t>マイr</t>
    </rPh>
    <phoneticPr fontId="6"/>
  </si>
  <si>
    <t>羨ましそうに
クレオパトラのことを見ている…</t>
    <rPh sb="0" eb="1">
      <t>ウラヤマシソ</t>
    </rPh>
    <rPh sb="17" eb="18">
      <t>ミt</t>
    </rPh>
    <phoneticPr fontId="6"/>
  </si>
  <si>
    <t>パ、パール！この先は危険なんだ…</t>
    <rPh sb="10" eb="12">
      <t>キケn</t>
    </rPh>
    <phoneticPr fontId="6"/>
  </si>
  <si>
    <t>赤パネルを青パネルに変換
(次のターン赤パネルを吸収して攻撃！)</t>
    <rPh sb="5" eb="6">
      <t>ア</t>
    </rPh>
    <rPh sb="10" eb="12">
      <t>ヘンk</t>
    </rPh>
    <rPh sb="19" eb="20">
      <t>アk</t>
    </rPh>
    <phoneticPr fontId="6"/>
  </si>
  <si>
    <t>[effect:force_change_block, new_block:block_blue, target:block_red, count:0, val:0, animation:change_block],
[effect:fix_speed, target:myself, turn:1]</t>
    <phoneticPr fontId="6"/>
  </si>
  <si>
    <t>パールヴァティ</t>
    <phoneticPr fontId="6"/>
  </si>
  <si>
    <t>開幕　パールヴァティ</t>
    <rPh sb="0" eb="2">
      <t>カイマk</t>
    </rPh>
    <phoneticPr fontId="6"/>
  </si>
  <si>
    <t>ウルズはどこかへ行ってしまった…</t>
    <phoneticPr fontId="6"/>
  </si>
  <si>
    <t>[effect:enemy_message, val1:2.1, val2:2.2]</t>
    <phoneticPr fontId="6"/>
  </si>
  <si>
    <t>[effect:enemy_message, val1:2.4, val2:2.6]</t>
    <phoneticPr fontId="6"/>
  </si>
  <si>
    <t>[effect:enemy_message, val1:2.2, val2:0.0]</t>
    <phoneticPr fontId="6"/>
  </si>
  <si>
    <t>[effect:enemy_message, val1:2.3, val2:0.0]</t>
    <phoneticPr fontId="6"/>
  </si>
  <si>
    <t>こっから先は
行かせないよ！</t>
    <rPh sb="4" eb="5">
      <t>サk</t>
    </rPh>
    <rPh sb="7" eb="8">
      <t>イカs</t>
    </rPh>
    <phoneticPr fontId="6"/>
  </si>
  <si>
    <t>こっから先は
行かせないよ！</t>
    <phoneticPr fontId="6"/>
  </si>
  <si>
    <t>[effect:enemy_message, val1:1.2, val2:0.0, dead_type:escape]</t>
    <phoneticPr fontId="6"/>
  </si>
  <si>
    <t>行動頻度UP+
4ターン全ユニットのCパネル生成延長(効果大)</t>
    <rPh sb="0" eb="4">
      <t xml:space="preserve">コウドウヒンド </t>
    </rPh>
    <rPh sb="12" eb="13">
      <t>ゼンユn</t>
    </rPh>
    <rPh sb="24" eb="26">
      <t>エンチョ</t>
    </rPh>
    <rPh sb="27" eb="30">
      <t>コウk</t>
    </rPh>
    <phoneticPr fontId="6"/>
  </si>
  <si>
    <t>行動頻度UP+
3ターン全ユニットのCパネル生成延長(効果大)</t>
    <rPh sb="0" eb="4">
      <t xml:space="preserve">コウドウヒンド </t>
    </rPh>
    <rPh sb="12" eb="13">
      <t>ゼンユn</t>
    </rPh>
    <rPh sb="24" eb="26">
      <t>エンチョ</t>
    </rPh>
    <rPh sb="27" eb="30">
      <t>コウk</t>
    </rPh>
    <phoneticPr fontId="6"/>
  </si>
  <si>
    <t>見つけたわ…</t>
    <rPh sb="0" eb="1">
      <t>ミツケタワ</t>
    </rPh>
    <phoneticPr fontId="6"/>
  </si>
  <si>
    <t>20ターン低確率で
属性パネルがボムパネルとしてドロップ</t>
    <phoneticPr fontId="6"/>
  </si>
  <si>
    <t>見つけたわ…</t>
    <phoneticPr fontId="6"/>
  </si>
  <si>
    <t>開幕</t>
    <rPh sb="0" eb="2">
      <t>カイマク</t>
    </rPh>
    <phoneticPr fontId="6"/>
  </si>
  <si>
    <t>開幕撤退</t>
    <rPh sb="0" eb="2">
      <t>カイマク</t>
    </rPh>
    <rPh sb="2" eb="4">
      <t>テッタイ</t>
    </rPh>
    <phoneticPr fontId="6"/>
  </si>
  <si>
    <t>[effect:critical, val:1.2, animation:enemy_critical]</t>
    <phoneticPr fontId="6"/>
  </si>
  <si>
    <t>[effect:enemy_message, val1:1.2, val2:1.6,],[effect:suicide, target:myself, val:1, dead_type:escape, animation:enemy_suicide]</t>
    <phoneticPr fontId="6"/>
  </si>
  <si>
    <t>2222固定ダメージの全体攻撃</t>
    <rPh sb="11" eb="13">
      <t>ゼンタイ</t>
    </rPh>
    <rPh sb="13" eb="15">
      <t>コウゲキ</t>
    </rPh>
    <phoneticPr fontId="6"/>
  </si>
  <si>
    <t>2222固定ダメージの全体攻撃</t>
    <phoneticPr fontId="6"/>
  </si>
  <si>
    <t>2000固定ダメージの全体攻撃</t>
    <phoneticPr fontId="6"/>
  </si>
  <si>
    <t>[effect:drop_block, block_type:crack_bomb, color:block_all, val:17, rate:0.05, turn:20, animation:bomb_influence04],
[effect:suicide, target:myself, val:1, dead_type:escape]</t>
    <phoneticPr fontId="6"/>
  </si>
  <si>
    <t>[effect:enemy_message, val1:1.2, val2:1.6],[effect:suicide, target:myself, val:1, dead_type:escape, animation:enemy_suicide]</t>
    <phoneticPr fontId="6"/>
  </si>
  <si>
    <t>[effect:break_attack_fix, target:unit_one, val:2400, lowest_val:1800, count:6, block01:crash]</t>
    <phoneticPr fontId="6"/>
  </si>
  <si>
    <t>[effect:break_attack_fix, target:unit_one, val:2858, lowest_val:2143, count:6, block01:crash]</t>
    <phoneticPr fontId="6"/>
  </si>
  <si>
    <t>こんなものではこの先には通せぬ！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</si>
</sst>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6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6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2"/>
      <charset val="128"/>
      <scheme val="minor"/>
    </font>
    <font>
      <sz val="13"/>
      <color rgb="FF000000"/>
      <name val="Helvetica Neue"/>
    </font>
    <font>
      <sz val="11"/>
      <color theme="1"/>
      <name val="ＭＳ Ｐゴシック"/>
      <family val="2"/>
      <charset val="128"/>
    </font>
    <font>
      <sz val="14"/>
      <color rgb="FF000000"/>
      <name val="ＭＳ Ｐゴシック"/>
      <family val="3"/>
      <charset val="128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rgb="FFF3F7F0"/>
        <bgColor indexed="64"/>
      </patternFill>
    </fill>
    <fill>
      <patternFill patternType="solid">
        <fgColor rgb="FFE6FFE1"/>
        <bgColor indexed="64"/>
      </patternFill>
    </fill>
    <fill>
      <patternFill patternType="solid">
        <fgColor rgb="FFD9F3D6"/>
        <bgColor indexed="64"/>
      </patternFill>
    </fill>
    <fill>
      <patternFill patternType="solid">
        <fgColor rgb="FFCEE6CB"/>
        <bgColor indexed="64"/>
      </patternFill>
    </fill>
    <fill>
      <patternFill patternType="solid">
        <fgColor rgb="FFC3D9C1"/>
        <bgColor indexed="64"/>
      </patternFill>
    </fill>
    <fill>
      <patternFill patternType="solid">
        <fgColor rgb="FFB8CEB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87EE67"/>
        <bgColor indexed="64"/>
      </patternFill>
    </fill>
    <fill>
      <patternFill patternType="solid">
        <fgColor rgb="FFFFC6C5"/>
        <bgColor indexed="64"/>
      </patternFill>
    </fill>
    <fill>
      <patternFill patternType="solid">
        <fgColor rgb="FFC9FFFF"/>
        <bgColor indexed="64"/>
      </patternFill>
    </fill>
    <fill>
      <patternFill patternType="solid">
        <fgColor rgb="FFF3F7E6"/>
        <bgColor indexed="64"/>
      </patternFill>
    </fill>
    <fill>
      <patternFill patternType="solid">
        <fgColor rgb="FFB8CEB7"/>
        <bgColor rgb="FF000000"/>
      </patternFill>
    </fill>
    <fill>
      <patternFill patternType="solid">
        <fgColor rgb="FFFFFFE7"/>
        <bgColor indexed="64"/>
      </patternFill>
    </fill>
    <fill>
      <patternFill patternType="solid">
        <fgColor rgb="FFFFFAD6"/>
        <bgColor indexed="64"/>
      </patternFill>
    </fill>
    <fill>
      <patternFill patternType="solid">
        <fgColor rgb="FFFFF6B2"/>
        <bgColor indexed="64"/>
      </patternFill>
    </fill>
    <fill>
      <patternFill patternType="solid">
        <fgColor rgb="FFFFF491"/>
        <bgColor indexed="64"/>
      </patternFill>
    </fill>
    <fill>
      <patternFill patternType="solid">
        <fgColor rgb="FFF7EA76"/>
        <bgColor indexed="64"/>
      </patternFill>
    </fill>
    <fill>
      <patternFill patternType="solid">
        <fgColor rgb="FFD2D17E"/>
        <bgColor indexed="64"/>
      </patternFill>
    </fill>
    <fill>
      <patternFill patternType="solid">
        <fgColor rgb="FFE0E087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35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224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17" fillId="6" borderId="7" xfId="11" applyFont="1" applyFill="1" applyBorder="1" applyAlignment="1">
      <alignment horizontal="left"/>
    </xf>
    <xf numFmtId="0" fontId="14" fillId="7" borderId="0" xfId="0" applyFont="1" applyFill="1" applyAlignment="1">
      <alignment horizontal="center"/>
    </xf>
    <xf numFmtId="0" fontId="52" fillId="6" borderId="7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1"/>
    </xf>
    <xf numFmtId="0" fontId="31" fillId="3" borderId="7" xfId="0" applyFont="1" applyFill="1" applyBorder="1"/>
    <xf numFmtId="22" fontId="31" fillId="0" borderId="7" xfId="0" quotePrefix="1" applyNumberFormat="1" applyFont="1" applyFill="1" applyBorder="1"/>
    <xf numFmtId="0" fontId="31" fillId="0" borderId="7" xfId="0" quotePrefix="1" applyFont="1" applyFill="1" applyBorder="1"/>
    <xf numFmtId="0" fontId="3" fillId="0" borderId="7" xfId="615" applyBorder="1"/>
    <xf numFmtId="0" fontId="3" fillId="6" borderId="7" xfId="615" applyFill="1" applyBorder="1"/>
    <xf numFmtId="0" fontId="5" fillId="31" borderId="7" xfId="0" applyFont="1" applyFill="1" applyBorder="1" applyAlignment="1">
      <alignment horizontal="left" vertical="center"/>
    </xf>
    <xf numFmtId="1" fontId="33" fillId="31" borderId="7" xfId="0" applyNumberFormat="1" applyFont="1" applyFill="1" applyBorder="1" applyAlignment="1">
      <alignment vertical="center"/>
    </xf>
    <xf numFmtId="0" fontId="0" fillId="0" borderId="7" xfId="0" applyFill="1" applyBorder="1"/>
    <xf numFmtId="0" fontId="7" fillId="0" borderId="11" xfId="0" applyFont="1" applyFill="1" applyBorder="1" applyAlignment="1">
      <alignment vertical="center"/>
    </xf>
    <xf numFmtId="0" fontId="7" fillId="0" borderId="9" xfId="0" applyFont="1" applyFill="1" applyBorder="1" applyAlignment="1">
      <alignment vertical="center"/>
    </xf>
    <xf numFmtId="0" fontId="0" fillId="3" borderId="7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7" fillId="0" borderId="12" xfId="0" applyFont="1" applyFill="1" applyBorder="1" applyAlignment="1">
      <alignment horizontal="left" vertical="center" wrapText="1"/>
    </xf>
    <xf numFmtId="0" fontId="15" fillId="7" borderId="0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3" fillId="3" borderId="7" xfId="0" applyFont="1" applyFill="1" applyBorder="1" applyAlignment="1">
      <alignment vertical="center"/>
    </xf>
    <xf numFmtId="56" fontId="54" fillId="14" borderId="7" xfId="0" applyNumberFormat="1" applyFont="1" applyFill="1" applyBorder="1" applyAlignment="1">
      <alignment horizontal="center"/>
    </xf>
    <xf numFmtId="0" fontId="55" fillId="0" borderId="0" xfId="0" applyFont="1" applyAlignment="1">
      <alignment horizontal="center" vertical="center"/>
    </xf>
    <xf numFmtId="0" fontId="55" fillId="14" borderId="7" xfId="0" applyFont="1" applyFill="1" applyBorder="1" applyAlignment="1">
      <alignment horizontal="center" vertical="center"/>
    </xf>
    <xf numFmtId="0" fontId="56" fillId="0" borderId="0" xfId="0" applyFont="1" applyFill="1" applyAlignment="1">
      <alignment vertical="center"/>
    </xf>
    <xf numFmtId="0" fontId="12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vertical="center"/>
    </xf>
    <xf numFmtId="0" fontId="9" fillId="0" borderId="23" xfId="0" applyFont="1" applyBorder="1" applyAlignment="1">
      <alignment vertical="center"/>
    </xf>
    <xf numFmtId="177" fontId="9" fillId="0" borderId="23" xfId="0" applyNumberFormat="1" applyFont="1" applyBorder="1" applyAlignment="1">
      <alignment vertical="center"/>
    </xf>
    <xf numFmtId="1" fontId="33" fillId="31" borderId="12" xfId="0" applyNumberFormat="1" applyFont="1" applyFill="1" applyBorder="1" applyAlignment="1">
      <alignment vertical="center"/>
    </xf>
    <xf numFmtId="0" fontId="13" fillId="7" borderId="0" xfId="0" applyFont="1" applyFill="1" applyBorder="1" applyAlignment="1">
      <alignment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0" fontId="5" fillId="3" borderId="12" xfId="0" applyFont="1" applyFill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13" fillId="7" borderId="0" xfId="0" applyFont="1" applyFill="1" applyBorder="1" applyAlignment="1">
      <alignment horizontal="left" vertical="center"/>
    </xf>
    <xf numFmtId="0" fontId="17" fillId="3" borderId="12" xfId="0" applyFont="1" applyFill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7" fillId="0" borderId="12" xfId="0" applyFont="1" applyFill="1" applyBorder="1" applyAlignment="1">
      <alignment horizontal="left" vertical="center"/>
    </xf>
    <xf numFmtId="0" fontId="17" fillId="3" borderId="12" xfId="0" applyFont="1" applyFill="1" applyBorder="1" applyAlignment="1">
      <alignment horizontal="left" vertical="center" wrapText="1"/>
    </xf>
    <xf numFmtId="14" fontId="17" fillId="0" borderId="12" xfId="0" applyNumberFormat="1" applyFont="1" applyFill="1" applyBorder="1" applyAlignment="1">
      <alignment horizontal="left" vertical="center"/>
    </xf>
    <xf numFmtId="0" fontId="0" fillId="0" borderId="12" xfId="0" applyFont="1" applyFill="1" applyBorder="1" applyAlignment="1">
      <alignment vertical="center" wrapText="1"/>
    </xf>
    <xf numFmtId="0" fontId="5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15" fillId="7" borderId="7" xfId="0" applyFont="1" applyFill="1" applyBorder="1" applyAlignment="1">
      <alignment vertical="center"/>
    </xf>
    <xf numFmtId="0" fontId="17" fillId="0" borderId="0" xfId="0" applyFont="1" applyAlignment="1">
      <alignment horizontal="left" vertical="center"/>
    </xf>
    <xf numFmtId="38" fontId="5" fillId="0" borderId="0" xfId="708" applyFont="1" applyFill="1" applyAlignment="1">
      <alignment vertical="center"/>
    </xf>
    <xf numFmtId="0" fontId="5" fillId="32" borderId="1" xfId="0" applyFont="1" applyFill="1" applyBorder="1" applyAlignment="1">
      <alignment horizontal="center" vertical="center"/>
    </xf>
    <xf numFmtId="0" fontId="7" fillId="32" borderId="1" xfId="0" applyFont="1" applyFill="1" applyBorder="1" applyAlignment="1">
      <alignment vertical="center"/>
    </xf>
    <xf numFmtId="0" fontId="5" fillId="33" borderId="1" xfId="0" applyFont="1" applyFill="1" applyBorder="1" applyAlignment="1">
      <alignment horizontal="center" vertical="center"/>
    </xf>
    <xf numFmtId="0" fontId="7" fillId="33" borderId="1" xfId="0" applyFont="1" applyFill="1" applyBorder="1" applyAlignment="1">
      <alignment vertical="center"/>
    </xf>
    <xf numFmtId="0" fontId="27" fillId="0" borderId="7" xfId="0" applyFont="1" applyBorder="1"/>
    <xf numFmtId="0" fontId="27" fillId="0" borderId="10" xfId="0" applyFont="1" applyBorder="1"/>
    <xf numFmtId="0" fontId="27" fillId="0" borderId="12" xfId="0" applyFont="1" applyBorder="1"/>
    <xf numFmtId="0" fontId="27" fillId="0" borderId="25" xfId="0" applyFont="1" applyBorder="1"/>
    <xf numFmtId="0" fontId="27" fillId="34" borderId="25" xfId="0" applyFont="1" applyFill="1" applyBorder="1"/>
    <xf numFmtId="0" fontId="27" fillId="35" borderId="12" xfId="0" applyFont="1" applyFill="1" applyBorder="1"/>
    <xf numFmtId="0" fontId="27" fillId="35" borderId="25" xfId="0" applyFont="1" applyFill="1" applyBorder="1"/>
    <xf numFmtId="0" fontId="27" fillId="36" borderId="25" xfId="0" applyFont="1" applyFill="1" applyBorder="1"/>
    <xf numFmtId="0" fontId="24" fillId="6" borderId="7" xfId="0" applyFont="1" applyFill="1" applyBorder="1" applyAlignment="1">
      <alignment horizontal="center" vertical="center"/>
    </xf>
    <xf numFmtId="0" fontId="24" fillId="37" borderId="12" xfId="0" applyFont="1" applyFill="1" applyBorder="1" applyAlignment="1">
      <alignment horizontal="left" vertical="center" wrapText="1"/>
    </xf>
    <xf numFmtId="0" fontId="24" fillId="0" borderId="12" xfId="0" applyFont="1" applyFill="1" applyBorder="1" applyAlignment="1">
      <alignment horizontal="left" vertical="center" wrapText="1"/>
    </xf>
    <xf numFmtId="9" fontId="24" fillId="0" borderId="12" xfId="0" applyNumberFormat="1" applyFont="1" applyFill="1" applyBorder="1" applyAlignment="1">
      <alignment horizontal="left" vertical="center" wrapText="1"/>
    </xf>
    <xf numFmtId="0" fontId="24" fillId="38" borderId="12" xfId="0" applyFont="1" applyFill="1" applyBorder="1" applyAlignment="1">
      <alignment horizontal="left" vertical="center" wrapText="1"/>
    </xf>
    <xf numFmtId="0" fontId="24" fillId="39" borderId="12" xfId="0" applyFont="1" applyFill="1" applyBorder="1" applyAlignment="1">
      <alignment horizontal="left" vertical="center" wrapText="1"/>
    </xf>
    <xf numFmtId="0" fontId="24" fillId="40" borderId="12" xfId="0" applyFont="1" applyFill="1" applyBorder="1" applyAlignment="1">
      <alignment horizontal="left" vertical="center" wrapText="1"/>
    </xf>
    <xf numFmtId="0" fontId="24" fillId="41" borderId="12" xfId="0" applyFont="1" applyFill="1" applyBorder="1" applyAlignment="1">
      <alignment horizontal="left" vertical="center" wrapText="1"/>
    </xf>
    <xf numFmtId="0" fontId="24" fillId="42" borderId="12" xfId="0" applyFont="1" applyFill="1" applyBorder="1" applyAlignment="1">
      <alignment horizontal="left" vertical="center" wrapText="1"/>
    </xf>
    <xf numFmtId="0" fontId="24" fillId="0" borderId="0" xfId="0" applyFont="1" applyFill="1" applyAlignment="1">
      <alignment vertical="center"/>
    </xf>
    <xf numFmtId="0" fontId="27" fillId="0" borderId="12" xfId="0" applyFont="1" applyBorder="1" applyAlignment="1">
      <alignment vertical="center" wrapText="1"/>
    </xf>
    <xf numFmtId="0" fontId="0" fillId="43" borderId="12" xfId="0" applyFont="1" applyFill="1" applyBorder="1" applyAlignment="1">
      <alignment vertical="center" wrapText="1"/>
    </xf>
    <xf numFmtId="0" fontId="53" fillId="37" borderId="12" xfId="0" applyFont="1" applyFill="1" applyBorder="1" applyAlignment="1">
      <alignment horizontal="right" vertical="center" wrapText="1"/>
    </xf>
    <xf numFmtId="0" fontId="53" fillId="38" borderId="12" xfId="0" applyFont="1" applyFill="1" applyBorder="1" applyAlignment="1">
      <alignment horizontal="right" vertical="center" wrapText="1"/>
    </xf>
    <xf numFmtId="0" fontId="53" fillId="39" borderId="12" xfId="0" applyFont="1" applyFill="1" applyBorder="1" applyAlignment="1">
      <alignment horizontal="right" vertical="center" wrapText="1"/>
    </xf>
    <xf numFmtId="0" fontId="53" fillId="40" borderId="12" xfId="0" applyFont="1" applyFill="1" applyBorder="1" applyAlignment="1">
      <alignment horizontal="right" vertical="center" wrapText="1"/>
    </xf>
    <xf numFmtId="0" fontId="53" fillId="41" borderId="12" xfId="0" applyFont="1" applyFill="1" applyBorder="1" applyAlignment="1">
      <alignment horizontal="right" vertical="center" wrapText="1"/>
    </xf>
    <xf numFmtId="0" fontId="53" fillId="42" borderId="12" xfId="0" applyFont="1" applyFill="1" applyBorder="1" applyAlignment="1">
      <alignment horizontal="right" vertical="center" wrapText="1"/>
    </xf>
    <xf numFmtId="0" fontId="53" fillId="44" borderId="7" xfId="0" applyFont="1" applyFill="1" applyBorder="1" applyAlignment="1">
      <alignment vertical="center"/>
    </xf>
    <xf numFmtId="0" fontId="5" fillId="44" borderId="12" xfId="0" applyFont="1" applyFill="1" applyBorder="1" applyAlignment="1">
      <alignment horizontal="center" vertical="center"/>
    </xf>
    <xf numFmtId="0" fontId="5" fillId="44" borderId="1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3" fillId="44" borderId="12" xfId="0" applyFont="1" applyFill="1" applyBorder="1" applyAlignment="1">
      <alignment vertical="center"/>
    </xf>
    <xf numFmtId="0" fontId="30" fillId="3" borderId="7" xfId="0" applyFont="1" applyFill="1" applyBorder="1" applyAlignment="1">
      <alignment vertical="center"/>
    </xf>
    <xf numFmtId="0" fontId="30" fillId="0" borderId="7" xfId="0" applyFont="1" applyFill="1" applyBorder="1" applyAlignment="1">
      <alignment vertical="center"/>
    </xf>
    <xf numFmtId="0" fontId="54" fillId="14" borderId="7" xfId="0" applyNumberFormat="1" applyFont="1" applyFill="1" applyBorder="1" applyAlignment="1">
      <alignment vertical="top" wrapText="1"/>
    </xf>
    <xf numFmtId="0" fontId="17" fillId="14" borderId="7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8" fillId="0" borderId="7" xfId="0" applyFont="1" applyFill="1" applyBorder="1" applyAlignment="1">
      <alignment horizontal="center"/>
    </xf>
    <xf numFmtId="0" fontId="28" fillId="0" borderId="7" xfId="0" applyFont="1" applyFill="1" applyBorder="1"/>
    <xf numFmtId="0" fontId="32" fillId="45" borderId="7" xfId="0" applyFont="1" applyFill="1" applyBorder="1" applyAlignment="1">
      <alignment vertical="center" wrapText="1"/>
    </xf>
    <xf numFmtId="38" fontId="0" fillId="45" borderId="7" xfId="628" applyFont="1" applyFill="1" applyBorder="1" applyAlignment="1">
      <alignment vertical="top" wrapText="1"/>
    </xf>
    <xf numFmtId="0" fontId="32" fillId="46" borderId="7" xfId="0" applyFont="1" applyFill="1" applyBorder="1" applyAlignment="1">
      <alignment vertical="center" wrapText="1"/>
    </xf>
    <xf numFmtId="38" fontId="0" fillId="46" borderId="7" xfId="628" applyFont="1" applyFill="1" applyBorder="1" applyAlignment="1">
      <alignment vertical="top" wrapText="1"/>
    </xf>
    <xf numFmtId="0" fontId="24" fillId="47" borderId="12" xfId="0" applyFont="1" applyFill="1" applyBorder="1" applyAlignment="1">
      <alignment horizontal="left" vertical="center" wrapText="1"/>
    </xf>
    <xf numFmtId="0" fontId="57" fillId="0" borderId="0" xfId="0" applyFont="1"/>
    <xf numFmtId="0" fontId="5" fillId="13" borderId="12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3" fillId="13" borderId="12" xfId="0" applyFont="1" applyFill="1" applyBorder="1" applyAlignment="1">
      <alignment vertical="center"/>
    </xf>
    <xf numFmtId="0" fontId="53" fillId="13" borderId="7" xfId="0" applyFont="1" applyFill="1" applyBorder="1" applyAlignment="1">
      <alignment vertical="center"/>
    </xf>
    <xf numFmtId="0" fontId="5" fillId="13" borderId="7" xfId="0" applyFont="1" applyFill="1" applyBorder="1" applyAlignment="1">
      <alignment horizontal="center" vertical="center"/>
    </xf>
    <xf numFmtId="0" fontId="58" fillId="44" borderId="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59" fillId="48" borderId="12" xfId="0" applyFont="1" applyFill="1" applyBorder="1" applyAlignment="1">
      <alignment horizontal="right" vertical="center" wrapText="1"/>
    </xf>
    <xf numFmtId="0" fontId="24" fillId="49" borderId="12" xfId="0" applyFont="1" applyFill="1" applyBorder="1" applyAlignment="1">
      <alignment horizontal="left" vertical="center" wrapText="1"/>
    </xf>
    <xf numFmtId="0" fontId="24" fillId="50" borderId="12" xfId="0" applyFont="1" applyFill="1" applyBorder="1" applyAlignment="1">
      <alignment horizontal="left" vertical="center" wrapText="1"/>
    </xf>
    <xf numFmtId="0" fontId="24" fillId="51" borderId="12" xfId="0" applyFont="1" applyFill="1" applyBorder="1" applyAlignment="1">
      <alignment horizontal="left" vertical="center" wrapText="1"/>
    </xf>
    <xf numFmtId="0" fontId="24" fillId="52" borderId="12" xfId="0" applyFont="1" applyFill="1" applyBorder="1" applyAlignment="1">
      <alignment horizontal="left" vertical="center" wrapText="1"/>
    </xf>
    <xf numFmtId="0" fontId="24" fillId="53" borderId="12" xfId="0" applyFont="1" applyFill="1" applyBorder="1" applyAlignment="1">
      <alignment horizontal="left" vertical="center" wrapText="1"/>
    </xf>
    <xf numFmtId="0" fontId="24" fillId="54" borderId="12" xfId="0" applyFont="1" applyFill="1" applyBorder="1" applyAlignment="1">
      <alignment horizontal="left" vertical="center" wrapText="1"/>
    </xf>
    <xf numFmtId="0" fontId="24" fillId="55" borderId="12" xfId="0" applyFont="1" applyFill="1" applyBorder="1" applyAlignment="1">
      <alignment horizontal="left" vertical="center" wrapText="1"/>
    </xf>
    <xf numFmtId="0" fontId="53" fillId="49" borderId="12" xfId="0" applyFont="1" applyFill="1" applyBorder="1" applyAlignment="1">
      <alignment horizontal="right" vertical="center" wrapText="1"/>
    </xf>
    <xf numFmtId="0" fontId="53" fillId="50" borderId="12" xfId="0" applyFont="1" applyFill="1" applyBorder="1" applyAlignment="1">
      <alignment horizontal="right" vertical="center" wrapText="1"/>
    </xf>
    <xf numFmtId="0" fontId="53" fillId="51" borderId="12" xfId="0" applyFont="1" applyFill="1" applyBorder="1" applyAlignment="1">
      <alignment horizontal="right" vertical="center" wrapText="1"/>
    </xf>
    <xf numFmtId="0" fontId="53" fillId="52" borderId="12" xfId="0" applyFont="1" applyFill="1" applyBorder="1" applyAlignment="1">
      <alignment horizontal="right" vertical="center" wrapText="1"/>
    </xf>
    <xf numFmtId="0" fontId="53" fillId="53" borderId="12" xfId="0" applyFont="1" applyFill="1" applyBorder="1" applyAlignment="1">
      <alignment horizontal="right" vertical="center" wrapText="1"/>
    </xf>
    <xf numFmtId="0" fontId="53" fillId="55" borderId="12" xfId="0" applyFont="1" applyFill="1" applyBorder="1" applyAlignment="1">
      <alignment horizontal="right" vertical="center" wrapText="1"/>
    </xf>
    <xf numFmtId="0" fontId="53" fillId="54" borderId="12" xfId="0" applyFont="1" applyFill="1" applyBorder="1" applyAlignment="1">
      <alignment horizontal="right" vertical="center" wrapText="1"/>
    </xf>
    <xf numFmtId="0" fontId="0" fillId="56" borderId="12" xfId="0" applyFont="1" applyFill="1" applyBorder="1" applyAlignment="1">
      <alignment vertical="center" wrapText="1"/>
    </xf>
    <xf numFmtId="0" fontId="24" fillId="56" borderId="12" xfId="0" applyFont="1" applyFill="1" applyBorder="1" applyAlignment="1">
      <alignment horizontal="left" vertical="center" wrapText="1"/>
    </xf>
    <xf numFmtId="0" fontId="17" fillId="56" borderId="12" xfId="0" applyFont="1" applyFill="1" applyBorder="1" applyAlignment="1">
      <alignment horizontal="left" vertical="center" wrapText="1"/>
    </xf>
    <xf numFmtId="0" fontId="17" fillId="56" borderId="12" xfId="0" applyFont="1" applyFill="1" applyBorder="1" applyAlignment="1">
      <alignment vertical="center"/>
    </xf>
    <xf numFmtId="0" fontId="17" fillId="56" borderId="12" xfId="0" applyFont="1" applyFill="1" applyBorder="1" applyAlignment="1">
      <alignment horizontal="left" vertical="center"/>
    </xf>
    <xf numFmtId="14" fontId="17" fillId="56" borderId="12" xfId="0" applyNumberFormat="1" applyFont="1" applyFill="1" applyBorder="1" applyAlignment="1">
      <alignment horizontal="left" vertical="center"/>
    </xf>
    <xf numFmtId="0" fontId="27" fillId="56" borderId="12" xfId="0" applyFont="1" applyFill="1" applyBorder="1" applyAlignment="1">
      <alignment vertical="center" wrapText="1"/>
    </xf>
    <xf numFmtId="0" fontId="53" fillId="56" borderId="7" xfId="0" applyFont="1" applyFill="1" applyBorder="1" applyAlignment="1">
      <alignment vertical="center"/>
    </xf>
    <xf numFmtId="0" fontId="15" fillId="56" borderId="0" xfId="0" applyFont="1" applyFill="1" applyAlignment="1">
      <alignment vertical="center"/>
    </xf>
    <xf numFmtId="0" fontId="53" fillId="6" borderId="12" xfId="0" applyFont="1" applyFill="1" applyBorder="1" applyAlignment="1">
      <alignment horizontal="right" vertical="center" wrapText="1"/>
    </xf>
    <xf numFmtId="0" fontId="53" fillId="6" borderId="7" xfId="0" applyFont="1" applyFill="1" applyBorder="1" applyAlignment="1">
      <alignment vertical="center"/>
    </xf>
    <xf numFmtId="0" fontId="24" fillId="6" borderId="12" xfId="0" applyFont="1" applyFill="1" applyBorder="1" applyAlignment="1">
      <alignment horizontal="left" vertical="center" wrapText="1"/>
    </xf>
    <xf numFmtId="0" fontId="15" fillId="6" borderId="0" xfId="0" applyFont="1" applyFill="1" applyAlignment="1">
      <alignment vertical="center"/>
    </xf>
    <xf numFmtId="0" fontId="17" fillId="6" borderId="7" xfId="0" applyFont="1" applyFill="1" applyBorder="1" applyAlignment="1">
      <alignment horizontal="left" vertical="center"/>
    </xf>
    <xf numFmtId="0" fontId="17" fillId="6" borderId="7" xfId="0" applyFont="1" applyFill="1" applyBorder="1" applyAlignment="1">
      <alignment vertical="center"/>
    </xf>
    <xf numFmtId="0" fontId="17" fillId="56" borderId="7" xfId="0" applyFont="1" applyFill="1" applyBorder="1" applyAlignment="1">
      <alignment horizontal="left" vertical="center"/>
    </xf>
    <xf numFmtId="0" fontId="17" fillId="56" borderId="7" xfId="0" applyFont="1" applyFill="1" applyBorder="1" applyAlignment="1">
      <alignment vertical="center"/>
    </xf>
    <xf numFmtId="0" fontId="17" fillId="0" borderId="2" xfId="0" applyFont="1" applyFill="1" applyBorder="1" applyAlignment="1">
      <alignment horizontal="left" vertical="center"/>
    </xf>
  </cellXfs>
  <cellStyles count="73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桁区切り 2" xfId="429"/>
    <cellStyle name="桁区切り 2 2" xfId="628"/>
    <cellStyle name="桁区切り [0]" xfId="708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赤字強調" xfId="431"/>
    <cellStyle name="青字強調" xfId="430"/>
  </cellStyles>
  <dxfs count="96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</dxfs>
  <tableStyles count="0" defaultTableStyle="TableStyleMedium2" defaultPivotStyle="PivotStyleLight16"/>
  <colors>
    <mruColors>
      <color rgb="FFE0E087"/>
      <color rgb="FFD2D17E"/>
      <color rgb="FFE7DB6E"/>
      <color rgb="FFECE071"/>
      <color rgb="FFF7EA76"/>
      <color rgb="FFFFF491"/>
      <color rgb="FFFFF6B2"/>
      <color rgb="FFFFFAD6"/>
      <color rgb="FFFFFFE7"/>
      <color rgb="FFF3F7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4" sqref="E4"/>
    </sheetView>
  </sheetViews>
  <sheetFormatPr baseColWidth="12" defaultRowHeight="15" x14ac:dyDescent="0.15"/>
  <cols>
    <col min="2" max="2" width="18.5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129</v>
      </c>
      <c r="B1" s="51" t="s">
        <v>99</v>
      </c>
      <c r="C1" s="51" t="s">
        <v>100</v>
      </c>
      <c r="D1" s="51" t="s">
        <v>101</v>
      </c>
      <c r="E1" s="51" t="s">
        <v>102</v>
      </c>
      <c r="F1" s="51" t="s">
        <v>103</v>
      </c>
      <c r="G1" s="51" t="s">
        <v>104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</row>
    <row r="2" spans="1:30" x14ac:dyDescent="0.15">
      <c r="A2" s="57" t="s">
        <v>252</v>
      </c>
      <c r="B2" s="53" t="s">
        <v>105</v>
      </c>
      <c r="C2" s="95">
        <v>40046</v>
      </c>
      <c r="D2" s="53" t="s">
        <v>106</v>
      </c>
      <c r="E2" s="52" t="str">
        <f>B2&amp;C2&amp;D2</f>
        <v>floors_40046.tmp</v>
      </c>
      <c r="F2" s="53" t="s">
        <v>107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</row>
    <row r="3" spans="1:30" x14ac:dyDescent="0.15">
      <c r="A3" s="57" t="s">
        <v>252</v>
      </c>
      <c r="B3" s="53" t="s">
        <v>108</v>
      </c>
      <c r="C3" s="95">
        <v>40046</v>
      </c>
      <c r="D3" s="53" t="s">
        <v>106</v>
      </c>
      <c r="E3" s="52" t="str">
        <f>B3&amp;C3&amp;D3</f>
        <v>enemy_habitats_40046.tmp</v>
      </c>
      <c r="F3" s="53" t="s">
        <v>109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53</v>
      </c>
      <c r="AD3" s="54" t="s">
        <v>176</v>
      </c>
    </row>
    <row r="4" spans="1:30" x14ac:dyDescent="0.15">
      <c r="A4" s="57" t="s">
        <v>252</v>
      </c>
      <c r="B4" s="53" t="s">
        <v>110</v>
      </c>
      <c r="C4" s="95">
        <v>40046</v>
      </c>
      <c r="D4" s="53" t="s">
        <v>106</v>
      </c>
      <c r="E4" s="52" t="str">
        <f>B4&amp;C4&amp;D4</f>
        <v>enemy_habitat_S_40046.tmp</v>
      </c>
      <c r="F4" s="53" t="s">
        <v>111</v>
      </c>
      <c r="G4" s="54" t="s">
        <v>0</v>
      </c>
      <c r="H4" s="54" t="s">
        <v>1</v>
      </c>
      <c r="I4" s="54" t="s">
        <v>13</v>
      </c>
      <c r="J4" s="54" t="s">
        <v>53</v>
      </c>
      <c r="K4" s="54" t="s">
        <v>54</v>
      </c>
      <c r="L4" s="54" t="s">
        <v>55</v>
      </c>
      <c r="M4" s="54" t="s">
        <v>56</v>
      </c>
      <c r="N4" s="54" t="s">
        <v>57</v>
      </c>
      <c r="O4" s="54" t="s">
        <v>58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</row>
    <row r="5" spans="1:30" x14ac:dyDescent="0.15">
      <c r="A5" s="57" t="s">
        <v>252</v>
      </c>
      <c r="B5" s="53" t="s">
        <v>112</v>
      </c>
      <c r="C5" s="95">
        <v>40046</v>
      </c>
      <c r="D5" s="53" t="s">
        <v>106</v>
      </c>
      <c r="E5" s="52" t="str">
        <f>B5&amp;C5&amp;D5</f>
        <v>enemy_skill_sets_40046.tmp</v>
      </c>
      <c r="F5" s="53" t="s">
        <v>113</v>
      </c>
      <c r="G5" s="55" t="s">
        <v>22</v>
      </c>
      <c r="H5" s="55" t="s">
        <v>98</v>
      </c>
      <c r="I5" s="55" t="s">
        <v>93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</row>
    <row r="6" spans="1:30" x14ac:dyDescent="0.15">
      <c r="A6" s="57" t="s">
        <v>252</v>
      </c>
      <c r="B6" s="53" t="s">
        <v>114</v>
      </c>
      <c r="C6" s="95">
        <v>40046</v>
      </c>
      <c r="D6" s="53" t="s">
        <v>115</v>
      </c>
      <c r="E6" s="52" t="str">
        <f t="shared" ref="E6:E10" si="0">B6&amp;C6&amp;D6</f>
        <v>enemy_skills_tmp_40046.tmp</v>
      </c>
      <c r="F6" s="53" t="s">
        <v>89</v>
      </c>
      <c r="G6" s="54" t="s">
        <v>78</v>
      </c>
      <c r="H6" s="54" t="s">
        <v>79</v>
      </c>
      <c r="I6" s="54" t="s">
        <v>80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</row>
    <row r="7" spans="1:30" x14ac:dyDescent="0.15">
      <c r="A7" s="57" t="s">
        <v>252</v>
      </c>
      <c r="B7" s="53" t="s">
        <v>116</v>
      </c>
      <c r="C7" s="95">
        <v>40046</v>
      </c>
      <c r="D7" s="53" t="s">
        <v>106</v>
      </c>
      <c r="E7" s="52" t="str">
        <f>B7&amp;C7&amp;D7</f>
        <v>enemy_skills_i18n_40046.tmp</v>
      </c>
      <c r="F7" s="53" t="s">
        <v>117</v>
      </c>
      <c r="G7" s="54" t="s">
        <v>78</v>
      </c>
      <c r="H7" s="54" t="s">
        <v>90</v>
      </c>
      <c r="I7" s="54" t="s">
        <v>91</v>
      </c>
      <c r="J7" s="54" t="s">
        <v>92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</row>
    <row r="8" spans="1:30" x14ac:dyDescent="0.15">
      <c r="A8" s="57" t="s">
        <v>252</v>
      </c>
      <c r="B8" s="53" t="s">
        <v>118</v>
      </c>
      <c r="C8" s="95">
        <v>40046</v>
      </c>
      <c r="D8" s="53" t="s">
        <v>119</v>
      </c>
      <c r="E8" s="52" t="str">
        <f t="shared" si="0"/>
        <v>enemy_skill_triggers_40046.tmp</v>
      </c>
      <c r="F8" s="53" t="s">
        <v>120</v>
      </c>
      <c r="G8" s="54" t="s">
        <v>93</v>
      </c>
      <c r="H8" s="54" t="s">
        <v>94</v>
      </c>
      <c r="I8" s="54" t="s">
        <v>95</v>
      </c>
      <c r="J8" s="54" t="s">
        <v>96</v>
      </c>
      <c r="K8" s="54" t="s">
        <v>121</v>
      </c>
      <c r="L8" s="54" t="s">
        <v>97</v>
      </c>
      <c r="M8" s="54" t="s">
        <v>122</v>
      </c>
      <c r="N8" s="54" t="s">
        <v>123</v>
      </c>
      <c r="O8" s="54" t="s">
        <v>124</v>
      </c>
      <c r="P8" s="54" t="s">
        <v>66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</row>
    <row r="9" spans="1:30" x14ac:dyDescent="0.15">
      <c r="A9" s="57" t="s">
        <v>252</v>
      </c>
      <c r="B9" s="61" t="s">
        <v>175</v>
      </c>
      <c r="C9" s="95">
        <v>40046</v>
      </c>
      <c r="D9" s="61" t="s">
        <v>169</v>
      </c>
      <c r="E9" s="62" t="str">
        <f t="shared" si="0"/>
        <v>stage_bug_bonuses_40046.tmp</v>
      </c>
      <c r="F9" s="61" t="s">
        <v>170</v>
      </c>
      <c r="G9" s="58" t="s">
        <v>149</v>
      </c>
      <c r="H9" s="58" t="s">
        <v>171</v>
      </c>
      <c r="I9" s="58" t="s">
        <v>172</v>
      </c>
      <c r="J9" s="60" t="s">
        <v>173</v>
      </c>
      <c r="K9" s="58" t="s">
        <v>174</v>
      </c>
      <c r="L9" s="58" t="s">
        <v>155</v>
      </c>
      <c r="M9" s="58" t="s">
        <v>156</v>
      </c>
      <c r="N9" s="58" t="s">
        <v>157</v>
      </c>
      <c r="O9" s="58" t="s">
        <v>158</v>
      </c>
      <c r="P9" s="58" t="s">
        <v>159</v>
      </c>
      <c r="Q9" s="58" t="s">
        <v>160</v>
      </c>
      <c r="R9" s="58" t="s">
        <v>161</v>
      </c>
      <c r="S9" s="58" t="s">
        <v>162</v>
      </c>
      <c r="T9" s="58" t="s">
        <v>163</v>
      </c>
      <c r="U9" s="58" t="s">
        <v>164</v>
      </c>
      <c r="V9" s="58" t="s">
        <v>165</v>
      </c>
      <c r="W9" s="58" t="s">
        <v>166</v>
      </c>
      <c r="X9" s="53"/>
      <c r="Y9" s="53"/>
      <c r="Z9" s="53"/>
      <c r="AA9" s="53"/>
      <c r="AB9" s="53"/>
      <c r="AC9" s="53"/>
      <c r="AD9" s="53"/>
    </row>
    <row r="10" spans="1:30" s="68" customFormat="1" x14ac:dyDescent="0.15">
      <c r="A10" s="57" t="s">
        <v>255</v>
      </c>
      <c r="B10" s="61" t="s">
        <v>197</v>
      </c>
      <c r="C10" s="95">
        <v>40046</v>
      </c>
      <c r="D10" s="61" t="s">
        <v>178</v>
      </c>
      <c r="E10" s="62" t="str">
        <f t="shared" si="0"/>
        <v>stage_hints_data_c_40046.tmp</v>
      </c>
      <c r="F10" s="61" t="s">
        <v>205</v>
      </c>
      <c r="G10" s="66" t="s">
        <v>179</v>
      </c>
      <c r="H10" s="66" t="s">
        <v>171</v>
      </c>
      <c r="I10" s="67" t="s">
        <v>180</v>
      </c>
      <c r="J10" s="60" t="s">
        <v>181</v>
      </c>
      <c r="K10" s="60" t="s">
        <v>182</v>
      </c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</row>
    <row r="11" spans="1:30" s="68" customFormat="1" x14ac:dyDescent="0.15">
      <c r="A11" s="57" t="s">
        <v>255</v>
      </c>
      <c r="B11" s="61" t="s">
        <v>198</v>
      </c>
      <c r="C11" s="95">
        <v>40046</v>
      </c>
      <c r="D11" s="61" t="s">
        <v>169</v>
      </c>
      <c r="E11" s="62" t="str">
        <f t="shared" ref="E11:E13" si="1">B11&amp;C11&amp;D11</f>
        <v>stage_hints_data_f_40046.tmp</v>
      </c>
      <c r="F11" s="61" t="s">
        <v>206</v>
      </c>
      <c r="G11" s="66" t="s">
        <v>179</v>
      </c>
      <c r="H11" s="66" t="s">
        <v>171</v>
      </c>
      <c r="I11" s="67" t="s">
        <v>180</v>
      </c>
      <c r="J11" s="60" t="s">
        <v>181</v>
      </c>
      <c r="K11" s="60" t="s">
        <v>182</v>
      </c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</row>
    <row r="12" spans="1:30" s="68" customFormat="1" x14ac:dyDescent="0.15">
      <c r="A12" s="61" t="s">
        <v>256</v>
      </c>
      <c r="B12" s="61" t="s">
        <v>199</v>
      </c>
      <c r="C12" s="95">
        <v>40046</v>
      </c>
      <c r="D12" s="61" t="s">
        <v>169</v>
      </c>
      <c r="E12" s="62" t="str">
        <f t="shared" si="1"/>
        <v>stage_hints_i18n_40046.tmp</v>
      </c>
      <c r="F12" s="61" t="s">
        <v>207</v>
      </c>
      <c r="G12" s="67" t="s">
        <v>200</v>
      </c>
      <c r="H12" s="84" t="s">
        <v>201</v>
      </c>
      <c r="I12" s="66" t="s">
        <v>202</v>
      </c>
      <c r="J12" s="92" t="s">
        <v>203</v>
      </c>
      <c r="K12" s="60" t="s">
        <v>204</v>
      </c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</row>
    <row r="13" spans="1:30" s="68" customFormat="1" x14ac:dyDescent="0.15">
      <c r="A13" s="61" t="s">
        <v>256</v>
      </c>
      <c r="B13" s="61" t="s">
        <v>247</v>
      </c>
      <c r="C13" s="95">
        <v>40046</v>
      </c>
      <c r="D13" s="61" t="s">
        <v>228</v>
      </c>
      <c r="E13" s="62" t="str">
        <f t="shared" si="1"/>
        <v>stage_bonuses_40046.tmp</v>
      </c>
      <c r="F13" s="61" t="s">
        <v>227</v>
      </c>
      <c r="G13" s="66" t="s">
        <v>229</v>
      </c>
      <c r="H13" s="66" t="s">
        <v>230</v>
      </c>
      <c r="I13" s="66" t="s">
        <v>231</v>
      </c>
      <c r="J13" s="66" t="s">
        <v>232</v>
      </c>
      <c r="K13" s="66" t="s">
        <v>233</v>
      </c>
      <c r="L13" s="66" t="s">
        <v>234</v>
      </c>
      <c r="M13" s="66" t="s">
        <v>235</v>
      </c>
      <c r="N13" s="66" t="s">
        <v>236</v>
      </c>
      <c r="O13" s="66" t="s">
        <v>237</v>
      </c>
      <c r="P13" s="66" t="s">
        <v>238</v>
      </c>
      <c r="Q13" s="66" t="s">
        <v>239</v>
      </c>
      <c r="R13" s="66" t="s">
        <v>240</v>
      </c>
      <c r="S13" s="66" t="s">
        <v>241</v>
      </c>
      <c r="T13" s="66" t="s">
        <v>242</v>
      </c>
      <c r="U13" s="66" t="s">
        <v>243</v>
      </c>
      <c r="V13" s="66" t="s">
        <v>244</v>
      </c>
      <c r="W13" s="66" t="s">
        <v>245</v>
      </c>
      <c r="X13" s="66" t="s">
        <v>246</v>
      </c>
      <c r="Y13" s="91"/>
      <c r="Z13" s="91"/>
      <c r="AA13" s="91"/>
      <c r="AB13" s="91"/>
      <c r="AC13" s="91"/>
      <c r="AD13" s="91"/>
    </row>
  </sheetData>
  <phoneticPr fontId="6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J6" sqref="J6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40046_1-1</v>
      </c>
      <c r="B2" s="15" t="str">
        <f>IF(COUNTIF(enemy_habitats!$H:$H,A2),"OK","NG")</f>
        <v>OK</v>
      </c>
      <c r="C2" s="7">
        <v>40046</v>
      </c>
      <c r="D2" s="11" t="str">
        <f ca="1">VLOOKUP($C2,OFFSET([2]quests!$A$1,0,0,COUNTA([2]quests!$A:$A),MATCH(D$1,[2]quests!$1:$1,0)-MATCH($C$1,[2]quests!$1:$1,0)+1),MATCH(D$1,[2]quests!$1:$1,0)-MATCH($C$1,[2]quests!$1:$1,0)+1,FALSE)</f>
        <v>ゼノビア襲来！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降臨46</v>
      </c>
      <c r="F2" s="136">
        <v>1</v>
      </c>
      <c r="G2" s="22" t="str">
        <f>C2&amp;"_"&amp;F2</f>
        <v>40046_1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【超絶級】ゼノビア襲来</v>
      </c>
      <c r="I2" s="136">
        <v>1</v>
      </c>
      <c r="J2" s="137">
        <v>50</v>
      </c>
      <c r="K2" s="137">
        <v>50</v>
      </c>
    </row>
    <row r="3" spans="1:11" ht="21" customHeight="1" x14ac:dyDescent="0.15">
      <c r="A3" s="15" t="str">
        <f t="shared" ref="A3:A5" si="0">G3&amp;"-"&amp;I3</f>
        <v>40046_1-2</v>
      </c>
      <c r="B3" s="15" t="str">
        <f>IF(COUNTIF(enemy_habitats!$H:$H,A3),"OK","NG")</f>
        <v>OK</v>
      </c>
      <c r="C3" s="7">
        <v>40046</v>
      </c>
      <c r="D3" s="11" t="str">
        <f ca="1">VLOOKUP($C3,OFFSET([2]quests!$A$1,0,0,COUNTA([2]quests!$A:$A),MATCH(D$1,[2]quests!$1:$1,0)-MATCH($C$1,[2]quests!$1:$1,0)+1),MATCH(D$1,[2]quests!$1:$1,0)-MATCH($C$1,[2]quests!$1:$1,0)+1,FALSE)</f>
        <v>ゼノビア襲来！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降臨46</v>
      </c>
      <c r="F3" s="136">
        <v>1</v>
      </c>
      <c r="G3" s="22" t="str">
        <f t="shared" ref="G3:G5" si="1">C3&amp;"_"&amp;F3</f>
        <v>40046_1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【超絶級】ゼノビア襲来</v>
      </c>
      <c r="I3" s="136">
        <v>2</v>
      </c>
      <c r="J3" s="137">
        <v>60</v>
      </c>
      <c r="K3" s="137">
        <v>60</v>
      </c>
    </row>
    <row r="4" spans="1:11" ht="21" customHeight="1" x14ac:dyDescent="0.15">
      <c r="A4" s="15" t="str">
        <f t="shared" si="0"/>
        <v>40046_1-3</v>
      </c>
      <c r="B4" s="15" t="str">
        <f>IF(COUNTIF(enemy_habitats!$H:$H,A4),"OK","NG")</f>
        <v>OK</v>
      </c>
      <c r="C4" s="7">
        <v>40046</v>
      </c>
      <c r="D4" s="11" t="str">
        <f ca="1">VLOOKUP($C4,OFFSET([2]quests!$A$1,0,0,COUNTA([2]quests!$A:$A),MATCH(D$1,[2]quests!$1:$1,0)-MATCH($C$1,[2]quests!$1:$1,0)+1),MATCH(D$1,[2]quests!$1:$1,0)-MATCH($C$1,[2]quests!$1:$1,0)+1,FALSE)</f>
        <v>ゼノビア襲来！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降臨46</v>
      </c>
      <c r="F4" s="136">
        <v>1</v>
      </c>
      <c r="G4" s="22" t="str">
        <f t="shared" si="1"/>
        <v>40046_1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【超絶級】ゼノビア襲来</v>
      </c>
      <c r="I4" s="136">
        <v>3</v>
      </c>
      <c r="J4" s="137">
        <v>60</v>
      </c>
      <c r="K4" s="137">
        <v>60</v>
      </c>
    </row>
    <row r="5" spans="1:11" ht="21" customHeight="1" x14ac:dyDescent="0.15">
      <c r="A5" s="15" t="str">
        <f t="shared" si="0"/>
        <v>40046_1-4</v>
      </c>
      <c r="B5" s="15" t="str">
        <f>IF(COUNTIF(enemy_habitats!$H:$H,A5),"OK","NG")</f>
        <v>OK</v>
      </c>
      <c r="C5" s="7">
        <v>40046</v>
      </c>
      <c r="D5" s="11" t="str">
        <f ca="1">VLOOKUP($C5,OFFSET([2]quests!$A$1,0,0,COUNTA([2]quests!$A:$A),MATCH(D$1,[2]quests!$1:$1,0)-MATCH($C$1,[2]quests!$1:$1,0)+1),MATCH(D$1,[2]quests!$1:$1,0)-MATCH($C$1,[2]quests!$1:$1,0)+1,FALSE)</f>
        <v>ゼノビア襲来！</v>
      </c>
      <c r="E5" s="17" t="str">
        <f ca="1">VLOOKUP($C5,OFFSET([2]quests!$A$1,0,0,COUNTA([2]quests!$A:$A),MATCH(E$1,[2]quests!$1:$1,0)-MATCH($C$1,[2]quests!$1:$1,0)+1),MATCH(E$1,[2]quests!$1:$1,0)-MATCH($C$1,[2]quests!$1:$1,0)+1,FALSE)</f>
        <v>降臨46</v>
      </c>
      <c r="F5" s="136">
        <v>1</v>
      </c>
      <c r="G5" s="22" t="str">
        <f t="shared" si="1"/>
        <v>40046_1</v>
      </c>
      <c r="H5" s="14" t="str">
        <f ca="1">VLOOKUP($G5,OFFSET([2]stages!$A$1,0,0,COUNTA([2]stages!$A:$A),MATCH(H$1,[2]stages!$2:$2,0)-MATCH($G$1,[2]stages!$2:$2,0)+1),MATCH(H$1,[2]stages!$2:$2,0)-MATCH($G$1,[2]stages!$2:$2,0)+1,FALSE)</f>
        <v>【超絶級】ゼノビア襲来</v>
      </c>
      <c r="I5" s="136">
        <v>4</v>
      </c>
      <c r="J5" s="137">
        <v>60</v>
      </c>
      <c r="K5" s="137">
        <v>60</v>
      </c>
    </row>
    <row r="6" spans="1:11" ht="21" customHeight="1" x14ac:dyDescent="0.15">
      <c r="A6" s="15" t="str">
        <f>G6&amp;"-"&amp;I6</f>
        <v>40046_2-1</v>
      </c>
      <c r="B6" s="15" t="str">
        <f>IF(COUNTIF(enemy_habitats!$H:$H,A6),"OK","NG")</f>
        <v>OK</v>
      </c>
      <c r="C6" s="7">
        <v>40046</v>
      </c>
      <c r="D6" s="11" t="str">
        <f ca="1">VLOOKUP($C6,OFFSET([2]quests!$A$1,0,0,COUNTA([2]quests!$A:$A),MATCH(D$1,[2]quests!$1:$1,0)-MATCH($C$1,[2]quests!$1:$1,0)+1),MATCH(D$1,[2]quests!$1:$1,0)-MATCH($C$1,[2]quests!$1:$1,0)+1,FALSE)</f>
        <v>ゼノビア襲来！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降臨46</v>
      </c>
      <c r="F6" s="138">
        <v>2</v>
      </c>
      <c r="G6" s="22" t="str">
        <f>C6&amp;"_"&amp;F6</f>
        <v>40046_2</v>
      </c>
      <c r="H6" s="14" t="str">
        <f ca="1">VLOOKUP($G6,OFFSET([2]stages!$A$1,0,0,COUNTA([2]stages!$A:$A),MATCH(H$1,[2]stages!$2:$2,0)-MATCH($G$1,[2]stages!$2:$2,0)+1),MATCH(H$1,[2]stages!$2:$2,0)-MATCH($G$1,[2]stages!$2:$2,0)+1,FALSE)</f>
        <v>【ウィザード級】ゼノビア襲来</v>
      </c>
      <c r="I6" s="138">
        <v>1</v>
      </c>
      <c r="J6" s="139">
        <v>50</v>
      </c>
      <c r="K6" s="139">
        <v>50</v>
      </c>
    </row>
    <row r="7" spans="1:11" ht="21" customHeight="1" x14ac:dyDescent="0.15">
      <c r="A7" s="15" t="str">
        <f t="shared" ref="A7:A9" si="2">G7&amp;"-"&amp;I7</f>
        <v>40046_2-2</v>
      </c>
      <c r="B7" s="15" t="str">
        <f>IF(COUNTIF(enemy_habitats!$H:$H,A7),"OK","NG")</f>
        <v>OK</v>
      </c>
      <c r="C7" s="7">
        <v>40046</v>
      </c>
      <c r="D7" s="11" t="str">
        <f ca="1">VLOOKUP($C7,OFFSET([2]quests!$A$1,0,0,COUNTA([2]quests!$A:$A),MATCH(D$1,[2]quests!$1:$1,0)-MATCH($C$1,[2]quests!$1:$1,0)+1),MATCH(D$1,[2]quests!$1:$1,0)-MATCH($C$1,[2]quests!$1:$1,0)+1,FALSE)</f>
        <v>ゼノビア襲来！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降臨46</v>
      </c>
      <c r="F7" s="138">
        <v>2</v>
      </c>
      <c r="G7" s="22" t="str">
        <f t="shared" ref="G7:G9" si="3">C7&amp;"_"&amp;F7</f>
        <v>40046_2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【ウィザード級】ゼノビア襲来</v>
      </c>
      <c r="I7" s="138">
        <v>2</v>
      </c>
      <c r="J7" s="139">
        <v>60</v>
      </c>
      <c r="K7" s="139">
        <v>60</v>
      </c>
    </row>
    <row r="8" spans="1:11" ht="21" customHeight="1" x14ac:dyDescent="0.15">
      <c r="A8" s="15" t="str">
        <f t="shared" si="2"/>
        <v>40046_2-3</v>
      </c>
      <c r="B8" s="15" t="str">
        <f>IF(COUNTIF(enemy_habitats!$H:$H,A8),"OK","NG")</f>
        <v>OK</v>
      </c>
      <c r="C8" s="7">
        <v>40046</v>
      </c>
      <c r="D8" s="11" t="str">
        <f ca="1">VLOOKUP($C8,OFFSET([2]quests!$A$1,0,0,COUNTA([2]quests!$A:$A),MATCH(D$1,[2]quests!$1:$1,0)-MATCH($C$1,[2]quests!$1:$1,0)+1),MATCH(D$1,[2]quests!$1:$1,0)-MATCH($C$1,[2]quests!$1:$1,0)+1,FALSE)</f>
        <v>ゼノビア襲来！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降臨46</v>
      </c>
      <c r="F8" s="138">
        <v>2</v>
      </c>
      <c r="G8" s="22" t="str">
        <f t="shared" si="3"/>
        <v>40046_2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【ウィザード級】ゼノビア襲来</v>
      </c>
      <c r="I8" s="138">
        <v>3</v>
      </c>
      <c r="J8" s="139">
        <v>60</v>
      </c>
      <c r="K8" s="139">
        <v>60</v>
      </c>
    </row>
    <row r="9" spans="1:11" ht="21" customHeight="1" x14ac:dyDescent="0.15">
      <c r="A9" s="15" t="str">
        <f t="shared" si="2"/>
        <v>40046_2-4</v>
      </c>
      <c r="B9" s="15" t="str">
        <f>IF(COUNTIF(enemy_habitats!$H:$H,A9),"OK","NG")</f>
        <v>OK</v>
      </c>
      <c r="C9" s="7">
        <v>40046</v>
      </c>
      <c r="D9" s="11" t="str">
        <f ca="1">VLOOKUP($C9,OFFSET([2]quests!$A$1,0,0,COUNTA([2]quests!$A:$A),MATCH(D$1,[2]quests!$1:$1,0)-MATCH($C$1,[2]quests!$1:$1,0)+1),MATCH(D$1,[2]quests!$1:$1,0)-MATCH($C$1,[2]quests!$1:$1,0)+1,FALSE)</f>
        <v>ゼノビア襲来！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降臨46</v>
      </c>
      <c r="F9" s="138">
        <v>2</v>
      </c>
      <c r="G9" s="22" t="str">
        <f t="shared" si="3"/>
        <v>40046_2</v>
      </c>
      <c r="H9" s="14" t="str">
        <f ca="1">VLOOKUP($G9,OFFSET([2]stages!$A$1,0,0,COUNTA([2]stages!$A:$A),MATCH(H$1,[2]stages!$2:$2,0)-MATCH($G$1,[2]stages!$2:$2,0)+1),MATCH(H$1,[2]stages!$2:$2,0)-MATCH($G$1,[2]stages!$2:$2,0)+1,FALSE)</f>
        <v>【ウィザード級】ゼノビア襲来</v>
      </c>
      <c r="I9" s="138">
        <v>4</v>
      </c>
      <c r="J9" s="139">
        <v>60</v>
      </c>
      <c r="K9" s="139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8"/>
  <sheetViews>
    <sheetView showGridLines="0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K6" sqref="K6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8.5" style="3" customWidth="1" outlineLevel="1"/>
    <col min="14" max="14" width="8.6640625" style="3" customWidth="1" outlineLevel="1"/>
    <col min="15" max="15" width="12" style="3" customWidth="1" outlineLevel="1"/>
    <col min="16" max="16" width="10.33203125" style="3" customWidth="1" outlineLevel="1"/>
    <col min="17" max="17" width="8" style="3" customWidth="1" outlineLevel="1"/>
    <col min="18" max="18" width="8.33203125" style="3" bestFit="1" customWidth="1"/>
    <col min="19" max="19" width="13" style="3" customWidth="1"/>
    <col min="20" max="20" width="13" style="10" customWidth="1"/>
    <col min="21" max="22" width="13" style="3" customWidth="1"/>
    <col min="23" max="23" width="8.83203125" style="3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124" t="s">
        <v>29</v>
      </c>
      <c r="B1" s="25" t="s">
        <v>0</v>
      </c>
      <c r="C1" s="25" t="s">
        <v>1</v>
      </c>
      <c r="D1" s="28" t="s">
        <v>28</v>
      </c>
      <c r="E1" s="28" t="s">
        <v>20</v>
      </c>
      <c r="F1" s="28" t="s">
        <v>20</v>
      </c>
      <c r="G1" s="25" t="s">
        <v>19</v>
      </c>
      <c r="H1" s="28" t="s">
        <v>35</v>
      </c>
      <c r="I1" s="28" t="s">
        <v>14</v>
      </c>
      <c r="J1" s="28" t="s">
        <v>15</v>
      </c>
      <c r="K1" s="35" t="s">
        <v>53</v>
      </c>
      <c r="L1" s="35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8" t="s">
        <v>25</v>
      </c>
      <c r="R1" s="25" t="s">
        <v>3</v>
      </c>
      <c r="S1" s="25" t="s">
        <v>48</v>
      </c>
      <c r="T1" s="93" t="s">
        <v>248</v>
      </c>
      <c r="U1" s="25" t="s">
        <v>50</v>
      </c>
      <c r="V1" s="93" t="s">
        <v>249</v>
      </c>
      <c r="W1" s="25" t="s">
        <v>52</v>
      </c>
      <c r="X1" s="28" t="s">
        <v>31</v>
      </c>
      <c r="Y1" s="25" t="s">
        <v>4</v>
      </c>
      <c r="Z1" s="25" t="s">
        <v>5</v>
      </c>
      <c r="AA1" s="25" t="s">
        <v>6</v>
      </c>
      <c r="AB1" s="25" t="s">
        <v>7</v>
      </c>
      <c r="AC1" s="25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5" t="s">
        <v>11</v>
      </c>
      <c r="AJ1" s="25" t="s">
        <v>12</v>
      </c>
      <c r="AK1" s="25" t="s">
        <v>38</v>
      </c>
      <c r="AL1" s="25" t="s">
        <v>40</v>
      </c>
      <c r="AM1" s="25" t="s">
        <v>42</v>
      </c>
      <c r="AN1" s="25" t="s">
        <v>44</v>
      </c>
      <c r="AO1" s="25" t="s">
        <v>46</v>
      </c>
      <c r="AP1" s="35" t="s">
        <v>177</v>
      </c>
    </row>
    <row r="2" spans="1:42" ht="21" customHeight="1" x14ac:dyDescent="0.15">
      <c r="A2" s="15" t="str">
        <f>B2&amp;"_"&amp;C2&amp;"-"&amp;G2&amp;"/"&amp;L2&amp;"&lt;lv"&amp;R2&amp;"&gt;s"&amp;AC2</f>
        <v>40046_1-1/28&lt;lv45&gt;s2</v>
      </c>
      <c r="B2" s="21">
        <v>40046</v>
      </c>
      <c r="C2" s="184">
        <v>1</v>
      </c>
      <c r="D2" s="111" t="str">
        <f>B2&amp;"_"&amp;C2</f>
        <v>40046_1</v>
      </c>
      <c r="E2" s="4" t="str">
        <f ca="1">VLOOKUP($B2,OFFSET([2]quests!$A$1,0,0,COUNTA([2]quests!$A:$A),MATCH(E$1,[2]quests!$1:$1,0)-MATCH($B$1,[2]quests!$1:$1,0)+1),MATCH(E$1,[2]quests!$1:$1,0)-MATCH($B$1,[2]quests!$1:$1,0)+1,FALSE)</f>
        <v>ゼノビア襲来！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【超絶級】ゼノビア襲来</v>
      </c>
      <c r="G2" s="110">
        <v>1</v>
      </c>
      <c r="H2" s="111" t="str">
        <f>B2&amp;"_"&amp;C2&amp;"-"&amp;G2</f>
        <v>40046_1-1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112" t="s">
        <v>87</v>
      </c>
      <c r="L2" s="169">
        <v>28</v>
      </c>
      <c r="M2" s="16" t="str">
        <f ca="1">VLOOKUP($L2,OFFSET([3]enemies!$A$1,0,0,COUNTA([3]enemies!$A:$A),MATCH(M$1,[3]enemies!$1:$1,0)-MATCH($L$1,[3]enemies!$1:$1,0)+1),MATCH(M$1,[3]enemies!$1:$1,0)-MATCH($L$1,[3]enemies!$1:$1,0)+1,FALSE)</f>
        <v>現場急行 パトラインカスタム</v>
      </c>
      <c r="N2" s="16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f>R8-15</f>
        <v>45</v>
      </c>
      <c r="S2" s="24">
        <v>5</v>
      </c>
      <c r="T2" s="115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37945</v>
      </c>
      <c r="U2" s="114">
        <v>1.9</v>
      </c>
      <c r="V2" s="115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4052.7</v>
      </c>
      <c r="W2" s="113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赤パネルを吸収して攻撃(最大6個)</v>
      </c>
      <c r="Y2" s="186">
        <f>Y8+10</f>
        <v>40046010</v>
      </c>
      <c r="Z2" s="119">
        <v>1</v>
      </c>
      <c r="AA2" s="119">
        <v>100</v>
      </c>
      <c r="AB2" s="119">
        <v>0</v>
      </c>
      <c r="AC2" s="97">
        <v>2</v>
      </c>
      <c r="AD2" s="19">
        <v>27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パトライン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121">
        <v>1</v>
      </c>
      <c r="AI2" s="120">
        <f ca="1">AF2</f>
        <v>1</v>
      </c>
      <c r="AJ2" s="122">
        <v>0</v>
      </c>
      <c r="AK2" s="121">
        <v>0</v>
      </c>
      <c r="AL2" s="121">
        <v>0</v>
      </c>
      <c r="AM2" s="121">
        <v>0</v>
      </c>
      <c r="AN2" s="121">
        <v>0</v>
      </c>
      <c r="AO2" s="121">
        <v>1</v>
      </c>
      <c r="AP2" s="123">
        <v>1</v>
      </c>
    </row>
    <row r="3" spans="1:42" ht="21" customHeight="1" x14ac:dyDescent="0.15">
      <c r="A3" s="15" t="str">
        <f>B3&amp;"_"&amp;C3&amp;"-"&amp;G3&amp;"/"&amp;L3&amp;"&lt;lv"&amp;R3&amp;"&gt;s"&amp;AC3</f>
        <v>40046_1-1/56&lt;lv45&gt;s1</v>
      </c>
      <c r="B3" s="21">
        <v>40046</v>
      </c>
      <c r="C3" s="185">
        <v>1</v>
      </c>
      <c r="D3" s="2" t="str">
        <f>B3&amp;"_"&amp;C3</f>
        <v>40046_1</v>
      </c>
      <c r="E3" s="4" t="str">
        <f ca="1">VLOOKUP($B3,OFFSET([2]quests!$A$1,0,0,COUNTA([2]quests!$A:$A),MATCH(E$1,[2]quests!$1:$1,0)-MATCH($B$1,[2]quests!$1:$1,0)+1),MATCH(E$1,[2]quests!$1:$1,0)-MATCH($B$1,[2]quests!$1:$1,0)+1,FALSE)</f>
        <v>ゼノビア襲来！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【超絶級】ゼノビア襲来</v>
      </c>
      <c r="G3" s="20">
        <v>1</v>
      </c>
      <c r="H3" s="14" t="str">
        <f>B3&amp;"_"&amp;C3&amp;"-"&amp;G3</f>
        <v>40046_1-1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7" t="s">
        <v>87</v>
      </c>
      <c r="L3" s="118">
        <v>56</v>
      </c>
      <c r="M3" s="16" t="str">
        <f ca="1">VLOOKUP($L3,OFFSET([3]enemies!$A$1,0,0,COUNTA([3]enemies!$A:$A),MATCH(M$1,[3]enemies!$1:$1,0)-MATCH($L$1,[3]enemies!$1:$1,0)+1),MATCH(M$1,[3]enemies!$1:$1,0)-MATCH($L$1,[3]enemies!$1:$1,0)+1,FALSE)</f>
        <v>黄槌のレジスタンス マミコ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f t="shared" ref="R3:R7" si="0">R9-15</f>
        <v>45</v>
      </c>
      <c r="S3" s="24">
        <v>1.8</v>
      </c>
      <c r="T3" s="9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50889.599999999999</v>
      </c>
      <c r="U3" s="24">
        <v>0.3</v>
      </c>
      <c r="V3" s="9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1406.1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3ターンハートパネルを吸収して防御力UP</v>
      </c>
      <c r="Y3" s="186">
        <f t="shared" ref="Y3:Y7" si="1">Y9+10</f>
        <v>40046011</v>
      </c>
      <c r="Z3" s="6">
        <v>1</v>
      </c>
      <c r="AA3" s="6">
        <v>100</v>
      </c>
      <c r="AB3" s="6">
        <v>1</v>
      </c>
      <c r="AC3" s="97">
        <v>1</v>
      </c>
      <c r="AD3" s="19">
        <v>55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3">
        <f ca="1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3">
        <v>1</v>
      </c>
    </row>
    <row r="4" spans="1:42" ht="21" customHeight="1" x14ac:dyDescent="0.15">
      <c r="A4" s="15" t="str">
        <f>B4&amp;"_"&amp;C4&amp;"-"&amp;G4&amp;"/"&amp;L4&amp;"&lt;lv"&amp;R4&amp;"&gt;s"&amp;AC4</f>
        <v>40046_1-1/28&lt;lv44&gt;s2</v>
      </c>
      <c r="B4" s="21">
        <v>40046</v>
      </c>
      <c r="C4" s="185">
        <v>1</v>
      </c>
      <c r="D4" s="2" t="str">
        <f>B4&amp;"_"&amp;C4</f>
        <v>40046_1</v>
      </c>
      <c r="E4" s="4" t="str">
        <f ca="1">VLOOKUP($B4,OFFSET([2]quests!$A$1,0,0,COUNTA([2]quests!$A:$A),MATCH(E$1,[2]quests!$1:$1,0)-MATCH($B$1,[2]quests!$1:$1,0)+1),MATCH(E$1,[2]quests!$1:$1,0)-MATCH($B$1,[2]quests!$1:$1,0)+1,FALSE)</f>
        <v>ゼノビア襲来！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【超絶級】ゼノビア襲来</v>
      </c>
      <c r="G4" s="20">
        <v>1</v>
      </c>
      <c r="H4" s="14" t="str">
        <f>B4&amp;"_"&amp;C4&amp;"-"&amp;G4</f>
        <v>40046_1-1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7" t="s">
        <v>87</v>
      </c>
      <c r="L4" s="118">
        <v>28</v>
      </c>
      <c r="M4" s="16" t="str">
        <f ca="1">VLOOKUP($L4,OFFSET([3]enemies!$A$1,0,0,COUNTA([3]enemies!$A:$A),MATCH(M$1,[3]enemies!$1:$1,0)-MATCH($L$1,[3]enemies!$1:$1,0)+1),MATCH(M$1,[3]enemies!$1:$1,0)-MATCH($L$1,[3]enemies!$1:$1,0)+1,FALSE)</f>
        <v>現場急行 パトラインカスタム</v>
      </c>
      <c r="N4" s="16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f t="shared" si="0"/>
        <v>44</v>
      </c>
      <c r="S4" s="114">
        <v>5.0999999999999996</v>
      </c>
      <c r="T4" s="9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37872.6</v>
      </c>
      <c r="U4" s="24">
        <v>1.9</v>
      </c>
      <c r="V4" s="9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3965.2999999999997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青パネルを吸収して攻撃(最大6個)</v>
      </c>
      <c r="Y4" s="186">
        <f t="shared" si="1"/>
        <v>40046012</v>
      </c>
      <c r="Z4" s="6">
        <v>1</v>
      </c>
      <c r="AA4" s="6">
        <v>100</v>
      </c>
      <c r="AB4" s="6">
        <v>0</v>
      </c>
      <c r="AC4" s="97">
        <v>2</v>
      </c>
      <c r="AD4" s="19">
        <v>27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パトライン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3">
        <f ca="1">AF4</f>
        <v>1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3">
        <v>1</v>
      </c>
    </row>
    <row r="5" spans="1:42" ht="21" customHeight="1" x14ac:dyDescent="0.15">
      <c r="A5" s="15" t="str">
        <f t="shared" ref="A5:A7" si="2">B5&amp;"_"&amp;C5&amp;"-"&amp;G5&amp;"/"&amp;L5&amp;"&lt;lv"&amp;R5&amp;"&gt;s"&amp;AC5</f>
        <v>40046_1-2/1265&lt;lv45&gt;s2</v>
      </c>
      <c r="B5" s="21">
        <v>40046</v>
      </c>
      <c r="C5" s="185">
        <v>1</v>
      </c>
      <c r="D5" s="2" t="str">
        <f t="shared" ref="D5:D7" si="3">B5&amp;"_"&amp;C5</f>
        <v>40046_1</v>
      </c>
      <c r="E5" s="4" t="str">
        <f ca="1">VLOOKUP($B5,OFFSET([2]quests!$A$1,0,0,COUNTA([2]quests!$A:$A),MATCH(E$1,[2]quests!$1:$1,0)-MATCH($B$1,[2]quests!$1:$1,0)+1),MATCH(E$1,[2]quests!$1:$1,0)-MATCH($B$1,[2]quests!$1:$1,0)+1,FALSE)</f>
        <v>ゼノビア襲来！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【超絶級】ゼノビア襲来</v>
      </c>
      <c r="G5" s="20">
        <v>2</v>
      </c>
      <c r="H5" s="14" t="str">
        <f t="shared" ref="H5:H7" si="4">B5&amp;"_"&amp;C5&amp;"-"&amp;G5</f>
        <v>40046_1-2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19">
        <v>1265</v>
      </c>
      <c r="M5" s="16" t="str">
        <f ca="1">VLOOKUP($L5,OFFSET([3]enemies!$A$1,0,0,COUNTA([3]enemies!$A:$A),MATCH(M$1,[3]enemies!$1:$1,0)-MATCH($L$1,[3]enemies!$1:$1,0)+1),MATCH(M$1,[3]enemies!$1:$1,0)-MATCH($L$1,[3]enemies!$1:$1,0)+1,FALSE)</f>
        <v>静観する世限者 ウルズ</v>
      </c>
      <c r="N5" s="16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6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f t="shared" si="0"/>
        <v>45</v>
      </c>
      <c r="S5" s="24">
        <v>2.2999999999999998</v>
      </c>
      <c r="T5" s="9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174542.4</v>
      </c>
      <c r="U5" s="24">
        <v>0.44</v>
      </c>
      <c r="V5" s="9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2970.44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黄パネルは確率でプロテクトされてドロップ_x000D_(HP50%以上のときに強力な攻撃！)</v>
      </c>
      <c r="Y5" s="186">
        <f t="shared" si="1"/>
        <v>40046013</v>
      </c>
      <c r="Z5" s="6">
        <v>1</v>
      </c>
      <c r="AA5" s="6">
        <v>100</v>
      </c>
      <c r="AB5" s="6">
        <v>1</v>
      </c>
      <c r="AC5" s="97">
        <v>2</v>
      </c>
      <c r="AD5" s="19">
        <v>1264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ウルズ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3">
        <f t="shared" ref="AI5:AI7" ca="1" si="5">AF5</f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3">
        <v>1</v>
      </c>
    </row>
    <row r="6" spans="1:42" ht="21" customHeight="1" x14ac:dyDescent="0.15">
      <c r="A6" s="15" t="str">
        <f t="shared" si="2"/>
        <v>40046_1-3/656&lt;lv45&gt;s1</v>
      </c>
      <c r="B6" s="21">
        <v>40046</v>
      </c>
      <c r="C6" s="185">
        <v>1</v>
      </c>
      <c r="D6" s="2" t="str">
        <f t="shared" si="3"/>
        <v>40046_1</v>
      </c>
      <c r="E6" s="4" t="str">
        <f ca="1">VLOOKUP($B6,OFFSET([2]quests!$A$1,0,0,COUNTA([2]quests!$A:$A),MATCH(E$1,[2]quests!$1:$1,0)-MATCH($B$1,[2]quests!$1:$1,0)+1),MATCH(E$1,[2]quests!$1:$1,0)-MATCH($B$1,[2]quests!$1:$1,0)+1,FALSE)</f>
        <v>ゼノビア襲来！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【超絶級】ゼノビア襲来</v>
      </c>
      <c r="G6" s="20">
        <v>3</v>
      </c>
      <c r="H6" s="14" t="str">
        <f t="shared" si="4"/>
        <v>40046_1-3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19">
        <v>656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シヴァ</v>
      </c>
      <c r="N6" s="16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6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f t="shared" si="0"/>
        <v>45</v>
      </c>
      <c r="S6" s="24">
        <v>2.2000000000000002</v>
      </c>
      <c r="T6" s="9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127670.40000000001</v>
      </c>
      <c r="U6" s="24">
        <v>0.6</v>
      </c>
      <c r="V6" s="9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3761.3999999999996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赤パネルプロテクト(最大6個)_x000D_(次のターン赤パネルを吸収して攻撃！)</v>
      </c>
      <c r="Y6" s="186">
        <f t="shared" si="1"/>
        <v>40046014</v>
      </c>
      <c r="Z6" s="6">
        <v>1</v>
      </c>
      <c r="AA6" s="6">
        <v>100</v>
      </c>
      <c r="AB6" s="6">
        <v>1</v>
      </c>
      <c r="AC6" s="97">
        <v>1</v>
      </c>
      <c r="AD6" s="19">
        <v>656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シヴァ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3">
        <f t="shared" ca="1" si="5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3">
        <v>1</v>
      </c>
    </row>
    <row r="7" spans="1:42" ht="21" customHeight="1" x14ac:dyDescent="0.15">
      <c r="A7" s="15" t="str">
        <f t="shared" si="2"/>
        <v>40046_1-4/1438&lt;lv45&gt;s1</v>
      </c>
      <c r="B7" s="21">
        <v>40046</v>
      </c>
      <c r="C7" s="185">
        <v>1</v>
      </c>
      <c r="D7" s="2" t="str">
        <f t="shared" si="3"/>
        <v>40046_1</v>
      </c>
      <c r="E7" s="4" t="str">
        <f ca="1">VLOOKUP($B7,OFFSET([2]quests!$A$1,0,0,COUNTA([2]quests!$A:$A),MATCH(E$1,[2]quests!$1:$1,0)-MATCH($B$1,[2]quests!$1:$1,0)+1),MATCH(E$1,[2]quests!$1:$1,0)-MATCH($B$1,[2]quests!$1:$1,0)+1,FALSE)</f>
        <v>ゼノビア襲来！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【超絶級】ゼノビア襲来</v>
      </c>
      <c r="G7" s="20">
        <v>4</v>
      </c>
      <c r="H7" s="14" t="str">
        <f t="shared" si="4"/>
        <v>40046_1-4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19">
        <v>1438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ゼノビア</v>
      </c>
      <c r="N7" s="16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hero</v>
      </c>
      <c r="Q7" s="16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f t="shared" si="0"/>
        <v>45</v>
      </c>
      <c r="S7" s="24">
        <v>4.5999999999999996</v>
      </c>
      <c r="T7" s="9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213899.99999999997</v>
      </c>
      <c r="U7" s="24">
        <v>1</v>
      </c>
      <c r="V7" s="9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3700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状態異常耐性+_x000D_特定エリアを赤&amp;緑&amp;青のダメージパネルに変換</v>
      </c>
      <c r="Y7" s="186">
        <f t="shared" si="1"/>
        <v>40046015</v>
      </c>
      <c r="Z7" s="6">
        <v>1</v>
      </c>
      <c r="AA7" s="6">
        <v>100</v>
      </c>
      <c r="AB7" s="6">
        <v>2</v>
      </c>
      <c r="AC7" s="97">
        <v>1</v>
      </c>
      <c r="AD7" s="19">
        <f t="shared" ref="AD7" si="6">L7</f>
        <v>1438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ゼノビア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3">
        <f t="shared" ca="1" si="5"/>
        <v>5</v>
      </c>
      <c r="AJ7" s="8">
        <v>15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3">
        <v>1</v>
      </c>
    </row>
    <row r="8" spans="1:42" ht="21" customHeight="1" x14ac:dyDescent="0.15">
      <c r="A8" s="15" t="str">
        <f>B8&amp;"_"&amp;C8&amp;"-"&amp;G8&amp;"/"&amp;L8&amp;"&lt;lv"&amp;R8&amp;"&gt;s"&amp;AC8</f>
        <v>40046_2-1/28&lt;lv60&gt;s2</v>
      </c>
      <c r="B8" s="21">
        <v>40046</v>
      </c>
      <c r="C8" s="167">
        <v>2</v>
      </c>
      <c r="D8" s="111" t="str">
        <f>B8&amp;"_"&amp;C8</f>
        <v>40046_2</v>
      </c>
      <c r="E8" s="4" t="str">
        <f ca="1">VLOOKUP($B8,OFFSET([2]quests!$A$1,0,0,COUNTA([2]quests!$A:$A),MATCH(E$1,[2]quests!$1:$1,0)-MATCH($B$1,[2]quests!$1:$1,0)+1),MATCH(E$1,[2]quests!$1:$1,0)-MATCH($B$1,[2]quests!$1:$1,0)+1,FALSE)</f>
        <v>ゼノビア襲来！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【ウィザード級】ゼノビア襲来</v>
      </c>
      <c r="G8" s="110">
        <v>1</v>
      </c>
      <c r="H8" s="111" t="str">
        <f>B8&amp;"_"&amp;C8&amp;"-"&amp;G8</f>
        <v>40046_2-1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112" t="s">
        <v>87</v>
      </c>
      <c r="L8" s="169">
        <v>28</v>
      </c>
      <c r="M8" s="16" t="str">
        <f ca="1">VLOOKUP($L8,OFFSET([3]enemies!$A$1,0,0,COUNTA([3]enemies!$A:$A),MATCH(M$1,[3]enemies!$1:$1,0)-MATCH($L$1,[3]enemies!$1:$1,0)+1),MATCH(M$1,[3]enemies!$1:$1,0)-MATCH($L$1,[3]enemies!$1:$1,0)+1,FALSE)</f>
        <v>現場急行 パトラインカスタム</v>
      </c>
      <c r="N8" s="16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6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6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60</v>
      </c>
      <c r="S8" s="24">
        <v>5</v>
      </c>
      <c r="T8" s="115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50185</v>
      </c>
      <c r="U8" s="114">
        <v>1.9</v>
      </c>
      <c r="V8" s="115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5359.9</v>
      </c>
      <c r="W8" s="113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赤パネルを吸収して攻撃(最大6個)</v>
      </c>
      <c r="Y8" s="170">
        <v>40046000</v>
      </c>
      <c r="Z8" s="119">
        <v>1</v>
      </c>
      <c r="AA8" s="119">
        <v>100</v>
      </c>
      <c r="AB8" s="119">
        <v>0</v>
      </c>
      <c r="AC8" s="97">
        <v>2</v>
      </c>
      <c r="AD8" s="19">
        <v>27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パトライン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121">
        <v>1</v>
      </c>
      <c r="AI8" s="120">
        <f ca="1">AF8</f>
        <v>1</v>
      </c>
      <c r="AJ8" s="122">
        <v>0</v>
      </c>
      <c r="AK8" s="121">
        <v>0</v>
      </c>
      <c r="AL8" s="121">
        <v>0</v>
      </c>
      <c r="AM8" s="121">
        <v>0</v>
      </c>
      <c r="AN8" s="121">
        <v>0</v>
      </c>
      <c r="AO8" s="121">
        <v>1</v>
      </c>
      <c r="AP8" s="123">
        <v>1</v>
      </c>
    </row>
    <row r="9" spans="1:42" ht="21" customHeight="1" x14ac:dyDescent="0.15">
      <c r="A9" s="15" t="str">
        <f>B9&amp;"_"&amp;C9&amp;"-"&amp;G9&amp;"/"&amp;L9&amp;"&lt;lv"&amp;R9&amp;"&gt;s"&amp;AC9</f>
        <v>40046_2-1/56&lt;lv60&gt;s1</v>
      </c>
      <c r="B9" s="21">
        <v>40046</v>
      </c>
      <c r="C9" s="168">
        <v>2</v>
      </c>
      <c r="D9" s="2" t="str">
        <f>B9&amp;"_"&amp;C9</f>
        <v>40046_2</v>
      </c>
      <c r="E9" s="4" t="str">
        <f ca="1">VLOOKUP($B9,OFFSET([2]quests!$A$1,0,0,COUNTA([2]quests!$A:$A),MATCH(E$1,[2]quests!$1:$1,0)-MATCH($B$1,[2]quests!$1:$1,0)+1),MATCH(E$1,[2]quests!$1:$1,0)-MATCH($B$1,[2]quests!$1:$1,0)+1,FALSE)</f>
        <v>ゼノビア襲来！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【ウィザード級】ゼノビア襲来</v>
      </c>
      <c r="G9" s="20">
        <v>1</v>
      </c>
      <c r="H9" s="14" t="str">
        <f>B9&amp;"_"&amp;C9&amp;"-"&amp;G9</f>
        <v>40046_2-1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7" t="s">
        <v>87</v>
      </c>
      <c r="L9" s="118">
        <v>56</v>
      </c>
      <c r="M9" s="16" t="str">
        <f ca="1">VLOOKUP($L9,OFFSET([3]enemies!$A$1,0,0,COUNTA([3]enemies!$A:$A),MATCH(M$1,[3]enemies!$1:$1,0)-MATCH($L$1,[3]enemies!$1:$1,0)+1),MATCH(M$1,[3]enemies!$1:$1,0)-MATCH($L$1,[3]enemies!$1:$1,0)+1,FALSE)</f>
        <v>黄槌のレジスタンス マミコ</v>
      </c>
      <c r="N9" s="16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60</v>
      </c>
      <c r="S9" s="24">
        <v>1.8</v>
      </c>
      <c r="T9" s="9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67305.600000000006</v>
      </c>
      <c r="U9" s="24">
        <v>0.3</v>
      </c>
      <c r="V9" s="9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1859.6999999999998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3ターンハートパネルを吸収して防御力UP</v>
      </c>
      <c r="Y9" s="166">
        <v>40046001</v>
      </c>
      <c r="Z9" s="6">
        <v>1</v>
      </c>
      <c r="AA9" s="6">
        <v>100</v>
      </c>
      <c r="AB9" s="6">
        <v>1</v>
      </c>
      <c r="AC9" s="97">
        <v>1</v>
      </c>
      <c r="AD9" s="19">
        <v>55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マミコ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3">
        <f ca="1">AF9</f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3">
        <v>1</v>
      </c>
    </row>
    <row r="10" spans="1:42" ht="21" customHeight="1" x14ac:dyDescent="0.15">
      <c r="A10" s="15" t="str">
        <f>B10&amp;"_"&amp;C10&amp;"-"&amp;G10&amp;"/"&amp;L10&amp;"&lt;lv"&amp;R10&amp;"&gt;s"&amp;AC10</f>
        <v>40046_2-1/28&lt;lv59&gt;s2</v>
      </c>
      <c r="B10" s="21">
        <v>40046</v>
      </c>
      <c r="C10" s="168">
        <v>2</v>
      </c>
      <c r="D10" s="2" t="str">
        <f>B10&amp;"_"&amp;C10</f>
        <v>40046_2</v>
      </c>
      <c r="E10" s="4" t="str">
        <f ca="1">VLOOKUP($B10,OFFSET([2]quests!$A$1,0,0,COUNTA([2]quests!$A:$A),MATCH(E$1,[2]quests!$1:$1,0)-MATCH($B$1,[2]quests!$1:$1,0)+1),MATCH(E$1,[2]quests!$1:$1,0)-MATCH($B$1,[2]quests!$1:$1,0)+1,FALSE)</f>
        <v>ゼノビア襲来！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【ウィザード級】ゼノビア襲来</v>
      </c>
      <c r="G10" s="20">
        <v>1</v>
      </c>
      <c r="H10" s="14" t="str">
        <f>B10&amp;"_"&amp;C10&amp;"-"&amp;G10</f>
        <v>40046_2-1</v>
      </c>
      <c r="I10" s="4">
        <f ca="1">VLOOKUP($H10,OFFSET(floors!$A$1,0,0,COUNTA(floors!$A:$A),MATCH(I$1,floors!$1:$1,0)-MATCH($H$1,floors!$1:$1,0)+1),MATCH(I$1,floors!$1:$1,0)-MATCH($H$1,floors!$1:$1,0)+1,FALSE)</f>
        <v>50</v>
      </c>
      <c r="J10" s="4">
        <f ca="1">VLOOKUP($H10,OFFSET(floors!$A$1,0,0,COUNTA(floors!$A:$A),MATCH(J$1,floors!$1:$1,0)-MATCH($H$1,floors!$1:$1,0)+1),MATCH(J$1,floors!$1:$1,0)-MATCH($H$1,floors!$1:$1,0)+1,FALSE)</f>
        <v>50</v>
      </c>
      <c r="K10" s="37" t="s">
        <v>87</v>
      </c>
      <c r="L10" s="118">
        <v>28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現場急行 パトラインカスタム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6">
        <f ca="1">VLOOKUP($L10,OFFSET([3]enemies!$A$1,0,0,COUNTA([3]enemies!$A:$A),MATCH(Q$1,[3]enemies!$1:$1,0)-MATCH($L$1,[3]enemies!$1:$1,0)+1),MATCH(Q$1,[3]enemies!$1:$1,0)-MATCH($L$1,[3]enemies!$1:$1,0)+1,FALSE)</f>
        <v>15</v>
      </c>
      <c r="R10" s="113">
        <v>59</v>
      </c>
      <c r="S10" s="114">
        <v>5.0999999999999996</v>
      </c>
      <c r="T10" s="9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50357.399999999994</v>
      </c>
      <c r="U10" s="24">
        <v>1.9</v>
      </c>
      <c r="V10" s="9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5272.5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青パネルを吸収して攻撃(最大6個)</v>
      </c>
      <c r="Y10" s="166">
        <v>40046002</v>
      </c>
      <c r="Z10" s="6">
        <v>1</v>
      </c>
      <c r="AA10" s="6">
        <v>100</v>
      </c>
      <c r="AB10" s="6">
        <v>0</v>
      </c>
      <c r="AC10" s="97">
        <v>2</v>
      </c>
      <c r="AD10" s="19">
        <v>27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パトライン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1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3">
        <f ca="1">AF10</f>
        <v>1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3">
        <v>1</v>
      </c>
    </row>
    <row r="11" spans="1:42" ht="21" customHeight="1" x14ac:dyDescent="0.15">
      <c r="A11" s="15" t="str">
        <f t="shared" ref="A11:A13" si="7">B11&amp;"_"&amp;C11&amp;"-"&amp;G11&amp;"/"&amp;L11&amp;"&lt;lv"&amp;R11&amp;"&gt;s"&amp;AC11</f>
        <v>40046_2-2/1265&lt;lv60&gt;s2</v>
      </c>
      <c r="B11" s="21">
        <v>40046</v>
      </c>
      <c r="C11" s="168">
        <v>2</v>
      </c>
      <c r="D11" s="2" t="str">
        <f t="shared" ref="D11:D13" si="8">B11&amp;"_"&amp;C11</f>
        <v>40046_2</v>
      </c>
      <c r="E11" s="4" t="str">
        <f ca="1">VLOOKUP($B11,OFFSET([2]quests!$A$1,0,0,COUNTA([2]quests!$A:$A),MATCH(E$1,[2]quests!$1:$1,0)-MATCH($B$1,[2]quests!$1:$1,0)+1),MATCH(E$1,[2]quests!$1:$1,0)-MATCH($B$1,[2]quests!$1:$1,0)+1,FALSE)</f>
        <v>ゼノビア襲来！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【ウィザード級】ゼノビア襲来</v>
      </c>
      <c r="G11" s="20">
        <v>2</v>
      </c>
      <c r="H11" s="14" t="str">
        <f t="shared" ref="H11:H13" si="9">B11&amp;"_"&amp;C11&amp;"-"&amp;G11</f>
        <v>40046_2-2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>
        <v>1</v>
      </c>
      <c r="L11" s="19">
        <v>1265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静観する世限者 ウルズ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6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60</v>
      </c>
      <c r="S11" s="24">
        <v>2.2999999999999998</v>
      </c>
      <c r="T11" s="9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230846.4</v>
      </c>
      <c r="U11" s="24">
        <v>0.44</v>
      </c>
      <c r="V11" s="9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3928.32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黄パネルは確率でプロテクトされてドロップ_x000D_(HP50%以上のときに強力な攻撃！)</v>
      </c>
      <c r="Y11" s="166">
        <v>40046003</v>
      </c>
      <c r="Z11" s="6">
        <v>1</v>
      </c>
      <c r="AA11" s="6">
        <v>100</v>
      </c>
      <c r="AB11" s="6">
        <v>1</v>
      </c>
      <c r="AC11" s="97">
        <v>2</v>
      </c>
      <c r="AD11" s="19">
        <v>1264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ウルズ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1" s="7">
        <v>1</v>
      </c>
      <c r="AI11" s="23">
        <f t="shared" ref="AI11:AI13" ca="1" si="10">AF11</f>
        <v>5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3">
        <v>1</v>
      </c>
    </row>
    <row r="12" spans="1:42" ht="21" customHeight="1" x14ac:dyDescent="0.15">
      <c r="A12" s="15" t="str">
        <f t="shared" si="7"/>
        <v>40046_2-3/656&lt;lv60&gt;s1</v>
      </c>
      <c r="B12" s="21">
        <v>40046</v>
      </c>
      <c r="C12" s="168">
        <v>2</v>
      </c>
      <c r="D12" s="2" t="str">
        <f t="shared" si="8"/>
        <v>40046_2</v>
      </c>
      <c r="E12" s="4" t="str">
        <f ca="1">VLOOKUP($B12,OFFSET([2]quests!$A$1,0,0,COUNTA([2]quests!$A:$A),MATCH(E$1,[2]quests!$1:$1,0)-MATCH($B$1,[2]quests!$1:$1,0)+1),MATCH(E$1,[2]quests!$1:$1,0)-MATCH($B$1,[2]quests!$1:$1,0)+1,FALSE)</f>
        <v>ゼノビア襲来！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【ウィザード級】ゼノビア襲来</v>
      </c>
      <c r="G12" s="20">
        <v>3</v>
      </c>
      <c r="H12" s="14" t="str">
        <f t="shared" si="9"/>
        <v>40046_2-3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>
        <v>1</v>
      </c>
      <c r="L12" s="19">
        <v>656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シヴァ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DropWizS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6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60</v>
      </c>
      <c r="S12" s="24">
        <v>2.2000000000000002</v>
      </c>
      <c r="T12" s="9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168854.40000000002</v>
      </c>
      <c r="U12" s="24">
        <v>0.6</v>
      </c>
      <c r="V12" s="9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4974.5999999999995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赤パネルプロテクト(最大6個)_x000D_(次のターン赤パネルを吸収して攻撃！)</v>
      </c>
      <c r="Y12" s="166">
        <v>40046004</v>
      </c>
      <c r="Z12" s="6">
        <v>1</v>
      </c>
      <c r="AA12" s="6">
        <v>100</v>
      </c>
      <c r="AB12" s="6">
        <v>1</v>
      </c>
      <c r="AC12" s="97">
        <v>1</v>
      </c>
      <c r="AD12" s="19">
        <v>656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シヴァ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2" s="7">
        <v>1</v>
      </c>
      <c r="AI12" s="23">
        <f t="shared" ca="1" si="10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3">
        <v>1</v>
      </c>
    </row>
    <row r="13" spans="1:42" ht="21" customHeight="1" x14ac:dyDescent="0.15">
      <c r="A13" s="15" t="str">
        <f t="shared" si="7"/>
        <v>40046_2-4/1438&lt;lv60&gt;s1</v>
      </c>
      <c r="B13" s="21">
        <v>40046</v>
      </c>
      <c r="C13" s="168">
        <v>2</v>
      </c>
      <c r="D13" s="2" t="str">
        <f t="shared" si="8"/>
        <v>40046_2</v>
      </c>
      <c r="E13" s="4" t="str">
        <f ca="1">VLOOKUP($B13,OFFSET([2]quests!$A$1,0,0,COUNTA([2]quests!$A:$A),MATCH(E$1,[2]quests!$1:$1,0)-MATCH($B$1,[2]quests!$1:$1,0)+1),MATCH(E$1,[2]quests!$1:$1,0)-MATCH($B$1,[2]quests!$1:$1,0)+1,FALSE)</f>
        <v>ゼノビア襲来！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【ウィザード級】ゼノビア襲来</v>
      </c>
      <c r="G13" s="20">
        <v>4</v>
      </c>
      <c r="H13" s="14" t="str">
        <f t="shared" si="9"/>
        <v>40046_2-4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>
        <v>2</v>
      </c>
      <c r="L13" s="19">
        <v>1438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ゼノビア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hero</v>
      </c>
      <c r="Q13" s="16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60</v>
      </c>
      <c r="S13" s="24">
        <v>4.5999999999999996</v>
      </c>
      <c r="T13" s="94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282900</v>
      </c>
      <c r="U13" s="24">
        <v>1</v>
      </c>
      <c r="V13" s="94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4893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状態異常耐性+_x000D_特定エリアを赤&amp;緑&amp;青のダメージパネルに変換</v>
      </c>
      <c r="Y13" s="166">
        <v>40046005</v>
      </c>
      <c r="Z13" s="6">
        <v>1</v>
      </c>
      <c r="AA13" s="6">
        <v>100</v>
      </c>
      <c r="AB13" s="6">
        <v>2</v>
      </c>
      <c r="AC13" s="97">
        <v>1</v>
      </c>
      <c r="AD13" s="19">
        <f t="shared" ref="AD13" si="11">L13</f>
        <v>1438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ゼノビア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3">
        <f t="shared" ca="1" si="10"/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3">
        <v>1</v>
      </c>
    </row>
    <row r="15" spans="1:42" ht="21" customHeight="1" x14ac:dyDescent="0.15">
      <c r="T15" s="3"/>
      <c r="Y15" s="109"/>
      <c r="Z15" s="109"/>
    </row>
    <row r="16" spans="1:42" ht="21" customHeight="1" x14ac:dyDescent="0.15">
      <c r="T16" s="3"/>
    </row>
    <row r="17" spans="20:34" ht="21" customHeight="1" x14ac:dyDescent="0.15">
      <c r="T17" s="109"/>
      <c r="AB17" s="10"/>
      <c r="AE17" s="3"/>
      <c r="AF17" s="3"/>
      <c r="AG17" s="3"/>
      <c r="AH17" s="3"/>
    </row>
    <row r="18" spans="20:34" ht="21" customHeight="1" x14ac:dyDescent="0.15">
      <c r="T18" s="109"/>
      <c r="AB18" s="10"/>
      <c r="AE18" s="3"/>
      <c r="AF18" s="3"/>
      <c r="AG18" s="3"/>
      <c r="AH18" s="3"/>
    </row>
    <row r="19" spans="20:34" ht="21" customHeight="1" x14ac:dyDescent="0.15">
      <c r="T19" s="109"/>
      <c r="AB19" s="10"/>
      <c r="AE19" s="3"/>
      <c r="AF19" s="3"/>
      <c r="AG19" s="3"/>
      <c r="AH19" s="3"/>
    </row>
    <row r="20" spans="20:34" ht="21" customHeight="1" x14ac:dyDescent="0.15">
      <c r="T20" s="3"/>
      <c r="W20" s="108"/>
      <c r="X20" s="109"/>
      <c r="Y20" s="109"/>
      <c r="Z20" s="109"/>
    </row>
    <row r="21" spans="20:34" ht="21" customHeight="1" x14ac:dyDescent="0.15">
      <c r="T21" s="3"/>
      <c r="W21" s="108"/>
      <c r="X21" s="109"/>
      <c r="Y21" s="109"/>
      <c r="Z21" s="109"/>
    </row>
    <row r="22" spans="20:34" ht="21" customHeight="1" x14ac:dyDescent="0.15">
      <c r="T22" s="3"/>
      <c r="W22" s="108"/>
      <c r="X22" s="109"/>
      <c r="Y22" s="109"/>
      <c r="Z22" s="109"/>
    </row>
    <row r="23" spans="20:34" ht="21" customHeight="1" x14ac:dyDescent="0.15">
      <c r="T23" s="3"/>
      <c r="W23" s="108"/>
      <c r="X23" s="109"/>
      <c r="Y23" s="109"/>
      <c r="Z23" s="109"/>
    </row>
    <row r="24" spans="20:34" ht="21" customHeight="1" x14ac:dyDescent="0.15">
      <c r="T24" s="3"/>
      <c r="W24" s="108"/>
      <c r="X24" s="109"/>
      <c r="Y24" s="109"/>
      <c r="Z24" s="109"/>
    </row>
    <row r="25" spans="20:34" ht="21" customHeight="1" x14ac:dyDescent="0.15">
      <c r="T25" s="135"/>
      <c r="W25" s="108"/>
      <c r="X25" s="109"/>
      <c r="Y25" s="109"/>
    </row>
    <row r="26" spans="20:34" ht="21" customHeight="1" x14ac:dyDescent="0.15">
      <c r="W26" s="108"/>
      <c r="X26" s="109"/>
      <c r="Y26" s="109"/>
    </row>
    <row r="27" spans="20:34" ht="21" customHeight="1" x14ac:dyDescent="0.15">
      <c r="W27" s="109"/>
      <c r="X27" s="109"/>
      <c r="Y27" s="109"/>
    </row>
    <row r="28" spans="20:34" ht="21" customHeight="1" x14ac:dyDescent="0.15">
      <c r="W28" s="109"/>
      <c r="X28" s="109"/>
      <c r="Y28" s="109"/>
    </row>
  </sheetData>
  <sheetProtection selectLockedCells="1" selectUnlockedCells="1"/>
  <autoFilter ref="B1:AJ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X3" sqref="X3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2" width="8.5" style="3" customWidth="1"/>
    <col min="13" max="13" width="13.5" style="9" bestFit="1" customWidth="1"/>
    <col min="14" max="14" width="12.33203125" style="3" customWidth="1" outlineLevel="1"/>
    <col min="15" max="15" width="8.6640625" style="3" customWidth="1" outlineLevel="1"/>
    <col min="16" max="16" width="9.33203125" style="3" customWidth="1" outlineLevel="1"/>
    <col min="17" max="17" width="7.33203125" style="3" customWidth="1" outlineLevel="1"/>
    <col min="18" max="18" width="8" style="3" customWidth="1" outlineLevel="1"/>
    <col min="19" max="19" width="8.33203125" style="3" bestFit="1" customWidth="1"/>
    <col min="20" max="23" width="12.33203125" style="3" customWidth="1"/>
    <col min="24" max="24" width="8.33203125" style="3" customWidth="1"/>
    <col min="25" max="25" width="16.6640625" style="3" customWidth="1"/>
    <col min="26" max="26" width="12.1640625" style="3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53</v>
      </c>
      <c r="L1" s="35" t="s">
        <v>54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3" t="s">
        <v>248</v>
      </c>
      <c r="V1" s="25" t="s">
        <v>50</v>
      </c>
      <c r="W1" s="93" t="s">
        <v>249</v>
      </c>
      <c r="X1" s="25" t="s">
        <v>52</v>
      </c>
      <c r="Y1" s="27" t="s">
        <v>128</v>
      </c>
      <c r="Z1" s="28" t="s">
        <v>127</v>
      </c>
      <c r="AA1" s="27" t="s">
        <v>8</v>
      </c>
    </row>
    <row r="2" spans="1:27" ht="21" customHeight="1" x14ac:dyDescent="0.15">
      <c r="A2" s="116" t="str">
        <f t="shared" ref="A2:A7" si="0">B2&amp;"_"&amp;C2&amp;"-"&amp;G2&amp;"/"&amp;M2&amp;"&lt;lv"&amp;S2&amp;"&gt;sq"&amp;K2&amp;"st"&amp;L2</f>
        <v>40046_1-2/1265&lt;lv40&gt;sq1st2</v>
      </c>
      <c r="B2" s="21">
        <v>40046</v>
      </c>
      <c r="C2" s="188">
        <v>1</v>
      </c>
      <c r="D2" s="14" t="str">
        <f t="shared" ref="D2:D7" si="1">B2&amp;"_"&amp;C2</f>
        <v>40046_1</v>
      </c>
      <c r="E2" s="4" t="str">
        <f ca="1">VLOOKUP($B2,OFFSET([2]quests!$A$1,0,0,COUNTA([2]quests!$A:$A),MATCH(E$1,[2]quests!$1:$1,0)-MATCH($B$1,[2]quests!$1:$1,0)+1),MATCH(E$1,[2]quests!$1:$1,0)-MATCH($B$1,[2]quests!$1:$1,0)+1,FALSE)</f>
        <v>ゼノビア襲来！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【超絶級】ゼノビア襲来</v>
      </c>
      <c r="G2" s="117">
        <v>2</v>
      </c>
      <c r="H2" s="14" t="str">
        <f t="shared" ref="H2:H7" si="2">B2&amp;"_"&amp;C2&amp;"-"&amp;G2</f>
        <v>40046_1-2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18">
        <v>1265</v>
      </c>
      <c r="N2" s="16" t="str">
        <f ca="1">VLOOKUP($M2,OFFSET([3]enemies!$A$1,0,0,COUNTA([3]enemies!$A:$A),MATCH(N$1,[3]enemies!$1:$1,0)-MATCH($M$1,[3]enemies!$1:$1,0)+1),MATCH(N$1,[3]enemies!$1:$1,0)-MATCH($M$1,[3]enemies!$1:$1,0)+1,FALSE)</f>
        <v>静観する世限者 ウルズ</v>
      </c>
      <c r="O2" s="16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114">
        <v>2.4</v>
      </c>
      <c r="U2" s="9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162547.19999999998</v>
      </c>
      <c r="V2" s="24">
        <v>0.7</v>
      </c>
      <c r="W2" s="9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4217.5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87">
        <v>40046020</v>
      </c>
      <c r="AA2" s="96">
        <v>1</v>
      </c>
    </row>
    <row r="3" spans="1:27" ht="21" customHeight="1" x14ac:dyDescent="0.15">
      <c r="A3" s="116" t="str">
        <f t="shared" si="0"/>
        <v>40046_1-3/657&lt;lv40&gt;sq1st2</v>
      </c>
      <c r="B3" s="21">
        <v>40046</v>
      </c>
      <c r="C3" s="188">
        <v>1</v>
      </c>
      <c r="D3" s="14" t="str">
        <f t="shared" si="1"/>
        <v>40046_1</v>
      </c>
      <c r="E3" s="4" t="str">
        <f ca="1">VLOOKUP($B3,OFFSET([2]quests!$A$1,0,0,COUNTA([2]quests!$A:$A),MATCH(E$1,[2]quests!$1:$1,0)-MATCH($B$1,[2]quests!$1:$1,0)+1),MATCH(E$1,[2]quests!$1:$1,0)-MATCH($B$1,[2]quests!$1:$1,0)+1,FALSE)</f>
        <v>ゼノビア襲来！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【超絶級】ゼノビア襲来</v>
      </c>
      <c r="G3" s="117">
        <v>3</v>
      </c>
      <c r="H3" s="14" t="str">
        <f t="shared" si="2"/>
        <v>40046_1-3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37">
        <v>2</v>
      </c>
      <c r="M3" s="118">
        <v>657</v>
      </c>
      <c r="N3" s="16" t="str">
        <f ca="1">VLOOKUP($M3,OFFSET([3]enemies!$A$1,0,0,COUNTA([3]enemies!$A:$A),MATCH(N$1,[3]enemies!$1:$1,0)-MATCH($M$1,[3]enemies!$1:$1,0)+1),MATCH(N$1,[3]enemies!$1:$1,0)-MATCH($M$1,[3]enemies!$1:$1,0)+1,FALSE)</f>
        <v>解滅の裁神 シヴァ</v>
      </c>
      <c r="O3" s="16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114">
        <v>2.4</v>
      </c>
      <c r="U3" s="9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162547.19999999998</v>
      </c>
      <c r="V3" s="24">
        <v>0.7</v>
      </c>
      <c r="W3" s="9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4217.5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87">
        <f>Z6+10</f>
        <v>40046016</v>
      </c>
      <c r="AA3" s="96">
        <v>2</v>
      </c>
    </row>
    <row r="4" spans="1:27" ht="21" customHeight="1" x14ac:dyDescent="0.15">
      <c r="A4" s="116" t="str">
        <f t="shared" si="0"/>
        <v>40046_1-4/1438&lt;lv40&gt;sq2st2</v>
      </c>
      <c r="B4" s="21">
        <v>40046</v>
      </c>
      <c r="C4" s="188">
        <v>1</v>
      </c>
      <c r="D4" s="14" t="str">
        <f t="shared" si="1"/>
        <v>40046_1</v>
      </c>
      <c r="E4" s="4" t="str">
        <f ca="1">VLOOKUP($B4,OFFSET([2]quests!$A$1,0,0,COUNTA([2]quests!$A:$A),MATCH(E$1,[2]quests!$1:$1,0)-MATCH($B$1,[2]quests!$1:$1,0)+1),MATCH(E$1,[2]quests!$1:$1,0)-MATCH($B$1,[2]quests!$1:$1,0)+1,FALSE)</f>
        <v>ゼノビア襲来！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【超絶級】ゼノビア襲来</v>
      </c>
      <c r="G4" s="117">
        <v>4</v>
      </c>
      <c r="H4" s="14" t="str">
        <f t="shared" si="2"/>
        <v>40046_1-4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2</v>
      </c>
      <c r="M4" s="118">
        <v>1438</v>
      </c>
      <c r="N4" s="16" t="str">
        <f ca="1">VLOOKUP($M4,OFFSET([3]enemies!$A$1,0,0,COUNTA([3]enemies!$A:$A),MATCH(N$1,[3]enemies!$1:$1,0)-MATCH($M$1,[3]enemies!$1:$1,0)+1),MATCH(N$1,[3]enemies!$1:$1,0)-MATCH($M$1,[3]enemies!$1:$1,0)+1,FALSE)</f>
        <v>ゼノビア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hero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114">
        <v>5.4</v>
      </c>
      <c r="U4" s="9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224100.00000000003</v>
      </c>
      <c r="V4" s="24">
        <v>1.1000000000000001</v>
      </c>
      <c r="W4" s="9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3632.2000000000003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87">
        <f>Z7+10</f>
        <v>40046017</v>
      </c>
      <c r="AA4" s="96">
        <v>1</v>
      </c>
    </row>
    <row r="5" spans="1:27" ht="21" customHeight="1" x14ac:dyDescent="0.15">
      <c r="A5" s="116" t="str">
        <f t="shared" si="0"/>
        <v>40046_2-2/1265&lt;lv60&gt;sq1st2</v>
      </c>
      <c r="B5" s="21">
        <v>40046</v>
      </c>
      <c r="C5" s="189">
        <v>2</v>
      </c>
      <c r="D5" s="14" t="str">
        <f t="shared" si="1"/>
        <v>40046_2</v>
      </c>
      <c r="E5" s="4" t="str">
        <f ca="1">VLOOKUP($B5,OFFSET([2]quests!$A$1,0,0,COUNTA([2]quests!$A:$A),MATCH(E$1,[2]quests!$1:$1,0)-MATCH($B$1,[2]quests!$1:$1,0)+1),MATCH(E$1,[2]quests!$1:$1,0)-MATCH($B$1,[2]quests!$1:$1,0)+1,FALSE)</f>
        <v>ゼノビア襲来！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【ウィザード級】ゼノビア襲来</v>
      </c>
      <c r="G5" s="117">
        <v>2</v>
      </c>
      <c r="H5" s="14" t="str">
        <f t="shared" si="2"/>
        <v>40046_2-2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37">
        <v>2</v>
      </c>
      <c r="M5" s="118">
        <v>1265</v>
      </c>
      <c r="N5" s="16" t="str">
        <f ca="1">VLOOKUP($M5,OFFSET([3]enemies!$A$1,0,0,COUNTA([3]enemies!$A:$A),MATCH(N$1,[3]enemies!$1:$1,0)-MATCH($M$1,[3]enemies!$1:$1,0)+1),MATCH(N$1,[3]enemies!$1:$1,0)-MATCH($M$1,[3]enemies!$1:$1,0)+1,FALSE)</f>
        <v>静観する世限者 ウルズ</v>
      </c>
      <c r="O5" s="16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114">
        <v>2.4</v>
      </c>
      <c r="U5" s="94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240883.19999999998</v>
      </c>
      <c r="V5" s="24">
        <v>0.7</v>
      </c>
      <c r="W5" s="94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6249.5999999999995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66">
        <v>40046021</v>
      </c>
      <c r="AA5" s="96">
        <v>1</v>
      </c>
    </row>
    <row r="6" spans="1:27" ht="21" customHeight="1" x14ac:dyDescent="0.15">
      <c r="A6" s="116" t="str">
        <f t="shared" si="0"/>
        <v>40046_2-3/657&lt;lv60&gt;sq1st2</v>
      </c>
      <c r="B6" s="21">
        <v>40046</v>
      </c>
      <c r="C6" s="189">
        <v>2</v>
      </c>
      <c r="D6" s="14" t="str">
        <f t="shared" si="1"/>
        <v>40046_2</v>
      </c>
      <c r="E6" s="4" t="str">
        <f ca="1">VLOOKUP($B6,OFFSET([2]quests!$A$1,0,0,COUNTA([2]quests!$A:$A),MATCH(E$1,[2]quests!$1:$1,0)-MATCH($B$1,[2]quests!$1:$1,0)+1),MATCH(E$1,[2]quests!$1:$1,0)-MATCH($B$1,[2]quests!$1:$1,0)+1,FALSE)</f>
        <v>ゼノビア襲来！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【ウィザード級】ゼノビア襲来</v>
      </c>
      <c r="G6" s="117">
        <v>3</v>
      </c>
      <c r="H6" s="14" t="str">
        <f t="shared" si="2"/>
        <v>40046_2-3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37">
        <v>2</v>
      </c>
      <c r="M6" s="118">
        <v>657</v>
      </c>
      <c r="N6" s="16" t="str">
        <f ca="1">VLOOKUP($M6,OFFSET([3]enemies!$A$1,0,0,COUNTA([3]enemies!$A:$A),MATCH(N$1,[3]enemies!$1:$1,0)-MATCH($M$1,[3]enemies!$1:$1,0)+1),MATCH(N$1,[3]enemies!$1:$1,0)-MATCH($M$1,[3]enemies!$1:$1,0)+1,FALSE)</f>
        <v>解滅の裁神 シヴァ</v>
      </c>
      <c r="O6" s="16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6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114">
        <v>2.4</v>
      </c>
      <c r="U6" s="94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240883.19999999998</v>
      </c>
      <c r="V6" s="24">
        <v>0.7</v>
      </c>
      <c r="W6" s="94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6249.5999999999995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166">
        <v>40046006</v>
      </c>
      <c r="AA6" s="96">
        <v>2</v>
      </c>
    </row>
    <row r="7" spans="1:27" ht="21" customHeight="1" x14ac:dyDescent="0.15">
      <c r="A7" s="116" t="str">
        <f t="shared" si="0"/>
        <v>40046_2-4/1439&lt;lv60&gt;sq2st2</v>
      </c>
      <c r="B7" s="21">
        <v>40046</v>
      </c>
      <c r="C7" s="189">
        <v>2</v>
      </c>
      <c r="D7" s="14" t="str">
        <f t="shared" si="1"/>
        <v>40046_2</v>
      </c>
      <c r="E7" s="4" t="str">
        <f ca="1">VLOOKUP($B7,OFFSET([2]quests!$A$1,0,0,COUNTA([2]quests!$A:$A),MATCH(E$1,[2]quests!$1:$1,0)-MATCH($B$1,[2]quests!$1:$1,0)+1),MATCH(E$1,[2]quests!$1:$1,0)-MATCH($B$1,[2]quests!$1:$1,0)+1,FALSE)</f>
        <v>ゼノビア襲来！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【ウィザード級】ゼノビア襲来</v>
      </c>
      <c r="G7" s="117">
        <v>4</v>
      </c>
      <c r="H7" s="14" t="str">
        <f t="shared" si="2"/>
        <v>40046_2-4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37">
        <v>2</v>
      </c>
      <c r="M7" s="118">
        <v>1439</v>
      </c>
      <c r="N7" s="16" t="str">
        <f ca="1">VLOOKUP($M7,OFFSET([3]enemies!$A$1,0,0,COUNTA([3]enemies!$A:$A),MATCH(N$1,[3]enemies!$1:$1,0)-MATCH($M$1,[3]enemies!$1:$1,0)+1),MATCH(N$1,[3]enemies!$1:$1,0)-MATCH($M$1,[3]enemies!$1:$1,0)+1,FALSE)</f>
        <v>狡貴なる女傑 ゼノビア</v>
      </c>
      <c r="O7" s="16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6" t="str">
        <f ca="1">VLOOKUP($M7,OFFSET([3]enemies!$A$1,0,0,COUNTA([3]enemies!$A:$A),MATCH(Q$1,[3]enemies!$1:$1,0)-MATCH($M$1,[3]enemies!$1:$1,0)+1),MATCH(Q$1,[3]enemies!$1:$1,0)-MATCH($M$1,[3]enemies!$1:$1,0)+1,FALSE)</f>
        <v>hero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114">
        <v>5.2</v>
      </c>
      <c r="U7" s="94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300612</v>
      </c>
      <c r="V7" s="24">
        <v>1</v>
      </c>
      <c r="W7" s="94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4844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166">
        <v>40046007</v>
      </c>
      <c r="AA7" s="96">
        <v>1</v>
      </c>
    </row>
  </sheetData>
  <sheetProtection selectLockedCells="1" selectUnlockedCells="1"/>
  <autoFilter ref="B1:AA6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51"/>
  <sheetViews>
    <sheetView showGridLines="0" workbookViewId="0">
      <pane xSplit="5" ySplit="1" topLeftCell="F96" activePane="bottomRight" state="frozen"/>
      <selection pane="topRight"/>
      <selection pane="bottomLeft"/>
      <selection pane="bottomRight" activeCell="D83" sqref="D83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10.6640625" style="48" customWidth="1"/>
    <col min="3" max="3" width="11" style="48" customWidth="1"/>
    <col min="4" max="4" width="30.6640625" style="48" customWidth="1" outlineLevel="1"/>
    <col min="5" max="5" width="27" style="48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11" style="44" customWidth="1"/>
    <col min="17" max="17" width="9.6640625" style="13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59</v>
      </c>
      <c r="B1" s="39" t="s">
        <v>60</v>
      </c>
      <c r="C1" s="39" t="s">
        <v>61</v>
      </c>
      <c r="D1" s="40" t="s">
        <v>62</v>
      </c>
      <c r="E1" s="40" t="s">
        <v>63</v>
      </c>
      <c r="F1" s="41" t="s">
        <v>64</v>
      </c>
      <c r="G1" s="42" t="s">
        <v>65</v>
      </c>
      <c r="H1" s="42" t="s">
        <v>67</v>
      </c>
      <c r="I1" s="42" t="s">
        <v>68</v>
      </c>
      <c r="J1" s="42" t="s">
        <v>69</v>
      </c>
      <c r="K1" s="43" t="s">
        <v>70</v>
      </c>
      <c r="L1" s="43" t="s">
        <v>71</v>
      </c>
      <c r="M1" s="42" t="s">
        <v>72</v>
      </c>
      <c r="N1" s="42" t="s">
        <v>73</v>
      </c>
      <c r="O1" s="42" t="s">
        <v>74</v>
      </c>
      <c r="P1" s="40" t="s">
        <v>75</v>
      </c>
      <c r="Q1" s="45" t="s">
        <v>76</v>
      </c>
      <c r="R1" s="40" t="s">
        <v>77</v>
      </c>
    </row>
    <row r="2" spans="1:18" s="126" customFormat="1" ht="21" customHeight="1" x14ac:dyDescent="0.15">
      <c r="A2" s="101" t="str">
        <f t="shared" ref="A2:A66" si="0">B2&amp;"_"&amp;C2</f>
        <v>40046010_40046500</v>
      </c>
      <c r="B2" s="187">
        <f t="shared" ref="B2:B22" si="1">B67+10</f>
        <v>40046010</v>
      </c>
      <c r="C2" s="199">
        <v>40046500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没収ス…ル！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赤パネルを吸収して攻撃(最大6個)</v>
      </c>
      <c r="F2" s="160">
        <v>40046000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9"/>
      <c r="R2" s="46"/>
    </row>
    <row r="3" spans="1:18" s="126" customFormat="1" ht="21" customHeight="1" x14ac:dyDescent="0.15">
      <c r="A3" s="101" t="str">
        <f t="shared" si="0"/>
        <v>40046010_40046501</v>
      </c>
      <c r="B3" s="187">
        <f t="shared" si="1"/>
        <v>40046010</v>
      </c>
      <c r="C3" s="199">
        <v>40046501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没収ス…ル！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赤パネルを吸収して攻撃(最大6個)</v>
      </c>
      <c r="F3" s="160">
        <v>40046001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9"/>
      <c r="R3" s="46"/>
    </row>
    <row r="4" spans="1:18" s="126" customFormat="1" ht="21" customHeight="1" x14ac:dyDescent="0.15">
      <c r="A4" s="101" t="str">
        <f t="shared" si="0"/>
        <v>40046010_40046502</v>
      </c>
      <c r="B4" s="187">
        <f t="shared" si="1"/>
        <v>40046010</v>
      </c>
      <c r="C4" s="199">
        <v>40046502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ハ…ジョ…_x000D_排除…スル！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160">
        <v>40046002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6"/>
      <c r="Q4" s="49"/>
      <c r="R4" s="46"/>
    </row>
    <row r="5" spans="1:18" s="126" customFormat="1" ht="21" customHeight="1" x14ac:dyDescent="0.15">
      <c r="A5" s="101" t="str">
        <f t="shared" si="0"/>
        <v>40046011_40046503</v>
      </c>
      <c r="B5" s="187">
        <f t="shared" si="1"/>
        <v>40046011</v>
      </c>
      <c r="C5" s="200">
        <v>40046503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ここは占拠したわ！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3ターンハートパネルを吸収して防御力UP</v>
      </c>
      <c r="F5" s="160">
        <v>40046003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9"/>
      <c r="R5" s="46"/>
    </row>
    <row r="6" spans="1:18" s="126" customFormat="1" ht="21" customHeight="1" x14ac:dyDescent="0.15">
      <c r="A6" s="101" t="str">
        <f t="shared" si="0"/>
        <v>40046011_40046504</v>
      </c>
      <c r="B6" s="187">
        <f t="shared" si="1"/>
        <v>40046011</v>
      </c>
      <c r="C6" s="200">
        <v>40046504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ピカピカハンマー！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160">
        <v>40046004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9"/>
      <c r="R6" s="46"/>
    </row>
    <row r="7" spans="1:18" s="126" customFormat="1" ht="21" customHeight="1" x14ac:dyDescent="0.15">
      <c r="A7" s="101" t="str">
        <f t="shared" si="0"/>
        <v>40046011_40046505</v>
      </c>
      <c r="B7" s="187">
        <f t="shared" si="1"/>
        <v>40046011</v>
      </c>
      <c r="C7" s="200">
        <v>40046505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これは私が壊すの！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黄パネルプロテクト</v>
      </c>
      <c r="F7" s="160">
        <v>40046005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9"/>
      <c r="R7" s="46"/>
    </row>
    <row r="8" spans="1:18" s="126" customFormat="1" ht="21" customHeight="1" x14ac:dyDescent="0.15">
      <c r="A8" s="101" t="str">
        <f t="shared" si="0"/>
        <v>40046011_40046506</v>
      </c>
      <c r="B8" s="187">
        <f t="shared" si="1"/>
        <v>40046011</v>
      </c>
      <c r="C8" s="200">
        <v>40046506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えい！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クリティカル！_x000D_(次のターン黄パネルを吸収して攻撃！)</v>
      </c>
      <c r="F8" s="160">
        <v>40046006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9"/>
      <c r="R8" s="46"/>
    </row>
    <row r="9" spans="1:18" s="126" customFormat="1" ht="21" customHeight="1" x14ac:dyDescent="0.15">
      <c r="A9" s="101" t="str">
        <f t="shared" si="0"/>
        <v>40046011_40046507</v>
      </c>
      <c r="B9" s="187">
        <f t="shared" si="1"/>
        <v>40046011</v>
      </c>
      <c r="C9" s="200">
        <v>40046507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こっから先は_x000D_行かせないよ！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9" s="160">
        <v>40046007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9"/>
      <c r="R9" s="46"/>
    </row>
    <row r="10" spans="1:18" s="126" customFormat="1" ht="21" customHeight="1" x14ac:dyDescent="0.15">
      <c r="A10" s="101" t="str">
        <f t="shared" si="0"/>
        <v>40046011_40046508</v>
      </c>
      <c r="B10" s="187">
        <f t="shared" si="1"/>
        <v>40046011</v>
      </c>
      <c r="C10" s="200">
        <v>40046508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ピッカピカハンマー！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" s="160">
        <v>40046008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9"/>
      <c r="R10" s="46"/>
    </row>
    <row r="11" spans="1:18" s="126" customFormat="1" ht="21" customHeight="1" x14ac:dyDescent="0.15">
      <c r="A11" s="101" t="str">
        <f t="shared" si="0"/>
        <v>40046011_40046509</v>
      </c>
      <c r="B11" s="187">
        <f t="shared" si="1"/>
        <v>40046011</v>
      </c>
      <c r="C11" s="200">
        <v>40046509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カッチカチハンマー！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</v>
      </c>
      <c r="F11" s="160">
        <v>40046009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9"/>
      <c r="R11" s="46"/>
    </row>
    <row r="12" spans="1:18" s="126" customFormat="1" ht="21" customHeight="1" x14ac:dyDescent="0.15">
      <c r="A12" s="101" t="str">
        <f t="shared" si="0"/>
        <v>40046011_40046510</v>
      </c>
      <c r="B12" s="187">
        <f t="shared" si="1"/>
        <v>40046011</v>
      </c>
      <c r="C12" s="200">
        <v>40046510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壊しちゃダメ！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黄パネルプロテクト</v>
      </c>
      <c r="F12" s="160">
        <v>40046010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9"/>
      <c r="R12" s="46"/>
    </row>
    <row r="13" spans="1:18" s="126" customFormat="1" ht="21" customHeight="1" x14ac:dyDescent="0.15">
      <c r="A13" s="101" t="str">
        <f t="shared" si="0"/>
        <v>40046012_40046511</v>
      </c>
      <c r="B13" s="187">
        <f t="shared" si="1"/>
        <v>40046012</v>
      </c>
      <c r="C13" s="199">
        <v>40046511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没収ス…ル！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青パネルを吸収して攻撃(最大6個)</v>
      </c>
      <c r="F13" s="160">
        <v>40046011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9"/>
      <c r="R13" s="46"/>
    </row>
    <row r="14" spans="1:18" s="126" customFormat="1" ht="21" customHeight="1" x14ac:dyDescent="0.15">
      <c r="A14" s="101" t="str">
        <f t="shared" si="0"/>
        <v>40046012_40046512</v>
      </c>
      <c r="B14" s="187">
        <f t="shared" si="1"/>
        <v>40046012</v>
      </c>
      <c r="C14" s="199">
        <v>40046512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没収ス…ル！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青パネルを吸収して攻撃(最大6個)</v>
      </c>
      <c r="F14" s="160">
        <v>40046012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9"/>
      <c r="R14" s="46"/>
    </row>
    <row r="15" spans="1:18" s="126" customFormat="1" ht="21" customHeight="1" x14ac:dyDescent="0.15">
      <c r="A15" s="101" t="str">
        <f t="shared" si="0"/>
        <v>40046012_40046513</v>
      </c>
      <c r="B15" s="187">
        <f t="shared" si="1"/>
        <v>40046012</v>
      </c>
      <c r="C15" s="199">
        <v>40046513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ハ…ジョ…_x000D_排除…スル！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160">
        <v>40046013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6"/>
      <c r="Q15" s="49"/>
      <c r="R15" s="46"/>
    </row>
    <row r="16" spans="1:18" s="126" customFormat="1" ht="21" customHeight="1" x14ac:dyDescent="0.15">
      <c r="A16" s="101" t="str">
        <f t="shared" si="0"/>
        <v>40046013_40046520</v>
      </c>
      <c r="B16" s="187">
        <f t="shared" si="1"/>
        <v>40046013</v>
      </c>
      <c r="C16" s="201">
        <v>40046520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やっぱり来たのね…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黄パネルは確率でプロテクトされてドロップ_x000D_(HP50%以上のときに強力な攻撃！)</v>
      </c>
      <c r="F16" s="161">
        <v>40046020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9"/>
      <c r="R16" s="46"/>
    </row>
    <row r="17" spans="1:18" s="126" customFormat="1" ht="21" customHeight="1" x14ac:dyDescent="0.15">
      <c r="A17" s="101" t="str">
        <f t="shared" si="0"/>
        <v>40046013_40046521</v>
      </c>
      <c r="B17" s="187">
        <f t="shared" si="1"/>
        <v>40046013</v>
      </c>
      <c r="C17" s="201">
        <v>40046521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…悪気はないの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2000固定ダメージの全体攻撃</v>
      </c>
      <c r="F17" s="161">
        <v>40046021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9"/>
      <c r="R17" s="46"/>
    </row>
    <row r="18" spans="1:18" s="126" customFormat="1" ht="21" customHeight="1" x14ac:dyDescent="0.15">
      <c r="A18" s="101" t="str">
        <f t="shared" si="0"/>
        <v>40046013_40046522</v>
      </c>
      <c r="B18" s="187">
        <f t="shared" si="1"/>
        <v>40046013</v>
      </c>
      <c r="C18" s="201">
        <v>40046522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見つけたわ…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20ターン低確率で_x000D_属性パネルがボムパネルとしてドロップ</v>
      </c>
      <c r="F18" s="161">
        <v>40046022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9"/>
      <c r="R18" s="46"/>
    </row>
    <row r="19" spans="1:18" s="126" customFormat="1" ht="21" customHeight="1" x14ac:dyDescent="0.15">
      <c r="A19" s="101" t="str">
        <f t="shared" si="0"/>
        <v>40046013_40046523</v>
      </c>
      <c r="B19" s="187">
        <f t="shared" si="1"/>
        <v>40046013</v>
      </c>
      <c r="C19" s="201">
        <v>40046523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邪魔をしないで…！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9" s="161">
        <v>40046023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9"/>
      <c r="R19" s="46"/>
    </row>
    <row r="20" spans="1:18" s="126" customFormat="1" ht="21" customHeight="1" x14ac:dyDescent="0.15">
      <c r="A20" s="101" t="str">
        <f t="shared" si="0"/>
        <v>40046013_40046524</v>
      </c>
      <c r="B20" s="187">
        <f t="shared" si="1"/>
        <v>40046013</v>
      </c>
      <c r="C20" s="201">
        <v>40046524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なかなかね…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赤パネルを緑のダメージパネルに4個変換</v>
      </c>
      <c r="F20" s="161">
        <v>40046024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6"/>
      <c r="Q20" s="49"/>
      <c r="R20" s="46"/>
    </row>
    <row r="21" spans="1:18" s="126" customFormat="1" ht="21" customHeight="1" x14ac:dyDescent="0.15">
      <c r="A21" s="101" t="str">
        <f t="shared" si="0"/>
        <v>40046013_40046525</v>
      </c>
      <c r="B21" s="187">
        <f t="shared" si="1"/>
        <v>40046013</v>
      </c>
      <c r="C21" s="201">
        <v>40046525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ちょっと探し物があるの…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全体攻撃+_x000D_2ターン全ユニットの回復力40%DOWN</v>
      </c>
      <c r="F21" s="161">
        <v>40046025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9"/>
      <c r="R21" s="46"/>
    </row>
    <row r="22" spans="1:18" s="126" customFormat="1" ht="21" customHeight="1" x14ac:dyDescent="0.15">
      <c r="A22" s="101" t="str">
        <f t="shared" si="0"/>
        <v>40046013_40046526</v>
      </c>
      <c r="B22" s="187">
        <f t="shared" si="1"/>
        <v>40046013</v>
      </c>
      <c r="C22" s="201">
        <v>40046526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ごめんなさいね…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2000固定ダメージの全体攻撃</v>
      </c>
      <c r="F22" s="161">
        <v>40046026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491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9"/>
      <c r="R22" s="46"/>
    </row>
    <row r="23" spans="1:18" s="126" customFormat="1" ht="21" customHeight="1" x14ac:dyDescent="0.15">
      <c r="A23" s="101" t="str">
        <f t="shared" ref="A23" si="2">B23&amp;"_"&amp;C23</f>
        <v>40046014_40046530</v>
      </c>
      <c r="B23" s="187">
        <f t="shared" ref="B23:B64" si="3">B88+10</f>
        <v>40046014</v>
      </c>
      <c r="C23" s="202">
        <v>40046530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私に力を示してみよ！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赤パネルプロテクト(最大6個)_x000D_(次のターン赤パネルを吸収して攻撃！)</v>
      </c>
      <c r="F23" s="162">
        <v>40046030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9"/>
      <c r="R23" s="46"/>
    </row>
    <row r="24" spans="1:18" s="126" customFormat="1" ht="21" customHeight="1" x14ac:dyDescent="0.15">
      <c r="A24" s="101" t="str">
        <f t="shared" si="0"/>
        <v>40046014_40046538</v>
      </c>
      <c r="B24" s="187">
        <f t="shared" si="3"/>
        <v>40046014</v>
      </c>
      <c r="C24" s="202">
        <v>40046538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パ、パール！この先は危険なんだ…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赤パネルを青パネルに変換_x000D_(次のターン赤パネルを吸収して攻撃！)</v>
      </c>
      <c r="F24" s="162">
        <v>40046038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7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648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9"/>
      <c r="R24" s="46"/>
    </row>
    <row r="25" spans="1:18" s="126" customFormat="1" ht="21" customHeight="1" x14ac:dyDescent="0.15">
      <c r="A25" s="101" t="str">
        <f t="shared" si="0"/>
        <v>40046014_40046531</v>
      </c>
      <c r="B25" s="187">
        <f t="shared" si="3"/>
        <v>40046014</v>
      </c>
      <c r="C25" s="202">
        <v>40046531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マハーカーラ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25" s="162">
        <v>40046031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9"/>
      <c r="R25" s="46"/>
    </row>
    <row r="26" spans="1:18" s="126" customFormat="1" ht="21" customHeight="1" x14ac:dyDescent="0.15">
      <c r="A26" s="101" t="str">
        <f t="shared" si="0"/>
        <v>40046014_40046532</v>
      </c>
      <c r="B26" s="187">
        <f t="shared" si="3"/>
        <v>40046014</v>
      </c>
      <c r="C26" s="202">
        <v>40046532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ピナーカ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単体攻撃+_x000D_緑パネルを緑のダメージパネルに3個変換</v>
      </c>
      <c r="F26" s="162">
        <v>40046032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9"/>
      <c r="R26" s="46"/>
    </row>
    <row r="27" spans="1:18" s="126" customFormat="1" ht="21" customHeight="1" x14ac:dyDescent="0.15">
      <c r="A27" s="101" t="str">
        <f t="shared" si="0"/>
        <v>40046014_40046533</v>
      </c>
      <c r="B27" s="187">
        <f t="shared" si="3"/>
        <v>40046014</v>
      </c>
      <c r="C27" s="202">
        <v>40046533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この先にいるやつは手強いぞ…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青パネルプロテクト(最大6個)_x000D_(次のターン青パネルを吸収して攻撃！)</v>
      </c>
      <c r="F27" s="162">
        <v>40046033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9"/>
      <c r="R27" s="46"/>
    </row>
    <row r="28" spans="1:18" s="126" customFormat="1" ht="21" customHeight="1" x14ac:dyDescent="0.15">
      <c r="A28" s="101" t="str">
        <f t="shared" si="0"/>
        <v>40046014_40046534</v>
      </c>
      <c r="B28" s="187">
        <f t="shared" si="3"/>
        <v>40046014</v>
      </c>
      <c r="C28" s="202">
        <v>40046534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マハーカーラ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28" s="162">
        <v>40046034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9"/>
      <c r="R28" s="46"/>
    </row>
    <row r="29" spans="1:18" s="126" customFormat="1" ht="21" customHeight="1" x14ac:dyDescent="0.15">
      <c r="A29" s="101" t="str">
        <f t="shared" si="0"/>
        <v>40046014_40046535</v>
      </c>
      <c r="B29" s="187">
        <f t="shared" si="3"/>
        <v>40046014</v>
      </c>
      <c r="C29" s="202">
        <v>40046535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162">
        <v>40046035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9"/>
      <c r="R29" s="46"/>
    </row>
    <row r="30" spans="1:18" s="126" customFormat="1" ht="21" customHeight="1" x14ac:dyDescent="0.15">
      <c r="A30" s="101" t="str">
        <f t="shared" si="0"/>
        <v>40046014_40046536</v>
      </c>
      <c r="B30" s="187">
        <f t="shared" si="3"/>
        <v>40046014</v>
      </c>
      <c r="C30" s="202">
        <v>40046536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ダブル・ハルバード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2回連続攻撃+_x000D_2ターン全ユニットの回復力30%DOWN</v>
      </c>
      <c r="F30" s="162">
        <v>40046036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9"/>
      <c r="R30" s="46"/>
    </row>
    <row r="31" spans="1:18" s="126" customFormat="1" ht="21" customHeight="1" x14ac:dyDescent="0.15">
      <c r="A31" s="101" t="str">
        <f t="shared" si="0"/>
        <v>40046014_40046537</v>
      </c>
      <c r="B31" s="187">
        <f t="shared" si="3"/>
        <v>40046014</v>
      </c>
      <c r="C31" s="202">
        <v>40046537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こんなものではこの先には通せぬ！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3回連続攻撃+ハートパネルプロテクト(最大3個)</v>
      </c>
      <c r="F31" s="162">
        <v>40046037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9"/>
      <c r="R31" s="46"/>
    </row>
    <row r="32" spans="1:18" s="126" customFormat="1" ht="21" customHeight="1" x14ac:dyDescent="0.15">
      <c r="A32" s="101" t="str">
        <f t="shared" si="0"/>
        <v>40046016_40046540</v>
      </c>
      <c r="B32" s="187">
        <f t="shared" si="3"/>
        <v>40046016</v>
      </c>
      <c r="C32" s="203">
        <v>40046540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第三の目…開眼！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緑パネルは確率でプロテクトされてドロップ</v>
      </c>
      <c r="F32" s="163">
        <v>40046040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9"/>
      <c r="R32" s="46"/>
    </row>
    <row r="33" spans="1:18" s="126" customFormat="1" ht="21" customHeight="1" x14ac:dyDescent="0.15">
      <c r="A33" s="101" t="str">
        <f t="shared" si="0"/>
        <v>40046016_40046541</v>
      </c>
      <c r="B33" s="187">
        <f t="shared" si="3"/>
        <v>40046016</v>
      </c>
      <c r="C33" s="203">
        <v>40046541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私についてこられるか！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3" s="163">
        <v>40046041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491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59</v>
      </c>
      <c r="L33" s="47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3" s="46"/>
      <c r="Q33" s="49"/>
      <c r="R33" s="46"/>
    </row>
    <row r="34" spans="1:18" s="126" customFormat="1" ht="21" customHeight="1" x14ac:dyDescent="0.15">
      <c r="A34" s="101" t="str">
        <f t="shared" si="0"/>
        <v>40046016_40046542</v>
      </c>
      <c r="B34" s="187">
        <f t="shared" si="3"/>
        <v>40046016</v>
      </c>
      <c r="C34" s="203">
        <v>40046542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覚悟せよ！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4" s="163">
        <v>40046042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59</v>
      </c>
      <c r="L34" s="47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4" s="46"/>
      <c r="Q34" s="49"/>
      <c r="R34" s="46"/>
    </row>
    <row r="35" spans="1:18" s="126" customFormat="1" ht="21" customHeight="1" x14ac:dyDescent="0.15">
      <c r="A35" s="101" t="str">
        <f t="shared" si="0"/>
        <v>40046016_40046543</v>
      </c>
      <c r="B35" s="187">
        <f t="shared" si="3"/>
        <v>40046016</v>
      </c>
      <c r="C35" s="203">
        <v>40046543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私は負けん！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5" s="163">
        <v>40046043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59</v>
      </c>
      <c r="L35" s="4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5" s="46"/>
      <c r="Q35" s="49"/>
      <c r="R35" s="46"/>
    </row>
    <row r="36" spans="1:18" s="126" customFormat="1" ht="21" customHeight="1" x14ac:dyDescent="0.15">
      <c r="A36" s="101" t="str">
        <f t="shared" si="0"/>
        <v>40046016_40046544</v>
      </c>
      <c r="B36" s="187">
        <f t="shared" si="3"/>
        <v>40046016</v>
      </c>
      <c r="C36" s="203">
        <v>40046544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かわしてみよ！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6" s="163">
        <v>40046044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59</v>
      </c>
      <c r="L36" s="47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9"/>
      <c r="R36" s="46"/>
    </row>
    <row r="37" spans="1:18" s="126" customFormat="1" ht="21" customHeight="1" x14ac:dyDescent="0.15">
      <c r="A37" s="101" t="str">
        <f t="shared" si="0"/>
        <v>40046016_40046545</v>
      </c>
      <c r="B37" s="187">
        <f t="shared" si="3"/>
        <v>40046016</v>
      </c>
      <c r="C37" s="203">
        <v>40046545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全力でいくぞっ！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行動頻度UP+_x000D_3ターン全ユニットのCパネル生成延長(効果大)</v>
      </c>
      <c r="F37" s="163">
        <v>40046045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9"/>
      <c r="R37" s="46"/>
    </row>
    <row r="38" spans="1:18" s="126" customFormat="1" ht="21" customHeight="1" x14ac:dyDescent="0.15">
      <c r="A38" s="101" t="str">
        <f t="shared" si="0"/>
        <v>40046016_40046546</v>
      </c>
      <c r="B38" s="187">
        <f t="shared" si="3"/>
        <v>40046016</v>
      </c>
      <c r="C38" s="203">
        <v>40046546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私についてこられるか！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8" s="163">
        <v>40046046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8" s="47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8" s="46"/>
      <c r="Q38" s="49"/>
      <c r="R38" s="46"/>
    </row>
    <row r="39" spans="1:18" s="126" customFormat="1" ht="21" customHeight="1" x14ac:dyDescent="0.15">
      <c r="A39" s="101" t="str">
        <f t="shared" si="0"/>
        <v>40046016_40046547</v>
      </c>
      <c r="B39" s="187">
        <f t="shared" si="3"/>
        <v>40046016</v>
      </c>
      <c r="C39" s="203">
        <v>40046547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覚悟せよ！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9" s="163">
        <v>40046047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9" s="47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9" s="46"/>
      <c r="Q39" s="49"/>
      <c r="R39" s="46"/>
    </row>
    <row r="40" spans="1:18" s="126" customFormat="1" ht="21" customHeight="1" x14ac:dyDescent="0.15">
      <c r="A40" s="101" t="str">
        <f t="shared" si="0"/>
        <v>40046016_40046548</v>
      </c>
      <c r="B40" s="187">
        <f t="shared" si="3"/>
        <v>40046016</v>
      </c>
      <c r="C40" s="203">
        <v>40046548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私は負けん！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0" s="163">
        <v>40046048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0" s="47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0" s="46"/>
      <c r="Q40" s="49"/>
      <c r="R40" s="46"/>
    </row>
    <row r="41" spans="1:18" s="126" customFormat="1" ht="21" customHeight="1" x14ac:dyDescent="0.15">
      <c r="A41" s="101" t="str">
        <f t="shared" si="0"/>
        <v>40046016_40046549</v>
      </c>
      <c r="B41" s="187">
        <f t="shared" si="3"/>
        <v>40046016</v>
      </c>
      <c r="C41" s="203">
        <v>40046549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かわしてみよ！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1" s="163">
        <v>40046049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9"/>
      <c r="R41" s="46"/>
    </row>
    <row r="42" spans="1:18" s="126" customFormat="1" ht="21" customHeight="1" x14ac:dyDescent="0.15">
      <c r="A42" s="101" t="str">
        <f t="shared" ref="A42" si="4">B42&amp;"_"&amp;C42</f>
        <v>40046016_40046550</v>
      </c>
      <c r="B42" s="187">
        <f t="shared" si="3"/>
        <v>40046016</v>
      </c>
      <c r="C42" s="203">
        <v>40046550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ここは…任せた…！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" s="191">
        <v>40046090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9"/>
      <c r="R42" s="46"/>
    </row>
    <row r="43" spans="1:18" s="126" customFormat="1" ht="21" customHeight="1" x14ac:dyDescent="0.15">
      <c r="A43" s="101" t="str">
        <f t="shared" si="0"/>
        <v>40046015_40046560</v>
      </c>
      <c r="B43" s="187">
        <f t="shared" si="3"/>
        <v>40046015</v>
      </c>
      <c r="C43" s="204">
        <v>40046560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ごきげんよう…_x000D_わたくしを止めるおつもりかしら？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状態異常耐性+_x000D_特定エリアを赤&amp;緑&amp;青のダメージパネルに変換</v>
      </c>
      <c r="F43" s="164">
        <v>40046060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9"/>
      <c r="R43" s="46"/>
    </row>
    <row r="44" spans="1:18" s="126" customFormat="1" ht="21" customHeight="1" x14ac:dyDescent="0.15">
      <c r="A44" s="101" t="str">
        <f t="shared" si="0"/>
        <v>40046015_40046561</v>
      </c>
      <c r="B44" s="187">
        <f t="shared" si="3"/>
        <v>40046015</v>
      </c>
      <c r="C44" s="204">
        <v>40046561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痛い目を見ますわよ…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全体攻撃+_x000D_2ターン全ユニットの回復力25%DOWN</v>
      </c>
      <c r="F44" s="164">
        <v>40046061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9"/>
      <c r="R44" s="46"/>
    </row>
    <row r="45" spans="1:18" s="126" customFormat="1" ht="21" customHeight="1" x14ac:dyDescent="0.15">
      <c r="A45" s="101" t="str">
        <f t="shared" si="0"/>
        <v>40046015_40046562</v>
      </c>
      <c r="B45" s="187">
        <f t="shared" si="3"/>
        <v>40046015</v>
      </c>
      <c r="C45" s="204">
        <v>40046562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貴方もあの女を選ぶのでしょう？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属性パネルを先頭ユニットのCパネルに6個変換_x000D_(次のターンCパネルを吸収して強力な攻撃！)</v>
      </c>
      <c r="F45" s="164">
        <v>40046062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9"/>
      <c r="R45" s="46"/>
    </row>
    <row r="46" spans="1:18" s="126" customFormat="1" ht="21" customHeight="1" x14ac:dyDescent="0.15">
      <c r="A46" s="101" t="str">
        <f t="shared" si="0"/>
        <v>40046015_40046563</v>
      </c>
      <c r="B46" s="187">
        <f t="shared" si="3"/>
        <v>40046015</v>
      </c>
      <c r="C46" s="204">
        <v>40046563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クラッシュ・アポロフィシー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Cパネルを吸収して強力な攻撃(最大6個)</v>
      </c>
      <c r="F46" s="164">
        <v>40046063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9"/>
      <c r="R46" s="46"/>
    </row>
    <row r="47" spans="1:18" s="126" customFormat="1" ht="21" customHeight="1" x14ac:dyDescent="0.15">
      <c r="A47" s="101" t="str">
        <f t="shared" si="0"/>
        <v>40046015_40046564</v>
      </c>
      <c r="B47" s="187">
        <f t="shared" si="3"/>
        <v>40046015</v>
      </c>
      <c r="C47" s="204">
        <v>40046564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歴史を塗り替えるのよ…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全体攻撃+_x000D_ハートパネルをハートボムパネルに5個変換</v>
      </c>
      <c r="F47" s="164">
        <v>40046064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9"/>
      <c r="R47" s="46"/>
    </row>
    <row r="48" spans="1:18" s="126" customFormat="1" ht="21" customHeight="1" x14ac:dyDescent="0.15">
      <c r="A48" s="101" t="str">
        <f t="shared" si="0"/>
        <v>40046015_40046565</v>
      </c>
      <c r="B48" s="187">
        <f t="shared" si="3"/>
        <v>40046015</v>
      </c>
      <c r="C48" s="204">
        <v>40046565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貴方もあの女を選ぶのでしょう？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属性パネルを先頭ユニットのCパネルに6個変換_x000D_(次のターンCパネルを吸収して強力な攻撃！)</v>
      </c>
      <c r="F48" s="164">
        <v>40046065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9"/>
      <c r="R48" s="46"/>
    </row>
    <row r="49" spans="1:18" s="126" customFormat="1" ht="21" customHeight="1" x14ac:dyDescent="0.15">
      <c r="A49" s="101" t="str">
        <f t="shared" si="0"/>
        <v>40046015_40046566</v>
      </c>
      <c r="B49" s="187">
        <f t="shared" si="3"/>
        <v>40046015</v>
      </c>
      <c r="C49" s="204">
        <v>40046566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クラッシュ・アポロフィシー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Cパネルを吸収して強力な攻撃(最大6個)</v>
      </c>
      <c r="F49" s="164">
        <v>40046066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9"/>
      <c r="R49" s="46"/>
    </row>
    <row r="50" spans="1:18" s="126" customFormat="1" ht="21" customHeight="1" x14ac:dyDescent="0.15">
      <c r="A50" s="101" t="str">
        <f t="shared" si="0"/>
        <v>40046015_40046567</v>
      </c>
      <c r="B50" s="187">
        <f t="shared" si="3"/>
        <v>40046015</v>
      </c>
      <c r="C50" s="204">
        <v>40046567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歴史を塗り替えるのよ…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全体攻撃+_x000D_ハートパネルをハートボムパネルに5個変換</v>
      </c>
      <c r="F50" s="164">
        <v>40046067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9"/>
      <c r="R50" s="46"/>
    </row>
    <row r="51" spans="1:18" s="126" customFormat="1" ht="21" customHeight="1" x14ac:dyDescent="0.15">
      <c r="A51" s="101" t="str">
        <f t="shared" si="0"/>
        <v>40046015_40046568</v>
      </c>
      <c r="B51" s="187">
        <f t="shared" si="3"/>
        <v>40046015</v>
      </c>
      <c r="C51" s="204">
        <v>40046568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貴方もあの女を選ぶのでしょう？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属性パネルを先頭ユニットのCパネルに6個変換_x000D_(次のターンCパネルを吸収して強力な攻撃！)</v>
      </c>
      <c r="F51" s="164">
        <v>40046068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7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9"/>
      <c r="R51" s="46"/>
    </row>
    <row r="52" spans="1:18" s="126" customFormat="1" ht="21" customHeight="1" x14ac:dyDescent="0.15">
      <c r="A52" s="101" t="str">
        <f t="shared" si="0"/>
        <v>40046015_40046569</v>
      </c>
      <c r="B52" s="187">
        <f t="shared" si="3"/>
        <v>40046015</v>
      </c>
      <c r="C52" s="204">
        <v>40046569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クラッシュ・アポロフィシー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Cパネルを吸収して強力な攻撃(最大6個)</v>
      </c>
      <c r="F52" s="164">
        <v>40046069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9"/>
      <c r="R52" s="46"/>
    </row>
    <row r="53" spans="1:18" s="126" customFormat="1" ht="21" customHeight="1" x14ac:dyDescent="0.15">
      <c r="A53" s="101" t="str">
        <f t="shared" si="0"/>
        <v>40046015_40046570</v>
      </c>
      <c r="B53" s="187">
        <f t="shared" si="3"/>
        <v>40046015</v>
      </c>
      <c r="C53" s="204">
        <v>40046570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歴史を塗り替えるのよ…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全体攻撃+_x000D_ハートパネルをハートボムパネルに5個変換</v>
      </c>
      <c r="F53" s="164">
        <v>40046070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13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9"/>
      <c r="R53" s="46"/>
    </row>
    <row r="54" spans="1:18" s="126" customFormat="1" ht="21" customHeight="1" x14ac:dyDescent="0.15">
      <c r="A54" s="101" t="str">
        <f t="shared" si="0"/>
        <v>40046015_40046571</v>
      </c>
      <c r="B54" s="187">
        <f t="shared" si="3"/>
        <v>40046015</v>
      </c>
      <c r="C54" s="204">
        <v>40046571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誰にも邪魔はさせませんの…！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4" s="164">
        <v>40046071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6"/>
      <c r="Q54" s="49"/>
      <c r="R54" s="46"/>
    </row>
    <row r="55" spans="1:18" s="126" customFormat="1" ht="21" customHeight="1" x14ac:dyDescent="0.15">
      <c r="A55" s="101" t="str">
        <f t="shared" si="0"/>
        <v>40046015_40046572</v>
      </c>
      <c r="B55" s="187">
        <f t="shared" si="3"/>
        <v>40046015</v>
      </c>
      <c r="C55" s="204">
        <v>40046572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プロテクタス・エピーサシー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3回連続攻撃+ハートパネルプロテクト(最大3個)</v>
      </c>
      <c r="F55" s="164">
        <v>40046072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7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5" s="46"/>
      <c r="Q55" s="49"/>
      <c r="R55" s="46"/>
    </row>
    <row r="56" spans="1:18" s="126" customFormat="1" ht="21" customHeight="1" x14ac:dyDescent="0.15">
      <c r="A56" s="101" t="str">
        <f t="shared" si="0"/>
        <v>40046017_40046580</v>
      </c>
      <c r="B56" s="187">
        <f t="shared" si="3"/>
        <v>40046017</v>
      </c>
      <c r="C56" s="205">
        <v>40046580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わたくしの邪魔をするなんて_x000D_思い知らしてあげますわっ！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56" s="165">
        <v>40046080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9"/>
      <c r="R56" s="46"/>
    </row>
    <row r="57" spans="1:18" s="126" customFormat="1" ht="21" customHeight="1" x14ac:dyDescent="0.15">
      <c r="A57" s="101" t="str">
        <f t="shared" si="0"/>
        <v>40046017_40046581</v>
      </c>
      <c r="B57" s="187">
        <f t="shared" si="3"/>
        <v>40046017</v>
      </c>
      <c r="C57" s="205">
        <v>40046581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オンヴレーラ・アーミナ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2ターン防御力UP+クリティカル！</v>
      </c>
      <c r="F57" s="165">
        <v>40046081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9"/>
      <c r="R57" s="46"/>
    </row>
    <row r="58" spans="1:18" s="126" customFormat="1" ht="21" customHeight="1" x14ac:dyDescent="0.15">
      <c r="A58" s="101" t="str">
        <f t="shared" si="0"/>
        <v>40046017_40046582</v>
      </c>
      <c r="B58" s="187">
        <f t="shared" si="3"/>
        <v>40046017</v>
      </c>
      <c r="C58" s="205">
        <v>40046582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シネホス・ヒュプノス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5回連続攻撃_x000D_(1ターン低確率で命中したユニットにスリープ)</v>
      </c>
      <c r="F58" s="165">
        <v>40046082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9"/>
      <c r="R58" s="46"/>
    </row>
    <row r="59" spans="1:18" s="126" customFormat="1" ht="21" customHeight="1" x14ac:dyDescent="0.15">
      <c r="A59" s="101" t="str">
        <f t="shared" si="0"/>
        <v>40046017_40046583</v>
      </c>
      <c r="B59" s="187">
        <f t="shared" si="3"/>
        <v>40046017</v>
      </c>
      <c r="C59" s="205">
        <v>40046583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貴方も消して差し上げましょう…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全体攻撃+_x000D_お邪魔パネルを緑のダメージパネルに変換</v>
      </c>
      <c r="F59" s="165">
        <v>40046083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9"/>
      <c r="R59" s="46"/>
    </row>
    <row r="60" spans="1:18" s="126" customFormat="1" ht="21" customHeight="1" x14ac:dyDescent="0.15">
      <c r="A60" s="101" t="str">
        <f t="shared" si="0"/>
        <v>40046017_40046584</v>
      </c>
      <c r="B60" s="187">
        <f t="shared" si="3"/>
        <v>40046017</v>
      </c>
      <c r="C60" s="205">
        <v>40046584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キートリノス・アポロフィシー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60" s="165">
        <v>40046084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7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9"/>
      <c r="R60" s="46"/>
    </row>
    <row r="61" spans="1:18" s="126" customFormat="1" ht="21" customHeight="1" x14ac:dyDescent="0.15">
      <c r="A61" s="101" t="str">
        <f t="shared" si="0"/>
        <v>40046017_40046585</v>
      </c>
      <c r="B61" s="187">
        <f t="shared" si="3"/>
        <v>40046017</v>
      </c>
      <c r="C61" s="205">
        <v>40046585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負けるわけにはいきませんわ！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全体攻撃+属性パネルプロテクト(最大3個)</v>
      </c>
      <c r="F61" s="165">
        <v>40046085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7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7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9"/>
      <c r="R61" s="46"/>
    </row>
    <row r="62" spans="1:18" s="126" customFormat="1" ht="21" customHeight="1" x14ac:dyDescent="0.15">
      <c r="A62" s="101" t="str">
        <f t="shared" si="0"/>
        <v>40046017_40046586</v>
      </c>
      <c r="B62" s="187">
        <f t="shared" si="3"/>
        <v>40046017</v>
      </c>
      <c r="C62" s="205">
        <v>40046586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ミーヌ・エピーサシー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単体攻撃+_x000D_緑パネルを緑のダメージパネルに3個変換</v>
      </c>
      <c r="F62" s="165">
        <v>40046086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7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2" s="47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9"/>
      <c r="R62" s="46"/>
    </row>
    <row r="63" spans="1:18" s="126" customFormat="1" ht="21" customHeight="1" x14ac:dyDescent="0.15">
      <c r="A63" s="101" t="str">
        <f t="shared" si="0"/>
        <v>40046017_40046587</v>
      </c>
      <c r="B63" s="187">
        <f t="shared" si="3"/>
        <v>40046017</v>
      </c>
      <c r="C63" s="205">
        <v>40046587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ラ・レーヴ・ド・パピヨン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単体攻撃+_x000D_1ターン全属性の攻撃をカウンター</v>
      </c>
      <c r="F63" s="165">
        <v>40046087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7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3" s="47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9"/>
      <c r="R63" s="46"/>
    </row>
    <row r="64" spans="1:18" s="126" customFormat="1" ht="21" customHeight="1" x14ac:dyDescent="0.15">
      <c r="A64" s="101" t="str">
        <f t="shared" si="0"/>
        <v>40046017_40046588</v>
      </c>
      <c r="B64" s="187">
        <f t="shared" si="3"/>
        <v>40046017</v>
      </c>
      <c r="C64" s="205">
        <v>40046588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これでお仕舞いにしましょう…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ハートパネルが出現しない</v>
      </c>
      <c r="F64" s="165">
        <v>40046088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7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7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9"/>
      <c r="R64" s="46"/>
    </row>
    <row r="65" spans="1:18" s="126" customFormat="1" ht="21" customHeight="1" x14ac:dyDescent="0.15">
      <c r="A65" s="101" t="str">
        <f t="shared" si="0"/>
        <v>40046017_40046589</v>
      </c>
      <c r="B65" s="187">
        <f t="shared" ref="B65:B66" si="5">B130+10</f>
        <v>40046017</v>
      </c>
      <c r="C65" s="205">
        <v>40046589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許しませんわ！！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65" s="165">
        <v>40046089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7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7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9"/>
      <c r="R65" s="46"/>
    </row>
    <row r="66" spans="1:18" s="126" customFormat="1" ht="21" customHeight="1" x14ac:dyDescent="0.15">
      <c r="A66" s="101" t="str">
        <f t="shared" si="0"/>
        <v>40046017_40046590</v>
      </c>
      <c r="B66" s="187">
        <f t="shared" si="5"/>
        <v>40046017</v>
      </c>
      <c r="C66" s="205">
        <v>40046590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そんな…わたくしが負けるなんて…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アレキサンダー…_x000D_後は頼みましたわ…</v>
      </c>
      <c r="F66" s="165">
        <v>40046090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9"/>
      <c r="R66" s="46"/>
    </row>
    <row r="67" spans="1:18" s="126" customFormat="1" ht="21" customHeight="1" x14ac:dyDescent="0.15">
      <c r="A67" s="101" t="str">
        <f t="shared" ref="A67" si="6">B67&amp;"_"&amp;C67</f>
        <v>40046000_40046000</v>
      </c>
      <c r="B67" s="166">
        <v>40046000</v>
      </c>
      <c r="C67" s="160">
        <v>40046000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没収ス…ル！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赤パネルを吸収して攻撃(最大6個)</v>
      </c>
      <c r="F67" s="160">
        <v>40046000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7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7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9"/>
      <c r="R67" s="46"/>
    </row>
    <row r="68" spans="1:18" s="126" customFormat="1" ht="21" customHeight="1" x14ac:dyDescent="0.15">
      <c r="A68" s="101" t="str">
        <f t="shared" ref="A68:A131" si="7">B68&amp;"_"&amp;C68</f>
        <v>40046000_40046001</v>
      </c>
      <c r="B68" s="166">
        <v>40046000</v>
      </c>
      <c r="C68" s="160">
        <v>40046001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没収ス…ル！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赤パネルを吸収して攻撃(最大6個)</v>
      </c>
      <c r="F68" s="160">
        <v>40046001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7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8" s="47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9"/>
      <c r="R68" s="46"/>
    </row>
    <row r="69" spans="1:18" s="126" customFormat="1" ht="21" customHeight="1" x14ac:dyDescent="0.15">
      <c r="A69" s="101" t="str">
        <f t="shared" si="7"/>
        <v>40046000_40046002</v>
      </c>
      <c r="B69" s="166">
        <v>40046000</v>
      </c>
      <c r="C69" s="160">
        <v>40046002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ハ…ジョ…_x000D_排除…スル！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9" s="160">
        <v>40046002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7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7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9" s="46"/>
      <c r="Q69" s="49"/>
      <c r="R69" s="46"/>
    </row>
    <row r="70" spans="1:18" s="126" customFormat="1" ht="21" customHeight="1" x14ac:dyDescent="0.15">
      <c r="A70" s="101" t="str">
        <f t="shared" si="7"/>
        <v>40046001_40046003</v>
      </c>
      <c r="B70" s="166">
        <v>40046001</v>
      </c>
      <c r="C70" s="160">
        <v>40046003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ここは占拠したわ！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3ターンハートパネルを吸収して防御力UP</v>
      </c>
      <c r="F70" s="160">
        <v>40046003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7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7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9"/>
      <c r="R70" s="46"/>
    </row>
    <row r="71" spans="1:18" s="126" customFormat="1" ht="21" customHeight="1" x14ac:dyDescent="0.15">
      <c r="A71" s="101" t="str">
        <f t="shared" si="7"/>
        <v>40046001_40046004</v>
      </c>
      <c r="B71" s="166">
        <v>40046001</v>
      </c>
      <c r="C71" s="160">
        <v>40046004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ピカピカハンマー！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1" s="160">
        <v>40046004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7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7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9"/>
      <c r="R71" s="46"/>
    </row>
    <row r="72" spans="1:18" s="126" customFormat="1" ht="21" customHeight="1" x14ac:dyDescent="0.15">
      <c r="A72" s="101" t="str">
        <f t="shared" si="7"/>
        <v>40046001_40046005</v>
      </c>
      <c r="B72" s="166">
        <v>40046001</v>
      </c>
      <c r="C72" s="160">
        <v>40046005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これは私が壊すの！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黄パネルプロテクト</v>
      </c>
      <c r="F72" s="160">
        <v>40046005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7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7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9"/>
      <c r="R72" s="46"/>
    </row>
    <row r="73" spans="1:18" s="126" customFormat="1" ht="21" customHeight="1" x14ac:dyDescent="0.15">
      <c r="A73" s="101" t="str">
        <f t="shared" si="7"/>
        <v>40046001_40046006</v>
      </c>
      <c r="B73" s="166">
        <v>40046001</v>
      </c>
      <c r="C73" s="160">
        <v>40046006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えい！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クリティカル！_x000D_(次のターン黄パネルを吸収して攻撃！)</v>
      </c>
      <c r="F73" s="160">
        <v>40046006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7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9"/>
      <c r="R73" s="46"/>
    </row>
    <row r="74" spans="1:18" s="126" customFormat="1" ht="21" customHeight="1" x14ac:dyDescent="0.15">
      <c r="A74" s="101" t="str">
        <f t="shared" si="7"/>
        <v>40046001_40046007</v>
      </c>
      <c r="B74" s="166">
        <v>40046001</v>
      </c>
      <c r="C74" s="160">
        <v>40046007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こっから先は_x000D_行かせないよ！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74" s="160">
        <v>40046007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7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7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9"/>
      <c r="R74" s="46"/>
    </row>
    <row r="75" spans="1:18" s="126" customFormat="1" ht="21" customHeight="1" x14ac:dyDescent="0.15">
      <c r="A75" s="101" t="str">
        <f t="shared" si="7"/>
        <v>40046001_40046008</v>
      </c>
      <c r="B75" s="166">
        <v>40046001</v>
      </c>
      <c r="C75" s="160">
        <v>40046008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ピッカピカハンマー！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5" s="160">
        <v>40046008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7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9"/>
      <c r="R75" s="46"/>
    </row>
    <row r="76" spans="1:18" s="126" customFormat="1" ht="21" customHeight="1" x14ac:dyDescent="0.15">
      <c r="A76" s="101" t="str">
        <f t="shared" si="7"/>
        <v>40046001_40046009</v>
      </c>
      <c r="B76" s="166">
        <v>40046001</v>
      </c>
      <c r="C76" s="160">
        <v>40046009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カッチカチハンマー！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</v>
      </c>
      <c r="F76" s="160">
        <v>40046009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7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6" s="4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9"/>
      <c r="R76" s="46"/>
    </row>
    <row r="77" spans="1:18" s="126" customFormat="1" ht="21" customHeight="1" x14ac:dyDescent="0.15">
      <c r="A77" s="101" t="str">
        <f t="shared" si="7"/>
        <v>40046001_40046010</v>
      </c>
      <c r="B77" s="166">
        <v>40046001</v>
      </c>
      <c r="C77" s="160">
        <v>40046010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壊しちゃダメ！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黄パネルプロテクト</v>
      </c>
      <c r="F77" s="160">
        <v>40046010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7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9"/>
      <c r="R77" s="46"/>
    </row>
    <row r="78" spans="1:18" s="126" customFormat="1" ht="21" customHeight="1" x14ac:dyDescent="0.15">
      <c r="A78" s="101" t="str">
        <f t="shared" si="7"/>
        <v>40046002_40046011</v>
      </c>
      <c r="B78" s="166">
        <v>40046002</v>
      </c>
      <c r="C78" s="160">
        <v>40046011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没収ス…ル！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青パネルを吸収して攻撃(最大6個)</v>
      </c>
      <c r="F78" s="160">
        <v>40046011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7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6"/>
      <c r="Q78" s="49"/>
      <c r="R78" s="46"/>
    </row>
    <row r="79" spans="1:18" s="126" customFormat="1" ht="21" customHeight="1" x14ac:dyDescent="0.15">
      <c r="A79" s="101" t="str">
        <f t="shared" si="7"/>
        <v>40046002_40046012</v>
      </c>
      <c r="B79" s="166">
        <v>40046002</v>
      </c>
      <c r="C79" s="160">
        <v>40046012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没収ス…ル！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青パネルを吸収して攻撃(最大6個)</v>
      </c>
      <c r="F79" s="160">
        <v>40046012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7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6"/>
      <c r="Q79" s="49"/>
      <c r="R79" s="46"/>
    </row>
    <row r="80" spans="1:18" s="126" customFormat="1" ht="21" customHeight="1" x14ac:dyDescent="0.15">
      <c r="A80" s="101" t="str">
        <f t="shared" si="7"/>
        <v>40046002_40046013</v>
      </c>
      <c r="B80" s="166">
        <v>40046002</v>
      </c>
      <c r="C80" s="160">
        <v>40046013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ハ…ジョ…_x000D_排除…スル！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0" s="160">
        <v>40046013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0" s="4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7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0" s="46"/>
      <c r="Q80" s="49"/>
      <c r="R80" s="46"/>
    </row>
    <row r="81" spans="1:18" s="126" customFormat="1" ht="21" customHeight="1" x14ac:dyDescent="0.15">
      <c r="A81" s="101" t="str">
        <f t="shared" si="7"/>
        <v>40046003_40046020</v>
      </c>
      <c r="B81" s="166">
        <v>40046003</v>
      </c>
      <c r="C81" s="161">
        <v>40046020</v>
      </c>
      <c r="D81" s="4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やっぱり来たのね…</v>
      </c>
      <c r="E81" s="4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黄パネルは確率でプロテクトされてドロップ_x000D_(HP50%以上のときに強力な攻撃！)</v>
      </c>
      <c r="F81" s="161">
        <v>40046020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7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7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6"/>
      <c r="Q81" s="49"/>
      <c r="R81" s="46"/>
    </row>
    <row r="82" spans="1:18" s="126" customFormat="1" ht="21" customHeight="1" x14ac:dyDescent="0.15">
      <c r="A82" s="101" t="str">
        <f t="shared" si="7"/>
        <v>40046003_40046021</v>
      </c>
      <c r="B82" s="166">
        <v>40046003</v>
      </c>
      <c r="C82" s="161">
        <v>40046021</v>
      </c>
      <c r="D82" s="4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…悪気はないの</v>
      </c>
      <c r="E82" s="4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2222固定ダメージの全体攻撃</v>
      </c>
      <c r="F82" s="161">
        <v>40046021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7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2" s="47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7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7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9"/>
      <c r="R82" s="46"/>
    </row>
    <row r="83" spans="1:18" s="126" customFormat="1" ht="21" customHeight="1" x14ac:dyDescent="0.15">
      <c r="A83" s="101" t="str">
        <f t="shared" si="7"/>
        <v>40046003_40046022</v>
      </c>
      <c r="B83" s="166">
        <v>40046003</v>
      </c>
      <c r="C83" s="161">
        <v>40046022</v>
      </c>
      <c r="D83" s="45" t="str">
        <f ca="1">VLOOKUP($C83,OFFSET(enemy_skills!$A$1,0,0,COUNTA(enemy_skills!$A:$A),MATCH(D$1,enemy_skills!$1:$1,0)-MATCH("enemy_skill_id",enemy_skills!$1:$1,0)+1),MATCH(D$1,enemy_skills!$1:$1,0)-MATCH("enemy_skill_id",enemy_skills!$1:$1,0)+1,FALSE)</f>
        <v>見つけたわ…</v>
      </c>
      <c r="E83" s="45" t="str">
        <f ca="1">VLOOKUP($C83,OFFSET(enemy_skills!$A$1,0,0,COUNTA(enemy_skills!$A:$A),MATCH(E$1,enemy_skills!$1:$1,0)-MATCH("enemy_skill_id",enemy_skills!$1:$1,0)+1),MATCH(E$1,enemy_skills!$1:$1,0)-MATCH("enemy_skill_id",enemy_skills!$1:$1,0)+1,FALSE)</f>
        <v>20ターン低確率で_x000D_属性パネルがボムパネルとしてドロップ</v>
      </c>
      <c r="F83" s="161">
        <v>40046022</v>
      </c>
      <c r="G83" s="4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83" s="4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7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83" s="4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7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7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7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6"/>
      <c r="Q83" s="49"/>
      <c r="R83" s="46"/>
    </row>
    <row r="84" spans="1:18" s="126" customFormat="1" ht="21" customHeight="1" x14ac:dyDescent="0.15">
      <c r="A84" s="101" t="str">
        <f t="shared" si="7"/>
        <v>40046003_40046023</v>
      </c>
      <c r="B84" s="166">
        <v>40046003</v>
      </c>
      <c r="C84" s="161">
        <v>40046023</v>
      </c>
      <c r="D84" s="45" t="str">
        <f ca="1">VLOOKUP($C84,OFFSET(enemy_skills!$A$1,0,0,COUNTA(enemy_skills!$A:$A),MATCH(D$1,enemy_skills!$1:$1,0)-MATCH("enemy_skill_id",enemy_skills!$1:$1,0)+1),MATCH(D$1,enemy_skills!$1:$1,0)-MATCH("enemy_skill_id",enemy_skills!$1:$1,0)+1,FALSE)</f>
        <v>邪魔をしないで…！</v>
      </c>
      <c r="E84" s="45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4" s="161">
        <v>40046023</v>
      </c>
      <c r="G84" s="4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84" s="4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7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7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7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4" s="47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6"/>
      <c r="Q84" s="49"/>
      <c r="R84" s="46"/>
    </row>
    <row r="85" spans="1:18" s="126" customFormat="1" ht="21" customHeight="1" x14ac:dyDescent="0.15">
      <c r="A85" s="101" t="str">
        <f t="shared" si="7"/>
        <v>40046003_40046024</v>
      </c>
      <c r="B85" s="166">
        <v>40046003</v>
      </c>
      <c r="C85" s="161">
        <v>40046024</v>
      </c>
      <c r="D85" s="45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なかなかね…</v>
      </c>
      <c r="E85" s="45" t="str">
        <f ca="1">VLOOKUP($C85,OFFSET(enemy_skills!$A$1,0,0,COUNTA(enemy_skills!$A:$A),MATCH(E$1,enemy_skills!$1:$1,0)-MATCH("enemy_skill_id",enemy_skills!$1:$1,0)+1),MATCH(E$1,enemy_skills!$1:$1,0)-MATCH("enemy_skill_id",enemy_skills!$1:$1,0)+1,FALSE)</f>
        <v>赤パネルを緑のダメージパネルに5個変換</v>
      </c>
      <c r="F85" s="161">
        <v>40046024</v>
      </c>
      <c r="G85" s="4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7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85" s="4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5" s="4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7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7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7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47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5" s="46"/>
      <c r="Q85" s="49"/>
      <c r="R85" s="46"/>
    </row>
    <row r="86" spans="1:18" s="126" customFormat="1" ht="21" customHeight="1" x14ac:dyDescent="0.15">
      <c r="A86" s="101" t="str">
        <f t="shared" ref="A86" si="8">B86&amp;"_"&amp;C86</f>
        <v>40046003_40046025</v>
      </c>
      <c r="B86" s="166">
        <v>40046003</v>
      </c>
      <c r="C86" s="161">
        <v>40046025</v>
      </c>
      <c r="D86" s="45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ちょっと探し物があるの…</v>
      </c>
      <c r="E86" s="45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全体攻撃+_x000D_2ターン全ユニットの回復力50%DOWN</v>
      </c>
      <c r="F86" s="161">
        <v>40046025</v>
      </c>
      <c r="G86" s="4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7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86" s="4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7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7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7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7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6"/>
      <c r="Q86" s="49"/>
      <c r="R86" s="46"/>
    </row>
    <row r="87" spans="1:18" s="126" customFormat="1" ht="21" customHeight="1" x14ac:dyDescent="0.15">
      <c r="A87" s="101" t="str">
        <f t="shared" si="7"/>
        <v>40046003_40046026</v>
      </c>
      <c r="B87" s="166">
        <v>40046003</v>
      </c>
      <c r="C87" s="161">
        <v>40046026</v>
      </c>
      <c r="D87" s="45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ごめんなさいね…</v>
      </c>
      <c r="E87" s="45" t="str">
        <f ca="1">VLOOKUP($C87,OFFSET(enemy_skills!$A$1,0,0,COUNTA(enemy_skills!$A:$A),MATCH(E$1,enemy_skills!$1:$1,0)-MATCH("enemy_skill_id",enemy_skills!$1:$1,0)+1),MATCH(E$1,enemy_skills!$1:$1,0)-MATCH("enemy_skill_id",enemy_skills!$1:$1,0)+1,FALSE)</f>
        <v>2222固定ダメージの全体攻撃</v>
      </c>
      <c r="F87" s="161">
        <v>40046026</v>
      </c>
      <c r="G87" s="47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7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491</v>
      </c>
      <c r="I87" s="4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7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7" s="47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7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7" s="47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6"/>
      <c r="Q87" s="49"/>
      <c r="R87" s="46"/>
    </row>
    <row r="88" spans="1:18" s="126" customFormat="1" ht="21" customHeight="1" x14ac:dyDescent="0.15">
      <c r="A88" s="101" t="str">
        <f t="shared" si="7"/>
        <v>40046004_40046030</v>
      </c>
      <c r="B88" s="166">
        <v>40046004</v>
      </c>
      <c r="C88" s="162">
        <v>40046030</v>
      </c>
      <c r="D88" s="45" t="str">
        <f ca="1">VLOOKUP($C88,OFFSET(enemy_skills!$A$1,0,0,COUNTA(enemy_skills!$A:$A),MATCH(D$1,enemy_skills!$1:$1,0)-MATCH("enemy_skill_id",enemy_skills!$1:$1,0)+1),MATCH(D$1,enemy_skills!$1:$1,0)-MATCH("enemy_skill_id",enemy_skills!$1:$1,0)+1,FALSE)</f>
        <v>私に力を示してみよ！</v>
      </c>
      <c r="E88" s="45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赤パネルプロテクト(最大6個)_x000D_(次のターン赤パネルを吸収して攻撃！)</v>
      </c>
      <c r="F88" s="162">
        <v>40046030</v>
      </c>
      <c r="G88" s="4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8" s="4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7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7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7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6"/>
      <c r="Q88" s="49"/>
      <c r="R88" s="46"/>
    </row>
    <row r="89" spans="1:18" s="126" customFormat="1" ht="21" customHeight="1" x14ac:dyDescent="0.15">
      <c r="A89" s="101" t="str">
        <f t="shared" ref="A89" si="9">B89&amp;"_"&amp;C89</f>
        <v>40046004_40046038</v>
      </c>
      <c r="B89" s="166">
        <v>40046004</v>
      </c>
      <c r="C89" s="162">
        <v>40046038</v>
      </c>
      <c r="D89" s="45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パ、パール！この先は危険なんだ…</v>
      </c>
      <c r="E89" s="45" t="str">
        <f ca="1">VLOOKUP($C89,OFFSET(enemy_skills!$A$1,0,0,COUNTA(enemy_skills!$A:$A),MATCH(E$1,enemy_skills!$1:$1,0)-MATCH("enemy_skill_id",enemy_skills!$1:$1,0)+1),MATCH(E$1,enemy_skills!$1:$1,0)-MATCH("enemy_skill_id",enemy_skills!$1:$1,0)+1,FALSE)</f>
        <v>赤パネルを青パネルに変換_x000D_(次のターン赤パネルを吸収して攻撃！)</v>
      </c>
      <c r="F89" s="162">
        <v>40046038</v>
      </c>
      <c r="G89" s="47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7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700</v>
      </c>
      <c r="I89" s="4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7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7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7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7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47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648</v>
      </c>
      <c r="O89" s="4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6"/>
      <c r="Q89" s="49"/>
      <c r="R89" s="46"/>
    </row>
    <row r="90" spans="1:18" s="126" customFormat="1" ht="21" customHeight="1" x14ac:dyDescent="0.15">
      <c r="A90" s="101" t="str">
        <f t="shared" si="7"/>
        <v>40046004_40046031</v>
      </c>
      <c r="B90" s="166">
        <v>40046004</v>
      </c>
      <c r="C90" s="162">
        <v>40046031</v>
      </c>
      <c r="D90" s="45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マハーカーラ</v>
      </c>
      <c r="E90" s="45" t="str">
        <f ca="1">VLOOKUP($C90,OFFSET(enemy_skills!$A$1,0,0,COUNTA(enemy_skills!$A:$A),MATCH(E$1,enemy_skills!$1:$1,0)-MATCH("enemy_skill_id",enemy_skills!$1:$1,0)+1),MATCH(E$1,enemy_skills!$1:$1,0)-MATCH("enemy_skill_id",enemy_skills!$1:$1,0)+1,FALSE)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90" s="162">
        <v>40046031</v>
      </c>
      <c r="G90" s="47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7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90" s="4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7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7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7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7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7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6"/>
      <c r="Q90" s="49"/>
      <c r="R90" s="46"/>
    </row>
    <row r="91" spans="1:18" s="126" customFormat="1" ht="21" customHeight="1" x14ac:dyDescent="0.15">
      <c r="A91" s="101" t="str">
        <f t="shared" si="7"/>
        <v>40046004_40046032</v>
      </c>
      <c r="B91" s="166">
        <v>40046004</v>
      </c>
      <c r="C91" s="162">
        <v>40046032</v>
      </c>
      <c r="D91" s="45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ピナーカ</v>
      </c>
      <c r="E91" s="45" t="str">
        <f ca="1">VLOOKUP($C91,OFFSET(enemy_skills!$A$1,0,0,COUNTA(enemy_skills!$A:$A),MATCH(E$1,enemy_skills!$1:$1,0)-MATCH("enemy_skill_id",enemy_skills!$1:$1,0)+1),MATCH(E$1,enemy_skills!$1:$1,0)-MATCH("enemy_skill_id",enemy_skills!$1:$1,0)+1,FALSE)</f>
        <v>単体攻撃+_x000D_緑パネルを緑のダメージパネルに5個変換</v>
      </c>
      <c r="F91" s="162">
        <v>40046032</v>
      </c>
      <c r="G91" s="47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7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91" s="47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7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7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7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7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47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7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6"/>
      <c r="Q91" s="49"/>
      <c r="R91" s="46"/>
    </row>
    <row r="92" spans="1:18" s="126" customFormat="1" ht="21" customHeight="1" x14ac:dyDescent="0.15">
      <c r="A92" s="101" t="str">
        <f t="shared" si="7"/>
        <v>40046004_40046033</v>
      </c>
      <c r="B92" s="166">
        <v>40046004</v>
      </c>
      <c r="C92" s="162">
        <v>40046033</v>
      </c>
      <c r="D92" s="45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この先にいるやつは手強いぞ…</v>
      </c>
      <c r="E92" s="45" t="str">
        <f ca="1">VLOOKUP($C92,OFFSET(enemy_skills!$A$1,0,0,COUNTA(enemy_skills!$A:$A),MATCH(E$1,enemy_skills!$1:$1,0)-MATCH("enemy_skill_id",enemy_skills!$1:$1,0)+1),MATCH(E$1,enemy_skills!$1:$1,0)-MATCH("enemy_skill_id",enemy_skills!$1:$1,0)+1,FALSE)</f>
        <v>青パネルプロテクト(最大6個)_x000D_(次のターン青パネルを吸収して攻撃！)</v>
      </c>
      <c r="F92" s="162">
        <v>40046033</v>
      </c>
      <c r="G92" s="47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7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92" s="47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7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7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7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7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7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7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6"/>
      <c r="Q92" s="49"/>
      <c r="R92" s="46"/>
    </row>
    <row r="93" spans="1:18" s="126" customFormat="1" ht="21" customHeight="1" x14ac:dyDescent="0.15">
      <c r="A93" s="101" t="str">
        <f t="shared" si="7"/>
        <v>40046004_40046034</v>
      </c>
      <c r="B93" s="166">
        <v>40046004</v>
      </c>
      <c r="C93" s="162">
        <v>40046034</v>
      </c>
      <c r="D93" s="45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マハーカーラ</v>
      </c>
      <c r="E93" s="45" t="str">
        <f ca="1">VLOOKUP($C93,OFFSET(enemy_skills!$A$1,0,0,COUNTA(enemy_skills!$A:$A),MATCH(E$1,enemy_skills!$1:$1,0)-MATCH("enemy_skill_id",enemy_skills!$1:$1,0)+1),MATCH(E$1,enemy_skills!$1:$1,0)-MATCH("enemy_skill_id",enemy_skills!$1:$1,0)+1,FALSE)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93" s="162">
        <v>40046034</v>
      </c>
      <c r="G93" s="4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93" s="4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7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7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7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6"/>
      <c r="Q93" s="49"/>
      <c r="R93" s="46"/>
    </row>
    <row r="94" spans="1:18" s="126" customFormat="1" ht="21" customHeight="1" x14ac:dyDescent="0.15">
      <c r="A94" s="101" t="str">
        <f t="shared" si="7"/>
        <v>40046004_40046035</v>
      </c>
      <c r="B94" s="166">
        <v>40046004</v>
      </c>
      <c r="C94" s="162">
        <v>40046035</v>
      </c>
      <c r="D94" s="45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94" s="45" t="str">
        <f ca="1">VLOOKUP($C94,OFFSET(enemy_skills!$A$1,0,0,COUNTA(enemy_skills!$A:$A),MATCH(E$1,enemy_skills!$1:$1,0)-MATCH("enemy_skill_id",enemy_skills!$1:$1,0)+1),MATCH(E$1,enemy_skills!$1:$1,0)-MATCH("enemy_skill_id",enemy_skills!$1:$1,0)+1,FALSE)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4" s="162">
        <v>40046035</v>
      </c>
      <c r="G94" s="47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7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94" s="47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7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7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7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7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7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7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6"/>
      <c r="Q94" s="49"/>
      <c r="R94" s="46"/>
    </row>
    <row r="95" spans="1:18" s="126" customFormat="1" ht="21" customHeight="1" x14ac:dyDescent="0.15">
      <c r="A95" s="101" t="str">
        <f t="shared" si="7"/>
        <v>40046004_40046036</v>
      </c>
      <c r="B95" s="166">
        <v>40046004</v>
      </c>
      <c r="C95" s="162">
        <v>40046036</v>
      </c>
      <c r="D95" s="45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ダブル・ハルバード</v>
      </c>
      <c r="E95" s="45" t="str">
        <f ca="1">VLOOKUP($C95,OFFSET(enemy_skills!$A$1,0,0,COUNTA(enemy_skills!$A:$A),MATCH(E$1,enemy_skills!$1:$1,0)-MATCH("enemy_skill_id",enemy_skills!$1:$1,0)+1),MATCH(E$1,enemy_skills!$1:$1,0)-MATCH("enemy_skill_id",enemy_skills!$1:$1,0)+1,FALSE)</f>
        <v>2回連続攻撃+_x000D_2ターン全ユニットの回復力30%DOWN</v>
      </c>
      <c r="F95" s="162">
        <v>40046036</v>
      </c>
      <c r="G95" s="47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7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95" s="47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7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7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7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7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5" s="47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7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6"/>
      <c r="Q95" s="49"/>
      <c r="R95" s="46"/>
    </row>
    <row r="96" spans="1:18" s="126" customFormat="1" ht="21" customHeight="1" x14ac:dyDescent="0.15">
      <c r="A96" s="101" t="str">
        <f t="shared" si="7"/>
        <v>40046004_40046037</v>
      </c>
      <c r="B96" s="166">
        <v>40046004</v>
      </c>
      <c r="C96" s="162">
        <v>40046037</v>
      </c>
      <c r="D96" s="45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こんなものではこの先には通せぬ！</v>
      </c>
      <c r="E96" s="45" t="str">
        <f ca="1">VLOOKUP($C96,OFFSET(enemy_skills!$A$1,0,0,COUNTA(enemy_skills!$A:$A),MATCH(E$1,enemy_skills!$1:$1,0)-MATCH("enemy_skill_id",enemy_skills!$1:$1,0)+1),MATCH(E$1,enemy_skills!$1:$1,0)-MATCH("enemy_skill_id",enemy_skills!$1:$1,0)+1,FALSE)</f>
        <v>3回連続攻撃+ハートパネルプロテクト(最大3個)</v>
      </c>
      <c r="F96" s="162">
        <v>40046037</v>
      </c>
      <c r="G96" s="47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7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96" s="4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7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7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7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6" s="47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6"/>
      <c r="Q96" s="49"/>
      <c r="R96" s="46"/>
    </row>
    <row r="97" spans="1:18" s="126" customFormat="1" ht="21" customHeight="1" x14ac:dyDescent="0.15">
      <c r="A97" s="101" t="str">
        <f t="shared" si="7"/>
        <v>40046006_40046040</v>
      </c>
      <c r="B97" s="166">
        <v>40046006</v>
      </c>
      <c r="C97" s="163">
        <v>40046040</v>
      </c>
      <c r="D97" s="45" t="str">
        <f ca="1">VLOOKUP($C97,OFFSET(enemy_skills!$A$1,0,0,COUNTA(enemy_skills!$A:$A),MATCH(D$1,enemy_skills!$1:$1,0)-MATCH("enemy_skill_id",enemy_skills!$1:$1,0)+1),MATCH(D$1,enemy_skills!$1:$1,0)-MATCH("enemy_skill_id",enemy_skills!$1:$1,0)+1,FALSE)</f>
        <v>第三の目…開眼！</v>
      </c>
      <c r="E97" s="45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緑パネルは確率でプロテクトされてドロップ</v>
      </c>
      <c r="F97" s="163">
        <v>40046040</v>
      </c>
      <c r="G97" s="4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7" s="4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7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7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7" s="47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6"/>
      <c r="Q97" s="49"/>
      <c r="R97" s="46"/>
    </row>
    <row r="98" spans="1:18" s="126" customFormat="1" ht="21" customHeight="1" x14ac:dyDescent="0.15">
      <c r="A98" s="101" t="str">
        <f t="shared" si="7"/>
        <v>40046006_40046041</v>
      </c>
      <c r="B98" s="166">
        <v>40046006</v>
      </c>
      <c r="C98" s="163">
        <v>40046041</v>
      </c>
      <c r="D98" s="45" t="str">
        <f ca="1">VLOOKUP($C98,OFFSET(enemy_skills!$A$1,0,0,COUNTA(enemy_skills!$A:$A),MATCH(D$1,enemy_skills!$1:$1,0)-MATCH("enemy_skill_id",enemy_skills!$1:$1,0)+1),MATCH(D$1,enemy_skills!$1:$1,0)-MATCH("enemy_skill_id",enemy_skills!$1:$1,0)+1,FALSE)</f>
        <v>私についてこられるか！</v>
      </c>
      <c r="E98" s="45" t="str">
        <f ca="1">VLOOKUP($C98,OFFSET(enemy_skills!$A$1,0,0,COUNTA(enemy_skills!$A:$A),MATCH(E$1,enemy_skills!$1:$1,0)-MATCH("enemy_skill_id",enemy_skills!$1:$1,0)+1),MATCH(E$1,enemy_skills!$1:$1,0)-MATCH("enemy_skill_id",enemy_skills!$1:$1,0)+1,FALSE)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98" s="163">
        <v>40046041</v>
      </c>
      <c r="G98" s="4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491</v>
      </c>
      <c r="I98" s="4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8" s="4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7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59</v>
      </c>
      <c r="L98" s="47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7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8" s="47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8" s="46"/>
      <c r="Q98" s="49"/>
      <c r="R98" s="46"/>
    </row>
    <row r="99" spans="1:18" s="126" customFormat="1" ht="21" customHeight="1" x14ac:dyDescent="0.15">
      <c r="A99" s="101" t="str">
        <f t="shared" si="7"/>
        <v>40046006_40046042</v>
      </c>
      <c r="B99" s="166">
        <v>40046006</v>
      </c>
      <c r="C99" s="163">
        <v>40046042</v>
      </c>
      <c r="D99" s="45" t="str">
        <f ca="1">VLOOKUP($C99,OFFSET(enemy_skills!$A$1,0,0,COUNTA(enemy_skills!$A:$A),MATCH(D$1,enemy_skills!$1:$1,0)-MATCH("enemy_skill_id",enemy_skills!$1:$1,0)+1),MATCH(D$1,enemy_skills!$1:$1,0)-MATCH("enemy_skill_id",enemy_skills!$1:$1,0)+1,FALSE)</f>
        <v>覚悟せよ！</v>
      </c>
      <c r="E99" s="45" t="str">
        <f ca="1">VLOOKUP($C99,OFFSET(enemy_skills!$A$1,0,0,COUNTA(enemy_skills!$A:$A),MATCH(E$1,enemy_skills!$1:$1,0)-MATCH("enemy_skill_id",enemy_skills!$1:$1,0)+1),MATCH(E$1,enemy_skills!$1:$1,0)-MATCH("enemy_skill_id",enemy_skills!$1:$1,0)+1,FALSE)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99" s="163">
        <v>40046042</v>
      </c>
      <c r="G99" s="47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7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99" s="4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99" s="4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7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59</v>
      </c>
      <c r="L99" s="47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7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9" s="47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99" s="46"/>
      <c r="Q99" s="49"/>
      <c r="R99" s="46"/>
    </row>
    <row r="100" spans="1:18" s="126" customFormat="1" ht="21" customHeight="1" x14ac:dyDescent="0.15">
      <c r="A100" s="101" t="str">
        <f t="shared" si="7"/>
        <v>40046006_40046043</v>
      </c>
      <c r="B100" s="166">
        <v>40046006</v>
      </c>
      <c r="C100" s="163">
        <v>40046043</v>
      </c>
      <c r="D100" s="45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私は負けん！</v>
      </c>
      <c r="E100" s="45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00" s="163">
        <v>40046043</v>
      </c>
      <c r="G100" s="47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7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00" s="4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0" s="47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7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59</v>
      </c>
      <c r="L100" s="47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7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7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0" s="46"/>
      <c r="Q100" s="49"/>
      <c r="R100" s="46"/>
    </row>
    <row r="101" spans="1:18" s="126" customFormat="1" ht="21" customHeight="1" x14ac:dyDescent="0.15">
      <c r="A101" s="101" t="str">
        <f t="shared" si="7"/>
        <v>40046006_40046044</v>
      </c>
      <c r="B101" s="166">
        <v>40046006</v>
      </c>
      <c r="C101" s="163">
        <v>40046044</v>
      </c>
      <c r="D101" s="45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かわしてみよ！</v>
      </c>
      <c r="E101" s="45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01" s="163">
        <v>40046044</v>
      </c>
      <c r="G101" s="47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7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101" s="4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7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7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59</v>
      </c>
      <c r="L101" s="47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7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47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6"/>
      <c r="Q101" s="49"/>
      <c r="R101" s="46"/>
    </row>
    <row r="102" spans="1:18" s="126" customFormat="1" ht="21" customHeight="1" x14ac:dyDescent="0.15">
      <c r="A102" s="101" t="str">
        <f t="shared" si="7"/>
        <v>40046006_40046045</v>
      </c>
      <c r="B102" s="166">
        <v>40046006</v>
      </c>
      <c r="C102" s="163">
        <v>40046045</v>
      </c>
      <c r="D102" s="45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全力でいくぞっ！</v>
      </c>
      <c r="E102" s="45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行動頻度UP+_x000D_4ターン全ユニットのCパネル生成延長(効果大)</v>
      </c>
      <c r="F102" s="163">
        <v>40046045</v>
      </c>
      <c r="G102" s="47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7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02" s="47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7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102" s="47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7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7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2" s="47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7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6"/>
      <c r="Q102" s="49"/>
      <c r="R102" s="46"/>
    </row>
    <row r="103" spans="1:18" s="126" customFormat="1" ht="21" customHeight="1" x14ac:dyDescent="0.15">
      <c r="A103" s="101" t="str">
        <f t="shared" si="7"/>
        <v>40046006_40046046</v>
      </c>
      <c r="B103" s="166">
        <v>40046006</v>
      </c>
      <c r="C103" s="163">
        <v>40046046</v>
      </c>
      <c r="D103" s="45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私についてこられるか！</v>
      </c>
      <c r="E103" s="45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3" s="163">
        <v>40046046</v>
      </c>
      <c r="G103" s="47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7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03" s="47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03" s="47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103" s="47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7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7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3" s="47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7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03" s="46"/>
      <c r="Q103" s="49"/>
      <c r="R103" s="46"/>
    </row>
    <row r="104" spans="1:18" s="126" customFormat="1" ht="21" customHeight="1" x14ac:dyDescent="0.15">
      <c r="A104" s="101" t="str">
        <f t="shared" si="7"/>
        <v>40046006_40046047</v>
      </c>
      <c r="B104" s="166">
        <v>40046006</v>
      </c>
      <c r="C104" s="163">
        <v>40046047</v>
      </c>
      <c r="D104" s="45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覚悟せよ！</v>
      </c>
      <c r="E104" s="45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4" s="163">
        <v>40046047</v>
      </c>
      <c r="G104" s="47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7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104" s="47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04" s="47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104" s="47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7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7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47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7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04" s="46"/>
      <c r="Q104" s="49"/>
      <c r="R104" s="46"/>
    </row>
    <row r="105" spans="1:18" s="126" customFormat="1" ht="21" customHeight="1" x14ac:dyDescent="0.15">
      <c r="A105" s="101" t="str">
        <f t="shared" si="7"/>
        <v>40046006_40046048</v>
      </c>
      <c r="B105" s="166">
        <v>40046006</v>
      </c>
      <c r="C105" s="163">
        <v>40046048</v>
      </c>
      <c r="D105" s="45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私は負けん！</v>
      </c>
      <c r="E105" s="45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5" s="163">
        <v>40046048</v>
      </c>
      <c r="G105" s="47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7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105" s="47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5" s="47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105" s="47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7" t="str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5" s="47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5" s="47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7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5" s="46"/>
      <c r="Q105" s="49"/>
      <c r="R105" s="46"/>
    </row>
    <row r="106" spans="1:18" s="126" customFormat="1" ht="21" customHeight="1" x14ac:dyDescent="0.15">
      <c r="A106" s="101" t="str">
        <f t="shared" si="7"/>
        <v>40046006_40046049</v>
      </c>
      <c r="B106" s="166">
        <v>40046006</v>
      </c>
      <c r="C106" s="163">
        <v>40046049</v>
      </c>
      <c r="D106" s="45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かわしてみよ！</v>
      </c>
      <c r="E106" s="45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6" s="163">
        <v>40046049</v>
      </c>
      <c r="G106" s="47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7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06" s="47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7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59</v>
      </c>
      <c r="K106" s="47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7" t="str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6" s="47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6" s="47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7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6"/>
      <c r="Q106" s="49"/>
      <c r="R106" s="46"/>
    </row>
    <row r="107" spans="1:18" s="126" customFormat="1" ht="21" customHeight="1" x14ac:dyDescent="0.15">
      <c r="A107" s="101" t="str">
        <f t="shared" ref="A107" si="10">B107&amp;"_"&amp;C107</f>
        <v>40046006_40046050</v>
      </c>
      <c r="B107" s="166">
        <v>40046006</v>
      </c>
      <c r="C107" s="163">
        <v>40046050</v>
      </c>
      <c r="D107" s="45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ここは…任せた…！</v>
      </c>
      <c r="E107" s="45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07" s="163">
        <v>40046090</v>
      </c>
      <c r="G107" s="47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7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07" s="47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7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7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7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47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7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7" s="47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6"/>
      <c r="Q107" s="49"/>
      <c r="R107" s="46"/>
    </row>
    <row r="108" spans="1:18" s="126" customFormat="1" ht="21" customHeight="1" x14ac:dyDescent="0.15">
      <c r="A108" s="101" t="str">
        <f t="shared" si="7"/>
        <v>40046005_40046060</v>
      </c>
      <c r="B108" s="166">
        <v>40046005</v>
      </c>
      <c r="C108" s="164">
        <v>40046060</v>
      </c>
      <c r="D108" s="45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ごきげんよう…_x000D_わたくしを止めるおつもりかしら？</v>
      </c>
      <c r="E108" s="45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状態異常耐性+_x000D_特定エリアを赤&amp;緑&amp;青のダメージパネルに変換</v>
      </c>
      <c r="F108" s="164">
        <v>40046060</v>
      </c>
      <c r="G108" s="47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7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8" s="47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7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7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7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7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8" s="47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7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6"/>
      <c r="Q108" s="49"/>
      <c r="R108" s="46"/>
    </row>
    <row r="109" spans="1:18" s="126" customFormat="1" ht="21" customHeight="1" x14ac:dyDescent="0.15">
      <c r="A109" s="101" t="str">
        <f t="shared" si="7"/>
        <v>40046005_40046061</v>
      </c>
      <c r="B109" s="166">
        <v>40046005</v>
      </c>
      <c r="C109" s="164">
        <v>40046061</v>
      </c>
      <c r="D109" s="45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痛い目を見ますわよ…</v>
      </c>
      <c r="E109" s="45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全体攻撃+_x000D_3ターン全ユニットの回復力25%DOWN</v>
      </c>
      <c r="F109" s="164">
        <v>40046061</v>
      </c>
      <c r="G109" s="47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7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09" s="47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7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7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7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7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9" s="47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7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6"/>
      <c r="Q109" s="49"/>
      <c r="R109" s="46"/>
    </row>
    <row r="110" spans="1:18" s="126" customFormat="1" ht="21" customHeight="1" x14ac:dyDescent="0.15">
      <c r="A110" s="101" t="str">
        <f t="shared" si="7"/>
        <v>40046005_40046062</v>
      </c>
      <c r="B110" s="166">
        <v>40046005</v>
      </c>
      <c r="C110" s="164">
        <v>40046062</v>
      </c>
      <c r="D110" s="45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貴方もあの女を選ぶのでしょう？</v>
      </c>
      <c r="E110" s="45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属性パネルを先頭ユニットのCパネルに6個変換_x000D_(次のターンCパネルを吸収して強力な攻撃！)</v>
      </c>
      <c r="F110" s="164">
        <v>40046062</v>
      </c>
      <c r="G110" s="47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7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10" s="47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7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7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7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7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0" s="47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7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6"/>
      <c r="Q110" s="49"/>
      <c r="R110" s="46"/>
    </row>
    <row r="111" spans="1:18" s="126" customFormat="1" ht="21" customHeight="1" x14ac:dyDescent="0.15">
      <c r="A111" s="101" t="str">
        <f t="shared" si="7"/>
        <v>40046005_40046063</v>
      </c>
      <c r="B111" s="166">
        <v>40046005</v>
      </c>
      <c r="C111" s="164">
        <v>40046063</v>
      </c>
      <c r="D111" s="45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クラッシュ・アポロフィシー</v>
      </c>
      <c r="E111" s="45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Cパネルを吸収して強力な攻撃(最大6個)</v>
      </c>
      <c r="F111" s="164">
        <v>40046063</v>
      </c>
      <c r="G111" s="47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7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11" s="47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7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7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7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7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1" s="47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7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6"/>
      <c r="Q111" s="49"/>
      <c r="R111" s="46"/>
    </row>
    <row r="112" spans="1:18" s="126" customFormat="1" ht="21" customHeight="1" x14ac:dyDescent="0.15">
      <c r="A112" s="101" t="str">
        <f t="shared" si="7"/>
        <v>40046005_40046064</v>
      </c>
      <c r="B112" s="166">
        <v>40046005</v>
      </c>
      <c r="C112" s="164">
        <v>40046064</v>
      </c>
      <c r="D112" s="45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歴史を塗り替えるのよ…</v>
      </c>
      <c r="E112" s="45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全体攻撃+_x000D_ハートパネルをハートボムパネルに5個変換</v>
      </c>
      <c r="F112" s="164">
        <v>40046064</v>
      </c>
      <c r="G112" s="47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7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112" s="47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7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7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7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7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2" s="47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7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6"/>
      <c r="Q112" s="49"/>
      <c r="R112" s="46"/>
    </row>
    <row r="113" spans="1:18" s="126" customFormat="1" ht="21" customHeight="1" x14ac:dyDescent="0.15">
      <c r="A113" s="101" t="str">
        <f t="shared" si="7"/>
        <v>40046005_40046065</v>
      </c>
      <c r="B113" s="166">
        <v>40046005</v>
      </c>
      <c r="C113" s="164">
        <v>40046065</v>
      </c>
      <c r="D113" s="45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貴方もあの女を選ぶのでしょう？</v>
      </c>
      <c r="E113" s="45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属性パネルを先頭ユニットのCパネルに6個変換_x000D_(次のターンCパネルを吸収して強力な攻撃！)</v>
      </c>
      <c r="F113" s="164">
        <v>40046065</v>
      </c>
      <c r="G113" s="47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7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13" s="47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7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7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7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7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13" s="47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7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6"/>
      <c r="Q113" s="49"/>
      <c r="R113" s="46"/>
    </row>
    <row r="114" spans="1:18" s="126" customFormat="1" ht="21" customHeight="1" x14ac:dyDescent="0.15">
      <c r="A114" s="101" t="str">
        <f t="shared" si="7"/>
        <v>40046005_40046066</v>
      </c>
      <c r="B114" s="166">
        <v>40046005</v>
      </c>
      <c r="C114" s="164">
        <v>40046066</v>
      </c>
      <c r="D114" s="45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クラッシュ・アポロフィシー</v>
      </c>
      <c r="E114" s="45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Cパネルを吸収して強力な攻撃(最大6個)</v>
      </c>
      <c r="F114" s="164">
        <v>40046066</v>
      </c>
      <c r="G114" s="47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7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114" s="47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7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7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7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7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14" s="47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7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6"/>
      <c r="Q114" s="49"/>
      <c r="R114" s="46"/>
    </row>
    <row r="115" spans="1:18" s="126" customFormat="1" ht="21" customHeight="1" x14ac:dyDescent="0.15">
      <c r="A115" s="101" t="str">
        <f t="shared" si="7"/>
        <v>40046005_40046067</v>
      </c>
      <c r="B115" s="166">
        <v>40046005</v>
      </c>
      <c r="C115" s="164">
        <v>40046067</v>
      </c>
      <c r="D115" s="45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歴史を塗り替えるのよ…</v>
      </c>
      <c r="E115" s="45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全体攻撃+_x000D_ハートパネルをハートボムパネルに5個変換</v>
      </c>
      <c r="F115" s="164">
        <v>40046067</v>
      </c>
      <c r="G115" s="47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7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115" s="47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7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7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7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7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15" s="47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7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6"/>
      <c r="Q115" s="49"/>
      <c r="R115" s="46"/>
    </row>
    <row r="116" spans="1:18" s="126" customFormat="1" ht="21" customHeight="1" x14ac:dyDescent="0.15">
      <c r="A116" s="101" t="str">
        <f t="shared" si="7"/>
        <v>40046005_40046068</v>
      </c>
      <c r="B116" s="166">
        <v>40046005</v>
      </c>
      <c r="C116" s="164">
        <v>40046068</v>
      </c>
      <c r="D116" s="45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貴方もあの女を選ぶのでしょう？</v>
      </c>
      <c r="E116" s="45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属性パネルを先頭ユニットのCパネルに6個変換_x000D_(次のターンCパネルを吸収して強力な攻撃！)</v>
      </c>
      <c r="F116" s="164">
        <v>40046068</v>
      </c>
      <c r="G116" s="47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7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16" s="47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7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7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7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7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116" s="47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7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6"/>
      <c r="Q116" s="49"/>
      <c r="R116" s="46"/>
    </row>
    <row r="117" spans="1:18" s="126" customFormat="1" ht="21" customHeight="1" x14ac:dyDescent="0.15">
      <c r="A117" s="101" t="str">
        <f t="shared" si="7"/>
        <v>40046005_40046069</v>
      </c>
      <c r="B117" s="166">
        <v>40046005</v>
      </c>
      <c r="C117" s="164">
        <v>40046069</v>
      </c>
      <c r="D117" s="45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クラッシュ・アポロフィシー</v>
      </c>
      <c r="E117" s="45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Cパネルを吸収して強力な攻撃(最大6個)</v>
      </c>
      <c r="F117" s="164">
        <v>40046069</v>
      </c>
      <c r="G117" s="47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7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17" s="47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7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7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7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7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117" s="47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7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6"/>
      <c r="Q117" s="49"/>
      <c r="R117" s="46"/>
    </row>
    <row r="118" spans="1:18" s="126" customFormat="1" ht="21" customHeight="1" x14ac:dyDescent="0.15">
      <c r="A118" s="101" t="str">
        <f t="shared" si="7"/>
        <v>40046005_40046070</v>
      </c>
      <c r="B118" s="166">
        <v>40046005</v>
      </c>
      <c r="C118" s="164">
        <v>40046070</v>
      </c>
      <c r="D118" s="45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歴史を塗り替えるのよ…</v>
      </c>
      <c r="E118" s="45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全体攻撃+_x000D_ハートパネルをハートボムパネルに5個変換</v>
      </c>
      <c r="F118" s="164">
        <v>40046070</v>
      </c>
      <c r="G118" s="47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7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18" s="47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7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7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7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7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13</v>
      </c>
      <c r="N118" s="47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7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6"/>
      <c r="Q118" s="49"/>
      <c r="R118" s="46"/>
    </row>
    <row r="119" spans="1:18" s="126" customFormat="1" ht="21" customHeight="1" x14ac:dyDescent="0.15">
      <c r="A119" s="101" t="str">
        <f t="shared" si="7"/>
        <v>40046005_40046071</v>
      </c>
      <c r="B119" s="166">
        <v>40046005</v>
      </c>
      <c r="C119" s="164">
        <v>40046071</v>
      </c>
      <c r="D119" s="45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誰にも邪魔はさせませんの…！</v>
      </c>
      <c r="E119" s="45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19" s="164">
        <v>40046071</v>
      </c>
      <c r="G119" s="47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7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119" s="47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9" s="47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7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7" t="str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9" s="47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47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7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9" s="46"/>
      <c r="Q119" s="49"/>
      <c r="R119" s="46"/>
    </row>
    <row r="120" spans="1:18" s="126" customFormat="1" ht="21" customHeight="1" x14ac:dyDescent="0.15">
      <c r="A120" s="101" t="str">
        <f t="shared" si="7"/>
        <v>40046005_40046072</v>
      </c>
      <c r="B120" s="166">
        <v>40046005</v>
      </c>
      <c r="C120" s="164">
        <v>40046072</v>
      </c>
      <c r="D120" s="45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プロテクタス・エピーサシー</v>
      </c>
      <c r="E120" s="45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3回連続攻撃+ハートパネルプロテクト(最大3個)</v>
      </c>
      <c r="F120" s="164">
        <v>40046072</v>
      </c>
      <c r="G120" s="47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7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120" s="47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0" s="47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7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7" t="str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0" s="47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0" s="47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7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0" s="46"/>
      <c r="Q120" s="49"/>
      <c r="R120" s="46"/>
    </row>
    <row r="121" spans="1:18" s="126" customFormat="1" ht="21" customHeight="1" x14ac:dyDescent="0.15">
      <c r="A121" s="101" t="str">
        <f t="shared" si="7"/>
        <v>40046007_40046080</v>
      </c>
      <c r="B121" s="166">
        <v>40046007</v>
      </c>
      <c r="C121" s="165">
        <v>40046080</v>
      </c>
      <c r="D121" s="45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わたくしの邪魔をするなんて_x000D_思い知らしてあげますわっ！</v>
      </c>
      <c r="E121" s="45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状態異常耐性+_x000D_特定エリアをお邪魔パネルに変換</v>
      </c>
      <c r="F121" s="165">
        <v>40046080</v>
      </c>
      <c r="G121" s="47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47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21" s="47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7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7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7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7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47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7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6"/>
      <c r="Q121" s="49"/>
      <c r="R121" s="46"/>
    </row>
    <row r="122" spans="1:18" s="126" customFormat="1" ht="21" customHeight="1" x14ac:dyDescent="0.15">
      <c r="A122" s="101" t="str">
        <f t="shared" si="7"/>
        <v>40046007_40046081</v>
      </c>
      <c r="B122" s="166">
        <v>40046007</v>
      </c>
      <c r="C122" s="165">
        <v>40046081</v>
      </c>
      <c r="D122" s="45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オンヴレーラ・アーミナ</v>
      </c>
      <c r="E122" s="45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2ターン防御力UP+クリティカル！</v>
      </c>
      <c r="F122" s="165">
        <v>40046081</v>
      </c>
      <c r="G122" s="47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7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22" s="47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7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7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7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7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2" s="47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7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6"/>
      <c r="Q122" s="49"/>
      <c r="R122" s="46"/>
    </row>
    <row r="123" spans="1:18" s="126" customFormat="1" ht="21" customHeight="1" x14ac:dyDescent="0.15">
      <c r="A123" s="101" t="str">
        <f t="shared" si="7"/>
        <v>40046007_40046082</v>
      </c>
      <c r="B123" s="166">
        <v>40046007</v>
      </c>
      <c r="C123" s="165">
        <v>40046082</v>
      </c>
      <c r="D123" s="45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シネホス・ヒュプノス</v>
      </c>
      <c r="E123" s="45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5回連続攻撃_x000D_(1ターン低確率で命中したユニットにスリープ)</v>
      </c>
      <c r="F123" s="165">
        <v>40046082</v>
      </c>
      <c r="G123" s="47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7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23" s="47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7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7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7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7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3" s="47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7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6"/>
      <c r="Q123" s="49"/>
      <c r="R123" s="46"/>
    </row>
    <row r="124" spans="1:18" s="126" customFormat="1" ht="21" customHeight="1" x14ac:dyDescent="0.15">
      <c r="A124" s="101" t="str">
        <f t="shared" si="7"/>
        <v>40046007_40046083</v>
      </c>
      <c r="B124" s="166">
        <v>40046007</v>
      </c>
      <c r="C124" s="165">
        <v>40046083</v>
      </c>
      <c r="D124" s="45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貴方も消して差し上げましょう…</v>
      </c>
      <c r="E124" s="45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全体攻撃+_x000D_お邪魔パネルを緑のダメージパネルに変換</v>
      </c>
      <c r="F124" s="165">
        <v>40046083</v>
      </c>
      <c r="G124" s="47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7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24" s="47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7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7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7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7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4" s="47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7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6"/>
      <c r="Q124" s="49"/>
      <c r="R124" s="46"/>
    </row>
    <row r="125" spans="1:18" s="126" customFormat="1" ht="21" customHeight="1" x14ac:dyDescent="0.15">
      <c r="A125" s="101" t="str">
        <f t="shared" si="7"/>
        <v>40046007_40046084</v>
      </c>
      <c r="B125" s="166">
        <v>40046007</v>
      </c>
      <c r="C125" s="165">
        <v>40046084</v>
      </c>
      <c r="D125" s="45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キートリノス・アポロフィシー</v>
      </c>
      <c r="E125" s="45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125" s="165">
        <v>40046084</v>
      </c>
      <c r="G125" s="47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7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125" s="47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7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7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7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47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5" s="47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7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6"/>
      <c r="Q125" s="49"/>
      <c r="R125" s="46"/>
    </row>
    <row r="126" spans="1:18" s="126" customFormat="1" ht="21" customHeight="1" x14ac:dyDescent="0.15">
      <c r="A126" s="101" t="str">
        <f t="shared" si="7"/>
        <v>40046007_40046085</v>
      </c>
      <c r="B126" s="166">
        <v>40046007</v>
      </c>
      <c r="C126" s="165">
        <v>40046085</v>
      </c>
      <c r="D126" s="45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負けるわけにはいきませんわ！</v>
      </c>
      <c r="E126" s="45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全体攻撃+属性パネルプロテクト(最大3個)</v>
      </c>
      <c r="F126" s="165">
        <v>40046085</v>
      </c>
      <c r="G126" s="47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7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26" s="47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7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7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7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47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6" s="47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7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6"/>
      <c r="Q126" s="49"/>
      <c r="R126" s="46"/>
    </row>
    <row r="127" spans="1:18" s="126" customFormat="1" ht="21" customHeight="1" x14ac:dyDescent="0.15">
      <c r="A127" s="101" t="str">
        <f t="shared" si="7"/>
        <v>40046007_40046086</v>
      </c>
      <c r="B127" s="166">
        <v>40046007</v>
      </c>
      <c r="C127" s="165">
        <v>40046086</v>
      </c>
      <c r="D127" s="45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ミーヌ・エピーサシー</v>
      </c>
      <c r="E127" s="45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単体攻撃+_x000D_緑パネルを緑のダメージパネルに3個変換</v>
      </c>
      <c r="F127" s="165">
        <v>40046086</v>
      </c>
      <c r="G127" s="47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7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27" s="47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7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7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7" t="str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7" s="47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7" s="47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7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6"/>
      <c r="Q127" s="49"/>
      <c r="R127" s="46"/>
    </row>
    <row r="128" spans="1:18" s="126" customFormat="1" ht="21" customHeight="1" x14ac:dyDescent="0.15">
      <c r="A128" s="101" t="str">
        <f t="shared" si="7"/>
        <v>40046007_40046087</v>
      </c>
      <c r="B128" s="166">
        <v>40046007</v>
      </c>
      <c r="C128" s="165">
        <v>40046087</v>
      </c>
      <c r="D128" s="45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ラ・レーヴ・ド・パピヨン</v>
      </c>
      <c r="E128" s="45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単体攻撃+_x000D_1ターン全属性の攻撃をカウンター</v>
      </c>
      <c r="F128" s="165">
        <v>40046087</v>
      </c>
      <c r="G128" s="47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7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128" s="47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7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7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7" t="str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8" s="47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28" s="47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7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6"/>
      <c r="Q128" s="49"/>
      <c r="R128" s="46"/>
    </row>
    <row r="129" spans="1:18" s="126" customFormat="1" ht="21" customHeight="1" x14ac:dyDescent="0.15">
      <c r="A129" s="101" t="str">
        <f t="shared" si="7"/>
        <v>40046007_40046088</v>
      </c>
      <c r="B129" s="166">
        <v>40046007</v>
      </c>
      <c r="C129" s="165">
        <v>40046088</v>
      </c>
      <c r="D129" s="45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これでお仕舞いにしましょう…</v>
      </c>
      <c r="E129" s="45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ハートパネルが出現しない</v>
      </c>
      <c r="F129" s="165">
        <v>40046088</v>
      </c>
      <c r="G129" s="47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7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29" s="47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7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9" s="47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7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9" s="47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9" s="47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7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6"/>
      <c r="Q129" s="49"/>
      <c r="R129" s="46"/>
    </row>
    <row r="130" spans="1:18" s="126" customFormat="1" ht="21" customHeight="1" x14ac:dyDescent="0.15">
      <c r="A130" s="101" t="str">
        <f t="shared" si="7"/>
        <v>40046007_40046089</v>
      </c>
      <c r="B130" s="166">
        <v>40046007</v>
      </c>
      <c r="C130" s="165">
        <v>40046089</v>
      </c>
      <c r="D130" s="45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許しませんわ！！</v>
      </c>
      <c r="E130" s="45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130" s="165">
        <v>40046089</v>
      </c>
      <c r="G130" s="47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7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130" s="47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7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0" s="47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7" t="str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0" s="47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0" s="47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7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6"/>
      <c r="Q130" s="49"/>
      <c r="R130" s="46"/>
    </row>
    <row r="131" spans="1:18" s="126" customFormat="1" ht="21" customHeight="1" x14ac:dyDescent="0.15">
      <c r="A131" s="101" t="str">
        <f t="shared" si="7"/>
        <v>40046007_40046090</v>
      </c>
      <c r="B131" s="166">
        <v>40046007</v>
      </c>
      <c r="C131" s="165">
        <v>40046090</v>
      </c>
      <c r="D131" s="45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そんな…わたくしが負けるなんて…</v>
      </c>
      <c r="E131" s="45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アレキサンダー…_x000D_後は頼みましたわ…</v>
      </c>
      <c r="F131" s="165">
        <v>40046090</v>
      </c>
      <c r="G131" s="47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7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31" s="47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7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7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7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7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7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1" s="47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6"/>
      <c r="Q131" s="49"/>
      <c r="R131" s="46"/>
    </row>
    <row r="132" spans="1:18" s="126" customFormat="1" ht="21" customHeight="1" x14ac:dyDescent="0.15">
      <c r="A132" s="101" t="str">
        <f t="shared" ref="A132" si="11">B132&amp;"_"&amp;C132</f>
        <v>40046015_40046900</v>
      </c>
      <c r="B132" s="187">
        <v>40046015</v>
      </c>
      <c r="C132" s="215">
        <v>40046900</v>
      </c>
      <c r="D132" s="219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出ましたわね…_x000D_貴方さえいなければ…！</v>
      </c>
      <c r="E132" s="219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状態異常耐性+_x000D_特定エリアを赤&amp;緑&amp;青のダメージパネルに変換</v>
      </c>
      <c r="F132" s="215">
        <v>40046900</v>
      </c>
      <c r="G132" s="220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2" s="220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706</v>
      </c>
      <c r="I132" s="220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220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220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220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220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2" s="220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1444</v>
      </c>
      <c r="O132" s="220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220"/>
      <c r="Q132" s="219"/>
      <c r="R132" s="220"/>
    </row>
    <row r="133" spans="1:18" s="126" customFormat="1" ht="21" customHeight="1" x14ac:dyDescent="0.15">
      <c r="A133" s="101" t="str">
        <f t="shared" ref="A133" si="12">B133&amp;"_"&amp;C133</f>
        <v>40046015_40046901</v>
      </c>
      <c r="B133" s="187">
        <v>40046015</v>
      </c>
      <c r="C133" s="215">
        <v>40046901</v>
      </c>
      <c r="D133" s="219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あの女のどこが良いのかしら_x000D_理解できませんわ</v>
      </c>
      <c r="E133" s="219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状態異常耐性+_x000D_特定エリアを赤&amp;緑&amp;青のダメージパネルに変換</v>
      </c>
      <c r="F133" s="215">
        <v>40046901</v>
      </c>
      <c r="G133" s="220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3" s="220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704</v>
      </c>
      <c r="I133" s="220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220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220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220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220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3" s="220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1446</v>
      </c>
      <c r="O133" s="220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220"/>
      <c r="Q133" s="219"/>
      <c r="R133" s="220"/>
    </row>
    <row r="134" spans="1:18" s="126" customFormat="1" ht="21" customHeight="1" x14ac:dyDescent="0.15">
      <c r="A134" s="101" t="str">
        <f t="shared" ref="A134:A135" si="13">B134&amp;"_"&amp;C134</f>
        <v>40046015_40046902</v>
      </c>
      <c r="B134" s="187">
        <v>40046015</v>
      </c>
      <c r="C134" s="215">
        <v>40046902</v>
      </c>
      <c r="D134" s="219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ごきげんよう　そんなにたくさんの_x000D_兵器をどこから出したのですか？</v>
      </c>
      <c r="E134" s="219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状態異常耐性+_x000D_特定エリアを赤&amp;緑&amp;青のダメージパネルに変換</v>
      </c>
      <c r="F134" s="215">
        <v>40046902</v>
      </c>
      <c r="G134" s="220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220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702</v>
      </c>
      <c r="I134" s="220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220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220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220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220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4" s="220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1448</v>
      </c>
      <c r="O134" s="220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220"/>
      <c r="Q134" s="219"/>
      <c r="R134" s="220"/>
    </row>
    <row r="135" spans="1:18" s="126" customFormat="1" ht="21" customHeight="1" x14ac:dyDescent="0.15">
      <c r="A135" s="101" t="str">
        <f t="shared" si="13"/>
        <v>40046017_40046903</v>
      </c>
      <c r="B135" s="187">
        <v>40046017</v>
      </c>
      <c r="C135" s="213">
        <v>40046903</v>
      </c>
      <c r="D135" s="221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クレオパトラ…_x000D_貴方のこと…認めますわ…</v>
      </c>
      <c r="E135" s="221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羨ましそうに_x000D_クレオパトラのことを見ている…</v>
      </c>
      <c r="F135" s="213">
        <v>40046903</v>
      </c>
      <c r="G135" s="222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222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706</v>
      </c>
      <c r="I135" s="222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222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222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222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222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222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1444</v>
      </c>
      <c r="O135" s="222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222"/>
      <c r="Q135" s="221"/>
      <c r="R135" s="222"/>
    </row>
    <row r="136" spans="1:18" s="126" customFormat="1" ht="21" customHeight="1" x14ac:dyDescent="0.15">
      <c r="A136" s="101" t="str">
        <f t="shared" ref="A136:A144" si="14">B136&amp;"_"&amp;C136</f>
        <v>40046017_40046904</v>
      </c>
      <c r="B136" s="187">
        <v>40046017</v>
      </c>
      <c r="C136" s="213">
        <v>40046904</v>
      </c>
      <c r="D136" s="221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クレオパトラ…_x000D_貴方のこと…認めますわ…</v>
      </c>
      <c r="E136" s="221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羨ましそうに_x000D_クレオパトラのことを見ている…</v>
      </c>
      <c r="F136" s="213">
        <v>40046904</v>
      </c>
      <c r="G136" s="222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222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705</v>
      </c>
      <c r="I136" s="222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222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222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222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222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222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1445</v>
      </c>
      <c r="O136" s="222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222"/>
      <c r="Q136" s="221"/>
      <c r="R136" s="222"/>
    </row>
    <row r="137" spans="1:18" s="126" customFormat="1" ht="21" customHeight="1" x14ac:dyDescent="0.15">
      <c r="A137" s="101" t="str">
        <f t="shared" si="14"/>
        <v>40046017_40046905</v>
      </c>
      <c r="B137" s="187">
        <v>40046017</v>
      </c>
      <c r="C137" s="213">
        <v>40046905</v>
      </c>
      <c r="D137" s="221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さすがカエサル軍団ね…_x000D_参りましたわ</v>
      </c>
      <c r="E137" s="221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7" s="213">
        <v>40046905</v>
      </c>
      <c r="G137" s="222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222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704</v>
      </c>
      <c r="I137" s="222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222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222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222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222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222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1446</v>
      </c>
      <c r="O137" s="222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222"/>
      <c r="Q137" s="221"/>
      <c r="R137" s="222"/>
    </row>
    <row r="138" spans="1:18" s="126" customFormat="1" ht="21" customHeight="1" x14ac:dyDescent="0.15">
      <c r="A138" s="101" t="str">
        <f t="shared" si="14"/>
        <v>40046017_40046906</v>
      </c>
      <c r="B138" s="187">
        <v>40046017</v>
      </c>
      <c r="C138" s="213">
        <v>40046906</v>
      </c>
      <c r="D138" s="221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さすがカエサル軍団ね…_x000D_参りましたわ</v>
      </c>
      <c r="E138" s="221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8" s="213">
        <v>40046906</v>
      </c>
      <c r="G138" s="222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222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703</v>
      </c>
      <c r="I138" s="222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222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222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222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222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222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1447</v>
      </c>
      <c r="O138" s="222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222"/>
      <c r="Q138" s="221"/>
      <c r="R138" s="222"/>
    </row>
    <row r="139" spans="1:18" s="126" customFormat="1" ht="21" customHeight="1" x14ac:dyDescent="0.15">
      <c r="A139" s="101" t="str">
        <f t="shared" si="14"/>
        <v>40046017_40046907</v>
      </c>
      <c r="B139" s="187">
        <v>40046017</v>
      </c>
      <c r="C139" s="213">
        <v>40046907</v>
      </c>
      <c r="D139" s="221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貴方お強いんですのね…_x000D_参りましたわ…</v>
      </c>
      <c r="E139" s="221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9" s="213">
        <v>40046907</v>
      </c>
      <c r="G139" s="222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222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702</v>
      </c>
      <c r="I139" s="222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222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222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222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222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222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1448</v>
      </c>
      <c r="O139" s="222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222"/>
      <c r="Q139" s="221"/>
      <c r="R139" s="222"/>
    </row>
    <row r="140" spans="1:18" s="126" customFormat="1" ht="21" customHeight="1" x14ac:dyDescent="0.15">
      <c r="A140" s="101" t="str">
        <f t="shared" si="14"/>
        <v>40046017_40046908</v>
      </c>
      <c r="B140" s="187">
        <v>40046017</v>
      </c>
      <c r="C140" s="213">
        <v>40046908</v>
      </c>
      <c r="D140" s="221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貴方お強いんですのね…_x000D_参りましたわ…</v>
      </c>
      <c r="E140" s="221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0" s="213">
        <v>40046908</v>
      </c>
      <c r="G140" s="222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222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701</v>
      </c>
      <c r="I140" s="222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222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222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222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222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222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1449</v>
      </c>
      <c r="O140" s="222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222"/>
      <c r="Q140" s="221"/>
      <c r="R140" s="222"/>
    </row>
    <row r="141" spans="1:18" s="126" customFormat="1" ht="21" customHeight="1" x14ac:dyDescent="0.15">
      <c r="A141" s="101" t="str">
        <f t="shared" si="14"/>
        <v>40046005_40046900</v>
      </c>
      <c r="B141" s="166">
        <v>40046005</v>
      </c>
      <c r="C141" s="215">
        <v>40046900</v>
      </c>
      <c r="D141" s="219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出ましたわね…_x000D_貴方さえいなければ…！</v>
      </c>
      <c r="E141" s="219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状態異常耐性+_x000D_特定エリアを赤&amp;緑&amp;青のダメージパネルに変換</v>
      </c>
      <c r="F141" s="215">
        <v>40046900</v>
      </c>
      <c r="G141" s="220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1" s="220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706</v>
      </c>
      <c r="I141" s="220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220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220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220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1" s="220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1" s="220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1444</v>
      </c>
      <c r="O141" s="220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220"/>
      <c r="Q141" s="219"/>
      <c r="R141" s="220"/>
    </row>
    <row r="142" spans="1:18" s="126" customFormat="1" ht="21" customHeight="1" x14ac:dyDescent="0.15">
      <c r="A142" s="101" t="str">
        <f t="shared" si="14"/>
        <v>40046005_40046901</v>
      </c>
      <c r="B142" s="166">
        <v>40046005</v>
      </c>
      <c r="C142" s="215">
        <v>40046901</v>
      </c>
      <c r="D142" s="219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あの女のどこが良いのかしら_x000D_理解できませんわ</v>
      </c>
      <c r="E142" s="219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状態異常耐性+_x000D_特定エリアを赤&amp;緑&amp;青のダメージパネルに変換</v>
      </c>
      <c r="F142" s="215">
        <v>40046901</v>
      </c>
      <c r="G142" s="220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2" s="220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704</v>
      </c>
      <c r="I142" s="220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220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220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220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220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2" s="220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1446</v>
      </c>
      <c r="O142" s="220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220"/>
      <c r="Q142" s="219"/>
      <c r="R142" s="220"/>
    </row>
    <row r="143" spans="1:18" s="126" customFormat="1" ht="21" customHeight="1" x14ac:dyDescent="0.15">
      <c r="A143" s="101" t="str">
        <f t="shared" si="14"/>
        <v>40046005_40046902</v>
      </c>
      <c r="B143" s="166">
        <v>40046005</v>
      </c>
      <c r="C143" s="215">
        <v>40046902</v>
      </c>
      <c r="D143" s="219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ごきげんよう　そんなにたくさんの_x000D_兵器をどこから出したのですか？</v>
      </c>
      <c r="E143" s="219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状態異常耐性+_x000D_特定エリアを赤&amp;緑&amp;青のダメージパネルに変換</v>
      </c>
      <c r="F143" s="215">
        <v>40046902</v>
      </c>
      <c r="G143" s="220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3" s="220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702</v>
      </c>
      <c r="I143" s="220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220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220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220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3" s="220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3" s="220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1448</v>
      </c>
      <c r="O143" s="220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220"/>
      <c r="Q143" s="219"/>
      <c r="R143" s="220"/>
    </row>
    <row r="144" spans="1:18" s="126" customFormat="1" ht="21" customHeight="1" x14ac:dyDescent="0.15">
      <c r="A144" s="101" t="str">
        <f t="shared" si="14"/>
        <v>40046007_40046903</v>
      </c>
      <c r="B144" s="166">
        <v>40046007</v>
      </c>
      <c r="C144" s="213">
        <v>40046903</v>
      </c>
      <c r="D144" s="221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クレオパトラ…_x000D_貴方のこと…認めますわ…</v>
      </c>
      <c r="E144" s="221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羨ましそうに_x000D_クレオパトラのことを見ている…</v>
      </c>
      <c r="F144" s="213">
        <v>40046903</v>
      </c>
      <c r="G144" s="222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222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706</v>
      </c>
      <c r="I144" s="222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222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222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222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4" s="222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222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1444</v>
      </c>
      <c r="O144" s="222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222"/>
      <c r="Q144" s="221"/>
      <c r="R144" s="222"/>
    </row>
    <row r="145" spans="1:18" s="126" customFormat="1" ht="21" customHeight="1" x14ac:dyDescent="0.15">
      <c r="A145" s="101" t="str">
        <f t="shared" ref="A145:A150" si="15">B145&amp;"_"&amp;C145</f>
        <v>40046007_40046904</v>
      </c>
      <c r="B145" s="166">
        <v>40046007</v>
      </c>
      <c r="C145" s="213">
        <v>40046904</v>
      </c>
      <c r="D145" s="221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クレオパトラ…_x000D_貴方のこと…認めますわ…</v>
      </c>
      <c r="E145" s="221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羨ましそうに_x000D_クレオパトラのことを見ている…</v>
      </c>
      <c r="F145" s="213">
        <v>40046904</v>
      </c>
      <c r="G145" s="222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222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705</v>
      </c>
      <c r="I145" s="222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222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222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222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5" s="222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222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1445</v>
      </c>
      <c r="O145" s="222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222"/>
      <c r="Q145" s="221"/>
      <c r="R145" s="222"/>
    </row>
    <row r="146" spans="1:18" s="126" customFormat="1" ht="21" customHeight="1" x14ac:dyDescent="0.15">
      <c r="A146" s="101" t="str">
        <f t="shared" si="15"/>
        <v>40046007_40046905</v>
      </c>
      <c r="B146" s="166">
        <v>40046007</v>
      </c>
      <c r="C146" s="213">
        <v>40046905</v>
      </c>
      <c r="D146" s="221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さすがカエサル軍団ね…_x000D_参りましたわ</v>
      </c>
      <c r="E146" s="221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6" s="213">
        <v>40046905</v>
      </c>
      <c r="G146" s="222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222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704</v>
      </c>
      <c r="I146" s="222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222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222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222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6" s="222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222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1446</v>
      </c>
      <c r="O146" s="222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222"/>
      <c r="Q146" s="221"/>
      <c r="R146" s="222"/>
    </row>
    <row r="147" spans="1:18" s="126" customFormat="1" ht="21" customHeight="1" x14ac:dyDescent="0.15">
      <c r="A147" s="101" t="str">
        <f t="shared" si="15"/>
        <v>40046007_40046906</v>
      </c>
      <c r="B147" s="166">
        <v>40046007</v>
      </c>
      <c r="C147" s="213">
        <v>40046906</v>
      </c>
      <c r="D147" s="221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さすがカエサル軍団ね…_x000D_参りましたわ</v>
      </c>
      <c r="E147" s="221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7" s="213">
        <v>40046906</v>
      </c>
      <c r="G147" s="222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222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703</v>
      </c>
      <c r="I147" s="222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222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222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222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7" s="222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222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1447</v>
      </c>
      <c r="O147" s="222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222"/>
      <c r="Q147" s="221"/>
      <c r="R147" s="222"/>
    </row>
    <row r="148" spans="1:18" s="126" customFormat="1" ht="21" customHeight="1" x14ac:dyDescent="0.15">
      <c r="A148" s="101" t="str">
        <f t="shared" si="15"/>
        <v>40046007_40046907</v>
      </c>
      <c r="B148" s="166">
        <v>40046007</v>
      </c>
      <c r="C148" s="213">
        <v>40046907</v>
      </c>
      <c r="D148" s="221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貴方お強いんですのね…_x000D_参りましたわ…</v>
      </c>
      <c r="E148" s="221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8" s="213">
        <v>40046907</v>
      </c>
      <c r="G148" s="222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222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702</v>
      </c>
      <c r="I148" s="222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222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222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222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8" s="222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222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1448</v>
      </c>
      <c r="O148" s="222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222"/>
      <c r="Q148" s="221"/>
      <c r="R148" s="222"/>
    </row>
    <row r="149" spans="1:18" s="126" customFormat="1" ht="21" customHeight="1" x14ac:dyDescent="0.15">
      <c r="A149" s="101" t="str">
        <f t="shared" si="15"/>
        <v>40046007_40046908</v>
      </c>
      <c r="B149" s="166">
        <v>40046007</v>
      </c>
      <c r="C149" s="213">
        <v>40046908</v>
      </c>
      <c r="D149" s="221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貴方お強いんですのね…_x000D_参りましたわ…</v>
      </c>
      <c r="E149" s="221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9" s="213">
        <v>40046908</v>
      </c>
      <c r="G149" s="222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222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701</v>
      </c>
      <c r="I149" s="222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222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222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222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9" s="222" t="str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9" s="222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1449</v>
      </c>
      <c r="O149" s="222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222"/>
      <c r="Q149" s="221"/>
      <c r="R149" s="222"/>
    </row>
    <row r="150" spans="1:18" s="126" customFormat="1" ht="21" customHeight="1" x14ac:dyDescent="0.15">
      <c r="A150" s="101" t="str">
        <f t="shared" si="15"/>
        <v>40046020_40046527</v>
      </c>
      <c r="B150" s="166">
        <v>40046020</v>
      </c>
      <c r="C150" s="161">
        <v>40046527</v>
      </c>
      <c r="D150" s="45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もう十分だわ…</v>
      </c>
      <c r="E150" s="45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ウルズはどこかへ行ってしまった…</v>
      </c>
      <c r="F150" s="161">
        <v>40046027</v>
      </c>
      <c r="G150" s="47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0" s="47" t="str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0" s="47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7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7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7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0" s="47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0" s="47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47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6"/>
      <c r="Q150" s="49"/>
      <c r="R150" s="46"/>
    </row>
    <row r="151" spans="1:18" s="126" customFormat="1" ht="21" customHeight="1" x14ac:dyDescent="0.15">
      <c r="A151" s="101" t="str">
        <f t="shared" ref="A151" si="16">B151&amp;"_"&amp;C151</f>
        <v>40046021_40046027</v>
      </c>
      <c r="B151" s="166">
        <v>40046021</v>
      </c>
      <c r="C151" s="161">
        <v>40046027</v>
      </c>
      <c r="D151" s="45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もう十分だわ…</v>
      </c>
      <c r="E151" s="45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ウルズはどこかへ行ってしまった…</v>
      </c>
      <c r="F151" s="161">
        <v>40046027</v>
      </c>
      <c r="G151" s="47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1" s="47" t="str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1" s="47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7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7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7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1" s="47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1" s="47" t="str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1" s="47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6"/>
      <c r="Q151" s="49"/>
      <c r="R151" s="46"/>
    </row>
  </sheetData>
  <autoFilter ref="A1:R1"/>
  <phoneticPr fontId="6"/>
  <conditionalFormatting sqref="C67:C85 C90:C106 C87:C88 C108:C131">
    <cfRule type="containsText" dxfId="95" priority="77" operator="containsText" text="死亡">
      <formula>NOT(ISERROR(SEARCH("死亡",C67)))</formula>
    </cfRule>
    <cfRule type="containsText" dxfId="94" priority="78" operator="containsText" text="開幕">
      <formula>NOT(ISERROR(SEARCH("開幕",C67)))</formula>
    </cfRule>
  </conditionalFormatting>
  <conditionalFormatting sqref="F67:F85 F90:F106 F87:F88 F108:F131">
    <cfRule type="containsText" dxfId="93" priority="75" operator="containsText" text="死亡">
      <formula>NOT(ISERROR(SEARCH("死亡",F67)))</formula>
    </cfRule>
    <cfRule type="containsText" dxfId="92" priority="76" operator="containsText" text="開幕">
      <formula>NOT(ISERROR(SEARCH("開幕",F67)))</formula>
    </cfRule>
  </conditionalFormatting>
  <conditionalFormatting sqref="C86">
    <cfRule type="containsText" dxfId="91" priority="73" operator="containsText" text="死亡">
      <formula>NOT(ISERROR(SEARCH("死亡",C86)))</formula>
    </cfRule>
    <cfRule type="containsText" dxfId="90" priority="74" operator="containsText" text="開幕">
      <formula>NOT(ISERROR(SEARCH("開幕",C86)))</formula>
    </cfRule>
  </conditionalFormatting>
  <conditionalFormatting sqref="F86">
    <cfRule type="containsText" dxfId="89" priority="71" operator="containsText" text="死亡">
      <formula>NOT(ISERROR(SEARCH("死亡",F86)))</formula>
    </cfRule>
    <cfRule type="containsText" dxfId="88" priority="72" operator="containsText" text="開幕">
      <formula>NOT(ISERROR(SEARCH("開幕",F86)))</formula>
    </cfRule>
  </conditionalFormatting>
  <conditionalFormatting sqref="F2:F20 F22 F43:F66 F24:F41">
    <cfRule type="containsText" dxfId="87" priority="67" operator="containsText" text="死亡">
      <formula>NOT(ISERROR(SEARCH("死亡",F2)))</formula>
    </cfRule>
    <cfRule type="containsText" dxfId="86" priority="68" operator="containsText" text="開幕">
      <formula>NOT(ISERROR(SEARCH("開幕",F2)))</formula>
    </cfRule>
  </conditionalFormatting>
  <conditionalFormatting sqref="F21">
    <cfRule type="containsText" dxfId="85" priority="63" operator="containsText" text="死亡">
      <formula>NOT(ISERROR(SEARCH("死亡",F21)))</formula>
    </cfRule>
    <cfRule type="containsText" dxfId="84" priority="64" operator="containsText" text="開幕">
      <formula>NOT(ISERROR(SEARCH("開幕",F21)))</formula>
    </cfRule>
  </conditionalFormatting>
  <conditionalFormatting sqref="C132:C134">
    <cfRule type="containsText" dxfId="83" priority="45" operator="containsText" text="死亡">
      <formula>NOT(ISERROR(SEARCH("死亡",C132)))</formula>
    </cfRule>
    <cfRule type="containsText" dxfId="82" priority="46" operator="containsText" text="開幕">
      <formula>NOT(ISERROR(SEARCH("開幕",C132)))</formula>
    </cfRule>
  </conditionalFormatting>
  <conditionalFormatting sqref="C141:C143">
    <cfRule type="containsText" dxfId="81" priority="31" operator="containsText" text="死亡">
      <formula>NOT(ISERROR(SEARCH("死亡",C141)))</formula>
    </cfRule>
    <cfRule type="containsText" dxfId="80" priority="32" operator="containsText" text="開幕">
      <formula>NOT(ISERROR(SEARCH("開幕",C141)))</formula>
    </cfRule>
  </conditionalFormatting>
  <conditionalFormatting sqref="F141:F143">
    <cfRule type="containsText" dxfId="79" priority="29" operator="containsText" text="死亡">
      <formula>NOT(ISERROR(SEARCH("死亡",F141)))</formula>
    </cfRule>
    <cfRule type="containsText" dxfId="78" priority="30" operator="containsText" text="開幕">
      <formula>NOT(ISERROR(SEARCH("開幕",F141)))</formula>
    </cfRule>
  </conditionalFormatting>
  <conditionalFormatting sqref="F132:F134">
    <cfRule type="containsText" dxfId="77" priority="33" operator="containsText" text="死亡">
      <formula>NOT(ISERROR(SEARCH("死亡",F132)))</formula>
    </cfRule>
    <cfRule type="containsText" dxfId="76" priority="34" operator="containsText" text="開幕">
      <formula>NOT(ISERROR(SEARCH("開幕",F132)))</formula>
    </cfRule>
  </conditionalFormatting>
  <conditionalFormatting sqref="C89">
    <cfRule type="containsText" dxfId="75" priority="27" operator="containsText" text="死亡">
      <formula>NOT(ISERROR(SEARCH("死亡",C89)))</formula>
    </cfRule>
    <cfRule type="containsText" dxfId="74" priority="28" operator="containsText" text="開幕">
      <formula>NOT(ISERROR(SEARCH("開幕",C89)))</formula>
    </cfRule>
  </conditionalFormatting>
  <conditionalFormatting sqref="F89">
    <cfRule type="containsText" dxfId="73" priority="25" operator="containsText" text="死亡">
      <formula>NOT(ISERROR(SEARCH("死亡",F89)))</formula>
    </cfRule>
    <cfRule type="containsText" dxfId="72" priority="26" operator="containsText" text="開幕">
      <formula>NOT(ISERROR(SEARCH("開幕",F89)))</formula>
    </cfRule>
  </conditionalFormatting>
  <conditionalFormatting sqref="F23">
    <cfRule type="containsText" dxfId="71" priority="23" operator="containsText" text="死亡">
      <formula>NOT(ISERROR(SEARCH("死亡",F23)))</formula>
    </cfRule>
    <cfRule type="containsText" dxfId="70" priority="24" operator="containsText" text="開幕">
      <formula>NOT(ISERROR(SEARCH("開幕",F23)))</formula>
    </cfRule>
  </conditionalFormatting>
  <conditionalFormatting sqref="C107">
    <cfRule type="containsText" dxfId="69" priority="11" operator="containsText" text="死亡">
      <formula>NOT(ISERROR(SEARCH("死亡",C107)))</formula>
    </cfRule>
    <cfRule type="containsText" dxfId="68" priority="12" operator="containsText" text="開幕">
      <formula>NOT(ISERROR(SEARCH("開幕",C107)))</formula>
    </cfRule>
  </conditionalFormatting>
  <conditionalFormatting sqref="F107">
    <cfRule type="containsText" dxfId="67" priority="9" operator="containsText" text="死亡">
      <formula>NOT(ISERROR(SEARCH("死亡",F107)))</formula>
    </cfRule>
    <cfRule type="containsText" dxfId="66" priority="10" operator="containsText" text="開幕">
      <formula>NOT(ISERROR(SEARCH("開幕",F107)))</formula>
    </cfRule>
  </conditionalFormatting>
  <conditionalFormatting sqref="C150">
    <cfRule type="containsText" dxfId="65" priority="7" operator="containsText" text="死亡">
      <formula>NOT(ISERROR(SEARCH("死亡",C150)))</formula>
    </cfRule>
    <cfRule type="containsText" dxfId="64" priority="8" operator="containsText" text="開幕">
      <formula>NOT(ISERROR(SEARCH("開幕",C150)))</formula>
    </cfRule>
  </conditionalFormatting>
  <conditionalFormatting sqref="F150">
    <cfRule type="containsText" dxfId="63" priority="5" operator="containsText" text="死亡">
      <formula>NOT(ISERROR(SEARCH("死亡",F150)))</formula>
    </cfRule>
    <cfRule type="containsText" dxfId="62" priority="6" operator="containsText" text="開幕">
      <formula>NOT(ISERROR(SEARCH("開幕",F150)))</formula>
    </cfRule>
  </conditionalFormatting>
  <conditionalFormatting sqref="C151">
    <cfRule type="containsText" dxfId="61" priority="3" operator="containsText" text="死亡">
      <formula>NOT(ISERROR(SEARCH("死亡",C151)))</formula>
    </cfRule>
    <cfRule type="containsText" dxfId="60" priority="4" operator="containsText" text="開幕">
      <formula>NOT(ISERROR(SEARCH("開幕",C151)))</formula>
    </cfRule>
  </conditionalFormatting>
  <conditionalFormatting sqref="F151">
    <cfRule type="containsText" dxfId="59" priority="1" operator="containsText" text="死亡">
      <formula>NOT(ISERROR(SEARCH("死亡",F151)))</formula>
    </cfRule>
    <cfRule type="containsText" dxfId="58" priority="2" operator="containsText" text="開幕">
      <formula>NOT(ISERROR(SEARCH("開幕",F151)))</formula>
    </cfRule>
  </conditionalFormatting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F142"/>
  <sheetViews>
    <sheetView showGridLines="0" tabSelected="1" workbookViewId="0">
      <pane ySplit="1" topLeftCell="A2" activePane="bottomLeft" state="frozenSplit"/>
      <selection pane="bottomLeft" activeCell="F13" sqref="F13"/>
    </sheetView>
  </sheetViews>
  <sheetFormatPr baseColWidth="12" defaultColWidth="12.83203125" defaultRowHeight="42" customHeight="1" outlineLevelCol="1" x14ac:dyDescent="0.15"/>
  <cols>
    <col min="1" max="1" width="12.83203125" style="48"/>
    <col min="2" max="2" width="34.6640625" style="48" customWidth="1"/>
    <col min="3" max="4" width="3.6640625" style="48" customWidth="1"/>
    <col min="5" max="5" width="12.1640625" style="48" customWidth="1"/>
    <col min="6" max="6" width="35" style="157" customWidth="1"/>
    <col min="7" max="7" width="14.5" style="157" customWidth="1"/>
    <col min="8" max="8" width="40.33203125" style="157" customWidth="1"/>
    <col min="9" max="9" width="52" style="48" hidden="1" customWidth="1" outlineLevel="1"/>
    <col min="10" max="10" width="18.33203125" style="48" hidden="1" customWidth="1" outlineLevel="1"/>
    <col min="11" max="13" width="18.6640625" style="48" hidden="1" customWidth="1" outlineLevel="1"/>
    <col min="14" max="14" width="10.6640625" style="48" hidden="1" customWidth="1" collapsed="1"/>
    <col min="15" max="20" width="10.6640625" style="48" hidden="1" customWidth="1" outlineLevel="1"/>
    <col min="21" max="21" width="10.6640625" style="48" hidden="1" customWidth="1" collapsed="1"/>
    <col min="22" max="26" width="10.6640625" style="48" hidden="1" customWidth="1" outlineLevel="1"/>
    <col min="27" max="27" width="10.6640625" style="48" hidden="1" customWidth="1" collapsed="1"/>
    <col min="28" max="29" width="12.83203125" style="48" hidden="1" customWidth="1"/>
    <col min="30" max="30" width="11" style="48" hidden="1" customWidth="1"/>
    <col min="31" max="31" width="143.5" style="48" customWidth="1"/>
    <col min="32" max="32" width="13.33203125" style="107" customWidth="1"/>
    <col min="33" max="33" width="112.83203125" style="48" bestFit="1" customWidth="1"/>
    <col min="34" max="34" width="19.5" style="48" customWidth="1"/>
    <col min="35" max="16384" width="12.83203125" style="48"/>
  </cols>
  <sheetData>
    <row r="1" spans="1:32" ht="23" customHeight="1" x14ac:dyDescent="0.15">
      <c r="A1" s="39" t="s">
        <v>78</v>
      </c>
      <c r="B1" s="39" t="s">
        <v>79</v>
      </c>
      <c r="C1" s="39" t="s">
        <v>80</v>
      </c>
      <c r="D1" s="39" t="s">
        <v>125</v>
      </c>
      <c r="F1" s="148" t="s">
        <v>81</v>
      </c>
      <c r="G1" s="148"/>
      <c r="H1" s="148" t="s">
        <v>82</v>
      </c>
      <c r="I1" s="40" t="s">
        <v>131</v>
      </c>
      <c r="J1" s="40" t="s">
        <v>137</v>
      </c>
      <c r="K1" s="40" t="s">
        <v>139</v>
      </c>
      <c r="L1" s="40" t="s">
        <v>138</v>
      </c>
      <c r="M1" s="40" t="s">
        <v>140</v>
      </c>
      <c r="N1" s="40" t="s">
        <v>132</v>
      </c>
      <c r="O1" s="40" t="s">
        <v>130</v>
      </c>
      <c r="P1" s="40" t="s">
        <v>133</v>
      </c>
      <c r="Q1" s="40" t="s">
        <v>141</v>
      </c>
      <c r="R1" s="40" t="s">
        <v>142</v>
      </c>
      <c r="S1" s="40" t="s">
        <v>143</v>
      </c>
      <c r="T1" s="40" t="s">
        <v>144</v>
      </c>
      <c r="U1" s="40" t="s">
        <v>134</v>
      </c>
      <c r="V1" s="40" t="s">
        <v>135</v>
      </c>
      <c r="W1" s="40" t="s">
        <v>145</v>
      </c>
      <c r="X1" s="40" t="s">
        <v>146</v>
      </c>
      <c r="Y1" s="40" t="s">
        <v>147</v>
      </c>
      <c r="Z1" s="40" t="s">
        <v>148</v>
      </c>
      <c r="AA1" s="40" t="s">
        <v>136</v>
      </c>
      <c r="AB1" s="40" t="s">
        <v>75</v>
      </c>
      <c r="AC1" s="40" t="s">
        <v>76</v>
      </c>
      <c r="AD1" s="40" t="s">
        <v>77</v>
      </c>
      <c r="AE1" s="98" t="s">
        <v>253</v>
      </c>
    </row>
    <row r="2" spans="1:32" s="132" customFormat="1" ht="33" customHeight="1" x14ac:dyDescent="0.15">
      <c r="A2" s="199">
        <f t="shared" ref="A2:A22" si="0">A68+500</f>
        <v>40046500</v>
      </c>
      <c r="B2" s="47" t="str">
        <f t="shared" ref="B2:B66" si="1">"[effect:enemy_message, val1:"&amp;TEXT(IF(TEXT(F2,0)="[表示しない]", "0", IF(LEN(SUBSTITUTE(F2,CHAR(13),""))*0.1&lt;1.2, 1.2, LEN(SUBSTITUTE(F2,CHAR(13),""))*0.1)), "0.0")&amp;", val2:"&amp;TEXT(IF(TEXT(H2,0)="[表示しない]", "0", IF(LEN(SUBSTITUTE(H2,CHAR(13),""))*0.1&lt;1.2, 1.2, LEN(SUBSTITUTE(H2,CHAR(13),""))*0.1)),"0.0")&amp;"]"&amp;IF(LEN(AE2)&gt;0, ","&amp;SUBSTITUTE(AE2,CHAR(13),""),SUBSTITUTE(AE2,CHAR(13),""))</f>
        <v>[effect:enemy_message, val1:1.2, val2:1.7],[effect:break_attack_fix, target:unit_one, val:100, lowest_val:571, count:6, block01:block_red]</v>
      </c>
      <c r="C2" s="223">
        <v>3</v>
      </c>
      <c r="D2" s="49" t="s">
        <v>126</v>
      </c>
      <c r="E2" s="100"/>
      <c r="F2" s="192" t="s">
        <v>365</v>
      </c>
      <c r="G2" s="150" t="s">
        <v>266</v>
      </c>
      <c r="H2" s="150" t="s">
        <v>340</v>
      </c>
      <c r="I2" s="128" t="str">
        <f>IFERROR(LEFT(B2,FIND("],",B2)),B2)</f>
        <v>[effect:enemy_message, val1:1.2, val2:1.7]</v>
      </c>
      <c r="J2" s="128">
        <f>FIND("effect:",I2)+7</f>
        <v>9</v>
      </c>
      <c r="K2" s="128">
        <f>IFERROR(FIND(",",I2),LEN(I2))</f>
        <v>22</v>
      </c>
      <c r="L2" s="128" t="e">
        <f>FIND("target:",I2)+7</f>
        <v>#VALUE!</v>
      </c>
      <c r="M2" s="128">
        <f>FIND(",",I2,K2+1)</f>
        <v>32</v>
      </c>
      <c r="N2" s="128" t="str">
        <f>IFERROR(VLOOKUP(MID(I2,L2,M2-L2),[6]skilldef!$C:$D,2,FALSE),"-") &amp; " / " &amp; IFERROR(VLOOKUP(MID(I2,J2,K2-J2),[6]skilldef!$A:$B,2,FALSE),"-")</f>
        <v>- / -</v>
      </c>
      <c r="O2" s="128" t="str">
        <f>IFERROR(RIGHT(B2,LEN(B2)-FIND("],",B2)-1),"none")</f>
        <v>[effect:break_attack_fix, target:unit_one, val:100, lowest_val:571, count:6, block01:block_red]</v>
      </c>
      <c r="P2" s="125" t="str">
        <f>IFERROR(LEFT(O2,FIND("],",O2)+#REF!),O2)</f>
        <v>[effect:break_attack_fix, target:unit_one, val:100, lowest_val:571, count:6, block01:block_red]</v>
      </c>
      <c r="Q2" s="128">
        <f>FIND("effect:",P2)+7</f>
        <v>9</v>
      </c>
      <c r="R2" s="128">
        <f>IFERROR(FIND(",",P2),LEN(P2))</f>
        <v>25</v>
      </c>
      <c r="S2" s="128">
        <f>FIND("target:",P2)+7</f>
        <v>34</v>
      </c>
      <c r="T2" s="128">
        <f>FIND(",",P2,R2+1)</f>
        <v>42</v>
      </c>
      <c r="U2" s="128" t="str">
        <f>IFERROR(VLOOKUP(MID(P2,S2,T2-S2),[6]skilldef!$C:$D,2,FALSE),"-") &amp; " / " &amp; IFERROR(VLOOKUP(MID(P2,Q2,R2-Q2),[6]skilldef!$A:$B,2,FALSE),"-")</f>
        <v>味方単体に / -</v>
      </c>
      <c r="V2" s="125" t="str">
        <f>IFERROR(RIGHT(O2,LEN(O2)-FIND("],",O2)-1),"none")</f>
        <v>none</v>
      </c>
      <c r="W2" s="128" t="e">
        <f>FIND("effect:",V2)+7</f>
        <v>#VALUE!</v>
      </c>
      <c r="X2" s="128">
        <f>IFERROR(FIND(",",V2),LEN(V2))</f>
        <v>4</v>
      </c>
      <c r="Y2" s="128" t="e">
        <f>FIND("target:",V2)+7</f>
        <v>#VALUE!</v>
      </c>
      <c r="Z2" s="128" t="e">
        <f>FIND(",",V2,X2+1)</f>
        <v>#VALUE!</v>
      </c>
      <c r="AA2" s="128" t="str">
        <f>IFERROR(VLOOKUP(MID(V2,Y2,Z2-Y2),[6]skilldef!$C:$D,2,FALSE),"-") &amp; " / " &amp; IFERROR(VLOOKUP(MID(V2,W2,X2-W2),[6]skilldef!$A:$B,2,FALSE),"-")</f>
        <v>- / -</v>
      </c>
      <c r="AB2" s="127"/>
      <c r="AC2" s="129"/>
      <c r="AD2" s="127"/>
      <c r="AE2" s="206" t="s">
        <v>413</v>
      </c>
      <c r="AF2" s="131"/>
    </row>
    <row r="3" spans="1:32" s="132" customFormat="1" ht="33" customHeight="1" x14ac:dyDescent="0.15">
      <c r="A3" s="199">
        <f t="shared" si="0"/>
        <v>40046501</v>
      </c>
      <c r="B3" s="47" t="str">
        <f t="shared" si="1"/>
        <v>[effect:enemy_message, val1:1.2, val2:1.7],[effect:break_attack_fix, target:unit_one, val:100, lowest_val:571, count:6, block01:block_red]</v>
      </c>
      <c r="C3" s="223">
        <v>3</v>
      </c>
      <c r="D3" s="49" t="s">
        <v>126</v>
      </c>
      <c r="E3" s="100"/>
      <c r="F3" s="192" t="s">
        <v>365</v>
      </c>
      <c r="G3" s="150" t="s">
        <v>269</v>
      </c>
      <c r="H3" s="150" t="s">
        <v>340</v>
      </c>
      <c r="I3" s="128" t="str">
        <f t="shared" ref="I3:I37" si="2">IFERROR(LEFT(B3,FIND("],",B3)),B3)</f>
        <v>[effect:enemy_message, val1:1.2, val2:1.7]</v>
      </c>
      <c r="J3" s="128">
        <f t="shared" ref="J3:J37" si="3">FIND("effect:",I3)+7</f>
        <v>9</v>
      </c>
      <c r="K3" s="128">
        <f t="shared" ref="K3:K37" si="4">IFERROR(FIND(",",I3),LEN(I3))</f>
        <v>22</v>
      </c>
      <c r="L3" s="128" t="e">
        <f t="shared" ref="L3:L37" si="5">FIND("target:",I3)+7</f>
        <v>#VALUE!</v>
      </c>
      <c r="M3" s="128">
        <f t="shared" ref="M3:M37" si="6">FIND(",",I3,K3+1)</f>
        <v>32</v>
      </c>
      <c r="N3" s="128" t="str">
        <f>IFERROR(VLOOKUP(MID(I3,L3,M3-L3),[6]skilldef!$C:$D,2,FALSE),"-") &amp; " / " &amp; IFERROR(VLOOKUP(MID(I3,J3,K3-J3),[6]skilldef!$A:$B,2,FALSE),"-")</f>
        <v>- / -</v>
      </c>
      <c r="O3" s="128" t="str">
        <f t="shared" ref="O3:O37" si="7">IFERROR(RIGHT(B3,LEN(B3)-FIND("],",B3)-1),"none")</f>
        <v>[effect:break_attack_fix, target:unit_one, val:100, lowest_val:571, count:6, block01:block_red]</v>
      </c>
      <c r="P3" s="125" t="str">
        <f>IFERROR(LEFT(O3,FIND("],",O3)+#REF!),O3)</f>
        <v>[effect:break_attack_fix, target:unit_one, val:100, lowest_val:571, count:6, block01:block_red]</v>
      </c>
      <c r="Q3" s="128">
        <f t="shared" ref="Q3:Q37" si="8">FIND("effect:",P3)+7</f>
        <v>9</v>
      </c>
      <c r="R3" s="128">
        <f t="shared" ref="R3:R37" si="9">IFERROR(FIND(",",P3),LEN(P3))</f>
        <v>25</v>
      </c>
      <c r="S3" s="128">
        <f t="shared" ref="S3:S37" si="10">FIND("target:",P3)+7</f>
        <v>34</v>
      </c>
      <c r="T3" s="128">
        <f t="shared" ref="T3:T37" si="11">FIND(",",P3,R3+1)</f>
        <v>42</v>
      </c>
      <c r="U3" s="128" t="str">
        <f>IFERROR(VLOOKUP(MID(P3,S3,T3-S3),[6]skilldef!$C:$D,2,FALSE),"-") &amp; " / " &amp; IFERROR(VLOOKUP(MID(P3,Q3,R3-Q3),[6]skilldef!$A:$B,2,FALSE),"-")</f>
        <v>味方単体に / -</v>
      </c>
      <c r="V3" s="125" t="str">
        <f t="shared" ref="V3:V37" si="12">IFERROR(RIGHT(O3,LEN(O3)-FIND("],",O3)-1),"none")</f>
        <v>none</v>
      </c>
      <c r="W3" s="128" t="e">
        <f t="shared" ref="W3:W37" si="13">FIND("effect:",V3)+7</f>
        <v>#VALUE!</v>
      </c>
      <c r="X3" s="128">
        <f t="shared" ref="X3:X37" si="14">IFERROR(FIND(",",V3),LEN(V3))</f>
        <v>4</v>
      </c>
      <c r="Y3" s="128" t="e">
        <f t="shared" ref="Y3:Y37" si="15">FIND("target:",V3)+7</f>
        <v>#VALUE!</v>
      </c>
      <c r="Z3" s="128" t="e">
        <f t="shared" ref="Z3:Z37" si="16">FIND(",",V3,X3+1)</f>
        <v>#VALUE!</v>
      </c>
      <c r="AA3" s="128" t="str">
        <f>IFERROR(VLOOKUP(MID(V3,Y3,Z3-Y3),[6]skilldef!$C:$D,2,FALSE),"-") &amp; " / " &amp; IFERROR(VLOOKUP(MID(V3,W3,X3-W3),[6]skilldef!$A:$B,2,FALSE),"-")</f>
        <v>- / -</v>
      </c>
      <c r="AB3" s="127"/>
      <c r="AC3" s="129"/>
      <c r="AD3" s="127"/>
      <c r="AE3" s="206" t="s">
        <v>413</v>
      </c>
      <c r="AF3" s="131"/>
    </row>
    <row r="4" spans="1:32" s="132" customFormat="1" ht="33" customHeight="1" x14ac:dyDescent="0.15">
      <c r="A4" s="199">
        <f t="shared" si="0"/>
        <v>40046502</v>
      </c>
      <c r="B4" s="47" t="str">
        <f t="shared" si="1"/>
        <v>[effect:enemy_message, val1:1.2, val2:1.2],[effect:critical, val:1.2, animation:enemy_critical]</v>
      </c>
      <c r="C4" s="223">
        <v>3</v>
      </c>
      <c r="D4" s="49" t="s">
        <v>126</v>
      </c>
      <c r="E4" s="100"/>
      <c r="F4" s="192" t="s">
        <v>367</v>
      </c>
      <c r="G4" s="151">
        <v>0.5</v>
      </c>
      <c r="H4" s="150" t="s">
        <v>298</v>
      </c>
      <c r="I4" s="128" t="str">
        <f t="shared" si="2"/>
        <v>[effect:enemy_message, val1:1.2, val2:1.2]</v>
      </c>
      <c r="J4" s="128">
        <f t="shared" si="3"/>
        <v>9</v>
      </c>
      <c r="K4" s="128">
        <f t="shared" si="4"/>
        <v>22</v>
      </c>
      <c r="L4" s="128" t="e">
        <f t="shared" si="5"/>
        <v>#VALUE!</v>
      </c>
      <c r="M4" s="128">
        <f t="shared" si="6"/>
        <v>32</v>
      </c>
      <c r="N4" s="128" t="str">
        <f>IFERROR(VLOOKUP(MID(I4,L4,M4-L4),[6]skilldef!$C:$D,2,FALSE),"-") &amp; " / " &amp; IFERROR(VLOOKUP(MID(I4,J4,K4-J4),[6]skilldef!$A:$B,2,FALSE),"-")</f>
        <v>- / -</v>
      </c>
      <c r="O4" s="128" t="str">
        <f t="shared" si="7"/>
        <v>[effect:critical, val:1.2, animation:enemy_critical]</v>
      </c>
      <c r="P4" s="125" t="str">
        <f>IFERROR(LEFT(O4,FIND("],",O4)+#REF!),O4)</f>
        <v>[effect:critical, val:1.2, animation:enemy_critical]</v>
      </c>
      <c r="Q4" s="128">
        <f t="shared" si="8"/>
        <v>9</v>
      </c>
      <c r="R4" s="128">
        <f t="shared" si="9"/>
        <v>17</v>
      </c>
      <c r="S4" s="128" t="e">
        <f t="shared" si="10"/>
        <v>#VALUE!</v>
      </c>
      <c r="T4" s="128">
        <f t="shared" si="11"/>
        <v>26</v>
      </c>
      <c r="U4" s="128" t="str">
        <f>IFERROR(VLOOKUP(MID(P4,S4,T4-S4),[6]skilldef!$C:$D,2,FALSE),"-") &amp; " / " &amp; IFERROR(VLOOKUP(MID(P4,Q4,R4-Q4),[6]skilldef!$A:$B,2,FALSE),"-")</f>
        <v>- / 大攻撃</v>
      </c>
      <c r="V4" s="125" t="str">
        <f t="shared" si="12"/>
        <v>none</v>
      </c>
      <c r="W4" s="128" t="e">
        <f t="shared" si="13"/>
        <v>#VALUE!</v>
      </c>
      <c r="X4" s="128">
        <f t="shared" si="14"/>
        <v>4</v>
      </c>
      <c r="Y4" s="128" t="e">
        <f t="shared" si="15"/>
        <v>#VALUE!</v>
      </c>
      <c r="Z4" s="128" t="e">
        <f t="shared" si="16"/>
        <v>#VALUE!</v>
      </c>
      <c r="AA4" s="128" t="str">
        <f>IFERROR(VLOOKUP(MID(V4,Y4,Z4-Y4),[6]skilldef!$C:$D,2,FALSE),"-") &amp; " / " &amp; IFERROR(VLOOKUP(MID(V4,W4,X4-W4),[6]skilldef!$A:$B,2,FALSE),"-")</f>
        <v>- / -</v>
      </c>
      <c r="AB4" s="127"/>
      <c r="AC4" s="129"/>
      <c r="AD4" s="127"/>
      <c r="AE4" s="130" t="s">
        <v>313</v>
      </c>
      <c r="AF4" s="131"/>
    </row>
    <row r="5" spans="1:32" s="132" customFormat="1" ht="33" customHeight="1" x14ac:dyDescent="0.15">
      <c r="A5" s="200">
        <f t="shared" si="0"/>
        <v>40046503</v>
      </c>
      <c r="B5" s="47" t="str">
        <f t="shared" si="1"/>
        <v>[effect:enemy_message, val1:1.2, val2:2.0],[effect:break_enchance_enemy, target:myself, val:100, lowest_val:700, count:-1, status:defense, turn:3, block01:block_heart, calc:add, animation:enemy_enhance_defense],[effect:fix_speed, target:myself, turn:1],[effect:fix_speed, target:enemy_green, turn:2]</v>
      </c>
      <c r="C5" s="223">
        <v>3</v>
      </c>
      <c r="D5" s="49" t="s">
        <v>126</v>
      </c>
      <c r="E5" s="100"/>
      <c r="F5" s="193" t="s">
        <v>377</v>
      </c>
      <c r="G5" s="150" t="s">
        <v>270</v>
      </c>
      <c r="H5" s="150" t="s">
        <v>299</v>
      </c>
      <c r="I5" s="128" t="str">
        <f t="shared" si="2"/>
        <v>[effect:enemy_message, val1:1.2, val2:2.0]</v>
      </c>
      <c r="J5" s="128">
        <f t="shared" si="3"/>
        <v>9</v>
      </c>
      <c r="K5" s="128">
        <f t="shared" si="4"/>
        <v>22</v>
      </c>
      <c r="L5" s="128" t="e">
        <f t="shared" si="5"/>
        <v>#VALUE!</v>
      </c>
      <c r="M5" s="128">
        <f t="shared" si="6"/>
        <v>32</v>
      </c>
      <c r="N5" s="128" t="str">
        <f>IFERROR(VLOOKUP(MID(I5,L5,M5-L5),[6]skilldef!$C:$D,2,FALSE),"-") &amp; " / " &amp; IFERROR(VLOOKUP(MID(I5,J5,K5-J5),[6]skilldef!$A:$B,2,FALSE),"-")</f>
        <v>- / -</v>
      </c>
      <c r="O5" s="128" t="str">
        <f t="shared" si="7"/>
        <v>[effect:break_enchance_enemy, target:myself, val:100, lowest_val:700, count:-1, status:defense, turn:3, block01:block_heart, calc:add, animation:enemy_enhance_defense],[effect:fix_speed, target:myself, turn:1],[effect:fix_speed, target:enemy_green, turn:2]</v>
      </c>
      <c r="P5" s="125" t="str">
        <f>IFERROR(LEFT(O5,FIND("],",O5)+#REF!),O5)</f>
        <v>[effect:break_enchance_enemy, target:myself, val:100, lowest_val:700, count:-1, status:defense, turn:3, block01:block_heart, calc:add, animation:enemy_enhance_defense],[effect:fix_speed, target:myself, turn:1],[effect:fix_speed, target:enemy_green, turn:2]</v>
      </c>
      <c r="Q5" s="128">
        <f t="shared" si="8"/>
        <v>9</v>
      </c>
      <c r="R5" s="128">
        <f t="shared" si="9"/>
        <v>29</v>
      </c>
      <c r="S5" s="128">
        <f t="shared" si="10"/>
        <v>38</v>
      </c>
      <c r="T5" s="128">
        <f t="shared" si="11"/>
        <v>44</v>
      </c>
      <c r="U5" s="128" t="str">
        <f>IFERROR(VLOOKUP(MID(P5,S5,T5-S5),[6]skilldef!$C:$D,2,FALSE),"-") &amp; " / " &amp; IFERROR(VLOOKUP(MID(P5,Q5,R5-Q5),[6]skilldef!$A:$B,2,FALSE),"-")</f>
        <v>自分自身に / -</v>
      </c>
      <c r="V5" s="125" t="str">
        <f t="shared" si="12"/>
        <v>[effect:fix_speed, target:myself, turn:1],[effect:fix_speed, target:enemy_green, turn:2]</v>
      </c>
      <c r="W5" s="128">
        <f t="shared" si="13"/>
        <v>9</v>
      </c>
      <c r="X5" s="128">
        <f t="shared" si="14"/>
        <v>18</v>
      </c>
      <c r="Y5" s="128">
        <f t="shared" si="15"/>
        <v>27</v>
      </c>
      <c r="Z5" s="128">
        <f t="shared" si="16"/>
        <v>33</v>
      </c>
      <c r="AA5" s="128" t="str">
        <f>IFERROR(VLOOKUP(MID(V5,Y5,Z5-Y5),[6]skilldef!$C:$D,2,FALSE),"-") &amp; " / " &amp; IFERROR(VLOOKUP(MID(V5,W5,X5-W5),[6]skilldef!$A:$B,2,FALSE),"-")</f>
        <v>自分自身に / 行動値設定</v>
      </c>
      <c r="AB5" s="127"/>
      <c r="AC5" s="129"/>
      <c r="AD5" s="127"/>
      <c r="AE5" s="206" t="s">
        <v>415</v>
      </c>
      <c r="AF5" s="131"/>
    </row>
    <row r="6" spans="1:32" s="132" customFormat="1" ht="33" customHeight="1" x14ac:dyDescent="0.15">
      <c r="A6" s="200">
        <f t="shared" si="0"/>
        <v>40046504</v>
      </c>
      <c r="B6" s="47" t="str">
        <f t="shared" si="1"/>
        <v>[effect:enemy_message, val1:1.2, val2:1.2],[effect:spread, val:0.3]</v>
      </c>
      <c r="C6" s="223">
        <v>3</v>
      </c>
      <c r="D6" s="49" t="s">
        <v>126</v>
      </c>
      <c r="E6" s="100"/>
      <c r="F6" s="193" t="s">
        <v>375</v>
      </c>
      <c r="G6" s="150" t="s">
        <v>266</v>
      </c>
      <c r="H6" s="150" t="s">
        <v>254</v>
      </c>
      <c r="I6" s="128" t="str">
        <f t="shared" si="2"/>
        <v>[effect:enemy_message, val1:1.2, val2:1.2]</v>
      </c>
      <c r="J6" s="128">
        <f t="shared" si="3"/>
        <v>9</v>
      </c>
      <c r="K6" s="128">
        <f t="shared" si="4"/>
        <v>22</v>
      </c>
      <c r="L6" s="128" t="e">
        <f t="shared" si="5"/>
        <v>#VALUE!</v>
      </c>
      <c r="M6" s="128">
        <f t="shared" si="6"/>
        <v>32</v>
      </c>
      <c r="N6" s="128" t="str">
        <f>IFERROR(VLOOKUP(MID(I6,L6,M6-L6),[6]skilldef!$C:$D,2,FALSE),"-") &amp; " / " &amp; IFERROR(VLOOKUP(MID(I6,J6,K6-J6),[6]skilldef!$A:$B,2,FALSE),"-")</f>
        <v>- / -</v>
      </c>
      <c r="O6" s="128" t="str">
        <f t="shared" si="7"/>
        <v>[effect:spread, val:0.3]</v>
      </c>
      <c r="P6" s="125" t="str">
        <f>IFERROR(LEFT(O6,FIND("],",O6)+#REF!),O6)</f>
        <v>[effect:spread, val:0.3]</v>
      </c>
      <c r="Q6" s="128">
        <f t="shared" si="8"/>
        <v>9</v>
      </c>
      <c r="R6" s="128">
        <f t="shared" si="9"/>
        <v>15</v>
      </c>
      <c r="S6" s="128" t="e">
        <f t="shared" si="10"/>
        <v>#VALUE!</v>
      </c>
      <c r="T6" s="128" t="e">
        <f t="shared" si="11"/>
        <v>#VALUE!</v>
      </c>
      <c r="U6" s="128" t="str">
        <f>IFERROR(VLOOKUP(MID(P6,S6,T6-S6),[6]skilldef!$C:$D,2,FALSE),"-") &amp; " / " &amp; IFERROR(VLOOKUP(MID(P6,Q6,R6-Q6),[6]skilldef!$A:$B,2,FALSE),"-")</f>
        <v>- / 全体攻撃</v>
      </c>
      <c r="V6" s="125" t="str">
        <f t="shared" si="12"/>
        <v>none</v>
      </c>
      <c r="W6" s="128" t="e">
        <f t="shared" si="13"/>
        <v>#VALUE!</v>
      </c>
      <c r="X6" s="128">
        <f t="shared" si="14"/>
        <v>4</v>
      </c>
      <c r="Y6" s="128" t="e">
        <f t="shared" si="15"/>
        <v>#VALUE!</v>
      </c>
      <c r="Z6" s="128" t="e">
        <f t="shared" si="16"/>
        <v>#VALUE!</v>
      </c>
      <c r="AA6" s="128" t="str">
        <f>IFERROR(VLOOKUP(MID(V6,Y6,Z6-Y6),[6]skilldef!$C:$D,2,FALSE),"-") &amp; " / " &amp; IFERROR(VLOOKUP(MID(V6,W6,X6-W6),[6]skilldef!$A:$B,2,FALSE),"-")</f>
        <v>- / -</v>
      </c>
      <c r="AB6" s="127"/>
      <c r="AC6" s="129"/>
      <c r="AD6" s="127"/>
      <c r="AE6" s="130" t="s">
        <v>314</v>
      </c>
      <c r="AF6" s="131"/>
    </row>
    <row r="7" spans="1:32" s="132" customFormat="1" ht="33" customHeight="1" x14ac:dyDescent="0.15">
      <c r="A7" s="200">
        <f t="shared" si="0"/>
        <v>40046505</v>
      </c>
      <c r="B7" s="47" t="str">
        <f t="shared" si="1"/>
        <v>[effect:enemy_message, val1:1.2, val2:1.2],[effect:panel_freeze, target:normal, color:block_yellow, count:-1]</v>
      </c>
      <c r="C7" s="223">
        <v>3</v>
      </c>
      <c r="D7" s="49" t="s">
        <v>126</v>
      </c>
      <c r="E7" s="100"/>
      <c r="F7" s="193" t="s">
        <v>379</v>
      </c>
      <c r="G7" s="150" t="s">
        <v>271</v>
      </c>
      <c r="H7" s="150" t="s">
        <v>300</v>
      </c>
      <c r="I7" s="128" t="str">
        <f t="shared" si="2"/>
        <v>[effect:enemy_message, val1:1.2, val2:1.2]</v>
      </c>
      <c r="J7" s="128">
        <f t="shared" si="3"/>
        <v>9</v>
      </c>
      <c r="K7" s="128">
        <f t="shared" si="4"/>
        <v>22</v>
      </c>
      <c r="L7" s="128" t="e">
        <f t="shared" si="5"/>
        <v>#VALUE!</v>
      </c>
      <c r="M7" s="128">
        <f t="shared" si="6"/>
        <v>32</v>
      </c>
      <c r="N7" s="128" t="str">
        <f>IFERROR(VLOOKUP(MID(I7,L7,M7-L7),[6]skilldef!$C:$D,2,FALSE),"-") &amp; " / " &amp; IFERROR(VLOOKUP(MID(I7,J7,K7-J7),[6]skilldef!$A:$B,2,FALSE),"-")</f>
        <v>- / -</v>
      </c>
      <c r="O7" s="128" t="str">
        <f t="shared" si="7"/>
        <v>[effect:panel_freeze, target:normal, color:block_yellow, count:-1]</v>
      </c>
      <c r="P7" s="125" t="str">
        <f>IFERROR(LEFT(O7,FIND("],",O7)+#REF!),O7)</f>
        <v>[effect:panel_freeze, target:normal, color:block_yellow, count:-1]</v>
      </c>
      <c r="Q7" s="128">
        <f t="shared" si="8"/>
        <v>9</v>
      </c>
      <c r="R7" s="128">
        <f t="shared" si="9"/>
        <v>21</v>
      </c>
      <c r="S7" s="128">
        <f t="shared" si="10"/>
        <v>30</v>
      </c>
      <c r="T7" s="128">
        <f t="shared" si="11"/>
        <v>36</v>
      </c>
      <c r="U7" s="128" t="str">
        <f>IFERROR(VLOOKUP(MID(P7,S7,T7-S7),[6]skilldef!$C:$D,2,FALSE),"-") &amp; " / " &amp; IFERROR(VLOOKUP(MID(P7,Q7,R7-Q7),[6]skilldef!$A:$B,2,FALSE),"-")</f>
        <v>- / -</v>
      </c>
      <c r="V7" s="125" t="str">
        <f t="shared" si="12"/>
        <v>none</v>
      </c>
      <c r="W7" s="128" t="e">
        <f t="shared" si="13"/>
        <v>#VALUE!</v>
      </c>
      <c r="X7" s="128">
        <f t="shared" si="14"/>
        <v>4</v>
      </c>
      <c r="Y7" s="128" t="e">
        <f t="shared" si="15"/>
        <v>#VALUE!</v>
      </c>
      <c r="Z7" s="128" t="e">
        <f t="shared" si="16"/>
        <v>#VALUE!</v>
      </c>
      <c r="AA7" s="128" t="str">
        <f>IFERROR(VLOOKUP(MID(V7,Y7,Z7-Y7),[6]skilldef!$C:$D,2,FALSE),"-") &amp; " / " &amp; IFERROR(VLOOKUP(MID(V7,W7,X7-W7),[6]skilldef!$A:$B,2,FALSE),"-")</f>
        <v>- / -</v>
      </c>
      <c r="AB7" s="127"/>
      <c r="AC7" s="129"/>
      <c r="AD7" s="127"/>
      <c r="AE7" s="130" t="s">
        <v>315</v>
      </c>
      <c r="AF7" s="131"/>
    </row>
    <row r="8" spans="1:32" s="132" customFormat="1" ht="33" customHeight="1" x14ac:dyDescent="0.15">
      <c r="A8" s="200">
        <f t="shared" si="0"/>
        <v>40046506</v>
      </c>
      <c r="B8" s="47" t="str">
        <f t="shared" si="1"/>
        <v>[effect:enemy_message, val1:1.2, val2:2.6],[effect:critical, val:1.2, animation:enemy_critical]</v>
      </c>
      <c r="C8" s="223">
        <v>3</v>
      </c>
      <c r="D8" s="49" t="s">
        <v>126</v>
      </c>
      <c r="E8" s="100"/>
      <c r="F8" s="193" t="s">
        <v>438</v>
      </c>
      <c r="G8" s="150" t="s">
        <v>268</v>
      </c>
      <c r="H8" s="150" t="s">
        <v>302</v>
      </c>
      <c r="I8" s="128" t="str">
        <f t="shared" si="2"/>
        <v>[effect:enemy_message, val1:1.2, val2:2.6]</v>
      </c>
      <c r="J8" s="128">
        <f t="shared" si="3"/>
        <v>9</v>
      </c>
      <c r="K8" s="128">
        <f t="shared" si="4"/>
        <v>22</v>
      </c>
      <c r="L8" s="128" t="e">
        <f t="shared" si="5"/>
        <v>#VALUE!</v>
      </c>
      <c r="M8" s="128">
        <f t="shared" si="6"/>
        <v>32</v>
      </c>
      <c r="N8" s="128" t="str">
        <f>IFERROR(VLOOKUP(MID(I8,L8,M8-L8),[6]skilldef!$C:$D,2,FALSE),"-") &amp; " / " &amp; IFERROR(VLOOKUP(MID(I8,J8,K8-J8),[6]skilldef!$A:$B,2,FALSE),"-")</f>
        <v>- / -</v>
      </c>
      <c r="O8" s="128" t="str">
        <f t="shared" si="7"/>
        <v>[effect:critical, val:1.2, animation:enemy_critical]</v>
      </c>
      <c r="P8" s="125" t="str">
        <f>IFERROR(LEFT(O8,FIND("],",O8)+#REF!),O8)</f>
        <v>[effect:critical, val:1.2, animation:enemy_critical]</v>
      </c>
      <c r="Q8" s="128">
        <f t="shared" si="8"/>
        <v>9</v>
      </c>
      <c r="R8" s="128">
        <f t="shared" si="9"/>
        <v>17</v>
      </c>
      <c r="S8" s="128" t="e">
        <f t="shared" si="10"/>
        <v>#VALUE!</v>
      </c>
      <c r="T8" s="128">
        <f t="shared" si="11"/>
        <v>26</v>
      </c>
      <c r="U8" s="128" t="str">
        <f>IFERROR(VLOOKUP(MID(P8,S8,T8-S8),[6]skilldef!$C:$D,2,FALSE),"-") &amp; " / " &amp; IFERROR(VLOOKUP(MID(P8,Q8,R8-Q8),[6]skilldef!$A:$B,2,FALSE),"-")</f>
        <v>- / 大攻撃</v>
      </c>
      <c r="V8" s="125" t="str">
        <f t="shared" si="12"/>
        <v>none</v>
      </c>
      <c r="W8" s="128" t="e">
        <f t="shared" si="13"/>
        <v>#VALUE!</v>
      </c>
      <c r="X8" s="128">
        <f t="shared" si="14"/>
        <v>4</v>
      </c>
      <c r="Y8" s="128" t="e">
        <f t="shared" si="15"/>
        <v>#VALUE!</v>
      </c>
      <c r="Z8" s="128" t="e">
        <f t="shared" si="16"/>
        <v>#VALUE!</v>
      </c>
      <c r="AA8" s="128" t="str">
        <f>IFERROR(VLOOKUP(MID(V8,Y8,Z8-Y8),[6]skilldef!$C:$D,2,FALSE),"-") &amp; " / " &amp; IFERROR(VLOOKUP(MID(V8,W8,X8-W8),[6]skilldef!$A:$B,2,FALSE),"-")</f>
        <v>- / -</v>
      </c>
      <c r="AB8" s="127"/>
      <c r="AC8" s="129"/>
      <c r="AD8" s="127"/>
      <c r="AE8" s="130" t="s">
        <v>313</v>
      </c>
      <c r="AF8" s="131"/>
    </row>
    <row r="9" spans="1:32" s="132" customFormat="1" ht="33" customHeight="1" x14ac:dyDescent="0.15">
      <c r="A9" s="200">
        <f t="shared" si="0"/>
        <v>40046507</v>
      </c>
      <c r="B9" s="47" t="str">
        <f t="shared" si="1"/>
        <v>[effect:enemy_message, val1:1.3, val2:1.3],[effect:break_attack_fix, target:unit_all, val:75, lowest_val:150, count:-1, block01:block_yellow]</v>
      </c>
      <c r="C9" s="223">
        <v>3</v>
      </c>
      <c r="D9" s="49" t="s">
        <v>126</v>
      </c>
      <c r="E9" s="100"/>
      <c r="F9" s="193" t="s">
        <v>542</v>
      </c>
      <c r="G9" s="150" t="s">
        <v>272</v>
      </c>
      <c r="H9" s="150" t="s">
        <v>301</v>
      </c>
      <c r="I9" s="128" t="str">
        <f t="shared" si="2"/>
        <v>[effect:enemy_message, val1:1.3, val2:1.3]</v>
      </c>
      <c r="J9" s="128">
        <f t="shared" si="3"/>
        <v>9</v>
      </c>
      <c r="K9" s="128">
        <f t="shared" si="4"/>
        <v>22</v>
      </c>
      <c r="L9" s="128" t="e">
        <f t="shared" si="5"/>
        <v>#VALUE!</v>
      </c>
      <c r="M9" s="128">
        <f t="shared" si="6"/>
        <v>32</v>
      </c>
      <c r="N9" s="128" t="str">
        <f>IFERROR(VLOOKUP(MID(I9,L9,M9-L9),[6]skilldef!$C:$D,2,FALSE),"-") &amp; " / " &amp; IFERROR(VLOOKUP(MID(I9,J9,K9-J9),[6]skilldef!$A:$B,2,FALSE),"-")</f>
        <v>- / -</v>
      </c>
      <c r="O9" s="128" t="str">
        <f t="shared" si="7"/>
        <v>[effect:break_attack_fix, target:unit_all, val:75, lowest_val:150, count:-1, block01:block_yellow]</v>
      </c>
      <c r="P9" s="125" t="str">
        <f>IFERROR(LEFT(O9,FIND("],",O9)+#REF!),O9)</f>
        <v>[effect:break_attack_fix, target:unit_all, val:75, lowest_val:150, count:-1, block01:block_yellow]</v>
      </c>
      <c r="Q9" s="128">
        <f t="shared" si="8"/>
        <v>9</v>
      </c>
      <c r="R9" s="128">
        <f t="shared" si="9"/>
        <v>25</v>
      </c>
      <c r="S9" s="128">
        <f t="shared" si="10"/>
        <v>34</v>
      </c>
      <c r="T9" s="128">
        <f t="shared" si="11"/>
        <v>42</v>
      </c>
      <c r="U9" s="128" t="str">
        <f>IFERROR(VLOOKUP(MID(P9,S9,T9-S9),[6]skilldef!$C:$D,2,FALSE),"-") &amp; " / " &amp; IFERROR(VLOOKUP(MID(P9,Q9,R9-Q9),[6]skilldef!$A:$B,2,FALSE),"-")</f>
        <v>味方全体に / -</v>
      </c>
      <c r="V9" s="125" t="str">
        <f t="shared" si="12"/>
        <v>none</v>
      </c>
      <c r="W9" s="128" t="e">
        <f t="shared" si="13"/>
        <v>#VALUE!</v>
      </c>
      <c r="X9" s="128">
        <f t="shared" si="14"/>
        <v>4</v>
      </c>
      <c r="Y9" s="128" t="e">
        <f t="shared" si="15"/>
        <v>#VALUE!</v>
      </c>
      <c r="Z9" s="128" t="e">
        <f t="shared" si="16"/>
        <v>#VALUE!</v>
      </c>
      <c r="AA9" s="128" t="str">
        <f>IFERROR(VLOOKUP(MID(V9,Y9,Z9-Y9),[6]skilldef!$C:$D,2,FALSE),"-") &amp; " / " &amp; IFERROR(VLOOKUP(MID(V9,W9,X9-W9),[6]skilldef!$A:$B,2,FALSE),"-")</f>
        <v>- / -</v>
      </c>
      <c r="AB9" s="127"/>
      <c r="AC9" s="129"/>
      <c r="AD9" s="127"/>
      <c r="AE9" s="206" t="s">
        <v>416</v>
      </c>
      <c r="AF9" s="131"/>
    </row>
    <row r="10" spans="1:32" s="132" customFormat="1" ht="33" customHeight="1" x14ac:dyDescent="0.15">
      <c r="A10" s="200">
        <f t="shared" si="0"/>
        <v>40046508</v>
      </c>
      <c r="B10" s="47" t="str">
        <f t="shared" si="1"/>
        <v>[effect:enemy_message, val1:1.2, val2:1.2],[effect:spread, val:0.3]</v>
      </c>
      <c r="C10" s="223">
        <v>3</v>
      </c>
      <c r="D10" s="49" t="s">
        <v>126</v>
      </c>
      <c r="E10" s="100"/>
      <c r="F10" s="193" t="s">
        <v>405</v>
      </c>
      <c r="G10" s="150" t="s">
        <v>273</v>
      </c>
      <c r="H10" s="150" t="s">
        <v>254</v>
      </c>
      <c r="I10" s="128" t="str">
        <f t="shared" si="2"/>
        <v>[effect:enemy_message, val1:1.2, val2:1.2]</v>
      </c>
      <c r="J10" s="128">
        <f t="shared" si="3"/>
        <v>9</v>
      </c>
      <c r="K10" s="128">
        <f t="shared" si="4"/>
        <v>22</v>
      </c>
      <c r="L10" s="128" t="e">
        <f t="shared" si="5"/>
        <v>#VALUE!</v>
      </c>
      <c r="M10" s="128">
        <f t="shared" si="6"/>
        <v>32</v>
      </c>
      <c r="N10" s="128" t="str">
        <f>IFERROR(VLOOKUP(MID(I10,L10,M10-L10),[6]skilldef!$C:$D,2,FALSE),"-") &amp; " / " &amp; IFERROR(VLOOKUP(MID(I10,J10,K10-J10),[6]skilldef!$A:$B,2,FALSE),"-")</f>
        <v>- / -</v>
      </c>
      <c r="O10" s="128" t="str">
        <f t="shared" si="7"/>
        <v>[effect:spread, val:0.3]</v>
      </c>
      <c r="P10" s="125" t="str">
        <f>IFERROR(LEFT(O10,FIND("],",O10)+#REF!),O10)</f>
        <v>[effect:spread, val:0.3]</v>
      </c>
      <c r="Q10" s="128">
        <f t="shared" si="8"/>
        <v>9</v>
      </c>
      <c r="R10" s="128">
        <f t="shared" si="9"/>
        <v>15</v>
      </c>
      <c r="S10" s="128" t="e">
        <f t="shared" si="10"/>
        <v>#VALUE!</v>
      </c>
      <c r="T10" s="128" t="e">
        <f t="shared" si="11"/>
        <v>#VALUE!</v>
      </c>
      <c r="U10" s="128" t="str">
        <f>IFERROR(VLOOKUP(MID(P10,S10,T10-S10),[6]skilldef!$C:$D,2,FALSE),"-") &amp; " / " &amp; IFERROR(VLOOKUP(MID(P10,Q10,R10-Q10),[6]skilldef!$A:$B,2,FALSE),"-")</f>
        <v>- / 全体攻撃</v>
      </c>
      <c r="V10" s="125" t="str">
        <f t="shared" si="12"/>
        <v>none</v>
      </c>
      <c r="W10" s="128" t="e">
        <f t="shared" si="13"/>
        <v>#VALUE!</v>
      </c>
      <c r="X10" s="128">
        <f t="shared" si="14"/>
        <v>4</v>
      </c>
      <c r="Y10" s="128" t="e">
        <f t="shared" si="15"/>
        <v>#VALUE!</v>
      </c>
      <c r="Z10" s="128" t="e">
        <f t="shared" si="16"/>
        <v>#VALUE!</v>
      </c>
      <c r="AA10" s="128" t="str">
        <f>IFERROR(VLOOKUP(MID(V10,Y10,Z10-Y10),[6]skilldef!$C:$D,2,FALSE),"-") &amp; " / " &amp; IFERROR(VLOOKUP(MID(V10,W10,X10-W10),[6]skilldef!$A:$B,2,FALSE),"-")</f>
        <v>- / -</v>
      </c>
      <c r="AB10" s="127"/>
      <c r="AC10" s="129"/>
      <c r="AD10" s="127"/>
      <c r="AE10" s="130" t="s">
        <v>314</v>
      </c>
      <c r="AF10" s="131"/>
    </row>
    <row r="11" spans="1:32" s="132" customFormat="1" ht="33" customHeight="1" x14ac:dyDescent="0.15">
      <c r="A11" s="200">
        <f t="shared" si="0"/>
        <v>40046509</v>
      </c>
      <c r="B11" s="47" t="str">
        <f t="shared" si="1"/>
        <v>[effect:enemy_message, val1:1.2, val2:1.6],[effect:enemy_counter, target:myself, invoke_condition:unit_all, counter_target:attacker, turn:1, val:0.3, animation:enemy_counter]</v>
      </c>
      <c r="C11" s="223">
        <v>3</v>
      </c>
      <c r="D11" s="49" t="s">
        <v>126</v>
      </c>
      <c r="E11" s="100"/>
      <c r="F11" s="193" t="s">
        <v>381</v>
      </c>
      <c r="G11" s="150" t="s">
        <v>274</v>
      </c>
      <c r="H11" s="150" t="s">
        <v>319</v>
      </c>
      <c r="I11" s="128" t="str">
        <f t="shared" si="2"/>
        <v>[effect:enemy_message, val1:1.2, val2:1.6]</v>
      </c>
      <c r="J11" s="128">
        <f t="shared" si="3"/>
        <v>9</v>
      </c>
      <c r="K11" s="128">
        <f t="shared" si="4"/>
        <v>22</v>
      </c>
      <c r="L11" s="128" t="e">
        <f t="shared" si="5"/>
        <v>#VALUE!</v>
      </c>
      <c r="M11" s="128">
        <f t="shared" si="6"/>
        <v>32</v>
      </c>
      <c r="N11" s="128" t="str">
        <f>IFERROR(VLOOKUP(MID(I11,L11,M11-L11),[6]skilldef!$C:$D,2,FALSE),"-") &amp; " / " &amp; IFERROR(VLOOKUP(MID(I11,J11,K11-J11),[6]skilldef!$A:$B,2,FALSE),"-")</f>
        <v>- / -</v>
      </c>
      <c r="O11" s="128" t="str">
        <f t="shared" si="7"/>
        <v>[effect:enemy_counter, target:myself, invoke_condition:unit_all, counter_target:attacker, turn:1, val:0.3, animation:enemy_counter]</v>
      </c>
      <c r="P11" s="125" t="str">
        <f>IFERROR(LEFT(O11,FIND("],",O11)+#REF!),O11)</f>
        <v>[effect:enemy_counter, target:myself, invoke_condition:unit_all, counter_target:attacker, turn:1, val:0.3, animation:enemy_counter]</v>
      </c>
      <c r="Q11" s="128">
        <f t="shared" si="8"/>
        <v>9</v>
      </c>
      <c r="R11" s="128">
        <f t="shared" si="9"/>
        <v>22</v>
      </c>
      <c r="S11" s="128">
        <f t="shared" si="10"/>
        <v>31</v>
      </c>
      <c r="T11" s="128">
        <f t="shared" si="11"/>
        <v>37</v>
      </c>
      <c r="U11" s="128" t="str">
        <f>IFERROR(VLOOKUP(MID(P11,S11,T11-S11),[6]skilldef!$C:$D,2,FALSE),"-") &amp; " / " &amp; IFERROR(VLOOKUP(MID(P11,Q11,R11-Q11),[6]skilldef!$A:$B,2,FALSE),"-")</f>
        <v>自分自身に / カウンター</v>
      </c>
      <c r="V11" s="125" t="str">
        <f t="shared" si="12"/>
        <v>none</v>
      </c>
      <c r="W11" s="128" t="e">
        <f t="shared" si="13"/>
        <v>#VALUE!</v>
      </c>
      <c r="X11" s="128">
        <f t="shared" si="14"/>
        <v>4</v>
      </c>
      <c r="Y11" s="128" t="e">
        <f t="shared" si="15"/>
        <v>#VALUE!</v>
      </c>
      <c r="Z11" s="128" t="e">
        <f t="shared" si="16"/>
        <v>#VALUE!</v>
      </c>
      <c r="AA11" s="128" t="str">
        <f>IFERROR(VLOOKUP(MID(V11,Y11,Z11-Y11),[6]skilldef!$C:$D,2,FALSE),"-") &amp; " / " &amp; IFERROR(VLOOKUP(MID(V11,W11,X11-W11),[6]skilldef!$A:$B,2,FALSE),"-")</f>
        <v>- / -</v>
      </c>
      <c r="AB11" s="127"/>
      <c r="AC11" s="129"/>
      <c r="AD11" s="127"/>
      <c r="AE11" s="130" t="s">
        <v>371</v>
      </c>
      <c r="AF11" s="131"/>
    </row>
    <row r="12" spans="1:32" s="132" customFormat="1" ht="33" customHeight="1" x14ac:dyDescent="0.15">
      <c r="A12" s="200">
        <f t="shared" si="0"/>
        <v>40046510</v>
      </c>
      <c r="B12" s="47" t="str">
        <f t="shared" si="1"/>
        <v>[effect:enemy_message, val1:1.2, val2:1.2],[effect:panel_freeze, target:normal, color:block_yellow, count:-1]</v>
      </c>
      <c r="C12" s="223">
        <v>3</v>
      </c>
      <c r="D12" s="49" t="s">
        <v>126</v>
      </c>
      <c r="E12" s="100"/>
      <c r="F12" s="193" t="s">
        <v>383</v>
      </c>
      <c r="G12" s="150" t="s">
        <v>275</v>
      </c>
      <c r="H12" s="150" t="s">
        <v>300</v>
      </c>
      <c r="I12" s="128" t="str">
        <f t="shared" si="2"/>
        <v>[effect:enemy_message, val1:1.2, val2:1.2]</v>
      </c>
      <c r="J12" s="128">
        <f t="shared" si="3"/>
        <v>9</v>
      </c>
      <c r="K12" s="128">
        <f t="shared" si="4"/>
        <v>22</v>
      </c>
      <c r="L12" s="128" t="e">
        <f t="shared" si="5"/>
        <v>#VALUE!</v>
      </c>
      <c r="M12" s="128">
        <f t="shared" si="6"/>
        <v>32</v>
      </c>
      <c r="N12" s="128" t="str">
        <f>IFERROR(VLOOKUP(MID(I12,L12,M12-L12),[6]skilldef!$C:$D,2,FALSE),"-") &amp; " / " &amp; IFERROR(VLOOKUP(MID(I12,J12,K12-J12),[6]skilldef!$A:$B,2,FALSE),"-")</f>
        <v>- / -</v>
      </c>
      <c r="O12" s="128" t="str">
        <f t="shared" si="7"/>
        <v>[effect:panel_freeze, target:normal, color:block_yellow, count:-1]</v>
      </c>
      <c r="P12" s="125" t="str">
        <f>IFERROR(LEFT(O12,FIND("],",O12)+#REF!),O12)</f>
        <v>[effect:panel_freeze, target:normal, color:block_yellow, count:-1]</v>
      </c>
      <c r="Q12" s="128">
        <f t="shared" si="8"/>
        <v>9</v>
      </c>
      <c r="R12" s="128">
        <f t="shared" si="9"/>
        <v>21</v>
      </c>
      <c r="S12" s="128">
        <f t="shared" si="10"/>
        <v>30</v>
      </c>
      <c r="T12" s="128">
        <f t="shared" si="11"/>
        <v>36</v>
      </c>
      <c r="U12" s="128" t="str">
        <f>IFERROR(VLOOKUP(MID(P12,S12,T12-S12),[6]skilldef!$C:$D,2,FALSE),"-") &amp; " / " &amp; IFERROR(VLOOKUP(MID(P12,Q12,R12-Q12),[6]skilldef!$A:$B,2,FALSE),"-")</f>
        <v>- / -</v>
      </c>
      <c r="V12" s="125" t="str">
        <f t="shared" si="12"/>
        <v>none</v>
      </c>
      <c r="W12" s="128" t="e">
        <f t="shared" si="13"/>
        <v>#VALUE!</v>
      </c>
      <c r="X12" s="128">
        <f t="shared" si="14"/>
        <v>4</v>
      </c>
      <c r="Y12" s="128" t="e">
        <f t="shared" si="15"/>
        <v>#VALUE!</v>
      </c>
      <c r="Z12" s="128" t="e">
        <f t="shared" si="16"/>
        <v>#VALUE!</v>
      </c>
      <c r="AA12" s="128" t="str">
        <f>IFERROR(VLOOKUP(MID(V12,Y12,Z12-Y12),[6]skilldef!$C:$D,2,FALSE),"-") &amp; " / " &amp; IFERROR(VLOOKUP(MID(V12,W12,X12-W12),[6]skilldef!$A:$B,2,FALSE),"-")</f>
        <v>- / -</v>
      </c>
      <c r="AB12" s="127"/>
      <c r="AC12" s="129"/>
      <c r="AD12" s="127"/>
      <c r="AE12" s="130" t="s">
        <v>315</v>
      </c>
      <c r="AF12" s="131"/>
    </row>
    <row r="13" spans="1:32" s="132" customFormat="1" ht="33" customHeight="1" x14ac:dyDescent="0.15">
      <c r="A13" s="199">
        <f t="shared" si="0"/>
        <v>40046511</v>
      </c>
      <c r="B13" s="47" t="str">
        <f t="shared" si="1"/>
        <v>[effect:enemy_message, val1:1.2, val2:1.7],[effect:break_attack_fix, target:unit_one, val:100, lowest_val:571, count:6, block01:block_blue]</v>
      </c>
      <c r="C13" s="223">
        <v>3</v>
      </c>
      <c r="D13" s="49" t="s">
        <v>126</v>
      </c>
      <c r="E13" s="100"/>
      <c r="F13" s="192" t="s">
        <v>365</v>
      </c>
      <c r="G13" s="150" t="s">
        <v>266</v>
      </c>
      <c r="H13" s="150" t="s">
        <v>341</v>
      </c>
      <c r="I13" s="128" t="str">
        <f t="shared" si="2"/>
        <v>[effect:enemy_message, val1:1.2, val2:1.7]</v>
      </c>
      <c r="J13" s="128">
        <f t="shared" si="3"/>
        <v>9</v>
      </c>
      <c r="K13" s="128">
        <f t="shared" si="4"/>
        <v>22</v>
      </c>
      <c r="L13" s="128" t="e">
        <f t="shared" si="5"/>
        <v>#VALUE!</v>
      </c>
      <c r="M13" s="128">
        <f t="shared" si="6"/>
        <v>32</v>
      </c>
      <c r="N13" s="128" t="str">
        <f>IFERROR(VLOOKUP(MID(I13,L13,M13-L13),[6]skilldef!$C:$D,2,FALSE),"-") &amp; " / " &amp; IFERROR(VLOOKUP(MID(I13,J13,K13-J13),[6]skilldef!$A:$B,2,FALSE),"-")</f>
        <v>- / -</v>
      </c>
      <c r="O13" s="128" t="str">
        <f t="shared" si="7"/>
        <v>[effect:break_attack_fix, target:unit_one, val:100, lowest_val:571, count:6, block01:block_blue]</v>
      </c>
      <c r="P13" s="125" t="str">
        <f>IFERROR(LEFT(O13,FIND("],",O13)+#REF!),O13)</f>
        <v>[effect:break_attack_fix, target:unit_one, val:100, lowest_val:571, count:6, block01:block_blue]</v>
      </c>
      <c r="Q13" s="128">
        <f t="shared" si="8"/>
        <v>9</v>
      </c>
      <c r="R13" s="128">
        <f t="shared" si="9"/>
        <v>25</v>
      </c>
      <c r="S13" s="128">
        <f t="shared" si="10"/>
        <v>34</v>
      </c>
      <c r="T13" s="128">
        <f t="shared" si="11"/>
        <v>42</v>
      </c>
      <c r="U13" s="128" t="str">
        <f>IFERROR(VLOOKUP(MID(P13,S13,T13-S13),[6]skilldef!$C:$D,2,FALSE),"-") &amp; " / " &amp; IFERROR(VLOOKUP(MID(P13,Q13,R13-Q13),[6]skilldef!$A:$B,2,FALSE),"-")</f>
        <v>味方単体に / -</v>
      </c>
      <c r="V13" s="125" t="str">
        <f t="shared" si="12"/>
        <v>none</v>
      </c>
      <c r="W13" s="128" t="e">
        <f t="shared" si="13"/>
        <v>#VALUE!</v>
      </c>
      <c r="X13" s="128">
        <f t="shared" si="14"/>
        <v>4</v>
      </c>
      <c r="Y13" s="128" t="e">
        <f t="shared" si="15"/>
        <v>#VALUE!</v>
      </c>
      <c r="Z13" s="128" t="e">
        <f t="shared" si="16"/>
        <v>#VALUE!</v>
      </c>
      <c r="AA13" s="128" t="str">
        <f>IFERROR(VLOOKUP(MID(V13,Y13,Z13-Y13),[6]skilldef!$C:$D,2,FALSE),"-") &amp; " / " &amp; IFERROR(VLOOKUP(MID(V13,W13,X13-W13),[6]skilldef!$A:$B,2,FALSE),"-")</f>
        <v>- / -</v>
      </c>
      <c r="AB13" s="127"/>
      <c r="AC13" s="129"/>
      <c r="AD13" s="127"/>
      <c r="AE13" s="206" t="s">
        <v>414</v>
      </c>
      <c r="AF13" s="131"/>
    </row>
    <row r="14" spans="1:32" s="132" customFormat="1" ht="33" customHeight="1" x14ac:dyDescent="0.15">
      <c r="A14" s="199">
        <f t="shared" si="0"/>
        <v>40046512</v>
      </c>
      <c r="B14" s="47" t="str">
        <f t="shared" si="1"/>
        <v>[effect:enemy_message, val1:1.2, val2:1.7],[effect:break_attack_fix, target:unit_one, val:100, lowest_val:571, count:6, block01:block_blue]</v>
      </c>
      <c r="C14" s="223">
        <v>3</v>
      </c>
      <c r="D14" s="49" t="s">
        <v>126</v>
      </c>
      <c r="E14" s="100"/>
      <c r="F14" s="192" t="s">
        <v>365</v>
      </c>
      <c r="G14" s="150" t="s">
        <v>269</v>
      </c>
      <c r="H14" s="150" t="s">
        <v>341</v>
      </c>
      <c r="I14" s="128" t="str">
        <f t="shared" si="2"/>
        <v>[effect:enemy_message, val1:1.2, val2:1.7]</v>
      </c>
      <c r="J14" s="128">
        <f t="shared" si="3"/>
        <v>9</v>
      </c>
      <c r="K14" s="128">
        <f t="shared" si="4"/>
        <v>22</v>
      </c>
      <c r="L14" s="128" t="e">
        <f t="shared" si="5"/>
        <v>#VALUE!</v>
      </c>
      <c r="M14" s="128">
        <f t="shared" si="6"/>
        <v>32</v>
      </c>
      <c r="N14" s="128" t="str">
        <f>IFERROR(VLOOKUP(MID(I14,L14,M14-L14),[6]skilldef!$C:$D,2,FALSE),"-") &amp; " / " &amp; IFERROR(VLOOKUP(MID(I14,J14,K14-J14),[6]skilldef!$A:$B,2,FALSE),"-")</f>
        <v>- / -</v>
      </c>
      <c r="O14" s="128" t="str">
        <f t="shared" si="7"/>
        <v>[effect:break_attack_fix, target:unit_one, val:100, lowest_val:571, count:6, block01:block_blue]</v>
      </c>
      <c r="P14" s="125" t="str">
        <f>IFERROR(LEFT(O14,FIND("],",O14)+#REF!),O14)</f>
        <v>[effect:break_attack_fix, target:unit_one, val:100, lowest_val:571, count:6, block01:block_blue]</v>
      </c>
      <c r="Q14" s="128">
        <f t="shared" si="8"/>
        <v>9</v>
      </c>
      <c r="R14" s="128">
        <f t="shared" si="9"/>
        <v>25</v>
      </c>
      <c r="S14" s="128">
        <f t="shared" si="10"/>
        <v>34</v>
      </c>
      <c r="T14" s="128">
        <f t="shared" si="11"/>
        <v>42</v>
      </c>
      <c r="U14" s="128" t="str">
        <f>IFERROR(VLOOKUP(MID(P14,S14,T14-S14),[6]skilldef!$C:$D,2,FALSE),"-") &amp; " / " &amp; IFERROR(VLOOKUP(MID(P14,Q14,R14-Q14),[6]skilldef!$A:$B,2,FALSE),"-")</f>
        <v>味方単体に / -</v>
      </c>
      <c r="V14" s="125" t="str">
        <f t="shared" si="12"/>
        <v>none</v>
      </c>
      <c r="W14" s="128" t="e">
        <f t="shared" si="13"/>
        <v>#VALUE!</v>
      </c>
      <c r="X14" s="128">
        <f t="shared" si="14"/>
        <v>4</v>
      </c>
      <c r="Y14" s="128" t="e">
        <f t="shared" si="15"/>
        <v>#VALUE!</v>
      </c>
      <c r="Z14" s="128" t="e">
        <f t="shared" si="16"/>
        <v>#VALUE!</v>
      </c>
      <c r="AA14" s="128" t="str">
        <f>IFERROR(VLOOKUP(MID(V14,Y14,Z14-Y14),[6]skilldef!$C:$D,2,FALSE),"-") &amp; " / " &amp; IFERROR(VLOOKUP(MID(V14,W14,X14-W14),[6]skilldef!$A:$B,2,FALSE),"-")</f>
        <v>- / -</v>
      </c>
      <c r="AB14" s="127"/>
      <c r="AC14" s="129"/>
      <c r="AD14" s="127"/>
      <c r="AE14" s="206" t="s">
        <v>414</v>
      </c>
      <c r="AF14" s="131"/>
    </row>
    <row r="15" spans="1:32" s="132" customFormat="1" ht="33" customHeight="1" x14ac:dyDescent="0.15">
      <c r="A15" s="199">
        <f t="shared" si="0"/>
        <v>40046513</v>
      </c>
      <c r="B15" s="47" t="str">
        <f t="shared" si="1"/>
        <v>[effect:enemy_message, val1:1.2, val2:1.2],[effect:critical, val:1.2, animation:enemy_critical]</v>
      </c>
      <c r="C15" s="223">
        <v>3</v>
      </c>
      <c r="D15" s="49" t="s">
        <v>126</v>
      </c>
      <c r="E15" s="100"/>
      <c r="F15" s="192" t="s">
        <v>367</v>
      </c>
      <c r="G15" s="151">
        <v>0.5</v>
      </c>
      <c r="H15" s="150" t="s">
        <v>298</v>
      </c>
      <c r="I15" s="128" t="str">
        <f t="shared" si="2"/>
        <v>[effect:enemy_message, val1:1.2, val2:1.2]</v>
      </c>
      <c r="J15" s="128">
        <f t="shared" si="3"/>
        <v>9</v>
      </c>
      <c r="K15" s="128">
        <f t="shared" si="4"/>
        <v>22</v>
      </c>
      <c r="L15" s="128" t="e">
        <f t="shared" si="5"/>
        <v>#VALUE!</v>
      </c>
      <c r="M15" s="128">
        <f t="shared" si="6"/>
        <v>32</v>
      </c>
      <c r="N15" s="128" t="str">
        <f>IFERROR(VLOOKUP(MID(I15,L15,M15-L15),[6]skilldef!$C:$D,2,FALSE),"-") &amp; " / " &amp; IFERROR(VLOOKUP(MID(I15,J15,K15-J15),[6]skilldef!$A:$B,2,FALSE),"-")</f>
        <v>- / -</v>
      </c>
      <c r="O15" s="128" t="str">
        <f t="shared" si="7"/>
        <v>[effect:critical, val:1.2, animation:enemy_critical]</v>
      </c>
      <c r="P15" s="125" t="str">
        <f>IFERROR(LEFT(O15,FIND("],",O15)+#REF!),O15)</f>
        <v>[effect:critical, val:1.2, animation:enemy_critical]</v>
      </c>
      <c r="Q15" s="128">
        <f t="shared" si="8"/>
        <v>9</v>
      </c>
      <c r="R15" s="128">
        <f t="shared" si="9"/>
        <v>17</v>
      </c>
      <c r="S15" s="128" t="e">
        <f t="shared" si="10"/>
        <v>#VALUE!</v>
      </c>
      <c r="T15" s="128">
        <f t="shared" si="11"/>
        <v>26</v>
      </c>
      <c r="U15" s="128" t="str">
        <f>IFERROR(VLOOKUP(MID(P15,S15,T15-S15),[6]skilldef!$C:$D,2,FALSE),"-") &amp; " / " &amp; IFERROR(VLOOKUP(MID(P15,Q15,R15-Q15),[6]skilldef!$A:$B,2,FALSE),"-")</f>
        <v>- / 大攻撃</v>
      </c>
      <c r="V15" s="125" t="str">
        <f t="shared" si="12"/>
        <v>none</v>
      </c>
      <c r="W15" s="128" t="e">
        <f t="shared" si="13"/>
        <v>#VALUE!</v>
      </c>
      <c r="X15" s="128">
        <f t="shared" si="14"/>
        <v>4</v>
      </c>
      <c r="Y15" s="128" t="e">
        <f t="shared" si="15"/>
        <v>#VALUE!</v>
      </c>
      <c r="Z15" s="128" t="e">
        <f t="shared" si="16"/>
        <v>#VALUE!</v>
      </c>
      <c r="AA15" s="128" t="str">
        <f>IFERROR(VLOOKUP(MID(V15,Y15,Z15-Y15),[6]skilldef!$C:$D,2,FALSE),"-") &amp; " / " &amp; IFERROR(VLOOKUP(MID(V15,W15,X15-W15),[6]skilldef!$A:$B,2,FALSE),"-")</f>
        <v>- / -</v>
      </c>
      <c r="AB15" s="127"/>
      <c r="AC15" s="129"/>
      <c r="AD15" s="127"/>
      <c r="AE15" s="130" t="s">
        <v>313</v>
      </c>
      <c r="AF15" s="131"/>
    </row>
    <row r="16" spans="1:32" s="132" customFormat="1" ht="33" customHeight="1" x14ac:dyDescent="0.15">
      <c r="A16" s="201">
        <f t="shared" si="0"/>
        <v>40046520</v>
      </c>
      <c r="B16" s="47" t="str">
        <f t="shared" si="1"/>
        <v>[effect:enemy_message, val1:1.2, val2:3.9],[effect:drop_freeze, turn:-1, block_type:normal, block_color:block_yellow, rate:0.5, animation:drop_protect],[effect:fix_speed, target:myself, turn:1]</v>
      </c>
      <c r="C16" s="223">
        <v>3</v>
      </c>
      <c r="D16" s="49" t="s">
        <v>126</v>
      </c>
      <c r="E16" s="100"/>
      <c r="F16" s="194" t="s">
        <v>385</v>
      </c>
      <c r="G16" s="150" t="s">
        <v>270</v>
      </c>
      <c r="H16" s="150" t="s">
        <v>446</v>
      </c>
      <c r="I16" s="128" t="str">
        <f t="shared" si="2"/>
        <v>[effect:enemy_message, val1:1.2, val2:3.9]</v>
      </c>
      <c r="J16" s="128">
        <f t="shared" si="3"/>
        <v>9</v>
      </c>
      <c r="K16" s="128">
        <f t="shared" si="4"/>
        <v>22</v>
      </c>
      <c r="L16" s="128" t="e">
        <f t="shared" si="5"/>
        <v>#VALUE!</v>
      </c>
      <c r="M16" s="128">
        <f t="shared" si="6"/>
        <v>32</v>
      </c>
      <c r="N16" s="128" t="str">
        <f>IFERROR(VLOOKUP(MID(I16,L16,M16-L16),[6]skilldef!$C:$D,2,FALSE),"-") &amp; " / " &amp; IFERROR(VLOOKUP(MID(I16,J16,K16-J16),[6]skilldef!$A:$B,2,FALSE),"-")</f>
        <v>- / -</v>
      </c>
      <c r="O16" s="128" t="str">
        <f t="shared" si="7"/>
        <v>[effect:drop_freeze, turn:-1, block_type:normal, block_color:block_yellow, rate:0.5, animation:drop_protect],[effect:fix_speed, target:myself, turn:1]</v>
      </c>
      <c r="P16" s="125" t="str">
        <f>IFERROR(LEFT(O16,FIND("],",O16)+#REF!),O16)</f>
        <v>[effect:drop_freeze, turn:-1, block_type:normal, block_color:block_yellow, rate:0.5, animation:drop_protect],[effect:fix_speed, target:myself, turn:1]</v>
      </c>
      <c r="Q16" s="128">
        <f t="shared" si="8"/>
        <v>9</v>
      </c>
      <c r="R16" s="128">
        <f t="shared" si="9"/>
        <v>20</v>
      </c>
      <c r="S16" s="128">
        <f t="shared" si="10"/>
        <v>136</v>
      </c>
      <c r="T16" s="128">
        <f t="shared" si="11"/>
        <v>29</v>
      </c>
      <c r="U16" s="128" t="str">
        <f>IFERROR(VLOOKUP(MID(P16,S16,T16-S16),[6]skilldef!$C:$D,2,FALSE),"-") &amp; " / " &amp; IFERROR(VLOOKUP(MID(P16,Q16,R16-Q16),[6]skilldef!$A:$B,2,FALSE),"-")</f>
        <v>- / -</v>
      </c>
      <c r="V16" s="125" t="str">
        <f t="shared" si="12"/>
        <v>[effect:fix_speed, target:myself, turn:1]</v>
      </c>
      <c r="W16" s="128">
        <f t="shared" si="13"/>
        <v>9</v>
      </c>
      <c r="X16" s="128">
        <f t="shared" si="14"/>
        <v>18</v>
      </c>
      <c r="Y16" s="128">
        <f t="shared" si="15"/>
        <v>27</v>
      </c>
      <c r="Z16" s="128">
        <f t="shared" si="16"/>
        <v>33</v>
      </c>
      <c r="AA16" s="128" t="str">
        <f>IFERROR(VLOOKUP(MID(V16,Y16,Z16-Y16),[6]skilldef!$C:$D,2,FALSE),"-") &amp; " / " &amp; IFERROR(VLOOKUP(MID(V16,W16,X16-W16),[6]skilldef!$A:$B,2,FALSE),"-")</f>
        <v>自分自身に / 行動値設定</v>
      </c>
      <c r="AB16" s="127"/>
      <c r="AC16" s="129"/>
      <c r="AD16" s="127"/>
      <c r="AE16" s="130" t="s">
        <v>343</v>
      </c>
      <c r="AF16" s="131"/>
    </row>
    <row r="17" spans="1:32" s="132" customFormat="1" ht="33" customHeight="1" x14ac:dyDescent="0.15">
      <c r="A17" s="201">
        <f t="shared" si="0"/>
        <v>40046521</v>
      </c>
      <c r="B17" s="47" t="str">
        <f t="shared" si="1"/>
        <v>[effect:enemy_message, val1:1.2, val2:1.5],[effect:damage_fix_absolute, target:unit_all, val:2000]</v>
      </c>
      <c r="C17" s="223">
        <v>3</v>
      </c>
      <c r="D17" s="49" t="s">
        <v>126</v>
      </c>
      <c r="E17" s="100"/>
      <c r="F17" s="194" t="s">
        <v>410</v>
      </c>
      <c r="G17" s="150" t="s">
        <v>278</v>
      </c>
      <c r="H17" s="207" t="s">
        <v>556</v>
      </c>
      <c r="I17" s="128" t="str">
        <f t="shared" si="2"/>
        <v>[effect:enemy_message, val1:1.2, val2:1.5]</v>
      </c>
      <c r="J17" s="128">
        <f t="shared" si="3"/>
        <v>9</v>
      </c>
      <c r="K17" s="128">
        <f t="shared" si="4"/>
        <v>22</v>
      </c>
      <c r="L17" s="128" t="e">
        <f t="shared" si="5"/>
        <v>#VALUE!</v>
      </c>
      <c r="M17" s="128">
        <f t="shared" si="6"/>
        <v>32</v>
      </c>
      <c r="N17" s="128" t="str">
        <f>IFERROR(VLOOKUP(MID(I17,L17,M17-L17),[6]skilldef!$C:$D,2,FALSE),"-") &amp; " / " &amp; IFERROR(VLOOKUP(MID(I17,J17,K17-J17),[6]skilldef!$A:$B,2,FALSE),"-")</f>
        <v>- / -</v>
      </c>
      <c r="O17" s="128" t="str">
        <f t="shared" si="7"/>
        <v>[effect:damage_fix_absolute, target:unit_all, val:2000]</v>
      </c>
      <c r="P17" s="125" t="str">
        <f>IFERROR(LEFT(O17,FIND("],",O17)+#REF!),O17)</f>
        <v>[effect:damage_fix_absolute, target:unit_all, val:2000]</v>
      </c>
      <c r="Q17" s="128">
        <f t="shared" si="8"/>
        <v>9</v>
      </c>
      <c r="R17" s="128">
        <f t="shared" si="9"/>
        <v>28</v>
      </c>
      <c r="S17" s="128">
        <f t="shared" si="10"/>
        <v>37</v>
      </c>
      <c r="T17" s="128">
        <f t="shared" si="11"/>
        <v>45</v>
      </c>
      <c r="U17" s="128" t="str">
        <f>IFERROR(VLOOKUP(MID(P17,S17,T17-S17),[6]skilldef!$C:$D,2,FALSE),"-") &amp; " / " &amp; IFERROR(VLOOKUP(MID(P17,Q17,R17-Q17),[6]skilldef!$A:$B,2,FALSE),"-")</f>
        <v>味方全体に / -</v>
      </c>
      <c r="V17" s="125" t="str">
        <f t="shared" si="12"/>
        <v>none</v>
      </c>
      <c r="W17" s="128" t="e">
        <f t="shared" si="13"/>
        <v>#VALUE!</v>
      </c>
      <c r="X17" s="128">
        <f t="shared" si="14"/>
        <v>4</v>
      </c>
      <c r="Y17" s="128" t="e">
        <f t="shared" si="15"/>
        <v>#VALUE!</v>
      </c>
      <c r="Z17" s="128" t="e">
        <f t="shared" si="16"/>
        <v>#VALUE!</v>
      </c>
      <c r="AA17" s="128" t="str">
        <f>IFERROR(VLOOKUP(MID(V17,Y17,Z17-Y17),[6]skilldef!$C:$D,2,FALSE),"-") &amp; " / " &amp; IFERROR(VLOOKUP(MID(V17,W17,X17-W17),[6]skilldef!$A:$B,2,FALSE),"-")</f>
        <v>- / -</v>
      </c>
      <c r="AB17" s="127"/>
      <c r="AC17" s="129"/>
      <c r="AD17" s="127"/>
      <c r="AE17" s="206" t="s">
        <v>417</v>
      </c>
      <c r="AF17" s="131"/>
    </row>
    <row r="18" spans="1:32" s="132" customFormat="1" ht="33" customHeight="1" x14ac:dyDescent="0.15">
      <c r="A18" s="201">
        <f t="shared" si="0"/>
        <v>40046526</v>
      </c>
      <c r="B18" s="47" t="str">
        <f t="shared" si="1"/>
        <v>[effect:enemy_message, val1:1.2, val2:1.5],[effect:damage_fix_absolute, target:unit_all, val:2000]</v>
      </c>
      <c r="C18" s="223">
        <v>3</v>
      </c>
      <c r="D18" s="49" t="s">
        <v>126</v>
      </c>
      <c r="E18" s="100"/>
      <c r="F18" s="194" t="s">
        <v>412</v>
      </c>
      <c r="G18" s="150" t="s">
        <v>278</v>
      </c>
      <c r="H18" s="207" t="s">
        <v>556</v>
      </c>
      <c r="I18" s="128" t="str">
        <f t="shared" si="2"/>
        <v>[effect:enemy_message, val1:1.2, val2:1.5]</v>
      </c>
      <c r="J18" s="128">
        <f t="shared" si="3"/>
        <v>9</v>
      </c>
      <c r="K18" s="128">
        <f t="shared" si="4"/>
        <v>22</v>
      </c>
      <c r="L18" s="128" t="e">
        <f t="shared" si="5"/>
        <v>#VALUE!</v>
      </c>
      <c r="M18" s="128">
        <f t="shared" si="6"/>
        <v>32</v>
      </c>
      <c r="N18" s="128" t="str">
        <f>IFERROR(VLOOKUP(MID(I18,L18,M18-L18),[6]skilldef!$C:$D,2,FALSE),"-") &amp; " / " &amp; IFERROR(VLOOKUP(MID(I18,J18,K18-J18),[6]skilldef!$A:$B,2,FALSE),"-")</f>
        <v>- / -</v>
      </c>
      <c r="O18" s="128" t="str">
        <f t="shared" si="7"/>
        <v>[effect:damage_fix_absolute, target:unit_all, val:2000]</v>
      </c>
      <c r="P18" s="125" t="str">
        <f>IFERROR(LEFT(O18,FIND("],",O18)+#REF!),O18)</f>
        <v>[effect:damage_fix_absolute, target:unit_all, val:2000]</v>
      </c>
      <c r="Q18" s="128">
        <f t="shared" si="8"/>
        <v>9</v>
      </c>
      <c r="R18" s="128">
        <f t="shared" si="9"/>
        <v>28</v>
      </c>
      <c r="S18" s="128">
        <f t="shared" si="10"/>
        <v>37</v>
      </c>
      <c r="T18" s="128">
        <f t="shared" si="11"/>
        <v>45</v>
      </c>
      <c r="U18" s="128" t="str">
        <f>IFERROR(VLOOKUP(MID(P18,S18,T18-S18),[6]skilldef!$C:$D,2,FALSE),"-") &amp; " / " &amp; IFERROR(VLOOKUP(MID(P18,Q18,R18-Q18),[6]skilldef!$A:$B,2,FALSE),"-")</f>
        <v>味方全体に / -</v>
      </c>
      <c r="V18" s="125" t="str">
        <f t="shared" si="12"/>
        <v>none</v>
      </c>
      <c r="W18" s="128" t="e">
        <f t="shared" si="13"/>
        <v>#VALUE!</v>
      </c>
      <c r="X18" s="128">
        <f t="shared" si="14"/>
        <v>4</v>
      </c>
      <c r="Y18" s="128" t="e">
        <f t="shared" si="15"/>
        <v>#VALUE!</v>
      </c>
      <c r="Z18" s="128" t="e">
        <f t="shared" si="16"/>
        <v>#VALUE!</v>
      </c>
      <c r="AA18" s="128" t="str">
        <f>IFERROR(VLOOKUP(MID(V18,Y18,Z18-Y18),[6]skilldef!$C:$D,2,FALSE),"-") &amp; " / " &amp; IFERROR(VLOOKUP(MID(V18,W18,X18-W18),[6]skilldef!$A:$B,2,FALSE),"-")</f>
        <v>- / -</v>
      </c>
      <c r="AB18" s="127"/>
      <c r="AC18" s="129"/>
      <c r="AD18" s="127"/>
      <c r="AE18" s="206" t="s">
        <v>417</v>
      </c>
      <c r="AF18" s="131"/>
    </row>
    <row r="19" spans="1:32" s="132" customFormat="1" ht="33" customHeight="1" x14ac:dyDescent="0.15">
      <c r="A19" s="201">
        <f t="shared" si="0"/>
        <v>40046522</v>
      </c>
      <c r="B19" s="47" t="str">
        <f t="shared" si="1"/>
        <v>[effect:enemy_message, val1:1.2, val2:2.7],[effect:drop_block, block_type:crack_bomb, color:block_all, val:17, rate:0.05, turn:20, animation:bomb_influence04],[effect:suicide, target:myself, val:1, dead_type:escape]</v>
      </c>
      <c r="C19" s="223">
        <v>3</v>
      </c>
      <c r="D19" s="49" t="s">
        <v>126</v>
      </c>
      <c r="E19" s="100"/>
      <c r="F19" s="194" t="s">
        <v>547</v>
      </c>
      <c r="G19" s="150" t="s">
        <v>279</v>
      </c>
      <c r="H19" s="150" t="s">
        <v>548</v>
      </c>
      <c r="I19" s="128" t="str">
        <f t="shared" si="2"/>
        <v>[effect:enemy_message, val1:1.2, val2:2.7]</v>
      </c>
      <c r="J19" s="128">
        <f t="shared" si="3"/>
        <v>9</v>
      </c>
      <c r="K19" s="128">
        <f t="shared" si="4"/>
        <v>22</v>
      </c>
      <c r="L19" s="128" t="e">
        <f t="shared" si="5"/>
        <v>#VALUE!</v>
      </c>
      <c r="M19" s="128">
        <f t="shared" si="6"/>
        <v>32</v>
      </c>
      <c r="N19" s="128" t="str">
        <f>IFERROR(VLOOKUP(MID(I19,L19,M19-L19),[6]skilldef!$C:$D,2,FALSE),"-") &amp; " / " &amp; IFERROR(VLOOKUP(MID(I19,J19,K19-J19),[6]skilldef!$A:$B,2,FALSE),"-")</f>
        <v>- / -</v>
      </c>
      <c r="O19" s="128" t="str">
        <f t="shared" si="7"/>
        <v>[effect:drop_block, block_type:crack_bomb, color:block_all, val:17, rate:0.05, turn:20, animation:bomb_influence04],[effect:suicide, target:myself, val:1, dead_type:escape]</v>
      </c>
      <c r="P19" s="125" t="str">
        <f>IFERROR(LEFT(O19,FIND("],",O19)+#REF!),O19)</f>
        <v>[effect:drop_block, block_type:crack_bomb, color:block_all, val:17, rate:0.05, turn:20, animation:bomb_influence04],[effect:suicide, target:myself, val:1, dead_type:escape]</v>
      </c>
      <c r="Q19" s="128">
        <f t="shared" si="8"/>
        <v>9</v>
      </c>
      <c r="R19" s="128">
        <f t="shared" si="9"/>
        <v>19</v>
      </c>
      <c r="S19" s="128">
        <f t="shared" si="10"/>
        <v>141</v>
      </c>
      <c r="T19" s="128">
        <f t="shared" si="11"/>
        <v>42</v>
      </c>
      <c r="U19" s="128" t="str">
        <f>IFERROR(VLOOKUP(MID(P19,S19,T19-S19),[6]skilldef!$C:$D,2,FALSE),"-") &amp; " / " &amp; IFERROR(VLOOKUP(MID(P19,Q19,R19-Q19),[6]skilldef!$A:$B,2,FALSE),"-")</f>
        <v>- / 特定ブロックの割合ドロップ</v>
      </c>
      <c r="V19" s="125" t="str">
        <f t="shared" si="12"/>
        <v>[effect:suicide, target:myself, val:1, dead_type:escape]</v>
      </c>
      <c r="W19" s="128">
        <f t="shared" si="13"/>
        <v>9</v>
      </c>
      <c r="X19" s="128">
        <f t="shared" si="14"/>
        <v>16</v>
      </c>
      <c r="Y19" s="128">
        <f t="shared" si="15"/>
        <v>25</v>
      </c>
      <c r="Z19" s="128">
        <f t="shared" si="16"/>
        <v>31</v>
      </c>
      <c r="AA19" s="128" t="str">
        <f>IFERROR(VLOOKUP(MID(V19,Y19,Z19-Y19),[6]skilldef!$C:$D,2,FALSE),"-") &amp; " / " &amp; IFERROR(VLOOKUP(MID(V19,W19,X19-W19),[6]skilldef!$A:$B,2,FALSE),"-")</f>
        <v>自分自身に / -</v>
      </c>
      <c r="AB19" s="127"/>
      <c r="AC19" s="129"/>
      <c r="AD19" s="127"/>
      <c r="AE19" s="130" t="s">
        <v>557</v>
      </c>
      <c r="AF19" s="131"/>
    </row>
    <row r="20" spans="1:32" s="132" customFormat="1" ht="33" customHeight="1" x14ac:dyDescent="0.15">
      <c r="A20" s="201">
        <f t="shared" si="0"/>
        <v>40046523</v>
      </c>
      <c r="B20" s="47" t="str">
        <f t="shared" si="1"/>
        <v>[effect:enemy_message, val1:1.2, val2:1.2],[effect:critical, val:1.2, animation:enemy_critical]</v>
      </c>
      <c r="C20" s="223">
        <v>3</v>
      </c>
      <c r="D20" s="49" t="s">
        <v>126</v>
      </c>
      <c r="E20" s="100"/>
      <c r="F20" s="194" t="s">
        <v>388</v>
      </c>
      <c r="G20" s="150" t="s">
        <v>280</v>
      </c>
      <c r="H20" s="150" t="s">
        <v>303</v>
      </c>
      <c r="I20" s="128" t="str">
        <f t="shared" si="2"/>
        <v>[effect:enemy_message, val1:1.2, val2:1.2]</v>
      </c>
      <c r="J20" s="128">
        <f t="shared" si="3"/>
        <v>9</v>
      </c>
      <c r="K20" s="128">
        <f t="shared" si="4"/>
        <v>22</v>
      </c>
      <c r="L20" s="128" t="e">
        <f t="shared" si="5"/>
        <v>#VALUE!</v>
      </c>
      <c r="M20" s="128">
        <f t="shared" si="6"/>
        <v>32</v>
      </c>
      <c r="N20" s="128" t="str">
        <f>IFERROR(VLOOKUP(MID(I20,L20,M20-L20),[6]skilldef!$C:$D,2,FALSE),"-") &amp; " / " &amp; IFERROR(VLOOKUP(MID(I20,J20,K20-J20),[6]skilldef!$A:$B,2,FALSE),"-")</f>
        <v>- / -</v>
      </c>
      <c r="O20" s="128" t="str">
        <f t="shared" si="7"/>
        <v>[effect:critical, val:1.2, animation:enemy_critical]</v>
      </c>
      <c r="P20" s="125" t="str">
        <f>IFERROR(LEFT(O20,FIND("],",O20)+#REF!),O20)</f>
        <v>[effect:critical, val:1.2, animation:enemy_critical]</v>
      </c>
      <c r="Q20" s="128">
        <f t="shared" si="8"/>
        <v>9</v>
      </c>
      <c r="R20" s="128">
        <f t="shared" si="9"/>
        <v>17</v>
      </c>
      <c r="S20" s="128" t="e">
        <f t="shared" si="10"/>
        <v>#VALUE!</v>
      </c>
      <c r="T20" s="128">
        <f t="shared" si="11"/>
        <v>26</v>
      </c>
      <c r="U20" s="128" t="str">
        <f>IFERROR(VLOOKUP(MID(P20,S20,T20-S20),[6]skilldef!$C:$D,2,FALSE),"-") &amp; " / " &amp; IFERROR(VLOOKUP(MID(P20,Q20,R20-Q20),[6]skilldef!$A:$B,2,FALSE),"-")</f>
        <v>- / 大攻撃</v>
      </c>
      <c r="V20" s="125" t="str">
        <f t="shared" si="12"/>
        <v>none</v>
      </c>
      <c r="W20" s="128" t="e">
        <f t="shared" si="13"/>
        <v>#VALUE!</v>
      </c>
      <c r="X20" s="128">
        <f t="shared" si="14"/>
        <v>4</v>
      </c>
      <c r="Y20" s="128" t="e">
        <f t="shared" si="15"/>
        <v>#VALUE!</v>
      </c>
      <c r="Z20" s="128" t="e">
        <f t="shared" si="16"/>
        <v>#VALUE!</v>
      </c>
      <c r="AA20" s="128" t="str">
        <f>IFERROR(VLOOKUP(MID(V20,Y20,Z20-Y20),[6]skilldef!$C:$D,2,FALSE),"-") &amp; " / " &amp; IFERROR(VLOOKUP(MID(V20,W20,X20-W20),[6]skilldef!$A:$B,2,FALSE),"-")</f>
        <v>- / -</v>
      </c>
      <c r="AB20" s="127"/>
      <c r="AC20" s="129"/>
      <c r="AD20" s="127"/>
      <c r="AE20" s="130" t="s">
        <v>313</v>
      </c>
      <c r="AF20" s="131"/>
    </row>
    <row r="21" spans="1:32" s="132" customFormat="1" ht="33" customHeight="1" x14ac:dyDescent="0.15">
      <c r="A21" s="201">
        <f t="shared" si="0"/>
        <v>40046524</v>
      </c>
      <c r="B21" s="47" t="str">
        <f t="shared" si="1"/>
        <v>[effect:enemy_message, val1:1.2, val2:1.9],[effect:force_change_block, new_block:damage, target:block_red, color:block_green, count:4, val:0.04, animation:change_bock]</v>
      </c>
      <c r="C21" s="223">
        <v>3</v>
      </c>
      <c r="D21" s="49" t="s">
        <v>126</v>
      </c>
      <c r="E21" s="100"/>
      <c r="F21" s="194" t="s">
        <v>389</v>
      </c>
      <c r="G21" s="150" t="s">
        <v>281</v>
      </c>
      <c r="H21" s="207" t="s">
        <v>419</v>
      </c>
      <c r="I21" s="208" t="str">
        <f t="shared" si="2"/>
        <v>[effect:enemy_message, val1:1.2, val2:1.9]</v>
      </c>
      <c r="J21" s="208">
        <f t="shared" si="3"/>
        <v>9</v>
      </c>
      <c r="K21" s="208">
        <f t="shared" si="4"/>
        <v>22</v>
      </c>
      <c r="L21" s="208" t="e">
        <f t="shared" si="5"/>
        <v>#VALUE!</v>
      </c>
      <c r="M21" s="208">
        <f t="shared" si="6"/>
        <v>32</v>
      </c>
      <c r="N21" s="208" t="str">
        <f>IFERROR(VLOOKUP(MID(I21,L21,M21-L21),[6]skilldef!$C:$D,2,FALSE),"-") &amp; " / " &amp; IFERROR(VLOOKUP(MID(I21,J21,K21-J21),[6]skilldef!$A:$B,2,FALSE),"-")</f>
        <v>- / -</v>
      </c>
      <c r="O21" s="208" t="str">
        <f t="shared" si="7"/>
        <v>[effect:force_change_block, new_block:damage, target:block_red, color:block_green, count:4, val:0.04, animation:change_bock]</v>
      </c>
      <c r="P21" s="209" t="str">
        <f>IFERROR(LEFT(O21,FIND("],",O21)+#REF!),O21)</f>
        <v>[effect:force_change_block, new_block:damage, target:block_red, color:block_green, count:4, val:0.04, animation:change_bock]</v>
      </c>
      <c r="Q21" s="208">
        <f t="shared" si="8"/>
        <v>9</v>
      </c>
      <c r="R21" s="208">
        <f t="shared" si="9"/>
        <v>27</v>
      </c>
      <c r="S21" s="208">
        <f t="shared" si="10"/>
        <v>54</v>
      </c>
      <c r="T21" s="208">
        <f t="shared" si="11"/>
        <v>45</v>
      </c>
      <c r="U21" s="208" t="str">
        <f>IFERROR(VLOOKUP(MID(P21,S21,T21-S21),[6]skilldef!$C:$D,2,FALSE),"-") &amp; " / " &amp; IFERROR(VLOOKUP(MID(P21,Q21,R21-Q21),[6]skilldef!$A:$B,2,FALSE),"-")</f>
        <v>- / -</v>
      </c>
      <c r="V21" s="209" t="str">
        <f t="shared" si="12"/>
        <v>none</v>
      </c>
      <c r="W21" s="208" t="e">
        <f t="shared" si="13"/>
        <v>#VALUE!</v>
      </c>
      <c r="X21" s="208">
        <f t="shared" si="14"/>
        <v>4</v>
      </c>
      <c r="Y21" s="208" t="e">
        <f t="shared" si="15"/>
        <v>#VALUE!</v>
      </c>
      <c r="Z21" s="208" t="e">
        <f t="shared" si="16"/>
        <v>#VALUE!</v>
      </c>
      <c r="AA21" s="208" t="str">
        <f>IFERROR(VLOOKUP(MID(V21,Y21,Z21-Y21),[6]skilldef!$C:$D,2,FALSE),"-") &amp; " / " &amp; IFERROR(VLOOKUP(MID(V21,W21,X21-W21),[6]skilldef!$A:$B,2,FALSE),"-")</f>
        <v>- / -</v>
      </c>
      <c r="AB21" s="210"/>
      <c r="AC21" s="211"/>
      <c r="AD21" s="210"/>
      <c r="AE21" s="206" t="s">
        <v>418</v>
      </c>
      <c r="AF21" s="131"/>
    </row>
    <row r="22" spans="1:32" s="132" customFormat="1" ht="33" customHeight="1" x14ac:dyDescent="0.15">
      <c r="A22" s="201">
        <f t="shared" si="0"/>
        <v>40046525</v>
      </c>
      <c r="B22" s="47" t="str">
        <f t="shared" si="1"/>
        <v>[effect:enemy_message, val1:1.2, val2:2.5],[effect:spread, val:0.25],[effect:degrade_unit, target:unit_all, turn:2, status:heal, val:0.4, calc:mul, animation:degrade_unit_all_heal]</v>
      </c>
      <c r="C22" s="223">
        <v>3</v>
      </c>
      <c r="D22" s="49" t="s">
        <v>126</v>
      </c>
      <c r="E22" s="100"/>
      <c r="F22" s="194" t="s">
        <v>436</v>
      </c>
      <c r="G22" s="150" t="s">
        <v>282</v>
      </c>
      <c r="H22" s="207" t="s">
        <v>420</v>
      </c>
      <c r="I22" s="208" t="str">
        <f t="shared" si="2"/>
        <v>[effect:enemy_message, val1:1.2, val2:2.5]</v>
      </c>
      <c r="J22" s="208">
        <f t="shared" si="3"/>
        <v>9</v>
      </c>
      <c r="K22" s="208">
        <f t="shared" si="4"/>
        <v>22</v>
      </c>
      <c r="L22" s="208" t="e">
        <f t="shared" si="5"/>
        <v>#VALUE!</v>
      </c>
      <c r="M22" s="208">
        <f t="shared" si="6"/>
        <v>32</v>
      </c>
      <c r="N22" s="208" t="str">
        <f>IFERROR(VLOOKUP(MID(I22,L22,M22-L22),[6]skilldef!$C:$D,2,FALSE),"-") &amp; " / " &amp; IFERROR(VLOOKUP(MID(I22,J22,K22-J22),[6]skilldef!$A:$B,2,FALSE),"-")</f>
        <v>- / -</v>
      </c>
      <c r="O22" s="208" t="str">
        <f t="shared" si="7"/>
        <v>[effect:spread, val:0.25],[effect:degrade_unit, target:unit_all, turn:2, status:heal, val:0.4, calc:mul, animation:degrade_unit_all_heal]</v>
      </c>
      <c r="P22" s="209" t="str">
        <f>IFERROR(LEFT(O22,FIND("],",O22)+#REF!),O22)</f>
        <v>[effect:spread, val:0.25],[effect:degrade_unit, target:unit_all, turn:2, status:heal, val:0.4, calc:mul, animation:degrade_unit_all_heal]</v>
      </c>
      <c r="Q22" s="208">
        <f t="shared" si="8"/>
        <v>9</v>
      </c>
      <c r="R22" s="208">
        <f t="shared" si="9"/>
        <v>15</v>
      </c>
      <c r="S22" s="208">
        <f t="shared" si="10"/>
        <v>56</v>
      </c>
      <c r="T22" s="208">
        <f t="shared" si="11"/>
        <v>26</v>
      </c>
      <c r="U22" s="208" t="str">
        <f>IFERROR(VLOOKUP(MID(P22,S22,T22-S22),[6]skilldef!$C:$D,2,FALSE),"-") &amp; " / " &amp; IFERROR(VLOOKUP(MID(P22,Q22,R22-Q22),[6]skilldef!$A:$B,2,FALSE),"-")</f>
        <v>- / 全体攻撃</v>
      </c>
      <c r="V22" s="209" t="str">
        <f t="shared" si="12"/>
        <v>[effect:degrade_unit, target:unit_all, turn:2, status:heal, val:0.4, calc:mul, animation:degrade_unit_all_heal]</v>
      </c>
      <c r="W22" s="208">
        <f t="shared" si="13"/>
        <v>9</v>
      </c>
      <c r="X22" s="208">
        <f t="shared" si="14"/>
        <v>21</v>
      </c>
      <c r="Y22" s="208">
        <f t="shared" si="15"/>
        <v>30</v>
      </c>
      <c r="Z22" s="208">
        <f t="shared" si="16"/>
        <v>38</v>
      </c>
      <c r="AA22" s="208" t="str">
        <f>IFERROR(VLOOKUP(MID(V22,Y22,Z22-Y22),[6]skilldef!$C:$D,2,FALSE),"-") &amp; " / " &amp; IFERROR(VLOOKUP(MID(V22,W22,X22-W22),[6]skilldef!$A:$B,2,FALSE),"-")</f>
        <v>味方全体に / ステータスDOWN</v>
      </c>
      <c r="AB22" s="210"/>
      <c r="AC22" s="211"/>
      <c r="AD22" s="210"/>
      <c r="AE22" s="206" t="s">
        <v>421</v>
      </c>
      <c r="AF22" s="131"/>
    </row>
    <row r="23" spans="1:32" s="132" customFormat="1" ht="33" customHeight="1" x14ac:dyDescent="0.15">
      <c r="A23" s="201">
        <v>40046527</v>
      </c>
      <c r="B23" s="46" t="s">
        <v>553</v>
      </c>
      <c r="C23" s="223">
        <v>3</v>
      </c>
      <c r="D23" s="49" t="s">
        <v>126</v>
      </c>
      <c r="E23" s="100"/>
      <c r="F23" s="194" t="s">
        <v>386</v>
      </c>
      <c r="G23" s="150" t="s">
        <v>406</v>
      </c>
      <c r="H23" s="207" t="s">
        <v>537</v>
      </c>
      <c r="I23" s="208" t="str">
        <f t="shared" ref="I23" si="17">IFERROR(LEFT(B23,FIND("],",B23)),B23)</f>
        <v>[effect:enemy_message, val1:1.2, val2:1.6,]</v>
      </c>
      <c r="J23" s="208">
        <f t="shared" ref="J23" si="18">FIND("effect:",I23)+7</f>
        <v>9</v>
      </c>
      <c r="K23" s="208">
        <f t="shared" ref="K23" si="19">IFERROR(FIND(",",I23),LEN(I23))</f>
        <v>22</v>
      </c>
      <c r="L23" s="208" t="e">
        <f t="shared" ref="L23" si="20">FIND("target:",I23)+7</f>
        <v>#VALUE!</v>
      </c>
      <c r="M23" s="208">
        <f t="shared" ref="M23" si="21">FIND(",",I23,K23+1)</f>
        <v>32</v>
      </c>
      <c r="N23" s="208" t="str">
        <f>IFERROR(VLOOKUP(MID(I23,L23,M23-L23),[6]skilldef!$C:$D,2,FALSE),"-") &amp; " / " &amp; IFERROR(VLOOKUP(MID(I23,J23,K23-J23),[6]skilldef!$A:$B,2,FALSE),"-")</f>
        <v>- / -</v>
      </c>
      <c r="O23" s="208" t="str">
        <f t="shared" ref="O23" si="22">IFERROR(RIGHT(B23,LEN(B23)-FIND("],",B23)-1),"none")</f>
        <v>[effect:suicide, target:myself, val:1, dead_type:escape, animation:enemy_suicide]</v>
      </c>
      <c r="P23" s="209" t="str">
        <f>IFERROR(LEFT(O23,FIND("],",O23)+#REF!),O23)</f>
        <v>[effect:suicide, target:myself, val:1, dead_type:escape, animation:enemy_suicide]</v>
      </c>
      <c r="Q23" s="208">
        <f t="shared" ref="Q23" si="23">FIND("effect:",P23)+7</f>
        <v>9</v>
      </c>
      <c r="R23" s="208">
        <f t="shared" ref="R23" si="24">IFERROR(FIND(",",P23),LEN(P23))</f>
        <v>16</v>
      </c>
      <c r="S23" s="208">
        <f t="shared" ref="S23" si="25">FIND("target:",P23)+7</f>
        <v>25</v>
      </c>
      <c r="T23" s="208">
        <f t="shared" ref="T23" si="26">FIND(",",P23,R23+1)</f>
        <v>31</v>
      </c>
      <c r="U23" s="208" t="str">
        <f>IFERROR(VLOOKUP(MID(P23,S23,T23-S23),[6]skilldef!$C:$D,2,FALSE),"-") &amp; " / " &amp; IFERROR(VLOOKUP(MID(P23,Q23,R23-Q23),[6]skilldef!$A:$B,2,FALSE),"-")</f>
        <v>自分自身に / -</v>
      </c>
      <c r="V23" s="209" t="str">
        <f t="shared" ref="V23" si="27">IFERROR(RIGHT(O23,LEN(O23)-FIND("],",O23)-1),"none")</f>
        <v>none</v>
      </c>
      <c r="W23" s="208" t="e">
        <f t="shared" ref="W23" si="28">FIND("effect:",V23)+7</f>
        <v>#VALUE!</v>
      </c>
      <c r="X23" s="208">
        <f t="shared" ref="X23" si="29">IFERROR(FIND(",",V23),LEN(V23))</f>
        <v>4</v>
      </c>
      <c r="Y23" s="208" t="e">
        <f t="shared" ref="Y23" si="30">FIND("target:",V23)+7</f>
        <v>#VALUE!</v>
      </c>
      <c r="Z23" s="208" t="e">
        <f t="shared" ref="Z23" si="31">FIND(",",V23,X23+1)</f>
        <v>#VALUE!</v>
      </c>
      <c r="AA23" s="208" t="str">
        <f>IFERROR(VLOOKUP(MID(V23,Y23,Z23-Y23),[6]skilldef!$C:$D,2,FALSE),"-") &amp; " / " &amp; IFERROR(VLOOKUP(MID(V23,W23,X23-W23),[6]skilldef!$A:$B,2,FALSE),"-")</f>
        <v>- / -</v>
      </c>
      <c r="AB23" s="210"/>
      <c r="AC23" s="211"/>
      <c r="AD23" s="210"/>
      <c r="AE23" s="206"/>
      <c r="AF23" s="131"/>
    </row>
    <row r="24" spans="1:32" s="132" customFormat="1" ht="33" customHeight="1" x14ac:dyDescent="0.15">
      <c r="A24" s="202">
        <f t="shared" ref="A24" si="32">A90+500</f>
        <v>40046530</v>
      </c>
      <c r="B24" s="47" t="str">
        <f t="shared" si="1"/>
        <v>[effect:enemy_message, val1:1.2, val2:3.4],[effect:panel_freeze, target:normal, color:block_red, count:6],[effect:fix_speed, target:myself, turn:1]</v>
      </c>
      <c r="C24" s="223">
        <v>3</v>
      </c>
      <c r="D24" s="49" t="s">
        <v>126</v>
      </c>
      <c r="E24" s="100"/>
      <c r="F24" s="195" t="s">
        <v>403</v>
      </c>
      <c r="G24" s="150" t="s">
        <v>270</v>
      </c>
      <c r="H24" s="150" t="s">
        <v>305</v>
      </c>
      <c r="I24" s="128" t="str">
        <f t="shared" si="2"/>
        <v>[effect:enemy_message, val1:1.2, val2:3.4]</v>
      </c>
      <c r="J24" s="128">
        <f t="shared" si="3"/>
        <v>9</v>
      </c>
      <c r="K24" s="128">
        <f t="shared" si="4"/>
        <v>22</v>
      </c>
      <c r="L24" s="128" t="e">
        <f t="shared" si="5"/>
        <v>#VALUE!</v>
      </c>
      <c r="M24" s="128">
        <f t="shared" si="6"/>
        <v>32</v>
      </c>
      <c r="N24" s="128" t="str">
        <f>IFERROR(VLOOKUP(MID(I24,L24,M24-L24),[6]skilldef!$C:$D,2,FALSE),"-") &amp; " / " &amp; IFERROR(VLOOKUP(MID(I24,J24,K24-J24),[6]skilldef!$A:$B,2,FALSE),"-")</f>
        <v>- / -</v>
      </c>
      <c r="O24" s="128" t="str">
        <f t="shared" si="7"/>
        <v>[effect:panel_freeze, target:normal, color:block_red, count:6],[effect:fix_speed, target:myself, turn:1]</v>
      </c>
      <c r="P24" s="125" t="str">
        <f>IFERROR(LEFT(O24,FIND("],",O24)+#REF!),O24)</f>
        <v>[effect:panel_freeze, target:normal, color:block_red, count:6],[effect:fix_speed, target:myself, turn:1]</v>
      </c>
      <c r="Q24" s="128">
        <f t="shared" si="8"/>
        <v>9</v>
      </c>
      <c r="R24" s="128">
        <f t="shared" si="9"/>
        <v>21</v>
      </c>
      <c r="S24" s="128">
        <f t="shared" si="10"/>
        <v>30</v>
      </c>
      <c r="T24" s="128">
        <f t="shared" si="11"/>
        <v>36</v>
      </c>
      <c r="U24" s="128" t="str">
        <f>IFERROR(VLOOKUP(MID(P24,S24,T24-S24),[6]skilldef!$C:$D,2,FALSE),"-") &amp; " / " &amp; IFERROR(VLOOKUP(MID(P24,Q24,R24-Q24),[6]skilldef!$A:$B,2,FALSE),"-")</f>
        <v>- / -</v>
      </c>
      <c r="V24" s="125" t="str">
        <f t="shared" si="12"/>
        <v>[effect:fix_speed, target:myself, turn:1]</v>
      </c>
      <c r="W24" s="128">
        <f t="shared" si="13"/>
        <v>9</v>
      </c>
      <c r="X24" s="128">
        <f t="shared" si="14"/>
        <v>18</v>
      </c>
      <c r="Y24" s="128">
        <f t="shared" si="15"/>
        <v>27</v>
      </c>
      <c r="Z24" s="128">
        <f t="shared" si="16"/>
        <v>33</v>
      </c>
      <c r="AA24" s="128" t="str">
        <f>IFERROR(VLOOKUP(MID(V24,Y24,Z24-Y24),[6]skilldef!$C:$D,2,FALSE),"-") &amp; " / " &amp; IFERROR(VLOOKUP(MID(V24,W24,X24-W24),[6]skilldef!$A:$B,2,FALSE),"-")</f>
        <v>自分自身に / 行動値設定</v>
      </c>
      <c r="AB24" s="127"/>
      <c r="AC24" s="129"/>
      <c r="AD24" s="127"/>
      <c r="AE24" s="130" t="s">
        <v>337</v>
      </c>
      <c r="AF24" s="131"/>
    </row>
    <row r="25" spans="1:32" s="132" customFormat="1" ht="33" customHeight="1" x14ac:dyDescent="0.15">
      <c r="A25" s="162">
        <v>40046538</v>
      </c>
      <c r="B25" s="47" t="str">
        <f t="shared" si="1"/>
        <v>[effect:enemy_message, val1:1.6, val2:3.1],[effect:force_change_block, new_block:block_blue, target:block_red, count:0, val:0, animation:change_block],[effect:fix_speed, target:myself, turn:1]</v>
      </c>
      <c r="C25" s="223">
        <v>3</v>
      </c>
      <c r="D25" s="49" t="s">
        <v>126</v>
      </c>
      <c r="E25" s="100"/>
      <c r="F25" s="153" t="s">
        <v>532</v>
      </c>
      <c r="G25" s="150" t="s">
        <v>536</v>
      </c>
      <c r="H25" s="150" t="s">
        <v>533</v>
      </c>
      <c r="I25" s="128" t="str">
        <f t="shared" si="2"/>
        <v>[effect:enemy_message, val1:1.6, val2:3.1]</v>
      </c>
      <c r="J25" s="128">
        <f t="shared" si="3"/>
        <v>9</v>
      </c>
      <c r="K25" s="128">
        <f t="shared" si="4"/>
        <v>22</v>
      </c>
      <c r="L25" s="128" t="e">
        <f t="shared" si="5"/>
        <v>#VALUE!</v>
      </c>
      <c r="M25" s="128">
        <f t="shared" si="6"/>
        <v>32</v>
      </c>
      <c r="N25" s="128" t="str">
        <f>IFERROR(VLOOKUP(MID(I25,L25,M25-L25),[6]skilldef!$C:$D,2,FALSE),"-") &amp; " / " &amp; IFERROR(VLOOKUP(MID(I25,J25,K25-J25),[6]skilldef!$A:$B,2,FALSE),"-")</f>
        <v>- / -</v>
      </c>
      <c r="O25" s="128" t="str">
        <f t="shared" si="7"/>
        <v>[effect:force_change_block, new_block:block_blue, target:block_red, count:0, val:0, animation:change_block],[effect:fix_speed, target:myself, turn:1]</v>
      </c>
      <c r="P25" s="125" t="str">
        <f>IFERROR(LEFT(O25,FIND("],",O25)+#REF!),O25)</f>
        <v>[effect:force_change_block, new_block:block_blue, target:block_red, count:0, val:0, animation:change_block],[effect:fix_speed, target:myself, turn:1]</v>
      </c>
      <c r="Q25" s="128">
        <f t="shared" si="8"/>
        <v>9</v>
      </c>
      <c r="R25" s="128">
        <f t="shared" si="9"/>
        <v>27</v>
      </c>
      <c r="S25" s="128">
        <f t="shared" si="10"/>
        <v>58</v>
      </c>
      <c r="T25" s="128">
        <f t="shared" si="11"/>
        <v>49</v>
      </c>
      <c r="U25" s="128" t="str">
        <f>IFERROR(VLOOKUP(MID(P25,S25,T25-S25),[6]skilldef!$C:$D,2,FALSE),"-") &amp; " / " &amp; IFERROR(VLOOKUP(MID(P25,Q25,R25-Q25),[6]skilldef!$A:$B,2,FALSE),"-")</f>
        <v>- / -</v>
      </c>
      <c r="V25" s="125" t="str">
        <f t="shared" si="12"/>
        <v>[effect:fix_speed, target:myself, turn:1]</v>
      </c>
      <c r="W25" s="128">
        <f t="shared" si="13"/>
        <v>9</v>
      </c>
      <c r="X25" s="128">
        <f t="shared" si="14"/>
        <v>18</v>
      </c>
      <c r="Y25" s="128">
        <f t="shared" si="15"/>
        <v>27</v>
      </c>
      <c r="Z25" s="128">
        <f t="shared" si="16"/>
        <v>33</v>
      </c>
      <c r="AA25" s="128" t="str">
        <f>IFERROR(VLOOKUP(MID(V25,Y25,Z25-Y25),[6]skilldef!$C:$D,2,FALSE),"-") &amp; " / " &amp; IFERROR(VLOOKUP(MID(V25,W25,X25-W25),[6]skilldef!$A:$B,2,FALSE),"-")</f>
        <v>自分自身に / 行動値設定</v>
      </c>
      <c r="AB25" s="127"/>
      <c r="AC25" s="129"/>
      <c r="AD25" s="127"/>
      <c r="AE25" s="130" t="s">
        <v>534</v>
      </c>
      <c r="AF25" s="131"/>
    </row>
    <row r="26" spans="1:32" s="132" customFormat="1" ht="33" customHeight="1" x14ac:dyDescent="0.15">
      <c r="A26" s="202">
        <f t="shared" ref="A26:A67" si="33">A92+500</f>
        <v>40046531</v>
      </c>
      <c r="B26" s="47" t="str">
        <f t="shared" si="1"/>
        <v>[effect:enemy_message, val1:1.2, val2:1.3],[effect:break_attack_fix, target:unit_all, val:150, lowest_val:200, count:-1, block01:block_red]</v>
      </c>
      <c r="C26" s="223">
        <v>3</v>
      </c>
      <c r="D26" s="49" t="s">
        <v>126</v>
      </c>
      <c r="E26" s="100"/>
      <c r="F26" s="195" t="s">
        <v>460</v>
      </c>
      <c r="G26" s="150" t="s">
        <v>266</v>
      </c>
      <c r="H26" s="150" t="s">
        <v>332</v>
      </c>
      <c r="I26" s="128" t="str">
        <f t="shared" si="2"/>
        <v>[effect:enemy_message, val1:1.2, val2:1.3]</v>
      </c>
      <c r="J26" s="128">
        <f t="shared" si="3"/>
        <v>9</v>
      </c>
      <c r="K26" s="128">
        <f t="shared" si="4"/>
        <v>22</v>
      </c>
      <c r="L26" s="128" t="e">
        <f t="shared" si="5"/>
        <v>#VALUE!</v>
      </c>
      <c r="M26" s="128">
        <f t="shared" si="6"/>
        <v>32</v>
      </c>
      <c r="N26" s="128" t="str">
        <f>IFERROR(VLOOKUP(MID(I26,L26,M26-L26),[6]skilldef!$C:$D,2,FALSE),"-") &amp; " / " &amp; IFERROR(VLOOKUP(MID(I26,J26,K26-J26),[6]skilldef!$A:$B,2,FALSE),"-")</f>
        <v>- / -</v>
      </c>
      <c r="O26" s="128" t="str">
        <f t="shared" si="7"/>
        <v>[effect:break_attack_fix, target:unit_all, val:150, lowest_val:200, count:-1, block01:block_red]</v>
      </c>
      <c r="P26" s="125" t="str">
        <f>IFERROR(LEFT(O26,FIND("],",O26)+#REF!),O26)</f>
        <v>[effect:break_attack_fix, target:unit_all, val:150, lowest_val:200, count:-1, block01:block_red]</v>
      </c>
      <c r="Q26" s="128">
        <f t="shared" si="8"/>
        <v>9</v>
      </c>
      <c r="R26" s="128">
        <f t="shared" si="9"/>
        <v>25</v>
      </c>
      <c r="S26" s="128">
        <f t="shared" si="10"/>
        <v>34</v>
      </c>
      <c r="T26" s="128">
        <f t="shared" si="11"/>
        <v>42</v>
      </c>
      <c r="U26" s="128" t="str">
        <f>IFERROR(VLOOKUP(MID(P26,S26,T26-S26),[6]skilldef!$C:$D,2,FALSE),"-") &amp; " / " &amp; IFERROR(VLOOKUP(MID(P26,Q26,R26-Q26),[6]skilldef!$A:$B,2,FALSE),"-")</f>
        <v>味方全体に / -</v>
      </c>
      <c r="V26" s="125" t="str">
        <f t="shared" si="12"/>
        <v>none</v>
      </c>
      <c r="W26" s="128" t="e">
        <f t="shared" si="13"/>
        <v>#VALUE!</v>
      </c>
      <c r="X26" s="128">
        <f t="shared" si="14"/>
        <v>4</v>
      </c>
      <c r="Y26" s="128" t="e">
        <f t="shared" si="15"/>
        <v>#VALUE!</v>
      </c>
      <c r="Z26" s="128" t="e">
        <f t="shared" si="16"/>
        <v>#VALUE!</v>
      </c>
      <c r="AA26" s="128" t="str">
        <f>IFERROR(VLOOKUP(MID(V26,Y26,Z26-Y26),[6]skilldef!$C:$D,2,FALSE),"-") &amp; " / " &amp; IFERROR(VLOOKUP(MID(V26,W26,X26-W26),[6]skilldef!$A:$B,2,FALSE),"-")</f>
        <v>- / -</v>
      </c>
      <c r="AB26" s="127"/>
      <c r="AC26" s="129"/>
      <c r="AD26" s="127"/>
      <c r="AE26" s="206" t="s">
        <v>429</v>
      </c>
      <c r="AF26" s="131"/>
    </row>
    <row r="27" spans="1:32" s="132" customFormat="1" ht="33" customHeight="1" x14ac:dyDescent="0.15">
      <c r="A27" s="202">
        <f t="shared" si="33"/>
        <v>40046532</v>
      </c>
      <c r="B27" s="47" t="str">
        <f t="shared" si="1"/>
        <v>[effect:enemy_message, val1:1.2, val2:2.4],[effect:rush, count:1, val:0.8],[effect:force_change_block, new_block:damage, target:block_green, color:block_green, count:3, val:0.04, animation:change_bock]</v>
      </c>
      <c r="C27" s="223">
        <v>3</v>
      </c>
      <c r="D27" s="49" t="s">
        <v>126</v>
      </c>
      <c r="E27" s="100"/>
      <c r="F27" s="195" t="s">
        <v>456</v>
      </c>
      <c r="G27" s="150" t="s">
        <v>271</v>
      </c>
      <c r="H27" s="207" t="s">
        <v>422</v>
      </c>
      <c r="I27" s="208" t="str">
        <f t="shared" si="2"/>
        <v>[effect:enemy_message, val1:1.2, val2:2.4]</v>
      </c>
      <c r="J27" s="208">
        <f t="shared" si="3"/>
        <v>9</v>
      </c>
      <c r="K27" s="208">
        <f t="shared" si="4"/>
        <v>22</v>
      </c>
      <c r="L27" s="208" t="e">
        <f t="shared" si="5"/>
        <v>#VALUE!</v>
      </c>
      <c r="M27" s="208">
        <f t="shared" si="6"/>
        <v>32</v>
      </c>
      <c r="N27" s="208" t="str">
        <f>IFERROR(VLOOKUP(MID(I27,L27,M27-L27),[6]skilldef!$C:$D,2,FALSE),"-") &amp; " / " &amp; IFERROR(VLOOKUP(MID(I27,J27,K27-J27),[6]skilldef!$A:$B,2,FALSE),"-")</f>
        <v>- / -</v>
      </c>
      <c r="O27" s="208" t="str">
        <f t="shared" si="7"/>
        <v>[effect:rush, count:1, val:0.8],[effect:force_change_block, new_block:damage, target:block_green, color:block_green, count:3, val:0.04, animation:change_bock]</v>
      </c>
      <c r="P27" s="209" t="str">
        <f>IFERROR(LEFT(O27,FIND("],",O27)+#REF!),O27)</f>
        <v>[effect:rush, count:1, val:0.8],[effect:force_change_block, new_block:damage, target:block_green, color:block_green, count:3, val:0.04, animation:change_bock]</v>
      </c>
      <c r="Q27" s="208">
        <f t="shared" si="8"/>
        <v>9</v>
      </c>
      <c r="R27" s="208">
        <f t="shared" si="9"/>
        <v>13</v>
      </c>
      <c r="S27" s="208">
        <f t="shared" si="10"/>
        <v>86</v>
      </c>
      <c r="T27" s="208">
        <f t="shared" si="11"/>
        <v>22</v>
      </c>
      <c r="U27" s="208" t="str">
        <f>IFERROR(VLOOKUP(MID(P27,S27,T27-S27),[6]skilldef!$C:$D,2,FALSE),"-") &amp; " / " &amp; IFERROR(VLOOKUP(MID(P27,Q27,R27-Q27),[6]skilldef!$A:$B,2,FALSE),"-")</f>
        <v>- / 連続攻撃</v>
      </c>
      <c r="V27" s="209" t="str">
        <f t="shared" si="12"/>
        <v>[effect:force_change_block, new_block:damage, target:block_green, color:block_green, count:3, val:0.04, animation:change_bock]</v>
      </c>
      <c r="W27" s="208">
        <f t="shared" si="13"/>
        <v>9</v>
      </c>
      <c r="X27" s="208">
        <f t="shared" si="14"/>
        <v>27</v>
      </c>
      <c r="Y27" s="208">
        <f t="shared" si="15"/>
        <v>54</v>
      </c>
      <c r="Z27" s="208">
        <f t="shared" si="16"/>
        <v>45</v>
      </c>
      <c r="AA27" s="208" t="str">
        <f>IFERROR(VLOOKUP(MID(V27,Y27,Z27-Y27),[6]skilldef!$C:$D,2,FALSE),"-") &amp; " / " &amp; IFERROR(VLOOKUP(MID(V27,W27,X27-W27),[6]skilldef!$A:$B,2,FALSE),"-")</f>
        <v>- / -</v>
      </c>
      <c r="AB27" s="210"/>
      <c r="AC27" s="211"/>
      <c r="AD27" s="210"/>
      <c r="AE27" s="212" t="s">
        <v>431</v>
      </c>
      <c r="AF27" s="131"/>
    </row>
    <row r="28" spans="1:32" s="132" customFormat="1" ht="33" customHeight="1" x14ac:dyDescent="0.15">
      <c r="A28" s="202">
        <f t="shared" si="33"/>
        <v>40046533</v>
      </c>
      <c r="B28" s="47" t="str">
        <f t="shared" si="1"/>
        <v>[effect:enemy_message, val1:1.4, val2:3.4],[effect:panel_freeze, target:normal, color:block_blue, count:6]</v>
      </c>
      <c r="C28" s="223">
        <v>3</v>
      </c>
      <c r="D28" s="49" t="s">
        <v>126</v>
      </c>
      <c r="E28" s="100"/>
      <c r="F28" s="195" t="s">
        <v>440</v>
      </c>
      <c r="G28" s="150" t="s">
        <v>268</v>
      </c>
      <c r="H28" s="150" t="s">
        <v>306</v>
      </c>
      <c r="I28" s="128" t="str">
        <f t="shared" si="2"/>
        <v>[effect:enemy_message, val1:1.4, val2:3.4]</v>
      </c>
      <c r="J28" s="128">
        <f t="shared" si="3"/>
        <v>9</v>
      </c>
      <c r="K28" s="128">
        <f t="shared" si="4"/>
        <v>22</v>
      </c>
      <c r="L28" s="128" t="e">
        <f t="shared" si="5"/>
        <v>#VALUE!</v>
      </c>
      <c r="M28" s="128">
        <f t="shared" si="6"/>
        <v>32</v>
      </c>
      <c r="N28" s="128" t="str">
        <f>IFERROR(VLOOKUP(MID(I28,L28,M28-L28),[6]skilldef!$C:$D,2,FALSE),"-") &amp; " / " &amp; IFERROR(VLOOKUP(MID(I28,J28,K28-J28),[6]skilldef!$A:$B,2,FALSE),"-")</f>
        <v>- / -</v>
      </c>
      <c r="O28" s="128" t="str">
        <f t="shared" si="7"/>
        <v>[effect:panel_freeze, target:normal, color:block_blue, count:6]</v>
      </c>
      <c r="P28" s="125" t="str">
        <f>IFERROR(LEFT(O28,FIND("],",O28)+#REF!),O28)</f>
        <v>[effect:panel_freeze, target:normal, color:block_blue, count:6]</v>
      </c>
      <c r="Q28" s="128">
        <f t="shared" si="8"/>
        <v>9</v>
      </c>
      <c r="R28" s="128">
        <f t="shared" si="9"/>
        <v>21</v>
      </c>
      <c r="S28" s="128">
        <f t="shared" si="10"/>
        <v>30</v>
      </c>
      <c r="T28" s="128">
        <f t="shared" si="11"/>
        <v>36</v>
      </c>
      <c r="U28" s="128" t="str">
        <f>IFERROR(VLOOKUP(MID(P28,S28,T28-S28),[6]skilldef!$C:$D,2,FALSE),"-") &amp; " / " &amp; IFERROR(VLOOKUP(MID(P28,Q28,R28-Q28),[6]skilldef!$A:$B,2,FALSE),"-")</f>
        <v>- / -</v>
      </c>
      <c r="V28" s="125" t="str">
        <f t="shared" si="12"/>
        <v>none</v>
      </c>
      <c r="W28" s="128" t="e">
        <f t="shared" si="13"/>
        <v>#VALUE!</v>
      </c>
      <c r="X28" s="128">
        <f t="shared" si="14"/>
        <v>4</v>
      </c>
      <c r="Y28" s="128" t="e">
        <f t="shared" si="15"/>
        <v>#VALUE!</v>
      </c>
      <c r="Z28" s="128" t="e">
        <f t="shared" si="16"/>
        <v>#VALUE!</v>
      </c>
      <c r="AA28" s="128" t="str">
        <f>IFERROR(VLOOKUP(MID(V28,Y28,Z28-Y28),[6]skilldef!$C:$D,2,FALSE),"-") &amp; " / " &amp; IFERROR(VLOOKUP(MID(V28,W28,X28-W28),[6]skilldef!$A:$B,2,FALSE),"-")</f>
        <v>- / -</v>
      </c>
      <c r="AB28" s="127"/>
      <c r="AC28" s="129"/>
      <c r="AD28" s="127"/>
      <c r="AE28" s="130" t="s">
        <v>316</v>
      </c>
      <c r="AF28" s="131"/>
    </row>
    <row r="29" spans="1:32" s="132" customFormat="1" ht="33" customHeight="1" x14ac:dyDescent="0.15">
      <c r="A29" s="202">
        <f t="shared" si="33"/>
        <v>40046534</v>
      </c>
      <c r="B29" s="47" t="str">
        <f t="shared" si="1"/>
        <v>[effect:enemy_message, val1:1.2, val2:1.3],[effect:break_attack_fix, target:unit_all, val:150, lowest_val:200, count:-1, block01:block_blue]</v>
      </c>
      <c r="C29" s="223">
        <v>3</v>
      </c>
      <c r="D29" s="49" t="s">
        <v>126</v>
      </c>
      <c r="E29" s="100"/>
      <c r="F29" s="195" t="s">
        <v>460</v>
      </c>
      <c r="G29" s="150" t="s">
        <v>272</v>
      </c>
      <c r="H29" s="150" t="s">
        <v>333</v>
      </c>
      <c r="I29" s="128" t="str">
        <f t="shared" si="2"/>
        <v>[effect:enemy_message, val1:1.2, val2:1.3]</v>
      </c>
      <c r="J29" s="128">
        <f t="shared" si="3"/>
        <v>9</v>
      </c>
      <c r="K29" s="128">
        <f t="shared" si="4"/>
        <v>22</v>
      </c>
      <c r="L29" s="128" t="e">
        <f t="shared" si="5"/>
        <v>#VALUE!</v>
      </c>
      <c r="M29" s="128">
        <f t="shared" si="6"/>
        <v>32</v>
      </c>
      <c r="N29" s="128" t="str">
        <f>IFERROR(VLOOKUP(MID(I29,L29,M29-L29),[6]skilldef!$C:$D,2,FALSE),"-") &amp; " / " &amp; IFERROR(VLOOKUP(MID(I29,J29,K29-J29),[6]skilldef!$A:$B,2,FALSE),"-")</f>
        <v>- / -</v>
      </c>
      <c r="O29" s="128" t="str">
        <f t="shared" si="7"/>
        <v>[effect:break_attack_fix, target:unit_all, val:150, lowest_val:200, count:-1, block01:block_blue]</v>
      </c>
      <c r="P29" s="125" t="str">
        <f>IFERROR(LEFT(O29,FIND("],",O29)+#REF!),O29)</f>
        <v>[effect:break_attack_fix, target:unit_all, val:150, lowest_val:200, count:-1, block01:block_blue]</v>
      </c>
      <c r="Q29" s="128">
        <f t="shared" si="8"/>
        <v>9</v>
      </c>
      <c r="R29" s="128">
        <f t="shared" si="9"/>
        <v>25</v>
      </c>
      <c r="S29" s="128">
        <f t="shared" si="10"/>
        <v>34</v>
      </c>
      <c r="T29" s="128">
        <f t="shared" si="11"/>
        <v>42</v>
      </c>
      <c r="U29" s="128" t="str">
        <f>IFERROR(VLOOKUP(MID(P29,S29,T29-S29),[6]skilldef!$C:$D,2,FALSE),"-") &amp; " / " &amp; IFERROR(VLOOKUP(MID(P29,Q29,R29-Q29),[6]skilldef!$A:$B,2,FALSE),"-")</f>
        <v>味方全体に / -</v>
      </c>
      <c r="V29" s="125" t="str">
        <f t="shared" si="12"/>
        <v>none</v>
      </c>
      <c r="W29" s="128" t="e">
        <f t="shared" si="13"/>
        <v>#VALUE!</v>
      </c>
      <c r="X29" s="128">
        <f t="shared" si="14"/>
        <v>4</v>
      </c>
      <c r="Y29" s="128" t="e">
        <f t="shared" si="15"/>
        <v>#VALUE!</v>
      </c>
      <c r="Z29" s="128" t="e">
        <f t="shared" si="16"/>
        <v>#VALUE!</v>
      </c>
      <c r="AA29" s="128" t="str">
        <f>IFERROR(VLOOKUP(MID(V29,Y29,Z29-Y29),[6]skilldef!$C:$D,2,FALSE),"-") &amp; " / " &amp; IFERROR(VLOOKUP(MID(V29,W29,X29-W29),[6]skilldef!$A:$B,2,FALSE),"-")</f>
        <v>- / -</v>
      </c>
      <c r="AB29" s="127"/>
      <c r="AC29" s="129"/>
      <c r="AD29" s="127"/>
      <c r="AE29" s="206" t="s">
        <v>430</v>
      </c>
      <c r="AF29" s="131"/>
    </row>
    <row r="30" spans="1:32" s="132" customFormat="1" ht="33" customHeight="1" x14ac:dyDescent="0.15">
      <c r="A30" s="202">
        <f t="shared" si="33"/>
        <v>40046535</v>
      </c>
      <c r="B30" s="47" t="str">
        <f t="shared" si="1"/>
        <v>[effect:enemy_message, val1:1.2, val2:1.2],[effect:spread, val:0.25]</v>
      </c>
      <c r="C30" s="223">
        <v>3</v>
      </c>
      <c r="D30" s="49" t="s">
        <v>126</v>
      </c>
      <c r="E30" s="100"/>
      <c r="F30" s="195" t="s">
        <v>391</v>
      </c>
      <c r="G30" s="150" t="s">
        <v>273</v>
      </c>
      <c r="H30" s="150" t="s">
        <v>308</v>
      </c>
      <c r="I30" s="128" t="str">
        <f t="shared" si="2"/>
        <v>[effect:enemy_message, val1:1.2, val2:1.2]</v>
      </c>
      <c r="J30" s="128">
        <f t="shared" si="3"/>
        <v>9</v>
      </c>
      <c r="K30" s="128">
        <f t="shared" si="4"/>
        <v>22</v>
      </c>
      <c r="L30" s="128" t="e">
        <f t="shared" si="5"/>
        <v>#VALUE!</v>
      </c>
      <c r="M30" s="128">
        <f t="shared" si="6"/>
        <v>32</v>
      </c>
      <c r="N30" s="128" t="str">
        <f>IFERROR(VLOOKUP(MID(I30,L30,M30-L30),[6]skilldef!$C:$D,2,FALSE),"-") &amp; " / " &amp; IFERROR(VLOOKUP(MID(I30,J30,K30-J30),[6]skilldef!$A:$B,2,FALSE),"-")</f>
        <v>- / -</v>
      </c>
      <c r="O30" s="128" t="str">
        <f t="shared" si="7"/>
        <v>[effect:spread, val:0.25]</v>
      </c>
      <c r="P30" s="125" t="str">
        <f>IFERROR(LEFT(O30,FIND("],",O30)+#REF!),O30)</f>
        <v>[effect:spread, val:0.25]</v>
      </c>
      <c r="Q30" s="128">
        <f t="shared" si="8"/>
        <v>9</v>
      </c>
      <c r="R30" s="128">
        <f t="shared" si="9"/>
        <v>15</v>
      </c>
      <c r="S30" s="128" t="e">
        <f t="shared" si="10"/>
        <v>#VALUE!</v>
      </c>
      <c r="T30" s="128" t="e">
        <f t="shared" si="11"/>
        <v>#VALUE!</v>
      </c>
      <c r="U30" s="128" t="str">
        <f>IFERROR(VLOOKUP(MID(P30,S30,T30-S30),[6]skilldef!$C:$D,2,FALSE),"-") &amp; " / " &amp; IFERROR(VLOOKUP(MID(P30,Q30,R30-Q30),[6]skilldef!$A:$B,2,FALSE),"-")</f>
        <v>- / 全体攻撃</v>
      </c>
      <c r="V30" s="125" t="str">
        <f t="shared" si="12"/>
        <v>none</v>
      </c>
      <c r="W30" s="128" t="e">
        <f t="shared" si="13"/>
        <v>#VALUE!</v>
      </c>
      <c r="X30" s="128">
        <f t="shared" si="14"/>
        <v>4</v>
      </c>
      <c r="Y30" s="128" t="e">
        <f t="shared" si="15"/>
        <v>#VALUE!</v>
      </c>
      <c r="Z30" s="128" t="e">
        <f t="shared" si="16"/>
        <v>#VALUE!</v>
      </c>
      <c r="AA30" s="128" t="str">
        <f>IFERROR(VLOOKUP(MID(V30,Y30,Z30-Y30),[6]skilldef!$C:$D,2,FALSE),"-") &amp; " / " &amp; IFERROR(VLOOKUP(MID(V30,W30,X30-W30),[6]skilldef!$A:$B,2,FALSE),"-")</f>
        <v>- / -</v>
      </c>
      <c r="AB30" s="127"/>
      <c r="AC30" s="129"/>
      <c r="AD30" s="127"/>
      <c r="AE30" s="130" t="s">
        <v>395</v>
      </c>
      <c r="AF30" s="131"/>
    </row>
    <row r="31" spans="1:32" s="132" customFormat="1" ht="33" customHeight="1" x14ac:dyDescent="0.15">
      <c r="A31" s="202">
        <f t="shared" si="33"/>
        <v>40046536</v>
      </c>
      <c r="B31" s="47" t="str">
        <f t="shared" si="1"/>
        <v>[effect:enemy_message, val1:1.2, val2:2.7],[effect:rush, count:2, val:0.4],[effect:degrade_unit, target:unit_all, turn:2, status:heal, val:0.3, calc:mul, animation:degrade_unit_all_heal]</v>
      </c>
      <c r="C31" s="223">
        <v>3</v>
      </c>
      <c r="D31" s="49" t="s">
        <v>126</v>
      </c>
      <c r="E31" s="100"/>
      <c r="F31" s="195" t="s">
        <v>466</v>
      </c>
      <c r="G31" s="150" t="s">
        <v>274</v>
      </c>
      <c r="H31" s="150" t="s">
        <v>323</v>
      </c>
      <c r="I31" s="128" t="str">
        <f t="shared" si="2"/>
        <v>[effect:enemy_message, val1:1.2, val2:2.7]</v>
      </c>
      <c r="J31" s="128">
        <f t="shared" si="3"/>
        <v>9</v>
      </c>
      <c r="K31" s="128">
        <f t="shared" si="4"/>
        <v>22</v>
      </c>
      <c r="L31" s="128" t="e">
        <f t="shared" si="5"/>
        <v>#VALUE!</v>
      </c>
      <c r="M31" s="128">
        <f t="shared" si="6"/>
        <v>32</v>
      </c>
      <c r="N31" s="128" t="str">
        <f>IFERROR(VLOOKUP(MID(I31,L31,M31-L31),[6]skilldef!$C:$D,2,FALSE),"-") &amp; " / " &amp; IFERROR(VLOOKUP(MID(I31,J31,K31-J31),[6]skilldef!$A:$B,2,FALSE),"-")</f>
        <v>- / -</v>
      </c>
      <c r="O31" s="128" t="str">
        <f t="shared" si="7"/>
        <v>[effect:rush, count:2, val:0.4],[effect:degrade_unit, target:unit_all, turn:2, status:heal, val:0.3, calc:mul, animation:degrade_unit_all_heal]</v>
      </c>
      <c r="P31" s="125" t="str">
        <f>IFERROR(LEFT(O31,FIND("],",O31)+#REF!),O31)</f>
        <v>[effect:rush, count:2, val:0.4],[effect:degrade_unit, target:unit_all, turn:2, status:heal, val:0.3, calc:mul, animation:degrade_unit_all_heal]</v>
      </c>
      <c r="Q31" s="128">
        <f t="shared" si="8"/>
        <v>9</v>
      </c>
      <c r="R31" s="128">
        <f t="shared" si="9"/>
        <v>13</v>
      </c>
      <c r="S31" s="128">
        <f t="shared" si="10"/>
        <v>62</v>
      </c>
      <c r="T31" s="128">
        <f t="shared" si="11"/>
        <v>22</v>
      </c>
      <c r="U31" s="128" t="str">
        <f>IFERROR(VLOOKUP(MID(P31,S31,T31-S31),[6]skilldef!$C:$D,2,FALSE),"-") &amp; " / " &amp; IFERROR(VLOOKUP(MID(P31,Q31,R31-Q31),[6]skilldef!$A:$B,2,FALSE),"-")</f>
        <v>- / 連続攻撃</v>
      </c>
      <c r="V31" s="125" t="str">
        <f t="shared" si="12"/>
        <v>[effect:degrade_unit, target:unit_all, turn:2, status:heal, val:0.3, calc:mul, animation:degrade_unit_all_heal]</v>
      </c>
      <c r="W31" s="128">
        <f t="shared" si="13"/>
        <v>9</v>
      </c>
      <c r="X31" s="128">
        <f t="shared" si="14"/>
        <v>21</v>
      </c>
      <c r="Y31" s="128">
        <f t="shared" si="15"/>
        <v>30</v>
      </c>
      <c r="Z31" s="128">
        <f t="shared" si="16"/>
        <v>38</v>
      </c>
      <c r="AA31" s="128" t="str">
        <f>IFERROR(VLOOKUP(MID(V31,Y31,Z31-Y31),[6]skilldef!$C:$D,2,FALSE),"-") &amp; " / " &amp; IFERROR(VLOOKUP(MID(V31,W31,X31-W31),[6]skilldef!$A:$B,2,FALSE),"-")</f>
        <v>味方全体に / ステータスDOWN</v>
      </c>
      <c r="AB31" s="127"/>
      <c r="AC31" s="129"/>
      <c r="AD31" s="127"/>
      <c r="AE31" s="130" t="s">
        <v>326</v>
      </c>
      <c r="AF31" s="131"/>
    </row>
    <row r="32" spans="1:32" s="132" customFormat="1" ht="33" customHeight="1" x14ac:dyDescent="0.15">
      <c r="A32" s="202">
        <f t="shared" si="33"/>
        <v>40046537</v>
      </c>
      <c r="B32" s="47" t="str">
        <f t="shared" si="1"/>
        <v>[effect:enemy_message, val1:1.6, val2:2.4],[effect:rush, count:3, val:0.3],[effect:panel_freeze, target:normal, color:block_heart, count:3]</v>
      </c>
      <c r="C32" s="223">
        <v>3</v>
      </c>
      <c r="D32" s="49" t="s">
        <v>126</v>
      </c>
      <c r="E32" s="100"/>
      <c r="F32" s="195" t="s">
        <v>561</v>
      </c>
      <c r="G32" s="150" t="s">
        <v>283</v>
      </c>
      <c r="H32" s="150" t="s">
        <v>307</v>
      </c>
      <c r="I32" s="128" t="str">
        <f t="shared" si="2"/>
        <v>[effect:enemy_message, val1:1.6, val2:2.4]</v>
      </c>
      <c r="J32" s="128">
        <f t="shared" si="3"/>
        <v>9</v>
      </c>
      <c r="K32" s="128">
        <f t="shared" si="4"/>
        <v>22</v>
      </c>
      <c r="L32" s="128" t="e">
        <f t="shared" si="5"/>
        <v>#VALUE!</v>
      </c>
      <c r="M32" s="128">
        <f t="shared" si="6"/>
        <v>32</v>
      </c>
      <c r="N32" s="128" t="str">
        <f>IFERROR(VLOOKUP(MID(I32,L32,M32-L32),[6]skilldef!$C:$D,2,FALSE),"-") &amp; " / " &amp; IFERROR(VLOOKUP(MID(I32,J32,K32-J32),[6]skilldef!$A:$B,2,FALSE),"-")</f>
        <v>- / -</v>
      </c>
      <c r="O32" s="128" t="str">
        <f t="shared" si="7"/>
        <v>[effect:rush, count:3, val:0.3],[effect:panel_freeze, target:normal, color:block_heart, count:3]</v>
      </c>
      <c r="P32" s="125" t="str">
        <f>IFERROR(LEFT(O32,FIND("],",O32)+#REF!),O32)</f>
        <v>[effect:rush, count:3, val:0.3],[effect:panel_freeze, target:normal, color:block_heart, count:3]</v>
      </c>
      <c r="Q32" s="128">
        <f t="shared" si="8"/>
        <v>9</v>
      </c>
      <c r="R32" s="128">
        <f t="shared" si="9"/>
        <v>13</v>
      </c>
      <c r="S32" s="128">
        <f t="shared" si="10"/>
        <v>62</v>
      </c>
      <c r="T32" s="128">
        <f t="shared" si="11"/>
        <v>22</v>
      </c>
      <c r="U32" s="128" t="str">
        <f>IFERROR(VLOOKUP(MID(P32,S32,T32-S32),[6]skilldef!$C:$D,2,FALSE),"-") &amp; " / " &amp; IFERROR(VLOOKUP(MID(P32,Q32,R32-Q32),[6]skilldef!$A:$B,2,FALSE),"-")</f>
        <v>- / 連続攻撃</v>
      </c>
      <c r="V32" s="125" t="str">
        <f t="shared" si="12"/>
        <v>[effect:panel_freeze, target:normal, color:block_heart, count:3]</v>
      </c>
      <c r="W32" s="128">
        <f t="shared" si="13"/>
        <v>9</v>
      </c>
      <c r="X32" s="128">
        <f t="shared" si="14"/>
        <v>21</v>
      </c>
      <c r="Y32" s="128">
        <f t="shared" si="15"/>
        <v>30</v>
      </c>
      <c r="Z32" s="128">
        <f t="shared" si="16"/>
        <v>36</v>
      </c>
      <c r="AA32" s="128" t="str">
        <f>IFERROR(VLOOKUP(MID(V32,Y32,Z32-Y32),[6]skilldef!$C:$D,2,FALSE),"-") &amp; " / " &amp; IFERROR(VLOOKUP(MID(V32,W32,X32-W32),[6]skilldef!$A:$B,2,FALSE),"-")</f>
        <v>- / -</v>
      </c>
      <c r="AB32" s="127"/>
      <c r="AC32" s="129"/>
      <c r="AD32" s="127"/>
      <c r="AE32" s="130" t="s">
        <v>327</v>
      </c>
      <c r="AF32" s="131"/>
    </row>
    <row r="33" spans="1:32" s="132" customFormat="1" ht="33" customHeight="1" x14ac:dyDescent="0.15">
      <c r="A33" s="203">
        <f t="shared" si="33"/>
        <v>40046540</v>
      </c>
      <c r="B33" s="47" t="str">
        <f t="shared" si="1"/>
        <v>[effect:enemy_message, val1:1.2, val2:2.0],[effect:drop_freeze, turn:-1, block_type:normal, block_color:block_green, rate:0.4, animation:drop_protect],[effect:fix_speed, target:myself, turn:2]</v>
      </c>
      <c r="C33" s="223">
        <v>3</v>
      </c>
      <c r="D33" s="49" t="s">
        <v>126</v>
      </c>
      <c r="E33" s="100"/>
      <c r="F33" s="196" t="s">
        <v>458</v>
      </c>
      <c r="G33" s="150" t="s">
        <v>270</v>
      </c>
      <c r="H33" s="150" t="s">
        <v>331</v>
      </c>
      <c r="I33" s="128" t="str">
        <f t="shared" si="2"/>
        <v>[effect:enemy_message, val1:1.2, val2:2.0]</v>
      </c>
      <c r="J33" s="128">
        <f t="shared" si="3"/>
        <v>9</v>
      </c>
      <c r="K33" s="128">
        <f t="shared" si="4"/>
        <v>22</v>
      </c>
      <c r="L33" s="128" t="e">
        <f t="shared" si="5"/>
        <v>#VALUE!</v>
      </c>
      <c r="M33" s="128">
        <f t="shared" si="6"/>
        <v>32</v>
      </c>
      <c r="N33" s="128" t="str">
        <f>IFERROR(VLOOKUP(MID(I33,L33,M33-L33),[6]skilldef!$C:$D,2,FALSE),"-") &amp; " / " &amp; IFERROR(VLOOKUP(MID(I33,J33,K33-J33),[6]skilldef!$A:$B,2,FALSE),"-")</f>
        <v>- / -</v>
      </c>
      <c r="O33" s="128" t="str">
        <f t="shared" si="7"/>
        <v>[effect:drop_freeze, turn:-1, block_type:normal, block_color:block_green, rate:0.4, animation:drop_protect],[effect:fix_speed, target:myself, turn:2]</v>
      </c>
      <c r="P33" s="125" t="str">
        <f>IFERROR(LEFT(O33,FIND("],",O33)+#REF!),O33)</f>
        <v>[effect:drop_freeze, turn:-1, block_type:normal, block_color:block_green, rate:0.4, animation:drop_protect],[effect:fix_speed, target:myself, turn:2]</v>
      </c>
      <c r="Q33" s="128">
        <f t="shared" si="8"/>
        <v>9</v>
      </c>
      <c r="R33" s="128">
        <f t="shared" si="9"/>
        <v>20</v>
      </c>
      <c r="S33" s="128">
        <f t="shared" si="10"/>
        <v>135</v>
      </c>
      <c r="T33" s="128">
        <f t="shared" si="11"/>
        <v>29</v>
      </c>
      <c r="U33" s="128" t="str">
        <f>IFERROR(VLOOKUP(MID(P33,S33,T33-S33),[6]skilldef!$C:$D,2,FALSE),"-") &amp; " / " &amp; IFERROR(VLOOKUP(MID(P33,Q33,R33-Q33),[6]skilldef!$A:$B,2,FALSE),"-")</f>
        <v>- / -</v>
      </c>
      <c r="V33" s="125" t="str">
        <f t="shared" si="12"/>
        <v>[effect:fix_speed, target:myself, turn:2]</v>
      </c>
      <c r="W33" s="128">
        <f t="shared" si="13"/>
        <v>9</v>
      </c>
      <c r="X33" s="128">
        <f t="shared" si="14"/>
        <v>18</v>
      </c>
      <c r="Y33" s="128">
        <f t="shared" si="15"/>
        <v>27</v>
      </c>
      <c r="Z33" s="128">
        <f t="shared" si="16"/>
        <v>33</v>
      </c>
      <c r="AA33" s="128" t="str">
        <f>IFERROR(VLOOKUP(MID(V33,Y33,Z33-Y33),[6]skilldef!$C:$D,2,FALSE),"-") &amp; " / " &amp; IFERROR(VLOOKUP(MID(V33,W33,X33-W33),[6]skilldef!$A:$B,2,FALSE),"-")</f>
        <v>自分自身に / 行動値設定</v>
      </c>
      <c r="AB33" s="127"/>
      <c r="AC33" s="129"/>
      <c r="AD33" s="127"/>
      <c r="AE33" s="206" t="s">
        <v>423</v>
      </c>
      <c r="AF33" s="131"/>
    </row>
    <row r="34" spans="1:32" s="132" customFormat="1" ht="33" customHeight="1" x14ac:dyDescent="0.15">
      <c r="A34" s="203">
        <f t="shared" si="33"/>
        <v>40046541</v>
      </c>
      <c r="B34" s="47" t="str">
        <f t="shared" si="1"/>
        <v>[effect:enemy_message, val1:1.2, val2:1.2],[effect:rush, count:1, val:0.7],[effect:rush, count:1, val:0.4]</v>
      </c>
      <c r="C34" s="223">
        <v>3</v>
      </c>
      <c r="D34" s="49" t="s">
        <v>126</v>
      </c>
      <c r="E34" s="100"/>
      <c r="F34" s="196" t="s">
        <v>469</v>
      </c>
      <c r="G34" s="150" t="s">
        <v>286</v>
      </c>
      <c r="H34" s="150" t="s">
        <v>357</v>
      </c>
      <c r="I34" s="128" t="str">
        <f t="shared" si="2"/>
        <v>[effect:enemy_message, val1:1.2, val2:1.2]</v>
      </c>
      <c r="J34" s="128">
        <f t="shared" si="3"/>
        <v>9</v>
      </c>
      <c r="K34" s="128">
        <f t="shared" si="4"/>
        <v>22</v>
      </c>
      <c r="L34" s="128" t="e">
        <f t="shared" si="5"/>
        <v>#VALUE!</v>
      </c>
      <c r="M34" s="128">
        <f t="shared" si="6"/>
        <v>32</v>
      </c>
      <c r="N34" s="128" t="str">
        <f>IFERROR(VLOOKUP(MID(I34,L34,M34-L34),[6]skilldef!$C:$D,2,FALSE),"-") &amp; " / " &amp; IFERROR(VLOOKUP(MID(I34,J34,K34-J34),[6]skilldef!$A:$B,2,FALSE),"-")</f>
        <v>- / -</v>
      </c>
      <c r="O34" s="128" t="str">
        <f t="shared" si="7"/>
        <v>[effect:rush, count:1, val:0.7],[effect:rush, count:1, val:0.4]</v>
      </c>
      <c r="P34" s="125" t="str">
        <f>IFERROR(LEFT(O34,FIND("],",O34)+#REF!),O34)</f>
        <v>[effect:rush, count:1, val:0.7],[effect:rush, count:1, val:0.4]</v>
      </c>
      <c r="Q34" s="128">
        <f t="shared" si="8"/>
        <v>9</v>
      </c>
      <c r="R34" s="128">
        <f t="shared" si="9"/>
        <v>13</v>
      </c>
      <c r="S34" s="128" t="e">
        <f t="shared" si="10"/>
        <v>#VALUE!</v>
      </c>
      <c r="T34" s="128">
        <f t="shared" si="11"/>
        <v>22</v>
      </c>
      <c r="U34" s="128" t="str">
        <f>IFERROR(VLOOKUP(MID(P34,S34,T34-S34),[6]skilldef!$C:$D,2,FALSE),"-") &amp; " / " &amp; IFERROR(VLOOKUP(MID(P34,Q34,R34-Q34),[6]skilldef!$A:$B,2,FALSE),"-")</f>
        <v>- / 連続攻撃</v>
      </c>
      <c r="V34" s="125" t="str">
        <f t="shared" si="12"/>
        <v>[effect:rush, count:1, val:0.4]</v>
      </c>
      <c r="W34" s="128">
        <f t="shared" si="13"/>
        <v>9</v>
      </c>
      <c r="X34" s="128">
        <f t="shared" si="14"/>
        <v>13</v>
      </c>
      <c r="Y34" s="128" t="e">
        <f t="shared" si="15"/>
        <v>#VALUE!</v>
      </c>
      <c r="Z34" s="128">
        <f t="shared" si="16"/>
        <v>22</v>
      </c>
      <c r="AA34" s="128" t="str">
        <f>IFERROR(VLOOKUP(MID(V34,Y34,Z34-Y34),[6]skilldef!$C:$D,2,FALSE),"-") &amp; " / " &amp; IFERROR(VLOOKUP(MID(V34,W34,X34-W34),[6]skilldef!$A:$B,2,FALSE),"-")</f>
        <v>- / 連続攻撃</v>
      </c>
      <c r="AB34" s="127"/>
      <c r="AC34" s="129"/>
      <c r="AD34" s="127"/>
      <c r="AE34" s="130" t="s">
        <v>344</v>
      </c>
      <c r="AF34" s="131"/>
    </row>
    <row r="35" spans="1:32" s="132" customFormat="1" ht="33" customHeight="1" x14ac:dyDescent="0.15">
      <c r="A35" s="203">
        <f t="shared" si="33"/>
        <v>40046542</v>
      </c>
      <c r="B35" s="47" t="str">
        <f t="shared" si="1"/>
        <v>[effect:enemy_message, val1:1.2, val2:1.2],[effect:rush, count:1, val:0.4],[effect:rush, count:1, val:0.2],[effect:rush, count:1, val:0.3]</v>
      </c>
      <c r="C35" s="223">
        <v>3</v>
      </c>
      <c r="D35" s="49" t="s">
        <v>126</v>
      </c>
      <c r="E35" s="100"/>
      <c r="F35" s="196" t="s">
        <v>471</v>
      </c>
      <c r="G35" s="150" t="s">
        <v>286</v>
      </c>
      <c r="H35" s="150" t="s">
        <v>358</v>
      </c>
      <c r="I35" s="128" t="str">
        <f t="shared" si="2"/>
        <v>[effect:enemy_message, val1:1.2, val2:1.2]</v>
      </c>
      <c r="J35" s="128">
        <f t="shared" si="3"/>
        <v>9</v>
      </c>
      <c r="K35" s="128">
        <f t="shared" si="4"/>
        <v>22</v>
      </c>
      <c r="L35" s="128" t="e">
        <f t="shared" si="5"/>
        <v>#VALUE!</v>
      </c>
      <c r="M35" s="128">
        <f t="shared" si="6"/>
        <v>32</v>
      </c>
      <c r="N35" s="128" t="str">
        <f>IFERROR(VLOOKUP(MID(I35,L35,M35-L35),[6]skilldef!$C:$D,2,FALSE),"-") &amp; " / " &amp; IFERROR(VLOOKUP(MID(I35,J35,K35-J35),[6]skilldef!$A:$B,2,FALSE),"-")</f>
        <v>- / -</v>
      </c>
      <c r="O35" s="128" t="str">
        <f t="shared" si="7"/>
        <v>[effect:rush, count:1, val:0.4],[effect:rush, count:1, val:0.2],[effect:rush, count:1, val:0.3]</v>
      </c>
      <c r="P35" s="125" t="str">
        <f>IFERROR(LEFT(O35,FIND("],",O35)+#REF!),O35)</f>
        <v>[effect:rush, count:1, val:0.4],[effect:rush, count:1, val:0.2],[effect:rush, count:1, val:0.3]</v>
      </c>
      <c r="Q35" s="128">
        <f t="shared" si="8"/>
        <v>9</v>
      </c>
      <c r="R35" s="128">
        <f t="shared" si="9"/>
        <v>13</v>
      </c>
      <c r="S35" s="128" t="e">
        <f t="shared" si="10"/>
        <v>#VALUE!</v>
      </c>
      <c r="T35" s="128">
        <f t="shared" si="11"/>
        <v>22</v>
      </c>
      <c r="U35" s="128" t="str">
        <f>IFERROR(VLOOKUP(MID(P35,S35,T35-S35),[6]skilldef!$C:$D,2,FALSE),"-") &amp; " / " &amp; IFERROR(VLOOKUP(MID(P35,Q35,R35-Q35),[6]skilldef!$A:$B,2,FALSE),"-")</f>
        <v>- / 連続攻撃</v>
      </c>
      <c r="V35" s="125" t="str">
        <f t="shared" si="12"/>
        <v>[effect:rush, count:1, val:0.2],[effect:rush, count:1, val:0.3]</v>
      </c>
      <c r="W35" s="128">
        <f t="shared" si="13"/>
        <v>9</v>
      </c>
      <c r="X35" s="128">
        <f t="shared" si="14"/>
        <v>13</v>
      </c>
      <c r="Y35" s="128" t="e">
        <f t="shared" si="15"/>
        <v>#VALUE!</v>
      </c>
      <c r="Z35" s="128">
        <f t="shared" si="16"/>
        <v>22</v>
      </c>
      <c r="AA35" s="128" t="str">
        <f>IFERROR(VLOOKUP(MID(V35,Y35,Z35-Y35),[6]skilldef!$C:$D,2,FALSE),"-") &amp; " / " &amp; IFERROR(VLOOKUP(MID(V35,W35,X35-W35),[6]skilldef!$A:$B,2,FALSE),"-")</f>
        <v>- / 連続攻撃</v>
      </c>
      <c r="AB35" s="127"/>
      <c r="AC35" s="129"/>
      <c r="AD35" s="127"/>
      <c r="AE35" s="130" t="s">
        <v>347</v>
      </c>
      <c r="AF35" s="131"/>
    </row>
    <row r="36" spans="1:32" s="132" customFormat="1" ht="33" customHeight="1" x14ac:dyDescent="0.15">
      <c r="A36" s="203">
        <f t="shared" si="33"/>
        <v>40046543</v>
      </c>
      <c r="B36" s="47" t="str">
        <f t="shared" si="1"/>
        <v>[effect:enemy_message, val1:1.2, val2:1.2],[effect:rush, count:1, val:0.1],[effect:rush, count:1, val:0.3],[effect:rush, count:1, val:0.2],[effect:rush, count:1, val:0.1]</v>
      </c>
      <c r="C36" s="223">
        <v>3</v>
      </c>
      <c r="D36" s="49" t="s">
        <v>126</v>
      </c>
      <c r="E36" s="100"/>
      <c r="F36" s="196" t="s">
        <v>473</v>
      </c>
      <c r="G36" s="150" t="s">
        <v>286</v>
      </c>
      <c r="H36" s="150" t="s">
        <v>359</v>
      </c>
      <c r="I36" s="128" t="str">
        <f t="shared" si="2"/>
        <v>[effect:enemy_message, val1:1.2, val2:1.2]</v>
      </c>
      <c r="J36" s="128">
        <f t="shared" si="3"/>
        <v>9</v>
      </c>
      <c r="K36" s="128">
        <f t="shared" si="4"/>
        <v>22</v>
      </c>
      <c r="L36" s="128" t="e">
        <f t="shared" si="5"/>
        <v>#VALUE!</v>
      </c>
      <c r="M36" s="128">
        <f t="shared" si="6"/>
        <v>32</v>
      </c>
      <c r="N36" s="128" t="str">
        <f>IFERROR(VLOOKUP(MID(I36,L36,M36-L36),[6]skilldef!$C:$D,2,FALSE),"-") &amp; " / " &amp; IFERROR(VLOOKUP(MID(I36,J36,K36-J36),[6]skilldef!$A:$B,2,FALSE),"-")</f>
        <v>- / -</v>
      </c>
      <c r="O36" s="128" t="str">
        <f t="shared" si="7"/>
        <v>[effect:rush, count:1, val:0.1],[effect:rush, count:1, val:0.3],[effect:rush, count:1, val:0.2],[effect:rush, count:1, val:0.1]</v>
      </c>
      <c r="P36" s="125" t="str">
        <f>IFERROR(LEFT(O36,FIND("],",O36)+#REF!),O36)</f>
        <v>[effect:rush, count:1, val:0.1],[effect:rush, count:1, val:0.3],[effect:rush, count:1, val:0.2],[effect:rush, count:1, val:0.1]</v>
      </c>
      <c r="Q36" s="128">
        <f t="shared" si="8"/>
        <v>9</v>
      </c>
      <c r="R36" s="128">
        <f t="shared" si="9"/>
        <v>13</v>
      </c>
      <c r="S36" s="128" t="e">
        <f t="shared" si="10"/>
        <v>#VALUE!</v>
      </c>
      <c r="T36" s="128">
        <f t="shared" si="11"/>
        <v>22</v>
      </c>
      <c r="U36" s="128" t="str">
        <f>IFERROR(VLOOKUP(MID(P36,S36,T36-S36),[6]skilldef!$C:$D,2,FALSE),"-") &amp; " / " &amp; IFERROR(VLOOKUP(MID(P36,Q36,R36-Q36),[6]skilldef!$A:$B,2,FALSE),"-")</f>
        <v>- / 連続攻撃</v>
      </c>
      <c r="V36" s="125" t="str">
        <f t="shared" si="12"/>
        <v>[effect:rush, count:1, val:0.3],[effect:rush, count:1, val:0.2],[effect:rush, count:1, val:0.1]</v>
      </c>
      <c r="W36" s="128">
        <f t="shared" si="13"/>
        <v>9</v>
      </c>
      <c r="X36" s="128">
        <f t="shared" si="14"/>
        <v>13</v>
      </c>
      <c r="Y36" s="128" t="e">
        <f t="shared" si="15"/>
        <v>#VALUE!</v>
      </c>
      <c r="Z36" s="128">
        <f t="shared" si="16"/>
        <v>22</v>
      </c>
      <c r="AA36" s="128" t="str">
        <f>IFERROR(VLOOKUP(MID(V36,Y36,Z36-Y36),[6]skilldef!$C:$D,2,FALSE),"-") &amp; " / " &amp; IFERROR(VLOOKUP(MID(V36,W36,X36-W36),[6]skilldef!$A:$B,2,FALSE),"-")</f>
        <v>- / 連続攻撃</v>
      </c>
      <c r="AB36" s="127"/>
      <c r="AC36" s="129"/>
      <c r="AD36" s="127"/>
      <c r="AE36" s="130" t="s">
        <v>346</v>
      </c>
      <c r="AF36" s="131"/>
    </row>
    <row r="37" spans="1:32" s="132" customFormat="1" ht="33" customHeight="1" x14ac:dyDescent="0.15">
      <c r="A37" s="203">
        <f t="shared" si="33"/>
        <v>40046544</v>
      </c>
      <c r="B37" s="47" t="str">
        <f t="shared" si="1"/>
        <v>[effect:enemy_message, val1:1.2, val2:1.2],[effect:rush, count:1, val:0.1],[effect:rush, count:1, val:0.1],[effect:rush, count:1, val:0.1],[effect:rush, count:1, val:0.1],[effect:rush, count:1, val:0.1]</v>
      </c>
      <c r="C37" s="223">
        <v>3</v>
      </c>
      <c r="D37" s="49" t="s">
        <v>126</v>
      </c>
      <c r="E37" s="100"/>
      <c r="F37" s="196" t="s">
        <v>475</v>
      </c>
      <c r="G37" s="150" t="s">
        <v>286</v>
      </c>
      <c r="H37" s="150" t="s">
        <v>360</v>
      </c>
      <c r="I37" s="128" t="str">
        <f t="shared" si="2"/>
        <v>[effect:enemy_message, val1:1.2, val2:1.2]</v>
      </c>
      <c r="J37" s="128">
        <f t="shared" si="3"/>
        <v>9</v>
      </c>
      <c r="K37" s="128">
        <f t="shared" si="4"/>
        <v>22</v>
      </c>
      <c r="L37" s="128" t="e">
        <f t="shared" si="5"/>
        <v>#VALUE!</v>
      </c>
      <c r="M37" s="128">
        <f t="shared" si="6"/>
        <v>32</v>
      </c>
      <c r="N37" s="128" t="str">
        <f>IFERROR(VLOOKUP(MID(I37,L37,M37-L37),[6]skilldef!$C:$D,2,FALSE),"-") &amp; " / " &amp; IFERROR(VLOOKUP(MID(I37,J37,K37-J37),[6]skilldef!$A:$B,2,FALSE),"-")</f>
        <v>- / -</v>
      </c>
      <c r="O37" s="128" t="str">
        <f t="shared" si="7"/>
        <v>[effect:rush, count:1, val:0.1],[effect:rush, count:1, val:0.1],[effect:rush, count:1, val:0.1],[effect:rush, count:1, val:0.1],[effect:rush, count:1, val:0.1]</v>
      </c>
      <c r="P37" s="125" t="str">
        <f>IFERROR(LEFT(O37,FIND("],",O37)+#REF!),O37)</f>
        <v>[effect:rush, count:1, val:0.1],[effect:rush, count:1, val:0.1],[effect:rush, count:1, val:0.1],[effect:rush, count:1, val:0.1],[effect:rush, count:1, val:0.1]</v>
      </c>
      <c r="Q37" s="128">
        <f t="shared" si="8"/>
        <v>9</v>
      </c>
      <c r="R37" s="128">
        <f t="shared" si="9"/>
        <v>13</v>
      </c>
      <c r="S37" s="128" t="e">
        <f t="shared" si="10"/>
        <v>#VALUE!</v>
      </c>
      <c r="T37" s="128">
        <f t="shared" si="11"/>
        <v>22</v>
      </c>
      <c r="U37" s="128" t="str">
        <f>IFERROR(VLOOKUP(MID(P37,S37,T37-S37),[6]skilldef!$C:$D,2,FALSE),"-") &amp; " / " &amp; IFERROR(VLOOKUP(MID(P37,Q37,R37-Q37),[6]skilldef!$A:$B,2,FALSE),"-")</f>
        <v>- / 連続攻撃</v>
      </c>
      <c r="V37" s="125" t="str">
        <f t="shared" si="12"/>
        <v>[effect:rush, count:1, val:0.1],[effect:rush, count:1, val:0.1],[effect:rush, count:1, val:0.1],[effect:rush, count:1, val:0.1]</v>
      </c>
      <c r="W37" s="128">
        <f t="shared" si="13"/>
        <v>9</v>
      </c>
      <c r="X37" s="128">
        <f t="shared" si="14"/>
        <v>13</v>
      </c>
      <c r="Y37" s="128" t="e">
        <f t="shared" si="15"/>
        <v>#VALUE!</v>
      </c>
      <c r="Z37" s="128">
        <f t="shared" si="16"/>
        <v>22</v>
      </c>
      <c r="AA37" s="128" t="str">
        <f>IFERROR(VLOOKUP(MID(V37,Y37,Z37-Y37),[6]skilldef!$C:$D,2,FALSE),"-") &amp; " / " &amp; IFERROR(VLOOKUP(MID(V37,W37,X37-W37),[6]skilldef!$A:$B,2,FALSE),"-")</f>
        <v>- / 連続攻撃</v>
      </c>
      <c r="AB37" s="127"/>
      <c r="AC37" s="129"/>
      <c r="AD37" s="127"/>
      <c r="AE37" s="130" t="s">
        <v>345</v>
      </c>
      <c r="AF37" s="131"/>
    </row>
    <row r="38" spans="1:32" s="132" customFormat="1" ht="33" customHeight="1" x14ac:dyDescent="0.15">
      <c r="A38" s="203">
        <f t="shared" si="33"/>
        <v>40046545</v>
      </c>
      <c r="B38" s="47" t="str">
        <f t="shared" si="1"/>
        <v xml:space="preserve">[effect:enemy_message, val1:1.2, val2:3.0],[effect:freq_turn, target:myself, turn:-1, val:1, animation:enemy_freq_turn],[effect:crash_condition, target:unit_all, turn:3, val:2, animation:enemy_crash_extend]    </v>
      </c>
      <c r="C38" s="223">
        <v>3</v>
      </c>
      <c r="D38" s="49" t="s">
        <v>126</v>
      </c>
      <c r="E38" s="100"/>
      <c r="F38" s="196" t="s">
        <v>464</v>
      </c>
      <c r="G38" s="150" t="s">
        <v>334</v>
      </c>
      <c r="H38" s="207" t="s">
        <v>546</v>
      </c>
      <c r="I38" s="208"/>
      <c r="J38" s="208"/>
      <c r="K38" s="208"/>
      <c r="L38" s="208"/>
      <c r="M38" s="208"/>
      <c r="N38" s="208"/>
      <c r="O38" s="208"/>
      <c r="P38" s="209"/>
      <c r="Q38" s="208"/>
      <c r="R38" s="208"/>
      <c r="S38" s="208"/>
      <c r="T38" s="208"/>
      <c r="U38" s="208"/>
      <c r="V38" s="209"/>
      <c r="W38" s="208"/>
      <c r="X38" s="208"/>
      <c r="Y38" s="208"/>
      <c r="Z38" s="208"/>
      <c r="AA38" s="208"/>
      <c r="AB38" s="210"/>
      <c r="AC38" s="211"/>
      <c r="AD38" s="210"/>
      <c r="AE38" s="206" t="s">
        <v>424</v>
      </c>
      <c r="AF38" s="131"/>
    </row>
    <row r="39" spans="1:32" s="132" customFormat="1" ht="33" customHeight="1" x14ac:dyDescent="0.15">
      <c r="A39" s="203">
        <f t="shared" si="33"/>
        <v>40046546</v>
      </c>
      <c r="B39" s="47" t="str">
        <f t="shared" si="1"/>
        <v>[effect:enemy_message, val1:1.2, val2:1.2],[effect:rush, count:1, val:0.1],[effect:rush, count:1, val:0.1],[effect:rush, count:1, val:0.1]</v>
      </c>
      <c r="C39" s="223">
        <v>3</v>
      </c>
      <c r="D39" s="49" t="s">
        <v>126</v>
      </c>
      <c r="E39" s="100"/>
      <c r="F39" s="196" t="s">
        <v>469</v>
      </c>
      <c r="G39" s="150" t="s">
        <v>287</v>
      </c>
      <c r="H39" s="150" t="s">
        <v>358</v>
      </c>
      <c r="I39" s="128" t="str">
        <f t="shared" ref="I39:I42" si="34">IFERROR(LEFT(B39,FIND("],",B39)),B39)</f>
        <v>[effect:enemy_message, val1:1.2, val2:1.2]</v>
      </c>
      <c r="J39" s="128">
        <f t="shared" ref="J39:J42" si="35">FIND("effect:",I39)+7</f>
        <v>9</v>
      </c>
      <c r="K39" s="128">
        <f t="shared" ref="K39:K42" si="36">IFERROR(FIND(",",I39),LEN(I39))</f>
        <v>22</v>
      </c>
      <c r="L39" s="128" t="e">
        <f t="shared" ref="L39:L42" si="37">FIND("target:",I39)+7</f>
        <v>#VALUE!</v>
      </c>
      <c r="M39" s="128">
        <f t="shared" ref="M39:M42" si="38">FIND(",",I39,K39+1)</f>
        <v>32</v>
      </c>
      <c r="N39" s="128" t="str">
        <f>IFERROR(VLOOKUP(MID(I39,L39,M39-L39),[6]skilldef!$C:$D,2,FALSE),"-") &amp; " / " &amp; IFERROR(VLOOKUP(MID(I39,J39,K39-J39),[6]skilldef!$A:$B,2,FALSE),"-")</f>
        <v>- / -</v>
      </c>
      <c r="O39" s="128" t="str">
        <f t="shared" ref="O39:O42" si="39">IFERROR(RIGHT(B39,LEN(B39)-FIND("],",B39)-1),"none")</f>
        <v>[effect:rush, count:1, val:0.1],[effect:rush, count:1, val:0.1],[effect:rush, count:1, val:0.1]</v>
      </c>
      <c r="P39" s="125" t="str">
        <f>IFERROR(LEFT(O39,FIND("],",O39)+#REF!),O39)</f>
        <v>[effect:rush, count:1, val:0.1],[effect:rush, count:1, val:0.1],[effect:rush, count:1, val:0.1]</v>
      </c>
      <c r="Q39" s="128">
        <f t="shared" ref="Q39:Q42" si="40">FIND("effect:",P39)+7</f>
        <v>9</v>
      </c>
      <c r="R39" s="128">
        <f t="shared" ref="R39:R42" si="41">IFERROR(FIND(",",P39),LEN(P39))</f>
        <v>13</v>
      </c>
      <c r="S39" s="128" t="e">
        <f t="shared" ref="S39:S42" si="42">FIND("target:",P39)+7</f>
        <v>#VALUE!</v>
      </c>
      <c r="T39" s="128">
        <f t="shared" ref="T39:T42" si="43">FIND(",",P39,R39+1)</f>
        <v>22</v>
      </c>
      <c r="U39" s="128" t="str">
        <f>IFERROR(VLOOKUP(MID(P39,S39,T39-S39),[6]skilldef!$C:$D,2,FALSE),"-") &amp; " / " &amp; IFERROR(VLOOKUP(MID(P39,Q39,R39-Q39),[6]skilldef!$A:$B,2,FALSE),"-")</f>
        <v>- / 連続攻撃</v>
      </c>
      <c r="V39" s="125" t="str">
        <f t="shared" ref="V39:V42" si="44">IFERROR(RIGHT(O39,LEN(O39)-FIND("],",O39)-1),"none")</f>
        <v>[effect:rush, count:1, val:0.1],[effect:rush, count:1, val:0.1]</v>
      </c>
      <c r="W39" s="128">
        <f t="shared" ref="W39:W42" si="45">FIND("effect:",V39)+7</f>
        <v>9</v>
      </c>
      <c r="X39" s="128">
        <f t="shared" ref="X39:X42" si="46">IFERROR(FIND(",",V39),LEN(V39))</f>
        <v>13</v>
      </c>
      <c r="Y39" s="128" t="e">
        <f t="shared" ref="Y39:Y42" si="47">FIND("target:",V39)+7</f>
        <v>#VALUE!</v>
      </c>
      <c r="Z39" s="128">
        <f t="shared" ref="Z39:Z42" si="48">FIND(",",V39,X39+1)</f>
        <v>22</v>
      </c>
      <c r="AA39" s="128" t="str">
        <f>IFERROR(VLOOKUP(MID(V39,Y39,Z39-Y39),[6]skilldef!$C:$D,2,FALSE),"-") &amp; " / " &amp; IFERROR(VLOOKUP(MID(V39,W39,X39-W39),[6]skilldef!$A:$B,2,FALSE),"-")</f>
        <v>- / 連続攻撃</v>
      </c>
      <c r="AB39" s="127"/>
      <c r="AC39" s="129"/>
      <c r="AD39" s="127"/>
      <c r="AE39" s="130" t="s">
        <v>336</v>
      </c>
      <c r="AF39" s="131"/>
    </row>
    <row r="40" spans="1:32" s="132" customFormat="1" ht="33" customHeight="1" x14ac:dyDescent="0.15">
      <c r="A40" s="203">
        <f t="shared" si="33"/>
        <v>40046547</v>
      </c>
      <c r="B40" s="47" t="str">
        <f t="shared" si="1"/>
        <v>[effect:enemy_message, val1:1.2, val2:1.2],[effect:rush, count:1, val:0.3],[effect:rush, count:1, val:0.1],[effect:rush, count:1, val:0.1]</v>
      </c>
      <c r="C40" s="223">
        <v>3</v>
      </c>
      <c r="D40" s="49" t="s">
        <v>126</v>
      </c>
      <c r="E40" s="100"/>
      <c r="F40" s="196" t="s">
        <v>471</v>
      </c>
      <c r="G40" s="150" t="s">
        <v>287</v>
      </c>
      <c r="H40" s="150" t="s">
        <v>358</v>
      </c>
      <c r="I40" s="128" t="str">
        <f t="shared" si="34"/>
        <v>[effect:enemy_message, val1:1.2, val2:1.2]</v>
      </c>
      <c r="J40" s="128">
        <f t="shared" si="35"/>
        <v>9</v>
      </c>
      <c r="K40" s="128">
        <f t="shared" si="36"/>
        <v>22</v>
      </c>
      <c r="L40" s="128" t="e">
        <f t="shared" si="37"/>
        <v>#VALUE!</v>
      </c>
      <c r="M40" s="128">
        <f t="shared" si="38"/>
        <v>32</v>
      </c>
      <c r="N40" s="128" t="str">
        <f>IFERROR(VLOOKUP(MID(I40,L40,M40-L40),[6]skilldef!$C:$D,2,FALSE),"-") &amp; " / " &amp; IFERROR(VLOOKUP(MID(I40,J40,K40-J40),[6]skilldef!$A:$B,2,FALSE),"-")</f>
        <v>- / -</v>
      </c>
      <c r="O40" s="128" t="str">
        <f t="shared" si="39"/>
        <v>[effect:rush, count:1, val:0.3],[effect:rush, count:1, val:0.1],[effect:rush, count:1, val:0.1]</v>
      </c>
      <c r="P40" s="125" t="str">
        <f>IFERROR(LEFT(O40,FIND("],",O40)+#REF!),O40)</f>
        <v>[effect:rush, count:1, val:0.3],[effect:rush, count:1, val:0.1],[effect:rush, count:1, val:0.1]</v>
      </c>
      <c r="Q40" s="128">
        <f t="shared" si="40"/>
        <v>9</v>
      </c>
      <c r="R40" s="128">
        <f t="shared" si="41"/>
        <v>13</v>
      </c>
      <c r="S40" s="128" t="e">
        <f t="shared" si="42"/>
        <v>#VALUE!</v>
      </c>
      <c r="T40" s="128">
        <f t="shared" si="43"/>
        <v>22</v>
      </c>
      <c r="U40" s="128" t="str">
        <f>IFERROR(VLOOKUP(MID(P40,S40,T40-S40),[6]skilldef!$C:$D,2,FALSE),"-") &amp; " / " &amp; IFERROR(VLOOKUP(MID(P40,Q40,R40-Q40),[6]skilldef!$A:$B,2,FALSE),"-")</f>
        <v>- / 連続攻撃</v>
      </c>
      <c r="V40" s="125" t="str">
        <f t="shared" si="44"/>
        <v>[effect:rush, count:1, val:0.1],[effect:rush, count:1, val:0.1]</v>
      </c>
      <c r="W40" s="128">
        <f t="shared" si="45"/>
        <v>9</v>
      </c>
      <c r="X40" s="128">
        <f t="shared" si="46"/>
        <v>13</v>
      </c>
      <c r="Y40" s="128" t="e">
        <f t="shared" si="47"/>
        <v>#VALUE!</v>
      </c>
      <c r="Z40" s="128">
        <f t="shared" si="48"/>
        <v>22</v>
      </c>
      <c r="AA40" s="128" t="str">
        <f>IFERROR(VLOOKUP(MID(V40,Y40,Z40-Y40),[6]skilldef!$C:$D,2,FALSE),"-") &amp; " / " &amp; IFERROR(VLOOKUP(MID(V40,W40,X40-W40),[6]skilldef!$A:$B,2,FALSE),"-")</f>
        <v>- / 連続攻撃</v>
      </c>
      <c r="AB40" s="127"/>
      <c r="AC40" s="129"/>
      <c r="AD40" s="127"/>
      <c r="AE40" s="130" t="s">
        <v>348</v>
      </c>
      <c r="AF40" s="131"/>
    </row>
    <row r="41" spans="1:32" s="132" customFormat="1" ht="33" customHeight="1" x14ac:dyDescent="0.15">
      <c r="A41" s="203">
        <f t="shared" si="33"/>
        <v>40046548</v>
      </c>
      <c r="B41" s="47" t="str">
        <f t="shared" si="1"/>
        <v>[effect:enemy_message, val1:1.2, val2:1.2],[effect:rush, count:1, val:0.2],[effect:rush, count:1, val:0.3],[effect:rush, count:1, val:0.2]</v>
      </c>
      <c r="C41" s="223">
        <v>3</v>
      </c>
      <c r="D41" s="49" t="s">
        <v>126</v>
      </c>
      <c r="E41" s="100"/>
      <c r="F41" s="196" t="s">
        <v>473</v>
      </c>
      <c r="G41" s="150" t="s">
        <v>287</v>
      </c>
      <c r="H41" s="150" t="s">
        <v>358</v>
      </c>
      <c r="I41" s="128" t="str">
        <f t="shared" si="34"/>
        <v>[effect:enemy_message, val1:1.2, val2:1.2]</v>
      </c>
      <c r="J41" s="128">
        <f t="shared" si="35"/>
        <v>9</v>
      </c>
      <c r="K41" s="128">
        <f t="shared" si="36"/>
        <v>22</v>
      </c>
      <c r="L41" s="128" t="e">
        <f t="shared" si="37"/>
        <v>#VALUE!</v>
      </c>
      <c r="M41" s="128">
        <f t="shared" si="38"/>
        <v>32</v>
      </c>
      <c r="N41" s="128" t="str">
        <f>IFERROR(VLOOKUP(MID(I41,L41,M41-L41),[6]skilldef!$C:$D,2,FALSE),"-") &amp; " / " &amp; IFERROR(VLOOKUP(MID(I41,J41,K41-J41),[6]skilldef!$A:$B,2,FALSE),"-")</f>
        <v>- / -</v>
      </c>
      <c r="O41" s="128" t="str">
        <f t="shared" si="39"/>
        <v>[effect:rush, count:1, val:0.2],[effect:rush, count:1, val:0.3],[effect:rush, count:1, val:0.2]</v>
      </c>
      <c r="P41" s="125" t="str">
        <f>IFERROR(LEFT(O41,FIND("],",O41)+#REF!),O41)</f>
        <v>[effect:rush, count:1, val:0.2],[effect:rush, count:1, val:0.3],[effect:rush, count:1, val:0.2]</v>
      </c>
      <c r="Q41" s="128">
        <f t="shared" si="40"/>
        <v>9</v>
      </c>
      <c r="R41" s="128">
        <f t="shared" si="41"/>
        <v>13</v>
      </c>
      <c r="S41" s="128" t="e">
        <f t="shared" si="42"/>
        <v>#VALUE!</v>
      </c>
      <c r="T41" s="128">
        <f t="shared" si="43"/>
        <v>22</v>
      </c>
      <c r="U41" s="128" t="str">
        <f>IFERROR(VLOOKUP(MID(P41,S41,T41-S41),[6]skilldef!$C:$D,2,FALSE),"-") &amp; " / " &amp; IFERROR(VLOOKUP(MID(P41,Q41,R41-Q41),[6]skilldef!$A:$B,2,FALSE),"-")</f>
        <v>- / 連続攻撃</v>
      </c>
      <c r="V41" s="125" t="str">
        <f t="shared" si="44"/>
        <v>[effect:rush, count:1, val:0.3],[effect:rush, count:1, val:0.2]</v>
      </c>
      <c r="W41" s="128">
        <f t="shared" si="45"/>
        <v>9</v>
      </c>
      <c r="X41" s="128">
        <f t="shared" si="46"/>
        <v>13</v>
      </c>
      <c r="Y41" s="128" t="e">
        <f t="shared" si="47"/>
        <v>#VALUE!</v>
      </c>
      <c r="Z41" s="128">
        <f t="shared" si="48"/>
        <v>22</v>
      </c>
      <c r="AA41" s="128" t="str">
        <f>IFERROR(VLOOKUP(MID(V41,Y41,Z41-Y41),[6]skilldef!$C:$D,2,FALSE),"-") &amp; " / " &amp; IFERROR(VLOOKUP(MID(V41,W41,X41-W41),[6]skilldef!$A:$B,2,FALSE),"-")</f>
        <v>- / 連続攻撃</v>
      </c>
      <c r="AB41" s="127"/>
      <c r="AC41" s="129"/>
      <c r="AD41" s="127"/>
      <c r="AE41" s="130" t="s">
        <v>349</v>
      </c>
      <c r="AF41" s="131"/>
    </row>
    <row r="42" spans="1:32" s="132" customFormat="1" ht="33" customHeight="1" x14ac:dyDescent="0.15">
      <c r="A42" s="203">
        <f t="shared" si="33"/>
        <v>40046549</v>
      </c>
      <c r="B42" s="47" t="str">
        <f t="shared" si="1"/>
        <v>[effect:enemy_message, val1:1.2, val2:1.2],[effect:rush, count:1, val:0.4],[effect:rush, count:1, val:0.2],[effect:rush, count:1, val:0.3]</v>
      </c>
      <c r="C42" s="223">
        <v>3</v>
      </c>
      <c r="D42" s="49" t="s">
        <v>126</v>
      </c>
      <c r="E42" s="100"/>
      <c r="F42" s="196" t="s">
        <v>475</v>
      </c>
      <c r="G42" s="150" t="s">
        <v>287</v>
      </c>
      <c r="H42" s="150" t="s">
        <v>358</v>
      </c>
      <c r="I42" s="128" t="str">
        <f t="shared" si="34"/>
        <v>[effect:enemy_message, val1:1.2, val2:1.2]</v>
      </c>
      <c r="J42" s="128">
        <f t="shared" si="35"/>
        <v>9</v>
      </c>
      <c r="K42" s="128">
        <f t="shared" si="36"/>
        <v>22</v>
      </c>
      <c r="L42" s="128" t="e">
        <f t="shared" si="37"/>
        <v>#VALUE!</v>
      </c>
      <c r="M42" s="128">
        <f t="shared" si="38"/>
        <v>32</v>
      </c>
      <c r="N42" s="128" t="str">
        <f>IFERROR(VLOOKUP(MID(I42,L42,M42-L42),[6]skilldef!$C:$D,2,FALSE),"-") &amp; " / " &amp; IFERROR(VLOOKUP(MID(I42,J42,K42-J42),[6]skilldef!$A:$B,2,FALSE),"-")</f>
        <v>- / -</v>
      </c>
      <c r="O42" s="128" t="str">
        <f t="shared" si="39"/>
        <v>[effect:rush, count:1, val:0.4],[effect:rush, count:1, val:0.2],[effect:rush, count:1, val:0.3]</v>
      </c>
      <c r="P42" s="125" t="str">
        <f>IFERROR(LEFT(O42,FIND("],",O42)+#REF!),O42)</f>
        <v>[effect:rush, count:1, val:0.4],[effect:rush, count:1, val:0.2],[effect:rush, count:1, val:0.3]</v>
      </c>
      <c r="Q42" s="128">
        <f t="shared" si="40"/>
        <v>9</v>
      </c>
      <c r="R42" s="128">
        <f t="shared" si="41"/>
        <v>13</v>
      </c>
      <c r="S42" s="128" t="e">
        <f t="shared" si="42"/>
        <v>#VALUE!</v>
      </c>
      <c r="T42" s="128">
        <f t="shared" si="43"/>
        <v>22</v>
      </c>
      <c r="U42" s="128" t="str">
        <f>IFERROR(VLOOKUP(MID(P42,S42,T42-S42),[6]skilldef!$C:$D,2,FALSE),"-") &amp; " / " &amp; IFERROR(VLOOKUP(MID(P42,Q42,R42-Q42),[6]skilldef!$A:$B,2,FALSE),"-")</f>
        <v>- / 連続攻撃</v>
      </c>
      <c r="V42" s="125" t="str">
        <f t="shared" si="44"/>
        <v>[effect:rush, count:1, val:0.2],[effect:rush, count:1, val:0.3]</v>
      </c>
      <c r="W42" s="128">
        <f t="shared" si="45"/>
        <v>9</v>
      </c>
      <c r="X42" s="128">
        <f t="shared" si="46"/>
        <v>13</v>
      </c>
      <c r="Y42" s="128" t="e">
        <f t="shared" si="47"/>
        <v>#VALUE!</v>
      </c>
      <c r="Z42" s="128">
        <f t="shared" si="48"/>
        <v>22</v>
      </c>
      <c r="AA42" s="128" t="str">
        <f>IFERROR(VLOOKUP(MID(V42,Y42,Z42-Y42),[6]skilldef!$C:$D,2,FALSE),"-") &amp; " / " &amp; IFERROR(VLOOKUP(MID(V42,W42,X42-W42),[6]skilldef!$A:$B,2,FALSE),"-")</f>
        <v>- / 連続攻撃</v>
      </c>
      <c r="AB42" s="127"/>
      <c r="AC42" s="129"/>
      <c r="AD42" s="127"/>
      <c r="AE42" s="130" t="s">
        <v>347</v>
      </c>
      <c r="AF42" s="131"/>
    </row>
    <row r="43" spans="1:32" s="132" customFormat="1" ht="33" customHeight="1" x14ac:dyDescent="0.15">
      <c r="A43" s="203">
        <f t="shared" si="33"/>
        <v>40046550</v>
      </c>
      <c r="B43" s="46" t="s">
        <v>544</v>
      </c>
      <c r="C43" s="223">
        <v>3</v>
      </c>
      <c r="D43" s="49" t="s">
        <v>126</v>
      </c>
      <c r="E43" s="100"/>
      <c r="F43" s="196" t="s">
        <v>462</v>
      </c>
      <c r="G43" s="150" t="s">
        <v>406</v>
      </c>
      <c r="H43" s="150" t="s">
        <v>467</v>
      </c>
      <c r="I43" s="128"/>
      <c r="J43" s="128"/>
      <c r="K43" s="128"/>
      <c r="L43" s="128"/>
      <c r="M43" s="128"/>
      <c r="N43" s="128"/>
      <c r="O43" s="128"/>
      <c r="P43" s="125"/>
      <c r="Q43" s="128"/>
      <c r="R43" s="128"/>
      <c r="S43" s="128"/>
      <c r="T43" s="128"/>
      <c r="U43" s="128"/>
      <c r="V43" s="125"/>
      <c r="W43" s="128"/>
      <c r="X43" s="128"/>
      <c r="Y43" s="128"/>
      <c r="Z43" s="128"/>
      <c r="AA43" s="128"/>
      <c r="AB43" s="127"/>
      <c r="AC43" s="129"/>
      <c r="AD43" s="127"/>
      <c r="AE43" s="159"/>
      <c r="AF43" s="131"/>
    </row>
    <row r="44" spans="1:32" s="132" customFormat="1" ht="160" customHeight="1" x14ac:dyDescent="0.15">
      <c r="A44" s="204">
        <f t="shared" si="33"/>
        <v>40046560</v>
      </c>
      <c r="B44" s="47" t="str">
        <f t="shared" si="1"/>
        <v>[effect:enemy_message, val1:2.3, val2:2.9],[effect:fix_speed,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C44" s="223">
        <v>3</v>
      </c>
      <c r="D44" s="49" t="s">
        <v>126</v>
      </c>
      <c r="E44" s="100"/>
      <c r="F44" s="198" t="s">
        <v>493</v>
      </c>
      <c r="G44" s="150" t="s">
        <v>270</v>
      </c>
      <c r="H44" s="150" t="s">
        <v>443</v>
      </c>
      <c r="I44" s="128" t="str">
        <f t="shared" ref="I44:I67" si="49">IFERROR(LEFT(B44,FIND("],",B44)),B44)</f>
        <v>[effect:enemy_message, val1:2.3, val2:2.9]</v>
      </c>
      <c r="J44" s="128">
        <f t="shared" ref="J44:J67" si="50">FIND("effect:",I44)+7</f>
        <v>9</v>
      </c>
      <c r="K44" s="128">
        <f t="shared" ref="K44:K67" si="51">IFERROR(FIND(",",I44),LEN(I44))</f>
        <v>22</v>
      </c>
      <c r="L44" s="128" t="e">
        <f t="shared" ref="L44:L67" si="52">FIND("target:",I44)+7</f>
        <v>#VALUE!</v>
      </c>
      <c r="M44" s="128">
        <f t="shared" ref="M44:M67" si="53">FIND(",",I44,K44+1)</f>
        <v>32</v>
      </c>
      <c r="N44" s="128" t="str">
        <f>IFERROR(VLOOKUP(MID(I44,L44,M44-L44),[6]skilldef!$C:$D,2,FALSE),"-") &amp; " / " &amp; IFERROR(VLOOKUP(MID(I44,J44,K44-J44),[6]skilldef!$A:$B,2,FALSE),"-")</f>
        <v>- / -</v>
      </c>
      <c r="O44" s="128" t="str">
        <f t="shared" ref="O44:O67" si="54">IFERROR(RIGHT(B44,LEN(B44)-FIND("],",B44)-1),"none")</f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P44" s="125" t="str">
        <f>IFERROR(LEFT(O44,FIND("],",O44)+#REF!),O44)</f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Q44" s="128">
        <f t="shared" ref="Q44:Q67" si="55">FIND("effect:",P44)+7</f>
        <v>9</v>
      </c>
      <c r="R44" s="128">
        <f t="shared" ref="R44:R67" si="56">IFERROR(FIND(",",P44),LEN(P44))</f>
        <v>18</v>
      </c>
      <c r="S44" s="128">
        <f t="shared" ref="S44:S67" si="57">FIND("target:",P44)+7</f>
        <v>27</v>
      </c>
      <c r="T44" s="128">
        <f t="shared" ref="T44:T67" si="58">FIND(",",P44,R44+1)</f>
        <v>33</v>
      </c>
      <c r="U44" s="128" t="str">
        <f>IFERROR(VLOOKUP(MID(P44,S44,T44-S44),[6]skilldef!$C:$D,2,FALSE),"-") &amp; " / " &amp; IFERROR(VLOOKUP(MID(P44,Q44,R44-Q44),[6]skilldef!$A:$B,2,FALSE),"-")</f>
        <v>自分自身に / 行動値設定</v>
      </c>
      <c r="V44" s="125" t="str">
        <f t="shared" ref="V44:V67" si="59">IFERROR(RIGHT(O44,LEN(O44)-FIND("],",O44)-1),"none")</f>
        <v>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W44" s="128">
        <f t="shared" ref="W44:W67" si="60">FIND("effect:",V44)+7</f>
        <v>9</v>
      </c>
      <c r="X44" s="128">
        <f t="shared" ref="X44:X67" si="61">IFERROR(FIND(",",V44),LEN(V44))</f>
        <v>18</v>
      </c>
      <c r="Y44" s="128">
        <f t="shared" ref="Y44:Y67" si="62">FIND("target:",V44)+7</f>
        <v>27</v>
      </c>
      <c r="Z44" s="128">
        <f t="shared" ref="Z44:Z67" si="63">FIND(",",V44,X44+1)</f>
        <v>33</v>
      </c>
      <c r="AA44" s="128" t="str">
        <f>IFERROR(VLOOKUP(MID(V44,Y44,Z44-Y44),[6]skilldef!$C:$D,2,FALSE),"-") &amp; " / " &amp; IFERROR(VLOOKUP(MID(V44,W44,X44-W44),[6]skilldef!$A:$B,2,FALSE),"-")</f>
        <v>自分自身に / 状態異常耐性</v>
      </c>
      <c r="AB44" s="127"/>
      <c r="AC44" s="129"/>
      <c r="AD44" s="127"/>
      <c r="AE44" s="130" t="s">
        <v>370</v>
      </c>
      <c r="AF44" s="131">
        <f>LEN(AE44)</f>
        <v>798</v>
      </c>
    </row>
    <row r="45" spans="1:32" s="132" customFormat="1" ht="33" customHeight="1" x14ac:dyDescent="0.15">
      <c r="A45" s="204">
        <f t="shared" si="33"/>
        <v>40046561</v>
      </c>
      <c r="B45" s="47" t="str">
        <f t="shared" si="1"/>
        <v>[effect:enemy_message, val1:1.2, val2:2.5],[effect:spread, val:0.3],[effect:degrade_unit, target:unit_all, turn:2, status:heal, val:0.25, calc:mul, animation:degrade_unit_all_heal]</v>
      </c>
      <c r="C45" s="223">
        <v>3</v>
      </c>
      <c r="D45" s="49" t="s">
        <v>126</v>
      </c>
      <c r="E45" s="100"/>
      <c r="F45" s="198" t="s">
        <v>491</v>
      </c>
      <c r="G45" s="150" t="s">
        <v>266</v>
      </c>
      <c r="H45" s="207" t="s">
        <v>426</v>
      </c>
      <c r="I45" s="208" t="str">
        <f t="shared" si="49"/>
        <v>[effect:enemy_message, val1:1.2, val2:2.5]</v>
      </c>
      <c r="J45" s="208">
        <f t="shared" si="50"/>
        <v>9</v>
      </c>
      <c r="K45" s="208">
        <f t="shared" si="51"/>
        <v>22</v>
      </c>
      <c r="L45" s="208" t="e">
        <f t="shared" si="52"/>
        <v>#VALUE!</v>
      </c>
      <c r="M45" s="208">
        <f t="shared" si="53"/>
        <v>32</v>
      </c>
      <c r="N45" s="208" t="str">
        <f>IFERROR(VLOOKUP(MID(I45,L45,M45-L45),[6]skilldef!$C:$D,2,FALSE),"-") &amp; " / " &amp; IFERROR(VLOOKUP(MID(I45,J45,K45-J45),[6]skilldef!$A:$B,2,FALSE),"-")</f>
        <v>- / -</v>
      </c>
      <c r="O45" s="208" t="str">
        <f t="shared" si="54"/>
        <v>[effect:spread, val:0.3],[effect:degrade_unit, target:unit_all, turn:2, status:heal, val:0.25, calc:mul, animation:degrade_unit_all_heal]</v>
      </c>
      <c r="P45" s="209" t="str">
        <f>IFERROR(LEFT(O45,FIND("],",O45)+#REF!),O45)</f>
        <v>[effect:spread, val:0.3],[effect:degrade_unit, target:unit_all, turn:2, status:heal, val:0.25, calc:mul, animation:degrade_unit_all_heal]</v>
      </c>
      <c r="Q45" s="208">
        <f t="shared" si="55"/>
        <v>9</v>
      </c>
      <c r="R45" s="208">
        <f t="shared" si="56"/>
        <v>15</v>
      </c>
      <c r="S45" s="208">
        <f t="shared" si="57"/>
        <v>55</v>
      </c>
      <c r="T45" s="208">
        <f t="shared" si="58"/>
        <v>25</v>
      </c>
      <c r="U45" s="208" t="str">
        <f>IFERROR(VLOOKUP(MID(P45,S45,T45-S45),[6]skilldef!$C:$D,2,FALSE),"-") &amp; " / " &amp; IFERROR(VLOOKUP(MID(P45,Q45,R45-Q45),[6]skilldef!$A:$B,2,FALSE),"-")</f>
        <v>- / 全体攻撃</v>
      </c>
      <c r="V45" s="209" t="str">
        <f t="shared" si="59"/>
        <v>[effect:degrade_unit, target:unit_all, turn:2, status:heal, val:0.25, calc:mul, animation:degrade_unit_all_heal]</v>
      </c>
      <c r="W45" s="208">
        <f t="shared" si="60"/>
        <v>9</v>
      </c>
      <c r="X45" s="208">
        <f t="shared" si="61"/>
        <v>21</v>
      </c>
      <c r="Y45" s="208">
        <f t="shared" si="62"/>
        <v>30</v>
      </c>
      <c r="Z45" s="208">
        <f t="shared" si="63"/>
        <v>38</v>
      </c>
      <c r="AA45" s="208" t="str">
        <f>IFERROR(VLOOKUP(MID(V45,Y45,Z45-Y45),[6]skilldef!$C:$D,2,FALSE),"-") &amp; " / " &amp; IFERROR(VLOOKUP(MID(V45,W45,X45-W45),[6]skilldef!$A:$B,2,FALSE),"-")</f>
        <v>味方全体に / ステータスDOWN</v>
      </c>
      <c r="AB45" s="210"/>
      <c r="AC45" s="211"/>
      <c r="AD45" s="210"/>
      <c r="AE45" s="206" t="s">
        <v>425</v>
      </c>
      <c r="AF45" s="131"/>
    </row>
    <row r="46" spans="1:32" s="132" customFormat="1" ht="33" customHeight="1" x14ac:dyDescent="0.15">
      <c r="A46" s="204">
        <f t="shared" si="33"/>
        <v>40046562</v>
      </c>
      <c r="B46" s="47" t="str">
        <f t="shared" si="1"/>
        <v>[effect:enemy_message, val1:1.5, val2:4.4],[effect:force_change_block, new_block:crash, target:normal, count:6, val:6, animation:change_block]</v>
      </c>
      <c r="C46" s="223">
        <v>3</v>
      </c>
      <c r="D46" s="49" t="s">
        <v>126</v>
      </c>
      <c r="E46" s="100"/>
      <c r="F46" s="198" t="s">
        <v>483</v>
      </c>
      <c r="G46" s="150" t="s">
        <v>271</v>
      </c>
      <c r="H46" s="150" t="s">
        <v>444</v>
      </c>
      <c r="I46" s="128" t="str">
        <f t="shared" si="49"/>
        <v>[effect:enemy_message, val1:1.5, val2:4.4]</v>
      </c>
      <c r="J46" s="128">
        <f t="shared" si="50"/>
        <v>9</v>
      </c>
      <c r="K46" s="128">
        <f t="shared" si="51"/>
        <v>22</v>
      </c>
      <c r="L46" s="128" t="e">
        <f t="shared" si="52"/>
        <v>#VALUE!</v>
      </c>
      <c r="M46" s="128">
        <f t="shared" si="53"/>
        <v>32</v>
      </c>
      <c r="N46" s="128" t="str">
        <f>IFERROR(VLOOKUP(MID(I46,L46,M46-L46),[6]skilldef!$C:$D,2,FALSE),"-") &amp; " / " &amp; IFERROR(VLOOKUP(MID(I46,J46,K46-J46),[6]skilldef!$A:$B,2,FALSE),"-")</f>
        <v>- / -</v>
      </c>
      <c r="O46" s="128" t="str">
        <f t="shared" si="54"/>
        <v>[effect:force_change_block, new_block:crash, target:normal, count:6, val:6, animation:change_block]</v>
      </c>
      <c r="P46" s="125" t="str">
        <f>IFERROR(LEFT(O46,FIND("],",O46)+#REF!),O46)</f>
        <v>[effect:force_change_block, new_block:crash, target:normal, count:6, val:6, animation:change_block]</v>
      </c>
      <c r="Q46" s="128">
        <f t="shared" si="55"/>
        <v>9</v>
      </c>
      <c r="R46" s="128">
        <f t="shared" si="56"/>
        <v>27</v>
      </c>
      <c r="S46" s="128">
        <f t="shared" si="57"/>
        <v>53</v>
      </c>
      <c r="T46" s="128">
        <f t="shared" si="58"/>
        <v>44</v>
      </c>
      <c r="U46" s="128" t="str">
        <f>IFERROR(VLOOKUP(MID(P46,S46,T46-S46),[6]skilldef!$C:$D,2,FALSE),"-") &amp; " / " &amp; IFERROR(VLOOKUP(MID(P46,Q46,R46-Q46),[6]skilldef!$A:$B,2,FALSE),"-")</f>
        <v>- / -</v>
      </c>
      <c r="V46" s="125" t="str">
        <f t="shared" si="59"/>
        <v>none</v>
      </c>
      <c r="W46" s="128" t="e">
        <f t="shared" si="60"/>
        <v>#VALUE!</v>
      </c>
      <c r="X46" s="128">
        <f t="shared" si="61"/>
        <v>4</v>
      </c>
      <c r="Y46" s="128" t="e">
        <f t="shared" si="62"/>
        <v>#VALUE!</v>
      </c>
      <c r="Z46" s="128" t="e">
        <f t="shared" si="63"/>
        <v>#VALUE!</v>
      </c>
      <c r="AA46" s="128" t="str">
        <f>IFERROR(VLOOKUP(MID(V46,Y46,Z46-Y46),[6]skilldef!$C:$D,2,FALSE),"-") &amp; " / " &amp; IFERROR(VLOOKUP(MID(V46,W46,X46-W46),[6]skilldef!$A:$B,2,FALSE),"-")</f>
        <v>- / -</v>
      </c>
      <c r="AB46" s="127"/>
      <c r="AC46" s="129"/>
      <c r="AD46" s="127"/>
      <c r="AE46" s="130" t="s">
        <v>398</v>
      </c>
      <c r="AF46" s="131"/>
    </row>
    <row r="47" spans="1:32" s="132" customFormat="1" ht="33" customHeight="1" x14ac:dyDescent="0.15">
      <c r="A47" s="204">
        <f t="shared" si="33"/>
        <v>40046563</v>
      </c>
      <c r="B47" s="47" t="str">
        <f t="shared" si="1"/>
        <v>[effect:enemy_message, val1:1.3, val2:2.0],[effect:break_attack_fix, target:unit_one, val:2400, lowest_val:1800, count:6, block01:crash]</v>
      </c>
      <c r="C47" s="223">
        <v>3</v>
      </c>
      <c r="D47" s="49" t="s">
        <v>126</v>
      </c>
      <c r="E47" s="100"/>
      <c r="F47" s="198" t="s">
        <v>487</v>
      </c>
      <c r="G47" s="150" t="s">
        <v>268</v>
      </c>
      <c r="H47" s="150" t="s">
        <v>434</v>
      </c>
      <c r="I47" s="128" t="str">
        <f t="shared" si="49"/>
        <v>[effect:enemy_message, val1:1.3, val2:2.0]</v>
      </c>
      <c r="J47" s="128">
        <f t="shared" si="50"/>
        <v>9</v>
      </c>
      <c r="K47" s="128">
        <f t="shared" si="51"/>
        <v>22</v>
      </c>
      <c r="L47" s="128" t="e">
        <f t="shared" si="52"/>
        <v>#VALUE!</v>
      </c>
      <c r="M47" s="128">
        <f t="shared" si="53"/>
        <v>32</v>
      </c>
      <c r="N47" s="128" t="str">
        <f>IFERROR(VLOOKUP(MID(I47,L47,M47-L47),[6]skilldef!$C:$D,2,FALSE),"-") &amp; " / " &amp; IFERROR(VLOOKUP(MID(I47,J47,K47-J47),[6]skilldef!$A:$B,2,FALSE),"-")</f>
        <v>- / -</v>
      </c>
      <c r="O47" s="128" t="str">
        <f t="shared" si="54"/>
        <v>[effect:break_attack_fix, target:unit_one, val:2400, lowest_val:1800, count:6, block01:crash]</v>
      </c>
      <c r="P47" s="125" t="str">
        <f>IFERROR(LEFT(O47,FIND("],",O47)+#REF!),O47)</f>
        <v>[effect:break_attack_fix, target:unit_one, val:2400, lowest_val:1800, count:6, block01:crash]</v>
      </c>
      <c r="Q47" s="128">
        <f t="shared" si="55"/>
        <v>9</v>
      </c>
      <c r="R47" s="128">
        <f t="shared" si="56"/>
        <v>25</v>
      </c>
      <c r="S47" s="128">
        <f t="shared" si="57"/>
        <v>34</v>
      </c>
      <c r="T47" s="128">
        <f t="shared" si="58"/>
        <v>42</v>
      </c>
      <c r="U47" s="128" t="str">
        <f>IFERROR(VLOOKUP(MID(P47,S47,T47-S47),[6]skilldef!$C:$D,2,FALSE),"-") &amp; " / " &amp; IFERROR(VLOOKUP(MID(P47,Q47,R47-Q47),[6]skilldef!$A:$B,2,FALSE),"-")</f>
        <v>味方単体に / -</v>
      </c>
      <c r="V47" s="125" t="str">
        <f t="shared" si="59"/>
        <v>none</v>
      </c>
      <c r="W47" s="128" t="e">
        <f t="shared" si="60"/>
        <v>#VALUE!</v>
      </c>
      <c r="X47" s="128">
        <f t="shared" si="61"/>
        <v>4</v>
      </c>
      <c r="Y47" s="128" t="e">
        <f t="shared" si="62"/>
        <v>#VALUE!</v>
      </c>
      <c r="Z47" s="128" t="e">
        <f t="shared" si="63"/>
        <v>#VALUE!</v>
      </c>
      <c r="AA47" s="128" t="str">
        <f>IFERROR(VLOOKUP(MID(V47,Y47,Z47-Y47),[6]skilldef!$C:$D,2,FALSE),"-") &amp; " / " &amp; IFERROR(VLOOKUP(MID(V47,W47,X47-W47),[6]skilldef!$A:$B,2,FALSE),"-")</f>
        <v>- / -</v>
      </c>
      <c r="AB47" s="127"/>
      <c r="AC47" s="129"/>
      <c r="AD47" s="127"/>
      <c r="AE47" s="206" t="s">
        <v>559</v>
      </c>
      <c r="AF47" s="131"/>
    </row>
    <row r="48" spans="1:32" s="132" customFormat="1" ht="33" customHeight="1" x14ac:dyDescent="0.15">
      <c r="A48" s="204">
        <f t="shared" si="33"/>
        <v>40046564</v>
      </c>
      <c r="B48" s="47" t="str">
        <f t="shared" si="1"/>
        <v>[effect:enemy_message, val1:1.2, val2:2.5],[effect:spread, val:0.25],[effect:force_change_block, new_block:crack_bomb, target:block_heart, count:5, val:12, animation:change_block]</v>
      </c>
      <c r="C48" s="223">
        <v>3</v>
      </c>
      <c r="D48" s="49" t="s">
        <v>126</v>
      </c>
      <c r="E48" s="100"/>
      <c r="F48" s="198" t="s">
        <v>485</v>
      </c>
      <c r="G48" s="150" t="s">
        <v>272</v>
      </c>
      <c r="H48" s="150" t="s">
        <v>400</v>
      </c>
      <c r="I48" s="128" t="str">
        <f t="shared" si="49"/>
        <v>[effect:enemy_message, val1:1.2, val2:2.5]</v>
      </c>
      <c r="J48" s="128">
        <f t="shared" si="50"/>
        <v>9</v>
      </c>
      <c r="K48" s="128">
        <f t="shared" si="51"/>
        <v>22</v>
      </c>
      <c r="L48" s="128" t="e">
        <f t="shared" si="52"/>
        <v>#VALUE!</v>
      </c>
      <c r="M48" s="128">
        <f t="shared" si="53"/>
        <v>32</v>
      </c>
      <c r="N48" s="128" t="str">
        <f>IFERROR(VLOOKUP(MID(I48,L48,M48-L48),[6]skilldef!$C:$D,2,FALSE),"-") &amp; " / " &amp; IFERROR(VLOOKUP(MID(I48,J48,K48-J48),[6]skilldef!$A:$B,2,FALSE),"-")</f>
        <v>- / -</v>
      </c>
      <c r="O48" s="128" t="str">
        <f t="shared" si="54"/>
        <v>[effect:spread, val:0.25],[effect:force_change_block, new_block:crack_bomb, target:block_heart, count:5, val:12, animation:change_block]</v>
      </c>
      <c r="P48" s="125" t="str">
        <f>IFERROR(LEFT(O48,FIND("],",O48)+#REF!),O48)</f>
        <v>[effect:spread, val:0.25],[effect:force_change_block, new_block:crack_bomb, target:block_heart, count:5, val:12, animation:change_block]</v>
      </c>
      <c r="Q48" s="128">
        <f t="shared" si="55"/>
        <v>9</v>
      </c>
      <c r="R48" s="128">
        <f t="shared" si="56"/>
        <v>15</v>
      </c>
      <c r="S48" s="128">
        <f t="shared" si="57"/>
        <v>84</v>
      </c>
      <c r="T48" s="128">
        <f t="shared" si="58"/>
        <v>26</v>
      </c>
      <c r="U48" s="128" t="str">
        <f>IFERROR(VLOOKUP(MID(P48,S48,T48-S48),[6]skilldef!$C:$D,2,FALSE),"-") &amp; " / " &amp; IFERROR(VLOOKUP(MID(P48,Q48,R48-Q48),[6]skilldef!$A:$B,2,FALSE),"-")</f>
        <v>- / 全体攻撃</v>
      </c>
      <c r="V48" s="125" t="str">
        <f t="shared" si="59"/>
        <v>[effect:force_change_block, new_block:crack_bomb, target:block_heart, count:5, val:12, animation:change_block]</v>
      </c>
      <c r="W48" s="128">
        <f t="shared" si="60"/>
        <v>9</v>
      </c>
      <c r="X48" s="128">
        <f t="shared" si="61"/>
        <v>27</v>
      </c>
      <c r="Y48" s="128">
        <f t="shared" si="62"/>
        <v>58</v>
      </c>
      <c r="Z48" s="128">
        <f t="shared" si="63"/>
        <v>49</v>
      </c>
      <c r="AA48" s="128" t="str">
        <f>IFERROR(VLOOKUP(MID(V48,Y48,Z48-Y48),[6]skilldef!$C:$D,2,FALSE),"-") &amp; " / " &amp; IFERROR(VLOOKUP(MID(V48,W48,X48-W48),[6]skilldef!$A:$B,2,FALSE),"-")</f>
        <v>- / -</v>
      </c>
      <c r="AB48" s="127"/>
      <c r="AC48" s="129"/>
      <c r="AD48" s="127"/>
      <c r="AE48" s="130" t="s">
        <v>401</v>
      </c>
      <c r="AF48" s="131"/>
    </row>
    <row r="49" spans="1:32" s="132" customFormat="1" ht="33" customHeight="1" x14ac:dyDescent="0.15">
      <c r="A49" s="204">
        <f t="shared" si="33"/>
        <v>40046565</v>
      </c>
      <c r="B49" s="47" t="str">
        <f t="shared" si="1"/>
        <v>[effect:enemy_message, val1:1.5, val2:4.4],[effect:force_change_block, new_block:crash, target:normal, count:6, val:6, animation:change_block]</v>
      </c>
      <c r="C49" s="223">
        <v>3</v>
      </c>
      <c r="D49" s="49" t="s">
        <v>126</v>
      </c>
      <c r="E49" s="100"/>
      <c r="F49" s="198" t="s">
        <v>483</v>
      </c>
      <c r="G49" s="150" t="s">
        <v>288</v>
      </c>
      <c r="H49" s="150" t="s">
        <v>444</v>
      </c>
      <c r="I49" s="128" t="str">
        <f t="shared" si="49"/>
        <v>[effect:enemy_message, val1:1.5, val2:4.4]</v>
      </c>
      <c r="J49" s="128">
        <f t="shared" si="50"/>
        <v>9</v>
      </c>
      <c r="K49" s="128">
        <f t="shared" si="51"/>
        <v>22</v>
      </c>
      <c r="L49" s="128" t="e">
        <f t="shared" si="52"/>
        <v>#VALUE!</v>
      </c>
      <c r="M49" s="128">
        <f t="shared" si="53"/>
        <v>32</v>
      </c>
      <c r="N49" s="128" t="str">
        <f>IFERROR(VLOOKUP(MID(I49,L49,M49-L49),[6]skilldef!$C:$D,2,FALSE),"-") &amp; " / " &amp; IFERROR(VLOOKUP(MID(I49,J49,K49-J49),[6]skilldef!$A:$B,2,FALSE),"-")</f>
        <v>- / -</v>
      </c>
      <c r="O49" s="128" t="str">
        <f t="shared" si="54"/>
        <v>[effect:force_change_block, new_block:crash, target:normal, count:6, val:6, animation:change_block]</v>
      </c>
      <c r="P49" s="125" t="str">
        <f>IFERROR(LEFT(O49,FIND("],",O49)+#REF!),O49)</f>
        <v>[effect:force_change_block, new_block:crash, target:normal, count:6, val:6, animation:change_block]</v>
      </c>
      <c r="Q49" s="128">
        <f t="shared" si="55"/>
        <v>9</v>
      </c>
      <c r="R49" s="128">
        <f t="shared" si="56"/>
        <v>27</v>
      </c>
      <c r="S49" s="128">
        <f t="shared" si="57"/>
        <v>53</v>
      </c>
      <c r="T49" s="128">
        <f t="shared" si="58"/>
        <v>44</v>
      </c>
      <c r="U49" s="128" t="str">
        <f>IFERROR(VLOOKUP(MID(P49,S49,T49-S49),[6]skilldef!$C:$D,2,FALSE),"-") &amp; " / " &amp; IFERROR(VLOOKUP(MID(P49,Q49,R49-Q49),[6]skilldef!$A:$B,2,FALSE),"-")</f>
        <v>- / -</v>
      </c>
      <c r="V49" s="125" t="str">
        <f t="shared" si="59"/>
        <v>none</v>
      </c>
      <c r="W49" s="128" t="e">
        <f t="shared" si="60"/>
        <v>#VALUE!</v>
      </c>
      <c r="X49" s="128">
        <f t="shared" si="61"/>
        <v>4</v>
      </c>
      <c r="Y49" s="128" t="e">
        <f t="shared" si="62"/>
        <v>#VALUE!</v>
      </c>
      <c r="Z49" s="128" t="e">
        <f t="shared" si="63"/>
        <v>#VALUE!</v>
      </c>
      <c r="AA49" s="128" t="str">
        <f>IFERROR(VLOOKUP(MID(V49,Y49,Z49-Y49),[6]skilldef!$C:$D,2,FALSE),"-") &amp; " / " &amp; IFERROR(VLOOKUP(MID(V49,W49,X49-W49),[6]skilldef!$A:$B,2,FALSE),"-")</f>
        <v>- / -</v>
      </c>
      <c r="AB49" s="127"/>
      <c r="AC49" s="129"/>
      <c r="AD49" s="127"/>
      <c r="AE49" s="130" t="s">
        <v>398</v>
      </c>
      <c r="AF49" s="131"/>
    </row>
    <row r="50" spans="1:32" s="132" customFormat="1" ht="33" customHeight="1" x14ac:dyDescent="0.15">
      <c r="A50" s="204">
        <f t="shared" si="33"/>
        <v>40046566</v>
      </c>
      <c r="B50" s="47" t="str">
        <f t="shared" si="1"/>
        <v>[effect:enemy_message, val1:1.3, val2:2.0],[effect:break_attack_fix, target:unit_one, val:2400, lowest_val:1800, count:6, block01:crash]</v>
      </c>
      <c r="C50" s="223">
        <v>3</v>
      </c>
      <c r="D50" s="49" t="s">
        <v>126</v>
      </c>
      <c r="E50" s="100"/>
      <c r="F50" s="198" t="s">
        <v>487</v>
      </c>
      <c r="G50" s="150" t="s">
        <v>289</v>
      </c>
      <c r="H50" s="150" t="s">
        <v>434</v>
      </c>
      <c r="I50" s="128" t="str">
        <f t="shared" ref="I50" si="64">IFERROR(LEFT(B50,FIND("],",B50)),B50)</f>
        <v>[effect:enemy_message, val1:1.3, val2:2.0]</v>
      </c>
      <c r="J50" s="128">
        <f t="shared" ref="J50" si="65">FIND("effect:",I50)+7</f>
        <v>9</v>
      </c>
      <c r="K50" s="128">
        <f t="shared" ref="K50" si="66">IFERROR(FIND(",",I50),LEN(I50))</f>
        <v>22</v>
      </c>
      <c r="L50" s="128" t="e">
        <f t="shared" ref="L50" si="67">FIND("target:",I50)+7</f>
        <v>#VALUE!</v>
      </c>
      <c r="M50" s="128">
        <f t="shared" ref="M50" si="68">FIND(",",I50,K50+1)</f>
        <v>32</v>
      </c>
      <c r="N50" s="128" t="str">
        <f>IFERROR(VLOOKUP(MID(I50,L50,M50-L50),[6]skilldef!$C:$D,2,FALSE),"-") &amp; " / " &amp; IFERROR(VLOOKUP(MID(I50,J50,K50-J50),[6]skilldef!$A:$B,2,FALSE),"-")</f>
        <v>- / -</v>
      </c>
      <c r="O50" s="128" t="str">
        <f t="shared" ref="O50" si="69">IFERROR(RIGHT(B50,LEN(B50)-FIND("],",B50)-1),"none")</f>
        <v>[effect:break_attack_fix, target:unit_one, val:2400, lowest_val:1800, count:6, block01:crash]</v>
      </c>
      <c r="P50" s="125" t="str">
        <f>IFERROR(LEFT(O50,FIND("],",O50)+#REF!),O50)</f>
        <v>[effect:break_attack_fix, target:unit_one, val:2400, lowest_val:1800, count:6, block01:crash]</v>
      </c>
      <c r="Q50" s="128">
        <f t="shared" ref="Q50" si="70">FIND("effect:",P50)+7</f>
        <v>9</v>
      </c>
      <c r="R50" s="128">
        <f t="shared" ref="R50" si="71">IFERROR(FIND(",",P50),LEN(P50))</f>
        <v>25</v>
      </c>
      <c r="S50" s="128">
        <f t="shared" ref="S50" si="72">FIND("target:",P50)+7</f>
        <v>34</v>
      </c>
      <c r="T50" s="128">
        <f t="shared" ref="T50" si="73">FIND(",",P50,R50+1)</f>
        <v>42</v>
      </c>
      <c r="U50" s="128" t="str">
        <f>IFERROR(VLOOKUP(MID(P50,S50,T50-S50),[6]skilldef!$C:$D,2,FALSE),"-") &amp; " / " &amp; IFERROR(VLOOKUP(MID(P50,Q50,R50-Q50),[6]skilldef!$A:$B,2,FALSE),"-")</f>
        <v>味方単体に / -</v>
      </c>
      <c r="V50" s="125" t="str">
        <f t="shared" ref="V50" si="74">IFERROR(RIGHT(O50,LEN(O50)-FIND("],",O50)-1),"none")</f>
        <v>none</v>
      </c>
      <c r="W50" s="128" t="e">
        <f t="shared" ref="W50" si="75">FIND("effect:",V50)+7</f>
        <v>#VALUE!</v>
      </c>
      <c r="X50" s="128">
        <f t="shared" ref="X50" si="76">IFERROR(FIND(",",V50),LEN(V50))</f>
        <v>4</v>
      </c>
      <c r="Y50" s="128" t="e">
        <f t="shared" ref="Y50" si="77">FIND("target:",V50)+7</f>
        <v>#VALUE!</v>
      </c>
      <c r="Z50" s="128" t="e">
        <f t="shared" ref="Z50" si="78">FIND(",",V50,X50+1)</f>
        <v>#VALUE!</v>
      </c>
      <c r="AA50" s="128" t="str">
        <f>IFERROR(VLOOKUP(MID(V50,Y50,Z50-Y50),[6]skilldef!$C:$D,2,FALSE),"-") &amp; " / " &amp; IFERROR(VLOOKUP(MID(V50,W50,X50-W50),[6]skilldef!$A:$B,2,FALSE),"-")</f>
        <v>- / -</v>
      </c>
      <c r="AB50" s="127"/>
      <c r="AC50" s="129"/>
      <c r="AD50" s="127"/>
      <c r="AE50" s="206" t="s">
        <v>559</v>
      </c>
      <c r="AF50" s="131"/>
    </row>
    <row r="51" spans="1:32" s="132" customFormat="1" ht="33" customHeight="1" x14ac:dyDescent="0.15">
      <c r="A51" s="204">
        <f t="shared" si="33"/>
        <v>40046567</v>
      </c>
      <c r="B51" s="47" t="str">
        <f t="shared" si="1"/>
        <v>[effect:enemy_message, val1:1.2, val2:2.5],[effect:spread, val:0.25],[effect:force_change_block, new_block:crack_bomb, target:block_heart, count:5, val:12, animation:change_block]</v>
      </c>
      <c r="C51" s="223">
        <v>3</v>
      </c>
      <c r="D51" s="49" t="s">
        <v>126</v>
      </c>
      <c r="E51" s="100"/>
      <c r="F51" s="198" t="s">
        <v>485</v>
      </c>
      <c r="G51" s="150" t="s">
        <v>290</v>
      </c>
      <c r="H51" s="150" t="s">
        <v>400</v>
      </c>
      <c r="I51" s="128" t="str">
        <f t="shared" si="49"/>
        <v>[effect:enemy_message, val1:1.2, val2:2.5]</v>
      </c>
      <c r="J51" s="128">
        <f t="shared" si="50"/>
        <v>9</v>
      </c>
      <c r="K51" s="128">
        <f t="shared" si="51"/>
        <v>22</v>
      </c>
      <c r="L51" s="128" t="e">
        <f t="shared" si="52"/>
        <v>#VALUE!</v>
      </c>
      <c r="M51" s="128">
        <f t="shared" si="53"/>
        <v>32</v>
      </c>
      <c r="N51" s="128" t="str">
        <f>IFERROR(VLOOKUP(MID(I51,L51,M51-L51),[6]skilldef!$C:$D,2,FALSE),"-") &amp; " / " &amp; IFERROR(VLOOKUP(MID(I51,J51,K51-J51),[6]skilldef!$A:$B,2,FALSE),"-")</f>
        <v>- / -</v>
      </c>
      <c r="O51" s="128" t="str">
        <f t="shared" si="54"/>
        <v>[effect:spread, val:0.25],[effect:force_change_block, new_block:crack_bomb, target:block_heart, count:5, val:12, animation:change_block]</v>
      </c>
      <c r="P51" s="125" t="str">
        <f>IFERROR(LEFT(O51,FIND("],",O51)+#REF!),O51)</f>
        <v>[effect:spread, val:0.25],[effect:force_change_block, new_block:crack_bomb, target:block_heart, count:5, val:12, animation:change_block]</v>
      </c>
      <c r="Q51" s="128">
        <f t="shared" si="55"/>
        <v>9</v>
      </c>
      <c r="R51" s="128">
        <f t="shared" si="56"/>
        <v>15</v>
      </c>
      <c r="S51" s="128">
        <f t="shared" si="57"/>
        <v>84</v>
      </c>
      <c r="T51" s="128">
        <f t="shared" si="58"/>
        <v>26</v>
      </c>
      <c r="U51" s="128" t="str">
        <f>IFERROR(VLOOKUP(MID(P51,S51,T51-S51),[6]skilldef!$C:$D,2,FALSE),"-") &amp; " / " &amp; IFERROR(VLOOKUP(MID(P51,Q51,R51-Q51),[6]skilldef!$A:$B,2,FALSE),"-")</f>
        <v>- / 全体攻撃</v>
      </c>
      <c r="V51" s="125" t="str">
        <f t="shared" si="59"/>
        <v>[effect:force_change_block, new_block:crack_bomb, target:block_heart, count:5, val:12, animation:change_block]</v>
      </c>
      <c r="W51" s="128">
        <f t="shared" si="60"/>
        <v>9</v>
      </c>
      <c r="X51" s="128">
        <f t="shared" si="61"/>
        <v>27</v>
      </c>
      <c r="Y51" s="128">
        <f t="shared" si="62"/>
        <v>58</v>
      </c>
      <c r="Z51" s="128">
        <f t="shared" si="63"/>
        <v>49</v>
      </c>
      <c r="AA51" s="128" t="str">
        <f>IFERROR(VLOOKUP(MID(V51,Y51,Z51-Y51),[6]skilldef!$C:$D,2,FALSE),"-") &amp; " / " &amp; IFERROR(VLOOKUP(MID(V51,W51,X51-W51),[6]skilldef!$A:$B,2,FALSE),"-")</f>
        <v>- / -</v>
      </c>
      <c r="AB51" s="127"/>
      <c r="AC51" s="129"/>
      <c r="AD51" s="127"/>
      <c r="AE51" s="130" t="s">
        <v>401</v>
      </c>
      <c r="AF51" s="131"/>
    </row>
    <row r="52" spans="1:32" s="132" customFormat="1" ht="33" customHeight="1" x14ac:dyDescent="0.15">
      <c r="A52" s="204">
        <f t="shared" si="33"/>
        <v>40046568</v>
      </c>
      <c r="B52" s="47" t="str">
        <f t="shared" si="1"/>
        <v>[effect:enemy_message, val1:1.5, val2:4.4],[effect:force_change_block, new_block:crash, target:normal, count:6, val:6, animation:change_block]</v>
      </c>
      <c r="C52" s="223">
        <v>3</v>
      </c>
      <c r="D52" s="49" t="s">
        <v>126</v>
      </c>
      <c r="E52" s="100"/>
      <c r="F52" s="198" t="s">
        <v>483</v>
      </c>
      <c r="G52" s="150" t="s">
        <v>291</v>
      </c>
      <c r="H52" s="150" t="s">
        <v>444</v>
      </c>
      <c r="I52" s="128" t="str">
        <f t="shared" si="49"/>
        <v>[effect:enemy_message, val1:1.5, val2:4.4]</v>
      </c>
      <c r="J52" s="128">
        <f t="shared" si="50"/>
        <v>9</v>
      </c>
      <c r="K52" s="128">
        <f t="shared" si="51"/>
        <v>22</v>
      </c>
      <c r="L52" s="128" t="e">
        <f t="shared" si="52"/>
        <v>#VALUE!</v>
      </c>
      <c r="M52" s="128">
        <f t="shared" si="53"/>
        <v>32</v>
      </c>
      <c r="N52" s="128" t="str">
        <f>IFERROR(VLOOKUP(MID(I52,L52,M52-L52),[6]skilldef!$C:$D,2,FALSE),"-") &amp; " / " &amp; IFERROR(VLOOKUP(MID(I52,J52,K52-J52),[6]skilldef!$A:$B,2,FALSE),"-")</f>
        <v>- / -</v>
      </c>
      <c r="O52" s="128" t="str">
        <f t="shared" si="54"/>
        <v>[effect:force_change_block, new_block:crash, target:normal, count:6, val:6, animation:change_block]</v>
      </c>
      <c r="P52" s="125" t="str">
        <f>IFERROR(LEFT(O52,FIND("],",O52)+#REF!),O52)</f>
        <v>[effect:force_change_block, new_block:crash, target:normal, count:6, val:6, animation:change_block]</v>
      </c>
      <c r="Q52" s="128">
        <f t="shared" si="55"/>
        <v>9</v>
      </c>
      <c r="R52" s="128">
        <f t="shared" si="56"/>
        <v>27</v>
      </c>
      <c r="S52" s="128">
        <f t="shared" si="57"/>
        <v>53</v>
      </c>
      <c r="T52" s="128">
        <f t="shared" si="58"/>
        <v>44</v>
      </c>
      <c r="U52" s="128" t="str">
        <f>IFERROR(VLOOKUP(MID(P52,S52,T52-S52),[6]skilldef!$C:$D,2,FALSE),"-") &amp; " / " &amp; IFERROR(VLOOKUP(MID(P52,Q52,R52-Q52),[6]skilldef!$A:$B,2,FALSE),"-")</f>
        <v>- / -</v>
      </c>
      <c r="V52" s="125" t="str">
        <f t="shared" si="59"/>
        <v>none</v>
      </c>
      <c r="W52" s="128" t="e">
        <f t="shared" si="60"/>
        <v>#VALUE!</v>
      </c>
      <c r="X52" s="128">
        <f t="shared" si="61"/>
        <v>4</v>
      </c>
      <c r="Y52" s="128" t="e">
        <f t="shared" si="62"/>
        <v>#VALUE!</v>
      </c>
      <c r="Z52" s="128" t="e">
        <f t="shared" si="63"/>
        <v>#VALUE!</v>
      </c>
      <c r="AA52" s="128" t="str">
        <f>IFERROR(VLOOKUP(MID(V52,Y52,Z52-Y52),[6]skilldef!$C:$D,2,FALSE),"-") &amp; " / " &amp; IFERROR(VLOOKUP(MID(V52,W52,X52-W52),[6]skilldef!$A:$B,2,FALSE),"-")</f>
        <v>- / -</v>
      </c>
      <c r="AB52" s="127"/>
      <c r="AC52" s="129"/>
      <c r="AD52" s="127"/>
      <c r="AE52" s="130" t="s">
        <v>398</v>
      </c>
      <c r="AF52" s="131"/>
    </row>
    <row r="53" spans="1:32" s="132" customFormat="1" ht="33" customHeight="1" x14ac:dyDescent="0.15">
      <c r="A53" s="204">
        <f t="shared" si="33"/>
        <v>40046569</v>
      </c>
      <c r="B53" s="47" t="str">
        <f t="shared" si="1"/>
        <v>[effect:enemy_message, val1:1.3, val2:2.0],[effect:break_attack_fix, target:unit_one, val:2400, lowest_val:1800, count:6, block01:crash]</v>
      </c>
      <c r="C53" s="223">
        <v>3</v>
      </c>
      <c r="D53" s="49" t="s">
        <v>126</v>
      </c>
      <c r="E53" s="100"/>
      <c r="F53" s="198" t="s">
        <v>487</v>
      </c>
      <c r="G53" s="150" t="s">
        <v>292</v>
      </c>
      <c r="H53" s="150" t="s">
        <v>434</v>
      </c>
      <c r="I53" s="128" t="str">
        <f t="shared" ref="I53" si="79">IFERROR(LEFT(B53,FIND("],",B53)),B53)</f>
        <v>[effect:enemy_message, val1:1.3, val2:2.0]</v>
      </c>
      <c r="J53" s="128">
        <f t="shared" ref="J53" si="80">FIND("effect:",I53)+7</f>
        <v>9</v>
      </c>
      <c r="K53" s="128">
        <f t="shared" ref="K53" si="81">IFERROR(FIND(",",I53),LEN(I53))</f>
        <v>22</v>
      </c>
      <c r="L53" s="128" t="e">
        <f t="shared" ref="L53" si="82">FIND("target:",I53)+7</f>
        <v>#VALUE!</v>
      </c>
      <c r="M53" s="128">
        <f t="shared" ref="M53" si="83">FIND(",",I53,K53+1)</f>
        <v>32</v>
      </c>
      <c r="N53" s="128" t="str">
        <f>IFERROR(VLOOKUP(MID(I53,L53,M53-L53),[6]skilldef!$C:$D,2,FALSE),"-") &amp; " / " &amp; IFERROR(VLOOKUP(MID(I53,J53,K53-J53),[6]skilldef!$A:$B,2,FALSE),"-")</f>
        <v>- / -</v>
      </c>
      <c r="O53" s="128" t="str">
        <f t="shared" ref="O53" si="84">IFERROR(RIGHT(B53,LEN(B53)-FIND("],",B53)-1),"none")</f>
        <v>[effect:break_attack_fix, target:unit_one, val:2400, lowest_val:1800, count:6, block01:crash]</v>
      </c>
      <c r="P53" s="125" t="str">
        <f>IFERROR(LEFT(O53,FIND("],",O53)+#REF!),O53)</f>
        <v>[effect:break_attack_fix, target:unit_one, val:2400, lowest_val:1800, count:6, block01:crash]</v>
      </c>
      <c r="Q53" s="128">
        <f t="shared" ref="Q53" si="85">FIND("effect:",P53)+7</f>
        <v>9</v>
      </c>
      <c r="R53" s="128">
        <f t="shared" ref="R53" si="86">IFERROR(FIND(",",P53),LEN(P53))</f>
        <v>25</v>
      </c>
      <c r="S53" s="128">
        <f t="shared" ref="S53" si="87">FIND("target:",P53)+7</f>
        <v>34</v>
      </c>
      <c r="T53" s="128">
        <f t="shared" ref="T53" si="88">FIND(",",P53,R53+1)</f>
        <v>42</v>
      </c>
      <c r="U53" s="128" t="str">
        <f>IFERROR(VLOOKUP(MID(P53,S53,T53-S53),[6]skilldef!$C:$D,2,FALSE),"-") &amp; " / " &amp; IFERROR(VLOOKUP(MID(P53,Q53,R53-Q53),[6]skilldef!$A:$B,2,FALSE),"-")</f>
        <v>味方単体に / -</v>
      </c>
      <c r="V53" s="125" t="str">
        <f t="shared" ref="V53" si="89">IFERROR(RIGHT(O53,LEN(O53)-FIND("],",O53)-1),"none")</f>
        <v>none</v>
      </c>
      <c r="W53" s="128" t="e">
        <f t="shared" ref="W53" si="90">FIND("effect:",V53)+7</f>
        <v>#VALUE!</v>
      </c>
      <c r="X53" s="128">
        <f t="shared" ref="X53" si="91">IFERROR(FIND(",",V53),LEN(V53))</f>
        <v>4</v>
      </c>
      <c r="Y53" s="128" t="e">
        <f t="shared" ref="Y53" si="92">FIND("target:",V53)+7</f>
        <v>#VALUE!</v>
      </c>
      <c r="Z53" s="128" t="e">
        <f t="shared" ref="Z53" si="93">FIND(",",V53,X53+1)</f>
        <v>#VALUE!</v>
      </c>
      <c r="AA53" s="128" t="str">
        <f>IFERROR(VLOOKUP(MID(V53,Y53,Z53-Y53),[6]skilldef!$C:$D,2,FALSE),"-") &amp; " / " &amp; IFERROR(VLOOKUP(MID(V53,W53,X53-W53),[6]skilldef!$A:$B,2,FALSE),"-")</f>
        <v>- / -</v>
      </c>
      <c r="AB53" s="127"/>
      <c r="AC53" s="129"/>
      <c r="AD53" s="127"/>
      <c r="AE53" s="206" t="s">
        <v>559</v>
      </c>
      <c r="AF53" s="131"/>
    </row>
    <row r="54" spans="1:32" s="132" customFormat="1" ht="33" customHeight="1" x14ac:dyDescent="0.15">
      <c r="A54" s="204">
        <f t="shared" si="33"/>
        <v>40046570</v>
      </c>
      <c r="B54" s="47" t="str">
        <f t="shared" si="1"/>
        <v>[effect:enemy_message, val1:1.2, val2:2.5],[effect:spread, val:0.25],[effect:force_change_block, new_block:crack_bomb, target:block_heart, count:5, val:12, animation:change_block]</v>
      </c>
      <c r="C54" s="223">
        <v>3</v>
      </c>
      <c r="D54" s="49" t="s">
        <v>126</v>
      </c>
      <c r="E54" s="100"/>
      <c r="F54" s="198" t="s">
        <v>485</v>
      </c>
      <c r="G54" s="150" t="s">
        <v>293</v>
      </c>
      <c r="H54" s="150" t="s">
        <v>400</v>
      </c>
      <c r="I54" s="128" t="str">
        <f t="shared" si="49"/>
        <v>[effect:enemy_message, val1:1.2, val2:2.5]</v>
      </c>
      <c r="J54" s="128">
        <f t="shared" si="50"/>
        <v>9</v>
      </c>
      <c r="K54" s="128">
        <f t="shared" si="51"/>
        <v>22</v>
      </c>
      <c r="L54" s="128" t="e">
        <f t="shared" si="52"/>
        <v>#VALUE!</v>
      </c>
      <c r="M54" s="128">
        <f t="shared" si="53"/>
        <v>32</v>
      </c>
      <c r="N54" s="128" t="str">
        <f>IFERROR(VLOOKUP(MID(I54,L54,M54-L54),[6]skilldef!$C:$D,2,FALSE),"-") &amp; " / " &amp; IFERROR(VLOOKUP(MID(I54,J54,K54-J54),[6]skilldef!$A:$B,2,FALSE),"-")</f>
        <v>- / -</v>
      </c>
      <c r="O54" s="128" t="str">
        <f t="shared" si="54"/>
        <v>[effect:spread, val:0.25],[effect:force_change_block, new_block:crack_bomb, target:block_heart, count:5, val:12, animation:change_block]</v>
      </c>
      <c r="P54" s="125" t="str">
        <f>IFERROR(LEFT(O54,FIND("],",O54)+#REF!),O54)</f>
        <v>[effect:spread, val:0.25],[effect:force_change_block, new_block:crack_bomb, target:block_heart, count:5, val:12, animation:change_block]</v>
      </c>
      <c r="Q54" s="128">
        <f t="shared" si="55"/>
        <v>9</v>
      </c>
      <c r="R54" s="128">
        <f t="shared" si="56"/>
        <v>15</v>
      </c>
      <c r="S54" s="128">
        <f t="shared" si="57"/>
        <v>84</v>
      </c>
      <c r="T54" s="128">
        <f t="shared" si="58"/>
        <v>26</v>
      </c>
      <c r="U54" s="128" t="str">
        <f>IFERROR(VLOOKUP(MID(P54,S54,T54-S54),[6]skilldef!$C:$D,2,FALSE),"-") &amp; " / " &amp; IFERROR(VLOOKUP(MID(P54,Q54,R54-Q54),[6]skilldef!$A:$B,2,FALSE),"-")</f>
        <v>- / 全体攻撃</v>
      </c>
      <c r="V54" s="125" t="str">
        <f t="shared" si="59"/>
        <v>[effect:force_change_block, new_block:crack_bomb, target:block_heart, count:5, val:12, animation:change_block]</v>
      </c>
      <c r="W54" s="128">
        <f t="shared" si="60"/>
        <v>9</v>
      </c>
      <c r="X54" s="128">
        <f t="shared" si="61"/>
        <v>27</v>
      </c>
      <c r="Y54" s="128">
        <f t="shared" si="62"/>
        <v>58</v>
      </c>
      <c r="Z54" s="128">
        <f t="shared" si="63"/>
        <v>49</v>
      </c>
      <c r="AA54" s="128" t="str">
        <f>IFERROR(VLOOKUP(MID(V54,Y54,Z54-Y54),[6]skilldef!$C:$D,2,FALSE),"-") &amp; " / " &amp; IFERROR(VLOOKUP(MID(V54,W54,X54-W54),[6]skilldef!$A:$B,2,FALSE),"-")</f>
        <v>- / -</v>
      </c>
      <c r="AB54" s="127"/>
      <c r="AC54" s="129"/>
      <c r="AD54" s="127"/>
      <c r="AE54" s="130" t="s">
        <v>401</v>
      </c>
      <c r="AF54" s="131"/>
    </row>
    <row r="55" spans="1:32" s="132" customFormat="1" ht="33" customHeight="1" x14ac:dyDescent="0.15">
      <c r="A55" s="204">
        <f t="shared" si="33"/>
        <v>40046571</v>
      </c>
      <c r="B55" s="47" t="str">
        <f t="shared" si="1"/>
        <v>[effect:enemy_message, val1:1.4, val2:1.2],[effect:critical, val:1.3, animation:enemy_critical]</v>
      </c>
      <c r="C55" s="223">
        <v>3</v>
      </c>
      <c r="D55" s="49" t="s">
        <v>126</v>
      </c>
      <c r="E55" s="100"/>
      <c r="F55" s="198" t="s">
        <v>489</v>
      </c>
      <c r="G55" s="151">
        <v>0.5</v>
      </c>
      <c r="H55" s="150" t="s">
        <v>303</v>
      </c>
      <c r="I55" s="128" t="str">
        <f t="shared" si="49"/>
        <v>[effect:enemy_message, val1:1.4, val2:1.2]</v>
      </c>
      <c r="J55" s="128">
        <f t="shared" si="50"/>
        <v>9</v>
      </c>
      <c r="K55" s="128">
        <f t="shared" si="51"/>
        <v>22</v>
      </c>
      <c r="L55" s="128" t="e">
        <f t="shared" si="52"/>
        <v>#VALUE!</v>
      </c>
      <c r="M55" s="128">
        <f t="shared" si="53"/>
        <v>32</v>
      </c>
      <c r="N55" s="128" t="str">
        <f>IFERROR(VLOOKUP(MID(I55,L55,M55-L55),[6]skilldef!$C:$D,2,FALSE),"-") &amp; " / " &amp; IFERROR(VLOOKUP(MID(I55,J55,K55-J55),[6]skilldef!$A:$B,2,FALSE),"-")</f>
        <v>- / -</v>
      </c>
      <c r="O55" s="128" t="str">
        <f t="shared" si="54"/>
        <v>[effect:critical, val:1.3, animation:enemy_critical]</v>
      </c>
      <c r="P55" s="125" t="str">
        <f>IFERROR(LEFT(O55,FIND("],",O55)+#REF!),O55)</f>
        <v>[effect:critical, val:1.3, animation:enemy_critical]</v>
      </c>
      <c r="Q55" s="128">
        <f t="shared" si="55"/>
        <v>9</v>
      </c>
      <c r="R55" s="128">
        <f t="shared" si="56"/>
        <v>17</v>
      </c>
      <c r="S55" s="128" t="e">
        <f t="shared" si="57"/>
        <v>#VALUE!</v>
      </c>
      <c r="T55" s="128">
        <f t="shared" si="58"/>
        <v>26</v>
      </c>
      <c r="U55" s="128" t="str">
        <f>IFERROR(VLOOKUP(MID(P55,S55,T55-S55),[6]skilldef!$C:$D,2,FALSE),"-") &amp; " / " &amp; IFERROR(VLOOKUP(MID(P55,Q55,R55-Q55),[6]skilldef!$A:$B,2,FALSE),"-")</f>
        <v>- / 大攻撃</v>
      </c>
      <c r="V55" s="125" t="str">
        <f t="shared" si="59"/>
        <v>none</v>
      </c>
      <c r="W55" s="128" t="e">
        <f t="shared" si="60"/>
        <v>#VALUE!</v>
      </c>
      <c r="X55" s="128">
        <f t="shared" si="61"/>
        <v>4</v>
      </c>
      <c r="Y55" s="128" t="e">
        <f t="shared" si="62"/>
        <v>#VALUE!</v>
      </c>
      <c r="Z55" s="128" t="e">
        <f t="shared" si="63"/>
        <v>#VALUE!</v>
      </c>
      <c r="AA55" s="128" t="str">
        <f>IFERROR(VLOOKUP(MID(V55,Y55,Z55-Y55),[6]skilldef!$C:$D,2,FALSE),"-") &amp; " / " &amp; IFERROR(VLOOKUP(MID(V55,W55,X55-W55),[6]skilldef!$A:$B,2,FALSE),"-")</f>
        <v>- / -</v>
      </c>
      <c r="AB55" s="127"/>
      <c r="AC55" s="129"/>
      <c r="AD55" s="127"/>
      <c r="AE55" s="130" t="s">
        <v>350</v>
      </c>
      <c r="AF55" s="131"/>
    </row>
    <row r="56" spans="1:32" s="132" customFormat="1" ht="33" customHeight="1" x14ac:dyDescent="0.15">
      <c r="A56" s="204">
        <f t="shared" si="33"/>
        <v>40046572</v>
      </c>
      <c r="B56" s="47" t="str">
        <f t="shared" si="1"/>
        <v>[effect:enemy_message, val1:1.3, val2:2.4],[effect:rush, count:3, val:0.4],[effect:panel_freeze, target:normal, color:block_heart, count:3]</v>
      </c>
      <c r="C56" s="223">
        <v>3</v>
      </c>
      <c r="D56" s="49" t="s">
        <v>126</v>
      </c>
      <c r="E56" s="100"/>
      <c r="F56" s="198" t="s">
        <v>495</v>
      </c>
      <c r="G56" s="151">
        <v>0.25</v>
      </c>
      <c r="H56" s="150" t="s">
        <v>445</v>
      </c>
      <c r="I56" s="128" t="str">
        <f t="shared" si="49"/>
        <v>[effect:enemy_message, val1:1.3, val2:2.4]</v>
      </c>
      <c r="J56" s="128">
        <f t="shared" si="50"/>
        <v>9</v>
      </c>
      <c r="K56" s="128">
        <f t="shared" si="51"/>
        <v>22</v>
      </c>
      <c r="L56" s="128" t="e">
        <f t="shared" si="52"/>
        <v>#VALUE!</v>
      </c>
      <c r="M56" s="128">
        <f t="shared" si="53"/>
        <v>32</v>
      </c>
      <c r="N56" s="128" t="str">
        <f>IFERROR(VLOOKUP(MID(I56,L56,M56-L56),[6]skilldef!$C:$D,2,FALSE),"-") &amp; " / " &amp; IFERROR(VLOOKUP(MID(I56,J56,K56-J56),[6]skilldef!$A:$B,2,FALSE),"-")</f>
        <v>- / -</v>
      </c>
      <c r="O56" s="128" t="str">
        <f t="shared" si="54"/>
        <v>[effect:rush, count:3, val:0.4],[effect:panel_freeze, target:normal, color:block_heart, count:3]</v>
      </c>
      <c r="P56" s="125" t="str">
        <f>IFERROR(LEFT(O56,FIND("],",O56)+#REF!),O56)</f>
        <v>[effect:rush, count:3, val:0.4],[effect:panel_freeze, target:normal, color:block_heart, count:3]</v>
      </c>
      <c r="Q56" s="128">
        <f t="shared" si="55"/>
        <v>9</v>
      </c>
      <c r="R56" s="128">
        <f t="shared" si="56"/>
        <v>13</v>
      </c>
      <c r="S56" s="128">
        <f t="shared" si="57"/>
        <v>62</v>
      </c>
      <c r="T56" s="128">
        <f t="shared" si="58"/>
        <v>22</v>
      </c>
      <c r="U56" s="128" t="str">
        <f>IFERROR(VLOOKUP(MID(P56,S56,T56-S56),[6]skilldef!$C:$D,2,FALSE),"-") &amp; " / " &amp; IFERROR(VLOOKUP(MID(P56,Q56,R56-Q56),[6]skilldef!$A:$B,2,FALSE),"-")</f>
        <v>- / 連続攻撃</v>
      </c>
      <c r="V56" s="125" t="str">
        <f t="shared" si="59"/>
        <v>[effect:panel_freeze, target:normal, color:block_heart, count:3]</v>
      </c>
      <c r="W56" s="128">
        <f t="shared" si="60"/>
        <v>9</v>
      </c>
      <c r="X56" s="128">
        <f t="shared" si="61"/>
        <v>21</v>
      </c>
      <c r="Y56" s="128">
        <f t="shared" si="62"/>
        <v>30</v>
      </c>
      <c r="Z56" s="128">
        <f t="shared" si="63"/>
        <v>36</v>
      </c>
      <c r="AA56" s="128" t="str">
        <f>IFERROR(VLOOKUP(MID(V56,Y56,Z56-Y56),[6]skilldef!$C:$D,2,FALSE),"-") &amp; " / " &amp; IFERROR(VLOOKUP(MID(V56,W56,X56-W56),[6]skilldef!$A:$B,2,FALSE),"-")</f>
        <v>- / -</v>
      </c>
      <c r="AB56" s="127"/>
      <c r="AC56" s="129"/>
      <c r="AD56" s="127"/>
      <c r="AE56" s="130" t="s">
        <v>317</v>
      </c>
      <c r="AF56" s="131"/>
    </row>
    <row r="57" spans="1:32" s="132" customFormat="1" ht="79" customHeight="1" x14ac:dyDescent="0.15">
      <c r="A57" s="205">
        <f t="shared" si="33"/>
        <v>40046580</v>
      </c>
      <c r="B57" s="47" t="str">
        <f t="shared" si="1"/>
        <v>[effect:enemy_message, val1:2.6, val2:2.2],[effect:fix_speed, target:myself, turn:1],[effect:tolerance, target:myself, turn:-1, count:-1, tolerance_effect:all, animation:enemy_tolerance],[effect:change_range_block, block_change:1, base_type:0, square_count:3, position01:0, value_h01:1, value_w01:3, new_block:jammer, target:block_all, count:0, val:0, animation:change _range_bock]</v>
      </c>
      <c r="C57" s="223">
        <v>3</v>
      </c>
      <c r="D57" s="49" t="s">
        <v>126</v>
      </c>
      <c r="E57" s="100"/>
      <c r="F57" s="197" t="s">
        <v>477</v>
      </c>
      <c r="G57" s="150" t="s">
        <v>270</v>
      </c>
      <c r="H57" s="150" t="s">
        <v>433</v>
      </c>
      <c r="I57" s="128" t="str">
        <f t="shared" si="49"/>
        <v>[effect:enemy_message, val1:2.6, val2:2.2]</v>
      </c>
      <c r="J57" s="128">
        <f t="shared" si="50"/>
        <v>9</v>
      </c>
      <c r="K57" s="128">
        <f t="shared" si="51"/>
        <v>22</v>
      </c>
      <c r="L57" s="128" t="e">
        <f t="shared" si="52"/>
        <v>#VALUE!</v>
      </c>
      <c r="M57" s="128">
        <f t="shared" si="53"/>
        <v>32</v>
      </c>
      <c r="N57" s="128" t="str">
        <f>IFERROR(VLOOKUP(MID(I57,L57,M57-L57),[6]skilldef!$C:$D,2,FALSE),"-") &amp; " / " &amp; IFERROR(VLOOKUP(MID(I57,J57,K57-J57),[6]skilldef!$A:$B,2,FALSE),"-")</f>
        <v>- / -</v>
      </c>
      <c r="O57" s="128" t="str">
        <f t="shared" si="54"/>
        <v>[effect:fix_speed, target:myself, turn:1],[effect:tolerance, target:myself, turn:-1, count:-1, tolerance_effect:all, animation:enemy_tolerance],[effect:change_range_block, block_change:1, base_type:0, square_count:3, position01:0, value_h01:1, value_w01:3, new_block:jammer, target:block_all, count:0, val:0, animation:change _range_bock]</v>
      </c>
      <c r="P57" s="125" t="str">
        <f>IFERROR(LEFT(O57,FIND("],",O57)+#REF!),O57)</f>
        <v>[effect:fix_speed, target:myself, turn:1],[effect:tolerance, target:myself, turn:-1, count:-1, tolerance_effect:all, animation:enemy_tolerance],[effect:change_range_block, block_change:1, base_type:0, square_count:3, position01:0, value_h01:1, value_w01:3, new_block:jammer, target:block_all, count:0, val:0, animation:change _range_bock]</v>
      </c>
      <c r="Q57" s="128">
        <f t="shared" si="55"/>
        <v>9</v>
      </c>
      <c r="R57" s="128">
        <f t="shared" si="56"/>
        <v>18</v>
      </c>
      <c r="S57" s="128">
        <f t="shared" si="57"/>
        <v>27</v>
      </c>
      <c r="T57" s="128">
        <f t="shared" si="58"/>
        <v>33</v>
      </c>
      <c r="U57" s="128" t="str">
        <f>IFERROR(VLOOKUP(MID(P57,S57,T57-S57),[6]skilldef!$C:$D,2,FALSE),"-") &amp; " / " &amp; IFERROR(VLOOKUP(MID(P57,Q57,R57-Q57),[6]skilldef!$A:$B,2,FALSE),"-")</f>
        <v>自分自身に / 行動値設定</v>
      </c>
      <c r="V57" s="125" t="str">
        <f t="shared" si="59"/>
        <v>[effect:tolerance, target:myself, turn:-1, count:-1, tolerance_effect:all, animation:enemy_tolerance],[effect:change_range_block, block_change:1, base_type:0, square_count:3, position01:0, value_h01:1, value_w01:3, new_block:jammer, target:block_all, count:0, val:0, animation:change _range_bock]</v>
      </c>
      <c r="W57" s="128">
        <f t="shared" si="60"/>
        <v>9</v>
      </c>
      <c r="X57" s="128">
        <f t="shared" si="61"/>
        <v>18</v>
      </c>
      <c r="Y57" s="128">
        <f t="shared" si="62"/>
        <v>27</v>
      </c>
      <c r="Z57" s="128">
        <f t="shared" si="63"/>
        <v>33</v>
      </c>
      <c r="AA57" s="128" t="str">
        <f>IFERROR(VLOOKUP(MID(V57,Y57,Z57-Y57),[6]skilldef!$C:$D,2,FALSE),"-") &amp; " / " &amp; IFERROR(VLOOKUP(MID(V57,W57,X57-W57),[6]skilldef!$A:$B,2,FALSE),"-")</f>
        <v>自分自身に / 状態異常耐性</v>
      </c>
      <c r="AB57" s="127"/>
      <c r="AC57" s="129"/>
      <c r="AD57" s="127"/>
      <c r="AE57" s="130" t="s">
        <v>342</v>
      </c>
      <c r="AF57" s="131"/>
    </row>
    <row r="58" spans="1:32" s="132" customFormat="1" ht="33" customHeight="1" x14ac:dyDescent="0.15">
      <c r="A58" s="205">
        <f t="shared" si="33"/>
        <v>40046581</v>
      </c>
      <c r="B58" s="47" t="str">
        <f t="shared" si="1"/>
        <v>[effect:enemy_message, val1:1.2, val2:1.7],[effect:enhance_enemy, target:myself, turn:2, status:defense, val:1500, calc:add, animation:enemy_enhance_defense],[effect:critical, val:1.2, animation:enemy_critical]</v>
      </c>
      <c r="C58" s="223">
        <v>3</v>
      </c>
      <c r="D58" s="49" t="s">
        <v>126</v>
      </c>
      <c r="E58" s="100"/>
      <c r="F58" s="197" t="s">
        <v>501</v>
      </c>
      <c r="G58" s="150" t="s">
        <v>266</v>
      </c>
      <c r="H58" s="150" t="s">
        <v>309</v>
      </c>
      <c r="I58" s="128" t="str">
        <f t="shared" si="49"/>
        <v>[effect:enemy_message, val1:1.2, val2:1.7]</v>
      </c>
      <c r="J58" s="128">
        <f t="shared" si="50"/>
        <v>9</v>
      </c>
      <c r="K58" s="128">
        <f t="shared" si="51"/>
        <v>22</v>
      </c>
      <c r="L58" s="128" t="e">
        <f t="shared" si="52"/>
        <v>#VALUE!</v>
      </c>
      <c r="M58" s="128">
        <f t="shared" si="53"/>
        <v>32</v>
      </c>
      <c r="N58" s="128" t="str">
        <f>IFERROR(VLOOKUP(MID(I58,L58,M58-L58),[6]skilldef!$C:$D,2,FALSE),"-") &amp; " / " &amp; IFERROR(VLOOKUP(MID(I58,J58,K58-J58),[6]skilldef!$A:$B,2,FALSE),"-")</f>
        <v>- / -</v>
      </c>
      <c r="O58" s="128" t="str">
        <f t="shared" si="54"/>
        <v>[effect:enhance_enemy, target:myself, turn:2, status:defense, val:1500, calc:add, animation:enemy_enhance_defense],[effect:critical, val:1.2, animation:enemy_critical]</v>
      </c>
      <c r="P58" s="125" t="str">
        <f>IFERROR(LEFT(O58,FIND("],",O58)+#REF!),O58)</f>
        <v>[effect:enhance_enemy, target:myself, turn:2, status:defense, val:1500, calc:add, animation:enemy_enhance_defense],[effect:critical, val:1.2, animation:enemy_critical]</v>
      </c>
      <c r="Q58" s="128">
        <f t="shared" si="55"/>
        <v>9</v>
      </c>
      <c r="R58" s="128">
        <f t="shared" si="56"/>
        <v>22</v>
      </c>
      <c r="S58" s="128">
        <f t="shared" si="57"/>
        <v>31</v>
      </c>
      <c r="T58" s="128">
        <f t="shared" si="58"/>
        <v>37</v>
      </c>
      <c r="U58" s="128" t="str">
        <f>IFERROR(VLOOKUP(MID(P58,S58,T58-S58),[6]skilldef!$C:$D,2,FALSE),"-") &amp; " / " &amp; IFERROR(VLOOKUP(MID(P58,Q58,R58-Q58),[6]skilldef!$A:$B,2,FALSE),"-")</f>
        <v>自分自身に / ステータス強化</v>
      </c>
      <c r="V58" s="125" t="str">
        <f t="shared" si="59"/>
        <v>[effect:critical, val:1.2, animation:enemy_critical]</v>
      </c>
      <c r="W58" s="128">
        <f t="shared" si="60"/>
        <v>9</v>
      </c>
      <c r="X58" s="128">
        <f t="shared" si="61"/>
        <v>17</v>
      </c>
      <c r="Y58" s="128" t="e">
        <f t="shared" si="62"/>
        <v>#VALUE!</v>
      </c>
      <c r="Z58" s="128">
        <f t="shared" si="63"/>
        <v>26</v>
      </c>
      <c r="AA58" s="128" t="str">
        <f>IFERROR(VLOOKUP(MID(V58,Y58,Z58-Y58),[6]skilldef!$C:$D,2,FALSE),"-") &amp; " / " &amp; IFERROR(VLOOKUP(MID(V58,W58,X58-W58),[6]skilldef!$A:$B,2,FALSE),"-")</f>
        <v>- / 大攻撃</v>
      </c>
      <c r="AB58" s="127"/>
      <c r="AC58" s="129"/>
      <c r="AD58" s="127"/>
      <c r="AE58" s="206" t="s">
        <v>427</v>
      </c>
      <c r="AF58" s="131"/>
    </row>
    <row r="59" spans="1:32" s="132" customFormat="1" ht="133" customHeight="1" x14ac:dyDescent="0.15">
      <c r="A59" s="205">
        <f t="shared" si="33"/>
        <v>40046582</v>
      </c>
      <c r="B59" s="47" t="str">
        <f t="shared" si="1"/>
        <v>[effect:enemy_message, val1:1.2, val2:2.9],[effect:damage_abnormal,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</v>
      </c>
      <c r="C59" s="223">
        <v>3</v>
      </c>
      <c r="D59" s="49" t="s">
        <v>126</v>
      </c>
      <c r="E59" s="100"/>
      <c r="F59" s="197" t="s">
        <v>481</v>
      </c>
      <c r="G59" s="150" t="s">
        <v>271</v>
      </c>
      <c r="H59" s="150" t="s">
        <v>407</v>
      </c>
      <c r="I59" s="128" t="str">
        <f t="shared" si="49"/>
        <v>[effect:enemy_message, val1:1.2, val2:2.9]</v>
      </c>
      <c r="J59" s="128">
        <f t="shared" si="50"/>
        <v>9</v>
      </c>
      <c r="K59" s="128">
        <f t="shared" si="51"/>
        <v>22</v>
      </c>
      <c r="L59" s="128" t="e">
        <f t="shared" si="52"/>
        <v>#VALUE!</v>
      </c>
      <c r="M59" s="128">
        <f t="shared" si="53"/>
        <v>32</v>
      </c>
      <c r="N59" s="128" t="str">
        <f>IFERROR(VLOOKUP(MID(I59,L59,M59-L59),[6]skilldef!$C:$D,2,FALSE),"-") &amp; " / " &amp; IFERROR(VLOOKUP(MID(I59,J59,K59-J59),[6]skilldef!$A:$B,2,FALSE),"-")</f>
        <v>- / -</v>
      </c>
      <c r="O59" s="128" t="str">
        <f t="shared" si="54"/>
        <v>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</v>
      </c>
      <c r="P59" s="125" t="str">
        <f>IFERROR(LEFT(O59,FIND("],",O59)+#REF!),O59)</f>
        <v>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</v>
      </c>
      <c r="Q59" s="128">
        <f t="shared" si="55"/>
        <v>9</v>
      </c>
      <c r="R59" s="128">
        <f t="shared" si="56"/>
        <v>24</v>
      </c>
      <c r="S59" s="128">
        <f t="shared" si="57"/>
        <v>33</v>
      </c>
      <c r="T59" s="128">
        <f t="shared" si="58"/>
        <v>41</v>
      </c>
      <c r="U59" s="128" t="str">
        <f>IFERROR(VLOOKUP(MID(P59,S59,T59-S59),[6]skilldef!$C:$D,2,FALSE),"-") &amp; " / " &amp; IFERROR(VLOOKUP(MID(P59,Q59,R59-Q59),[6]skilldef!$A:$B,2,FALSE),"-")</f>
        <v>味方単体に / -</v>
      </c>
      <c r="V59" s="125" t="str">
        <f t="shared" si="59"/>
        <v>[effect:damage_abnormal, target:unit_one, val:0.1, status:sleep, turn:1, rate:0.1, animation:sleep01],[effect:damage_abnormal,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</v>
      </c>
      <c r="W59" s="128">
        <f t="shared" si="60"/>
        <v>9</v>
      </c>
      <c r="X59" s="128">
        <f t="shared" si="61"/>
        <v>24</v>
      </c>
      <c r="Y59" s="128">
        <f t="shared" si="62"/>
        <v>33</v>
      </c>
      <c r="Z59" s="128">
        <f t="shared" si="63"/>
        <v>41</v>
      </c>
      <c r="AA59" s="128" t="str">
        <f>IFERROR(VLOOKUP(MID(V59,Y59,Z59-Y59),[6]skilldef!$C:$D,2,FALSE),"-") &amp; " / " &amp; IFERROR(VLOOKUP(MID(V59,W59,X59-W59),[6]skilldef!$A:$B,2,FALSE),"-")</f>
        <v>味方単体に / -</v>
      </c>
      <c r="AB59" s="127"/>
      <c r="AC59" s="129"/>
      <c r="AD59" s="127"/>
      <c r="AE59" s="130" t="s">
        <v>408</v>
      </c>
      <c r="AF59" s="131"/>
    </row>
    <row r="60" spans="1:32" s="132" customFormat="1" ht="33" customHeight="1" x14ac:dyDescent="0.15">
      <c r="A60" s="205">
        <f t="shared" si="33"/>
        <v>40046583</v>
      </c>
      <c r="B60" s="47" t="str">
        <f t="shared" si="1"/>
        <v>[effect:enemy_message, val1:1.5, val2:2.4],[effect:spread, val:0.3],[effect:force_change_block, new_block:damage, target:jammer, color:block_green, count:0, val:0.02, animation:change_bock]</v>
      </c>
      <c r="C60" s="223">
        <v>3</v>
      </c>
      <c r="D60" s="49" t="s">
        <v>126</v>
      </c>
      <c r="E60" s="100"/>
      <c r="F60" s="197" t="s">
        <v>503</v>
      </c>
      <c r="G60" s="150" t="s">
        <v>268</v>
      </c>
      <c r="H60" s="150" t="s">
        <v>320</v>
      </c>
      <c r="I60" s="128" t="str">
        <f t="shared" si="49"/>
        <v>[effect:enemy_message, val1:1.5, val2:2.4]</v>
      </c>
      <c r="J60" s="128">
        <f t="shared" si="50"/>
        <v>9</v>
      </c>
      <c r="K60" s="128">
        <f t="shared" si="51"/>
        <v>22</v>
      </c>
      <c r="L60" s="128" t="e">
        <f t="shared" si="52"/>
        <v>#VALUE!</v>
      </c>
      <c r="M60" s="128">
        <f t="shared" si="53"/>
        <v>32</v>
      </c>
      <c r="N60" s="128" t="str">
        <f>IFERROR(VLOOKUP(MID(I60,L60,M60-L60),[6]skilldef!$C:$D,2,FALSE),"-") &amp; " / " &amp; IFERROR(VLOOKUP(MID(I60,J60,K60-J60),[6]skilldef!$A:$B,2,FALSE),"-")</f>
        <v>- / -</v>
      </c>
      <c r="O60" s="128" t="str">
        <f t="shared" si="54"/>
        <v>[effect:spread, val:0.3],[effect:force_change_block, new_block:damage, target:jammer, color:block_green, count:0, val:0.02, animation:change_bock]</v>
      </c>
      <c r="P60" s="125" t="str">
        <f>IFERROR(LEFT(O60,FIND("],",O60)+#REF!),O60)</f>
        <v>[effect:spread, val:0.3],[effect:force_change_block, new_block:damage, target:jammer, color:block_green, count:0, val:0.02, animation:change_bock]</v>
      </c>
      <c r="Q60" s="128">
        <f t="shared" si="55"/>
        <v>9</v>
      </c>
      <c r="R60" s="128">
        <f t="shared" si="56"/>
        <v>15</v>
      </c>
      <c r="S60" s="128">
        <f t="shared" si="57"/>
        <v>79</v>
      </c>
      <c r="T60" s="128">
        <f t="shared" si="58"/>
        <v>25</v>
      </c>
      <c r="U60" s="128" t="str">
        <f>IFERROR(VLOOKUP(MID(P60,S60,T60-S60),[6]skilldef!$C:$D,2,FALSE),"-") &amp; " / " &amp; IFERROR(VLOOKUP(MID(P60,Q60,R60-Q60),[6]skilldef!$A:$B,2,FALSE),"-")</f>
        <v>- / 全体攻撃</v>
      </c>
      <c r="V60" s="125" t="str">
        <f t="shared" si="59"/>
        <v>[effect:force_change_block, new_block:damage, target:jammer, color:block_green, count:0, val:0.02, animation:change_bock]</v>
      </c>
      <c r="W60" s="128">
        <f t="shared" si="60"/>
        <v>9</v>
      </c>
      <c r="X60" s="128">
        <f t="shared" si="61"/>
        <v>27</v>
      </c>
      <c r="Y60" s="128">
        <f t="shared" si="62"/>
        <v>54</v>
      </c>
      <c r="Z60" s="128">
        <f t="shared" si="63"/>
        <v>45</v>
      </c>
      <c r="AA60" s="128" t="str">
        <f>IFERROR(VLOOKUP(MID(V60,Y60,Z60-Y60),[6]skilldef!$C:$D,2,FALSE),"-") &amp; " / " &amp; IFERROR(VLOOKUP(MID(V60,W60,X60-W60),[6]skilldef!$A:$B,2,FALSE),"-")</f>
        <v>- / -</v>
      </c>
      <c r="AB60" s="127"/>
      <c r="AC60" s="129"/>
      <c r="AD60" s="127"/>
      <c r="AE60" s="130" t="s">
        <v>351</v>
      </c>
      <c r="AF60" s="131"/>
    </row>
    <row r="61" spans="1:32" s="132" customFormat="1" ht="33" customHeight="1" x14ac:dyDescent="0.15">
      <c r="A61" s="205">
        <f t="shared" si="33"/>
        <v>40046584</v>
      </c>
      <c r="B61" s="47" t="str">
        <f t="shared" si="1"/>
        <v>[effect:enemy_message, val1:1.4, val2:1.3],[effect:break_attack_fix, target:unit_all, val:175, lowest_val:700, count:-1, block01:block_yellow]</v>
      </c>
      <c r="C61" s="223">
        <v>3</v>
      </c>
      <c r="D61" s="49" t="s">
        <v>126</v>
      </c>
      <c r="E61" s="100"/>
      <c r="F61" s="197" t="s">
        <v>499</v>
      </c>
      <c r="G61" s="150" t="s">
        <v>272</v>
      </c>
      <c r="H61" s="150" t="s">
        <v>301</v>
      </c>
      <c r="I61" s="128" t="str">
        <f t="shared" si="49"/>
        <v>[effect:enemy_message, val1:1.4, val2:1.3]</v>
      </c>
      <c r="J61" s="128">
        <f t="shared" si="50"/>
        <v>9</v>
      </c>
      <c r="K61" s="128">
        <f t="shared" si="51"/>
        <v>22</v>
      </c>
      <c r="L61" s="128" t="e">
        <f t="shared" si="52"/>
        <v>#VALUE!</v>
      </c>
      <c r="M61" s="128">
        <f t="shared" si="53"/>
        <v>32</v>
      </c>
      <c r="N61" s="128" t="str">
        <f>IFERROR(VLOOKUP(MID(I61,L61,M61-L61),[6]skilldef!$C:$D,2,FALSE),"-") &amp; " / " &amp; IFERROR(VLOOKUP(MID(I61,J61,K61-J61),[6]skilldef!$A:$B,2,FALSE),"-")</f>
        <v>- / -</v>
      </c>
      <c r="O61" s="128" t="str">
        <f t="shared" si="54"/>
        <v>[effect:break_attack_fix, target:unit_all, val:175, lowest_val:700, count:-1, block01:block_yellow]</v>
      </c>
      <c r="P61" s="125" t="str">
        <f>IFERROR(LEFT(O61,FIND("],",O61)+#REF!),O61)</f>
        <v>[effect:break_attack_fix, target:unit_all, val:175, lowest_val:700, count:-1, block01:block_yellow]</v>
      </c>
      <c r="Q61" s="128">
        <f t="shared" si="55"/>
        <v>9</v>
      </c>
      <c r="R61" s="128">
        <f t="shared" si="56"/>
        <v>25</v>
      </c>
      <c r="S61" s="128">
        <f t="shared" si="57"/>
        <v>34</v>
      </c>
      <c r="T61" s="128">
        <f t="shared" si="58"/>
        <v>42</v>
      </c>
      <c r="U61" s="128" t="str">
        <f>IFERROR(VLOOKUP(MID(P61,S61,T61-S61),[6]skilldef!$C:$D,2,FALSE),"-") &amp; " / " &amp; IFERROR(VLOOKUP(MID(P61,Q61,R61-Q61),[6]skilldef!$A:$B,2,FALSE),"-")</f>
        <v>味方全体に / -</v>
      </c>
      <c r="V61" s="125" t="str">
        <f t="shared" si="59"/>
        <v>none</v>
      </c>
      <c r="W61" s="128" t="e">
        <f t="shared" si="60"/>
        <v>#VALUE!</v>
      </c>
      <c r="X61" s="128">
        <f t="shared" si="61"/>
        <v>4</v>
      </c>
      <c r="Y61" s="128" t="e">
        <f t="shared" si="62"/>
        <v>#VALUE!</v>
      </c>
      <c r="Z61" s="128" t="e">
        <f t="shared" si="63"/>
        <v>#VALUE!</v>
      </c>
      <c r="AA61" s="128" t="str">
        <f>IFERROR(VLOOKUP(MID(V61,Y61,Z61-Y61),[6]skilldef!$C:$D,2,FALSE),"-") &amp; " / " &amp; IFERROR(VLOOKUP(MID(V61,W61,X61-W61),[6]skilldef!$A:$B,2,FALSE),"-")</f>
        <v>- / -</v>
      </c>
      <c r="AB61" s="127"/>
      <c r="AC61" s="129"/>
      <c r="AD61" s="127"/>
      <c r="AE61" s="206" t="s">
        <v>432</v>
      </c>
      <c r="AF61" s="131"/>
    </row>
    <row r="62" spans="1:32" s="132" customFormat="1" ht="33" customHeight="1" x14ac:dyDescent="0.15">
      <c r="A62" s="205">
        <f t="shared" si="33"/>
        <v>40046585</v>
      </c>
      <c r="B62" s="47" t="str">
        <f t="shared" si="1"/>
        <v>[effect:enemy_message, val1:1.4, val2:2.1],[effect:spread, val:0.3],[effect:panel_freeze, target:normal, count:3]</v>
      </c>
      <c r="C62" s="223">
        <v>3</v>
      </c>
      <c r="D62" s="49" t="s">
        <v>126</v>
      </c>
      <c r="E62" s="100"/>
      <c r="F62" s="197" t="s">
        <v>505</v>
      </c>
      <c r="G62" s="150" t="s">
        <v>273</v>
      </c>
      <c r="H62" s="150" t="s">
        <v>310</v>
      </c>
      <c r="I62" s="128" t="str">
        <f t="shared" si="49"/>
        <v>[effect:enemy_message, val1:1.4, val2:2.1]</v>
      </c>
      <c r="J62" s="128">
        <f t="shared" si="50"/>
        <v>9</v>
      </c>
      <c r="K62" s="128">
        <f t="shared" si="51"/>
        <v>22</v>
      </c>
      <c r="L62" s="128" t="e">
        <f t="shared" si="52"/>
        <v>#VALUE!</v>
      </c>
      <c r="M62" s="128">
        <f t="shared" si="53"/>
        <v>32</v>
      </c>
      <c r="N62" s="128" t="str">
        <f>IFERROR(VLOOKUP(MID(I62,L62,M62-L62),[6]skilldef!$C:$D,2,FALSE),"-") &amp; " / " &amp; IFERROR(VLOOKUP(MID(I62,J62,K62-J62),[6]skilldef!$A:$B,2,FALSE),"-")</f>
        <v>- / -</v>
      </c>
      <c r="O62" s="128" t="str">
        <f t="shared" si="54"/>
        <v>[effect:spread, val:0.3],[effect:panel_freeze, target:normal, count:3]</v>
      </c>
      <c r="P62" s="125" t="str">
        <f>IFERROR(LEFT(O62,FIND("],",O62)+#REF!),O62)</f>
        <v>[effect:spread, val:0.3],[effect:panel_freeze, target:normal, count:3]</v>
      </c>
      <c r="Q62" s="128">
        <f t="shared" si="55"/>
        <v>9</v>
      </c>
      <c r="R62" s="128">
        <f t="shared" si="56"/>
        <v>15</v>
      </c>
      <c r="S62" s="128">
        <f t="shared" si="57"/>
        <v>55</v>
      </c>
      <c r="T62" s="128">
        <f t="shared" si="58"/>
        <v>25</v>
      </c>
      <c r="U62" s="128" t="str">
        <f>IFERROR(VLOOKUP(MID(P62,S62,T62-S62),[6]skilldef!$C:$D,2,FALSE),"-") &amp; " / " &amp; IFERROR(VLOOKUP(MID(P62,Q62,R62-Q62),[6]skilldef!$A:$B,2,FALSE),"-")</f>
        <v>- / 全体攻撃</v>
      </c>
      <c r="V62" s="125" t="str">
        <f t="shared" si="59"/>
        <v>[effect:panel_freeze, target:normal, count:3]</v>
      </c>
      <c r="W62" s="128">
        <f t="shared" si="60"/>
        <v>9</v>
      </c>
      <c r="X62" s="128">
        <f t="shared" si="61"/>
        <v>21</v>
      </c>
      <c r="Y62" s="128">
        <f t="shared" si="62"/>
        <v>30</v>
      </c>
      <c r="Z62" s="128">
        <f t="shared" si="63"/>
        <v>36</v>
      </c>
      <c r="AA62" s="128" t="str">
        <f>IFERROR(VLOOKUP(MID(V62,Y62,Z62-Y62),[6]skilldef!$C:$D,2,FALSE),"-") &amp; " / " &amp; IFERROR(VLOOKUP(MID(V62,W62,X62-W62),[6]skilldef!$A:$B,2,FALSE),"-")</f>
        <v>- / -</v>
      </c>
      <c r="AB62" s="127"/>
      <c r="AC62" s="129"/>
      <c r="AD62" s="127"/>
      <c r="AE62" s="130" t="s">
        <v>318</v>
      </c>
      <c r="AF62" s="131"/>
    </row>
    <row r="63" spans="1:32" s="132" customFormat="1" ht="33" customHeight="1" x14ac:dyDescent="0.15">
      <c r="A63" s="205">
        <f t="shared" si="33"/>
        <v>40046586</v>
      </c>
      <c r="B63" s="47" t="str">
        <f t="shared" si="1"/>
        <v>[effect:enemy_message, val1:1.2, val2:2.4],[effect:rush, count:1, val:1.0],[effect:force_change_block, new_block:damage, target:block_green, color:block_green, count:3, val:0.05, animation:change_bock]</v>
      </c>
      <c r="C63" s="223">
        <v>3</v>
      </c>
      <c r="D63" s="49" t="s">
        <v>126</v>
      </c>
      <c r="E63" s="100"/>
      <c r="F63" s="197" t="s">
        <v>507</v>
      </c>
      <c r="G63" s="150" t="s">
        <v>274</v>
      </c>
      <c r="H63" s="150" t="s">
        <v>397</v>
      </c>
      <c r="I63" s="128" t="str">
        <f t="shared" si="49"/>
        <v>[effect:enemy_message, val1:1.2, val2:2.4]</v>
      </c>
      <c r="J63" s="128">
        <f t="shared" si="50"/>
        <v>9</v>
      </c>
      <c r="K63" s="128">
        <f t="shared" si="51"/>
        <v>22</v>
      </c>
      <c r="L63" s="128" t="e">
        <f t="shared" si="52"/>
        <v>#VALUE!</v>
      </c>
      <c r="M63" s="128">
        <f t="shared" si="53"/>
        <v>32</v>
      </c>
      <c r="N63" s="128" t="str">
        <f>IFERROR(VLOOKUP(MID(I63,L63,M63-L63),[6]skilldef!$C:$D,2,FALSE),"-") &amp; " / " &amp; IFERROR(VLOOKUP(MID(I63,J63,K63-J63),[6]skilldef!$A:$B,2,FALSE),"-")</f>
        <v>- / -</v>
      </c>
      <c r="O63" s="128" t="str">
        <f t="shared" si="54"/>
        <v>[effect:rush, count:1, val:1.0],[effect:force_change_block, new_block:damage, target:block_green, color:block_green, count:3, val:0.05, animation:change_bock]</v>
      </c>
      <c r="P63" s="125" t="str">
        <f>IFERROR(LEFT(O63,FIND("],",O63)+#REF!),O63)</f>
        <v>[effect:rush, count:1, val:1.0],[effect:force_change_block, new_block:damage, target:block_green, color:block_green, count:3, val:0.05, animation:change_bock]</v>
      </c>
      <c r="Q63" s="128">
        <f t="shared" si="55"/>
        <v>9</v>
      </c>
      <c r="R63" s="128">
        <f t="shared" si="56"/>
        <v>13</v>
      </c>
      <c r="S63" s="128">
        <f t="shared" si="57"/>
        <v>86</v>
      </c>
      <c r="T63" s="128">
        <f t="shared" si="58"/>
        <v>22</v>
      </c>
      <c r="U63" s="128" t="str">
        <f>IFERROR(VLOOKUP(MID(P63,S63,T63-S63),[6]skilldef!$C:$D,2,FALSE),"-") &amp; " / " &amp; IFERROR(VLOOKUP(MID(P63,Q63,R63-Q63),[6]skilldef!$A:$B,2,FALSE),"-")</f>
        <v>- / 連続攻撃</v>
      </c>
      <c r="V63" s="125" t="str">
        <f t="shared" si="59"/>
        <v>[effect:force_change_block, new_block:damage, target:block_green, color:block_green, count:3, val:0.05, animation:change_bock]</v>
      </c>
      <c r="W63" s="128">
        <f t="shared" si="60"/>
        <v>9</v>
      </c>
      <c r="X63" s="128">
        <f t="shared" si="61"/>
        <v>27</v>
      </c>
      <c r="Y63" s="128">
        <f t="shared" si="62"/>
        <v>54</v>
      </c>
      <c r="Z63" s="128">
        <f t="shared" si="63"/>
        <v>45</v>
      </c>
      <c r="AA63" s="128" t="str">
        <f>IFERROR(VLOOKUP(MID(V63,Y63,Z63-Y63),[6]skilldef!$C:$D,2,FALSE),"-") &amp; " / " &amp; IFERROR(VLOOKUP(MID(V63,W63,X63-W63),[6]skilldef!$A:$B,2,FALSE),"-")</f>
        <v>- / -</v>
      </c>
      <c r="AB63" s="127"/>
      <c r="AC63" s="129"/>
      <c r="AD63" s="127"/>
      <c r="AE63" s="130" t="s">
        <v>396</v>
      </c>
      <c r="AF63" s="131"/>
    </row>
    <row r="64" spans="1:32" s="132" customFormat="1" ht="33" customHeight="1" x14ac:dyDescent="0.15">
      <c r="A64" s="205">
        <f t="shared" si="33"/>
        <v>40046587</v>
      </c>
      <c r="B64" s="47" t="str">
        <f t="shared" si="1"/>
        <v>[effect:enemy_message, val1:1.2, val2:2.1],[effect:rush, count:1, val:1.0],[effect:enemy_counter, target:myself, invoke_condition:unit_all, counter_target:attacker, turn:1, val:0.1, animation:enemy_counter]</v>
      </c>
      <c r="C64" s="223">
        <v>3</v>
      </c>
      <c r="D64" s="49" t="s">
        <v>126</v>
      </c>
      <c r="E64" s="100"/>
      <c r="F64" s="197" t="s">
        <v>497</v>
      </c>
      <c r="G64" s="150" t="s">
        <v>275</v>
      </c>
      <c r="H64" s="150" t="s">
        <v>329</v>
      </c>
      <c r="I64" s="128" t="str">
        <f t="shared" si="49"/>
        <v>[effect:enemy_message, val1:1.2, val2:2.1]</v>
      </c>
      <c r="J64" s="128">
        <f t="shared" si="50"/>
        <v>9</v>
      </c>
      <c r="K64" s="128">
        <f t="shared" si="51"/>
        <v>22</v>
      </c>
      <c r="L64" s="128" t="e">
        <f t="shared" si="52"/>
        <v>#VALUE!</v>
      </c>
      <c r="M64" s="128">
        <f t="shared" si="53"/>
        <v>32</v>
      </c>
      <c r="N64" s="128" t="str">
        <f>IFERROR(VLOOKUP(MID(I64,L64,M64-L64),[6]skilldef!$C:$D,2,FALSE),"-") &amp; " / " &amp; IFERROR(VLOOKUP(MID(I64,J64,K64-J64),[6]skilldef!$A:$B,2,FALSE),"-")</f>
        <v>- / -</v>
      </c>
      <c r="O64" s="128" t="str">
        <f t="shared" si="54"/>
        <v>[effect:rush, count:1, val:1.0],[effect:enemy_counter, target:myself, invoke_condition:unit_all, counter_target:attacker, turn:1, val:0.1, animation:enemy_counter]</v>
      </c>
      <c r="P64" s="125" t="str">
        <f>IFERROR(LEFT(O64,FIND("],",O64)+#REF!),O64)</f>
        <v>[effect:rush, count:1, val:1.0],[effect:enemy_counter, target:myself, invoke_condition:unit_all, counter_target:attacker, turn:1, val:0.1, animation:enemy_counter]</v>
      </c>
      <c r="Q64" s="128">
        <f t="shared" si="55"/>
        <v>9</v>
      </c>
      <c r="R64" s="128">
        <f t="shared" si="56"/>
        <v>13</v>
      </c>
      <c r="S64" s="128">
        <f t="shared" si="57"/>
        <v>63</v>
      </c>
      <c r="T64" s="128">
        <f t="shared" si="58"/>
        <v>22</v>
      </c>
      <c r="U64" s="128" t="str">
        <f>IFERROR(VLOOKUP(MID(P64,S64,T64-S64),[6]skilldef!$C:$D,2,FALSE),"-") &amp; " / " &amp; IFERROR(VLOOKUP(MID(P64,Q64,R64-Q64),[6]skilldef!$A:$B,2,FALSE),"-")</f>
        <v>- / 連続攻撃</v>
      </c>
      <c r="V64" s="125" t="str">
        <f t="shared" si="59"/>
        <v>[effect:enemy_counter, target:myself, invoke_condition:unit_all, counter_target:attacker, turn:1, val:0.1, animation:enemy_counter]</v>
      </c>
      <c r="W64" s="128">
        <f t="shared" si="60"/>
        <v>9</v>
      </c>
      <c r="X64" s="128">
        <f t="shared" si="61"/>
        <v>22</v>
      </c>
      <c r="Y64" s="128">
        <f t="shared" si="62"/>
        <v>31</v>
      </c>
      <c r="Z64" s="128">
        <f t="shared" si="63"/>
        <v>37</v>
      </c>
      <c r="AA64" s="128" t="str">
        <f>IFERROR(VLOOKUP(MID(V64,Y64,Z64-Y64),[6]skilldef!$C:$D,2,FALSE),"-") &amp; " / " &amp; IFERROR(VLOOKUP(MID(V64,W64,X64-W64),[6]skilldef!$A:$B,2,FALSE),"-")</f>
        <v>自分自身に / カウンター</v>
      </c>
      <c r="AB64" s="127"/>
      <c r="AC64" s="129"/>
      <c r="AD64" s="127"/>
      <c r="AE64" s="130" t="s">
        <v>321</v>
      </c>
      <c r="AF64" s="131"/>
    </row>
    <row r="65" spans="1:32" s="132" customFormat="1" ht="33" customHeight="1" x14ac:dyDescent="0.15">
      <c r="A65" s="205">
        <f t="shared" si="33"/>
        <v>40046588</v>
      </c>
      <c r="B65" s="47" t="str">
        <f t="shared" si="1"/>
        <v>[effect:enemy_message, val1:1.4, val2:1.2],[effect:change_panel_ratio, turn:-1, block_type:heal, val:0, animation:block_incidence04]</v>
      </c>
      <c r="C65" s="223">
        <v>3</v>
      </c>
      <c r="D65" s="49" t="s">
        <v>126</v>
      </c>
      <c r="E65" s="100"/>
      <c r="F65" s="197" t="s">
        <v>512</v>
      </c>
      <c r="G65" s="150" t="s">
        <v>296</v>
      </c>
      <c r="H65" s="150" t="s">
        <v>311</v>
      </c>
      <c r="I65" s="128" t="str">
        <f t="shared" si="49"/>
        <v>[effect:enemy_message, val1:1.4, val2:1.2]</v>
      </c>
      <c r="J65" s="128">
        <f t="shared" si="50"/>
        <v>9</v>
      </c>
      <c r="K65" s="128">
        <f t="shared" si="51"/>
        <v>22</v>
      </c>
      <c r="L65" s="128" t="e">
        <f t="shared" si="52"/>
        <v>#VALUE!</v>
      </c>
      <c r="M65" s="128">
        <f t="shared" si="53"/>
        <v>32</v>
      </c>
      <c r="N65" s="128" t="str">
        <f>IFERROR(VLOOKUP(MID(I65,L65,M65-L65),[6]skilldef!$C:$D,2,FALSE),"-") &amp; " / " &amp; IFERROR(VLOOKUP(MID(I65,J65,K65-J65),[6]skilldef!$A:$B,2,FALSE),"-")</f>
        <v>- / -</v>
      </c>
      <c r="O65" s="128" t="str">
        <f t="shared" si="54"/>
        <v>[effect:change_panel_ratio, turn:-1, block_type:heal, val:0, animation:block_incidence04]</v>
      </c>
      <c r="P65" s="125" t="str">
        <f>IFERROR(LEFT(O65,FIND("],",O65)+#REF!),O65)</f>
        <v>[effect:change_panel_ratio, turn:-1, block_type:heal, val:0, animation:block_incidence04]</v>
      </c>
      <c r="Q65" s="128">
        <f t="shared" si="55"/>
        <v>9</v>
      </c>
      <c r="R65" s="128">
        <f t="shared" si="56"/>
        <v>27</v>
      </c>
      <c r="S65" s="128" t="e">
        <f t="shared" si="57"/>
        <v>#VALUE!</v>
      </c>
      <c r="T65" s="128">
        <f t="shared" si="58"/>
        <v>36</v>
      </c>
      <c r="U65" s="128" t="str">
        <f>IFERROR(VLOOKUP(MID(P65,S65,T65-S65),[6]skilldef!$C:$D,2,FALSE),"-") &amp; " / " &amp; IFERROR(VLOOKUP(MID(P65,Q65,R65-Q65),[6]skilldef!$A:$B,2,FALSE),"-")</f>
        <v>- / -</v>
      </c>
      <c r="V65" s="125" t="str">
        <f t="shared" si="59"/>
        <v>none</v>
      </c>
      <c r="W65" s="128" t="e">
        <f t="shared" si="60"/>
        <v>#VALUE!</v>
      </c>
      <c r="X65" s="128">
        <f t="shared" si="61"/>
        <v>4</v>
      </c>
      <c r="Y65" s="128" t="e">
        <f t="shared" si="62"/>
        <v>#VALUE!</v>
      </c>
      <c r="Z65" s="128" t="e">
        <f t="shared" si="63"/>
        <v>#VALUE!</v>
      </c>
      <c r="AA65" s="128" t="str">
        <f>IFERROR(VLOOKUP(MID(V65,Y65,Z65-Y65),[6]skilldef!$C:$D,2,FALSE),"-") &amp; " / " &amp; IFERROR(VLOOKUP(MID(V65,W65,X65-W65),[6]skilldef!$A:$B,2,FALSE),"-")</f>
        <v>- / -</v>
      </c>
      <c r="AB65" s="127"/>
      <c r="AC65" s="129"/>
      <c r="AD65" s="127"/>
      <c r="AE65" s="130" t="s">
        <v>330</v>
      </c>
      <c r="AF65" s="131"/>
    </row>
    <row r="66" spans="1:32" s="132" customFormat="1" ht="33" customHeight="1" x14ac:dyDescent="0.15">
      <c r="A66" s="205">
        <f t="shared" si="33"/>
        <v>40046589</v>
      </c>
      <c r="B66" s="47" t="str">
        <f t="shared" si="1"/>
        <v>[effect:enemy_message, val1:1.2, val2:1.2],[effect:spread, val:0.7]</v>
      </c>
      <c r="C66" s="223">
        <v>3</v>
      </c>
      <c r="D66" s="49" t="s">
        <v>126</v>
      </c>
      <c r="E66" s="100"/>
      <c r="F66" s="197" t="s">
        <v>510</v>
      </c>
      <c r="G66" s="150" t="s">
        <v>297</v>
      </c>
      <c r="H66" s="150" t="s">
        <v>428</v>
      </c>
      <c r="I66" s="128" t="str">
        <f t="shared" si="49"/>
        <v>[effect:enemy_message, val1:1.2, val2:1.2]</v>
      </c>
      <c r="J66" s="128">
        <f t="shared" si="50"/>
        <v>9</v>
      </c>
      <c r="K66" s="128">
        <f t="shared" si="51"/>
        <v>22</v>
      </c>
      <c r="L66" s="128" t="e">
        <f t="shared" si="52"/>
        <v>#VALUE!</v>
      </c>
      <c r="M66" s="128">
        <f t="shared" si="53"/>
        <v>32</v>
      </c>
      <c r="N66" s="128" t="str">
        <f>IFERROR(VLOOKUP(MID(I66,L66,M66-L66),[6]skilldef!$C:$D,2,FALSE),"-") &amp; " / " &amp; IFERROR(VLOOKUP(MID(I66,J66,K66-J66),[6]skilldef!$A:$B,2,FALSE),"-")</f>
        <v>- / -</v>
      </c>
      <c r="O66" s="128" t="str">
        <f t="shared" si="54"/>
        <v>[effect:spread, val:0.7]</v>
      </c>
      <c r="P66" s="125" t="str">
        <f>IFERROR(LEFT(O66,FIND("],",O66)+#REF!),O66)</f>
        <v>[effect:spread, val:0.7]</v>
      </c>
      <c r="Q66" s="128">
        <f t="shared" si="55"/>
        <v>9</v>
      </c>
      <c r="R66" s="128">
        <f t="shared" si="56"/>
        <v>15</v>
      </c>
      <c r="S66" s="128" t="e">
        <f t="shared" si="57"/>
        <v>#VALUE!</v>
      </c>
      <c r="T66" s="128" t="e">
        <f t="shared" si="58"/>
        <v>#VALUE!</v>
      </c>
      <c r="U66" s="128" t="str">
        <f>IFERROR(VLOOKUP(MID(P66,S66,T66-S66),[6]skilldef!$C:$D,2,FALSE),"-") &amp; " / " &amp; IFERROR(VLOOKUP(MID(P66,Q66,R66-Q66),[6]skilldef!$A:$B,2,FALSE),"-")</f>
        <v>- / 全体攻撃</v>
      </c>
      <c r="V66" s="125" t="str">
        <f t="shared" si="59"/>
        <v>none</v>
      </c>
      <c r="W66" s="128" t="e">
        <f t="shared" si="60"/>
        <v>#VALUE!</v>
      </c>
      <c r="X66" s="128">
        <f t="shared" si="61"/>
        <v>4</v>
      </c>
      <c r="Y66" s="128" t="e">
        <f t="shared" si="62"/>
        <v>#VALUE!</v>
      </c>
      <c r="Z66" s="128" t="e">
        <f t="shared" si="63"/>
        <v>#VALUE!</v>
      </c>
      <c r="AA66" s="128" t="str">
        <f>IFERROR(VLOOKUP(MID(V66,Y66,Z66-Y66),[6]skilldef!$C:$D,2,FALSE),"-") &amp; " / " &amp; IFERROR(VLOOKUP(MID(V66,W66,X66-W66),[6]skilldef!$A:$B,2,FALSE),"-")</f>
        <v>- / -</v>
      </c>
      <c r="AB66" s="127"/>
      <c r="AC66" s="129"/>
      <c r="AD66" s="127"/>
      <c r="AE66" s="130" t="s">
        <v>353</v>
      </c>
      <c r="AF66" s="131"/>
    </row>
    <row r="67" spans="1:32" s="132" customFormat="1" ht="33" customHeight="1" x14ac:dyDescent="0.15">
      <c r="A67" s="205">
        <f t="shared" si="33"/>
        <v>40046590</v>
      </c>
      <c r="B67" s="46" t="s">
        <v>538</v>
      </c>
      <c r="C67" s="223">
        <v>3</v>
      </c>
      <c r="D67" s="49" t="s">
        <v>126</v>
      </c>
      <c r="E67" s="100"/>
      <c r="F67" s="197" t="s">
        <v>479</v>
      </c>
      <c r="G67" s="150" t="s">
        <v>312</v>
      </c>
      <c r="H67" s="150" t="s">
        <v>508</v>
      </c>
      <c r="I67" s="128" t="str">
        <f t="shared" si="49"/>
        <v>[effect:enemy_message, val1:2.1, val2:2.2]</v>
      </c>
      <c r="J67" s="128">
        <f t="shared" si="50"/>
        <v>9</v>
      </c>
      <c r="K67" s="128">
        <f t="shared" si="51"/>
        <v>22</v>
      </c>
      <c r="L67" s="128" t="e">
        <f t="shared" si="52"/>
        <v>#VALUE!</v>
      </c>
      <c r="M67" s="128">
        <f t="shared" si="53"/>
        <v>32</v>
      </c>
      <c r="N67" s="128" t="str">
        <f>IFERROR(VLOOKUP(MID(I67,L67,M67-L67),[6]skilldef!$C:$D,2,FALSE),"-") &amp; " / " &amp; IFERROR(VLOOKUP(MID(I67,J67,K67-J67),[6]skilldef!$A:$B,2,FALSE),"-")</f>
        <v>- / -</v>
      </c>
      <c r="O67" s="128" t="str">
        <f t="shared" si="54"/>
        <v>none</v>
      </c>
      <c r="P67" s="125" t="str">
        <f>IFERROR(LEFT(O67,FIND("],",O67)+#REF!),O67)</f>
        <v>none</v>
      </c>
      <c r="Q67" s="128" t="e">
        <f t="shared" si="55"/>
        <v>#VALUE!</v>
      </c>
      <c r="R67" s="128">
        <f t="shared" si="56"/>
        <v>4</v>
      </c>
      <c r="S67" s="128" t="e">
        <f t="shared" si="57"/>
        <v>#VALUE!</v>
      </c>
      <c r="T67" s="128" t="e">
        <f t="shared" si="58"/>
        <v>#VALUE!</v>
      </c>
      <c r="U67" s="128" t="str">
        <f>IFERROR(VLOOKUP(MID(P67,S67,T67-S67),[6]skilldef!$C:$D,2,FALSE),"-") &amp; " / " &amp; IFERROR(VLOOKUP(MID(P67,Q67,R67-Q67),[6]skilldef!$A:$B,2,FALSE),"-")</f>
        <v>- / -</v>
      </c>
      <c r="V67" s="125" t="str">
        <f t="shared" si="59"/>
        <v>none</v>
      </c>
      <c r="W67" s="128" t="e">
        <f t="shared" si="60"/>
        <v>#VALUE!</v>
      </c>
      <c r="X67" s="128">
        <f t="shared" si="61"/>
        <v>4</v>
      </c>
      <c r="Y67" s="128" t="e">
        <f t="shared" si="62"/>
        <v>#VALUE!</v>
      </c>
      <c r="Z67" s="128" t="e">
        <f t="shared" si="63"/>
        <v>#VALUE!</v>
      </c>
      <c r="AA67" s="128" t="str">
        <f>IFERROR(VLOOKUP(MID(V67,Y67,Z67-Y67),[6]skilldef!$C:$D,2,FALSE),"-") &amp; " / " &amp; IFERROR(VLOOKUP(MID(V67,W67,X67-W67),[6]skilldef!$A:$B,2,FALSE),"-")</f>
        <v>- / -</v>
      </c>
      <c r="AB67" s="127"/>
      <c r="AC67" s="129"/>
      <c r="AD67" s="127"/>
      <c r="AE67" s="159"/>
      <c r="AF67" s="131"/>
    </row>
    <row r="68" spans="1:32" s="132" customFormat="1" ht="33" customHeight="1" x14ac:dyDescent="0.15">
      <c r="A68" s="160">
        <v>40046000</v>
      </c>
      <c r="B68" s="47" t="str">
        <f t="shared" ref="B68" si="94">"[effect:enemy_message, val1:"&amp;TEXT(IF(TEXT(F68,0)="[表示しない]", "0", IF(LEN(SUBSTITUTE(F68,CHAR(13),""))*0.1&lt;1.2, 1.2, LEN(SUBSTITUTE(F68,CHAR(13),""))*0.1)), "0.0")&amp;", val2:"&amp;TEXT(IF(TEXT(H68,0)="[表示しない]", "0", IF(LEN(SUBSTITUTE(H68,CHAR(13),""))*0.1&lt;1.2, 1.2, LEN(SUBSTITUTE(H68,CHAR(13),""))*0.1)),"0.0")&amp;"]"&amp;IF(LEN(AE68)&gt;0, ","&amp;SUBSTITUTE(AE68,CHAR(13),""),SUBSTITUTE(AE68,CHAR(13),""))</f>
        <v>[effect:enemy_message, val1:1.2, val2:1.7],[effect:break_attack_fix, target:unit_one, val:150, lowest_val:1429, count:6, block01:block_red]</v>
      </c>
      <c r="C68" s="223">
        <v>3</v>
      </c>
      <c r="D68" s="49" t="s">
        <v>126</v>
      </c>
      <c r="E68" s="100"/>
      <c r="F68" s="149" t="s">
        <v>364</v>
      </c>
      <c r="G68" s="150" t="s">
        <v>266</v>
      </c>
      <c r="H68" s="150" t="s">
        <v>340</v>
      </c>
      <c r="I68" s="128" t="str">
        <f>IFERROR(LEFT(B68,FIND("],",B68)),B68)</f>
        <v>[effect:enemy_message, val1:1.2, val2:1.7]</v>
      </c>
      <c r="J68" s="128">
        <f>FIND("effect:",I68)+7</f>
        <v>9</v>
      </c>
      <c r="K68" s="128">
        <f>IFERROR(FIND(",",I68),LEN(I68))</f>
        <v>22</v>
      </c>
      <c r="L68" s="128" t="e">
        <f>FIND("target:",I68)+7</f>
        <v>#VALUE!</v>
      </c>
      <c r="M68" s="128">
        <f>FIND(",",I68,K68+1)</f>
        <v>32</v>
      </c>
      <c r="N68" s="128" t="str">
        <f>IFERROR(VLOOKUP(MID(I68,L68,M68-L68),[6]skilldef!$C:$D,2,FALSE),"-") &amp; " / " &amp; IFERROR(VLOOKUP(MID(I68,J68,K68-J68),[6]skilldef!$A:$B,2,FALSE),"-")</f>
        <v>- / -</v>
      </c>
      <c r="O68" s="128" t="str">
        <f>IFERROR(RIGHT(B68,LEN(B68)-FIND("],",B68)-1),"none")</f>
        <v>[effect:break_attack_fix, target:unit_one, val:150, lowest_val:1429, count:6, block01:block_red]</v>
      </c>
      <c r="P68" s="125" t="str">
        <f>IFERROR(LEFT(O68,FIND("],",O68)+#REF!),O68)</f>
        <v>[effect:break_attack_fix, target:unit_one, val:150, lowest_val:1429, count:6, block01:block_red]</v>
      </c>
      <c r="Q68" s="128">
        <f>FIND("effect:",P68)+7</f>
        <v>9</v>
      </c>
      <c r="R68" s="128">
        <f>IFERROR(FIND(",",P68),LEN(P68))</f>
        <v>25</v>
      </c>
      <c r="S68" s="128">
        <f>FIND("target:",P68)+7</f>
        <v>34</v>
      </c>
      <c r="T68" s="128">
        <f>FIND(",",P68,R68+1)</f>
        <v>42</v>
      </c>
      <c r="U68" s="128" t="str">
        <f>IFERROR(VLOOKUP(MID(P68,S68,T68-S68),[6]skilldef!$C:$D,2,FALSE),"-") &amp; " / " &amp; IFERROR(VLOOKUP(MID(P68,Q68,R68-Q68),[6]skilldef!$A:$B,2,FALSE),"-")</f>
        <v>味方単体に / -</v>
      </c>
      <c r="V68" s="125" t="str">
        <f>IFERROR(RIGHT(O68,LEN(O68)-FIND("],",O68)-1),"none")</f>
        <v>none</v>
      </c>
      <c r="W68" s="128" t="e">
        <f>FIND("effect:",V68)+7</f>
        <v>#VALUE!</v>
      </c>
      <c r="X68" s="128">
        <f>IFERROR(FIND(",",V68),LEN(V68))</f>
        <v>4</v>
      </c>
      <c r="Y68" s="128" t="e">
        <f>FIND("target:",V68)+7</f>
        <v>#VALUE!</v>
      </c>
      <c r="Z68" s="128" t="e">
        <f>FIND(",",V68,X68+1)</f>
        <v>#VALUE!</v>
      </c>
      <c r="AA68" s="128" t="str">
        <f>IFERROR(VLOOKUP(MID(V68,Y68,Z68-Y68),[6]skilldef!$C:$D,2,FALSE),"-") &amp; " / " &amp; IFERROR(VLOOKUP(MID(V68,W68,X68-W68),[6]skilldef!$A:$B,2,FALSE),"-")</f>
        <v>- / -</v>
      </c>
      <c r="AB68" s="127"/>
      <c r="AC68" s="129"/>
      <c r="AD68" s="127"/>
      <c r="AE68" s="130" t="s">
        <v>354</v>
      </c>
      <c r="AF68" s="131"/>
    </row>
    <row r="69" spans="1:32" s="132" customFormat="1" ht="33" customHeight="1" x14ac:dyDescent="0.15">
      <c r="A69" s="160">
        <v>40046001</v>
      </c>
      <c r="B69" s="47" t="str">
        <f t="shared" ref="B69:B132" si="95">"[effect:enemy_message, val1:"&amp;TEXT(IF(TEXT(F69,0)="[表示しない]", "0", IF(LEN(SUBSTITUTE(F69,CHAR(13),""))*0.1&lt;1.2, 1.2, LEN(SUBSTITUTE(F69,CHAR(13),""))*0.1)), "0.0")&amp;", val2:"&amp;TEXT(IF(TEXT(H69,0)="[表示しない]", "0", IF(LEN(SUBSTITUTE(H69,CHAR(13),""))*0.1&lt;1.2, 1.2, LEN(SUBSTITUTE(H69,CHAR(13),""))*0.1)),"0.0")&amp;"]"&amp;IF(LEN(AE69)&gt;0, ","&amp;SUBSTITUTE(AE69,CHAR(13),""),SUBSTITUTE(AE69,CHAR(13),""))</f>
        <v>[effect:enemy_message, val1:1.2, val2:1.7],[effect:break_attack_fix, target:unit_one, val:150, lowest_val:1429, count:6, block01:block_red]</v>
      </c>
      <c r="C69" s="223">
        <v>3</v>
      </c>
      <c r="D69" s="49" t="s">
        <v>126</v>
      </c>
      <c r="E69" s="100"/>
      <c r="F69" s="149" t="s">
        <v>364</v>
      </c>
      <c r="G69" s="150" t="s">
        <v>269</v>
      </c>
      <c r="H69" s="150" t="s">
        <v>340</v>
      </c>
      <c r="I69" s="128" t="str">
        <f t="shared" ref="I69:I132" si="96">IFERROR(LEFT(B69,FIND("],",B69)),B69)</f>
        <v>[effect:enemy_message, val1:1.2, val2:1.7]</v>
      </c>
      <c r="J69" s="128">
        <f t="shared" ref="J69:J132" si="97">FIND("effect:",I69)+7</f>
        <v>9</v>
      </c>
      <c r="K69" s="128">
        <f t="shared" ref="K69:K132" si="98">IFERROR(FIND(",",I69),LEN(I69))</f>
        <v>22</v>
      </c>
      <c r="L69" s="128" t="e">
        <f t="shared" ref="L69:L132" si="99">FIND("target:",I69)+7</f>
        <v>#VALUE!</v>
      </c>
      <c r="M69" s="128">
        <f t="shared" ref="M69:M132" si="100">FIND(",",I69,K69+1)</f>
        <v>32</v>
      </c>
      <c r="N69" s="128" t="str">
        <f>IFERROR(VLOOKUP(MID(I69,L69,M69-L69),[6]skilldef!$C:$D,2,FALSE),"-") &amp; " / " &amp; IFERROR(VLOOKUP(MID(I69,J69,K69-J69),[6]skilldef!$A:$B,2,FALSE),"-")</f>
        <v>- / -</v>
      </c>
      <c r="O69" s="128" t="str">
        <f t="shared" ref="O69:O132" si="101">IFERROR(RIGHT(B69,LEN(B69)-FIND("],",B69)-1),"none")</f>
        <v>[effect:break_attack_fix, target:unit_one, val:150, lowest_val:1429, count:6, block01:block_red]</v>
      </c>
      <c r="P69" s="125" t="str">
        <f>IFERROR(LEFT(O69,FIND("],",O69)+#REF!),O69)</f>
        <v>[effect:break_attack_fix, target:unit_one, val:150, lowest_val:1429, count:6, block01:block_red]</v>
      </c>
      <c r="Q69" s="128">
        <f t="shared" ref="Q69:Q132" si="102">FIND("effect:",P69)+7</f>
        <v>9</v>
      </c>
      <c r="R69" s="128">
        <f t="shared" ref="R69:R132" si="103">IFERROR(FIND(",",P69),LEN(P69))</f>
        <v>25</v>
      </c>
      <c r="S69" s="128">
        <f t="shared" ref="S69:S132" si="104">FIND("target:",P69)+7</f>
        <v>34</v>
      </c>
      <c r="T69" s="128">
        <f t="shared" ref="T69:T132" si="105">FIND(",",P69,R69+1)</f>
        <v>42</v>
      </c>
      <c r="U69" s="128" t="str">
        <f>IFERROR(VLOOKUP(MID(P69,S69,T69-S69),[6]skilldef!$C:$D,2,FALSE),"-") &amp; " / " &amp; IFERROR(VLOOKUP(MID(P69,Q69,R69-Q69),[6]skilldef!$A:$B,2,FALSE),"-")</f>
        <v>味方単体に / -</v>
      </c>
      <c r="V69" s="125" t="str">
        <f t="shared" ref="V69:V132" si="106">IFERROR(RIGHT(O69,LEN(O69)-FIND("],",O69)-1),"none")</f>
        <v>none</v>
      </c>
      <c r="W69" s="128" t="e">
        <f t="shared" ref="W69:W132" si="107">FIND("effect:",V69)+7</f>
        <v>#VALUE!</v>
      </c>
      <c r="X69" s="128">
        <f t="shared" ref="X69:X132" si="108">IFERROR(FIND(",",V69),LEN(V69))</f>
        <v>4</v>
      </c>
      <c r="Y69" s="128" t="e">
        <f t="shared" ref="Y69:Y132" si="109">FIND("target:",V69)+7</f>
        <v>#VALUE!</v>
      </c>
      <c r="Z69" s="128" t="e">
        <f t="shared" ref="Z69:Z132" si="110">FIND(",",V69,X69+1)</f>
        <v>#VALUE!</v>
      </c>
      <c r="AA69" s="128" t="str">
        <f>IFERROR(VLOOKUP(MID(V69,Y69,Z69-Y69),[6]skilldef!$C:$D,2,FALSE),"-") &amp; " / " &amp; IFERROR(VLOOKUP(MID(V69,W69,X69-W69),[6]skilldef!$A:$B,2,FALSE),"-")</f>
        <v>- / -</v>
      </c>
      <c r="AB69" s="127"/>
      <c r="AC69" s="129"/>
      <c r="AD69" s="127"/>
      <c r="AE69" s="130" t="s">
        <v>354</v>
      </c>
      <c r="AF69" s="131"/>
    </row>
    <row r="70" spans="1:32" s="132" customFormat="1" ht="33" customHeight="1" x14ac:dyDescent="0.15">
      <c r="A70" s="160">
        <v>40046002</v>
      </c>
      <c r="B70" s="47" t="str">
        <f t="shared" si="95"/>
        <v>[effect:enemy_message, val1:1.2, val2:1.2],[effect:critical, val:1.2, animation:enemy_critical]</v>
      </c>
      <c r="C70" s="223">
        <v>3</v>
      </c>
      <c r="D70" s="49" t="s">
        <v>126</v>
      </c>
      <c r="E70" s="100"/>
      <c r="F70" s="149" t="s">
        <v>366</v>
      </c>
      <c r="G70" s="151">
        <v>0.5</v>
      </c>
      <c r="H70" s="150" t="s">
        <v>298</v>
      </c>
      <c r="I70" s="128" t="str">
        <f t="shared" si="96"/>
        <v>[effect:enemy_message, val1:1.2, val2:1.2]</v>
      </c>
      <c r="J70" s="128">
        <f t="shared" si="97"/>
        <v>9</v>
      </c>
      <c r="K70" s="128">
        <f t="shared" si="98"/>
        <v>22</v>
      </c>
      <c r="L70" s="128" t="e">
        <f t="shared" si="99"/>
        <v>#VALUE!</v>
      </c>
      <c r="M70" s="128">
        <f t="shared" si="100"/>
        <v>32</v>
      </c>
      <c r="N70" s="128" t="str">
        <f>IFERROR(VLOOKUP(MID(I70,L70,M70-L70),[6]skilldef!$C:$D,2,FALSE),"-") &amp; " / " &amp; IFERROR(VLOOKUP(MID(I70,J70,K70-J70),[6]skilldef!$A:$B,2,FALSE),"-")</f>
        <v>- / -</v>
      </c>
      <c r="O70" s="128" t="str">
        <f t="shared" si="101"/>
        <v>[effect:critical, val:1.2, animation:enemy_critical]</v>
      </c>
      <c r="P70" s="125" t="str">
        <f>IFERROR(LEFT(O70,FIND("],",O70)+#REF!),O70)</f>
        <v>[effect:critical, val:1.2, animation:enemy_critical]</v>
      </c>
      <c r="Q70" s="128">
        <f t="shared" si="102"/>
        <v>9</v>
      </c>
      <c r="R70" s="128">
        <f t="shared" si="103"/>
        <v>17</v>
      </c>
      <c r="S70" s="128" t="e">
        <f t="shared" si="104"/>
        <v>#VALUE!</v>
      </c>
      <c r="T70" s="128">
        <f t="shared" si="105"/>
        <v>26</v>
      </c>
      <c r="U70" s="128" t="str">
        <f>IFERROR(VLOOKUP(MID(P70,S70,T70-S70),[6]skilldef!$C:$D,2,FALSE),"-") &amp; " / " &amp; IFERROR(VLOOKUP(MID(P70,Q70,R70-Q70),[6]skilldef!$A:$B,2,FALSE),"-")</f>
        <v>- / 大攻撃</v>
      </c>
      <c r="V70" s="125" t="str">
        <f t="shared" si="106"/>
        <v>none</v>
      </c>
      <c r="W70" s="128" t="e">
        <f t="shared" si="107"/>
        <v>#VALUE!</v>
      </c>
      <c r="X70" s="128">
        <f t="shared" si="108"/>
        <v>4</v>
      </c>
      <c r="Y70" s="128" t="e">
        <f t="shared" si="109"/>
        <v>#VALUE!</v>
      </c>
      <c r="Z70" s="128" t="e">
        <f t="shared" si="110"/>
        <v>#VALUE!</v>
      </c>
      <c r="AA70" s="128" t="str">
        <f>IFERROR(VLOOKUP(MID(V70,Y70,Z70-Y70),[6]skilldef!$C:$D,2,FALSE),"-") &amp; " / " &amp; IFERROR(VLOOKUP(MID(V70,W70,X70-W70),[6]skilldef!$A:$B,2,FALSE),"-")</f>
        <v>- / -</v>
      </c>
      <c r="AB70" s="127"/>
      <c r="AC70" s="129"/>
      <c r="AD70" s="127"/>
      <c r="AE70" s="130" t="s">
        <v>313</v>
      </c>
      <c r="AF70" s="131"/>
    </row>
    <row r="71" spans="1:32" s="132" customFormat="1" ht="33" customHeight="1" x14ac:dyDescent="0.15">
      <c r="A71" s="160">
        <v>40046003</v>
      </c>
      <c r="B71" s="47" t="str">
        <f t="shared" si="95"/>
        <v>[effect:enemy_message, val1:1.2, val2:2.0],[effect:break_enchance_enemy, target:myself, val:100, lowest_val:1000, count:-1, status:defense, turn:3, block01:block_heart, calc:add, animation:enemy_enhance_defense],[effect:fix_speed, target:myself, turn:1],[effect:fix_speed, target:enemy_green, turn:2]</v>
      </c>
      <c r="C71" s="223">
        <v>3</v>
      </c>
      <c r="D71" s="49" t="s">
        <v>126</v>
      </c>
      <c r="E71" s="100"/>
      <c r="F71" s="182" t="s">
        <v>376</v>
      </c>
      <c r="G71" s="150" t="s">
        <v>270</v>
      </c>
      <c r="H71" s="150" t="s">
        <v>299</v>
      </c>
      <c r="I71" s="128" t="str">
        <f t="shared" si="96"/>
        <v>[effect:enemy_message, val1:1.2, val2:2.0]</v>
      </c>
      <c r="J71" s="128">
        <f t="shared" si="97"/>
        <v>9</v>
      </c>
      <c r="K71" s="128">
        <f t="shared" si="98"/>
        <v>22</v>
      </c>
      <c r="L71" s="128" t="e">
        <f t="shared" si="99"/>
        <v>#VALUE!</v>
      </c>
      <c r="M71" s="128">
        <f t="shared" si="100"/>
        <v>32</v>
      </c>
      <c r="N71" s="128" t="str">
        <f>IFERROR(VLOOKUP(MID(I71,L71,M71-L71),[6]skilldef!$C:$D,2,FALSE),"-") &amp; " / " &amp; IFERROR(VLOOKUP(MID(I71,J71,K71-J71),[6]skilldef!$A:$B,2,FALSE),"-")</f>
        <v>- / -</v>
      </c>
      <c r="O71" s="128" t="str">
        <f t="shared" si="101"/>
        <v>[effect:break_enchance_enemy, target:myself, val:100, lowest_val:1000, count:-1, status:defense, turn:3, block01:block_heart, calc:add, animation:enemy_enhance_defense],[effect:fix_speed, target:myself, turn:1],[effect:fix_speed, target:enemy_green, turn:2]</v>
      </c>
      <c r="P71" s="125" t="str">
        <f>IFERROR(LEFT(O71,FIND("],",O71)+#REF!),O71)</f>
        <v>[effect:break_enchance_enemy, target:myself, val:100, lowest_val:1000, count:-1, status:defense, turn:3, block01:block_heart, calc:add, animation:enemy_enhance_defense],[effect:fix_speed, target:myself, turn:1],[effect:fix_speed, target:enemy_green, turn:2]</v>
      </c>
      <c r="Q71" s="128">
        <f t="shared" si="102"/>
        <v>9</v>
      </c>
      <c r="R71" s="128">
        <f t="shared" si="103"/>
        <v>29</v>
      </c>
      <c r="S71" s="128">
        <f t="shared" si="104"/>
        <v>38</v>
      </c>
      <c r="T71" s="128">
        <f t="shared" si="105"/>
        <v>44</v>
      </c>
      <c r="U71" s="128" t="str">
        <f>IFERROR(VLOOKUP(MID(P71,S71,T71-S71),[6]skilldef!$C:$D,2,FALSE),"-") &amp; " / " &amp; IFERROR(VLOOKUP(MID(P71,Q71,R71-Q71),[6]skilldef!$A:$B,2,FALSE),"-")</f>
        <v>自分自身に / -</v>
      </c>
      <c r="V71" s="125" t="str">
        <f t="shared" si="106"/>
        <v>[effect:fix_speed, target:myself, turn:1],[effect:fix_speed, target:enemy_green, turn:2]</v>
      </c>
      <c r="W71" s="128">
        <f t="shared" si="107"/>
        <v>9</v>
      </c>
      <c r="X71" s="128">
        <f t="shared" si="108"/>
        <v>18</v>
      </c>
      <c r="Y71" s="128">
        <f t="shared" si="109"/>
        <v>27</v>
      </c>
      <c r="Z71" s="128">
        <f t="shared" si="110"/>
        <v>33</v>
      </c>
      <c r="AA71" s="128" t="str">
        <f>IFERROR(VLOOKUP(MID(V71,Y71,Z71-Y71),[6]skilldef!$C:$D,2,FALSE),"-") &amp; " / " &amp; IFERROR(VLOOKUP(MID(V71,W71,X71-W71),[6]skilldef!$A:$B,2,FALSE),"-")</f>
        <v>自分自身に / 行動値設定</v>
      </c>
      <c r="AB71" s="127"/>
      <c r="AC71" s="129"/>
      <c r="AD71" s="127"/>
      <c r="AE71" s="130" t="s">
        <v>339</v>
      </c>
      <c r="AF71" s="131"/>
    </row>
    <row r="72" spans="1:32" s="132" customFormat="1" ht="33" customHeight="1" x14ac:dyDescent="0.15">
      <c r="A72" s="160">
        <v>40046004</v>
      </c>
      <c r="B72" s="47" t="str">
        <f t="shared" si="95"/>
        <v>[effect:enemy_message, val1:1.2, val2:1.2],[effect:spread, val:0.3]</v>
      </c>
      <c r="C72" s="223">
        <v>3</v>
      </c>
      <c r="D72" s="49" t="s">
        <v>126</v>
      </c>
      <c r="E72" s="100"/>
      <c r="F72" s="182" t="s">
        <v>374</v>
      </c>
      <c r="G72" s="150" t="s">
        <v>266</v>
      </c>
      <c r="H72" s="150" t="s">
        <v>254</v>
      </c>
      <c r="I72" s="128" t="str">
        <f t="shared" si="96"/>
        <v>[effect:enemy_message, val1:1.2, val2:1.2]</v>
      </c>
      <c r="J72" s="128">
        <f t="shared" si="97"/>
        <v>9</v>
      </c>
      <c r="K72" s="128">
        <f t="shared" si="98"/>
        <v>22</v>
      </c>
      <c r="L72" s="128" t="e">
        <f t="shared" si="99"/>
        <v>#VALUE!</v>
      </c>
      <c r="M72" s="128">
        <f t="shared" si="100"/>
        <v>32</v>
      </c>
      <c r="N72" s="128" t="str">
        <f>IFERROR(VLOOKUP(MID(I72,L72,M72-L72),[6]skilldef!$C:$D,2,FALSE),"-") &amp; " / " &amp; IFERROR(VLOOKUP(MID(I72,J72,K72-J72),[6]skilldef!$A:$B,2,FALSE),"-")</f>
        <v>- / -</v>
      </c>
      <c r="O72" s="128" t="str">
        <f t="shared" si="101"/>
        <v>[effect:spread, val:0.3]</v>
      </c>
      <c r="P72" s="125" t="str">
        <f>IFERROR(LEFT(O72,FIND("],",O72)+#REF!),O72)</f>
        <v>[effect:spread, val:0.3]</v>
      </c>
      <c r="Q72" s="128">
        <f t="shared" si="102"/>
        <v>9</v>
      </c>
      <c r="R72" s="128">
        <f t="shared" si="103"/>
        <v>15</v>
      </c>
      <c r="S72" s="128" t="e">
        <f t="shared" si="104"/>
        <v>#VALUE!</v>
      </c>
      <c r="T72" s="128" t="e">
        <f t="shared" si="105"/>
        <v>#VALUE!</v>
      </c>
      <c r="U72" s="128" t="str">
        <f>IFERROR(VLOOKUP(MID(P72,S72,T72-S72),[6]skilldef!$C:$D,2,FALSE),"-") &amp; " / " &amp; IFERROR(VLOOKUP(MID(P72,Q72,R72-Q72),[6]skilldef!$A:$B,2,FALSE),"-")</f>
        <v>- / 全体攻撃</v>
      </c>
      <c r="V72" s="125" t="str">
        <f t="shared" si="106"/>
        <v>none</v>
      </c>
      <c r="W72" s="128" t="e">
        <f t="shared" si="107"/>
        <v>#VALUE!</v>
      </c>
      <c r="X72" s="128">
        <f t="shared" si="108"/>
        <v>4</v>
      </c>
      <c r="Y72" s="128" t="e">
        <f t="shared" si="109"/>
        <v>#VALUE!</v>
      </c>
      <c r="Z72" s="128" t="e">
        <f t="shared" si="110"/>
        <v>#VALUE!</v>
      </c>
      <c r="AA72" s="128" t="str">
        <f>IFERROR(VLOOKUP(MID(V72,Y72,Z72-Y72),[6]skilldef!$C:$D,2,FALSE),"-") &amp; " / " &amp; IFERROR(VLOOKUP(MID(V72,W72,X72-W72),[6]skilldef!$A:$B,2,FALSE),"-")</f>
        <v>- / -</v>
      </c>
      <c r="AB72" s="127"/>
      <c r="AC72" s="129"/>
      <c r="AD72" s="127"/>
      <c r="AE72" s="130" t="s">
        <v>314</v>
      </c>
      <c r="AF72" s="131"/>
    </row>
    <row r="73" spans="1:32" s="132" customFormat="1" ht="33" customHeight="1" x14ac:dyDescent="0.15">
      <c r="A73" s="160">
        <v>40046005</v>
      </c>
      <c r="B73" s="47" t="str">
        <f t="shared" si="95"/>
        <v>[effect:enemy_message, val1:1.2, val2:1.2],[effect:panel_freeze, target:normal, color:block_yellow, count:-1]</v>
      </c>
      <c r="C73" s="223">
        <v>3</v>
      </c>
      <c r="D73" s="49" t="s">
        <v>126</v>
      </c>
      <c r="E73" s="100"/>
      <c r="F73" s="182" t="s">
        <v>378</v>
      </c>
      <c r="G73" s="150" t="s">
        <v>271</v>
      </c>
      <c r="H73" s="150" t="s">
        <v>300</v>
      </c>
      <c r="I73" s="128" t="str">
        <f t="shared" si="96"/>
        <v>[effect:enemy_message, val1:1.2, val2:1.2]</v>
      </c>
      <c r="J73" s="128">
        <f t="shared" si="97"/>
        <v>9</v>
      </c>
      <c r="K73" s="128">
        <f t="shared" si="98"/>
        <v>22</v>
      </c>
      <c r="L73" s="128" t="e">
        <f t="shared" si="99"/>
        <v>#VALUE!</v>
      </c>
      <c r="M73" s="128">
        <f t="shared" si="100"/>
        <v>32</v>
      </c>
      <c r="N73" s="128" t="str">
        <f>IFERROR(VLOOKUP(MID(I73,L73,M73-L73),[6]skilldef!$C:$D,2,FALSE),"-") &amp; " / " &amp; IFERROR(VLOOKUP(MID(I73,J73,K73-J73),[6]skilldef!$A:$B,2,FALSE),"-")</f>
        <v>- / -</v>
      </c>
      <c r="O73" s="128" t="str">
        <f t="shared" si="101"/>
        <v>[effect:panel_freeze, target:normal, color:block_yellow, count:-1]</v>
      </c>
      <c r="P73" s="125" t="str">
        <f>IFERROR(LEFT(O73,FIND("],",O73)+#REF!),O73)</f>
        <v>[effect:panel_freeze, target:normal, color:block_yellow, count:-1]</v>
      </c>
      <c r="Q73" s="128">
        <f t="shared" si="102"/>
        <v>9</v>
      </c>
      <c r="R73" s="128">
        <f t="shared" si="103"/>
        <v>21</v>
      </c>
      <c r="S73" s="128">
        <f t="shared" si="104"/>
        <v>30</v>
      </c>
      <c r="T73" s="128">
        <f t="shared" si="105"/>
        <v>36</v>
      </c>
      <c r="U73" s="128" t="str">
        <f>IFERROR(VLOOKUP(MID(P73,S73,T73-S73),[6]skilldef!$C:$D,2,FALSE),"-") &amp; " / " &amp; IFERROR(VLOOKUP(MID(P73,Q73,R73-Q73),[6]skilldef!$A:$B,2,FALSE),"-")</f>
        <v>- / -</v>
      </c>
      <c r="V73" s="125" t="str">
        <f t="shared" si="106"/>
        <v>none</v>
      </c>
      <c r="W73" s="128" t="e">
        <f t="shared" si="107"/>
        <v>#VALUE!</v>
      </c>
      <c r="X73" s="128">
        <f t="shared" si="108"/>
        <v>4</v>
      </c>
      <c r="Y73" s="128" t="e">
        <f t="shared" si="109"/>
        <v>#VALUE!</v>
      </c>
      <c r="Z73" s="128" t="e">
        <f t="shared" si="110"/>
        <v>#VALUE!</v>
      </c>
      <c r="AA73" s="128" t="str">
        <f>IFERROR(VLOOKUP(MID(V73,Y73,Z73-Y73),[6]skilldef!$C:$D,2,FALSE),"-") &amp; " / " &amp; IFERROR(VLOOKUP(MID(V73,W73,X73-W73),[6]skilldef!$A:$B,2,FALSE),"-")</f>
        <v>- / -</v>
      </c>
      <c r="AB73" s="127"/>
      <c r="AC73" s="129"/>
      <c r="AD73" s="127"/>
      <c r="AE73" s="130" t="s">
        <v>315</v>
      </c>
      <c r="AF73" s="131"/>
    </row>
    <row r="74" spans="1:32" s="132" customFormat="1" ht="33" customHeight="1" x14ac:dyDescent="0.15">
      <c r="A74" s="160">
        <v>40046006</v>
      </c>
      <c r="B74" s="47" t="str">
        <f t="shared" si="95"/>
        <v>[effect:enemy_message, val1:1.2, val2:2.6],[effect:critical, val:1.2, animation:enemy_critical]</v>
      </c>
      <c r="C74" s="223">
        <v>3</v>
      </c>
      <c r="D74" s="49" t="s">
        <v>126</v>
      </c>
      <c r="E74" s="100"/>
      <c r="F74" s="182" t="s">
        <v>437</v>
      </c>
      <c r="G74" s="150" t="s">
        <v>268</v>
      </c>
      <c r="H74" s="150" t="s">
        <v>302</v>
      </c>
      <c r="I74" s="128" t="str">
        <f t="shared" si="96"/>
        <v>[effect:enemy_message, val1:1.2, val2:2.6]</v>
      </c>
      <c r="J74" s="128">
        <f t="shared" si="97"/>
        <v>9</v>
      </c>
      <c r="K74" s="128">
        <f t="shared" si="98"/>
        <v>22</v>
      </c>
      <c r="L74" s="128" t="e">
        <f t="shared" si="99"/>
        <v>#VALUE!</v>
      </c>
      <c r="M74" s="128">
        <f t="shared" si="100"/>
        <v>32</v>
      </c>
      <c r="N74" s="128" t="str">
        <f>IFERROR(VLOOKUP(MID(I74,L74,M74-L74),[6]skilldef!$C:$D,2,FALSE),"-") &amp; " / " &amp; IFERROR(VLOOKUP(MID(I74,J74,K74-J74),[6]skilldef!$A:$B,2,FALSE),"-")</f>
        <v>- / -</v>
      </c>
      <c r="O74" s="128" t="str">
        <f t="shared" si="101"/>
        <v>[effect:critical, val:1.2, animation:enemy_critical]</v>
      </c>
      <c r="P74" s="125" t="str">
        <f>IFERROR(LEFT(O74,FIND("],",O74)+#REF!),O74)</f>
        <v>[effect:critical, val:1.2, animation:enemy_critical]</v>
      </c>
      <c r="Q74" s="128">
        <f t="shared" si="102"/>
        <v>9</v>
      </c>
      <c r="R74" s="128">
        <f t="shared" si="103"/>
        <v>17</v>
      </c>
      <c r="S74" s="128" t="e">
        <f t="shared" si="104"/>
        <v>#VALUE!</v>
      </c>
      <c r="T74" s="128">
        <f t="shared" si="105"/>
        <v>26</v>
      </c>
      <c r="U74" s="128" t="str">
        <f>IFERROR(VLOOKUP(MID(P74,S74,T74-S74),[6]skilldef!$C:$D,2,FALSE),"-") &amp; " / " &amp; IFERROR(VLOOKUP(MID(P74,Q74,R74-Q74),[6]skilldef!$A:$B,2,FALSE),"-")</f>
        <v>- / 大攻撃</v>
      </c>
      <c r="V74" s="125" t="str">
        <f t="shared" si="106"/>
        <v>none</v>
      </c>
      <c r="W74" s="128" t="e">
        <f t="shared" si="107"/>
        <v>#VALUE!</v>
      </c>
      <c r="X74" s="128">
        <f t="shared" si="108"/>
        <v>4</v>
      </c>
      <c r="Y74" s="128" t="e">
        <f t="shared" si="109"/>
        <v>#VALUE!</v>
      </c>
      <c r="Z74" s="128" t="e">
        <f t="shared" si="110"/>
        <v>#VALUE!</v>
      </c>
      <c r="AA74" s="128" t="str">
        <f>IFERROR(VLOOKUP(MID(V74,Y74,Z74-Y74),[6]skilldef!$C:$D,2,FALSE),"-") &amp; " / " &amp; IFERROR(VLOOKUP(MID(V74,W74,X74-W74),[6]skilldef!$A:$B,2,FALSE),"-")</f>
        <v>- / -</v>
      </c>
      <c r="AB74" s="127"/>
      <c r="AC74" s="129"/>
      <c r="AD74" s="127"/>
      <c r="AE74" s="130" t="s">
        <v>313</v>
      </c>
      <c r="AF74" s="131"/>
    </row>
    <row r="75" spans="1:32" s="132" customFormat="1" ht="33" customHeight="1" x14ac:dyDescent="0.15">
      <c r="A75" s="160">
        <v>40046007</v>
      </c>
      <c r="B75" s="47" t="str">
        <f t="shared" si="95"/>
        <v>[effect:enemy_message, val1:1.3, val2:1.3],[effect:break_attack_fix, target:unit_all, val:100, lowest_val:200, count:-1, block01:block_yellow]</v>
      </c>
      <c r="C75" s="223">
        <v>3</v>
      </c>
      <c r="D75" s="49" t="s">
        <v>126</v>
      </c>
      <c r="E75" s="100"/>
      <c r="F75" s="182" t="s">
        <v>543</v>
      </c>
      <c r="G75" s="150" t="s">
        <v>272</v>
      </c>
      <c r="H75" s="150" t="s">
        <v>301</v>
      </c>
      <c r="I75" s="128" t="str">
        <f t="shared" si="96"/>
        <v>[effect:enemy_message, val1:1.3, val2:1.3]</v>
      </c>
      <c r="J75" s="128">
        <f t="shared" si="97"/>
        <v>9</v>
      </c>
      <c r="K75" s="128">
        <f t="shared" si="98"/>
        <v>22</v>
      </c>
      <c r="L75" s="128" t="e">
        <f t="shared" si="99"/>
        <v>#VALUE!</v>
      </c>
      <c r="M75" s="128">
        <f t="shared" si="100"/>
        <v>32</v>
      </c>
      <c r="N75" s="128" t="str">
        <f>IFERROR(VLOOKUP(MID(I75,L75,M75-L75),[6]skilldef!$C:$D,2,FALSE),"-") &amp; " / " &amp; IFERROR(VLOOKUP(MID(I75,J75,K75-J75),[6]skilldef!$A:$B,2,FALSE),"-")</f>
        <v>- / -</v>
      </c>
      <c r="O75" s="128" t="str">
        <f t="shared" si="101"/>
        <v>[effect:break_attack_fix, target:unit_all, val:100, lowest_val:200, count:-1, block01:block_yellow]</v>
      </c>
      <c r="P75" s="125" t="str">
        <f>IFERROR(LEFT(O75,FIND("],",O75)+#REF!),O75)</f>
        <v>[effect:break_attack_fix, target:unit_all, val:100, lowest_val:200, count:-1, block01:block_yellow]</v>
      </c>
      <c r="Q75" s="128">
        <f t="shared" si="102"/>
        <v>9</v>
      </c>
      <c r="R75" s="128">
        <f t="shared" si="103"/>
        <v>25</v>
      </c>
      <c r="S75" s="128">
        <f t="shared" si="104"/>
        <v>34</v>
      </c>
      <c r="T75" s="128">
        <f t="shared" si="105"/>
        <v>42</v>
      </c>
      <c r="U75" s="128" t="str">
        <f>IFERROR(VLOOKUP(MID(P75,S75,T75-S75),[6]skilldef!$C:$D,2,FALSE),"-") &amp; " / " &amp; IFERROR(VLOOKUP(MID(P75,Q75,R75-Q75),[6]skilldef!$A:$B,2,FALSE),"-")</f>
        <v>味方全体に / -</v>
      </c>
      <c r="V75" s="125" t="str">
        <f t="shared" si="106"/>
        <v>none</v>
      </c>
      <c r="W75" s="128" t="e">
        <f t="shared" si="107"/>
        <v>#VALUE!</v>
      </c>
      <c r="X75" s="128">
        <f t="shared" si="108"/>
        <v>4</v>
      </c>
      <c r="Y75" s="128" t="e">
        <f t="shared" si="109"/>
        <v>#VALUE!</v>
      </c>
      <c r="Z75" s="128" t="e">
        <f t="shared" si="110"/>
        <v>#VALUE!</v>
      </c>
      <c r="AA75" s="128" t="str">
        <f>IFERROR(VLOOKUP(MID(V75,Y75,Z75-Y75),[6]skilldef!$C:$D,2,FALSE),"-") &amp; " / " &amp; IFERROR(VLOOKUP(MID(V75,W75,X75-W75),[6]skilldef!$A:$B,2,FALSE),"-")</f>
        <v>- / -</v>
      </c>
      <c r="AB75" s="127"/>
      <c r="AC75" s="129"/>
      <c r="AD75" s="127"/>
      <c r="AE75" s="130" t="s">
        <v>356</v>
      </c>
      <c r="AF75" s="131"/>
    </row>
    <row r="76" spans="1:32" s="132" customFormat="1" ht="33" customHeight="1" x14ac:dyDescent="0.15">
      <c r="A76" s="160">
        <v>40046008</v>
      </c>
      <c r="B76" s="47" t="str">
        <f t="shared" si="95"/>
        <v>[effect:enemy_message, val1:1.2, val2:1.2],[effect:spread, val:0.3]</v>
      </c>
      <c r="C76" s="223">
        <v>3</v>
      </c>
      <c r="D76" s="49" t="s">
        <v>126</v>
      </c>
      <c r="E76" s="100"/>
      <c r="F76" s="182" t="s">
        <v>404</v>
      </c>
      <c r="G76" s="150" t="s">
        <v>273</v>
      </c>
      <c r="H76" s="150" t="s">
        <v>254</v>
      </c>
      <c r="I76" s="128" t="str">
        <f t="shared" si="96"/>
        <v>[effect:enemy_message, val1:1.2, val2:1.2]</v>
      </c>
      <c r="J76" s="128">
        <f t="shared" si="97"/>
        <v>9</v>
      </c>
      <c r="K76" s="128">
        <f t="shared" si="98"/>
        <v>22</v>
      </c>
      <c r="L76" s="128" t="e">
        <f t="shared" si="99"/>
        <v>#VALUE!</v>
      </c>
      <c r="M76" s="128">
        <f t="shared" si="100"/>
        <v>32</v>
      </c>
      <c r="N76" s="128" t="str">
        <f>IFERROR(VLOOKUP(MID(I76,L76,M76-L76),[6]skilldef!$C:$D,2,FALSE),"-") &amp; " / " &amp; IFERROR(VLOOKUP(MID(I76,J76,K76-J76),[6]skilldef!$A:$B,2,FALSE),"-")</f>
        <v>- / -</v>
      </c>
      <c r="O76" s="128" t="str">
        <f t="shared" si="101"/>
        <v>[effect:spread, val:0.3]</v>
      </c>
      <c r="P76" s="125" t="str">
        <f>IFERROR(LEFT(O76,FIND("],",O76)+#REF!),O76)</f>
        <v>[effect:spread, val:0.3]</v>
      </c>
      <c r="Q76" s="128">
        <f t="shared" si="102"/>
        <v>9</v>
      </c>
      <c r="R76" s="128">
        <f t="shared" si="103"/>
        <v>15</v>
      </c>
      <c r="S76" s="128" t="e">
        <f t="shared" si="104"/>
        <v>#VALUE!</v>
      </c>
      <c r="T76" s="128" t="e">
        <f t="shared" si="105"/>
        <v>#VALUE!</v>
      </c>
      <c r="U76" s="128" t="str">
        <f>IFERROR(VLOOKUP(MID(P76,S76,T76-S76),[6]skilldef!$C:$D,2,FALSE),"-") &amp; " / " &amp; IFERROR(VLOOKUP(MID(P76,Q76,R76-Q76),[6]skilldef!$A:$B,2,FALSE),"-")</f>
        <v>- / 全体攻撃</v>
      </c>
      <c r="V76" s="125" t="str">
        <f t="shared" si="106"/>
        <v>none</v>
      </c>
      <c r="W76" s="128" t="e">
        <f t="shared" si="107"/>
        <v>#VALUE!</v>
      </c>
      <c r="X76" s="128">
        <f t="shared" si="108"/>
        <v>4</v>
      </c>
      <c r="Y76" s="128" t="e">
        <f t="shared" si="109"/>
        <v>#VALUE!</v>
      </c>
      <c r="Z76" s="128" t="e">
        <f t="shared" si="110"/>
        <v>#VALUE!</v>
      </c>
      <c r="AA76" s="128" t="str">
        <f>IFERROR(VLOOKUP(MID(V76,Y76,Z76-Y76),[6]skilldef!$C:$D,2,FALSE),"-") &amp; " / " &amp; IFERROR(VLOOKUP(MID(V76,W76,X76-W76),[6]skilldef!$A:$B,2,FALSE),"-")</f>
        <v>- / -</v>
      </c>
      <c r="AB76" s="127"/>
      <c r="AC76" s="129"/>
      <c r="AD76" s="127"/>
      <c r="AE76" s="130" t="s">
        <v>314</v>
      </c>
      <c r="AF76" s="131"/>
    </row>
    <row r="77" spans="1:32" s="132" customFormat="1" ht="33" customHeight="1" x14ac:dyDescent="0.15">
      <c r="A77" s="160">
        <v>40046009</v>
      </c>
      <c r="B77" s="47" t="str">
        <f t="shared" si="95"/>
        <v>[effect:enemy_message, val1:1.2, val2:1.6],[effect:enemy_counter, target:myself, invoke_condition:unit_all, counter_target:attacker, turn:1, val:0.3, animation:enemy_counter]</v>
      </c>
      <c r="C77" s="223">
        <v>3</v>
      </c>
      <c r="D77" s="49" t="s">
        <v>126</v>
      </c>
      <c r="E77" s="100"/>
      <c r="F77" s="182" t="s">
        <v>380</v>
      </c>
      <c r="G77" s="150" t="s">
        <v>274</v>
      </c>
      <c r="H77" s="150" t="s">
        <v>319</v>
      </c>
      <c r="I77" s="128" t="str">
        <f t="shared" si="96"/>
        <v>[effect:enemy_message, val1:1.2, val2:1.6]</v>
      </c>
      <c r="J77" s="128">
        <f t="shared" si="97"/>
        <v>9</v>
      </c>
      <c r="K77" s="128">
        <f t="shared" si="98"/>
        <v>22</v>
      </c>
      <c r="L77" s="128" t="e">
        <f t="shared" si="99"/>
        <v>#VALUE!</v>
      </c>
      <c r="M77" s="128">
        <f t="shared" si="100"/>
        <v>32</v>
      </c>
      <c r="N77" s="128" t="str">
        <f>IFERROR(VLOOKUP(MID(I77,L77,M77-L77),[6]skilldef!$C:$D,2,FALSE),"-") &amp; " / " &amp; IFERROR(VLOOKUP(MID(I77,J77,K77-J77),[6]skilldef!$A:$B,2,FALSE),"-")</f>
        <v>- / -</v>
      </c>
      <c r="O77" s="128" t="str">
        <f t="shared" si="101"/>
        <v>[effect:enemy_counter, target:myself, invoke_condition:unit_all, counter_target:attacker, turn:1, val:0.3, animation:enemy_counter]</v>
      </c>
      <c r="P77" s="125" t="str">
        <f>IFERROR(LEFT(O77,FIND("],",O77)+#REF!),O77)</f>
        <v>[effect:enemy_counter, target:myself, invoke_condition:unit_all, counter_target:attacker, turn:1, val:0.3, animation:enemy_counter]</v>
      </c>
      <c r="Q77" s="128">
        <f t="shared" si="102"/>
        <v>9</v>
      </c>
      <c r="R77" s="128">
        <f t="shared" si="103"/>
        <v>22</v>
      </c>
      <c r="S77" s="128">
        <f t="shared" si="104"/>
        <v>31</v>
      </c>
      <c r="T77" s="128">
        <f t="shared" si="105"/>
        <v>37</v>
      </c>
      <c r="U77" s="128" t="str">
        <f>IFERROR(VLOOKUP(MID(P77,S77,T77-S77),[6]skilldef!$C:$D,2,FALSE),"-") &amp; " / " &amp; IFERROR(VLOOKUP(MID(P77,Q77,R77-Q77),[6]skilldef!$A:$B,2,FALSE),"-")</f>
        <v>自分自身に / カウンター</v>
      </c>
      <c r="V77" s="125" t="str">
        <f t="shared" si="106"/>
        <v>none</v>
      </c>
      <c r="W77" s="128" t="e">
        <f t="shared" si="107"/>
        <v>#VALUE!</v>
      </c>
      <c r="X77" s="128">
        <f t="shared" si="108"/>
        <v>4</v>
      </c>
      <c r="Y77" s="128" t="e">
        <f t="shared" si="109"/>
        <v>#VALUE!</v>
      </c>
      <c r="Z77" s="128" t="e">
        <f t="shared" si="110"/>
        <v>#VALUE!</v>
      </c>
      <c r="AA77" s="128" t="str">
        <f>IFERROR(VLOOKUP(MID(V77,Y77,Z77-Y77),[6]skilldef!$C:$D,2,FALSE),"-") &amp; " / " &amp; IFERROR(VLOOKUP(MID(V77,W77,X77-W77),[6]skilldef!$A:$B,2,FALSE),"-")</f>
        <v>- / -</v>
      </c>
      <c r="AB77" s="127"/>
      <c r="AC77" s="129"/>
      <c r="AD77" s="127"/>
      <c r="AE77" s="130" t="s">
        <v>371</v>
      </c>
      <c r="AF77" s="131"/>
    </row>
    <row r="78" spans="1:32" s="132" customFormat="1" ht="33" customHeight="1" x14ac:dyDescent="0.15">
      <c r="A78" s="160">
        <v>40046010</v>
      </c>
      <c r="B78" s="47" t="str">
        <f t="shared" si="95"/>
        <v>[effect:enemy_message, val1:1.2, val2:1.2],[effect:panel_freeze, target:normal, color:block_yellow, count:-1]</v>
      </c>
      <c r="C78" s="223">
        <v>3</v>
      </c>
      <c r="D78" s="49" t="s">
        <v>126</v>
      </c>
      <c r="E78" s="100"/>
      <c r="F78" s="182" t="s">
        <v>382</v>
      </c>
      <c r="G78" s="150" t="s">
        <v>275</v>
      </c>
      <c r="H78" s="150" t="s">
        <v>300</v>
      </c>
      <c r="I78" s="128" t="str">
        <f t="shared" si="96"/>
        <v>[effect:enemy_message, val1:1.2, val2:1.2]</v>
      </c>
      <c r="J78" s="128">
        <f t="shared" si="97"/>
        <v>9</v>
      </c>
      <c r="K78" s="128">
        <f t="shared" si="98"/>
        <v>22</v>
      </c>
      <c r="L78" s="128" t="e">
        <f t="shared" si="99"/>
        <v>#VALUE!</v>
      </c>
      <c r="M78" s="128">
        <f t="shared" si="100"/>
        <v>32</v>
      </c>
      <c r="N78" s="128" t="str">
        <f>IFERROR(VLOOKUP(MID(I78,L78,M78-L78),[6]skilldef!$C:$D,2,FALSE),"-") &amp; " / " &amp; IFERROR(VLOOKUP(MID(I78,J78,K78-J78),[6]skilldef!$A:$B,2,FALSE),"-")</f>
        <v>- / -</v>
      </c>
      <c r="O78" s="128" t="str">
        <f t="shared" si="101"/>
        <v>[effect:panel_freeze, target:normal, color:block_yellow, count:-1]</v>
      </c>
      <c r="P78" s="125" t="str">
        <f>IFERROR(LEFT(O78,FIND("],",O78)+#REF!),O78)</f>
        <v>[effect:panel_freeze, target:normal, color:block_yellow, count:-1]</v>
      </c>
      <c r="Q78" s="128">
        <f t="shared" si="102"/>
        <v>9</v>
      </c>
      <c r="R78" s="128">
        <f t="shared" si="103"/>
        <v>21</v>
      </c>
      <c r="S78" s="128">
        <f t="shared" si="104"/>
        <v>30</v>
      </c>
      <c r="T78" s="128">
        <f t="shared" si="105"/>
        <v>36</v>
      </c>
      <c r="U78" s="128" t="str">
        <f>IFERROR(VLOOKUP(MID(P78,S78,T78-S78),[6]skilldef!$C:$D,2,FALSE),"-") &amp; " / " &amp; IFERROR(VLOOKUP(MID(P78,Q78,R78-Q78),[6]skilldef!$A:$B,2,FALSE),"-")</f>
        <v>- / -</v>
      </c>
      <c r="V78" s="125" t="str">
        <f t="shared" si="106"/>
        <v>none</v>
      </c>
      <c r="W78" s="128" t="e">
        <f t="shared" si="107"/>
        <v>#VALUE!</v>
      </c>
      <c r="X78" s="128">
        <f t="shared" si="108"/>
        <v>4</v>
      </c>
      <c r="Y78" s="128" t="e">
        <f t="shared" si="109"/>
        <v>#VALUE!</v>
      </c>
      <c r="Z78" s="128" t="e">
        <f t="shared" si="110"/>
        <v>#VALUE!</v>
      </c>
      <c r="AA78" s="128" t="str">
        <f>IFERROR(VLOOKUP(MID(V78,Y78,Z78-Y78),[6]skilldef!$C:$D,2,FALSE),"-") &amp; " / " &amp; IFERROR(VLOOKUP(MID(V78,W78,X78-W78),[6]skilldef!$A:$B,2,FALSE),"-")</f>
        <v>- / -</v>
      </c>
      <c r="AB78" s="127"/>
      <c r="AC78" s="129"/>
      <c r="AD78" s="127"/>
      <c r="AE78" s="130" t="s">
        <v>315</v>
      </c>
      <c r="AF78" s="131"/>
    </row>
    <row r="79" spans="1:32" s="132" customFormat="1" ht="33" customHeight="1" x14ac:dyDescent="0.15">
      <c r="A79" s="160">
        <v>40046011</v>
      </c>
      <c r="B79" s="47" t="str">
        <f t="shared" si="95"/>
        <v>[effect:enemy_message, val1:1.2, val2:1.7],[effect:break_attack_fix, target:unit_one, val:150, lowest_val:1429, count:6, block01:block_blue]</v>
      </c>
      <c r="C79" s="223">
        <v>3</v>
      </c>
      <c r="D79" s="49" t="s">
        <v>126</v>
      </c>
      <c r="E79" s="100"/>
      <c r="F79" s="149" t="s">
        <v>364</v>
      </c>
      <c r="G79" s="150" t="s">
        <v>266</v>
      </c>
      <c r="H79" s="150" t="s">
        <v>341</v>
      </c>
      <c r="I79" s="128" t="str">
        <f t="shared" si="96"/>
        <v>[effect:enemy_message, val1:1.2, val2:1.7]</v>
      </c>
      <c r="J79" s="128">
        <f t="shared" si="97"/>
        <v>9</v>
      </c>
      <c r="K79" s="128">
        <f t="shared" si="98"/>
        <v>22</v>
      </c>
      <c r="L79" s="128" t="e">
        <f t="shared" si="99"/>
        <v>#VALUE!</v>
      </c>
      <c r="M79" s="128">
        <f t="shared" si="100"/>
        <v>32</v>
      </c>
      <c r="N79" s="128" t="str">
        <f>IFERROR(VLOOKUP(MID(I79,L79,M79-L79),[6]skilldef!$C:$D,2,FALSE),"-") &amp; " / " &amp; IFERROR(VLOOKUP(MID(I79,J79,K79-J79),[6]skilldef!$A:$B,2,FALSE),"-")</f>
        <v>- / -</v>
      </c>
      <c r="O79" s="128" t="str">
        <f t="shared" si="101"/>
        <v>[effect:break_attack_fix, target:unit_one, val:150, lowest_val:1429, count:6, block01:block_blue]</v>
      </c>
      <c r="P79" s="125" t="str">
        <f>IFERROR(LEFT(O79,FIND("],",O79)+#REF!),O79)</f>
        <v>[effect:break_attack_fix, target:unit_one, val:150, lowest_val:1429, count:6, block01:block_blue]</v>
      </c>
      <c r="Q79" s="128">
        <f t="shared" si="102"/>
        <v>9</v>
      </c>
      <c r="R79" s="128">
        <f t="shared" si="103"/>
        <v>25</v>
      </c>
      <c r="S79" s="128">
        <f t="shared" si="104"/>
        <v>34</v>
      </c>
      <c r="T79" s="128">
        <f t="shared" si="105"/>
        <v>42</v>
      </c>
      <c r="U79" s="128" t="str">
        <f>IFERROR(VLOOKUP(MID(P79,S79,T79-S79),[6]skilldef!$C:$D,2,FALSE),"-") &amp; " / " &amp; IFERROR(VLOOKUP(MID(P79,Q79,R79-Q79),[6]skilldef!$A:$B,2,FALSE),"-")</f>
        <v>味方単体に / -</v>
      </c>
      <c r="V79" s="125" t="str">
        <f t="shared" si="106"/>
        <v>none</v>
      </c>
      <c r="W79" s="128" t="e">
        <f t="shared" si="107"/>
        <v>#VALUE!</v>
      </c>
      <c r="X79" s="128">
        <f t="shared" si="108"/>
        <v>4</v>
      </c>
      <c r="Y79" s="128" t="e">
        <f t="shared" si="109"/>
        <v>#VALUE!</v>
      </c>
      <c r="Z79" s="128" t="e">
        <f t="shared" si="110"/>
        <v>#VALUE!</v>
      </c>
      <c r="AA79" s="128" t="str">
        <f>IFERROR(VLOOKUP(MID(V79,Y79,Z79-Y79),[6]skilldef!$C:$D,2,FALSE),"-") &amp; " / " &amp; IFERROR(VLOOKUP(MID(V79,W79,X79-W79),[6]skilldef!$A:$B,2,FALSE),"-")</f>
        <v>- / -</v>
      </c>
      <c r="AB79" s="127"/>
      <c r="AC79" s="129"/>
      <c r="AD79" s="127"/>
      <c r="AE79" s="130" t="s">
        <v>355</v>
      </c>
      <c r="AF79" s="131"/>
    </row>
    <row r="80" spans="1:32" s="132" customFormat="1" ht="33" customHeight="1" x14ac:dyDescent="0.15">
      <c r="A80" s="160">
        <v>40046012</v>
      </c>
      <c r="B80" s="47" t="str">
        <f t="shared" si="95"/>
        <v>[effect:enemy_message, val1:1.2, val2:1.7],[effect:break_attack_fix, target:unit_one, val:150, lowest_val:1429, count:6, block01:block_blue]</v>
      </c>
      <c r="C80" s="223">
        <v>3</v>
      </c>
      <c r="D80" s="49" t="s">
        <v>126</v>
      </c>
      <c r="E80" s="100"/>
      <c r="F80" s="149" t="s">
        <v>364</v>
      </c>
      <c r="G80" s="150" t="s">
        <v>269</v>
      </c>
      <c r="H80" s="150" t="s">
        <v>341</v>
      </c>
      <c r="I80" s="128" t="str">
        <f t="shared" si="96"/>
        <v>[effect:enemy_message, val1:1.2, val2:1.7]</v>
      </c>
      <c r="J80" s="128">
        <f t="shared" si="97"/>
        <v>9</v>
      </c>
      <c r="K80" s="128">
        <f t="shared" si="98"/>
        <v>22</v>
      </c>
      <c r="L80" s="128" t="e">
        <f t="shared" si="99"/>
        <v>#VALUE!</v>
      </c>
      <c r="M80" s="128">
        <f t="shared" si="100"/>
        <v>32</v>
      </c>
      <c r="N80" s="128" t="str">
        <f>IFERROR(VLOOKUP(MID(I80,L80,M80-L80),[6]skilldef!$C:$D,2,FALSE),"-") &amp; " / " &amp; IFERROR(VLOOKUP(MID(I80,J80,K80-J80),[6]skilldef!$A:$B,2,FALSE),"-")</f>
        <v>- / -</v>
      </c>
      <c r="O80" s="128" t="str">
        <f t="shared" si="101"/>
        <v>[effect:break_attack_fix, target:unit_one, val:150, lowest_val:1429, count:6, block01:block_blue]</v>
      </c>
      <c r="P80" s="125" t="str">
        <f>IFERROR(LEFT(O80,FIND("],",O80)+#REF!),O80)</f>
        <v>[effect:break_attack_fix, target:unit_one, val:150, lowest_val:1429, count:6, block01:block_blue]</v>
      </c>
      <c r="Q80" s="128">
        <f t="shared" si="102"/>
        <v>9</v>
      </c>
      <c r="R80" s="128">
        <f t="shared" si="103"/>
        <v>25</v>
      </c>
      <c r="S80" s="128">
        <f t="shared" si="104"/>
        <v>34</v>
      </c>
      <c r="T80" s="128">
        <f t="shared" si="105"/>
        <v>42</v>
      </c>
      <c r="U80" s="128" t="str">
        <f>IFERROR(VLOOKUP(MID(P80,S80,T80-S80),[6]skilldef!$C:$D,2,FALSE),"-") &amp; " / " &amp; IFERROR(VLOOKUP(MID(P80,Q80,R80-Q80),[6]skilldef!$A:$B,2,FALSE),"-")</f>
        <v>味方単体に / -</v>
      </c>
      <c r="V80" s="125" t="str">
        <f t="shared" si="106"/>
        <v>none</v>
      </c>
      <c r="W80" s="128" t="e">
        <f t="shared" si="107"/>
        <v>#VALUE!</v>
      </c>
      <c r="X80" s="128">
        <f t="shared" si="108"/>
        <v>4</v>
      </c>
      <c r="Y80" s="128" t="e">
        <f t="shared" si="109"/>
        <v>#VALUE!</v>
      </c>
      <c r="Z80" s="128" t="e">
        <f t="shared" si="110"/>
        <v>#VALUE!</v>
      </c>
      <c r="AA80" s="128" t="str">
        <f>IFERROR(VLOOKUP(MID(V80,Y80,Z80-Y80),[6]skilldef!$C:$D,2,FALSE),"-") &amp; " / " &amp; IFERROR(VLOOKUP(MID(V80,W80,X80-W80),[6]skilldef!$A:$B,2,FALSE),"-")</f>
        <v>- / -</v>
      </c>
      <c r="AB80" s="127"/>
      <c r="AC80" s="129"/>
      <c r="AD80" s="127"/>
      <c r="AE80" s="130" t="s">
        <v>355</v>
      </c>
      <c r="AF80" s="131"/>
    </row>
    <row r="81" spans="1:32" s="132" customFormat="1" ht="33" customHeight="1" x14ac:dyDescent="0.15">
      <c r="A81" s="160">
        <v>40046013</v>
      </c>
      <c r="B81" s="47" t="str">
        <f t="shared" si="95"/>
        <v>[effect:enemy_message, val1:1.2, val2:1.2],[effect:critical, val:1.2, animation:enemy_critical]</v>
      </c>
      <c r="C81" s="223">
        <v>3</v>
      </c>
      <c r="D81" s="49" t="s">
        <v>126</v>
      </c>
      <c r="E81" s="100"/>
      <c r="F81" s="149" t="s">
        <v>366</v>
      </c>
      <c r="G81" s="151">
        <v>0.5</v>
      </c>
      <c r="H81" s="150" t="s">
        <v>298</v>
      </c>
      <c r="I81" s="128" t="str">
        <f t="shared" si="96"/>
        <v>[effect:enemy_message, val1:1.2, val2:1.2]</v>
      </c>
      <c r="J81" s="128">
        <f t="shared" si="97"/>
        <v>9</v>
      </c>
      <c r="K81" s="128">
        <f t="shared" si="98"/>
        <v>22</v>
      </c>
      <c r="L81" s="128" t="e">
        <f t="shared" si="99"/>
        <v>#VALUE!</v>
      </c>
      <c r="M81" s="128">
        <f t="shared" si="100"/>
        <v>32</v>
      </c>
      <c r="N81" s="128" t="str">
        <f>IFERROR(VLOOKUP(MID(I81,L81,M81-L81),[6]skilldef!$C:$D,2,FALSE),"-") &amp; " / " &amp; IFERROR(VLOOKUP(MID(I81,J81,K81-J81),[6]skilldef!$A:$B,2,FALSE),"-")</f>
        <v>- / -</v>
      </c>
      <c r="O81" s="128" t="str">
        <f t="shared" si="101"/>
        <v>[effect:critical, val:1.2, animation:enemy_critical]</v>
      </c>
      <c r="P81" s="125" t="str">
        <f>IFERROR(LEFT(O81,FIND("],",O81)+#REF!),O81)</f>
        <v>[effect:critical, val:1.2, animation:enemy_critical]</v>
      </c>
      <c r="Q81" s="128">
        <f t="shared" si="102"/>
        <v>9</v>
      </c>
      <c r="R81" s="128">
        <f t="shared" si="103"/>
        <v>17</v>
      </c>
      <c r="S81" s="128" t="e">
        <f t="shared" si="104"/>
        <v>#VALUE!</v>
      </c>
      <c r="T81" s="128">
        <f t="shared" si="105"/>
        <v>26</v>
      </c>
      <c r="U81" s="128" t="str">
        <f>IFERROR(VLOOKUP(MID(P81,S81,T81-S81),[6]skilldef!$C:$D,2,FALSE),"-") &amp; " / " &amp; IFERROR(VLOOKUP(MID(P81,Q81,R81-Q81),[6]skilldef!$A:$B,2,FALSE),"-")</f>
        <v>- / 大攻撃</v>
      </c>
      <c r="V81" s="125" t="str">
        <f t="shared" si="106"/>
        <v>none</v>
      </c>
      <c r="W81" s="128" t="e">
        <f t="shared" si="107"/>
        <v>#VALUE!</v>
      </c>
      <c r="X81" s="128">
        <f t="shared" si="108"/>
        <v>4</v>
      </c>
      <c r="Y81" s="128" t="e">
        <f t="shared" si="109"/>
        <v>#VALUE!</v>
      </c>
      <c r="Z81" s="128" t="e">
        <f t="shared" si="110"/>
        <v>#VALUE!</v>
      </c>
      <c r="AA81" s="128" t="str">
        <f>IFERROR(VLOOKUP(MID(V81,Y81,Z81-Y81),[6]skilldef!$C:$D,2,FALSE),"-") &amp; " / " &amp; IFERROR(VLOOKUP(MID(V81,W81,X81-W81),[6]skilldef!$A:$B,2,FALSE),"-")</f>
        <v>- / -</v>
      </c>
      <c r="AB81" s="127"/>
      <c r="AC81" s="129"/>
      <c r="AD81" s="127"/>
      <c r="AE81" s="130" t="s">
        <v>313</v>
      </c>
      <c r="AF81" s="131"/>
    </row>
    <row r="82" spans="1:32" s="132" customFormat="1" ht="33" customHeight="1" x14ac:dyDescent="0.15">
      <c r="A82" s="161">
        <v>40046020</v>
      </c>
      <c r="B82" s="47" t="str">
        <f t="shared" si="95"/>
        <v>[effect:enemy_message, val1:1.2, val2:3.9],[effect:drop_freeze, turn:-1, block_type:normal, block_color:block_yellow, rate:0.5, animation:drop_protect],[effect:fix_speed, target:myself, turn:1]</v>
      </c>
      <c r="C82" s="223">
        <v>3</v>
      </c>
      <c r="D82" s="49" t="s">
        <v>126</v>
      </c>
      <c r="E82" s="100"/>
      <c r="F82" s="152" t="s">
        <v>384</v>
      </c>
      <c r="G82" s="150" t="s">
        <v>270</v>
      </c>
      <c r="H82" s="150" t="s">
        <v>446</v>
      </c>
      <c r="I82" s="128" t="str">
        <f t="shared" si="96"/>
        <v>[effect:enemy_message, val1:1.2, val2:3.9]</v>
      </c>
      <c r="J82" s="128">
        <f t="shared" si="97"/>
        <v>9</v>
      </c>
      <c r="K82" s="128">
        <f t="shared" si="98"/>
        <v>22</v>
      </c>
      <c r="L82" s="128" t="e">
        <f t="shared" si="99"/>
        <v>#VALUE!</v>
      </c>
      <c r="M82" s="128">
        <f t="shared" si="100"/>
        <v>32</v>
      </c>
      <c r="N82" s="128" t="str">
        <f>IFERROR(VLOOKUP(MID(I82,L82,M82-L82),[6]skilldef!$C:$D,2,FALSE),"-") &amp; " / " &amp; IFERROR(VLOOKUP(MID(I82,J82,K82-J82),[6]skilldef!$A:$B,2,FALSE),"-")</f>
        <v>- / -</v>
      </c>
      <c r="O82" s="128" t="str">
        <f t="shared" si="101"/>
        <v>[effect:drop_freeze, turn:-1, block_type:normal, block_color:block_yellow, rate:0.5, animation:drop_protect],[effect:fix_speed, target:myself, turn:1]</v>
      </c>
      <c r="P82" s="125" t="str">
        <f>IFERROR(LEFT(O82,FIND("],",O82)+#REF!),O82)</f>
        <v>[effect:drop_freeze, turn:-1, block_type:normal, block_color:block_yellow, rate:0.5, animation:drop_protect],[effect:fix_speed, target:myself, turn:1]</v>
      </c>
      <c r="Q82" s="128">
        <f t="shared" si="102"/>
        <v>9</v>
      </c>
      <c r="R82" s="128">
        <f t="shared" si="103"/>
        <v>20</v>
      </c>
      <c r="S82" s="128">
        <f t="shared" si="104"/>
        <v>136</v>
      </c>
      <c r="T82" s="128">
        <f t="shared" si="105"/>
        <v>29</v>
      </c>
      <c r="U82" s="128" t="str">
        <f>IFERROR(VLOOKUP(MID(P82,S82,T82-S82),[6]skilldef!$C:$D,2,FALSE),"-") &amp; " / " &amp; IFERROR(VLOOKUP(MID(P82,Q82,R82-Q82),[6]skilldef!$A:$B,2,FALSE),"-")</f>
        <v>- / -</v>
      </c>
      <c r="V82" s="125" t="str">
        <f t="shared" si="106"/>
        <v>[effect:fix_speed, target:myself, turn:1]</v>
      </c>
      <c r="W82" s="128">
        <f t="shared" si="107"/>
        <v>9</v>
      </c>
      <c r="X82" s="128">
        <f t="shared" si="108"/>
        <v>18</v>
      </c>
      <c r="Y82" s="128">
        <f t="shared" si="109"/>
        <v>27</v>
      </c>
      <c r="Z82" s="128">
        <f t="shared" si="110"/>
        <v>33</v>
      </c>
      <c r="AA82" s="128" t="str">
        <f>IFERROR(VLOOKUP(MID(V82,Y82,Z82-Y82),[6]skilldef!$C:$D,2,FALSE),"-") &amp; " / " &amp; IFERROR(VLOOKUP(MID(V82,W82,X82-W82),[6]skilldef!$A:$B,2,FALSE),"-")</f>
        <v>自分自身に / 行動値設定</v>
      </c>
      <c r="AB82" s="127"/>
      <c r="AC82" s="129"/>
      <c r="AD82" s="127"/>
      <c r="AE82" s="130" t="s">
        <v>343</v>
      </c>
      <c r="AF82" s="131"/>
    </row>
    <row r="83" spans="1:32" s="132" customFormat="1" ht="33" customHeight="1" x14ac:dyDescent="0.15">
      <c r="A83" s="161">
        <v>40046021</v>
      </c>
      <c r="B83" s="47" t="str">
        <f t="shared" ref="B83" si="111">"[effect:enemy_message, val1:"&amp;TEXT(IF(TEXT(F83,0)="[表示しない]", "0", IF(LEN(SUBSTITUTE(F83,CHAR(13),""))*0.1&lt;1.2, 1.2, LEN(SUBSTITUTE(F83,CHAR(13),""))*0.1)), "0.0")&amp;", val2:"&amp;TEXT(IF(TEXT(H83,0)="[表示しない]", "0", IF(LEN(SUBSTITUTE(H83,CHAR(13),""))*0.1&lt;1.2, 1.2, LEN(SUBSTITUTE(H83,CHAR(13),""))*0.1)),"0.0")&amp;"]"&amp;IF(LEN(AE83)&gt;0, ","&amp;SUBSTITUTE(AE83,CHAR(13),""),SUBSTITUTE(AE83,CHAR(13),""))</f>
        <v>[effect:enemy_message, val1:1.2, val2:1.5],[effect:damage_fix_absolute, target:unit_all, val:2222]</v>
      </c>
      <c r="C83" s="223">
        <v>3</v>
      </c>
      <c r="D83" s="49" t="s">
        <v>126</v>
      </c>
      <c r="E83" s="100"/>
      <c r="F83" s="152" t="s">
        <v>409</v>
      </c>
      <c r="G83" s="150" t="s">
        <v>278</v>
      </c>
      <c r="H83" s="150" t="s">
        <v>554</v>
      </c>
      <c r="I83" s="128" t="str">
        <f t="shared" ref="I83" si="112">IFERROR(LEFT(B83,FIND("],",B83)),B83)</f>
        <v>[effect:enemy_message, val1:1.2, val2:1.5]</v>
      </c>
      <c r="J83" s="128">
        <f t="shared" ref="J83" si="113">FIND("effect:",I83)+7</f>
        <v>9</v>
      </c>
      <c r="K83" s="128">
        <f t="shared" ref="K83" si="114">IFERROR(FIND(",",I83),LEN(I83))</f>
        <v>22</v>
      </c>
      <c r="L83" s="128" t="e">
        <f t="shared" ref="L83" si="115">FIND("target:",I83)+7</f>
        <v>#VALUE!</v>
      </c>
      <c r="M83" s="128">
        <f t="shared" ref="M83" si="116">FIND(",",I83,K83+1)</f>
        <v>32</v>
      </c>
      <c r="N83" s="128" t="str">
        <f>IFERROR(VLOOKUP(MID(I83,L83,M83-L83),[6]skilldef!$C:$D,2,FALSE),"-") &amp; " / " &amp; IFERROR(VLOOKUP(MID(I83,J83,K83-J83),[6]skilldef!$A:$B,2,FALSE),"-")</f>
        <v>- / -</v>
      </c>
      <c r="O83" s="128" t="str">
        <f t="shared" ref="O83" si="117">IFERROR(RIGHT(B83,LEN(B83)-FIND("],",B83)-1),"none")</f>
        <v>[effect:damage_fix_absolute, target:unit_all, val:2222]</v>
      </c>
      <c r="P83" s="125" t="str">
        <f>IFERROR(LEFT(O83,FIND("],",O83)+#REF!),O83)</f>
        <v>[effect:damage_fix_absolute, target:unit_all, val:2222]</v>
      </c>
      <c r="Q83" s="128">
        <f t="shared" ref="Q83" si="118">FIND("effect:",P83)+7</f>
        <v>9</v>
      </c>
      <c r="R83" s="128">
        <f t="shared" ref="R83" si="119">IFERROR(FIND(",",P83),LEN(P83))</f>
        <v>28</v>
      </c>
      <c r="S83" s="128">
        <f t="shared" ref="S83" si="120">FIND("target:",P83)+7</f>
        <v>37</v>
      </c>
      <c r="T83" s="128">
        <f t="shared" ref="T83" si="121">FIND(",",P83,R83+1)</f>
        <v>45</v>
      </c>
      <c r="U83" s="128" t="str">
        <f>IFERROR(VLOOKUP(MID(P83,S83,T83-S83),[6]skilldef!$C:$D,2,FALSE),"-") &amp; " / " &amp; IFERROR(VLOOKUP(MID(P83,Q83,R83-Q83),[6]skilldef!$A:$B,2,FALSE),"-")</f>
        <v>味方全体に / -</v>
      </c>
      <c r="V83" s="125" t="str">
        <f t="shared" ref="V83" si="122">IFERROR(RIGHT(O83,LEN(O83)-FIND("],",O83)-1),"none")</f>
        <v>none</v>
      </c>
      <c r="W83" s="128" t="e">
        <f t="shared" ref="W83" si="123">FIND("effect:",V83)+7</f>
        <v>#VALUE!</v>
      </c>
      <c r="X83" s="128">
        <f t="shared" ref="X83" si="124">IFERROR(FIND(",",V83),LEN(V83))</f>
        <v>4</v>
      </c>
      <c r="Y83" s="128" t="e">
        <f t="shared" ref="Y83" si="125">FIND("target:",V83)+7</f>
        <v>#VALUE!</v>
      </c>
      <c r="Z83" s="128" t="e">
        <f t="shared" ref="Z83" si="126">FIND(",",V83,X83+1)</f>
        <v>#VALUE!</v>
      </c>
      <c r="AA83" s="128" t="str">
        <f>IFERROR(VLOOKUP(MID(V83,Y83,Z83-Y83),[6]skilldef!$C:$D,2,FALSE),"-") &amp; " / " &amp; IFERROR(VLOOKUP(MID(V83,W83,X83-W83),[6]skilldef!$A:$B,2,FALSE),"-")</f>
        <v>- / -</v>
      </c>
      <c r="AB83" s="127"/>
      <c r="AC83" s="129"/>
      <c r="AD83" s="127"/>
      <c r="AE83" s="130" t="s">
        <v>392</v>
      </c>
      <c r="AF83" s="131"/>
    </row>
    <row r="84" spans="1:32" s="132" customFormat="1" ht="33" customHeight="1" x14ac:dyDescent="0.15">
      <c r="A84" s="161">
        <v>40046026</v>
      </c>
      <c r="B84" s="47" t="str">
        <f t="shared" si="95"/>
        <v>[effect:enemy_message, val1:1.2, val2:1.5],[effect:damage_fix_absolute, target:unit_all, val:2222]</v>
      </c>
      <c r="C84" s="223">
        <v>3</v>
      </c>
      <c r="D84" s="49" t="s">
        <v>126</v>
      </c>
      <c r="E84" s="100"/>
      <c r="F84" s="152" t="s">
        <v>411</v>
      </c>
      <c r="G84" s="150" t="s">
        <v>278</v>
      </c>
      <c r="H84" s="150" t="s">
        <v>555</v>
      </c>
      <c r="I84" s="128" t="str">
        <f t="shared" si="96"/>
        <v>[effect:enemy_message, val1:1.2, val2:1.5]</v>
      </c>
      <c r="J84" s="128">
        <f t="shared" si="97"/>
        <v>9</v>
      </c>
      <c r="K84" s="128">
        <f t="shared" si="98"/>
        <v>22</v>
      </c>
      <c r="L84" s="128" t="e">
        <f t="shared" si="99"/>
        <v>#VALUE!</v>
      </c>
      <c r="M84" s="128">
        <f t="shared" si="100"/>
        <v>32</v>
      </c>
      <c r="N84" s="128" t="str">
        <f>IFERROR(VLOOKUP(MID(I84,L84,M84-L84),[6]skilldef!$C:$D,2,FALSE),"-") &amp; " / " &amp; IFERROR(VLOOKUP(MID(I84,J84,K84-J84),[6]skilldef!$A:$B,2,FALSE),"-")</f>
        <v>- / -</v>
      </c>
      <c r="O84" s="128" t="str">
        <f t="shared" si="101"/>
        <v>[effect:damage_fix_absolute, target:unit_all, val:2222]</v>
      </c>
      <c r="P84" s="125" t="str">
        <f>IFERROR(LEFT(O84,FIND("],",O84)+#REF!),O84)</f>
        <v>[effect:damage_fix_absolute, target:unit_all, val:2222]</v>
      </c>
      <c r="Q84" s="128">
        <f t="shared" si="102"/>
        <v>9</v>
      </c>
      <c r="R84" s="128">
        <f t="shared" si="103"/>
        <v>28</v>
      </c>
      <c r="S84" s="128">
        <f t="shared" si="104"/>
        <v>37</v>
      </c>
      <c r="T84" s="128">
        <f t="shared" si="105"/>
        <v>45</v>
      </c>
      <c r="U84" s="128" t="str">
        <f>IFERROR(VLOOKUP(MID(P84,S84,T84-S84),[6]skilldef!$C:$D,2,FALSE),"-") &amp; " / " &amp; IFERROR(VLOOKUP(MID(P84,Q84,R84-Q84),[6]skilldef!$A:$B,2,FALSE),"-")</f>
        <v>味方全体に / -</v>
      </c>
      <c r="V84" s="125" t="str">
        <f t="shared" si="106"/>
        <v>none</v>
      </c>
      <c r="W84" s="128" t="e">
        <f t="shared" si="107"/>
        <v>#VALUE!</v>
      </c>
      <c r="X84" s="128">
        <f t="shared" si="108"/>
        <v>4</v>
      </c>
      <c r="Y84" s="128" t="e">
        <f t="shared" si="109"/>
        <v>#VALUE!</v>
      </c>
      <c r="Z84" s="128" t="e">
        <f t="shared" si="110"/>
        <v>#VALUE!</v>
      </c>
      <c r="AA84" s="128" t="str">
        <f>IFERROR(VLOOKUP(MID(V84,Y84,Z84-Y84),[6]skilldef!$C:$D,2,FALSE),"-") &amp; " / " &amp; IFERROR(VLOOKUP(MID(V84,W84,X84-W84),[6]skilldef!$A:$B,2,FALSE),"-")</f>
        <v>- / -</v>
      </c>
      <c r="AB84" s="127"/>
      <c r="AC84" s="129"/>
      <c r="AD84" s="127"/>
      <c r="AE84" s="130" t="s">
        <v>392</v>
      </c>
      <c r="AF84" s="131"/>
    </row>
    <row r="85" spans="1:32" s="132" customFormat="1" ht="33" customHeight="1" x14ac:dyDescent="0.15">
      <c r="A85" s="161">
        <v>40046022</v>
      </c>
      <c r="B85" s="47" t="str">
        <f t="shared" si="95"/>
        <v>[effect:enemy_message, val1:1.2, val2:2.7],[effect:drop_block, block_type:crack_bomb, color:block_all, val:17, rate:0.05, turn:20, animation:bomb_influence04],[effect:suicide, target:myself, val:1, dead_type:escape]</v>
      </c>
      <c r="C85" s="223">
        <v>3</v>
      </c>
      <c r="D85" s="49" t="s">
        <v>126</v>
      </c>
      <c r="E85" s="100"/>
      <c r="F85" s="152" t="s">
        <v>549</v>
      </c>
      <c r="G85" s="150" t="s">
        <v>279</v>
      </c>
      <c r="H85" s="150" t="s">
        <v>548</v>
      </c>
      <c r="I85" s="128" t="str">
        <f t="shared" si="96"/>
        <v>[effect:enemy_message, val1:1.2, val2:2.7]</v>
      </c>
      <c r="J85" s="128">
        <f t="shared" si="97"/>
        <v>9</v>
      </c>
      <c r="K85" s="128">
        <f t="shared" si="98"/>
        <v>22</v>
      </c>
      <c r="L85" s="128" t="e">
        <f t="shared" si="99"/>
        <v>#VALUE!</v>
      </c>
      <c r="M85" s="128">
        <f t="shared" si="100"/>
        <v>32</v>
      </c>
      <c r="N85" s="128" t="str">
        <f>IFERROR(VLOOKUP(MID(I85,L85,M85-L85),[6]skilldef!$C:$D,2,FALSE),"-") &amp; " / " &amp; IFERROR(VLOOKUP(MID(I85,J85,K85-J85),[6]skilldef!$A:$B,2,FALSE),"-")</f>
        <v>- / -</v>
      </c>
      <c r="O85" s="128" t="str">
        <f t="shared" si="101"/>
        <v>[effect:drop_block, block_type:crack_bomb, color:block_all, val:17, rate:0.05, turn:20, animation:bomb_influence04],[effect:suicide, target:myself, val:1, dead_type:escape]</v>
      </c>
      <c r="P85" s="125" t="str">
        <f>IFERROR(LEFT(O85,FIND("],",O85)+#REF!),O85)</f>
        <v>[effect:drop_block, block_type:crack_bomb, color:block_all, val:17, rate:0.05, turn:20, animation:bomb_influence04],[effect:suicide, target:myself, val:1, dead_type:escape]</v>
      </c>
      <c r="Q85" s="128">
        <f t="shared" si="102"/>
        <v>9</v>
      </c>
      <c r="R85" s="128">
        <f t="shared" si="103"/>
        <v>19</v>
      </c>
      <c r="S85" s="128">
        <f t="shared" si="104"/>
        <v>141</v>
      </c>
      <c r="T85" s="128">
        <f t="shared" si="105"/>
        <v>42</v>
      </c>
      <c r="U85" s="128" t="str">
        <f>IFERROR(VLOOKUP(MID(P85,S85,T85-S85),[6]skilldef!$C:$D,2,FALSE),"-") &amp; " / " &amp; IFERROR(VLOOKUP(MID(P85,Q85,R85-Q85),[6]skilldef!$A:$B,2,FALSE),"-")</f>
        <v>- / 特定ブロックの割合ドロップ</v>
      </c>
      <c r="V85" s="125" t="str">
        <f t="shared" si="106"/>
        <v>[effect:suicide, target:myself, val:1, dead_type:escape]</v>
      </c>
      <c r="W85" s="128">
        <f t="shared" si="107"/>
        <v>9</v>
      </c>
      <c r="X85" s="128">
        <f t="shared" si="108"/>
        <v>16</v>
      </c>
      <c r="Y85" s="128">
        <f t="shared" si="109"/>
        <v>25</v>
      </c>
      <c r="Z85" s="128">
        <f t="shared" si="110"/>
        <v>31</v>
      </c>
      <c r="AA85" s="128" t="str">
        <f>IFERROR(VLOOKUP(MID(V85,Y85,Z85-Y85),[6]skilldef!$C:$D,2,FALSE),"-") &amp; " / " &amp; IFERROR(VLOOKUP(MID(V85,W85,X85-W85),[6]skilldef!$A:$B,2,FALSE),"-")</f>
        <v>自分自身に / -</v>
      </c>
      <c r="AB85" s="127"/>
      <c r="AC85" s="129"/>
      <c r="AD85" s="127"/>
      <c r="AE85" s="130" t="s">
        <v>557</v>
      </c>
      <c r="AF85" s="131"/>
    </row>
    <row r="86" spans="1:32" s="132" customFormat="1" ht="33" customHeight="1" x14ac:dyDescent="0.15">
      <c r="A86" s="161">
        <v>40046023</v>
      </c>
      <c r="B86" s="47" t="str">
        <f t="shared" si="95"/>
        <v>[effect:enemy_message, val1:1.2, val2:1.2],[effect:critical, val:1.2, animation:enemy_critical]</v>
      </c>
      <c r="C86" s="223">
        <v>3</v>
      </c>
      <c r="D86" s="49" t="s">
        <v>126</v>
      </c>
      <c r="E86" s="100"/>
      <c r="F86" s="152" t="s">
        <v>387</v>
      </c>
      <c r="G86" s="150" t="s">
        <v>280</v>
      </c>
      <c r="H86" s="150" t="s">
        <v>303</v>
      </c>
      <c r="I86" s="128" t="str">
        <f t="shared" si="96"/>
        <v>[effect:enemy_message, val1:1.2, val2:1.2]</v>
      </c>
      <c r="J86" s="128">
        <f t="shared" si="97"/>
        <v>9</v>
      </c>
      <c r="K86" s="128">
        <f t="shared" si="98"/>
        <v>22</v>
      </c>
      <c r="L86" s="128" t="e">
        <f t="shared" si="99"/>
        <v>#VALUE!</v>
      </c>
      <c r="M86" s="128">
        <f t="shared" si="100"/>
        <v>32</v>
      </c>
      <c r="N86" s="128" t="str">
        <f>IFERROR(VLOOKUP(MID(I86,L86,M86-L86),[6]skilldef!$C:$D,2,FALSE),"-") &amp; " / " &amp; IFERROR(VLOOKUP(MID(I86,J86,K86-J86),[6]skilldef!$A:$B,2,FALSE),"-")</f>
        <v>- / -</v>
      </c>
      <c r="O86" s="128" t="str">
        <f t="shared" si="101"/>
        <v>[effect:critical, val:1.2, animation:enemy_critical]</v>
      </c>
      <c r="P86" s="125" t="str">
        <f>IFERROR(LEFT(O86,FIND("],",O86)+#REF!),O86)</f>
        <v>[effect:critical, val:1.2, animation:enemy_critical]</v>
      </c>
      <c r="Q86" s="128">
        <f t="shared" si="102"/>
        <v>9</v>
      </c>
      <c r="R86" s="128">
        <f t="shared" si="103"/>
        <v>17</v>
      </c>
      <c r="S86" s="128" t="e">
        <f t="shared" si="104"/>
        <v>#VALUE!</v>
      </c>
      <c r="T86" s="128">
        <f t="shared" si="105"/>
        <v>26</v>
      </c>
      <c r="U86" s="128" t="str">
        <f>IFERROR(VLOOKUP(MID(P86,S86,T86-S86),[6]skilldef!$C:$D,2,FALSE),"-") &amp; " / " &amp; IFERROR(VLOOKUP(MID(P86,Q86,R86-Q86),[6]skilldef!$A:$B,2,FALSE),"-")</f>
        <v>- / 大攻撃</v>
      </c>
      <c r="V86" s="125" t="str">
        <f t="shared" si="106"/>
        <v>none</v>
      </c>
      <c r="W86" s="128" t="e">
        <f t="shared" si="107"/>
        <v>#VALUE!</v>
      </c>
      <c r="X86" s="128">
        <f t="shared" si="108"/>
        <v>4</v>
      </c>
      <c r="Y86" s="128" t="e">
        <f t="shared" si="109"/>
        <v>#VALUE!</v>
      </c>
      <c r="Z86" s="128" t="e">
        <f t="shared" si="110"/>
        <v>#VALUE!</v>
      </c>
      <c r="AA86" s="128" t="str">
        <f>IFERROR(VLOOKUP(MID(V86,Y86,Z86-Y86),[6]skilldef!$C:$D,2,FALSE),"-") &amp; " / " &amp; IFERROR(VLOOKUP(MID(V86,W86,X86-W86),[6]skilldef!$A:$B,2,FALSE),"-")</f>
        <v>- / -</v>
      </c>
      <c r="AB86" s="127"/>
      <c r="AC86" s="129"/>
      <c r="AD86" s="127"/>
      <c r="AE86" s="130" t="s">
        <v>552</v>
      </c>
      <c r="AF86" s="131"/>
    </row>
    <row r="87" spans="1:32" s="132" customFormat="1" ht="33" customHeight="1" x14ac:dyDescent="0.15">
      <c r="A87" s="161">
        <v>40046024</v>
      </c>
      <c r="B87" s="47" t="str">
        <f t="shared" si="95"/>
        <v>[effect:enemy_message, val1:1.2, val2:1.9],[effect:force_change_block, new_block:damage, target:block_red, color:block_green, count:5, val:0.05, animation:change_bock]</v>
      </c>
      <c r="C87" s="223">
        <v>3</v>
      </c>
      <c r="D87" s="49" t="s">
        <v>126</v>
      </c>
      <c r="E87" s="100"/>
      <c r="F87" s="152" t="s">
        <v>389</v>
      </c>
      <c r="G87" s="150" t="s">
        <v>281</v>
      </c>
      <c r="H87" s="150" t="s">
        <v>304</v>
      </c>
      <c r="I87" s="128" t="str">
        <f t="shared" si="96"/>
        <v>[effect:enemy_message, val1:1.2, val2:1.9]</v>
      </c>
      <c r="J87" s="128">
        <f t="shared" si="97"/>
        <v>9</v>
      </c>
      <c r="K87" s="128">
        <f t="shared" si="98"/>
        <v>22</v>
      </c>
      <c r="L87" s="128" t="e">
        <f t="shared" si="99"/>
        <v>#VALUE!</v>
      </c>
      <c r="M87" s="128">
        <f t="shared" si="100"/>
        <v>32</v>
      </c>
      <c r="N87" s="128" t="str">
        <f>IFERROR(VLOOKUP(MID(I87,L87,M87-L87),[6]skilldef!$C:$D,2,FALSE),"-") &amp; " / " &amp; IFERROR(VLOOKUP(MID(I87,J87,K87-J87),[6]skilldef!$A:$B,2,FALSE),"-")</f>
        <v>- / -</v>
      </c>
      <c r="O87" s="128" t="str">
        <f t="shared" si="101"/>
        <v>[effect:force_change_block, new_block:damage, target:block_red, color:block_green, count:5, val:0.05, animation:change_bock]</v>
      </c>
      <c r="P87" s="125" t="str">
        <f>IFERROR(LEFT(O87,FIND("],",O87)+#REF!),O87)</f>
        <v>[effect:force_change_block, new_block:damage, target:block_red, color:block_green, count:5, val:0.05, animation:change_bock]</v>
      </c>
      <c r="Q87" s="128">
        <f t="shared" si="102"/>
        <v>9</v>
      </c>
      <c r="R87" s="128">
        <f t="shared" si="103"/>
        <v>27</v>
      </c>
      <c r="S87" s="128">
        <f t="shared" si="104"/>
        <v>54</v>
      </c>
      <c r="T87" s="128">
        <f t="shared" si="105"/>
        <v>45</v>
      </c>
      <c r="U87" s="128" t="str">
        <f>IFERROR(VLOOKUP(MID(P87,S87,T87-S87),[6]skilldef!$C:$D,2,FALSE),"-") &amp; " / " &amp; IFERROR(VLOOKUP(MID(P87,Q87,R87-Q87),[6]skilldef!$A:$B,2,FALSE),"-")</f>
        <v>- / -</v>
      </c>
      <c r="V87" s="125" t="str">
        <f t="shared" si="106"/>
        <v>none</v>
      </c>
      <c r="W87" s="128" t="e">
        <f t="shared" si="107"/>
        <v>#VALUE!</v>
      </c>
      <c r="X87" s="128">
        <f t="shared" si="108"/>
        <v>4</v>
      </c>
      <c r="Y87" s="128" t="e">
        <f t="shared" si="109"/>
        <v>#VALUE!</v>
      </c>
      <c r="Z87" s="128" t="e">
        <f t="shared" si="110"/>
        <v>#VALUE!</v>
      </c>
      <c r="AA87" s="128" t="str">
        <f>IFERROR(VLOOKUP(MID(V87,Y87,Z87-Y87),[6]skilldef!$C:$D,2,FALSE),"-") &amp; " / " &amp; IFERROR(VLOOKUP(MID(V87,W87,X87-W87),[6]skilldef!$A:$B,2,FALSE),"-")</f>
        <v>- / -</v>
      </c>
      <c r="AB87" s="127"/>
      <c r="AC87" s="129"/>
      <c r="AD87" s="127"/>
      <c r="AE87" s="130" t="s">
        <v>393</v>
      </c>
      <c r="AF87" s="131"/>
    </row>
    <row r="88" spans="1:32" s="132" customFormat="1" ht="33" customHeight="1" x14ac:dyDescent="0.15">
      <c r="A88" s="161">
        <v>40046025</v>
      </c>
      <c r="B88" s="47" t="str">
        <f t="shared" si="95"/>
        <v>[effect:enemy_message, val1:1.2, val2:2.5],[effect:spread, val:0.25],[effect:degrade_unit, target:unit_all, turn:2, status:heal, val:0.5, calc:mul, animation:degrade_unit_all_heal]</v>
      </c>
      <c r="C88" s="223">
        <v>3</v>
      </c>
      <c r="D88" s="49" t="s">
        <v>126</v>
      </c>
      <c r="E88" s="100"/>
      <c r="F88" s="152" t="s">
        <v>435</v>
      </c>
      <c r="G88" s="150" t="s">
        <v>282</v>
      </c>
      <c r="H88" s="150" t="s">
        <v>324</v>
      </c>
      <c r="I88" s="128" t="str">
        <f t="shared" si="96"/>
        <v>[effect:enemy_message, val1:1.2, val2:2.5]</v>
      </c>
      <c r="J88" s="128">
        <f t="shared" si="97"/>
        <v>9</v>
      </c>
      <c r="K88" s="128">
        <f t="shared" si="98"/>
        <v>22</v>
      </c>
      <c r="L88" s="128" t="e">
        <f t="shared" si="99"/>
        <v>#VALUE!</v>
      </c>
      <c r="M88" s="128">
        <f t="shared" si="100"/>
        <v>32</v>
      </c>
      <c r="N88" s="128" t="str">
        <f>IFERROR(VLOOKUP(MID(I88,L88,M88-L88),[6]skilldef!$C:$D,2,FALSE),"-") &amp; " / " &amp; IFERROR(VLOOKUP(MID(I88,J88,K88-J88),[6]skilldef!$A:$B,2,FALSE),"-")</f>
        <v>- / -</v>
      </c>
      <c r="O88" s="128" t="str">
        <f t="shared" si="101"/>
        <v>[effect:spread, val:0.25],[effect:degrade_unit, target:unit_all, turn:2, status:heal, val:0.5, calc:mul, animation:degrade_unit_all_heal]</v>
      </c>
      <c r="P88" s="125" t="str">
        <f>IFERROR(LEFT(O88,FIND("],",O88)+#REF!),O88)</f>
        <v>[effect:spread, val:0.25],[effect:degrade_unit, target:unit_all, turn:2, status:heal, val:0.5, calc:mul, animation:degrade_unit_all_heal]</v>
      </c>
      <c r="Q88" s="128">
        <f t="shared" si="102"/>
        <v>9</v>
      </c>
      <c r="R88" s="128">
        <f t="shared" si="103"/>
        <v>15</v>
      </c>
      <c r="S88" s="128">
        <f t="shared" si="104"/>
        <v>56</v>
      </c>
      <c r="T88" s="128">
        <f t="shared" si="105"/>
        <v>26</v>
      </c>
      <c r="U88" s="128" t="str">
        <f>IFERROR(VLOOKUP(MID(P88,S88,T88-S88),[6]skilldef!$C:$D,2,FALSE),"-") &amp; " / " &amp; IFERROR(VLOOKUP(MID(P88,Q88,R88-Q88),[6]skilldef!$A:$B,2,FALSE),"-")</f>
        <v>- / 全体攻撃</v>
      </c>
      <c r="V88" s="125" t="str">
        <f t="shared" si="106"/>
        <v>[effect:degrade_unit, target:unit_all, turn:2, status:heal, val:0.5, calc:mul, animation:degrade_unit_all_heal]</v>
      </c>
      <c r="W88" s="128">
        <f t="shared" si="107"/>
        <v>9</v>
      </c>
      <c r="X88" s="128">
        <f t="shared" si="108"/>
        <v>21</v>
      </c>
      <c r="Y88" s="128">
        <f t="shared" si="109"/>
        <v>30</v>
      </c>
      <c r="Z88" s="128">
        <f t="shared" si="110"/>
        <v>38</v>
      </c>
      <c r="AA88" s="128" t="str">
        <f>IFERROR(VLOOKUP(MID(V88,Y88,Z88-Y88),[6]skilldef!$C:$D,2,FALSE),"-") &amp; " / " &amp; IFERROR(VLOOKUP(MID(V88,W88,X88-W88),[6]skilldef!$A:$B,2,FALSE),"-")</f>
        <v>味方全体に / ステータスDOWN</v>
      </c>
      <c r="AB88" s="127"/>
      <c r="AC88" s="129"/>
      <c r="AD88" s="127"/>
      <c r="AE88" s="130" t="s">
        <v>394</v>
      </c>
      <c r="AF88" s="131"/>
    </row>
    <row r="89" spans="1:32" s="132" customFormat="1" ht="33" customHeight="1" x14ac:dyDescent="0.15">
      <c r="A89" s="161">
        <v>40046027</v>
      </c>
      <c r="B89" s="46" t="s">
        <v>558</v>
      </c>
      <c r="C89" s="223">
        <v>3</v>
      </c>
      <c r="D89" s="49" t="s">
        <v>126</v>
      </c>
      <c r="E89" s="100"/>
      <c r="F89" s="152" t="s">
        <v>386</v>
      </c>
      <c r="G89" s="150" t="s">
        <v>406</v>
      </c>
      <c r="H89" s="150" t="s">
        <v>537</v>
      </c>
      <c r="I89" s="128" t="str">
        <f t="shared" si="96"/>
        <v>[effect:enemy_message, val1:1.2, val2:1.6]</v>
      </c>
      <c r="J89" s="128">
        <f t="shared" si="97"/>
        <v>9</v>
      </c>
      <c r="K89" s="128">
        <f t="shared" si="98"/>
        <v>22</v>
      </c>
      <c r="L89" s="128" t="e">
        <f t="shared" si="99"/>
        <v>#VALUE!</v>
      </c>
      <c r="M89" s="128">
        <f t="shared" si="100"/>
        <v>32</v>
      </c>
      <c r="N89" s="128" t="str">
        <f>IFERROR(VLOOKUP(MID(I89,L89,M89-L89),[6]skilldef!$C:$D,2,FALSE),"-") &amp; " / " &amp; IFERROR(VLOOKUP(MID(I89,J89,K89-J89),[6]skilldef!$A:$B,2,FALSE),"-")</f>
        <v>- / -</v>
      </c>
      <c r="O89" s="128" t="str">
        <f t="shared" si="101"/>
        <v>[effect:suicide, target:myself, val:1, dead_type:escape, animation:enemy_suicide]</v>
      </c>
      <c r="P89" s="125" t="str">
        <f>IFERROR(LEFT(O89,FIND("],",O89)+#REF!),O89)</f>
        <v>[effect:suicide, target:myself, val:1, dead_type:escape, animation:enemy_suicide]</v>
      </c>
      <c r="Q89" s="128">
        <f t="shared" si="102"/>
        <v>9</v>
      </c>
      <c r="R89" s="128">
        <f t="shared" si="103"/>
        <v>16</v>
      </c>
      <c r="S89" s="128">
        <f t="shared" si="104"/>
        <v>25</v>
      </c>
      <c r="T89" s="128">
        <f t="shared" si="105"/>
        <v>31</v>
      </c>
      <c r="U89" s="128" t="str">
        <f>IFERROR(VLOOKUP(MID(P89,S89,T89-S89),[6]skilldef!$C:$D,2,FALSE),"-") &amp; " / " &amp; IFERROR(VLOOKUP(MID(P89,Q89,R89-Q89),[6]skilldef!$A:$B,2,FALSE),"-")</f>
        <v>自分自身に / -</v>
      </c>
      <c r="V89" s="125" t="str">
        <f t="shared" si="106"/>
        <v>none</v>
      </c>
      <c r="W89" s="128" t="e">
        <f t="shared" si="107"/>
        <v>#VALUE!</v>
      </c>
      <c r="X89" s="128">
        <f t="shared" si="108"/>
        <v>4</v>
      </c>
      <c r="Y89" s="128" t="e">
        <f t="shared" si="109"/>
        <v>#VALUE!</v>
      </c>
      <c r="Z89" s="128" t="e">
        <f t="shared" si="110"/>
        <v>#VALUE!</v>
      </c>
      <c r="AA89" s="128" t="str">
        <f>IFERROR(VLOOKUP(MID(V89,Y89,Z89-Y89),[6]skilldef!$C:$D,2,FALSE),"-") &amp; " / " &amp; IFERROR(VLOOKUP(MID(V89,W89,X89-W89),[6]skilldef!$A:$B,2,FALSE),"-")</f>
        <v>- / -</v>
      </c>
      <c r="AB89" s="127"/>
      <c r="AC89" s="129"/>
      <c r="AD89" s="127"/>
      <c r="AE89" s="130"/>
      <c r="AF89" s="131"/>
    </row>
    <row r="90" spans="1:32" s="132" customFormat="1" ht="33" customHeight="1" x14ac:dyDescent="0.15">
      <c r="A90" s="162">
        <v>40046030</v>
      </c>
      <c r="B90" s="47" t="str">
        <f t="shared" si="95"/>
        <v>[effect:enemy_message, val1:1.2, val2:3.4],[effect:panel_freeze, target:normal, color:block_red, count:6],[effect:fix_speed, target:myself, turn:1]</v>
      </c>
      <c r="C90" s="223">
        <v>3</v>
      </c>
      <c r="D90" s="49" t="s">
        <v>126</v>
      </c>
      <c r="E90" s="100"/>
      <c r="F90" s="153" t="s">
        <v>402</v>
      </c>
      <c r="G90" s="150" t="s">
        <v>270</v>
      </c>
      <c r="H90" s="150" t="s">
        <v>305</v>
      </c>
      <c r="I90" s="128" t="str">
        <f t="shared" si="96"/>
        <v>[effect:enemy_message, val1:1.2, val2:3.4]</v>
      </c>
      <c r="J90" s="128">
        <f t="shared" si="97"/>
        <v>9</v>
      </c>
      <c r="K90" s="128">
        <f t="shared" si="98"/>
        <v>22</v>
      </c>
      <c r="L90" s="128" t="e">
        <f t="shared" si="99"/>
        <v>#VALUE!</v>
      </c>
      <c r="M90" s="128">
        <f t="shared" si="100"/>
        <v>32</v>
      </c>
      <c r="N90" s="128" t="str">
        <f>IFERROR(VLOOKUP(MID(I90,L90,M90-L90),[6]skilldef!$C:$D,2,FALSE),"-") &amp; " / " &amp; IFERROR(VLOOKUP(MID(I90,J90,K90-J90),[6]skilldef!$A:$B,2,FALSE),"-")</f>
        <v>- / -</v>
      </c>
      <c r="O90" s="128" t="str">
        <f t="shared" si="101"/>
        <v>[effect:panel_freeze, target:normal, color:block_red, count:6],[effect:fix_speed, target:myself, turn:1]</v>
      </c>
      <c r="P90" s="125" t="str">
        <f>IFERROR(LEFT(O90,FIND("],",O90)+#REF!),O90)</f>
        <v>[effect:panel_freeze, target:normal, color:block_red, count:6],[effect:fix_speed, target:myself, turn:1]</v>
      </c>
      <c r="Q90" s="128">
        <f t="shared" si="102"/>
        <v>9</v>
      </c>
      <c r="R90" s="128">
        <f t="shared" si="103"/>
        <v>21</v>
      </c>
      <c r="S90" s="128">
        <f t="shared" si="104"/>
        <v>30</v>
      </c>
      <c r="T90" s="128">
        <f t="shared" si="105"/>
        <v>36</v>
      </c>
      <c r="U90" s="128" t="str">
        <f>IFERROR(VLOOKUP(MID(P90,S90,T90-S90),[6]skilldef!$C:$D,2,FALSE),"-") &amp; " / " &amp; IFERROR(VLOOKUP(MID(P90,Q90,R90-Q90),[6]skilldef!$A:$B,2,FALSE),"-")</f>
        <v>- / -</v>
      </c>
      <c r="V90" s="125" t="str">
        <f t="shared" si="106"/>
        <v>[effect:fix_speed, target:myself, turn:1]</v>
      </c>
      <c r="W90" s="128">
        <f t="shared" si="107"/>
        <v>9</v>
      </c>
      <c r="X90" s="128">
        <f t="shared" si="108"/>
        <v>18</v>
      </c>
      <c r="Y90" s="128">
        <f t="shared" si="109"/>
        <v>27</v>
      </c>
      <c r="Z90" s="128">
        <f t="shared" si="110"/>
        <v>33</v>
      </c>
      <c r="AA90" s="128" t="str">
        <f>IFERROR(VLOOKUP(MID(V90,Y90,Z90-Y90),[6]skilldef!$C:$D,2,FALSE),"-") &amp; " / " &amp; IFERROR(VLOOKUP(MID(V90,W90,X90-W90),[6]skilldef!$A:$B,2,FALSE),"-")</f>
        <v>自分自身に / 行動値設定</v>
      </c>
      <c r="AB90" s="127"/>
      <c r="AC90" s="129"/>
      <c r="AD90" s="127"/>
      <c r="AE90" s="130" t="s">
        <v>337</v>
      </c>
      <c r="AF90" s="131"/>
    </row>
    <row r="91" spans="1:32" s="132" customFormat="1" ht="33" customHeight="1" x14ac:dyDescent="0.15">
      <c r="A91" s="162">
        <v>40046038</v>
      </c>
      <c r="B91" s="47" t="str">
        <f t="shared" ref="B91" si="127">"[effect:enemy_message, val1:"&amp;TEXT(IF(TEXT(F91,0)="[表示しない]", "0", IF(LEN(SUBSTITUTE(F91,CHAR(13),""))*0.1&lt;1.2, 1.2, LEN(SUBSTITUTE(F91,CHAR(13),""))*0.1)), "0.0")&amp;", val2:"&amp;TEXT(IF(TEXT(H91,0)="[表示しない]", "0", IF(LEN(SUBSTITUTE(H91,CHAR(13),""))*0.1&lt;1.2, 1.2, LEN(SUBSTITUTE(H91,CHAR(13),""))*0.1)),"0.0")&amp;"]"&amp;IF(LEN(AE91)&gt;0, ","&amp;SUBSTITUTE(AE91,CHAR(13),""),SUBSTITUTE(AE91,CHAR(13),""))</f>
        <v>[effect:enemy_message, val1:1.6, val2:3.1],[effect:force_change_block, new_block:block_blue, target:block_red, count:0, val:0, animation:change_block],[effect:fix_speed, target:myself, turn:1]</v>
      </c>
      <c r="C91" s="223">
        <v>3</v>
      </c>
      <c r="D91" s="49" t="s">
        <v>126</v>
      </c>
      <c r="E91" s="100"/>
      <c r="F91" s="153" t="s">
        <v>532</v>
      </c>
      <c r="G91" s="150" t="s">
        <v>270</v>
      </c>
      <c r="H91" s="150" t="s">
        <v>533</v>
      </c>
      <c r="I91" s="128" t="str">
        <f t="shared" ref="I91" si="128">IFERROR(LEFT(B91,FIND("],",B91)),B91)</f>
        <v>[effect:enemy_message, val1:1.6, val2:3.1]</v>
      </c>
      <c r="J91" s="128">
        <f t="shared" ref="J91" si="129">FIND("effect:",I91)+7</f>
        <v>9</v>
      </c>
      <c r="K91" s="128">
        <f t="shared" ref="K91" si="130">IFERROR(FIND(",",I91),LEN(I91))</f>
        <v>22</v>
      </c>
      <c r="L91" s="128" t="e">
        <f t="shared" ref="L91" si="131">FIND("target:",I91)+7</f>
        <v>#VALUE!</v>
      </c>
      <c r="M91" s="128">
        <f t="shared" ref="M91" si="132">FIND(",",I91,K91+1)</f>
        <v>32</v>
      </c>
      <c r="N91" s="128" t="str">
        <f>IFERROR(VLOOKUP(MID(I91,L91,M91-L91),[6]skilldef!$C:$D,2,FALSE),"-") &amp; " / " &amp; IFERROR(VLOOKUP(MID(I91,J91,K91-J91),[6]skilldef!$A:$B,2,FALSE),"-")</f>
        <v>- / -</v>
      </c>
      <c r="O91" s="128" t="str">
        <f t="shared" ref="O91" si="133">IFERROR(RIGHT(B91,LEN(B91)-FIND("],",B91)-1),"none")</f>
        <v>[effect:force_change_block, new_block:block_blue, target:block_red, count:0, val:0, animation:change_block],[effect:fix_speed, target:myself, turn:1]</v>
      </c>
      <c r="P91" s="125" t="str">
        <f>IFERROR(LEFT(O91,FIND("],",O91)+#REF!),O91)</f>
        <v>[effect:force_change_block, new_block:block_blue, target:block_red, count:0, val:0, animation:change_block],[effect:fix_speed, target:myself, turn:1]</v>
      </c>
      <c r="Q91" s="128">
        <f t="shared" ref="Q91" si="134">FIND("effect:",P91)+7</f>
        <v>9</v>
      </c>
      <c r="R91" s="128">
        <f t="shared" ref="R91" si="135">IFERROR(FIND(",",P91),LEN(P91))</f>
        <v>27</v>
      </c>
      <c r="S91" s="128">
        <f t="shared" ref="S91" si="136">FIND("target:",P91)+7</f>
        <v>58</v>
      </c>
      <c r="T91" s="128">
        <f t="shared" ref="T91" si="137">FIND(",",P91,R91+1)</f>
        <v>49</v>
      </c>
      <c r="U91" s="128" t="str">
        <f>IFERROR(VLOOKUP(MID(P91,S91,T91-S91),[6]skilldef!$C:$D,2,FALSE),"-") &amp; " / " &amp; IFERROR(VLOOKUP(MID(P91,Q91,R91-Q91),[6]skilldef!$A:$B,2,FALSE),"-")</f>
        <v>- / -</v>
      </c>
      <c r="V91" s="125" t="str">
        <f t="shared" ref="V91" si="138">IFERROR(RIGHT(O91,LEN(O91)-FIND("],",O91)-1),"none")</f>
        <v>[effect:fix_speed, target:myself, turn:1]</v>
      </c>
      <c r="W91" s="128">
        <f t="shared" ref="W91" si="139">FIND("effect:",V91)+7</f>
        <v>9</v>
      </c>
      <c r="X91" s="128">
        <f t="shared" ref="X91" si="140">IFERROR(FIND(",",V91),LEN(V91))</f>
        <v>18</v>
      </c>
      <c r="Y91" s="128">
        <f t="shared" ref="Y91" si="141">FIND("target:",V91)+7</f>
        <v>27</v>
      </c>
      <c r="Z91" s="128">
        <f t="shared" ref="Z91" si="142">FIND(",",V91,X91+1)</f>
        <v>33</v>
      </c>
      <c r="AA91" s="128" t="str">
        <f>IFERROR(VLOOKUP(MID(V91,Y91,Z91-Y91),[6]skilldef!$C:$D,2,FALSE),"-") &amp; " / " &amp; IFERROR(VLOOKUP(MID(V91,W91,X91-W91),[6]skilldef!$A:$B,2,FALSE),"-")</f>
        <v>自分自身に / 行動値設定</v>
      </c>
      <c r="AB91" s="127"/>
      <c r="AC91" s="129"/>
      <c r="AD91" s="127"/>
      <c r="AE91" s="130" t="s">
        <v>534</v>
      </c>
      <c r="AF91" s="131"/>
    </row>
    <row r="92" spans="1:32" s="132" customFormat="1" ht="33" customHeight="1" x14ac:dyDescent="0.15">
      <c r="A92" s="162">
        <v>40046031</v>
      </c>
      <c r="B92" s="47" t="str">
        <f t="shared" si="95"/>
        <v>[effect:enemy_message, val1:1.2, val2:1.3],[effect:break_attack_fix, target:unit_all, val:250, lowest_val:200, count:-1, block01:block_red]</v>
      </c>
      <c r="C92" s="223">
        <v>3</v>
      </c>
      <c r="D92" s="49" t="s">
        <v>126</v>
      </c>
      <c r="E92" s="100"/>
      <c r="F92" s="153" t="s">
        <v>459</v>
      </c>
      <c r="G92" s="150" t="s">
        <v>266</v>
      </c>
      <c r="H92" s="150" t="s">
        <v>332</v>
      </c>
      <c r="I92" s="128" t="str">
        <f t="shared" si="96"/>
        <v>[effect:enemy_message, val1:1.2, val2:1.3]</v>
      </c>
      <c r="J92" s="128">
        <f t="shared" si="97"/>
        <v>9</v>
      </c>
      <c r="K92" s="128">
        <f t="shared" si="98"/>
        <v>22</v>
      </c>
      <c r="L92" s="128" t="e">
        <f t="shared" si="99"/>
        <v>#VALUE!</v>
      </c>
      <c r="M92" s="128">
        <f t="shared" si="100"/>
        <v>32</v>
      </c>
      <c r="N92" s="128" t="str">
        <f>IFERROR(VLOOKUP(MID(I92,L92,M92-L92),[6]skilldef!$C:$D,2,FALSE),"-") &amp; " / " &amp; IFERROR(VLOOKUP(MID(I92,J92,K92-J92),[6]skilldef!$A:$B,2,FALSE),"-")</f>
        <v>- / -</v>
      </c>
      <c r="O92" s="128" t="str">
        <f t="shared" si="101"/>
        <v>[effect:break_attack_fix, target:unit_all, val:250, lowest_val:200, count:-1, block01:block_red]</v>
      </c>
      <c r="P92" s="125" t="str">
        <f>IFERROR(LEFT(O92,FIND("],",O92)+#REF!),O92)</f>
        <v>[effect:break_attack_fix, target:unit_all, val:250, lowest_val:200, count:-1, block01:block_red]</v>
      </c>
      <c r="Q92" s="128">
        <f t="shared" si="102"/>
        <v>9</v>
      </c>
      <c r="R92" s="128">
        <f t="shared" si="103"/>
        <v>25</v>
      </c>
      <c r="S92" s="128">
        <f t="shared" si="104"/>
        <v>34</v>
      </c>
      <c r="T92" s="128">
        <f t="shared" si="105"/>
        <v>42</v>
      </c>
      <c r="U92" s="128" t="str">
        <f>IFERROR(VLOOKUP(MID(P92,S92,T92-S92),[6]skilldef!$C:$D,2,FALSE),"-") &amp; " / " &amp; IFERROR(VLOOKUP(MID(P92,Q92,R92-Q92),[6]skilldef!$A:$B,2,FALSE),"-")</f>
        <v>味方全体に / -</v>
      </c>
      <c r="V92" s="125" t="str">
        <f t="shared" si="106"/>
        <v>none</v>
      </c>
      <c r="W92" s="128" t="e">
        <f t="shared" si="107"/>
        <v>#VALUE!</v>
      </c>
      <c r="X92" s="128">
        <f t="shared" si="108"/>
        <v>4</v>
      </c>
      <c r="Y92" s="128" t="e">
        <f t="shared" si="109"/>
        <v>#VALUE!</v>
      </c>
      <c r="Z92" s="128" t="e">
        <f t="shared" si="110"/>
        <v>#VALUE!</v>
      </c>
      <c r="AA92" s="128" t="str">
        <f>IFERROR(VLOOKUP(MID(V92,Y92,Z92-Y92),[6]skilldef!$C:$D,2,FALSE),"-") &amp; " / " &amp; IFERROR(VLOOKUP(MID(V92,W92,X92-W92),[6]skilldef!$A:$B,2,FALSE),"-")</f>
        <v>- / -</v>
      </c>
      <c r="AB92" s="127"/>
      <c r="AC92" s="129"/>
      <c r="AD92" s="127"/>
      <c r="AE92" s="130" t="s">
        <v>373</v>
      </c>
      <c r="AF92" s="131"/>
    </row>
    <row r="93" spans="1:32" s="132" customFormat="1" ht="33" customHeight="1" x14ac:dyDescent="0.15">
      <c r="A93" s="162">
        <v>40046032</v>
      </c>
      <c r="B93" s="47" t="str">
        <f t="shared" si="95"/>
        <v>[effect:enemy_message, val1:1.2, val2:2.4],[effect:rush, count:1, val:1.0],[effect:force_change_block, new_block:damage, target:block_green, color:block_green, count:5, val:0.04, animation:change_bock]</v>
      </c>
      <c r="C93" s="223">
        <v>3</v>
      </c>
      <c r="D93" s="49" t="s">
        <v>126</v>
      </c>
      <c r="E93" s="100"/>
      <c r="F93" s="153" t="s">
        <v>455</v>
      </c>
      <c r="G93" s="150" t="s">
        <v>271</v>
      </c>
      <c r="H93" s="150" t="s">
        <v>368</v>
      </c>
      <c r="I93" s="128" t="str">
        <f t="shared" si="96"/>
        <v>[effect:enemy_message, val1:1.2, val2:2.4]</v>
      </c>
      <c r="J93" s="128">
        <f t="shared" si="97"/>
        <v>9</v>
      </c>
      <c r="K93" s="128">
        <f t="shared" si="98"/>
        <v>22</v>
      </c>
      <c r="L93" s="128" t="e">
        <f t="shared" si="99"/>
        <v>#VALUE!</v>
      </c>
      <c r="M93" s="128">
        <f t="shared" si="100"/>
        <v>32</v>
      </c>
      <c r="N93" s="128" t="str">
        <f>IFERROR(VLOOKUP(MID(I93,L93,M93-L93),[6]skilldef!$C:$D,2,FALSE),"-") &amp; " / " &amp; IFERROR(VLOOKUP(MID(I93,J93,K93-J93),[6]skilldef!$A:$B,2,FALSE),"-")</f>
        <v>- / -</v>
      </c>
      <c r="O93" s="128" t="str">
        <f t="shared" si="101"/>
        <v>[effect:rush, count:1, val:1.0],[effect:force_change_block, new_block:damage, target:block_green, color:block_green, count:5, val:0.04, animation:change_bock]</v>
      </c>
      <c r="P93" s="125" t="str">
        <f>IFERROR(LEFT(O93,FIND("],",O93)+#REF!),O93)</f>
        <v>[effect:rush, count:1, val:1.0],[effect:force_change_block, new_block:damage, target:block_green, color:block_green, count:5, val:0.04, animation:change_bock]</v>
      </c>
      <c r="Q93" s="128">
        <f t="shared" si="102"/>
        <v>9</v>
      </c>
      <c r="R93" s="128">
        <f t="shared" si="103"/>
        <v>13</v>
      </c>
      <c r="S93" s="128">
        <f t="shared" si="104"/>
        <v>86</v>
      </c>
      <c r="T93" s="128">
        <f t="shared" si="105"/>
        <v>22</v>
      </c>
      <c r="U93" s="128" t="str">
        <f>IFERROR(VLOOKUP(MID(P93,S93,T93-S93),[6]skilldef!$C:$D,2,FALSE),"-") &amp; " / " &amp; IFERROR(VLOOKUP(MID(P93,Q93,R93-Q93),[6]skilldef!$A:$B,2,FALSE),"-")</f>
        <v>- / 連続攻撃</v>
      </c>
      <c r="V93" s="125" t="str">
        <f t="shared" si="106"/>
        <v>[effect:force_change_block, new_block:damage, target:block_green, color:block_green, count:5, val:0.04, animation:change_bock]</v>
      </c>
      <c r="W93" s="128">
        <f t="shared" si="107"/>
        <v>9</v>
      </c>
      <c r="X93" s="128">
        <f t="shared" si="108"/>
        <v>27</v>
      </c>
      <c r="Y93" s="128">
        <f t="shared" si="109"/>
        <v>54</v>
      </c>
      <c r="Z93" s="128">
        <f t="shared" si="110"/>
        <v>45</v>
      </c>
      <c r="AA93" s="128" t="str">
        <f>IFERROR(VLOOKUP(MID(V93,Y93,Z93-Y93),[6]skilldef!$C:$D,2,FALSE),"-") &amp; " / " &amp; IFERROR(VLOOKUP(MID(V93,W93,X93-W93),[6]skilldef!$A:$B,2,FALSE),"-")</f>
        <v>- / -</v>
      </c>
      <c r="AB93" s="127"/>
      <c r="AC93" s="129"/>
      <c r="AD93" s="127"/>
      <c r="AE93" s="158" t="s">
        <v>369</v>
      </c>
      <c r="AF93" s="131"/>
    </row>
    <row r="94" spans="1:32" s="132" customFormat="1" ht="33" customHeight="1" x14ac:dyDescent="0.15">
      <c r="A94" s="162">
        <v>40046033</v>
      </c>
      <c r="B94" s="47" t="str">
        <f t="shared" si="95"/>
        <v>[effect:enemy_message, val1:1.4, val2:3.4],[effect:panel_freeze, target:normal, color:block_blue, count:6]</v>
      </c>
      <c r="C94" s="223">
        <v>3</v>
      </c>
      <c r="D94" s="49" t="s">
        <v>126</v>
      </c>
      <c r="E94" s="100"/>
      <c r="F94" s="153" t="s">
        <v>439</v>
      </c>
      <c r="G94" s="150" t="s">
        <v>268</v>
      </c>
      <c r="H94" s="150" t="s">
        <v>306</v>
      </c>
      <c r="I94" s="128" t="str">
        <f t="shared" si="96"/>
        <v>[effect:enemy_message, val1:1.4, val2:3.4]</v>
      </c>
      <c r="J94" s="128">
        <f t="shared" si="97"/>
        <v>9</v>
      </c>
      <c r="K94" s="128">
        <f t="shared" si="98"/>
        <v>22</v>
      </c>
      <c r="L94" s="128" t="e">
        <f t="shared" si="99"/>
        <v>#VALUE!</v>
      </c>
      <c r="M94" s="128">
        <f t="shared" si="100"/>
        <v>32</v>
      </c>
      <c r="N94" s="128" t="str">
        <f>IFERROR(VLOOKUP(MID(I94,L94,M94-L94),[6]skilldef!$C:$D,2,FALSE),"-") &amp; " / " &amp; IFERROR(VLOOKUP(MID(I94,J94,K94-J94),[6]skilldef!$A:$B,2,FALSE),"-")</f>
        <v>- / -</v>
      </c>
      <c r="O94" s="128" t="str">
        <f t="shared" si="101"/>
        <v>[effect:panel_freeze, target:normal, color:block_blue, count:6]</v>
      </c>
      <c r="P94" s="125" t="str">
        <f>IFERROR(LEFT(O94,FIND("],",O94)+#REF!),O94)</f>
        <v>[effect:panel_freeze, target:normal, color:block_blue, count:6]</v>
      </c>
      <c r="Q94" s="128">
        <f t="shared" si="102"/>
        <v>9</v>
      </c>
      <c r="R94" s="128">
        <f t="shared" si="103"/>
        <v>21</v>
      </c>
      <c r="S94" s="128">
        <f t="shared" si="104"/>
        <v>30</v>
      </c>
      <c r="T94" s="128">
        <f t="shared" si="105"/>
        <v>36</v>
      </c>
      <c r="U94" s="128" t="str">
        <f>IFERROR(VLOOKUP(MID(P94,S94,T94-S94),[6]skilldef!$C:$D,2,FALSE),"-") &amp; " / " &amp; IFERROR(VLOOKUP(MID(P94,Q94,R94-Q94),[6]skilldef!$A:$B,2,FALSE),"-")</f>
        <v>- / -</v>
      </c>
      <c r="V94" s="125" t="str">
        <f t="shared" si="106"/>
        <v>none</v>
      </c>
      <c r="W94" s="128" t="e">
        <f t="shared" si="107"/>
        <v>#VALUE!</v>
      </c>
      <c r="X94" s="128">
        <f t="shared" si="108"/>
        <v>4</v>
      </c>
      <c r="Y94" s="128" t="e">
        <f t="shared" si="109"/>
        <v>#VALUE!</v>
      </c>
      <c r="Z94" s="128" t="e">
        <f t="shared" si="110"/>
        <v>#VALUE!</v>
      </c>
      <c r="AA94" s="128" t="str">
        <f>IFERROR(VLOOKUP(MID(V94,Y94,Z94-Y94),[6]skilldef!$C:$D,2,FALSE),"-") &amp; " / " &amp; IFERROR(VLOOKUP(MID(V94,W94,X94-W94),[6]skilldef!$A:$B,2,FALSE),"-")</f>
        <v>- / -</v>
      </c>
      <c r="AB94" s="127"/>
      <c r="AC94" s="129"/>
      <c r="AD94" s="127"/>
      <c r="AE94" s="130" t="s">
        <v>316</v>
      </c>
      <c r="AF94" s="131"/>
    </row>
    <row r="95" spans="1:32" s="132" customFormat="1" ht="33" customHeight="1" x14ac:dyDescent="0.15">
      <c r="A95" s="162">
        <v>40046034</v>
      </c>
      <c r="B95" s="47" t="str">
        <f t="shared" si="95"/>
        <v>[effect:enemy_message, val1:1.2, val2:1.3],[effect:break_attack_fix, target:unit_all, val:250, lowest_val:200, count:-1, block01:block_blue]</v>
      </c>
      <c r="C95" s="223">
        <v>3</v>
      </c>
      <c r="D95" s="49" t="s">
        <v>126</v>
      </c>
      <c r="E95" s="100"/>
      <c r="F95" s="153" t="s">
        <v>459</v>
      </c>
      <c r="G95" s="150" t="s">
        <v>272</v>
      </c>
      <c r="H95" s="150" t="s">
        <v>333</v>
      </c>
      <c r="I95" s="128" t="str">
        <f t="shared" si="96"/>
        <v>[effect:enemy_message, val1:1.2, val2:1.3]</v>
      </c>
      <c r="J95" s="128">
        <f t="shared" si="97"/>
        <v>9</v>
      </c>
      <c r="K95" s="128">
        <f t="shared" si="98"/>
        <v>22</v>
      </c>
      <c r="L95" s="128" t="e">
        <f t="shared" si="99"/>
        <v>#VALUE!</v>
      </c>
      <c r="M95" s="128">
        <f t="shared" si="100"/>
        <v>32</v>
      </c>
      <c r="N95" s="128" t="str">
        <f>IFERROR(VLOOKUP(MID(I95,L95,M95-L95),[6]skilldef!$C:$D,2,FALSE),"-") &amp; " / " &amp; IFERROR(VLOOKUP(MID(I95,J95,K95-J95),[6]skilldef!$A:$B,2,FALSE),"-")</f>
        <v>- / -</v>
      </c>
      <c r="O95" s="128" t="str">
        <f t="shared" si="101"/>
        <v>[effect:break_attack_fix, target:unit_all, val:250, lowest_val:200, count:-1, block01:block_blue]</v>
      </c>
      <c r="P95" s="125" t="str">
        <f>IFERROR(LEFT(O95,FIND("],",O95)+#REF!),O95)</f>
        <v>[effect:break_attack_fix, target:unit_all, val:250, lowest_val:200, count:-1, block01:block_blue]</v>
      </c>
      <c r="Q95" s="128">
        <f t="shared" si="102"/>
        <v>9</v>
      </c>
      <c r="R95" s="128">
        <f t="shared" si="103"/>
        <v>25</v>
      </c>
      <c r="S95" s="128">
        <f t="shared" si="104"/>
        <v>34</v>
      </c>
      <c r="T95" s="128">
        <f t="shared" si="105"/>
        <v>42</v>
      </c>
      <c r="U95" s="128" t="str">
        <f>IFERROR(VLOOKUP(MID(P95,S95,T95-S95),[6]skilldef!$C:$D,2,FALSE),"-") &amp; " / " &amp; IFERROR(VLOOKUP(MID(P95,Q95,R95-Q95),[6]skilldef!$A:$B,2,FALSE),"-")</f>
        <v>味方全体に / -</v>
      </c>
      <c r="V95" s="125" t="str">
        <f t="shared" si="106"/>
        <v>none</v>
      </c>
      <c r="W95" s="128" t="e">
        <f t="shared" si="107"/>
        <v>#VALUE!</v>
      </c>
      <c r="X95" s="128">
        <f t="shared" si="108"/>
        <v>4</v>
      </c>
      <c r="Y95" s="128" t="e">
        <f t="shared" si="109"/>
        <v>#VALUE!</v>
      </c>
      <c r="Z95" s="128" t="e">
        <f t="shared" si="110"/>
        <v>#VALUE!</v>
      </c>
      <c r="AA95" s="128" t="str">
        <f>IFERROR(VLOOKUP(MID(V95,Y95,Z95-Y95),[6]skilldef!$C:$D,2,FALSE),"-") &amp; " / " &amp; IFERROR(VLOOKUP(MID(V95,W95,X95-W95),[6]skilldef!$A:$B,2,FALSE),"-")</f>
        <v>- / -</v>
      </c>
      <c r="AB95" s="127"/>
      <c r="AC95" s="129"/>
      <c r="AD95" s="127"/>
      <c r="AE95" s="130" t="s">
        <v>372</v>
      </c>
      <c r="AF95" s="131"/>
    </row>
    <row r="96" spans="1:32" s="132" customFormat="1" ht="33" customHeight="1" x14ac:dyDescent="0.15">
      <c r="A96" s="162">
        <v>40046035</v>
      </c>
      <c r="B96" s="47" t="str">
        <f t="shared" si="95"/>
        <v>[effect:enemy_message, val1:1.2, val2:1.2],[effect:spread, val:0.25]</v>
      </c>
      <c r="C96" s="223">
        <v>3</v>
      </c>
      <c r="D96" s="49" t="s">
        <v>126</v>
      </c>
      <c r="E96" s="100"/>
      <c r="F96" s="153" t="s">
        <v>390</v>
      </c>
      <c r="G96" s="150" t="s">
        <v>273</v>
      </c>
      <c r="H96" s="150" t="s">
        <v>308</v>
      </c>
      <c r="I96" s="128" t="str">
        <f t="shared" si="96"/>
        <v>[effect:enemy_message, val1:1.2, val2:1.2]</v>
      </c>
      <c r="J96" s="128">
        <f t="shared" si="97"/>
        <v>9</v>
      </c>
      <c r="K96" s="128">
        <f t="shared" si="98"/>
        <v>22</v>
      </c>
      <c r="L96" s="128" t="e">
        <f t="shared" si="99"/>
        <v>#VALUE!</v>
      </c>
      <c r="M96" s="128">
        <f t="shared" si="100"/>
        <v>32</v>
      </c>
      <c r="N96" s="128" t="str">
        <f>IFERROR(VLOOKUP(MID(I96,L96,M96-L96),[6]skilldef!$C:$D,2,FALSE),"-") &amp; " / " &amp; IFERROR(VLOOKUP(MID(I96,J96,K96-J96),[6]skilldef!$A:$B,2,FALSE),"-")</f>
        <v>- / -</v>
      </c>
      <c r="O96" s="128" t="str">
        <f t="shared" si="101"/>
        <v>[effect:spread, val:0.25]</v>
      </c>
      <c r="P96" s="125" t="str">
        <f>IFERROR(LEFT(O96,FIND("],",O96)+#REF!),O96)</f>
        <v>[effect:spread, val:0.25]</v>
      </c>
      <c r="Q96" s="128">
        <f t="shared" si="102"/>
        <v>9</v>
      </c>
      <c r="R96" s="128">
        <f t="shared" si="103"/>
        <v>15</v>
      </c>
      <c r="S96" s="128" t="e">
        <f t="shared" si="104"/>
        <v>#VALUE!</v>
      </c>
      <c r="T96" s="128" t="e">
        <f t="shared" si="105"/>
        <v>#VALUE!</v>
      </c>
      <c r="U96" s="128" t="str">
        <f>IFERROR(VLOOKUP(MID(P96,S96,T96-S96),[6]skilldef!$C:$D,2,FALSE),"-") &amp; " / " &amp; IFERROR(VLOOKUP(MID(P96,Q96,R96-Q96),[6]skilldef!$A:$B,2,FALSE),"-")</f>
        <v>- / 全体攻撃</v>
      </c>
      <c r="V96" s="125" t="str">
        <f t="shared" si="106"/>
        <v>none</v>
      </c>
      <c r="W96" s="128" t="e">
        <f t="shared" si="107"/>
        <v>#VALUE!</v>
      </c>
      <c r="X96" s="128">
        <f t="shared" si="108"/>
        <v>4</v>
      </c>
      <c r="Y96" s="128" t="e">
        <f t="shared" si="109"/>
        <v>#VALUE!</v>
      </c>
      <c r="Z96" s="128" t="e">
        <f t="shared" si="110"/>
        <v>#VALUE!</v>
      </c>
      <c r="AA96" s="128" t="str">
        <f>IFERROR(VLOOKUP(MID(V96,Y96,Z96-Y96),[6]skilldef!$C:$D,2,FALSE),"-") &amp; " / " &amp; IFERROR(VLOOKUP(MID(V96,W96,X96-W96),[6]skilldef!$A:$B,2,FALSE),"-")</f>
        <v>- / -</v>
      </c>
      <c r="AB96" s="127"/>
      <c r="AC96" s="129"/>
      <c r="AD96" s="127"/>
      <c r="AE96" s="130" t="s">
        <v>395</v>
      </c>
      <c r="AF96" s="131"/>
    </row>
    <row r="97" spans="1:32" s="132" customFormat="1" ht="33" customHeight="1" x14ac:dyDescent="0.15">
      <c r="A97" s="162">
        <v>40046036</v>
      </c>
      <c r="B97" s="47" t="str">
        <f t="shared" si="95"/>
        <v>[effect:enemy_message, val1:1.2, val2:2.7],[effect:rush, count:2, val:0.4],[effect:degrade_unit, target:unit_all, turn:2, status:heal, val:0.3, calc:mul, animation:degrade_unit_all_heal]</v>
      </c>
      <c r="C97" s="223">
        <v>3</v>
      </c>
      <c r="D97" s="49" t="s">
        <v>126</v>
      </c>
      <c r="E97" s="100"/>
      <c r="F97" s="153" t="s">
        <v>465</v>
      </c>
      <c r="G97" s="150" t="s">
        <v>274</v>
      </c>
      <c r="H97" s="150" t="s">
        <v>323</v>
      </c>
      <c r="I97" s="128" t="str">
        <f t="shared" si="96"/>
        <v>[effect:enemy_message, val1:1.2, val2:2.7]</v>
      </c>
      <c r="J97" s="128">
        <f t="shared" si="97"/>
        <v>9</v>
      </c>
      <c r="K97" s="128">
        <f t="shared" si="98"/>
        <v>22</v>
      </c>
      <c r="L97" s="128" t="e">
        <f t="shared" si="99"/>
        <v>#VALUE!</v>
      </c>
      <c r="M97" s="128">
        <f t="shared" si="100"/>
        <v>32</v>
      </c>
      <c r="N97" s="128" t="str">
        <f>IFERROR(VLOOKUP(MID(I97,L97,M97-L97),[6]skilldef!$C:$D,2,FALSE),"-") &amp; " / " &amp; IFERROR(VLOOKUP(MID(I97,J97,K97-J97),[6]skilldef!$A:$B,2,FALSE),"-")</f>
        <v>- / -</v>
      </c>
      <c r="O97" s="128" t="str">
        <f t="shared" si="101"/>
        <v>[effect:rush, count:2, val:0.4],[effect:degrade_unit, target:unit_all, turn:2, status:heal, val:0.3, calc:mul, animation:degrade_unit_all_heal]</v>
      </c>
      <c r="P97" s="125" t="str">
        <f>IFERROR(LEFT(O97,FIND("],",O97)+#REF!),O97)</f>
        <v>[effect:rush, count:2, val:0.4],[effect:degrade_unit, target:unit_all, turn:2, status:heal, val:0.3, calc:mul, animation:degrade_unit_all_heal]</v>
      </c>
      <c r="Q97" s="128">
        <f t="shared" si="102"/>
        <v>9</v>
      </c>
      <c r="R97" s="128">
        <f t="shared" si="103"/>
        <v>13</v>
      </c>
      <c r="S97" s="128">
        <f t="shared" si="104"/>
        <v>62</v>
      </c>
      <c r="T97" s="128">
        <f t="shared" si="105"/>
        <v>22</v>
      </c>
      <c r="U97" s="128" t="str">
        <f>IFERROR(VLOOKUP(MID(P97,S97,T97-S97),[6]skilldef!$C:$D,2,FALSE),"-") &amp; " / " &amp; IFERROR(VLOOKUP(MID(P97,Q97,R97-Q97),[6]skilldef!$A:$B,2,FALSE),"-")</f>
        <v>- / 連続攻撃</v>
      </c>
      <c r="V97" s="125" t="str">
        <f t="shared" si="106"/>
        <v>[effect:degrade_unit, target:unit_all, turn:2, status:heal, val:0.3, calc:mul, animation:degrade_unit_all_heal]</v>
      </c>
      <c r="W97" s="128">
        <f t="shared" si="107"/>
        <v>9</v>
      </c>
      <c r="X97" s="128">
        <f t="shared" si="108"/>
        <v>21</v>
      </c>
      <c r="Y97" s="128">
        <f t="shared" si="109"/>
        <v>30</v>
      </c>
      <c r="Z97" s="128">
        <f t="shared" si="110"/>
        <v>38</v>
      </c>
      <c r="AA97" s="128" t="str">
        <f>IFERROR(VLOOKUP(MID(V97,Y97,Z97-Y97),[6]skilldef!$C:$D,2,FALSE),"-") &amp; " / " &amp; IFERROR(VLOOKUP(MID(V97,W97,X97-W97),[6]skilldef!$A:$B,2,FALSE),"-")</f>
        <v>味方全体に / ステータスDOWN</v>
      </c>
      <c r="AB97" s="127"/>
      <c r="AC97" s="129"/>
      <c r="AD97" s="127"/>
      <c r="AE97" s="130" t="s">
        <v>326</v>
      </c>
      <c r="AF97" s="131"/>
    </row>
    <row r="98" spans="1:32" s="132" customFormat="1" ht="33" customHeight="1" x14ac:dyDescent="0.15">
      <c r="A98" s="162">
        <v>40046037</v>
      </c>
      <c r="B98" s="47" t="str">
        <f t="shared" ref="B98" si="143">"[effect:enemy_message, val1:"&amp;TEXT(IF(TEXT(F98,0)="[表示しない]", "0", IF(LEN(SUBSTITUTE(F98,CHAR(13),""))*0.1&lt;1.2, 1.2, LEN(SUBSTITUTE(F98,CHAR(13),""))*0.1)), "0.0")&amp;", val2:"&amp;TEXT(IF(TEXT(H98,0)="[表示しない]", "0", IF(LEN(SUBSTITUTE(H98,CHAR(13),""))*0.1&lt;1.2, 1.2, LEN(SUBSTITUTE(H98,CHAR(13),""))*0.1)),"0.0")&amp;"]"&amp;IF(LEN(AE98)&gt;0, ","&amp;SUBSTITUTE(AE98,CHAR(13),""),SUBSTITUTE(AE98,CHAR(13),""))</f>
        <v>[effect:enemy_message, val1:1.6, val2:2.4],[effect:rush, count:3, val:0.3],[effect:panel_freeze, target:normal, color:block_heart, count:3]</v>
      </c>
      <c r="C98" s="223">
        <v>3</v>
      </c>
      <c r="D98" s="49" t="s">
        <v>126</v>
      </c>
      <c r="E98" s="100"/>
      <c r="F98" s="153" t="s">
        <v>561</v>
      </c>
      <c r="G98" s="150" t="s">
        <v>283</v>
      </c>
      <c r="H98" s="150" t="s">
        <v>307</v>
      </c>
      <c r="I98" s="128" t="str">
        <f t="shared" ref="I98" si="144">IFERROR(LEFT(B98,FIND("],",B98)),B98)</f>
        <v>[effect:enemy_message, val1:1.6, val2:2.4]</v>
      </c>
      <c r="J98" s="128">
        <f t="shared" ref="J98" si="145">FIND("effect:",I98)+7</f>
        <v>9</v>
      </c>
      <c r="K98" s="128">
        <f t="shared" ref="K98" si="146">IFERROR(FIND(",",I98),LEN(I98))</f>
        <v>22</v>
      </c>
      <c r="L98" s="128" t="e">
        <f t="shared" ref="L98" si="147">FIND("target:",I98)+7</f>
        <v>#VALUE!</v>
      </c>
      <c r="M98" s="128">
        <f t="shared" ref="M98" si="148">FIND(",",I98,K98+1)</f>
        <v>32</v>
      </c>
      <c r="N98" s="128" t="str">
        <f>IFERROR(VLOOKUP(MID(I98,L98,M98-L98),[6]skilldef!$C:$D,2,FALSE),"-") &amp; " / " &amp; IFERROR(VLOOKUP(MID(I98,J98,K98-J98),[6]skilldef!$A:$B,2,FALSE),"-")</f>
        <v>- / -</v>
      </c>
      <c r="O98" s="128" t="str">
        <f t="shared" ref="O98" si="149">IFERROR(RIGHT(B98,LEN(B98)-FIND("],",B98)-1),"none")</f>
        <v>[effect:rush, count:3, val:0.3],[effect:panel_freeze, target:normal, color:block_heart, count:3]</v>
      </c>
      <c r="P98" s="125" t="str">
        <f>IFERROR(LEFT(O98,FIND("],",O98)+#REF!),O98)</f>
        <v>[effect:rush, count:3, val:0.3],[effect:panel_freeze, target:normal, color:block_heart, count:3]</v>
      </c>
      <c r="Q98" s="128">
        <f t="shared" ref="Q98" si="150">FIND("effect:",P98)+7</f>
        <v>9</v>
      </c>
      <c r="R98" s="128">
        <f t="shared" ref="R98" si="151">IFERROR(FIND(",",P98),LEN(P98))</f>
        <v>13</v>
      </c>
      <c r="S98" s="128">
        <f t="shared" ref="S98" si="152">FIND("target:",P98)+7</f>
        <v>62</v>
      </c>
      <c r="T98" s="128">
        <f t="shared" ref="T98" si="153">FIND(",",P98,R98+1)</f>
        <v>22</v>
      </c>
      <c r="U98" s="128" t="str">
        <f>IFERROR(VLOOKUP(MID(P98,S98,T98-S98),[6]skilldef!$C:$D,2,FALSE),"-") &amp; " / " &amp; IFERROR(VLOOKUP(MID(P98,Q98,R98-Q98),[6]skilldef!$A:$B,2,FALSE),"-")</f>
        <v>- / 連続攻撃</v>
      </c>
      <c r="V98" s="125" t="str">
        <f t="shared" ref="V98" si="154">IFERROR(RIGHT(O98,LEN(O98)-FIND("],",O98)-1),"none")</f>
        <v>[effect:panel_freeze, target:normal, color:block_heart, count:3]</v>
      </c>
      <c r="W98" s="128">
        <f t="shared" ref="W98" si="155">FIND("effect:",V98)+7</f>
        <v>9</v>
      </c>
      <c r="X98" s="128">
        <f t="shared" ref="X98" si="156">IFERROR(FIND(",",V98),LEN(V98))</f>
        <v>21</v>
      </c>
      <c r="Y98" s="128">
        <f t="shared" ref="Y98" si="157">FIND("target:",V98)+7</f>
        <v>30</v>
      </c>
      <c r="Z98" s="128">
        <f t="shared" ref="Z98" si="158">FIND(",",V98,X98+1)</f>
        <v>36</v>
      </c>
      <c r="AA98" s="128" t="str">
        <f>IFERROR(VLOOKUP(MID(V98,Y98,Z98-Y98),[6]skilldef!$C:$D,2,FALSE),"-") &amp; " / " &amp; IFERROR(VLOOKUP(MID(V98,W98,X98-W98),[6]skilldef!$A:$B,2,FALSE),"-")</f>
        <v>- / -</v>
      </c>
      <c r="AB98" s="127"/>
      <c r="AC98" s="129"/>
      <c r="AD98" s="127"/>
      <c r="AE98" s="130" t="s">
        <v>327</v>
      </c>
      <c r="AF98" s="131"/>
    </row>
    <row r="99" spans="1:32" s="132" customFormat="1" ht="33" customHeight="1" x14ac:dyDescent="0.15">
      <c r="A99" s="163">
        <v>40046040</v>
      </c>
      <c r="B99" s="47" t="str">
        <f t="shared" si="95"/>
        <v>[effect:enemy_message, val1:1.2, val2:2.0],[effect:drop_freeze, turn:-1, block_type:normal, block_color:block_green, rate:0.5, animation:drop_protect],[effect:fix_speed, target:myself, turn:2]</v>
      </c>
      <c r="C99" s="223">
        <v>3</v>
      </c>
      <c r="D99" s="49" t="s">
        <v>126</v>
      </c>
      <c r="E99" s="100"/>
      <c r="F99" s="154" t="s">
        <v>457</v>
      </c>
      <c r="G99" s="150" t="s">
        <v>270</v>
      </c>
      <c r="H99" s="150" t="s">
        <v>331</v>
      </c>
      <c r="I99" s="128" t="str">
        <f t="shared" si="96"/>
        <v>[effect:enemy_message, val1:1.2, val2:2.0]</v>
      </c>
      <c r="J99" s="128">
        <f t="shared" si="97"/>
        <v>9</v>
      </c>
      <c r="K99" s="128">
        <f t="shared" si="98"/>
        <v>22</v>
      </c>
      <c r="L99" s="128" t="e">
        <f t="shared" si="99"/>
        <v>#VALUE!</v>
      </c>
      <c r="M99" s="128">
        <f t="shared" si="100"/>
        <v>32</v>
      </c>
      <c r="N99" s="128" t="str">
        <f>IFERROR(VLOOKUP(MID(I99,L99,M99-L99),[6]skilldef!$C:$D,2,FALSE),"-") &amp; " / " &amp; IFERROR(VLOOKUP(MID(I99,J99,K99-J99),[6]skilldef!$A:$B,2,FALSE),"-")</f>
        <v>- / -</v>
      </c>
      <c r="O99" s="128" t="str">
        <f t="shared" si="101"/>
        <v>[effect:drop_freeze, turn:-1, block_type:normal, block_color:block_green, rate:0.5, animation:drop_protect],[effect:fix_speed, target:myself, turn:2]</v>
      </c>
      <c r="P99" s="125" t="str">
        <f>IFERROR(LEFT(O99,FIND("],",O99)+#REF!),O99)</f>
        <v>[effect:drop_freeze, turn:-1, block_type:normal, block_color:block_green, rate:0.5, animation:drop_protect],[effect:fix_speed, target:myself, turn:2]</v>
      </c>
      <c r="Q99" s="128">
        <f t="shared" si="102"/>
        <v>9</v>
      </c>
      <c r="R99" s="128">
        <f t="shared" si="103"/>
        <v>20</v>
      </c>
      <c r="S99" s="128">
        <f t="shared" si="104"/>
        <v>135</v>
      </c>
      <c r="T99" s="128">
        <f t="shared" si="105"/>
        <v>29</v>
      </c>
      <c r="U99" s="128" t="str">
        <f>IFERROR(VLOOKUP(MID(P99,S99,T99-S99),[6]skilldef!$C:$D,2,FALSE),"-") &amp; " / " &amp; IFERROR(VLOOKUP(MID(P99,Q99,R99-Q99),[6]skilldef!$A:$B,2,FALSE),"-")</f>
        <v>- / -</v>
      </c>
      <c r="V99" s="125" t="str">
        <f t="shared" si="106"/>
        <v>[effect:fix_speed, target:myself, turn:2]</v>
      </c>
      <c r="W99" s="128">
        <f t="shared" si="107"/>
        <v>9</v>
      </c>
      <c r="X99" s="128">
        <f t="shared" si="108"/>
        <v>18</v>
      </c>
      <c r="Y99" s="128">
        <f t="shared" si="109"/>
        <v>27</v>
      </c>
      <c r="Z99" s="128">
        <f t="shared" si="110"/>
        <v>33</v>
      </c>
      <c r="AA99" s="128" t="str">
        <f>IFERROR(VLOOKUP(MID(V99,Y99,Z99-Y99),[6]skilldef!$C:$D,2,FALSE),"-") &amp; " / " &amp; IFERROR(VLOOKUP(MID(V99,W99,X99-W99),[6]skilldef!$A:$B,2,FALSE),"-")</f>
        <v>自分自身に / 行動値設定</v>
      </c>
      <c r="AB99" s="127"/>
      <c r="AC99" s="129"/>
      <c r="AD99" s="127"/>
      <c r="AE99" s="130" t="s">
        <v>338</v>
      </c>
      <c r="AF99" s="131"/>
    </row>
    <row r="100" spans="1:32" s="132" customFormat="1" ht="33" customHeight="1" x14ac:dyDescent="0.15">
      <c r="A100" s="163">
        <v>40046041</v>
      </c>
      <c r="B100" s="47" t="str">
        <f t="shared" si="95"/>
        <v>[effect:enemy_message, val1:1.2, val2:1.2],[effect:rush, count:1, val:0.7],[effect:rush, count:1, val:0.4]</v>
      </c>
      <c r="C100" s="223">
        <v>3</v>
      </c>
      <c r="D100" s="49" t="s">
        <v>126</v>
      </c>
      <c r="E100" s="100"/>
      <c r="F100" s="154" t="s">
        <v>468</v>
      </c>
      <c r="G100" s="150" t="s">
        <v>286</v>
      </c>
      <c r="H100" s="150" t="s">
        <v>357</v>
      </c>
      <c r="I100" s="128" t="str">
        <f t="shared" si="96"/>
        <v>[effect:enemy_message, val1:1.2, val2:1.2]</v>
      </c>
      <c r="J100" s="128">
        <f t="shared" si="97"/>
        <v>9</v>
      </c>
      <c r="K100" s="128">
        <f t="shared" si="98"/>
        <v>22</v>
      </c>
      <c r="L100" s="128" t="e">
        <f t="shared" si="99"/>
        <v>#VALUE!</v>
      </c>
      <c r="M100" s="128">
        <f t="shared" si="100"/>
        <v>32</v>
      </c>
      <c r="N100" s="128" t="str">
        <f>IFERROR(VLOOKUP(MID(I100,L100,M100-L100),[6]skilldef!$C:$D,2,FALSE),"-") &amp; " / " &amp; IFERROR(VLOOKUP(MID(I100,J100,K100-J100),[6]skilldef!$A:$B,2,FALSE),"-")</f>
        <v>- / -</v>
      </c>
      <c r="O100" s="128" t="str">
        <f t="shared" si="101"/>
        <v>[effect:rush, count:1, val:0.7],[effect:rush, count:1, val:0.4]</v>
      </c>
      <c r="P100" s="125" t="str">
        <f>IFERROR(LEFT(O100,FIND("],",O100)+#REF!),O100)</f>
        <v>[effect:rush, count:1, val:0.7],[effect:rush, count:1, val:0.4]</v>
      </c>
      <c r="Q100" s="128">
        <f t="shared" si="102"/>
        <v>9</v>
      </c>
      <c r="R100" s="128">
        <f t="shared" si="103"/>
        <v>13</v>
      </c>
      <c r="S100" s="128" t="e">
        <f t="shared" si="104"/>
        <v>#VALUE!</v>
      </c>
      <c r="T100" s="128">
        <f t="shared" si="105"/>
        <v>22</v>
      </c>
      <c r="U100" s="128" t="str">
        <f>IFERROR(VLOOKUP(MID(P100,S100,T100-S100),[6]skilldef!$C:$D,2,FALSE),"-") &amp; " / " &amp; IFERROR(VLOOKUP(MID(P100,Q100,R100-Q100),[6]skilldef!$A:$B,2,FALSE),"-")</f>
        <v>- / 連続攻撃</v>
      </c>
      <c r="V100" s="125" t="str">
        <f t="shared" si="106"/>
        <v>[effect:rush, count:1, val:0.4]</v>
      </c>
      <c r="W100" s="128">
        <f t="shared" si="107"/>
        <v>9</v>
      </c>
      <c r="X100" s="128">
        <f t="shared" si="108"/>
        <v>13</v>
      </c>
      <c r="Y100" s="128" t="e">
        <f t="shared" si="109"/>
        <v>#VALUE!</v>
      </c>
      <c r="Z100" s="128">
        <f t="shared" si="110"/>
        <v>22</v>
      </c>
      <c r="AA100" s="128" t="str">
        <f>IFERROR(VLOOKUP(MID(V100,Y100,Z100-Y100),[6]skilldef!$C:$D,2,FALSE),"-") &amp; " / " &amp; IFERROR(VLOOKUP(MID(V100,W100,X100-W100),[6]skilldef!$A:$B,2,FALSE),"-")</f>
        <v>- / 連続攻撃</v>
      </c>
      <c r="AB100" s="127"/>
      <c r="AC100" s="129"/>
      <c r="AD100" s="127"/>
      <c r="AE100" s="130" t="s">
        <v>344</v>
      </c>
      <c r="AF100" s="131"/>
    </row>
    <row r="101" spans="1:32" s="132" customFormat="1" ht="33" customHeight="1" x14ac:dyDescent="0.15">
      <c r="A101" s="163">
        <v>40046042</v>
      </c>
      <c r="B101" s="47" t="str">
        <f t="shared" si="95"/>
        <v>[effect:enemy_message, val1:1.2, val2:1.2],[effect:rush, count:1, val:0.4],[effect:rush, count:1, val:0.2],[effect:rush, count:1, val:0.3]</v>
      </c>
      <c r="C101" s="223">
        <v>3</v>
      </c>
      <c r="D101" s="49" t="s">
        <v>126</v>
      </c>
      <c r="E101" s="100"/>
      <c r="F101" s="154" t="s">
        <v>470</v>
      </c>
      <c r="G101" s="150" t="s">
        <v>286</v>
      </c>
      <c r="H101" s="150" t="s">
        <v>358</v>
      </c>
      <c r="I101" s="128" t="str">
        <f t="shared" si="96"/>
        <v>[effect:enemy_message, val1:1.2, val2:1.2]</v>
      </c>
      <c r="J101" s="128">
        <f t="shared" si="97"/>
        <v>9</v>
      </c>
      <c r="K101" s="128">
        <f t="shared" si="98"/>
        <v>22</v>
      </c>
      <c r="L101" s="128" t="e">
        <f t="shared" si="99"/>
        <v>#VALUE!</v>
      </c>
      <c r="M101" s="128">
        <f t="shared" si="100"/>
        <v>32</v>
      </c>
      <c r="N101" s="128" t="str">
        <f>IFERROR(VLOOKUP(MID(I101,L101,M101-L101),[6]skilldef!$C:$D,2,FALSE),"-") &amp; " / " &amp; IFERROR(VLOOKUP(MID(I101,J101,K101-J101),[6]skilldef!$A:$B,2,FALSE),"-")</f>
        <v>- / -</v>
      </c>
      <c r="O101" s="128" t="str">
        <f t="shared" si="101"/>
        <v>[effect:rush, count:1, val:0.4],[effect:rush, count:1, val:0.2],[effect:rush, count:1, val:0.3]</v>
      </c>
      <c r="P101" s="125" t="str">
        <f>IFERROR(LEFT(O101,FIND("],",O101)+#REF!),O101)</f>
        <v>[effect:rush, count:1, val:0.4],[effect:rush, count:1, val:0.2],[effect:rush, count:1, val:0.3]</v>
      </c>
      <c r="Q101" s="128">
        <f t="shared" si="102"/>
        <v>9</v>
      </c>
      <c r="R101" s="128">
        <f t="shared" si="103"/>
        <v>13</v>
      </c>
      <c r="S101" s="128" t="e">
        <f t="shared" si="104"/>
        <v>#VALUE!</v>
      </c>
      <c r="T101" s="128">
        <f t="shared" si="105"/>
        <v>22</v>
      </c>
      <c r="U101" s="128" t="str">
        <f>IFERROR(VLOOKUP(MID(P101,S101,T101-S101),[6]skilldef!$C:$D,2,FALSE),"-") &amp; " / " &amp; IFERROR(VLOOKUP(MID(P101,Q101,R101-Q101),[6]skilldef!$A:$B,2,FALSE),"-")</f>
        <v>- / 連続攻撃</v>
      </c>
      <c r="V101" s="125" t="str">
        <f t="shared" si="106"/>
        <v>[effect:rush, count:1, val:0.2],[effect:rush, count:1, val:0.3]</v>
      </c>
      <c r="W101" s="128">
        <f t="shared" si="107"/>
        <v>9</v>
      </c>
      <c r="X101" s="128">
        <f t="shared" si="108"/>
        <v>13</v>
      </c>
      <c r="Y101" s="128" t="e">
        <f t="shared" si="109"/>
        <v>#VALUE!</v>
      </c>
      <c r="Z101" s="128">
        <f t="shared" si="110"/>
        <v>22</v>
      </c>
      <c r="AA101" s="128" t="str">
        <f>IFERROR(VLOOKUP(MID(V101,Y101,Z101-Y101),[6]skilldef!$C:$D,2,FALSE),"-") &amp; " / " &amp; IFERROR(VLOOKUP(MID(V101,W101,X101-W101),[6]skilldef!$A:$B,2,FALSE),"-")</f>
        <v>- / 連続攻撃</v>
      </c>
      <c r="AB101" s="127"/>
      <c r="AC101" s="129"/>
      <c r="AD101" s="127"/>
      <c r="AE101" s="130" t="s">
        <v>347</v>
      </c>
      <c r="AF101" s="131"/>
    </row>
    <row r="102" spans="1:32" s="132" customFormat="1" ht="33" customHeight="1" x14ac:dyDescent="0.15">
      <c r="A102" s="163">
        <v>40046043</v>
      </c>
      <c r="B102" s="47" t="str">
        <f t="shared" si="95"/>
        <v>[effect:enemy_message, val1:1.2, val2:1.2],[effect:rush, count:1, val:0.1],[effect:rush, count:1, val:0.3],[effect:rush, count:1, val:0.2],[effect:rush, count:1, val:0.1]</v>
      </c>
      <c r="C102" s="223">
        <v>3</v>
      </c>
      <c r="D102" s="49" t="s">
        <v>126</v>
      </c>
      <c r="E102" s="100"/>
      <c r="F102" s="154" t="s">
        <v>472</v>
      </c>
      <c r="G102" s="150" t="s">
        <v>286</v>
      </c>
      <c r="H102" s="150" t="s">
        <v>359</v>
      </c>
      <c r="I102" s="128" t="str">
        <f t="shared" si="96"/>
        <v>[effect:enemy_message, val1:1.2, val2:1.2]</v>
      </c>
      <c r="J102" s="128">
        <f t="shared" si="97"/>
        <v>9</v>
      </c>
      <c r="K102" s="128">
        <f t="shared" si="98"/>
        <v>22</v>
      </c>
      <c r="L102" s="128" t="e">
        <f t="shared" si="99"/>
        <v>#VALUE!</v>
      </c>
      <c r="M102" s="128">
        <f t="shared" si="100"/>
        <v>32</v>
      </c>
      <c r="N102" s="128" t="str">
        <f>IFERROR(VLOOKUP(MID(I102,L102,M102-L102),[6]skilldef!$C:$D,2,FALSE),"-") &amp; " / " &amp; IFERROR(VLOOKUP(MID(I102,J102,K102-J102),[6]skilldef!$A:$B,2,FALSE),"-")</f>
        <v>- / -</v>
      </c>
      <c r="O102" s="128" t="str">
        <f t="shared" si="101"/>
        <v>[effect:rush, count:1, val:0.1],[effect:rush, count:1, val:0.3],[effect:rush, count:1, val:0.2],[effect:rush, count:1, val:0.1]</v>
      </c>
      <c r="P102" s="125" t="str">
        <f>IFERROR(LEFT(O102,FIND("],",O102)+#REF!),O102)</f>
        <v>[effect:rush, count:1, val:0.1],[effect:rush, count:1, val:0.3],[effect:rush, count:1, val:0.2],[effect:rush, count:1, val:0.1]</v>
      </c>
      <c r="Q102" s="128">
        <f t="shared" si="102"/>
        <v>9</v>
      </c>
      <c r="R102" s="128">
        <f t="shared" si="103"/>
        <v>13</v>
      </c>
      <c r="S102" s="128" t="e">
        <f t="shared" si="104"/>
        <v>#VALUE!</v>
      </c>
      <c r="T102" s="128">
        <f t="shared" si="105"/>
        <v>22</v>
      </c>
      <c r="U102" s="128" t="str">
        <f>IFERROR(VLOOKUP(MID(P102,S102,T102-S102),[6]skilldef!$C:$D,2,FALSE),"-") &amp; " / " &amp; IFERROR(VLOOKUP(MID(P102,Q102,R102-Q102),[6]skilldef!$A:$B,2,FALSE),"-")</f>
        <v>- / 連続攻撃</v>
      </c>
      <c r="V102" s="125" t="str">
        <f t="shared" si="106"/>
        <v>[effect:rush, count:1, val:0.3],[effect:rush, count:1, val:0.2],[effect:rush, count:1, val:0.1]</v>
      </c>
      <c r="W102" s="128">
        <f t="shared" si="107"/>
        <v>9</v>
      </c>
      <c r="X102" s="128">
        <f t="shared" si="108"/>
        <v>13</v>
      </c>
      <c r="Y102" s="128" t="e">
        <f t="shared" si="109"/>
        <v>#VALUE!</v>
      </c>
      <c r="Z102" s="128">
        <f t="shared" si="110"/>
        <v>22</v>
      </c>
      <c r="AA102" s="128" t="str">
        <f>IFERROR(VLOOKUP(MID(V102,Y102,Z102-Y102),[6]skilldef!$C:$D,2,FALSE),"-") &amp; " / " &amp; IFERROR(VLOOKUP(MID(V102,W102,X102-W102),[6]skilldef!$A:$B,2,FALSE),"-")</f>
        <v>- / 連続攻撃</v>
      </c>
      <c r="AB102" s="127"/>
      <c r="AC102" s="129"/>
      <c r="AD102" s="127"/>
      <c r="AE102" s="130" t="s">
        <v>346</v>
      </c>
      <c r="AF102" s="131"/>
    </row>
    <row r="103" spans="1:32" s="132" customFormat="1" ht="33" customHeight="1" x14ac:dyDescent="0.15">
      <c r="A103" s="163">
        <v>40046044</v>
      </c>
      <c r="B103" s="47" t="str">
        <f t="shared" si="95"/>
        <v>[effect:enemy_message, val1:1.2, val2:1.2],[effect:rush, count:1, val:0.1],[effect:rush, count:1, val:0.1],[effect:rush, count:1, val:0.1],[effect:rush, count:1, val:0.1],[effect:rush, count:1, val:0.1]</v>
      </c>
      <c r="C103" s="223">
        <v>3</v>
      </c>
      <c r="D103" s="49" t="s">
        <v>126</v>
      </c>
      <c r="E103" s="100"/>
      <c r="F103" s="154" t="s">
        <v>474</v>
      </c>
      <c r="G103" s="150" t="s">
        <v>286</v>
      </c>
      <c r="H103" s="150" t="s">
        <v>360</v>
      </c>
      <c r="I103" s="128" t="str">
        <f t="shared" si="96"/>
        <v>[effect:enemy_message, val1:1.2, val2:1.2]</v>
      </c>
      <c r="J103" s="128">
        <f t="shared" si="97"/>
        <v>9</v>
      </c>
      <c r="K103" s="128">
        <f t="shared" si="98"/>
        <v>22</v>
      </c>
      <c r="L103" s="128" t="e">
        <f t="shared" si="99"/>
        <v>#VALUE!</v>
      </c>
      <c r="M103" s="128">
        <f t="shared" si="100"/>
        <v>32</v>
      </c>
      <c r="N103" s="128" t="str">
        <f>IFERROR(VLOOKUP(MID(I103,L103,M103-L103),[6]skilldef!$C:$D,2,FALSE),"-") &amp; " / " &amp; IFERROR(VLOOKUP(MID(I103,J103,K103-J103),[6]skilldef!$A:$B,2,FALSE),"-")</f>
        <v>- / -</v>
      </c>
      <c r="O103" s="128" t="str">
        <f t="shared" si="101"/>
        <v>[effect:rush, count:1, val:0.1],[effect:rush, count:1, val:0.1],[effect:rush, count:1, val:0.1],[effect:rush, count:1, val:0.1],[effect:rush, count:1, val:0.1]</v>
      </c>
      <c r="P103" s="125" t="str">
        <f>IFERROR(LEFT(O103,FIND("],",O103)+#REF!),O103)</f>
        <v>[effect:rush, count:1, val:0.1],[effect:rush, count:1, val:0.1],[effect:rush, count:1, val:0.1],[effect:rush, count:1, val:0.1],[effect:rush, count:1, val:0.1]</v>
      </c>
      <c r="Q103" s="128">
        <f t="shared" si="102"/>
        <v>9</v>
      </c>
      <c r="R103" s="128">
        <f t="shared" si="103"/>
        <v>13</v>
      </c>
      <c r="S103" s="128" t="e">
        <f t="shared" si="104"/>
        <v>#VALUE!</v>
      </c>
      <c r="T103" s="128">
        <f t="shared" si="105"/>
        <v>22</v>
      </c>
      <c r="U103" s="128" t="str">
        <f>IFERROR(VLOOKUP(MID(P103,S103,T103-S103),[6]skilldef!$C:$D,2,FALSE),"-") &amp; " / " &amp; IFERROR(VLOOKUP(MID(P103,Q103,R103-Q103),[6]skilldef!$A:$B,2,FALSE),"-")</f>
        <v>- / 連続攻撃</v>
      </c>
      <c r="V103" s="125" t="str">
        <f t="shared" si="106"/>
        <v>[effect:rush, count:1, val:0.1],[effect:rush, count:1, val:0.1],[effect:rush, count:1, val:0.1],[effect:rush, count:1, val:0.1]</v>
      </c>
      <c r="W103" s="128">
        <f t="shared" si="107"/>
        <v>9</v>
      </c>
      <c r="X103" s="128">
        <f t="shared" si="108"/>
        <v>13</v>
      </c>
      <c r="Y103" s="128" t="e">
        <f t="shared" si="109"/>
        <v>#VALUE!</v>
      </c>
      <c r="Z103" s="128">
        <f t="shared" si="110"/>
        <v>22</v>
      </c>
      <c r="AA103" s="128" t="str">
        <f>IFERROR(VLOOKUP(MID(V103,Y103,Z103-Y103),[6]skilldef!$C:$D,2,FALSE),"-") &amp; " / " &amp; IFERROR(VLOOKUP(MID(V103,W103,X103-W103),[6]skilldef!$A:$B,2,FALSE),"-")</f>
        <v>- / 連続攻撃</v>
      </c>
      <c r="AB103" s="127"/>
      <c r="AC103" s="129"/>
      <c r="AD103" s="127"/>
      <c r="AE103" s="130" t="s">
        <v>345</v>
      </c>
      <c r="AF103" s="131"/>
    </row>
    <row r="104" spans="1:32" s="132" customFormat="1" ht="33" customHeight="1" x14ac:dyDescent="0.15">
      <c r="A104" s="163">
        <v>40046045</v>
      </c>
      <c r="B104" s="47" t="str">
        <f t="shared" ref="B104" si="159">"[effect:enemy_message, val1:"&amp;TEXT(IF(TEXT(F104,0)="[表示しない]", "0", IF(LEN(SUBSTITUTE(F104,CHAR(13),""))*0.1&lt;1.2, 1.2, LEN(SUBSTITUTE(F104,CHAR(13),""))*0.1)), "0.0")&amp;", val2:"&amp;TEXT(IF(TEXT(H104,0)="[表示しない]", "0", IF(LEN(SUBSTITUTE(H104,CHAR(13),""))*0.1&lt;1.2, 1.2, LEN(SUBSTITUTE(H104,CHAR(13),""))*0.1)),"0.0")&amp;"]"&amp;IF(LEN(AE104)&gt;0, ","&amp;SUBSTITUTE(AE104,CHAR(13),""),SUBSTITUTE(AE104,CHAR(13),""))</f>
        <v xml:space="preserve">[effect:enemy_message, val1:1.2, val2:3.0],[effect:freq_turn, target:myself, turn:-1, val:1, animation:enemy_freq_turn],[effect:crash_condition, target:unit_all, turn:4, val:2, animation:enemy_crash_extend]    </v>
      </c>
      <c r="C104" s="223">
        <v>3</v>
      </c>
      <c r="D104" s="49" t="s">
        <v>126</v>
      </c>
      <c r="E104" s="100"/>
      <c r="F104" s="154" t="s">
        <v>463</v>
      </c>
      <c r="G104" s="150" t="s">
        <v>334</v>
      </c>
      <c r="H104" s="150" t="s">
        <v>545</v>
      </c>
      <c r="I104" s="128"/>
      <c r="J104" s="128"/>
      <c r="K104" s="128"/>
      <c r="L104" s="128"/>
      <c r="M104" s="128"/>
      <c r="N104" s="128"/>
      <c r="O104" s="128"/>
      <c r="P104" s="125"/>
      <c r="Q104" s="128"/>
      <c r="R104" s="128"/>
      <c r="S104" s="128"/>
      <c r="T104" s="128"/>
      <c r="U104" s="128"/>
      <c r="V104" s="125"/>
      <c r="W104" s="128"/>
      <c r="X104" s="128"/>
      <c r="Y104" s="128"/>
      <c r="Z104" s="128"/>
      <c r="AA104" s="128"/>
      <c r="AB104" s="127"/>
      <c r="AC104" s="129"/>
      <c r="AD104" s="127"/>
      <c r="AE104" s="130" t="s">
        <v>335</v>
      </c>
      <c r="AF104" s="131"/>
    </row>
    <row r="105" spans="1:32" s="132" customFormat="1" ht="33" customHeight="1" x14ac:dyDescent="0.15">
      <c r="A105" s="163">
        <v>40046046</v>
      </c>
      <c r="B105" s="47" t="str">
        <f t="shared" si="95"/>
        <v>[effect:enemy_message, val1:1.2, val2:1.2],[effect:rush, count:1, val:0.1],[effect:rush, count:1, val:0.1],[effect:rush, count:1, val:0.1]</v>
      </c>
      <c r="C105" s="223">
        <v>3</v>
      </c>
      <c r="D105" s="49" t="s">
        <v>126</v>
      </c>
      <c r="E105" s="100"/>
      <c r="F105" s="154" t="s">
        <v>468</v>
      </c>
      <c r="G105" s="150" t="s">
        <v>287</v>
      </c>
      <c r="H105" s="150" t="s">
        <v>358</v>
      </c>
      <c r="I105" s="128" t="str">
        <f t="shared" si="96"/>
        <v>[effect:enemy_message, val1:1.2, val2:1.2]</v>
      </c>
      <c r="J105" s="128">
        <f t="shared" si="97"/>
        <v>9</v>
      </c>
      <c r="K105" s="128">
        <f t="shared" si="98"/>
        <v>22</v>
      </c>
      <c r="L105" s="128" t="e">
        <f t="shared" si="99"/>
        <v>#VALUE!</v>
      </c>
      <c r="M105" s="128">
        <f t="shared" si="100"/>
        <v>32</v>
      </c>
      <c r="N105" s="128" t="str">
        <f>IFERROR(VLOOKUP(MID(I105,L105,M105-L105),[6]skilldef!$C:$D,2,FALSE),"-") &amp; " / " &amp; IFERROR(VLOOKUP(MID(I105,J105,K105-J105),[6]skilldef!$A:$B,2,FALSE),"-")</f>
        <v>- / -</v>
      </c>
      <c r="O105" s="128" t="str">
        <f t="shared" si="101"/>
        <v>[effect:rush, count:1, val:0.1],[effect:rush, count:1, val:0.1],[effect:rush, count:1, val:0.1]</v>
      </c>
      <c r="P105" s="125" t="str">
        <f>IFERROR(LEFT(O105,FIND("],",O105)+#REF!),O105)</f>
        <v>[effect:rush, count:1, val:0.1],[effect:rush, count:1, val:0.1],[effect:rush, count:1, val:0.1]</v>
      </c>
      <c r="Q105" s="128">
        <f t="shared" si="102"/>
        <v>9</v>
      </c>
      <c r="R105" s="128">
        <f t="shared" si="103"/>
        <v>13</v>
      </c>
      <c r="S105" s="128" t="e">
        <f t="shared" si="104"/>
        <v>#VALUE!</v>
      </c>
      <c r="T105" s="128">
        <f t="shared" si="105"/>
        <v>22</v>
      </c>
      <c r="U105" s="128" t="str">
        <f>IFERROR(VLOOKUP(MID(P105,S105,T105-S105),[6]skilldef!$C:$D,2,FALSE),"-") &amp; " / " &amp; IFERROR(VLOOKUP(MID(P105,Q105,R105-Q105),[6]skilldef!$A:$B,2,FALSE),"-")</f>
        <v>- / 連続攻撃</v>
      </c>
      <c r="V105" s="125" t="str">
        <f t="shared" si="106"/>
        <v>[effect:rush, count:1, val:0.1],[effect:rush, count:1, val:0.1]</v>
      </c>
      <c r="W105" s="128">
        <f t="shared" si="107"/>
        <v>9</v>
      </c>
      <c r="X105" s="128">
        <f t="shared" si="108"/>
        <v>13</v>
      </c>
      <c r="Y105" s="128" t="e">
        <f t="shared" si="109"/>
        <v>#VALUE!</v>
      </c>
      <c r="Z105" s="128">
        <f t="shared" si="110"/>
        <v>22</v>
      </c>
      <c r="AA105" s="128" t="str">
        <f>IFERROR(VLOOKUP(MID(V105,Y105,Z105-Y105),[6]skilldef!$C:$D,2,FALSE),"-") &amp; " / " &amp; IFERROR(VLOOKUP(MID(V105,W105,X105-W105),[6]skilldef!$A:$B,2,FALSE),"-")</f>
        <v>- / 連続攻撃</v>
      </c>
      <c r="AB105" s="127"/>
      <c r="AC105" s="129"/>
      <c r="AD105" s="127"/>
      <c r="AE105" s="130" t="s">
        <v>336</v>
      </c>
      <c r="AF105" s="131"/>
    </row>
    <row r="106" spans="1:32" s="132" customFormat="1" ht="33" customHeight="1" x14ac:dyDescent="0.15">
      <c r="A106" s="163">
        <v>40046047</v>
      </c>
      <c r="B106" s="47" t="str">
        <f t="shared" si="95"/>
        <v>[effect:enemy_message, val1:1.2, val2:1.2],[effect:rush, count:1, val:0.3],[effect:rush, count:1, val:0.1],[effect:rush, count:1, val:0.1]</v>
      </c>
      <c r="C106" s="223">
        <v>3</v>
      </c>
      <c r="D106" s="49" t="s">
        <v>126</v>
      </c>
      <c r="E106" s="100"/>
      <c r="F106" s="154" t="s">
        <v>470</v>
      </c>
      <c r="G106" s="150" t="s">
        <v>287</v>
      </c>
      <c r="H106" s="150" t="s">
        <v>358</v>
      </c>
      <c r="I106" s="128" t="str">
        <f t="shared" si="96"/>
        <v>[effect:enemy_message, val1:1.2, val2:1.2]</v>
      </c>
      <c r="J106" s="128">
        <f t="shared" si="97"/>
        <v>9</v>
      </c>
      <c r="K106" s="128">
        <f t="shared" si="98"/>
        <v>22</v>
      </c>
      <c r="L106" s="128" t="e">
        <f t="shared" si="99"/>
        <v>#VALUE!</v>
      </c>
      <c r="M106" s="128">
        <f t="shared" si="100"/>
        <v>32</v>
      </c>
      <c r="N106" s="128" t="str">
        <f>IFERROR(VLOOKUP(MID(I106,L106,M106-L106),[6]skilldef!$C:$D,2,FALSE),"-") &amp; " / " &amp; IFERROR(VLOOKUP(MID(I106,J106,K106-J106),[6]skilldef!$A:$B,2,FALSE),"-")</f>
        <v>- / -</v>
      </c>
      <c r="O106" s="128" t="str">
        <f t="shared" si="101"/>
        <v>[effect:rush, count:1, val:0.3],[effect:rush, count:1, val:0.1],[effect:rush, count:1, val:0.1]</v>
      </c>
      <c r="P106" s="125" t="str">
        <f>IFERROR(LEFT(O106,FIND("],",O106)+#REF!),O106)</f>
        <v>[effect:rush, count:1, val:0.3],[effect:rush, count:1, val:0.1],[effect:rush, count:1, val:0.1]</v>
      </c>
      <c r="Q106" s="128">
        <f t="shared" si="102"/>
        <v>9</v>
      </c>
      <c r="R106" s="128">
        <f t="shared" si="103"/>
        <v>13</v>
      </c>
      <c r="S106" s="128" t="e">
        <f t="shared" si="104"/>
        <v>#VALUE!</v>
      </c>
      <c r="T106" s="128">
        <f t="shared" si="105"/>
        <v>22</v>
      </c>
      <c r="U106" s="128" t="str">
        <f>IFERROR(VLOOKUP(MID(P106,S106,T106-S106),[6]skilldef!$C:$D,2,FALSE),"-") &amp; " / " &amp; IFERROR(VLOOKUP(MID(P106,Q106,R106-Q106),[6]skilldef!$A:$B,2,FALSE),"-")</f>
        <v>- / 連続攻撃</v>
      </c>
      <c r="V106" s="125" t="str">
        <f t="shared" si="106"/>
        <v>[effect:rush, count:1, val:0.1],[effect:rush, count:1, val:0.1]</v>
      </c>
      <c r="W106" s="128">
        <f t="shared" si="107"/>
        <v>9</v>
      </c>
      <c r="X106" s="128">
        <f t="shared" si="108"/>
        <v>13</v>
      </c>
      <c r="Y106" s="128" t="e">
        <f t="shared" si="109"/>
        <v>#VALUE!</v>
      </c>
      <c r="Z106" s="128">
        <f t="shared" si="110"/>
        <v>22</v>
      </c>
      <c r="AA106" s="128" t="str">
        <f>IFERROR(VLOOKUP(MID(V106,Y106,Z106-Y106),[6]skilldef!$C:$D,2,FALSE),"-") &amp; " / " &amp; IFERROR(VLOOKUP(MID(V106,W106,X106-W106),[6]skilldef!$A:$B,2,FALSE),"-")</f>
        <v>- / 連続攻撃</v>
      </c>
      <c r="AB106" s="127"/>
      <c r="AC106" s="129"/>
      <c r="AD106" s="127"/>
      <c r="AE106" s="130" t="s">
        <v>348</v>
      </c>
      <c r="AF106" s="131"/>
    </row>
    <row r="107" spans="1:32" s="132" customFormat="1" ht="33" customHeight="1" x14ac:dyDescent="0.15">
      <c r="A107" s="163">
        <v>40046048</v>
      </c>
      <c r="B107" s="47" t="str">
        <f t="shared" si="95"/>
        <v>[effect:enemy_message, val1:1.2, val2:1.2],[effect:rush, count:1, val:0.2],[effect:rush, count:1, val:0.3],[effect:rush, count:1, val:0.2]</v>
      </c>
      <c r="C107" s="223">
        <v>3</v>
      </c>
      <c r="D107" s="49" t="s">
        <v>126</v>
      </c>
      <c r="E107" s="100"/>
      <c r="F107" s="154" t="s">
        <v>472</v>
      </c>
      <c r="G107" s="150" t="s">
        <v>287</v>
      </c>
      <c r="H107" s="150" t="s">
        <v>358</v>
      </c>
      <c r="I107" s="128" t="str">
        <f t="shared" si="96"/>
        <v>[effect:enemy_message, val1:1.2, val2:1.2]</v>
      </c>
      <c r="J107" s="128">
        <f t="shared" si="97"/>
        <v>9</v>
      </c>
      <c r="K107" s="128">
        <f t="shared" si="98"/>
        <v>22</v>
      </c>
      <c r="L107" s="128" t="e">
        <f t="shared" si="99"/>
        <v>#VALUE!</v>
      </c>
      <c r="M107" s="128">
        <f t="shared" si="100"/>
        <v>32</v>
      </c>
      <c r="N107" s="128" t="str">
        <f>IFERROR(VLOOKUP(MID(I107,L107,M107-L107),[6]skilldef!$C:$D,2,FALSE),"-") &amp; " / " &amp; IFERROR(VLOOKUP(MID(I107,J107,K107-J107),[6]skilldef!$A:$B,2,FALSE),"-")</f>
        <v>- / -</v>
      </c>
      <c r="O107" s="128" t="str">
        <f t="shared" si="101"/>
        <v>[effect:rush, count:1, val:0.2],[effect:rush, count:1, val:0.3],[effect:rush, count:1, val:0.2]</v>
      </c>
      <c r="P107" s="125" t="str">
        <f>IFERROR(LEFT(O107,FIND("],",O107)+#REF!),O107)</f>
        <v>[effect:rush, count:1, val:0.2],[effect:rush, count:1, val:0.3],[effect:rush, count:1, val:0.2]</v>
      </c>
      <c r="Q107" s="128">
        <f t="shared" si="102"/>
        <v>9</v>
      </c>
      <c r="R107" s="128">
        <f t="shared" si="103"/>
        <v>13</v>
      </c>
      <c r="S107" s="128" t="e">
        <f t="shared" si="104"/>
        <v>#VALUE!</v>
      </c>
      <c r="T107" s="128">
        <f t="shared" si="105"/>
        <v>22</v>
      </c>
      <c r="U107" s="128" t="str">
        <f>IFERROR(VLOOKUP(MID(P107,S107,T107-S107),[6]skilldef!$C:$D,2,FALSE),"-") &amp; " / " &amp; IFERROR(VLOOKUP(MID(P107,Q107,R107-Q107),[6]skilldef!$A:$B,2,FALSE),"-")</f>
        <v>- / 連続攻撃</v>
      </c>
      <c r="V107" s="125" t="str">
        <f t="shared" si="106"/>
        <v>[effect:rush, count:1, val:0.3],[effect:rush, count:1, val:0.2]</v>
      </c>
      <c r="W107" s="128">
        <f t="shared" si="107"/>
        <v>9</v>
      </c>
      <c r="X107" s="128">
        <f t="shared" si="108"/>
        <v>13</v>
      </c>
      <c r="Y107" s="128" t="e">
        <f t="shared" si="109"/>
        <v>#VALUE!</v>
      </c>
      <c r="Z107" s="128">
        <f t="shared" si="110"/>
        <v>22</v>
      </c>
      <c r="AA107" s="128" t="str">
        <f>IFERROR(VLOOKUP(MID(V107,Y107,Z107-Y107),[6]skilldef!$C:$D,2,FALSE),"-") &amp; " / " &amp; IFERROR(VLOOKUP(MID(V107,W107,X107-W107),[6]skilldef!$A:$B,2,FALSE),"-")</f>
        <v>- / 連続攻撃</v>
      </c>
      <c r="AB107" s="127"/>
      <c r="AC107" s="129"/>
      <c r="AD107" s="127"/>
      <c r="AE107" s="130" t="s">
        <v>349</v>
      </c>
      <c r="AF107" s="131"/>
    </row>
    <row r="108" spans="1:32" s="132" customFormat="1" ht="33" customHeight="1" x14ac:dyDescent="0.15">
      <c r="A108" s="163">
        <v>40046049</v>
      </c>
      <c r="B108" s="47" t="str">
        <f t="shared" ref="B108" si="160">"[effect:enemy_message, val1:"&amp;TEXT(IF(TEXT(F108,0)="[表示しない]", "0", IF(LEN(SUBSTITUTE(F108,CHAR(13),""))*0.1&lt;1.2, 1.2, LEN(SUBSTITUTE(F108,CHAR(13),""))*0.1)), "0.0")&amp;", val2:"&amp;TEXT(IF(TEXT(H108,0)="[表示しない]", "0", IF(LEN(SUBSTITUTE(H108,CHAR(13),""))*0.1&lt;1.2, 1.2, LEN(SUBSTITUTE(H108,CHAR(13),""))*0.1)),"0.0")&amp;"]"&amp;IF(LEN(AE108)&gt;0, ","&amp;SUBSTITUTE(AE108,CHAR(13),""),SUBSTITUTE(AE108,CHAR(13),""))</f>
        <v>[effect:enemy_message, val1:1.2, val2:1.2],[effect:rush, count:1, val:0.4],[effect:rush, count:1, val:0.2],[effect:rush, count:1, val:0.3]</v>
      </c>
      <c r="C108" s="223">
        <v>3</v>
      </c>
      <c r="D108" s="49" t="s">
        <v>126</v>
      </c>
      <c r="E108" s="100"/>
      <c r="F108" s="154" t="s">
        <v>474</v>
      </c>
      <c r="G108" s="150" t="s">
        <v>287</v>
      </c>
      <c r="H108" s="150" t="s">
        <v>358</v>
      </c>
      <c r="I108" s="128" t="str">
        <f t="shared" ref="I108" si="161">IFERROR(LEFT(B108,FIND("],",B108)),B108)</f>
        <v>[effect:enemy_message, val1:1.2, val2:1.2]</v>
      </c>
      <c r="J108" s="128">
        <f t="shared" ref="J108" si="162">FIND("effect:",I108)+7</f>
        <v>9</v>
      </c>
      <c r="K108" s="128">
        <f t="shared" ref="K108" si="163">IFERROR(FIND(",",I108),LEN(I108))</f>
        <v>22</v>
      </c>
      <c r="L108" s="128" t="e">
        <f t="shared" ref="L108" si="164">FIND("target:",I108)+7</f>
        <v>#VALUE!</v>
      </c>
      <c r="M108" s="128">
        <f t="shared" ref="M108" si="165">FIND(",",I108,K108+1)</f>
        <v>32</v>
      </c>
      <c r="N108" s="128" t="str">
        <f>IFERROR(VLOOKUP(MID(I108,L108,M108-L108),[6]skilldef!$C:$D,2,FALSE),"-") &amp; " / " &amp; IFERROR(VLOOKUP(MID(I108,J108,K108-J108),[6]skilldef!$A:$B,2,FALSE),"-")</f>
        <v>- / -</v>
      </c>
      <c r="O108" s="128" t="str">
        <f t="shared" ref="O108" si="166">IFERROR(RIGHT(B108,LEN(B108)-FIND("],",B108)-1),"none")</f>
        <v>[effect:rush, count:1, val:0.4],[effect:rush, count:1, val:0.2],[effect:rush, count:1, val:0.3]</v>
      </c>
      <c r="P108" s="125" t="str">
        <f>IFERROR(LEFT(O108,FIND("],",O108)+#REF!),O108)</f>
        <v>[effect:rush, count:1, val:0.4],[effect:rush, count:1, val:0.2],[effect:rush, count:1, val:0.3]</v>
      </c>
      <c r="Q108" s="128">
        <f t="shared" ref="Q108" si="167">FIND("effect:",P108)+7</f>
        <v>9</v>
      </c>
      <c r="R108" s="128">
        <f t="shared" ref="R108" si="168">IFERROR(FIND(",",P108),LEN(P108))</f>
        <v>13</v>
      </c>
      <c r="S108" s="128" t="e">
        <f t="shared" ref="S108" si="169">FIND("target:",P108)+7</f>
        <v>#VALUE!</v>
      </c>
      <c r="T108" s="128">
        <f t="shared" ref="T108" si="170">FIND(",",P108,R108+1)</f>
        <v>22</v>
      </c>
      <c r="U108" s="128" t="str">
        <f>IFERROR(VLOOKUP(MID(P108,S108,T108-S108),[6]skilldef!$C:$D,2,FALSE),"-") &amp; " / " &amp; IFERROR(VLOOKUP(MID(P108,Q108,R108-Q108),[6]skilldef!$A:$B,2,FALSE),"-")</f>
        <v>- / 連続攻撃</v>
      </c>
      <c r="V108" s="125" t="str">
        <f t="shared" ref="V108" si="171">IFERROR(RIGHT(O108,LEN(O108)-FIND("],",O108)-1),"none")</f>
        <v>[effect:rush, count:1, val:0.2],[effect:rush, count:1, val:0.3]</v>
      </c>
      <c r="W108" s="128">
        <f t="shared" ref="W108" si="172">FIND("effect:",V108)+7</f>
        <v>9</v>
      </c>
      <c r="X108" s="128">
        <f t="shared" ref="X108" si="173">IFERROR(FIND(",",V108),LEN(V108))</f>
        <v>13</v>
      </c>
      <c r="Y108" s="128" t="e">
        <f t="shared" ref="Y108" si="174">FIND("target:",V108)+7</f>
        <v>#VALUE!</v>
      </c>
      <c r="Z108" s="128">
        <f t="shared" ref="Z108" si="175">FIND(",",V108,X108+1)</f>
        <v>22</v>
      </c>
      <c r="AA108" s="128" t="str">
        <f>IFERROR(VLOOKUP(MID(V108,Y108,Z108-Y108),[6]skilldef!$C:$D,2,FALSE),"-") &amp; " / " &amp; IFERROR(VLOOKUP(MID(V108,W108,X108-W108),[6]skilldef!$A:$B,2,FALSE),"-")</f>
        <v>- / 連続攻撃</v>
      </c>
      <c r="AB108" s="127"/>
      <c r="AC108" s="129"/>
      <c r="AD108" s="127"/>
      <c r="AE108" s="130" t="s">
        <v>347</v>
      </c>
      <c r="AF108" s="131"/>
    </row>
    <row r="109" spans="1:32" s="132" customFormat="1" ht="33" customHeight="1" x14ac:dyDescent="0.15">
      <c r="A109" s="163">
        <v>40046050</v>
      </c>
      <c r="B109" s="46" t="s">
        <v>544</v>
      </c>
      <c r="C109" s="223">
        <v>3</v>
      </c>
      <c r="D109" s="49" t="s">
        <v>126</v>
      </c>
      <c r="E109" s="100"/>
      <c r="F109" s="154" t="s">
        <v>461</v>
      </c>
      <c r="G109" s="150" t="s">
        <v>406</v>
      </c>
      <c r="H109" s="150" t="s">
        <v>467</v>
      </c>
      <c r="I109" s="128"/>
      <c r="J109" s="128"/>
      <c r="K109" s="128"/>
      <c r="L109" s="128"/>
      <c r="M109" s="128"/>
      <c r="N109" s="128"/>
      <c r="O109" s="128"/>
      <c r="P109" s="125"/>
      <c r="Q109" s="128"/>
      <c r="R109" s="128"/>
      <c r="S109" s="128"/>
      <c r="T109" s="128"/>
      <c r="U109" s="128"/>
      <c r="V109" s="125"/>
      <c r="W109" s="128"/>
      <c r="X109" s="128"/>
      <c r="Y109" s="128"/>
      <c r="Z109" s="128"/>
      <c r="AA109" s="128"/>
      <c r="AB109" s="127"/>
      <c r="AC109" s="129"/>
      <c r="AD109" s="127"/>
      <c r="AE109" s="159"/>
      <c r="AF109" s="131"/>
    </row>
    <row r="110" spans="1:32" s="132" customFormat="1" ht="160" customHeight="1" x14ac:dyDescent="0.15">
      <c r="A110" s="164">
        <v>40046060</v>
      </c>
      <c r="B110" s="47" t="str">
        <f t="shared" si="95"/>
        <v>[effect:enemy_message, val1:2.3, val2:2.9],[effect:fix_speed,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C110" s="223">
        <v>3</v>
      </c>
      <c r="D110" s="49" t="s">
        <v>126</v>
      </c>
      <c r="E110" s="100"/>
      <c r="F110" s="155" t="s">
        <v>492</v>
      </c>
      <c r="G110" s="150" t="s">
        <v>270</v>
      </c>
      <c r="H110" s="150" t="s">
        <v>443</v>
      </c>
      <c r="I110" s="128" t="str">
        <f t="shared" si="96"/>
        <v>[effect:enemy_message, val1:2.3, val2:2.9]</v>
      </c>
      <c r="J110" s="128">
        <f t="shared" si="97"/>
        <v>9</v>
      </c>
      <c r="K110" s="128">
        <f t="shared" si="98"/>
        <v>22</v>
      </c>
      <c r="L110" s="128" t="e">
        <f t="shared" si="99"/>
        <v>#VALUE!</v>
      </c>
      <c r="M110" s="128">
        <f t="shared" si="100"/>
        <v>32</v>
      </c>
      <c r="N110" s="128" t="str">
        <f>IFERROR(VLOOKUP(MID(I110,L110,M110-L110),[6]skilldef!$C:$D,2,FALSE),"-") &amp; " / " &amp; IFERROR(VLOOKUP(MID(I110,J110,K110-J110),[6]skilldef!$A:$B,2,FALSE),"-")</f>
        <v>- / -</v>
      </c>
      <c r="O110" s="128" t="str">
        <f t="shared" si="101"/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P110" s="125" t="str">
        <f>IFERROR(LEFT(O110,FIND("],",O110)+#REF!),O110)</f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Q110" s="128">
        <f t="shared" si="102"/>
        <v>9</v>
      </c>
      <c r="R110" s="128">
        <f t="shared" si="103"/>
        <v>18</v>
      </c>
      <c r="S110" s="128">
        <f t="shared" si="104"/>
        <v>27</v>
      </c>
      <c r="T110" s="128">
        <f t="shared" si="105"/>
        <v>33</v>
      </c>
      <c r="U110" s="128" t="str">
        <f>IFERROR(VLOOKUP(MID(P110,S110,T110-S110),[6]skilldef!$C:$D,2,FALSE),"-") &amp; " / " &amp; IFERROR(VLOOKUP(MID(P110,Q110,R110-Q110),[6]skilldef!$A:$B,2,FALSE),"-")</f>
        <v>自分自身に / 行動値設定</v>
      </c>
      <c r="V110" s="125" t="str">
        <f t="shared" si="106"/>
        <v>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W110" s="128">
        <f t="shared" si="107"/>
        <v>9</v>
      </c>
      <c r="X110" s="128">
        <f t="shared" si="108"/>
        <v>18</v>
      </c>
      <c r="Y110" s="128">
        <f t="shared" si="109"/>
        <v>27</v>
      </c>
      <c r="Z110" s="128">
        <f t="shared" si="110"/>
        <v>33</v>
      </c>
      <c r="AA110" s="128" t="str">
        <f>IFERROR(VLOOKUP(MID(V110,Y110,Z110-Y110),[6]skilldef!$C:$D,2,FALSE),"-") &amp; " / " &amp; IFERROR(VLOOKUP(MID(V110,W110,X110-W110),[6]skilldef!$A:$B,2,FALSE),"-")</f>
        <v>自分自身に / 状態異常耐性</v>
      </c>
      <c r="AB110" s="127"/>
      <c r="AC110" s="129"/>
      <c r="AD110" s="127"/>
      <c r="AE110" s="130" t="s">
        <v>370</v>
      </c>
      <c r="AF110" s="131">
        <f>LEN(AE110)</f>
        <v>798</v>
      </c>
    </row>
    <row r="111" spans="1:32" s="132" customFormat="1" ht="33" customHeight="1" x14ac:dyDescent="0.15">
      <c r="A111" s="164">
        <v>40046061</v>
      </c>
      <c r="B111" s="47" t="str">
        <f t="shared" si="95"/>
        <v>[effect:enemy_message, val1:1.2, val2:2.5],[effect:spread, val:0.3],[effect:degrade_unit, target:unit_all, turn:3, status:heal, val:0.25, calc:mul, animation:degrade_unit_all_heal]</v>
      </c>
      <c r="C111" s="223">
        <v>3</v>
      </c>
      <c r="D111" s="49" t="s">
        <v>126</v>
      </c>
      <c r="E111" s="100"/>
      <c r="F111" s="155" t="s">
        <v>490</v>
      </c>
      <c r="G111" s="150" t="s">
        <v>266</v>
      </c>
      <c r="H111" s="150" t="s">
        <v>325</v>
      </c>
      <c r="I111" s="128" t="str">
        <f t="shared" si="96"/>
        <v>[effect:enemy_message, val1:1.2, val2:2.5]</v>
      </c>
      <c r="J111" s="128">
        <f t="shared" si="97"/>
        <v>9</v>
      </c>
      <c r="K111" s="128">
        <f t="shared" si="98"/>
        <v>22</v>
      </c>
      <c r="L111" s="128" t="e">
        <f t="shared" si="99"/>
        <v>#VALUE!</v>
      </c>
      <c r="M111" s="128">
        <f t="shared" si="100"/>
        <v>32</v>
      </c>
      <c r="N111" s="128" t="str">
        <f>IFERROR(VLOOKUP(MID(I111,L111,M111-L111),[6]skilldef!$C:$D,2,FALSE),"-") &amp; " / " &amp; IFERROR(VLOOKUP(MID(I111,J111,K111-J111),[6]skilldef!$A:$B,2,FALSE),"-")</f>
        <v>- / -</v>
      </c>
      <c r="O111" s="128" t="str">
        <f t="shared" si="101"/>
        <v>[effect:spread, val:0.3],[effect:degrade_unit, target:unit_all, turn:3, status:heal, val:0.25, calc:mul, animation:degrade_unit_all_heal]</v>
      </c>
      <c r="P111" s="125" t="str">
        <f>IFERROR(LEFT(O111,FIND("],",O111)+#REF!),O111)</f>
        <v>[effect:spread, val:0.3],[effect:degrade_unit, target:unit_all, turn:3, status:heal, val:0.25, calc:mul, animation:degrade_unit_all_heal]</v>
      </c>
      <c r="Q111" s="128">
        <f t="shared" si="102"/>
        <v>9</v>
      </c>
      <c r="R111" s="128">
        <f t="shared" si="103"/>
        <v>15</v>
      </c>
      <c r="S111" s="128">
        <f t="shared" si="104"/>
        <v>55</v>
      </c>
      <c r="T111" s="128">
        <f t="shared" si="105"/>
        <v>25</v>
      </c>
      <c r="U111" s="128" t="str">
        <f>IFERROR(VLOOKUP(MID(P111,S111,T111-S111),[6]skilldef!$C:$D,2,FALSE),"-") &amp; " / " &amp; IFERROR(VLOOKUP(MID(P111,Q111,R111-Q111),[6]skilldef!$A:$B,2,FALSE),"-")</f>
        <v>- / 全体攻撃</v>
      </c>
      <c r="V111" s="125" t="str">
        <f t="shared" si="106"/>
        <v>[effect:degrade_unit, target:unit_all, turn:3, status:heal, val:0.25, calc:mul, animation:degrade_unit_all_heal]</v>
      </c>
      <c r="W111" s="128">
        <f t="shared" si="107"/>
        <v>9</v>
      </c>
      <c r="X111" s="128">
        <f t="shared" si="108"/>
        <v>21</v>
      </c>
      <c r="Y111" s="128">
        <f t="shared" si="109"/>
        <v>30</v>
      </c>
      <c r="Z111" s="128">
        <f t="shared" si="110"/>
        <v>38</v>
      </c>
      <c r="AA111" s="128" t="str">
        <f>IFERROR(VLOOKUP(MID(V111,Y111,Z111-Y111),[6]skilldef!$C:$D,2,FALSE),"-") &amp; " / " &amp; IFERROR(VLOOKUP(MID(V111,W111,X111-W111),[6]skilldef!$A:$B,2,FALSE),"-")</f>
        <v>味方全体に / ステータスDOWN</v>
      </c>
      <c r="AB111" s="127"/>
      <c r="AC111" s="129"/>
      <c r="AD111" s="127"/>
      <c r="AE111" s="130" t="s">
        <v>328</v>
      </c>
      <c r="AF111" s="131"/>
    </row>
    <row r="112" spans="1:32" s="132" customFormat="1" ht="33" customHeight="1" x14ac:dyDescent="0.15">
      <c r="A112" s="164">
        <v>40046062</v>
      </c>
      <c r="B112" s="47" t="str">
        <f t="shared" si="95"/>
        <v>[effect:enemy_message, val1:1.5, val2:4.4],[effect:force_change_block, new_block:crash, target:normal, count:6, val:6, animation:change_block]</v>
      </c>
      <c r="C112" s="223">
        <v>3</v>
      </c>
      <c r="D112" s="49" t="s">
        <v>126</v>
      </c>
      <c r="E112" s="100"/>
      <c r="F112" s="155" t="s">
        <v>482</v>
      </c>
      <c r="G112" s="150" t="s">
        <v>271</v>
      </c>
      <c r="H112" s="150" t="s">
        <v>444</v>
      </c>
      <c r="I112" s="128" t="str">
        <f t="shared" si="96"/>
        <v>[effect:enemy_message, val1:1.5, val2:4.4]</v>
      </c>
      <c r="J112" s="128">
        <f t="shared" si="97"/>
        <v>9</v>
      </c>
      <c r="K112" s="128">
        <f t="shared" si="98"/>
        <v>22</v>
      </c>
      <c r="L112" s="128" t="e">
        <f t="shared" si="99"/>
        <v>#VALUE!</v>
      </c>
      <c r="M112" s="128">
        <f t="shared" si="100"/>
        <v>32</v>
      </c>
      <c r="N112" s="128" t="str">
        <f>IFERROR(VLOOKUP(MID(I112,L112,M112-L112),[6]skilldef!$C:$D,2,FALSE),"-") &amp; " / " &amp; IFERROR(VLOOKUP(MID(I112,J112,K112-J112),[6]skilldef!$A:$B,2,FALSE),"-")</f>
        <v>- / -</v>
      </c>
      <c r="O112" s="128" t="str">
        <f t="shared" si="101"/>
        <v>[effect:force_change_block, new_block:crash, target:normal, count:6, val:6, animation:change_block]</v>
      </c>
      <c r="P112" s="125" t="str">
        <f>IFERROR(LEFT(O112,FIND("],",O112)+#REF!),O112)</f>
        <v>[effect:force_change_block, new_block:crash, target:normal, count:6, val:6, animation:change_block]</v>
      </c>
      <c r="Q112" s="128">
        <f t="shared" si="102"/>
        <v>9</v>
      </c>
      <c r="R112" s="128">
        <f t="shared" si="103"/>
        <v>27</v>
      </c>
      <c r="S112" s="128">
        <f t="shared" si="104"/>
        <v>53</v>
      </c>
      <c r="T112" s="128">
        <f t="shared" si="105"/>
        <v>44</v>
      </c>
      <c r="U112" s="128" t="str">
        <f>IFERROR(VLOOKUP(MID(P112,S112,T112-S112),[6]skilldef!$C:$D,2,FALSE),"-") &amp; " / " &amp; IFERROR(VLOOKUP(MID(P112,Q112,R112-Q112),[6]skilldef!$A:$B,2,FALSE),"-")</f>
        <v>- / -</v>
      </c>
      <c r="V112" s="125" t="str">
        <f t="shared" si="106"/>
        <v>none</v>
      </c>
      <c r="W112" s="128" t="e">
        <f t="shared" si="107"/>
        <v>#VALUE!</v>
      </c>
      <c r="X112" s="128">
        <f t="shared" si="108"/>
        <v>4</v>
      </c>
      <c r="Y112" s="128" t="e">
        <f t="shared" si="109"/>
        <v>#VALUE!</v>
      </c>
      <c r="Z112" s="128" t="e">
        <f t="shared" si="110"/>
        <v>#VALUE!</v>
      </c>
      <c r="AA112" s="128" t="str">
        <f>IFERROR(VLOOKUP(MID(V112,Y112,Z112-Y112),[6]skilldef!$C:$D,2,FALSE),"-") &amp; " / " &amp; IFERROR(VLOOKUP(MID(V112,W112,X112-W112),[6]skilldef!$A:$B,2,FALSE),"-")</f>
        <v>- / -</v>
      </c>
      <c r="AB112" s="127"/>
      <c r="AC112" s="129"/>
      <c r="AD112" s="127"/>
      <c r="AE112" s="130" t="s">
        <v>398</v>
      </c>
      <c r="AF112" s="131"/>
    </row>
    <row r="113" spans="1:32" s="132" customFormat="1" ht="33" customHeight="1" x14ac:dyDescent="0.15">
      <c r="A113" s="164">
        <v>40046063</v>
      </c>
      <c r="B113" s="47" t="str">
        <f t="shared" si="95"/>
        <v>[effect:enemy_message, val1:1.3, val2:2.0],[effect:break_attack_fix, target:unit_one, val:2858, lowest_val:2143, count:6, block01:crash]</v>
      </c>
      <c r="C113" s="223">
        <v>3</v>
      </c>
      <c r="D113" s="49" t="s">
        <v>126</v>
      </c>
      <c r="E113" s="100"/>
      <c r="F113" s="155" t="s">
        <v>486</v>
      </c>
      <c r="G113" s="150" t="s">
        <v>268</v>
      </c>
      <c r="H113" s="150" t="s">
        <v>434</v>
      </c>
      <c r="I113" s="128" t="str">
        <f t="shared" si="96"/>
        <v>[effect:enemy_message, val1:1.3, val2:2.0]</v>
      </c>
      <c r="J113" s="128">
        <f t="shared" si="97"/>
        <v>9</v>
      </c>
      <c r="K113" s="128">
        <f t="shared" si="98"/>
        <v>22</v>
      </c>
      <c r="L113" s="128" t="e">
        <f t="shared" si="99"/>
        <v>#VALUE!</v>
      </c>
      <c r="M113" s="128">
        <f t="shared" si="100"/>
        <v>32</v>
      </c>
      <c r="N113" s="128" t="str">
        <f>IFERROR(VLOOKUP(MID(I113,L113,M113-L113),[6]skilldef!$C:$D,2,FALSE),"-") &amp; " / " &amp; IFERROR(VLOOKUP(MID(I113,J113,K113-J113),[6]skilldef!$A:$B,2,FALSE),"-")</f>
        <v>- / -</v>
      </c>
      <c r="O113" s="128" t="str">
        <f t="shared" si="101"/>
        <v>[effect:break_attack_fix, target:unit_one, val:2858, lowest_val:2143, count:6, block01:crash]</v>
      </c>
      <c r="P113" s="125" t="str">
        <f>IFERROR(LEFT(O113,FIND("],",O113)+#REF!),O113)</f>
        <v>[effect:break_attack_fix, target:unit_one, val:2858, lowest_val:2143, count:6, block01:crash]</v>
      </c>
      <c r="Q113" s="128">
        <f t="shared" si="102"/>
        <v>9</v>
      </c>
      <c r="R113" s="128">
        <f t="shared" si="103"/>
        <v>25</v>
      </c>
      <c r="S113" s="128">
        <f t="shared" si="104"/>
        <v>34</v>
      </c>
      <c r="T113" s="128">
        <f t="shared" si="105"/>
        <v>42</v>
      </c>
      <c r="U113" s="128" t="str">
        <f>IFERROR(VLOOKUP(MID(P113,S113,T113-S113),[6]skilldef!$C:$D,2,FALSE),"-") &amp; " / " &amp; IFERROR(VLOOKUP(MID(P113,Q113,R113-Q113),[6]skilldef!$A:$B,2,FALSE),"-")</f>
        <v>味方単体に / -</v>
      </c>
      <c r="V113" s="125" t="str">
        <f t="shared" si="106"/>
        <v>none</v>
      </c>
      <c r="W113" s="128" t="e">
        <f t="shared" si="107"/>
        <v>#VALUE!</v>
      </c>
      <c r="X113" s="128">
        <f t="shared" si="108"/>
        <v>4</v>
      </c>
      <c r="Y113" s="128" t="e">
        <f t="shared" si="109"/>
        <v>#VALUE!</v>
      </c>
      <c r="Z113" s="128" t="e">
        <f t="shared" si="110"/>
        <v>#VALUE!</v>
      </c>
      <c r="AA113" s="128" t="str">
        <f>IFERROR(VLOOKUP(MID(V113,Y113,Z113-Y113),[6]skilldef!$C:$D,2,FALSE),"-") &amp; " / " &amp; IFERROR(VLOOKUP(MID(V113,W113,X113-W113),[6]skilldef!$A:$B,2,FALSE),"-")</f>
        <v>- / -</v>
      </c>
      <c r="AB113" s="127"/>
      <c r="AC113" s="129"/>
      <c r="AD113" s="127"/>
      <c r="AE113" s="130" t="s">
        <v>560</v>
      </c>
      <c r="AF113" s="131"/>
    </row>
    <row r="114" spans="1:32" s="132" customFormat="1" ht="33" customHeight="1" x14ac:dyDescent="0.15">
      <c r="A114" s="164">
        <v>40046064</v>
      </c>
      <c r="B114" s="47" t="str">
        <f t="shared" si="95"/>
        <v>[effect:enemy_message, val1:1.2, val2:2.5],[effect:spread, val:0.25],[effect:force_change_block, new_block:crack_bomb, target:block_heart, count:5, val:12, animation:change_block]</v>
      </c>
      <c r="C114" s="223">
        <v>3</v>
      </c>
      <c r="D114" s="49" t="s">
        <v>126</v>
      </c>
      <c r="E114" s="100"/>
      <c r="F114" s="155" t="s">
        <v>484</v>
      </c>
      <c r="G114" s="150" t="s">
        <v>272</v>
      </c>
      <c r="H114" s="150" t="s">
        <v>400</v>
      </c>
      <c r="I114" s="128" t="str">
        <f t="shared" si="96"/>
        <v>[effect:enemy_message, val1:1.2, val2:2.5]</v>
      </c>
      <c r="J114" s="128">
        <f t="shared" si="97"/>
        <v>9</v>
      </c>
      <c r="K114" s="128">
        <f t="shared" si="98"/>
        <v>22</v>
      </c>
      <c r="L114" s="128" t="e">
        <f t="shared" si="99"/>
        <v>#VALUE!</v>
      </c>
      <c r="M114" s="128">
        <f t="shared" si="100"/>
        <v>32</v>
      </c>
      <c r="N114" s="128" t="str">
        <f>IFERROR(VLOOKUP(MID(I114,L114,M114-L114),[6]skilldef!$C:$D,2,FALSE),"-") &amp; " / " &amp; IFERROR(VLOOKUP(MID(I114,J114,K114-J114),[6]skilldef!$A:$B,2,FALSE),"-")</f>
        <v>- / -</v>
      </c>
      <c r="O114" s="128" t="str">
        <f t="shared" si="101"/>
        <v>[effect:spread, val:0.25],[effect:force_change_block, new_block:crack_bomb, target:block_heart, count:5, val:12, animation:change_block]</v>
      </c>
      <c r="P114" s="125" t="str">
        <f>IFERROR(LEFT(O114,FIND("],",O114)+#REF!),O114)</f>
        <v>[effect:spread, val:0.25],[effect:force_change_block, new_block:crack_bomb, target:block_heart, count:5, val:12, animation:change_block]</v>
      </c>
      <c r="Q114" s="128">
        <f t="shared" si="102"/>
        <v>9</v>
      </c>
      <c r="R114" s="128">
        <f t="shared" si="103"/>
        <v>15</v>
      </c>
      <c r="S114" s="128">
        <f t="shared" si="104"/>
        <v>84</v>
      </c>
      <c r="T114" s="128">
        <f t="shared" si="105"/>
        <v>26</v>
      </c>
      <c r="U114" s="128" t="str">
        <f>IFERROR(VLOOKUP(MID(P114,S114,T114-S114),[6]skilldef!$C:$D,2,FALSE),"-") &amp; " / " &amp; IFERROR(VLOOKUP(MID(P114,Q114,R114-Q114),[6]skilldef!$A:$B,2,FALSE),"-")</f>
        <v>- / 全体攻撃</v>
      </c>
      <c r="V114" s="125" t="str">
        <f t="shared" si="106"/>
        <v>[effect:force_change_block, new_block:crack_bomb, target:block_heart, count:5, val:12, animation:change_block]</v>
      </c>
      <c r="W114" s="128">
        <f t="shared" si="107"/>
        <v>9</v>
      </c>
      <c r="X114" s="128">
        <f t="shared" si="108"/>
        <v>27</v>
      </c>
      <c r="Y114" s="128">
        <f t="shared" si="109"/>
        <v>58</v>
      </c>
      <c r="Z114" s="128">
        <f t="shared" si="110"/>
        <v>49</v>
      </c>
      <c r="AA114" s="128" t="str">
        <f>IFERROR(VLOOKUP(MID(V114,Y114,Z114-Y114),[6]skilldef!$C:$D,2,FALSE),"-") &amp; " / " &amp; IFERROR(VLOOKUP(MID(V114,W114,X114-W114),[6]skilldef!$A:$B,2,FALSE),"-")</f>
        <v>- / -</v>
      </c>
      <c r="AB114" s="127"/>
      <c r="AC114" s="129"/>
      <c r="AD114" s="127"/>
      <c r="AE114" s="130" t="s">
        <v>401</v>
      </c>
      <c r="AF114" s="131"/>
    </row>
    <row r="115" spans="1:32" s="132" customFormat="1" ht="33" customHeight="1" x14ac:dyDescent="0.15">
      <c r="A115" s="164">
        <v>40046065</v>
      </c>
      <c r="B115" s="47" t="str">
        <f t="shared" si="95"/>
        <v>[effect:enemy_message, val1:1.5, val2:4.4],[effect:force_change_block, new_block:crash, target:normal, count:6, val:6, animation:change_block]</v>
      </c>
      <c r="C115" s="223">
        <v>3</v>
      </c>
      <c r="D115" s="49" t="s">
        <v>126</v>
      </c>
      <c r="E115" s="100"/>
      <c r="F115" s="155" t="s">
        <v>482</v>
      </c>
      <c r="G115" s="150" t="s">
        <v>288</v>
      </c>
      <c r="H115" s="150" t="s">
        <v>444</v>
      </c>
      <c r="I115" s="128" t="str">
        <f t="shared" ref="I115:I116" si="176">IFERROR(LEFT(B115,FIND("],",B115)),B115)</f>
        <v>[effect:enemy_message, val1:1.5, val2:4.4]</v>
      </c>
      <c r="J115" s="128">
        <f t="shared" ref="J115:J116" si="177">FIND("effect:",I115)+7</f>
        <v>9</v>
      </c>
      <c r="K115" s="128">
        <f t="shared" ref="K115:K116" si="178">IFERROR(FIND(",",I115),LEN(I115))</f>
        <v>22</v>
      </c>
      <c r="L115" s="128" t="e">
        <f t="shared" ref="L115:L116" si="179">FIND("target:",I115)+7</f>
        <v>#VALUE!</v>
      </c>
      <c r="M115" s="128">
        <f t="shared" ref="M115:M116" si="180">FIND(",",I115,K115+1)</f>
        <v>32</v>
      </c>
      <c r="N115" s="128" t="str">
        <f>IFERROR(VLOOKUP(MID(I115,L115,M115-L115),[6]skilldef!$C:$D,2,FALSE),"-") &amp; " / " &amp; IFERROR(VLOOKUP(MID(I115,J115,K115-J115),[6]skilldef!$A:$B,2,FALSE),"-")</f>
        <v>- / -</v>
      </c>
      <c r="O115" s="128" t="str">
        <f t="shared" ref="O115:O116" si="181">IFERROR(RIGHT(B115,LEN(B115)-FIND("],",B115)-1),"none")</f>
        <v>[effect:force_change_block, new_block:crash, target:normal, count:6, val:6, animation:change_block]</v>
      </c>
      <c r="P115" s="125" t="str">
        <f>IFERROR(LEFT(O115,FIND("],",O115)+#REF!),O115)</f>
        <v>[effect:force_change_block, new_block:crash, target:normal, count:6, val:6, animation:change_block]</v>
      </c>
      <c r="Q115" s="128">
        <f t="shared" ref="Q115:Q116" si="182">FIND("effect:",P115)+7</f>
        <v>9</v>
      </c>
      <c r="R115" s="128">
        <f t="shared" ref="R115:R116" si="183">IFERROR(FIND(",",P115),LEN(P115))</f>
        <v>27</v>
      </c>
      <c r="S115" s="128">
        <f t="shared" ref="S115:S116" si="184">FIND("target:",P115)+7</f>
        <v>53</v>
      </c>
      <c r="T115" s="128">
        <f t="shared" ref="T115:T116" si="185">FIND(",",P115,R115+1)</f>
        <v>44</v>
      </c>
      <c r="U115" s="128" t="str">
        <f>IFERROR(VLOOKUP(MID(P115,S115,T115-S115),[6]skilldef!$C:$D,2,FALSE),"-") &amp; " / " &amp; IFERROR(VLOOKUP(MID(P115,Q115,R115-Q115),[6]skilldef!$A:$B,2,FALSE),"-")</f>
        <v>- / -</v>
      </c>
      <c r="V115" s="125" t="str">
        <f t="shared" ref="V115:V116" si="186">IFERROR(RIGHT(O115,LEN(O115)-FIND("],",O115)-1),"none")</f>
        <v>none</v>
      </c>
      <c r="W115" s="128" t="e">
        <f t="shared" ref="W115:W116" si="187">FIND("effect:",V115)+7</f>
        <v>#VALUE!</v>
      </c>
      <c r="X115" s="128">
        <f t="shared" ref="X115:X116" si="188">IFERROR(FIND(",",V115),LEN(V115))</f>
        <v>4</v>
      </c>
      <c r="Y115" s="128" t="e">
        <f t="shared" ref="Y115:Y116" si="189">FIND("target:",V115)+7</f>
        <v>#VALUE!</v>
      </c>
      <c r="Z115" s="128" t="e">
        <f t="shared" ref="Z115:Z116" si="190">FIND(",",V115,X115+1)</f>
        <v>#VALUE!</v>
      </c>
      <c r="AA115" s="128" t="str">
        <f>IFERROR(VLOOKUP(MID(V115,Y115,Z115-Y115),[6]skilldef!$C:$D,2,FALSE),"-") &amp; " / " &amp; IFERROR(VLOOKUP(MID(V115,W115,X115-W115),[6]skilldef!$A:$B,2,FALSE),"-")</f>
        <v>- / -</v>
      </c>
      <c r="AB115" s="127"/>
      <c r="AC115" s="129"/>
      <c r="AD115" s="127"/>
      <c r="AE115" s="130" t="s">
        <v>398</v>
      </c>
      <c r="AF115" s="131"/>
    </row>
    <row r="116" spans="1:32" s="132" customFormat="1" ht="33" customHeight="1" x14ac:dyDescent="0.15">
      <c r="A116" s="164">
        <v>40046066</v>
      </c>
      <c r="B116" s="47" t="str">
        <f t="shared" si="95"/>
        <v>[effect:enemy_message, val1:1.3, val2:2.0],[effect:break_attack_fix, target:unit_one, val:2858, lowest_val:2143, count:6, block01:crash]</v>
      </c>
      <c r="C116" s="223">
        <v>3</v>
      </c>
      <c r="D116" s="49" t="s">
        <v>126</v>
      </c>
      <c r="E116" s="100"/>
      <c r="F116" s="155" t="s">
        <v>486</v>
      </c>
      <c r="G116" s="150" t="s">
        <v>289</v>
      </c>
      <c r="H116" s="150" t="s">
        <v>434</v>
      </c>
      <c r="I116" s="128" t="str">
        <f t="shared" si="176"/>
        <v>[effect:enemy_message, val1:1.3, val2:2.0]</v>
      </c>
      <c r="J116" s="128">
        <f t="shared" si="177"/>
        <v>9</v>
      </c>
      <c r="K116" s="128">
        <f t="shared" si="178"/>
        <v>22</v>
      </c>
      <c r="L116" s="128" t="e">
        <f t="shared" si="179"/>
        <v>#VALUE!</v>
      </c>
      <c r="M116" s="128">
        <f t="shared" si="180"/>
        <v>32</v>
      </c>
      <c r="N116" s="128" t="str">
        <f>IFERROR(VLOOKUP(MID(I116,L116,M116-L116),[6]skilldef!$C:$D,2,FALSE),"-") &amp; " / " &amp; IFERROR(VLOOKUP(MID(I116,J116,K116-J116),[6]skilldef!$A:$B,2,FALSE),"-")</f>
        <v>- / -</v>
      </c>
      <c r="O116" s="128" t="str">
        <f t="shared" si="181"/>
        <v>[effect:break_attack_fix, target:unit_one, val:2858, lowest_val:2143, count:6, block01:crash]</v>
      </c>
      <c r="P116" s="125" t="str">
        <f>IFERROR(LEFT(O116,FIND("],",O116)+#REF!),O116)</f>
        <v>[effect:break_attack_fix, target:unit_one, val:2858, lowest_val:2143, count:6, block01:crash]</v>
      </c>
      <c r="Q116" s="128">
        <f t="shared" si="182"/>
        <v>9</v>
      </c>
      <c r="R116" s="128">
        <f t="shared" si="183"/>
        <v>25</v>
      </c>
      <c r="S116" s="128">
        <f t="shared" si="184"/>
        <v>34</v>
      </c>
      <c r="T116" s="128">
        <f t="shared" si="185"/>
        <v>42</v>
      </c>
      <c r="U116" s="128" t="str">
        <f>IFERROR(VLOOKUP(MID(P116,S116,T116-S116),[6]skilldef!$C:$D,2,FALSE),"-") &amp; " / " &amp; IFERROR(VLOOKUP(MID(P116,Q116,R116-Q116),[6]skilldef!$A:$B,2,FALSE),"-")</f>
        <v>味方単体に / -</v>
      </c>
      <c r="V116" s="125" t="str">
        <f t="shared" si="186"/>
        <v>none</v>
      </c>
      <c r="W116" s="128" t="e">
        <f t="shared" si="187"/>
        <v>#VALUE!</v>
      </c>
      <c r="X116" s="128">
        <f t="shared" si="188"/>
        <v>4</v>
      </c>
      <c r="Y116" s="128" t="e">
        <f t="shared" si="189"/>
        <v>#VALUE!</v>
      </c>
      <c r="Z116" s="128" t="e">
        <f t="shared" si="190"/>
        <v>#VALUE!</v>
      </c>
      <c r="AA116" s="128" t="str">
        <f>IFERROR(VLOOKUP(MID(V116,Y116,Z116-Y116),[6]skilldef!$C:$D,2,FALSE),"-") &amp; " / " &amp; IFERROR(VLOOKUP(MID(V116,W116,X116-W116),[6]skilldef!$A:$B,2,FALSE),"-")</f>
        <v>- / -</v>
      </c>
      <c r="AB116" s="127"/>
      <c r="AC116" s="129"/>
      <c r="AD116" s="127"/>
      <c r="AE116" s="130" t="s">
        <v>560</v>
      </c>
      <c r="AF116" s="131"/>
    </row>
    <row r="117" spans="1:32" s="132" customFormat="1" ht="33" customHeight="1" x14ac:dyDescent="0.15">
      <c r="A117" s="164">
        <v>40046067</v>
      </c>
      <c r="B117" s="47" t="str">
        <f t="shared" si="95"/>
        <v>[effect:enemy_message, val1:1.2, val2:2.5],[effect:spread, val:0.25],[effect:force_change_block, new_block:crack_bomb, target:block_heart, count:5, val:12, animation:change_block]</v>
      </c>
      <c r="C117" s="223">
        <v>3</v>
      </c>
      <c r="D117" s="49" t="s">
        <v>126</v>
      </c>
      <c r="E117" s="100"/>
      <c r="F117" s="155" t="s">
        <v>484</v>
      </c>
      <c r="G117" s="150" t="s">
        <v>290</v>
      </c>
      <c r="H117" s="150" t="s">
        <v>400</v>
      </c>
      <c r="I117" s="128" t="str">
        <f t="shared" ref="I117" si="191">IFERROR(LEFT(B117,FIND("],",B117)),B117)</f>
        <v>[effect:enemy_message, val1:1.2, val2:2.5]</v>
      </c>
      <c r="J117" s="128">
        <f t="shared" ref="J117" si="192">FIND("effect:",I117)+7</f>
        <v>9</v>
      </c>
      <c r="K117" s="128">
        <f t="shared" ref="K117" si="193">IFERROR(FIND(",",I117),LEN(I117))</f>
        <v>22</v>
      </c>
      <c r="L117" s="128" t="e">
        <f t="shared" ref="L117" si="194">FIND("target:",I117)+7</f>
        <v>#VALUE!</v>
      </c>
      <c r="M117" s="128">
        <f t="shared" ref="M117" si="195">FIND(",",I117,K117+1)</f>
        <v>32</v>
      </c>
      <c r="N117" s="128" t="str">
        <f>IFERROR(VLOOKUP(MID(I117,L117,M117-L117),[6]skilldef!$C:$D,2,FALSE),"-") &amp; " / " &amp; IFERROR(VLOOKUP(MID(I117,J117,K117-J117),[6]skilldef!$A:$B,2,FALSE),"-")</f>
        <v>- / -</v>
      </c>
      <c r="O117" s="128" t="str">
        <f t="shared" ref="O117" si="196">IFERROR(RIGHT(B117,LEN(B117)-FIND("],",B117)-1),"none")</f>
        <v>[effect:spread, val:0.25],[effect:force_change_block, new_block:crack_bomb, target:block_heart, count:5, val:12, animation:change_block]</v>
      </c>
      <c r="P117" s="125" t="str">
        <f>IFERROR(LEFT(O117,FIND("],",O117)+#REF!),O117)</f>
        <v>[effect:spread, val:0.25],[effect:force_change_block, new_block:crack_bomb, target:block_heart, count:5, val:12, animation:change_block]</v>
      </c>
      <c r="Q117" s="128">
        <f t="shared" ref="Q117" si="197">FIND("effect:",P117)+7</f>
        <v>9</v>
      </c>
      <c r="R117" s="128">
        <f t="shared" ref="R117" si="198">IFERROR(FIND(",",P117),LEN(P117))</f>
        <v>15</v>
      </c>
      <c r="S117" s="128">
        <f t="shared" ref="S117" si="199">FIND("target:",P117)+7</f>
        <v>84</v>
      </c>
      <c r="T117" s="128">
        <f t="shared" ref="T117" si="200">FIND(",",P117,R117+1)</f>
        <v>26</v>
      </c>
      <c r="U117" s="128" t="str">
        <f>IFERROR(VLOOKUP(MID(P117,S117,T117-S117),[6]skilldef!$C:$D,2,FALSE),"-") &amp; " / " &amp; IFERROR(VLOOKUP(MID(P117,Q117,R117-Q117),[6]skilldef!$A:$B,2,FALSE),"-")</f>
        <v>- / 全体攻撃</v>
      </c>
      <c r="V117" s="125" t="str">
        <f t="shared" ref="V117" si="201">IFERROR(RIGHT(O117,LEN(O117)-FIND("],",O117)-1),"none")</f>
        <v>[effect:force_change_block, new_block:crack_bomb, target:block_heart, count:5, val:12, animation:change_block]</v>
      </c>
      <c r="W117" s="128">
        <f t="shared" ref="W117" si="202">FIND("effect:",V117)+7</f>
        <v>9</v>
      </c>
      <c r="X117" s="128">
        <f t="shared" ref="X117" si="203">IFERROR(FIND(",",V117),LEN(V117))</f>
        <v>27</v>
      </c>
      <c r="Y117" s="128">
        <f t="shared" ref="Y117" si="204">FIND("target:",V117)+7</f>
        <v>58</v>
      </c>
      <c r="Z117" s="128">
        <f t="shared" ref="Z117" si="205">FIND(",",V117,X117+1)</f>
        <v>49</v>
      </c>
      <c r="AA117" s="128" t="str">
        <f>IFERROR(VLOOKUP(MID(V117,Y117,Z117-Y117),[6]skilldef!$C:$D,2,FALSE),"-") &amp; " / " &amp; IFERROR(VLOOKUP(MID(V117,W117,X117-W117),[6]skilldef!$A:$B,2,FALSE),"-")</f>
        <v>- / -</v>
      </c>
      <c r="AB117" s="127"/>
      <c r="AC117" s="129"/>
      <c r="AD117" s="127"/>
      <c r="AE117" s="130" t="s">
        <v>401</v>
      </c>
      <c r="AF117" s="131"/>
    </row>
    <row r="118" spans="1:32" s="132" customFormat="1" ht="33" customHeight="1" x14ac:dyDescent="0.15">
      <c r="A118" s="164">
        <v>40046068</v>
      </c>
      <c r="B118" s="47" t="str">
        <f t="shared" si="95"/>
        <v>[effect:enemy_message, val1:1.5, val2:4.4],[effect:force_change_block, new_block:crash, target:normal, count:6, val:6, animation:change_block]</v>
      </c>
      <c r="C118" s="223">
        <v>3</v>
      </c>
      <c r="D118" s="49" t="s">
        <v>126</v>
      </c>
      <c r="E118" s="100"/>
      <c r="F118" s="155" t="s">
        <v>482</v>
      </c>
      <c r="G118" s="150" t="s">
        <v>291</v>
      </c>
      <c r="H118" s="150" t="s">
        <v>444</v>
      </c>
      <c r="I118" s="128" t="str">
        <f t="shared" ref="I118" si="206">IFERROR(LEFT(B118,FIND("],",B118)),B118)</f>
        <v>[effect:enemy_message, val1:1.5, val2:4.4]</v>
      </c>
      <c r="J118" s="128">
        <f t="shared" ref="J118" si="207">FIND("effect:",I118)+7</f>
        <v>9</v>
      </c>
      <c r="K118" s="128">
        <f t="shared" ref="K118" si="208">IFERROR(FIND(",",I118),LEN(I118))</f>
        <v>22</v>
      </c>
      <c r="L118" s="128" t="e">
        <f t="shared" ref="L118" si="209">FIND("target:",I118)+7</f>
        <v>#VALUE!</v>
      </c>
      <c r="M118" s="128">
        <f t="shared" ref="M118" si="210">FIND(",",I118,K118+1)</f>
        <v>32</v>
      </c>
      <c r="N118" s="128" t="str">
        <f>IFERROR(VLOOKUP(MID(I118,L118,M118-L118),[6]skilldef!$C:$D,2,FALSE),"-") &amp; " / " &amp; IFERROR(VLOOKUP(MID(I118,J118,K118-J118),[6]skilldef!$A:$B,2,FALSE),"-")</f>
        <v>- / -</v>
      </c>
      <c r="O118" s="128" t="str">
        <f t="shared" ref="O118" si="211">IFERROR(RIGHT(B118,LEN(B118)-FIND("],",B118)-1),"none")</f>
        <v>[effect:force_change_block, new_block:crash, target:normal, count:6, val:6, animation:change_block]</v>
      </c>
      <c r="P118" s="125" t="str">
        <f>IFERROR(LEFT(O118,FIND("],",O118)+#REF!),O118)</f>
        <v>[effect:force_change_block, new_block:crash, target:normal, count:6, val:6, animation:change_block]</v>
      </c>
      <c r="Q118" s="128">
        <f t="shared" ref="Q118" si="212">FIND("effect:",P118)+7</f>
        <v>9</v>
      </c>
      <c r="R118" s="128">
        <f t="shared" ref="R118" si="213">IFERROR(FIND(",",P118),LEN(P118))</f>
        <v>27</v>
      </c>
      <c r="S118" s="128">
        <f t="shared" ref="S118" si="214">FIND("target:",P118)+7</f>
        <v>53</v>
      </c>
      <c r="T118" s="128">
        <f t="shared" ref="T118" si="215">FIND(",",P118,R118+1)</f>
        <v>44</v>
      </c>
      <c r="U118" s="128" t="str">
        <f>IFERROR(VLOOKUP(MID(P118,S118,T118-S118),[6]skilldef!$C:$D,2,FALSE),"-") &amp; " / " &amp; IFERROR(VLOOKUP(MID(P118,Q118,R118-Q118),[6]skilldef!$A:$B,2,FALSE),"-")</f>
        <v>- / -</v>
      </c>
      <c r="V118" s="125" t="str">
        <f t="shared" ref="V118" si="216">IFERROR(RIGHT(O118,LEN(O118)-FIND("],",O118)-1),"none")</f>
        <v>none</v>
      </c>
      <c r="W118" s="128" t="e">
        <f t="shared" ref="W118" si="217">FIND("effect:",V118)+7</f>
        <v>#VALUE!</v>
      </c>
      <c r="X118" s="128">
        <f t="shared" ref="X118" si="218">IFERROR(FIND(",",V118),LEN(V118))</f>
        <v>4</v>
      </c>
      <c r="Y118" s="128" t="e">
        <f t="shared" ref="Y118" si="219">FIND("target:",V118)+7</f>
        <v>#VALUE!</v>
      </c>
      <c r="Z118" s="128" t="e">
        <f t="shared" ref="Z118" si="220">FIND(",",V118,X118+1)</f>
        <v>#VALUE!</v>
      </c>
      <c r="AA118" s="128" t="str">
        <f>IFERROR(VLOOKUP(MID(V118,Y118,Z118-Y118),[6]skilldef!$C:$D,2,FALSE),"-") &amp; " / " &amp; IFERROR(VLOOKUP(MID(V118,W118,X118-W118),[6]skilldef!$A:$B,2,FALSE),"-")</f>
        <v>- / -</v>
      </c>
      <c r="AB118" s="127"/>
      <c r="AC118" s="129"/>
      <c r="AD118" s="127"/>
      <c r="AE118" s="130" t="s">
        <v>398</v>
      </c>
      <c r="AF118" s="131"/>
    </row>
    <row r="119" spans="1:32" s="132" customFormat="1" ht="33" customHeight="1" x14ac:dyDescent="0.15">
      <c r="A119" s="164">
        <v>40046069</v>
      </c>
      <c r="B119" s="47" t="str">
        <f t="shared" si="95"/>
        <v>[effect:enemy_message, val1:1.3, val2:2.0],[effect:break_attack_fix, target:unit_one, val:2858, lowest_val:2143, count:6, block01:crash]</v>
      </c>
      <c r="C119" s="223">
        <v>3</v>
      </c>
      <c r="D119" s="49" t="s">
        <v>126</v>
      </c>
      <c r="E119" s="100"/>
      <c r="F119" s="155" t="s">
        <v>486</v>
      </c>
      <c r="G119" s="150" t="s">
        <v>292</v>
      </c>
      <c r="H119" s="150" t="s">
        <v>434</v>
      </c>
      <c r="I119" s="128" t="str">
        <f t="shared" si="96"/>
        <v>[effect:enemy_message, val1:1.3, val2:2.0]</v>
      </c>
      <c r="J119" s="128">
        <f t="shared" si="97"/>
        <v>9</v>
      </c>
      <c r="K119" s="128">
        <f t="shared" si="98"/>
        <v>22</v>
      </c>
      <c r="L119" s="128" t="e">
        <f t="shared" si="99"/>
        <v>#VALUE!</v>
      </c>
      <c r="M119" s="128">
        <f t="shared" si="100"/>
        <v>32</v>
      </c>
      <c r="N119" s="128" t="str">
        <f>IFERROR(VLOOKUP(MID(I119,L119,M119-L119),[6]skilldef!$C:$D,2,FALSE),"-") &amp; " / " &amp; IFERROR(VLOOKUP(MID(I119,J119,K119-J119),[6]skilldef!$A:$B,2,FALSE),"-")</f>
        <v>- / -</v>
      </c>
      <c r="O119" s="128" t="str">
        <f t="shared" si="101"/>
        <v>[effect:break_attack_fix, target:unit_one, val:2858, lowest_val:2143, count:6, block01:crash]</v>
      </c>
      <c r="P119" s="125" t="str">
        <f>IFERROR(LEFT(O119,FIND("],",O119)+#REF!),O119)</f>
        <v>[effect:break_attack_fix, target:unit_one, val:2858, lowest_val:2143, count:6, block01:crash]</v>
      </c>
      <c r="Q119" s="128">
        <f t="shared" si="102"/>
        <v>9</v>
      </c>
      <c r="R119" s="128">
        <f t="shared" si="103"/>
        <v>25</v>
      </c>
      <c r="S119" s="128">
        <f t="shared" si="104"/>
        <v>34</v>
      </c>
      <c r="T119" s="128">
        <f t="shared" si="105"/>
        <v>42</v>
      </c>
      <c r="U119" s="128" t="str">
        <f>IFERROR(VLOOKUP(MID(P119,S119,T119-S119),[6]skilldef!$C:$D,2,FALSE),"-") &amp; " / " &amp; IFERROR(VLOOKUP(MID(P119,Q119,R119-Q119),[6]skilldef!$A:$B,2,FALSE),"-")</f>
        <v>味方単体に / -</v>
      </c>
      <c r="V119" s="125" t="str">
        <f t="shared" si="106"/>
        <v>none</v>
      </c>
      <c r="W119" s="128" t="e">
        <f t="shared" si="107"/>
        <v>#VALUE!</v>
      </c>
      <c r="X119" s="128">
        <f t="shared" si="108"/>
        <v>4</v>
      </c>
      <c r="Y119" s="128" t="e">
        <f t="shared" si="109"/>
        <v>#VALUE!</v>
      </c>
      <c r="Z119" s="128" t="e">
        <f t="shared" si="110"/>
        <v>#VALUE!</v>
      </c>
      <c r="AA119" s="128" t="str">
        <f>IFERROR(VLOOKUP(MID(V119,Y119,Z119-Y119),[6]skilldef!$C:$D,2,FALSE),"-") &amp; " / " &amp; IFERROR(VLOOKUP(MID(V119,W119,X119-W119),[6]skilldef!$A:$B,2,FALSE),"-")</f>
        <v>- / -</v>
      </c>
      <c r="AB119" s="127"/>
      <c r="AC119" s="129"/>
      <c r="AD119" s="127"/>
      <c r="AE119" s="130" t="s">
        <v>560</v>
      </c>
      <c r="AF119" s="131"/>
    </row>
    <row r="120" spans="1:32" s="132" customFormat="1" ht="33" customHeight="1" x14ac:dyDescent="0.15">
      <c r="A120" s="164">
        <v>40046070</v>
      </c>
      <c r="B120" s="47" t="str">
        <f t="shared" si="95"/>
        <v>[effect:enemy_message, val1:1.2, val2:2.5],[effect:spread, val:0.25],[effect:force_change_block, new_block:crack_bomb, target:block_heart, count:5, val:12, animation:change_block]</v>
      </c>
      <c r="C120" s="223">
        <v>3</v>
      </c>
      <c r="D120" s="49" t="s">
        <v>126</v>
      </c>
      <c r="E120" s="100"/>
      <c r="F120" s="155" t="s">
        <v>484</v>
      </c>
      <c r="G120" s="150" t="s">
        <v>293</v>
      </c>
      <c r="H120" s="150" t="s">
        <v>400</v>
      </c>
      <c r="I120" s="128" t="str">
        <f t="shared" ref="I120" si="221">IFERROR(LEFT(B120,FIND("],",B120)),B120)</f>
        <v>[effect:enemy_message, val1:1.2, val2:2.5]</v>
      </c>
      <c r="J120" s="128">
        <f t="shared" ref="J120" si="222">FIND("effect:",I120)+7</f>
        <v>9</v>
      </c>
      <c r="K120" s="128">
        <f t="shared" ref="K120" si="223">IFERROR(FIND(",",I120),LEN(I120))</f>
        <v>22</v>
      </c>
      <c r="L120" s="128" t="e">
        <f t="shared" ref="L120" si="224">FIND("target:",I120)+7</f>
        <v>#VALUE!</v>
      </c>
      <c r="M120" s="128">
        <f t="shared" ref="M120" si="225">FIND(",",I120,K120+1)</f>
        <v>32</v>
      </c>
      <c r="N120" s="128" t="str">
        <f>IFERROR(VLOOKUP(MID(I120,L120,M120-L120),[6]skilldef!$C:$D,2,FALSE),"-") &amp; " / " &amp; IFERROR(VLOOKUP(MID(I120,J120,K120-J120),[6]skilldef!$A:$B,2,FALSE),"-")</f>
        <v>- / -</v>
      </c>
      <c r="O120" s="128" t="str">
        <f t="shared" ref="O120" si="226">IFERROR(RIGHT(B120,LEN(B120)-FIND("],",B120)-1),"none")</f>
        <v>[effect:spread, val:0.25],[effect:force_change_block, new_block:crack_bomb, target:block_heart, count:5, val:12, animation:change_block]</v>
      </c>
      <c r="P120" s="125" t="str">
        <f>IFERROR(LEFT(O120,FIND("],",O120)+#REF!),O120)</f>
        <v>[effect:spread, val:0.25],[effect:force_change_block, new_block:crack_bomb, target:block_heart, count:5, val:12, animation:change_block]</v>
      </c>
      <c r="Q120" s="128">
        <f t="shared" ref="Q120" si="227">FIND("effect:",P120)+7</f>
        <v>9</v>
      </c>
      <c r="R120" s="128">
        <f t="shared" ref="R120" si="228">IFERROR(FIND(",",P120),LEN(P120))</f>
        <v>15</v>
      </c>
      <c r="S120" s="128">
        <f t="shared" ref="S120" si="229">FIND("target:",P120)+7</f>
        <v>84</v>
      </c>
      <c r="T120" s="128">
        <f t="shared" ref="T120" si="230">FIND(",",P120,R120+1)</f>
        <v>26</v>
      </c>
      <c r="U120" s="128" t="str">
        <f>IFERROR(VLOOKUP(MID(P120,S120,T120-S120),[6]skilldef!$C:$D,2,FALSE),"-") &amp; " / " &amp; IFERROR(VLOOKUP(MID(P120,Q120,R120-Q120),[6]skilldef!$A:$B,2,FALSE),"-")</f>
        <v>- / 全体攻撃</v>
      </c>
      <c r="V120" s="125" t="str">
        <f t="shared" ref="V120" si="231">IFERROR(RIGHT(O120,LEN(O120)-FIND("],",O120)-1),"none")</f>
        <v>[effect:force_change_block, new_block:crack_bomb, target:block_heart, count:5, val:12, animation:change_block]</v>
      </c>
      <c r="W120" s="128">
        <f t="shared" ref="W120" si="232">FIND("effect:",V120)+7</f>
        <v>9</v>
      </c>
      <c r="X120" s="128">
        <f t="shared" ref="X120" si="233">IFERROR(FIND(",",V120),LEN(V120))</f>
        <v>27</v>
      </c>
      <c r="Y120" s="128">
        <f t="shared" ref="Y120" si="234">FIND("target:",V120)+7</f>
        <v>58</v>
      </c>
      <c r="Z120" s="128">
        <f t="shared" ref="Z120" si="235">FIND(",",V120,X120+1)</f>
        <v>49</v>
      </c>
      <c r="AA120" s="128" t="str">
        <f>IFERROR(VLOOKUP(MID(V120,Y120,Z120-Y120),[6]skilldef!$C:$D,2,FALSE),"-") &amp; " / " &amp; IFERROR(VLOOKUP(MID(V120,W120,X120-W120),[6]skilldef!$A:$B,2,FALSE),"-")</f>
        <v>- / -</v>
      </c>
      <c r="AB120" s="127"/>
      <c r="AC120" s="129"/>
      <c r="AD120" s="127"/>
      <c r="AE120" s="130" t="s">
        <v>401</v>
      </c>
      <c r="AF120" s="131"/>
    </row>
    <row r="121" spans="1:32" s="132" customFormat="1" ht="33" customHeight="1" x14ac:dyDescent="0.15">
      <c r="A121" s="164">
        <v>40046071</v>
      </c>
      <c r="B121" s="47" t="str">
        <f t="shared" si="95"/>
        <v>[effect:enemy_message, val1:1.4, val2:1.2],[effect:critical, val:1.3, animation:enemy_critical]</v>
      </c>
      <c r="C121" s="223">
        <v>3</v>
      </c>
      <c r="D121" s="49" t="s">
        <v>126</v>
      </c>
      <c r="E121" s="100"/>
      <c r="F121" s="155" t="s">
        <v>488</v>
      </c>
      <c r="G121" s="151">
        <v>0.5</v>
      </c>
      <c r="H121" s="150" t="s">
        <v>303</v>
      </c>
      <c r="I121" s="128" t="str">
        <f t="shared" si="96"/>
        <v>[effect:enemy_message, val1:1.4, val2:1.2]</v>
      </c>
      <c r="J121" s="128">
        <f t="shared" si="97"/>
        <v>9</v>
      </c>
      <c r="K121" s="128">
        <f t="shared" si="98"/>
        <v>22</v>
      </c>
      <c r="L121" s="128" t="e">
        <f t="shared" si="99"/>
        <v>#VALUE!</v>
      </c>
      <c r="M121" s="128">
        <f t="shared" si="100"/>
        <v>32</v>
      </c>
      <c r="N121" s="128" t="str">
        <f>IFERROR(VLOOKUP(MID(I121,L121,M121-L121),[6]skilldef!$C:$D,2,FALSE),"-") &amp; " / " &amp; IFERROR(VLOOKUP(MID(I121,J121,K121-J121),[6]skilldef!$A:$B,2,FALSE),"-")</f>
        <v>- / -</v>
      </c>
      <c r="O121" s="128" t="str">
        <f t="shared" si="101"/>
        <v>[effect:critical, val:1.3, animation:enemy_critical]</v>
      </c>
      <c r="P121" s="125" t="str">
        <f>IFERROR(LEFT(O121,FIND("],",O121)+#REF!),O121)</f>
        <v>[effect:critical, val:1.3, animation:enemy_critical]</v>
      </c>
      <c r="Q121" s="128">
        <f t="shared" si="102"/>
        <v>9</v>
      </c>
      <c r="R121" s="128">
        <f t="shared" si="103"/>
        <v>17</v>
      </c>
      <c r="S121" s="128" t="e">
        <f t="shared" si="104"/>
        <v>#VALUE!</v>
      </c>
      <c r="T121" s="128">
        <f t="shared" si="105"/>
        <v>26</v>
      </c>
      <c r="U121" s="128" t="str">
        <f>IFERROR(VLOOKUP(MID(P121,S121,T121-S121),[6]skilldef!$C:$D,2,FALSE),"-") &amp; " / " &amp; IFERROR(VLOOKUP(MID(P121,Q121,R121-Q121),[6]skilldef!$A:$B,2,FALSE),"-")</f>
        <v>- / 大攻撃</v>
      </c>
      <c r="V121" s="125" t="str">
        <f t="shared" si="106"/>
        <v>none</v>
      </c>
      <c r="W121" s="128" t="e">
        <f t="shared" si="107"/>
        <v>#VALUE!</v>
      </c>
      <c r="X121" s="128">
        <f t="shared" si="108"/>
        <v>4</v>
      </c>
      <c r="Y121" s="128" t="e">
        <f t="shared" si="109"/>
        <v>#VALUE!</v>
      </c>
      <c r="Z121" s="128" t="e">
        <f t="shared" si="110"/>
        <v>#VALUE!</v>
      </c>
      <c r="AA121" s="128" t="str">
        <f>IFERROR(VLOOKUP(MID(V121,Y121,Z121-Y121),[6]skilldef!$C:$D,2,FALSE),"-") &amp; " / " &amp; IFERROR(VLOOKUP(MID(V121,W121,X121-W121),[6]skilldef!$A:$B,2,FALSE),"-")</f>
        <v>- / -</v>
      </c>
      <c r="AB121" s="127"/>
      <c r="AC121" s="129"/>
      <c r="AD121" s="127"/>
      <c r="AE121" s="130" t="s">
        <v>350</v>
      </c>
      <c r="AF121" s="131"/>
    </row>
    <row r="122" spans="1:32" s="132" customFormat="1" ht="33" customHeight="1" x14ac:dyDescent="0.15">
      <c r="A122" s="164">
        <v>40046072</v>
      </c>
      <c r="B122" s="47" t="str">
        <f t="shared" si="95"/>
        <v>[effect:enemy_message, val1:1.3, val2:2.4],[effect:rush, count:3, val:0.4],[effect:panel_freeze, target:normal, color:block_heart, count:3]</v>
      </c>
      <c r="C122" s="223">
        <v>3</v>
      </c>
      <c r="D122" s="49" t="s">
        <v>126</v>
      </c>
      <c r="E122" s="100"/>
      <c r="F122" s="155" t="s">
        <v>494</v>
      </c>
      <c r="G122" s="151">
        <v>0.25</v>
      </c>
      <c r="H122" s="150" t="s">
        <v>445</v>
      </c>
      <c r="I122" s="128" t="str">
        <f t="shared" si="96"/>
        <v>[effect:enemy_message, val1:1.3, val2:2.4]</v>
      </c>
      <c r="J122" s="128">
        <f t="shared" si="97"/>
        <v>9</v>
      </c>
      <c r="K122" s="128">
        <f t="shared" si="98"/>
        <v>22</v>
      </c>
      <c r="L122" s="128" t="e">
        <f t="shared" si="99"/>
        <v>#VALUE!</v>
      </c>
      <c r="M122" s="128">
        <f t="shared" si="100"/>
        <v>32</v>
      </c>
      <c r="N122" s="128" t="str">
        <f>IFERROR(VLOOKUP(MID(I122,L122,M122-L122),[6]skilldef!$C:$D,2,FALSE),"-") &amp; " / " &amp; IFERROR(VLOOKUP(MID(I122,J122,K122-J122),[6]skilldef!$A:$B,2,FALSE),"-")</f>
        <v>- / -</v>
      </c>
      <c r="O122" s="128" t="str">
        <f t="shared" si="101"/>
        <v>[effect:rush, count:3, val:0.4],[effect:panel_freeze, target:normal, color:block_heart, count:3]</v>
      </c>
      <c r="P122" s="125" t="str">
        <f>IFERROR(LEFT(O122,FIND("],",O122)+#REF!),O122)</f>
        <v>[effect:rush, count:3, val:0.4],[effect:panel_freeze, target:normal, color:block_heart, count:3]</v>
      </c>
      <c r="Q122" s="128">
        <f t="shared" si="102"/>
        <v>9</v>
      </c>
      <c r="R122" s="128">
        <f t="shared" si="103"/>
        <v>13</v>
      </c>
      <c r="S122" s="128">
        <f t="shared" si="104"/>
        <v>62</v>
      </c>
      <c r="T122" s="128">
        <f t="shared" si="105"/>
        <v>22</v>
      </c>
      <c r="U122" s="128" t="str">
        <f>IFERROR(VLOOKUP(MID(P122,S122,T122-S122),[6]skilldef!$C:$D,2,FALSE),"-") &amp; " / " &amp; IFERROR(VLOOKUP(MID(P122,Q122,R122-Q122),[6]skilldef!$A:$B,2,FALSE),"-")</f>
        <v>- / 連続攻撃</v>
      </c>
      <c r="V122" s="125" t="str">
        <f t="shared" si="106"/>
        <v>[effect:panel_freeze, target:normal, color:block_heart, count:3]</v>
      </c>
      <c r="W122" s="128">
        <f t="shared" si="107"/>
        <v>9</v>
      </c>
      <c r="X122" s="128">
        <f t="shared" si="108"/>
        <v>21</v>
      </c>
      <c r="Y122" s="128">
        <f t="shared" si="109"/>
        <v>30</v>
      </c>
      <c r="Z122" s="128">
        <f t="shared" si="110"/>
        <v>36</v>
      </c>
      <c r="AA122" s="128" t="str">
        <f>IFERROR(VLOOKUP(MID(V122,Y122,Z122-Y122),[6]skilldef!$C:$D,2,FALSE),"-") &amp; " / " &amp; IFERROR(VLOOKUP(MID(V122,W122,X122-W122),[6]skilldef!$A:$B,2,FALSE),"-")</f>
        <v>- / -</v>
      </c>
      <c r="AB122" s="127"/>
      <c r="AC122" s="129"/>
      <c r="AD122" s="127"/>
      <c r="AE122" s="130" t="s">
        <v>317</v>
      </c>
      <c r="AF122" s="131"/>
    </row>
    <row r="123" spans="1:32" s="132" customFormat="1" ht="79" customHeight="1" x14ac:dyDescent="0.15">
      <c r="A123" s="165">
        <v>40046080</v>
      </c>
      <c r="B123" s="47" t="str">
        <f t="shared" si="95"/>
        <v>[effect:enemy_message, val1:2.6, val2:2.2],[effect:fix_speed, target:myself, turn:1],[effect:tolerance, target:myself, turn:-1, count:-1, tolerance_effect:all, animation:enemy_tolerance],[effect:change_range_block, block_change:1, base_type:0, square_count:3, position01:0, value_h01:1, value_w01:3, new_block:jammer, target:block_all, count:0, val:0, animation:change _range_bock]</v>
      </c>
      <c r="C123" s="223">
        <v>3</v>
      </c>
      <c r="D123" s="49" t="s">
        <v>126</v>
      </c>
      <c r="E123" s="100"/>
      <c r="F123" s="156" t="s">
        <v>476</v>
      </c>
      <c r="G123" s="150" t="s">
        <v>270</v>
      </c>
      <c r="H123" s="150" t="s">
        <v>433</v>
      </c>
      <c r="I123" s="128" t="str">
        <f t="shared" si="96"/>
        <v>[effect:enemy_message, val1:2.6, val2:2.2]</v>
      </c>
      <c r="J123" s="128">
        <f t="shared" si="97"/>
        <v>9</v>
      </c>
      <c r="K123" s="128">
        <f t="shared" si="98"/>
        <v>22</v>
      </c>
      <c r="L123" s="128" t="e">
        <f t="shared" si="99"/>
        <v>#VALUE!</v>
      </c>
      <c r="M123" s="128">
        <f t="shared" si="100"/>
        <v>32</v>
      </c>
      <c r="N123" s="128" t="str">
        <f>IFERROR(VLOOKUP(MID(I123,L123,M123-L123),[6]skilldef!$C:$D,2,FALSE),"-") &amp; " / " &amp; IFERROR(VLOOKUP(MID(I123,J123,K123-J123),[6]skilldef!$A:$B,2,FALSE),"-")</f>
        <v>- / -</v>
      </c>
      <c r="O123" s="128" t="str">
        <f t="shared" si="101"/>
        <v>[effect:fix_speed, target:myself, turn:1],[effect:tolerance, target:myself, turn:-1, count:-1, tolerance_effect:all, animation:enemy_tolerance],[effect:change_range_block, block_change:1, base_type:0, square_count:3, position01:0, value_h01:1, value_w01:3, new_block:jammer, target:block_all, count:0, val:0, animation:change _range_bock]</v>
      </c>
      <c r="P123" s="125" t="str">
        <f>IFERROR(LEFT(O123,FIND("],",O123)+#REF!),O123)</f>
        <v>[effect:fix_speed, target:myself, turn:1],[effect:tolerance, target:myself, turn:-1, count:-1, tolerance_effect:all, animation:enemy_tolerance],[effect:change_range_block, block_change:1, base_type:0, square_count:3, position01:0, value_h01:1, value_w01:3, new_block:jammer, target:block_all, count:0, val:0, animation:change _range_bock]</v>
      </c>
      <c r="Q123" s="128">
        <f t="shared" si="102"/>
        <v>9</v>
      </c>
      <c r="R123" s="128">
        <f t="shared" si="103"/>
        <v>18</v>
      </c>
      <c r="S123" s="128">
        <f t="shared" si="104"/>
        <v>27</v>
      </c>
      <c r="T123" s="128">
        <f t="shared" si="105"/>
        <v>33</v>
      </c>
      <c r="U123" s="128" t="str">
        <f>IFERROR(VLOOKUP(MID(P123,S123,T123-S123),[6]skilldef!$C:$D,2,FALSE),"-") &amp; " / " &amp; IFERROR(VLOOKUP(MID(P123,Q123,R123-Q123),[6]skilldef!$A:$B,2,FALSE),"-")</f>
        <v>自分自身に / 行動値設定</v>
      </c>
      <c r="V123" s="125" t="str">
        <f t="shared" si="106"/>
        <v>[effect:tolerance, target:myself, turn:-1, count:-1, tolerance_effect:all, animation:enemy_tolerance],[effect:change_range_block, block_change:1, base_type:0, square_count:3, position01:0, value_h01:1, value_w01:3, new_block:jammer, target:block_all, count:0, val:0, animation:change _range_bock]</v>
      </c>
      <c r="W123" s="128">
        <f t="shared" si="107"/>
        <v>9</v>
      </c>
      <c r="X123" s="128">
        <f t="shared" si="108"/>
        <v>18</v>
      </c>
      <c r="Y123" s="128">
        <f t="shared" si="109"/>
        <v>27</v>
      </c>
      <c r="Z123" s="128">
        <f t="shared" si="110"/>
        <v>33</v>
      </c>
      <c r="AA123" s="128" t="str">
        <f>IFERROR(VLOOKUP(MID(V123,Y123,Z123-Y123),[6]skilldef!$C:$D,2,FALSE),"-") &amp; " / " &amp; IFERROR(VLOOKUP(MID(V123,W123,X123-W123),[6]skilldef!$A:$B,2,FALSE),"-")</f>
        <v>自分自身に / 状態異常耐性</v>
      </c>
      <c r="AB123" s="127"/>
      <c r="AC123" s="129"/>
      <c r="AD123" s="127"/>
      <c r="AE123" s="130" t="s">
        <v>342</v>
      </c>
      <c r="AF123" s="131"/>
    </row>
    <row r="124" spans="1:32" s="132" customFormat="1" ht="33" customHeight="1" x14ac:dyDescent="0.15">
      <c r="A124" s="165">
        <v>40046081</v>
      </c>
      <c r="B124" s="47" t="str">
        <f t="shared" si="95"/>
        <v>[effect:enemy_message, val1:1.2, val2:1.7],[effect:enhance_enemy, target:myself, turn:2, status:defense, val:2000, calc:add, animation:enemy_enhance_defense],[effect:critical, val:1.2, animation:enemy_critical]</v>
      </c>
      <c r="C124" s="223">
        <v>3</v>
      </c>
      <c r="D124" s="49" t="s">
        <v>126</v>
      </c>
      <c r="E124" s="100"/>
      <c r="F124" s="156" t="s">
        <v>500</v>
      </c>
      <c r="G124" s="150" t="s">
        <v>266</v>
      </c>
      <c r="H124" s="150" t="s">
        <v>309</v>
      </c>
      <c r="I124" s="128" t="str">
        <f t="shared" si="96"/>
        <v>[effect:enemy_message, val1:1.2, val2:1.7]</v>
      </c>
      <c r="J124" s="128">
        <f t="shared" si="97"/>
        <v>9</v>
      </c>
      <c r="K124" s="128">
        <f t="shared" si="98"/>
        <v>22</v>
      </c>
      <c r="L124" s="128" t="e">
        <f t="shared" si="99"/>
        <v>#VALUE!</v>
      </c>
      <c r="M124" s="128">
        <f t="shared" si="100"/>
        <v>32</v>
      </c>
      <c r="N124" s="128" t="str">
        <f>IFERROR(VLOOKUP(MID(I124,L124,M124-L124),[6]skilldef!$C:$D,2,FALSE),"-") &amp; " / " &amp; IFERROR(VLOOKUP(MID(I124,J124,K124-J124),[6]skilldef!$A:$B,2,FALSE),"-")</f>
        <v>- / -</v>
      </c>
      <c r="O124" s="128" t="str">
        <f t="shared" si="101"/>
        <v>[effect:enhance_enemy, target:myself, turn:2, status:defense, val:2000, calc:add, animation:enemy_enhance_defense],[effect:critical, val:1.2, animation:enemy_critical]</v>
      </c>
      <c r="P124" s="125" t="str">
        <f>IFERROR(LEFT(O124,FIND("],",O124)+#REF!),O124)</f>
        <v>[effect:enhance_enemy, target:myself, turn:2, status:defense, val:2000, calc:add, animation:enemy_enhance_defense],[effect:critical, val:1.2, animation:enemy_critical]</v>
      </c>
      <c r="Q124" s="128">
        <f t="shared" si="102"/>
        <v>9</v>
      </c>
      <c r="R124" s="128">
        <f t="shared" si="103"/>
        <v>22</v>
      </c>
      <c r="S124" s="128">
        <f t="shared" si="104"/>
        <v>31</v>
      </c>
      <c r="T124" s="128">
        <f t="shared" si="105"/>
        <v>37</v>
      </c>
      <c r="U124" s="128" t="str">
        <f>IFERROR(VLOOKUP(MID(P124,S124,T124-S124),[6]skilldef!$C:$D,2,FALSE),"-") &amp; " / " &amp; IFERROR(VLOOKUP(MID(P124,Q124,R124-Q124),[6]skilldef!$A:$B,2,FALSE),"-")</f>
        <v>自分自身に / ステータス強化</v>
      </c>
      <c r="V124" s="125" t="str">
        <f t="shared" si="106"/>
        <v>[effect:critical, val:1.2, animation:enemy_critical]</v>
      </c>
      <c r="W124" s="128">
        <f t="shared" si="107"/>
        <v>9</v>
      </c>
      <c r="X124" s="128">
        <f t="shared" si="108"/>
        <v>17</v>
      </c>
      <c r="Y124" s="128" t="e">
        <f t="shared" si="109"/>
        <v>#VALUE!</v>
      </c>
      <c r="Z124" s="128">
        <f t="shared" si="110"/>
        <v>26</v>
      </c>
      <c r="AA124" s="128" t="str">
        <f>IFERROR(VLOOKUP(MID(V124,Y124,Z124-Y124),[6]skilldef!$C:$D,2,FALSE),"-") &amp; " / " &amp; IFERROR(VLOOKUP(MID(V124,W124,X124-W124),[6]skilldef!$A:$B,2,FALSE),"-")</f>
        <v>- / 大攻撃</v>
      </c>
      <c r="AB124" s="127"/>
      <c r="AC124" s="129"/>
      <c r="AD124" s="127"/>
      <c r="AE124" s="130" t="s">
        <v>322</v>
      </c>
      <c r="AF124" s="131"/>
    </row>
    <row r="125" spans="1:32" s="132" customFormat="1" ht="133" customHeight="1" x14ac:dyDescent="0.15">
      <c r="A125" s="165">
        <v>40046082</v>
      </c>
      <c r="B125" s="47" t="str">
        <f t="shared" si="95"/>
        <v>[effect:enemy_message, val1:1.2, val2:2.9],[effect:damage_abnormal,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</v>
      </c>
      <c r="C125" s="223">
        <v>3</v>
      </c>
      <c r="D125" s="49" t="s">
        <v>126</v>
      </c>
      <c r="E125" s="100"/>
      <c r="F125" s="156" t="s">
        <v>480</v>
      </c>
      <c r="G125" s="150" t="s">
        <v>271</v>
      </c>
      <c r="H125" s="150" t="s">
        <v>407</v>
      </c>
      <c r="I125" s="128" t="str">
        <f t="shared" si="96"/>
        <v>[effect:enemy_message, val1:1.2, val2:2.9]</v>
      </c>
      <c r="J125" s="128">
        <f t="shared" si="97"/>
        <v>9</v>
      </c>
      <c r="K125" s="128">
        <f t="shared" si="98"/>
        <v>22</v>
      </c>
      <c r="L125" s="128" t="e">
        <f t="shared" si="99"/>
        <v>#VALUE!</v>
      </c>
      <c r="M125" s="128">
        <f t="shared" si="100"/>
        <v>32</v>
      </c>
      <c r="N125" s="128" t="str">
        <f>IFERROR(VLOOKUP(MID(I125,L125,M125-L125),[6]skilldef!$C:$D,2,FALSE),"-") &amp; " / " &amp; IFERROR(VLOOKUP(MID(I125,J125,K125-J125),[6]skilldef!$A:$B,2,FALSE),"-")</f>
        <v>- / -</v>
      </c>
      <c r="O125" s="128" t="str">
        <f t="shared" si="101"/>
        <v>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</v>
      </c>
      <c r="P125" s="125" t="str">
        <f>IFERROR(LEFT(O125,FIND("],",O125)+#REF!),O125)</f>
        <v>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</v>
      </c>
      <c r="Q125" s="128">
        <f t="shared" si="102"/>
        <v>9</v>
      </c>
      <c r="R125" s="128">
        <f t="shared" si="103"/>
        <v>24</v>
      </c>
      <c r="S125" s="128">
        <f t="shared" si="104"/>
        <v>33</v>
      </c>
      <c r="T125" s="128">
        <f t="shared" si="105"/>
        <v>41</v>
      </c>
      <c r="U125" s="128" t="str">
        <f>IFERROR(VLOOKUP(MID(P125,S125,T125-S125),[6]skilldef!$C:$D,2,FALSE),"-") &amp; " / " &amp; IFERROR(VLOOKUP(MID(P125,Q125,R125-Q125),[6]skilldef!$A:$B,2,FALSE),"-")</f>
        <v>味方単体に / -</v>
      </c>
      <c r="V125" s="125" t="str">
        <f t="shared" si="106"/>
        <v>[effect:damage_abnormal, target:unit_one, val:0.1, status:sleep, turn:1, rate:0.1, animation:sleep01],[effect:damage_abnormal, target:unit_one, val:0.2, status:sleep, turn:1, rate:0.1, animation:sleep01],[effect:damage_abnormal, target:unit_one, val:0.1, status:sleep, turn:1, rate:0.1, animation:sleep01],[effect:damage_abnormal, target:unit_one, val:0.2, status:sleep, turn:1, rate:0.1, animation:sleep01]</v>
      </c>
      <c r="W125" s="128">
        <f t="shared" si="107"/>
        <v>9</v>
      </c>
      <c r="X125" s="128">
        <f t="shared" si="108"/>
        <v>24</v>
      </c>
      <c r="Y125" s="128">
        <f t="shared" si="109"/>
        <v>33</v>
      </c>
      <c r="Z125" s="128">
        <f t="shared" si="110"/>
        <v>41</v>
      </c>
      <c r="AA125" s="128" t="str">
        <f>IFERROR(VLOOKUP(MID(V125,Y125,Z125-Y125),[6]skilldef!$C:$D,2,FALSE),"-") &amp; " / " &amp; IFERROR(VLOOKUP(MID(V125,W125,X125-W125),[6]skilldef!$A:$B,2,FALSE),"-")</f>
        <v>味方単体に / -</v>
      </c>
      <c r="AB125" s="127"/>
      <c r="AC125" s="129"/>
      <c r="AD125" s="127"/>
      <c r="AE125" s="130" t="s">
        <v>408</v>
      </c>
      <c r="AF125" s="131"/>
    </row>
    <row r="126" spans="1:32" s="132" customFormat="1" ht="33" customHeight="1" x14ac:dyDescent="0.15">
      <c r="A126" s="165">
        <v>40046083</v>
      </c>
      <c r="B126" s="47" t="str">
        <f t="shared" si="95"/>
        <v>[effect:enemy_message, val1:1.5, val2:2.4],[effect:spread, val:0.3],[effect:force_change_block, new_block:damage, target:jammer, color:block_green, count:0, val:0.02, animation:change_bock]</v>
      </c>
      <c r="C126" s="223">
        <v>3</v>
      </c>
      <c r="D126" s="49" t="s">
        <v>126</v>
      </c>
      <c r="E126" s="100"/>
      <c r="F126" s="156" t="s">
        <v>502</v>
      </c>
      <c r="G126" s="150" t="s">
        <v>268</v>
      </c>
      <c r="H126" s="150" t="s">
        <v>320</v>
      </c>
      <c r="I126" s="128" t="str">
        <f t="shared" si="96"/>
        <v>[effect:enemy_message, val1:1.5, val2:2.4]</v>
      </c>
      <c r="J126" s="128">
        <f t="shared" si="97"/>
        <v>9</v>
      </c>
      <c r="K126" s="128">
        <f t="shared" si="98"/>
        <v>22</v>
      </c>
      <c r="L126" s="128" t="e">
        <f t="shared" si="99"/>
        <v>#VALUE!</v>
      </c>
      <c r="M126" s="128">
        <f t="shared" si="100"/>
        <v>32</v>
      </c>
      <c r="N126" s="128" t="str">
        <f>IFERROR(VLOOKUP(MID(I126,L126,M126-L126),[6]skilldef!$C:$D,2,FALSE),"-") &amp; " / " &amp; IFERROR(VLOOKUP(MID(I126,J126,K126-J126),[6]skilldef!$A:$B,2,FALSE),"-")</f>
        <v>- / -</v>
      </c>
      <c r="O126" s="128" t="str">
        <f t="shared" si="101"/>
        <v>[effect:spread, val:0.3],[effect:force_change_block, new_block:damage, target:jammer, color:block_green, count:0, val:0.02, animation:change_bock]</v>
      </c>
      <c r="P126" s="125" t="str">
        <f>IFERROR(LEFT(O126,FIND("],",O126)+#REF!),O126)</f>
        <v>[effect:spread, val:0.3],[effect:force_change_block, new_block:damage, target:jammer, color:block_green, count:0, val:0.02, animation:change_bock]</v>
      </c>
      <c r="Q126" s="128">
        <f t="shared" si="102"/>
        <v>9</v>
      </c>
      <c r="R126" s="128">
        <f t="shared" si="103"/>
        <v>15</v>
      </c>
      <c r="S126" s="128">
        <f t="shared" si="104"/>
        <v>79</v>
      </c>
      <c r="T126" s="128">
        <f t="shared" si="105"/>
        <v>25</v>
      </c>
      <c r="U126" s="128" t="str">
        <f>IFERROR(VLOOKUP(MID(P126,S126,T126-S126),[6]skilldef!$C:$D,2,FALSE),"-") &amp; " / " &amp; IFERROR(VLOOKUP(MID(P126,Q126,R126-Q126),[6]skilldef!$A:$B,2,FALSE),"-")</f>
        <v>- / 全体攻撃</v>
      </c>
      <c r="V126" s="125" t="str">
        <f t="shared" si="106"/>
        <v>[effect:force_change_block, new_block:damage, target:jammer, color:block_green, count:0, val:0.02, animation:change_bock]</v>
      </c>
      <c r="W126" s="128">
        <f t="shared" si="107"/>
        <v>9</v>
      </c>
      <c r="X126" s="128">
        <f t="shared" si="108"/>
        <v>27</v>
      </c>
      <c r="Y126" s="128">
        <f t="shared" si="109"/>
        <v>54</v>
      </c>
      <c r="Z126" s="128">
        <f t="shared" si="110"/>
        <v>45</v>
      </c>
      <c r="AA126" s="128" t="str">
        <f>IFERROR(VLOOKUP(MID(V126,Y126,Z126-Y126),[6]skilldef!$C:$D,2,FALSE),"-") &amp; " / " &amp; IFERROR(VLOOKUP(MID(V126,W126,X126-W126),[6]skilldef!$A:$B,2,FALSE),"-")</f>
        <v>- / -</v>
      </c>
      <c r="AB126" s="127"/>
      <c r="AC126" s="129"/>
      <c r="AD126" s="127"/>
      <c r="AE126" s="130" t="s">
        <v>351</v>
      </c>
      <c r="AF126" s="131"/>
    </row>
    <row r="127" spans="1:32" s="132" customFormat="1" ht="33" customHeight="1" x14ac:dyDescent="0.15">
      <c r="A127" s="165">
        <v>40046084</v>
      </c>
      <c r="B127" s="47" t="str">
        <f t="shared" si="95"/>
        <v>[effect:enemy_message, val1:1.4, val2:1.3],[effect:break_attack_fix, target:unit_all, val:250, lowest_val:750, count:-1, block01:block_yellow]</v>
      </c>
      <c r="C127" s="223">
        <v>3</v>
      </c>
      <c r="D127" s="49" t="s">
        <v>126</v>
      </c>
      <c r="E127" s="100"/>
      <c r="F127" s="156" t="s">
        <v>498</v>
      </c>
      <c r="G127" s="150" t="s">
        <v>272</v>
      </c>
      <c r="H127" s="150" t="s">
        <v>301</v>
      </c>
      <c r="I127" s="128" t="str">
        <f t="shared" si="96"/>
        <v>[effect:enemy_message, val1:1.4, val2:1.3]</v>
      </c>
      <c r="J127" s="128">
        <f t="shared" si="97"/>
        <v>9</v>
      </c>
      <c r="K127" s="128">
        <f t="shared" si="98"/>
        <v>22</v>
      </c>
      <c r="L127" s="128" t="e">
        <f t="shared" si="99"/>
        <v>#VALUE!</v>
      </c>
      <c r="M127" s="128">
        <f t="shared" si="100"/>
        <v>32</v>
      </c>
      <c r="N127" s="128" t="str">
        <f>IFERROR(VLOOKUP(MID(I127,L127,M127-L127),[6]skilldef!$C:$D,2,FALSE),"-") &amp; " / " &amp; IFERROR(VLOOKUP(MID(I127,J127,K127-J127),[6]skilldef!$A:$B,2,FALSE),"-")</f>
        <v>- / -</v>
      </c>
      <c r="O127" s="128" t="str">
        <f t="shared" si="101"/>
        <v>[effect:break_attack_fix, target:unit_all, val:250, lowest_val:750, count:-1, block01:block_yellow]</v>
      </c>
      <c r="P127" s="125" t="str">
        <f>IFERROR(LEFT(O127,FIND("],",O127)+#REF!),O127)</f>
        <v>[effect:break_attack_fix, target:unit_all, val:250, lowest_val:750, count:-1, block01:block_yellow]</v>
      </c>
      <c r="Q127" s="128">
        <f t="shared" si="102"/>
        <v>9</v>
      </c>
      <c r="R127" s="128">
        <f t="shared" si="103"/>
        <v>25</v>
      </c>
      <c r="S127" s="128">
        <f t="shared" si="104"/>
        <v>34</v>
      </c>
      <c r="T127" s="128">
        <f t="shared" si="105"/>
        <v>42</v>
      </c>
      <c r="U127" s="128" t="str">
        <f>IFERROR(VLOOKUP(MID(P127,S127,T127-S127),[6]skilldef!$C:$D,2,FALSE),"-") &amp; " / " &amp; IFERROR(VLOOKUP(MID(P127,Q127,R127-Q127),[6]skilldef!$A:$B,2,FALSE),"-")</f>
        <v>味方全体に / -</v>
      </c>
      <c r="V127" s="125" t="str">
        <f t="shared" si="106"/>
        <v>none</v>
      </c>
      <c r="W127" s="128" t="e">
        <f t="shared" si="107"/>
        <v>#VALUE!</v>
      </c>
      <c r="X127" s="128">
        <f t="shared" si="108"/>
        <v>4</v>
      </c>
      <c r="Y127" s="128" t="e">
        <f t="shared" si="109"/>
        <v>#VALUE!</v>
      </c>
      <c r="Z127" s="128" t="e">
        <f t="shared" si="110"/>
        <v>#VALUE!</v>
      </c>
      <c r="AA127" s="128" t="str">
        <f>IFERROR(VLOOKUP(MID(V127,Y127,Z127-Y127),[6]skilldef!$C:$D,2,FALSE),"-") &amp; " / " &amp; IFERROR(VLOOKUP(MID(V127,W127,X127-W127),[6]skilldef!$A:$B,2,FALSE),"-")</f>
        <v>- / -</v>
      </c>
      <c r="AB127" s="127"/>
      <c r="AC127" s="129"/>
      <c r="AD127" s="127"/>
      <c r="AE127" s="130" t="s">
        <v>352</v>
      </c>
      <c r="AF127" s="131"/>
    </row>
    <row r="128" spans="1:32" s="132" customFormat="1" ht="33" customHeight="1" x14ac:dyDescent="0.15">
      <c r="A128" s="165">
        <v>40046085</v>
      </c>
      <c r="B128" s="47" t="str">
        <f t="shared" si="95"/>
        <v>[effect:enemy_message, val1:1.4, val2:2.1],[effect:spread, val:0.3],[effect:panel_freeze, target:normal, count:3]</v>
      </c>
      <c r="C128" s="223">
        <v>3</v>
      </c>
      <c r="D128" s="49" t="s">
        <v>126</v>
      </c>
      <c r="E128" s="100"/>
      <c r="F128" s="156" t="s">
        <v>504</v>
      </c>
      <c r="G128" s="150" t="s">
        <v>273</v>
      </c>
      <c r="H128" s="150" t="s">
        <v>310</v>
      </c>
      <c r="I128" s="128" t="str">
        <f t="shared" si="96"/>
        <v>[effect:enemy_message, val1:1.4, val2:2.1]</v>
      </c>
      <c r="J128" s="128">
        <f t="shared" si="97"/>
        <v>9</v>
      </c>
      <c r="K128" s="128">
        <f t="shared" si="98"/>
        <v>22</v>
      </c>
      <c r="L128" s="128" t="e">
        <f t="shared" si="99"/>
        <v>#VALUE!</v>
      </c>
      <c r="M128" s="128">
        <f t="shared" si="100"/>
        <v>32</v>
      </c>
      <c r="N128" s="128" t="str">
        <f>IFERROR(VLOOKUP(MID(I128,L128,M128-L128),[6]skilldef!$C:$D,2,FALSE),"-") &amp; " / " &amp; IFERROR(VLOOKUP(MID(I128,J128,K128-J128),[6]skilldef!$A:$B,2,FALSE),"-")</f>
        <v>- / -</v>
      </c>
      <c r="O128" s="128" t="str">
        <f t="shared" si="101"/>
        <v>[effect:spread, val:0.3],[effect:panel_freeze, target:normal, count:3]</v>
      </c>
      <c r="P128" s="125" t="str">
        <f>IFERROR(LEFT(O128,FIND("],",O128)+#REF!),O128)</f>
        <v>[effect:spread, val:0.3],[effect:panel_freeze, target:normal, count:3]</v>
      </c>
      <c r="Q128" s="128">
        <f t="shared" si="102"/>
        <v>9</v>
      </c>
      <c r="R128" s="128">
        <f t="shared" si="103"/>
        <v>15</v>
      </c>
      <c r="S128" s="128">
        <f t="shared" si="104"/>
        <v>55</v>
      </c>
      <c r="T128" s="128">
        <f t="shared" si="105"/>
        <v>25</v>
      </c>
      <c r="U128" s="128" t="str">
        <f>IFERROR(VLOOKUP(MID(P128,S128,T128-S128),[6]skilldef!$C:$D,2,FALSE),"-") &amp; " / " &amp; IFERROR(VLOOKUP(MID(P128,Q128,R128-Q128),[6]skilldef!$A:$B,2,FALSE),"-")</f>
        <v>- / 全体攻撃</v>
      </c>
      <c r="V128" s="125" t="str">
        <f t="shared" si="106"/>
        <v>[effect:panel_freeze, target:normal, count:3]</v>
      </c>
      <c r="W128" s="128">
        <f t="shared" si="107"/>
        <v>9</v>
      </c>
      <c r="X128" s="128">
        <f t="shared" si="108"/>
        <v>21</v>
      </c>
      <c r="Y128" s="128">
        <f t="shared" si="109"/>
        <v>30</v>
      </c>
      <c r="Z128" s="128">
        <f t="shared" si="110"/>
        <v>36</v>
      </c>
      <c r="AA128" s="128" t="str">
        <f>IFERROR(VLOOKUP(MID(V128,Y128,Z128-Y128),[6]skilldef!$C:$D,2,FALSE),"-") &amp; " / " &amp; IFERROR(VLOOKUP(MID(V128,W128,X128-W128),[6]skilldef!$A:$B,2,FALSE),"-")</f>
        <v>- / -</v>
      </c>
      <c r="AB128" s="127"/>
      <c r="AC128" s="129"/>
      <c r="AD128" s="127"/>
      <c r="AE128" s="130" t="s">
        <v>318</v>
      </c>
      <c r="AF128" s="131"/>
    </row>
    <row r="129" spans="1:32" s="132" customFormat="1" ht="33" customHeight="1" x14ac:dyDescent="0.15">
      <c r="A129" s="165">
        <v>40046086</v>
      </c>
      <c r="B129" s="47" t="str">
        <f t="shared" si="95"/>
        <v>[effect:enemy_message, val1:1.2, val2:2.4],[effect:rush, count:1, val:1.0],[effect:force_change_block, new_block:damage, target:block_green, color:block_green, count:3, val:0.05, animation:change_bock]</v>
      </c>
      <c r="C129" s="223">
        <v>3</v>
      </c>
      <c r="D129" s="49" t="s">
        <v>126</v>
      </c>
      <c r="E129" s="100"/>
      <c r="F129" s="156" t="s">
        <v>506</v>
      </c>
      <c r="G129" s="150" t="s">
        <v>274</v>
      </c>
      <c r="H129" s="150" t="s">
        <v>397</v>
      </c>
      <c r="I129" s="128" t="str">
        <f t="shared" si="96"/>
        <v>[effect:enemy_message, val1:1.2, val2:2.4]</v>
      </c>
      <c r="J129" s="128">
        <f t="shared" si="97"/>
        <v>9</v>
      </c>
      <c r="K129" s="128">
        <f t="shared" si="98"/>
        <v>22</v>
      </c>
      <c r="L129" s="128" t="e">
        <f t="shared" si="99"/>
        <v>#VALUE!</v>
      </c>
      <c r="M129" s="128">
        <f t="shared" si="100"/>
        <v>32</v>
      </c>
      <c r="N129" s="128" t="str">
        <f>IFERROR(VLOOKUP(MID(I129,L129,M129-L129),[6]skilldef!$C:$D,2,FALSE),"-") &amp; " / " &amp; IFERROR(VLOOKUP(MID(I129,J129,K129-J129),[6]skilldef!$A:$B,2,FALSE),"-")</f>
        <v>- / -</v>
      </c>
      <c r="O129" s="128" t="str">
        <f t="shared" si="101"/>
        <v>[effect:rush, count:1, val:1.0],[effect:force_change_block, new_block:damage, target:block_green, color:block_green, count:3, val:0.05, animation:change_bock]</v>
      </c>
      <c r="P129" s="125" t="str">
        <f>IFERROR(LEFT(O129,FIND("],",O129)+#REF!),O129)</f>
        <v>[effect:rush, count:1, val:1.0],[effect:force_change_block, new_block:damage, target:block_green, color:block_green, count:3, val:0.05, animation:change_bock]</v>
      </c>
      <c r="Q129" s="128">
        <f t="shared" si="102"/>
        <v>9</v>
      </c>
      <c r="R129" s="128">
        <f t="shared" si="103"/>
        <v>13</v>
      </c>
      <c r="S129" s="128">
        <f t="shared" si="104"/>
        <v>86</v>
      </c>
      <c r="T129" s="128">
        <f t="shared" si="105"/>
        <v>22</v>
      </c>
      <c r="U129" s="128" t="str">
        <f>IFERROR(VLOOKUP(MID(P129,S129,T129-S129),[6]skilldef!$C:$D,2,FALSE),"-") &amp; " / " &amp; IFERROR(VLOOKUP(MID(P129,Q129,R129-Q129),[6]skilldef!$A:$B,2,FALSE),"-")</f>
        <v>- / 連続攻撃</v>
      </c>
      <c r="V129" s="125" t="str">
        <f t="shared" si="106"/>
        <v>[effect:force_change_block, new_block:damage, target:block_green, color:block_green, count:3, val:0.05, animation:change_bock]</v>
      </c>
      <c r="W129" s="128">
        <f t="shared" si="107"/>
        <v>9</v>
      </c>
      <c r="X129" s="128">
        <f t="shared" si="108"/>
        <v>27</v>
      </c>
      <c r="Y129" s="128">
        <f t="shared" si="109"/>
        <v>54</v>
      </c>
      <c r="Z129" s="128">
        <f t="shared" si="110"/>
        <v>45</v>
      </c>
      <c r="AA129" s="128" t="str">
        <f>IFERROR(VLOOKUP(MID(V129,Y129,Z129-Y129),[6]skilldef!$C:$D,2,FALSE),"-") &amp; " / " &amp; IFERROR(VLOOKUP(MID(V129,W129,X129-W129),[6]skilldef!$A:$B,2,FALSE),"-")</f>
        <v>- / -</v>
      </c>
      <c r="AB129" s="127"/>
      <c r="AC129" s="129"/>
      <c r="AD129" s="127"/>
      <c r="AE129" s="130" t="s">
        <v>396</v>
      </c>
      <c r="AF129" s="131"/>
    </row>
    <row r="130" spans="1:32" s="132" customFormat="1" ht="33" customHeight="1" x14ac:dyDescent="0.15">
      <c r="A130" s="165">
        <v>40046087</v>
      </c>
      <c r="B130" s="47" t="str">
        <f t="shared" si="95"/>
        <v>[effect:enemy_message, val1:1.2, val2:2.1],[effect:rush, count:1, val:1.0],[effect:enemy_counter, target:myself, invoke_condition:unit_all, counter_target:attacker, turn:1, val:0.1, animation:enemy_counter]</v>
      </c>
      <c r="C130" s="223">
        <v>3</v>
      </c>
      <c r="D130" s="49" t="s">
        <v>126</v>
      </c>
      <c r="E130" s="100"/>
      <c r="F130" s="156" t="s">
        <v>496</v>
      </c>
      <c r="G130" s="150" t="s">
        <v>275</v>
      </c>
      <c r="H130" s="150" t="s">
        <v>329</v>
      </c>
      <c r="I130" s="128" t="str">
        <f t="shared" si="96"/>
        <v>[effect:enemy_message, val1:1.2, val2:2.1]</v>
      </c>
      <c r="J130" s="128">
        <f t="shared" si="97"/>
        <v>9</v>
      </c>
      <c r="K130" s="128">
        <f t="shared" si="98"/>
        <v>22</v>
      </c>
      <c r="L130" s="128" t="e">
        <f t="shared" si="99"/>
        <v>#VALUE!</v>
      </c>
      <c r="M130" s="128">
        <f t="shared" si="100"/>
        <v>32</v>
      </c>
      <c r="N130" s="128" t="str">
        <f>IFERROR(VLOOKUP(MID(I130,L130,M130-L130),[6]skilldef!$C:$D,2,FALSE),"-") &amp; " / " &amp; IFERROR(VLOOKUP(MID(I130,J130,K130-J130),[6]skilldef!$A:$B,2,FALSE),"-")</f>
        <v>- / -</v>
      </c>
      <c r="O130" s="128" t="str">
        <f t="shared" si="101"/>
        <v>[effect:rush, count:1, val:1.0],[effect:enemy_counter, target:myself, invoke_condition:unit_all, counter_target:attacker, turn:1, val:0.1, animation:enemy_counter]</v>
      </c>
      <c r="P130" s="125" t="str">
        <f>IFERROR(LEFT(O130,FIND("],",O130)+#REF!),O130)</f>
        <v>[effect:rush, count:1, val:1.0],[effect:enemy_counter, target:myself, invoke_condition:unit_all, counter_target:attacker, turn:1, val:0.1, animation:enemy_counter]</v>
      </c>
      <c r="Q130" s="128">
        <f t="shared" si="102"/>
        <v>9</v>
      </c>
      <c r="R130" s="128">
        <f t="shared" si="103"/>
        <v>13</v>
      </c>
      <c r="S130" s="128">
        <f t="shared" si="104"/>
        <v>63</v>
      </c>
      <c r="T130" s="128">
        <f t="shared" si="105"/>
        <v>22</v>
      </c>
      <c r="U130" s="128" t="str">
        <f>IFERROR(VLOOKUP(MID(P130,S130,T130-S130),[6]skilldef!$C:$D,2,FALSE),"-") &amp; " / " &amp; IFERROR(VLOOKUP(MID(P130,Q130,R130-Q130),[6]skilldef!$A:$B,2,FALSE),"-")</f>
        <v>- / 連続攻撃</v>
      </c>
      <c r="V130" s="125" t="str">
        <f t="shared" si="106"/>
        <v>[effect:enemy_counter, target:myself, invoke_condition:unit_all, counter_target:attacker, turn:1, val:0.1, animation:enemy_counter]</v>
      </c>
      <c r="W130" s="128">
        <f t="shared" si="107"/>
        <v>9</v>
      </c>
      <c r="X130" s="128">
        <f t="shared" si="108"/>
        <v>22</v>
      </c>
      <c r="Y130" s="128">
        <f t="shared" si="109"/>
        <v>31</v>
      </c>
      <c r="Z130" s="128">
        <f t="shared" si="110"/>
        <v>37</v>
      </c>
      <c r="AA130" s="128" t="str">
        <f>IFERROR(VLOOKUP(MID(V130,Y130,Z130-Y130),[6]skilldef!$C:$D,2,FALSE),"-") &amp; " / " &amp; IFERROR(VLOOKUP(MID(V130,W130,X130-W130),[6]skilldef!$A:$B,2,FALSE),"-")</f>
        <v>自分自身に / カウンター</v>
      </c>
      <c r="AB130" s="127"/>
      <c r="AC130" s="129"/>
      <c r="AD130" s="127"/>
      <c r="AE130" s="130" t="s">
        <v>321</v>
      </c>
      <c r="AF130" s="131"/>
    </row>
    <row r="131" spans="1:32" s="132" customFormat="1" ht="33" customHeight="1" x14ac:dyDescent="0.15">
      <c r="A131" s="165">
        <v>40046088</v>
      </c>
      <c r="B131" s="47" t="str">
        <f t="shared" si="95"/>
        <v>[effect:enemy_message, val1:1.4, val2:1.2],[effect:change_panel_ratio, turn:-1, block_type:heal, val:0, animation:block_incidence04]</v>
      </c>
      <c r="C131" s="223">
        <v>3</v>
      </c>
      <c r="D131" s="49" t="s">
        <v>126</v>
      </c>
      <c r="E131" s="100"/>
      <c r="F131" s="156" t="s">
        <v>511</v>
      </c>
      <c r="G131" s="150" t="s">
        <v>296</v>
      </c>
      <c r="H131" s="150" t="s">
        <v>311</v>
      </c>
      <c r="I131" s="128" t="str">
        <f t="shared" si="96"/>
        <v>[effect:enemy_message, val1:1.4, val2:1.2]</v>
      </c>
      <c r="J131" s="128">
        <f t="shared" si="97"/>
        <v>9</v>
      </c>
      <c r="K131" s="128">
        <f t="shared" si="98"/>
        <v>22</v>
      </c>
      <c r="L131" s="128" t="e">
        <f t="shared" si="99"/>
        <v>#VALUE!</v>
      </c>
      <c r="M131" s="128">
        <f t="shared" si="100"/>
        <v>32</v>
      </c>
      <c r="N131" s="128" t="str">
        <f>IFERROR(VLOOKUP(MID(I131,L131,M131-L131),[6]skilldef!$C:$D,2,FALSE),"-") &amp; " / " &amp; IFERROR(VLOOKUP(MID(I131,J131,K131-J131),[6]skilldef!$A:$B,2,FALSE),"-")</f>
        <v>- / -</v>
      </c>
      <c r="O131" s="128" t="str">
        <f t="shared" si="101"/>
        <v>[effect:change_panel_ratio, turn:-1, block_type:heal, val:0, animation:block_incidence04]</v>
      </c>
      <c r="P131" s="125" t="str">
        <f>IFERROR(LEFT(O131,FIND("],",O131)+#REF!),O131)</f>
        <v>[effect:change_panel_ratio, turn:-1, block_type:heal, val:0, animation:block_incidence04]</v>
      </c>
      <c r="Q131" s="128">
        <f t="shared" si="102"/>
        <v>9</v>
      </c>
      <c r="R131" s="128">
        <f t="shared" si="103"/>
        <v>27</v>
      </c>
      <c r="S131" s="128" t="e">
        <f t="shared" si="104"/>
        <v>#VALUE!</v>
      </c>
      <c r="T131" s="128">
        <f t="shared" si="105"/>
        <v>36</v>
      </c>
      <c r="U131" s="128" t="str">
        <f>IFERROR(VLOOKUP(MID(P131,S131,T131-S131),[6]skilldef!$C:$D,2,FALSE),"-") &amp; " / " &amp; IFERROR(VLOOKUP(MID(P131,Q131,R131-Q131),[6]skilldef!$A:$B,2,FALSE),"-")</f>
        <v>- / -</v>
      </c>
      <c r="V131" s="125" t="str">
        <f t="shared" si="106"/>
        <v>none</v>
      </c>
      <c r="W131" s="128" t="e">
        <f t="shared" si="107"/>
        <v>#VALUE!</v>
      </c>
      <c r="X131" s="128">
        <f t="shared" si="108"/>
        <v>4</v>
      </c>
      <c r="Y131" s="128" t="e">
        <f t="shared" si="109"/>
        <v>#VALUE!</v>
      </c>
      <c r="Z131" s="128" t="e">
        <f t="shared" si="110"/>
        <v>#VALUE!</v>
      </c>
      <c r="AA131" s="128" t="str">
        <f>IFERROR(VLOOKUP(MID(V131,Y131,Z131-Y131),[6]skilldef!$C:$D,2,FALSE),"-") &amp; " / " &amp; IFERROR(VLOOKUP(MID(V131,W131,X131-W131),[6]skilldef!$A:$B,2,FALSE),"-")</f>
        <v>- / -</v>
      </c>
      <c r="AB131" s="127"/>
      <c r="AC131" s="129"/>
      <c r="AD131" s="127"/>
      <c r="AE131" s="130" t="s">
        <v>330</v>
      </c>
      <c r="AF131" s="131"/>
    </row>
    <row r="132" spans="1:32" s="132" customFormat="1" ht="33" customHeight="1" x14ac:dyDescent="0.15">
      <c r="A132" s="165">
        <v>40046089</v>
      </c>
      <c r="B132" s="47" t="str">
        <f t="shared" si="95"/>
        <v>[effect:enemy_message, val1:1.2, val2:1.2],[effect:spread, val:0.7]</v>
      </c>
      <c r="C132" s="223">
        <v>3</v>
      </c>
      <c r="D132" s="49" t="s">
        <v>126</v>
      </c>
      <c r="E132" s="100"/>
      <c r="F132" s="156" t="s">
        <v>509</v>
      </c>
      <c r="G132" s="150" t="s">
        <v>297</v>
      </c>
      <c r="H132" s="150" t="s">
        <v>428</v>
      </c>
      <c r="I132" s="128" t="str">
        <f t="shared" si="96"/>
        <v>[effect:enemy_message, val1:1.2, val2:1.2]</v>
      </c>
      <c r="J132" s="128">
        <f t="shared" si="97"/>
        <v>9</v>
      </c>
      <c r="K132" s="128">
        <f t="shared" si="98"/>
        <v>22</v>
      </c>
      <c r="L132" s="128" t="e">
        <f t="shared" si="99"/>
        <v>#VALUE!</v>
      </c>
      <c r="M132" s="128">
        <f t="shared" si="100"/>
        <v>32</v>
      </c>
      <c r="N132" s="128" t="str">
        <f>IFERROR(VLOOKUP(MID(I132,L132,M132-L132),[6]skilldef!$C:$D,2,FALSE),"-") &amp; " / " &amp; IFERROR(VLOOKUP(MID(I132,J132,K132-J132),[6]skilldef!$A:$B,2,FALSE),"-")</f>
        <v>- / -</v>
      </c>
      <c r="O132" s="128" t="str">
        <f t="shared" si="101"/>
        <v>[effect:spread, val:0.7]</v>
      </c>
      <c r="P132" s="125" t="str">
        <f>IFERROR(LEFT(O132,FIND("],",O132)+#REF!),O132)</f>
        <v>[effect:spread, val:0.7]</v>
      </c>
      <c r="Q132" s="128">
        <f t="shared" si="102"/>
        <v>9</v>
      </c>
      <c r="R132" s="128">
        <f t="shared" si="103"/>
        <v>15</v>
      </c>
      <c r="S132" s="128" t="e">
        <f t="shared" si="104"/>
        <v>#VALUE!</v>
      </c>
      <c r="T132" s="128" t="e">
        <f t="shared" si="105"/>
        <v>#VALUE!</v>
      </c>
      <c r="U132" s="128" t="str">
        <f>IFERROR(VLOOKUP(MID(P132,S132,T132-S132),[6]skilldef!$C:$D,2,FALSE),"-") &amp; " / " &amp; IFERROR(VLOOKUP(MID(P132,Q132,R132-Q132),[6]skilldef!$A:$B,2,FALSE),"-")</f>
        <v>- / 全体攻撃</v>
      </c>
      <c r="V132" s="125" t="str">
        <f t="shared" si="106"/>
        <v>none</v>
      </c>
      <c r="W132" s="128" t="e">
        <f t="shared" si="107"/>
        <v>#VALUE!</v>
      </c>
      <c r="X132" s="128">
        <f t="shared" si="108"/>
        <v>4</v>
      </c>
      <c r="Y132" s="128" t="e">
        <f t="shared" si="109"/>
        <v>#VALUE!</v>
      </c>
      <c r="Z132" s="128" t="e">
        <f t="shared" si="110"/>
        <v>#VALUE!</v>
      </c>
      <c r="AA132" s="128" t="str">
        <f>IFERROR(VLOOKUP(MID(V132,Y132,Z132-Y132),[6]skilldef!$C:$D,2,FALSE),"-") &amp; " / " &amp; IFERROR(VLOOKUP(MID(V132,W132,X132-W132),[6]skilldef!$A:$B,2,FALSE),"-")</f>
        <v>- / -</v>
      </c>
      <c r="AB132" s="127"/>
      <c r="AC132" s="129"/>
      <c r="AD132" s="127"/>
      <c r="AE132" s="130" t="s">
        <v>353</v>
      </c>
      <c r="AF132" s="131"/>
    </row>
    <row r="133" spans="1:32" s="132" customFormat="1" ht="33" customHeight="1" x14ac:dyDescent="0.15">
      <c r="A133" s="165">
        <v>40046090</v>
      </c>
      <c r="B133" s="46" t="s">
        <v>538</v>
      </c>
      <c r="C133" s="223">
        <v>3</v>
      </c>
      <c r="D133" s="49" t="s">
        <v>126</v>
      </c>
      <c r="E133" s="100"/>
      <c r="F133" s="156" t="s">
        <v>478</v>
      </c>
      <c r="G133" s="150" t="s">
        <v>312</v>
      </c>
      <c r="H133" s="150" t="s">
        <v>508</v>
      </c>
      <c r="I133" s="128" t="str">
        <f t="shared" ref="I133:I136" si="236">IFERROR(LEFT(B133,FIND("],",B133)),B133)</f>
        <v>[effect:enemy_message, val1:2.1, val2:2.2]</v>
      </c>
      <c r="J133" s="128">
        <f t="shared" ref="J133:J136" si="237">FIND("effect:",I133)+7</f>
        <v>9</v>
      </c>
      <c r="K133" s="128">
        <f t="shared" ref="K133:K136" si="238">IFERROR(FIND(",",I133),LEN(I133))</f>
        <v>22</v>
      </c>
      <c r="L133" s="128" t="e">
        <f t="shared" ref="L133:L136" si="239">FIND("target:",I133)+7</f>
        <v>#VALUE!</v>
      </c>
      <c r="M133" s="128">
        <f t="shared" ref="M133:M136" si="240">FIND(",",I133,K133+1)</f>
        <v>32</v>
      </c>
      <c r="N133" s="128" t="str">
        <f>IFERROR(VLOOKUP(MID(I133,L133,M133-L133),[6]skilldef!$C:$D,2,FALSE),"-") &amp; " / " &amp; IFERROR(VLOOKUP(MID(I133,J133,K133-J133),[6]skilldef!$A:$B,2,FALSE),"-")</f>
        <v>- / -</v>
      </c>
      <c r="O133" s="128" t="str">
        <f t="shared" ref="O133:O136" si="241">IFERROR(RIGHT(B133,LEN(B133)-FIND("],",B133)-1),"none")</f>
        <v>none</v>
      </c>
      <c r="P133" s="125" t="str">
        <f>IFERROR(LEFT(O133,FIND("],",O133)+#REF!),O133)</f>
        <v>none</v>
      </c>
      <c r="Q133" s="128" t="e">
        <f t="shared" ref="Q133:Q136" si="242">FIND("effect:",P133)+7</f>
        <v>#VALUE!</v>
      </c>
      <c r="R133" s="128">
        <f t="shared" ref="R133:R136" si="243">IFERROR(FIND(",",P133),LEN(P133))</f>
        <v>4</v>
      </c>
      <c r="S133" s="128" t="e">
        <f t="shared" ref="S133:S136" si="244">FIND("target:",P133)+7</f>
        <v>#VALUE!</v>
      </c>
      <c r="T133" s="128" t="e">
        <f t="shared" ref="T133:T136" si="245">FIND(",",P133,R133+1)</f>
        <v>#VALUE!</v>
      </c>
      <c r="U133" s="128" t="str">
        <f>IFERROR(VLOOKUP(MID(P133,S133,T133-S133),[6]skilldef!$C:$D,2,FALSE),"-") &amp; " / " &amp; IFERROR(VLOOKUP(MID(P133,Q133,R133-Q133),[6]skilldef!$A:$B,2,FALSE),"-")</f>
        <v>- / -</v>
      </c>
      <c r="V133" s="125" t="str">
        <f t="shared" ref="V133:V136" si="246">IFERROR(RIGHT(O133,LEN(O133)-FIND("],",O133)-1),"none")</f>
        <v>none</v>
      </c>
      <c r="W133" s="128" t="e">
        <f t="shared" ref="W133:W136" si="247">FIND("effect:",V133)+7</f>
        <v>#VALUE!</v>
      </c>
      <c r="X133" s="128">
        <f t="shared" ref="X133:X136" si="248">IFERROR(FIND(",",V133),LEN(V133))</f>
        <v>4</v>
      </c>
      <c r="Y133" s="128" t="e">
        <f t="shared" ref="Y133:Y136" si="249">FIND("target:",V133)+7</f>
        <v>#VALUE!</v>
      </c>
      <c r="Z133" s="128" t="e">
        <f t="shared" ref="Z133:Z136" si="250">FIND(",",V133,X133+1)</f>
        <v>#VALUE!</v>
      </c>
      <c r="AA133" s="128" t="str">
        <f>IFERROR(VLOOKUP(MID(V133,Y133,Z133-Y133),[6]skilldef!$C:$D,2,FALSE),"-") &amp; " / " &amp; IFERROR(VLOOKUP(MID(V133,W133,X133-W133),[6]skilldef!$A:$B,2,FALSE),"-")</f>
        <v>- / -</v>
      </c>
      <c r="AB133" s="127"/>
      <c r="AC133" s="129"/>
      <c r="AD133" s="127"/>
      <c r="AE133" s="159"/>
      <c r="AF133" s="131"/>
    </row>
    <row r="134" spans="1:32" s="132" customFormat="1" ht="33" customHeight="1" x14ac:dyDescent="0.15">
      <c r="A134" s="215">
        <v>40046900</v>
      </c>
      <c r="B134" s="47" t="str">
        <f t="shared" ref="B134" si="251">"[effect:enemy_message, val1:"&amp;TEXT(IF(TEXT(F134,0)="[表示しない]", "0", IF(LEN(SUBSTITUTE(F134,CHAR(13),""))*0.1&lt;1.2, 1.2, LEN(SUBSTITUTE(F134,CHAR(13),""))*0.1)), "0.0")&amp;", val2:"&amp;TEXT(IF(TEXT(H134,0)="[表示しない]", "0", IF(LEN(SUBSTITUTE(H134,CHAR(13),""))*0.1&lt;1.2, 1.2, LEN(SUBSTITUTE(H134,CHAR(13),""))*0.1)),"0.0")&amp;"]"&amp;IF(LEN(AE134)&gt;0, ","&amp;SUBSTITUTE(AE134,CHAR(13),""),SUBSTITUTE(AE134,CHAR(13),""))</f>
        <v>[effect:enemy_message, val1:1.8, val2:2.9],[effect:fix_speed,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C134" s="223">
        <v>3</v>
      </c>
      <c r="D134" s="49" t="s">
        <v>126</v>
      </c>
      <c r="E134" s="100"/>
      <c r="F134" s="150" t="s">
        <v>524</v>
      </c>
      <c r="G134" s="150" t="s">
        <v>520</v>
      </c>
      <c r="H134" s="150" t="s">
        <v>443</v>
      </c>
      <c r="I134" s="128" t="str">
        <f t="shared" si="236"/>
        <v>[effect:enemy_message, val1:1.8, val2:2.9]</v>
      </c>
      <c r="J134" s="128">
        <f t="shared" si="237"/>
        <v>9</v>
      </c>
      <c r="K134" s="128">
        <f t="shared" si="238"/>
        <v>22</v>
      </c>
      <c r="L134" s="128" t="e">
        <f t="shared" si="239"/>
        <v>#VALUE!</v>
      </c>
      <c r="M134" s="128">
        <f t="shared" si="240"/>
        <v>32</v>
      </c>
      <c r="N134" s="128" t="str">
        <f>IFERROR(VLOOKUP(MID(I134,L134,M134-L134),[6]skilldef!$C:$D,2,FALSE),"-") &amp; " / " &amp; IFERROR(VLOOKUP(MID(I134,J134,K134-J134),[6]skilldef!$A:$B,2,FALSE),"-")</f>
        <v>- / -</v>
      </c>
      <c r="O134" s="128" t="str">
        <f t="shared" si="241"/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P134" s="125" t="str">
        <f>IFERROR(LEFT(O134,FIND("],",O134)+#REF!),O134)</f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Q134" s="128">
        <f t="shared" si="242"/>
        <v>9</v>
      </c>
      <c r="R134" s="128">
        <f t="shared" si="243"/>
        <v>18</v>
      </c>
      <c r="S134" s="128">
        <f t="shared" si="244"/>
        <v>27</v>
      </c>
      <c r="T134" s="128">
        <f t="shared" si="245"/>
        <v>33</v>
      </c>
      <c r="U134" s="128" t="str">
        <f>IFERROR(VLOOKUP(MID(P134,S134,T134-S134),[6]skilldef!$C:$D,2,FALSE),"-") &amp; " / " &amp; IFERROR(VLOOKUP(MID(P134,Q134,R134-Q134),[6]skilldef!$A:$B,2,FALSE),"-")</f>
        <v>自分自身に / 行動値設定</v>
      </c>
      <c r="V134" s="125" t="str">
        <f t="shared" si="246"/>
        <v>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W134" s="128">
        <f t="shared" si="247"/>
        <v>9</v>
      </c>
      <c r="X134" s="128">
        <f t="shared" si="248"/>
        <v>18</v>
      </c>
      <c r="Y134" s="128">
        <f t="shared" si="249"/>
        <v>27</v>
      </c>
      <c r="Z134" s="128">
        <f t="shared" si="250"/>
        <v>33</v>
      </c>
      <c r="AA134" s="128" t="str">
        <f>IFERROR(VLOOKUP(MID(V134,Y134,Z134-Y134),[6]skilldef!$C:$D,2,FALSE),"-") &amp; " / " &amp; IFERROR(VLOOKUP(MID(V134,W134,X134-W134),[6]skilldef!$A:$B,2,FALSE),"-")</f>
        <v>自分自身に / 状態異常耐性</v>
      </c>
      <c r="AB134" s="127"/>
      <c r="AC134" s="129"/>
      <c r="AD134" s="127"/>
      <c r="AE134" s="130" t="s">
        <v>370</v>
      </c>
      <c r="AF134" s="131"/>
    </row>
    <row r="135" spans="1:32" s="132" customFormat="1" ht="33" customHeight="1" x14ac:dyDescent="0.15">
      <c r="A135" s="215">
        <v>40046901</v>
      </c>
      <c r="B135" s="47" t="str">
        <f t="shared" ref="B135:B136" si="252">"[effect:enemy_message, val1:"&amp;TEXT(IF(TEXT(F135,0)="[表示しない]", "0", IF(LEN(SUBSTITUTE(F135,CHAR(13),""))*0.1&lt;1.2, 1.2, LEN(SUBSTITUTE(F135,CHAR(13),""))*0.1)), "0.0")&amp;", val2:"&amp;TEXT(IF(TEXT(H135,0)="[表示しない]", "0", IF(LEN(SUBSTITUTE(H135,CHAR(13),""))*0.1&lt;1.2, 1.2, LEN(SUBSTITUTE(H135,CHAR(13),""))*0.1)),"0.0")&amp;"]"&amp;IF(LEN(AE135)&gt;0, ","&amp;SUBSTITUTE(AE135,CHAR(13),""),SUBSTITUTE(AE135,CHAR(13),""))</f>
        <v>[effect:enemy_message, val1:2.1, val2:2.9],[effect:fix_speed,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C135" s="223">
        <v>3</v>
      </c>
      <c r="D135" s="49" t="s">
        <v>126</v>
      </c>
      <c r="E135" s="100"/>
      <c r="F135" s="150" t="s">
        <v>529</v>
      </c>
      <c r="G135" s="150" t="s">
        <v>521</v>
      </c>
      <c r="H135" s="150" t="s">
        <v>443</v>
      </c>
      <c r="I135" s="128" t="str">
        <f t="shared" si="236"/>
        <v>[effect:enemy_message, val1:2.1, val2:2.9]</v>
      </c>
      <c r="J135" s="128">
        <f t="shared" si="237"/>
        <v>9</v>
      </c>
      <c r="K135" s="128">
        <f t="shared" si="238"/>
        <v>22</v>
      </c>
      <c r="L135" s="128" t="e">
        <f t="shared" si="239"/>
        <v>#VALUE!</v>
      </c>
      <c r="M135" s="128">
        <f t="shared" si="240"/>
        <v>32</v>
      </c>
      <c r="N135" s="128" t="str">
        <f>IFERROR(VLOOKUP(MID(I135,L135,M135-L135),[6]skilldef!$C:$D,2,FALSE),"-") &amp; " / " &amp; IFERROR(VLOOKUP(MID(I135,J135,K135-J135),[6]skilldef!$A:$B,2,FALSE),"-")</f>
        <v>- / -</v>
      </c>
      <c r="O135" s="128" t="str">
        <f t="shared" si="241"/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P135" s="125" t="str">
        <f>IFERROR(LEFT(O135,FIND("],",O135)+#REF!),O135)</f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Q135" s="128">
        <f t="shared" si="242"/>
        <v>9</v>
      </c>
      <c r="R135" s="128">
        <f t="shared" si="243"/>
        <v>18</v>
      </c>
      <c r="S135" s="128">
        <f t="shared" si="244"/>
        <v>27</v>
      </c>
      <c r="T135" s="128">
        <f t="shared" si="245"/>
        <v>33</v>
      </c>
      <c r="U135" s="128" t="str">
        <f>IFERROR(VLOOKUP(MID(P135,S135,T135-S135),[6]skilldef!$C:$D,2,FALSE),"-") &amp; " / " &amp; IFERROR(VLOOKUP(MID(P135,Q135,R135-Q135),[6]skilldef!$A:$B,2,FALSE),"-")</f>
        <v>自分自身に / 行動値設定</v>
      </c>
      <c r="V135" s="125" t="str">
        <f t="shared" si="246"/>
        <v>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W135" s="128">
        <f t="shared" si="247"/>
        <v>9</v>
      </c>
      <c r="X135" s="128">
        <f t="shared" si="248"/>
        <v>18</v>
      </c>
      <c r="Y135" s="128">
        <f t="shared" si="249"/>
        <v>27</v>
      </c>
      <c r="Z135" s="128">
        <f t="shared" si="250"/>
        <v>33</v>
      </c>
      <c r="AA135" s="128" t="str">
        <f>IFERROR(VLOOKUP(MID(V135,Y135,Z135-Y135),[6]skilldef!$C:$D,2,FALSE),"-") &amp; " / " &amp; IFERROR(VLOOKUP(MID(V135,W135,X135-W135),[6]skilldef!$A:$B,2,FALSE),"-")</f>
        <v>自分自身に / 状態異常耐性</v>
      </c>
      <c r="AB135" s="127"/>
      <c r="AC135" s="129"/>
      <c r="AD135" s="127"/>
      <c r="AE135" s="130" t="s">
        <v>370</v>
      </c>
      <c r="AF135" s="131"/>
    </row>
    <row r="136" spans="1:32" s="132" customFormat="1" ht="33" customHeight="1" x14ac:dyDescent="0.15">
      <c r="A136" s="215">
        <v>40046902</v>
      </c>
      <c r="B136" s="47" t="str">
        <f t="shared" si="252"/>
        <v>[effect:enemy_message, val1:3.1, val2:2.9],[effect:fix_speed,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C136" s="223">
        <v>3</v>
      </c>
      <c r="D136" s="49" t="s">
        <v>126</v>
      </c>
      <c r="E136" s="100"/>
      <c r="F136" s="150" t="s">
        <v>526</v>
      </c>
      <c r="G136" s="150" t="s">
        <v>522</v>
      </c>
      <c r="H136" s="150" t="s">
        <v>443</v>
      </c>
      <c r="I136" s="128" t="str">
        <f t="shared" si="236"/>
        <v>[effect:enemy_message, val1:3.1, val2:2.9]</v>
      </c>
      <c r="J136" s="128">
        <f t="shared" si="237"/>
        <v>9</v>
      </c>
      <c r="K136" s="128">
        <f t="shared" si="238"/>
        <v>22</v>
      </c>
      <c r="L136" s="128" t="e">
        <f t="shared" si="239"/>
        <v>#VALUE!</v>
      </c>
      <c r="M136" s="128">
        <f t="shared" si="240"/>
        <v>32</v>
      </c>
      <c r="N136" s="128" t="str">
        <f>IFERROR(VLOOKUP(MID(I136,L136,M136-L136),[6]skilldef!$C:$D,2,FALSE),"-") &amp; " / " &amp; IFERROR(VLOOKUP(MID(I136,J136,K136-J136),[6]skilldef!$A:$B,2,FALSE),"-")</f>
        <v>- / -</v>
      </c>
      <c r="O136" s="128" t="str">
        <f t="shared" si="241"/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P136" s="125" t="str">
        <f>IFERROR(LEFT(O136,FIND("],",O136)+#REF!),O136)</f>
        <v>[effect:fix_speed, target:myself, turn:1],[effect:tolerance,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Q136" s="128">
        <f t="shared" si="242"/>
        <v>9</v>
      </c>
      <c r="R136" s="128">
        <f t="shared" si="243"/>
        <v>18</v>
      </c>
      <c r="S136" s="128">
        <f t="shared" si="244"/>
        <v>27</v>
      </c>
      <c r="T136" s="128">
        <f t="shared" si="245"/>
        <v>33</v>
      </c>
      <c r="U136" s="128" t="str">
        <f>IFERROR(VLOOKUP(MID(P136,S136,T136-S136),[6]skilldef!$C:$D,2,FALSE),"-") &amp; " / " &amp; IFERROR(VLOOKUP(MID(P136,Q136,R136-Q136),[6]skilldef!$A:$B,2,FALSE),"-")</f>
        <v>自分自身に / 行動値設定</v>
      </c>
      <c r="V136" s="125" t="str">
        <f t="shared" si="246"/>
        <v>[effect:tolerance, target:myself, turn:-1, count:-1, tolerance_effect:all, animation:enemy_tolerance],[effect:change_range_block, block_change:1, base_type:0, square_count:6, position01:2, value_h01:2, value_w01:2, new_block:damage, target:block_all, color:block_red, count:0, val:0.02, animation:change_range_bock],[effect:change_range_block, block_change:1, base_type:0, square_count:6, position01:24, value_h01:2, value_w01:2, new_block:damage, target:block_all, color:block_green, count:0, val:0.02, animation:change_range_bock],[effect:change_range_block, block_change:1, base_type:0, square_count:6, position01:28, value_h01:2, value_w01:2, new_block:damage, target:block_all, color:block_blue, count:0, val:0.02, animation:change_range_bock]</v>
      </c>
      <c r="W136" s="128">
        <f t="shared" si="247"/>
        <v>9</v>
      </c>
      <c r="X136" s="128">
        <f t="shared" si="248"/>
        <v>18</v>
      </c>
      <c r="Y136" s="128">
        <f t="shared" si="249"/>
        <v>27</v>
      </c>
      <c r="Z136" s="128">
        <f t="shared" si="250"/>
        <v>33</v>
      </c>
      <c r="AA136" s="128" t="str">
        <f>IFERROR(VLOOKUP(MID(V136,Y136,Z136-Y136),[6]skilldef!$C:$D,2,FALSE),"-") &amp; " / " &amp; IFERROR(VLOOKUP(MID(V136,W136,X136-W136),[6]skilldef!$A:$B,2,FALSE),"-")</f>
        <v>自分自身に / 状態異常耐性</v>
      </c>
      <c r="AB136" s="127"/>
      <c r="AC136" s="129"/>
      <c r="AD136" s="127"/>
      <c r="AE136" s="130" t="s">
        <v>370</v>
      </c>
      <c r="AF136" s="131"/>
    </row>
    <row r="137" spans="1:32" s="132" customFormat="1" ht="33" customHeight="1" x14ac:dyDescent="0.15">
      <c r="A137" s="213">
        <v>40046903</v>
      </c>
      <c r="B137" s="46" t="s">
        <v>539</v>
      </c>
      <c r="C137" s="223">
        <v>3</v>
      </c>
      <c r="D137" s="49" t="s">
        <v>126</v>
      </c>
      <c r="E137" s="100"/>
      <c r="F137" s="150" t="s">
        <v>525</v>
      </c>
      <c r="G137" s="150" t="s">
        <v>513</v>
      </c>
      <c r="H137" s="150" t="s">
        <v>531</v>
      </c>
      <c r="I137" s="128" t="str">
        <f t="shared" ref="I137:I139" si="253">IFERROR(LEFT(B137,FIND("],",B137)),B137)</f>
        <v>[effect:enemy_message, val1:2.4, val2:2.6]</v>
      </c>
      <c r="J137" s="128">
        <f t="shared" ref="J137:J139" si="254">FIND("effect:",I137)+7</f>
        <v>9</v>
      </c>
      <c r="K137" s="128">
        <f t="shared" ref="K137:K139" si="255">IFERROR(FIND(",",I137),LEN(I137))</f>
        <v>22</v>
      </c>
      <c r="L137" s="128" t="e">
        <f t="shared" ref="L137:L139" si="256">FIND("target:",I137)+7</f>
        <v>#VALUE!</v>
      </c>
      <c r="M137" s="128">
        <f t="shared" ref="M137:M139" si="257">FIND(",",I137,K137+1)</f>
        <v>32</v>
      </c>
      <c r="N137" s="128" t="str">
        <f>IFERROR(VLOOKUP(MID(I137,L137,M137-L137),[6]skilldef!$C:$D,2,FALSE),"-") &amp; " / " &amp; IFERROR(VLOOKUP(MID(I137,J137,K137-J137),[6]skilldef!$A:$B,2,FALSE),"-")</f>
        <v>- / -</v>
      </c>
      <c r="O137" s="128" t="str">
        <f t="shared" ref="O137:O139" si="258">IFERROR(RIGHT(B137,LEN(B137)-FIND("],",B137)-1),"none")</f>
        <v>none</v>
      </c>
      <c r="P137" s="125" t="str">
        <f>IFERROR(LEFT(O137,FIND("],",O137)+#REF!),O137)</f>
        <v>none</v>
      </c>
      <c r="Q137" s="128" t="e">
        <f t="shared" ref="Q137:Q139" si="259">FIND("effect:",P137)+7</f>
        <v>#VALUE!</v>
      </c>
      <c r="R137" s="128">
        <f t="shared" ref="R137:R139" si="260">IFERROR(FIND(",",P137),LEN(P137))</f>
        <v>4</v>
      </c>
      <c r="S137" s="128" t="e">
        <f t="shared" ref="S137:S139" si="261">FIND("target:",P137)+7</f>
        <v>#VALUE!</v>
      </c>
      <c r="T137" s="128" t="e">
        <f t="shared" ref="T137:T139" si="262">FIND(",",P137,R137+1)</f>
        <v>#VALUE!</v>
      </c>
      <c r="U137" s="128" t="str">
        <f>IFERROR(VLOOKUP(MID(P137,S137,T137-S137),[6]skilldef!$C:$D,2,FALSE),"-") &amp; " / " &amp; IFERROR(VLOOKUP(MID(P137,Q137,R137-Q137),[6]skilldef!$A:$B,2,FALSE),"-")</f>
        <v>- / -</v>
      </c>
      <c r="V137" s="125" t="str">
        <f t="shared" ref="V137:V139" si="263">IFERROR(RIGHT(O137,LEN(O137)-FIND("],",O137)-1),"none")</f>
        <v>none</v>
      </c>
      <c r="W137" s="128" t="e">
        <f t="shared" ref="W137:W139" si="264">FIND("effect:",V137)+7</f>
        <v>#VALUE!</v>
      </c>
      <c r="X137" s="128">
        <f t="shared" ref="X137:X139" si="265">IFERROR(FIND(",",V137),LEN(V137))</f>
        <v>4</v>
      </c>
      <c r="Y137" s="128" t="e">
        <f t="shared" ref="Y137:Y139" si="266">FIND("target:",V137)+7</f>
        <v>#VALUE!</v>
      </c>
      <c r="Z137" s="128" t="e">
        <f t="shared" ref="Z137:Z139" si="267">FIND(",",V137,X137+1)</f>
        <v>#VALUE!</v>
      </c>
      <c r="AA137" s="128" t="str">
        <f>IFERROR(VLOOKUP(MID(V137,Y137,Z137-Y137),[6]skilldef!$C:$D,2,FALSE),"-") &amp; " / " &amp; IFERROR(VLOOKUP(MID(V137,W137,X137-W137),[6]skilldef!$A:$B,2,FALSE),"-")</f>
        <v>- / -</v>
      </c>
      <c r="AB137" s="127"/>
      <c r="AC137" s="129"/>
      <c r="AD137" s="127"/>
      <c r="AE137" s="159"/>
      <c r="AF137" s="131"/>
    </row>
    <row r="138" spans="1:32" s="132" customFormat="1" ht="33" customHeight="1" x14ac:dyDescent="0.15">
      <c r="A138" s="213">
        <v>40046904</v>
      </c>
      <c r="B138" s="46" t="s">
        <v>539</v>
      </c>
      <c r="C138" s="223">
        <v>3</v>
      </c>
      <c r="D138" s="49" t="s">
        <v>126</v>
      </c>
      <c r="E138" s="100"/>
      <c r="F138" s="150" t="s">
        <v>525</v>
      </c>
      <c r="G138" s="150" t="s">
        <v>513</v>
      </c>
      <c r="H138" s="150" t="s">
        <v>531</v>
      </c>
      <c r="I138" s="128" t="str">
        <f t="shared" si="253"/>
        <v>[effect:enemy_message, val1:2.4, val2:2.6]</v>
      </c>
      <c r="J138" s="128">
        <f t="shared" si="254"/>
        <v>9</v>
      </c>
      <c r="K138" s="128">
        <f t="shared" si="255"/>
        <v>22</v>
      </c>
      <c r="L138" s="128" t="e">
        <f t="shared" si="256"/>
        <v>#VALUE!</v>
      </c>
      <c r="M138" s="128">
        <f t="shared" si="257"/>
        <v>32</v>
      </c>
      <c r="N138" s="128" t="str">
        <f>IFERROR(VLOOKUP(MID(I138,L138,M138-L138),[6]skilldef!$C:$D,2,FALSE),"-") &amp; " / " &amp; IFERROR(VLOOKUP(MID(I138,J138,K138-J138),[6]skilldef!$A:$B,2,FALSE),"-")</f>
        <v>- / -</v>
      </c>
      <c r="O138" s="128" t="str">
        <f t="shared" si="258"/>
        <v>none</v>
      </c>
      <c r="P138" s="125" t="str">
        <f>IFERROR(LEFT(O138,FIND("],",O138)+#REF!),O138)</f>
        <v>none</v>
      </c>
      <c r="Q138" s="128" t="e">
        <f t="shared" si="259"/>
        <v>#VALUE!</v>
      </c>
      <c r="R138" s="128">
        <f t="shared" si="260"/>
        <v>4</v>
      </c>
      <c r="S138" s="128" t="e">
        <f t="shared" si="261"/>
        <v>#VALUE!</v>
      </c>
      <c r="T138" s="128" t="e">
        <f t="shared" si="262"/>
        <v>#VALUE!</v>
      </c>
      <c r="U138" s="128" t="str">
        <f>IFERROR(VLOOKUP(MID(P138,S138,T138-S138),[6]skilldef!$C:$D,2,FALSE),"-") &amp; " / " &amp; IFERROR(VLOOKUP(MID(P138,Q138,R138-Q138),[6]skilldef!$A:$B,2,FALSE),"-")</f>
        <v>- / -</v>
      </c>
      <c r="V138" s="125" t="str">
        <f t="shared" si="263"/>
        <v>none</v>
      </c>
      <c r="W138" s="128" t="e">
        <f t="shared" si="264"/>
        <v>#VALUE!</v>
      </c>
      <c r="X138" s="128">
        <f t="shared" si="265"/>
        <v>4</v>
      </c>
      <c r="Y138" s="128" t="e">
        <f t="shared" si="266"/>
        <v>#VALUE!</v>
      </c>
      <c r="Z138" s="128" t="e">
        <f t="shared" si="267"/>
        <v>#VALUE!</v>
      </c>
      <c r="AA138" s="128" t="str">
        <f>IFERROR(VLOOKUP(MID(V138,Y138,Z138-Y138),[6]skilldef!$C:$D,2,FALSE),"-") &amp; " / " &amp; IFERROR(VLOOKUP(MID(V138,W138,X138-W138),[6]skilldef!$A:$B,2,FALSE),"-")</f>
        <v>- / -</v>
      </c>
      <c r="AB138" s="127"/>
      <c r="AC138" s="129"/>
      <c r="AD138" s="127"/>
      <c r="AE138" s="159"/>
      <c r="AF138" s="131"/>
    </row>
    <row r="139" spans="1:32" s="132" customFormat="1" ht="33" customHeight="1" x14ac:dyDescent="0.15">
      <c r="A139" s="213">
        <v>40046905</v>
      </c>
      <c r="B139" s="46" t="s">
        <v>540</v>
      </c>
      <c r="C139" s="223">
        <v>3</v>
      </c>
      <c r="D139" s="49" t="s">
        <v>126</v>
      </c>
      <c r="E139" s="100"/>
      <c r="F139" s="150" t="s">
        <v>530</v>
      </c>
      <c r="G139" s="150" t="s">
        <v>528</v>
      </c>
      <c r="H139" s="150" t="s">
        <v>467</v>
      </c>
      <c r="I139" s="128" t="str">
        <f t="shared" si="253"/>
        <v>[effect:enemy_message, val1:2.2, val2:0.0]</v>
      </c>
      <c r="J139" s="128">
        <f t="shared" si="254"/>
        <v>9</v>
      </c>
      <c r="K139" s="128">
        <f t="shared" si="255"/>
        <v>22</v>
      </c>
      <c r="L139" s="128" t="e">
        <f t="shared" si="256"/>
        <v>#VALUE!</v>
      </c>
      <c r="M139" s="128">
        <f t="shared" si="257"/>
        <v>32</v>
      </c>
      <c r="N139" s="128" t="str">
        <f>IFERROR(VLOOKUP(MID(I139,L139,M139-L139),[6]skilldef!$C:$D,2,FALSE),"-") &amp; " / " &amp; IFERROR(VLOOKUP(MID(I139,J139,K139-J139),[6]skilldef!$A:$B,2,FALSE),"-")</f>
        <v>- / -</v>
      </c>
      <c r="O139" s="128" t="str">
        <f t="shared" si="258"/>
        <v>none</v>
      </c>
      <c r="P139" s="125" t="str">
        <f>IFERROR(LEFT(O139,FIND("],",O139)+#REF!),O139)</f>
        <v>none</v>
      </c>
      <c r="Q139" s="128" t="e">
        <f t="shared" si="259"/>
        <v>#VALUE!</v>
      </c>
      <c r="R139" s="128">
        <f t="shared" si="260"/>
        <v>4</v>
      </c>
      <c r="S139" s="128" t="e">
        <f t="shared" si="261"/>
        <v>#VALUE!</v>
      </c>
      <c r="T139" s="128" t="e">
        <f t="shared" si="262"/>
        <v>#VALUE!</v>
      </c>
      <c r="U139" s="128" t="str">
        <f>IFERROR(VLOOKUP(MID(P139,S139,T139-S139),[6]skilldef!$C:$D,2,FALSE),"-") &amp; " / " &amp; IFERROR(VLOOKUP(MID(P139,Q139,R139-Q139),[6]skilldef!$A:$B,2,FALSE),"-")</f>
        <v>- / -</v>
      </c>
      <c r="V139" s="125" t="str">
        <f t="shared" si="263"/>
        <v>none</v>
      </c>
      <c r="W139" s="128" t="e">
        <f t="shared" si="264"/>
        <v>#VALUE!</v>
      </c>
      <c r="X139" s="128">
        <f t="shared" si="265"/>
        <v>4</v>
      </c>
      <c r="Y139" s="128" t="e">
        <f t="shared" si="266"/>
        <v>#VALUE!</v>
      </c>
      <c r="Z139" s="128" t="e">
        <f t="shared" si="267"/>
        <v>#VALUE!</v>
      </c>
      <c r="AA139" s="128" t="str">
        <f>IFERROR(VLOOKUP(MID(V139,Y139,Z139-Y139),[6]skilldef!$C:$D,2,FALSE),"-") &amp; " / " &amp; IFERROR(VLOOKUP(MID(V139,W139,X139-W139),[6]skilldef!$A:$B,2,FALSE),"-")</f>
        <v>- / -</v>
      </c>
      <c r="AB139" s="127"/>
      <c r="AC139" s="129"/>
      <c r="AD139" s="127"/>
      <c r="AE139" s="159"/>
      <c r="AF139" s="131"/>
    </row>
    <row r="140" spans="1:32" s="132" customFormat="1" ht="33" customHeight="1" x14ac:dyDescent="0.15">
      <c r="A140" s="213">
        <v>40046906</v>
      </c>
      <c r="B140" s="46" t="s">
        <v>540</v>
      </c>
      <c r="C140" s="223">
        <v>3</v>
      </c>
      <c r="D140" s="49" t="s">
        <v>126</v>
      </c>
      <c r="E140" s="100"/>
      <c r="F140" s="150" t="s">
        <v>530</v>
      </c>
      <c r="G140" s="150" t="s">
        <v>528</v>
      </c>
      <c r="H140" s="150" t="s">
        <v>467</v>
      </c>
      <c r="I140" s="128" t="str">
        <f t="shared" ref="I140:I142" si="268">IFERROR(LEFT(B140,FIND("],",B140)),B140)</f>
        <v>[effect:enemy_message, val1:2.2, val2:0.0]</v>
      </c>
      <c r="J140" s="128">
        <f t="shared" ref="J140:J142" si="269">FIND("effect:",I140)+7</f>
        <v>9</v>
      </c>
      <c r="K140" s="128">
        <f t="shared" ref="K140:K142" si="270">IFERROR(FIND(",",I140),LEN(I140))</f>
        <v>22</v>
      </c>
      <c r="L140" s="128" t="e">
        <f t="shared" ref="L140:L142" si="271">FIND("target:",I140)+7</f>
        <v>#VALUE!</v>
      </c>
      <c r="M140" s="128">
        <f t="shared" ref="M140:M142" si="272">FIND(",",I140,K140+1)</f>
        <v>32</v>
      </c>
      <c r="N140" s="128" t="str">
        <f>IFERROR(VLOOKUP(MID(I140,L140,M140-L140),[6]skilldef!$C:$D,2,FALSE),"-") &amp; " / " &amp; IFERROR(VLOOKUP(MID(I140,J140,K140-J140),[6]skilldef!$A:$B,2,FALSE),"-")</f>
        <v>- / -</v>
      </c>
      <c r="O140" s="128" t="str">
        <f t="shared" ref="O140:O142" si="273">IFERROR(RIGHT(B140,LEN(B140)-FIND("],",B140)-1),"none")</f>
        <v>none</v>
      </c>
      <c r="P140" s="125" t="str">
        <f>IFERROR(LEFT(O140,FIND("],",O140)+#REF!),O140)</f>
        <v>none</v>
      </c>
      <c r="Q140" s="128" t="e">
        <f t="shared" ref="Q140:Q142" si="274">FIND("effect:",P140)+7</f>
        <v>#VALUE!</v>
      </c>
      <c r="R140" s="128">
        <f t="shared" ref="R140:R142" si="275">IFERROR(FIND(",",P140),LEN(P140))</f>
        <v>4</v>
      </c>
      <c r="S140" s="128" t="e">
        <f t="shared" ref="S140:S142" si="276">FIND("target:",P140)+7</f>
        <v>#VALUE!</v>
      </c>
      <c r="T140" s="128" t="e">
        <f t="shared" ref="T140:T142" si="277">FIND(",",P140,R140+1)</f>
        <v>#VALUE!</v>
      </c>
      <c r="U140" s="128" t="str">
        <f>IFERROR(VLOOKUP(MID(P140,S140,T140-S140),[6]skilldef!$C:$D,2,FALSE),"-") &amp; " / " &amp; IFERROR(VLOOKUP(MID(P140,Q140,R140-Q140),[6]skilldef!$A:$B,2,FALSE),"-")</f>
        <v>- / -</v>
      </c>
      <c r="V140" s="125" t="str">
        <f t="shared" ref="V140:V142" si="278">IFERROR(RIGHT(O140,LEN(O140)-FIND("],",O140)-1),"none")</f>
        <v>none</v>
      </c>
      <c r="W140" s="128" t="e">
        <f t="shared" ref="W140:W142" si="279">FIND("effect:",V140)+7</f>
        <v>#VALUE!</v>
      </c>
      <c r="X140" s="128">
        <f t="shared" ref="X140:X142" si="280">IFERROR(FIND(",",V140),LEN(V140))</f>
        <v>4</v>
      </c>
      <c r="Y140" s="128" t="e">
        <f t="shared" ref="Y140:Y142" si="281">FIND("target:",V140)+7</f>
        <v>#VALUE!</v>
      </c>
      <c r="Z140" s="128" t="e">
        <f t="shared" ref="Z140:Z142" si="282">FIND(",",V140,X140+1)</f>
        <v>#VALUE!</v>
      </c>
      <c r="AA140" s="128" t="str">
        <f>IFERROR(VLOOKUP(MID(V140,Y140,Z140-Y140),[6]skilldef!$C:$D,2,FALSE),"-") &amp; " / " &amp; IFERROR(VLOOKUP(MID(V140,W140,X140-W140),[6]skilldef!$A:$B,2,FALSE),"-")</f>
        <v>- / -</v>
      </c>
      <c r="AB140" s="127"/>
      <c r="AC140" s="129"/>
      <c r="AD140" s="127"/>
      <c r="AE140" s="159"/>
      <c r="AF140" s="131"/>
    </row>
    <row r="141" spans="1:32" s="132" customFormat="1" ht="33" customHeight="1" x14ac:dyDescent="0.15">
      <c r="A141" s="213">
        <v>40046907</v>
      </c>
      <c r="B141" s="46" t="s">
        <v>541</v>
      </c>
      <c r="C141" s="223">
        <v>3</v>
      </c>
      <c r="D141" s="49" t="s">
        <v>126</v>
      </c>
      <c r="E141" s="100"/>
      <c r="F141" s="150" t="s">
        <v>527</v>
      </c>
      <c r="G141" s="150" t="s">
        <v>523</v>
      </c>
      <c r="H141" s="150" t="s">
        <v>467</v>
      </c>
      <c r="I141" s="128" t="str">
        <f t="shared" si="268"/>
        <v>[effect:enemy_message, val1:2.3, val2:0.0]</v>
      </c>
      <c r="J141" s="128">
        <f t="shared" si="269"/>
        <v>9</v>
      </c>
      <c r="K141" s="128">
        <f t="shared" si="270"/>
        <v>22</v>
      </c>
      <c r="L141" s="128" t="e">
        <f t="shared" si="271"/>
        <v>#VALUE!</v>
      </c>
      <c r="M141" s="128">
        <f t="shared" si="272"/>
        <v>32</v>
      </c>
      <c r="N141" s="128" t="str">
        <f>IFERROR(VLOOKUP(MID(I141,L141,M141-L141),[6]skilldef!$C:$D,2,FALSE),"-") &amp; " / " &amp; IFERROR(VLOOKUP(MID(I141,J141,K141-J141),[6]skilldef!$A:$B,2,FALSE),"-")</f>
        <v>- / -</v>
      </c>
      <c r="O141" s="128" t="str">
        <f t="shared" si="273"/>
        <v>none</v>
      </c>
      <c r="P141" s="125" t="str">
        <f>IFERROR(LEFT(O141,FIND("],",O141)+#REF!),O141)</f>
        <v>none</v>
      </c>
      <c r="Q141" s="128" t="e">
        <f t="shared" si="274"/>
        <v>#VALUE!</v>
      </c>
      <c r="R141" s="128">
        <f t="shared" si="275"/>
        <v>4</v>
      </c>
      <c r="S141" s="128" t="e">
        <f t="shared" si="276"/>
        <v>#VALUE!</v>
      </c>
      <c r="T141" s="128" t="e">
        <f t="shared" si="277"/>
        <v>#VALUE!</v>
      </c>
      <c r="U141" s="128" t="str">
        <f>IFERROR(VLOOKUP(MID(P141,S141,T141-S141),[6]skilldef!$C:$D,2,FALSE),"-") &amp; " / " &amp; IFERROR(VLOOKUP(MID(P141,Q141,R141-Q141),[6]skilldef!$A:$B,2,FALSE),"-")</f>
        <v>- / -</v>
      </c>
      <c r="V141" s="125" t="str">
        <f t="shared" si="278"/>
        <v>none</v>
      </c>
      <c r="W141" s="128" t="e">
        <f t="shared" si="279"/>
        <v>#VALUE!</v>
      </c>
      <c r="X141" s="128">
        <f t="shared" si="280"/>
        <v>4</v>
      </c>
      <c r="Y141" s="128" t="e">
        <f t="shared" si="281"/>
        <v>#VALUE!</v>
      </c>
      <c r="Z141" s="128" t="e">
        <f t="shared" si="282"/>
        <v>#VALUE!</v>
      </c>
      <c r="AA141" s="128" t="str">
        <f>IFERROR(VLOOKUP(MID(V141,Y141,Z141-Y141),[6]skilldef!$C:$D,2,FALSE),"-") &amp; " / " &amp; IFERROR(VLOOKUP(MID(V141,W141,X141-W141),[6]skilldef!$A:$B,2,FALSE),"-")</f>
        <v>- / -</v>
      </c>
      <c r="AB141" s="127"/>
      <c r="AC141" s="129"/>
      <c r="AD141" s="127"/>
      <c r="AE141" s="159"/>
      <c r="AF141" s="131"/>
    </row>
    <row r="142" spans="1:32" s="132" customFormat="1" ht="33" customHeight="1" x14ac:dyDescent="0.15">
      <c r="A142" s="213">
        <v>40046908</v>
      </c>
      <c r="B142" s="46" t="s">
        <v>541</v>
      </c>
      <c r="C142" s="49">
        <v>3</v>
      </c>
      <c r="D142" s="49" t="s">
        <v>126</v>
      </c>
      <c r="E142" s="100"/>
      <c r="F142" s="150" t="s">
        <v>527</v>
      </c>
      <c r="G142" s="150" t="s">
        <v>523</v>
      </c>
      <c r="H142" s="150" t="s">
        <v>467</v>
      </c>
      <c r="I142" s="128" t="str">
        <f t="shared" si="268"/>
        <v>[effect:enemy_message, val1:2.3, val2:0.0]</v>
      </c>
      <c r="J142" s="128">
        <f t="shared" si="269"/>
        <v>9</v>
      </c>
      <c r="K142" s="128">
        <f t="shared" si="270"/>
        <v>22</v>
      </c>
      <c r="L142" s="128" t="e">
        <f t="shared" si="271"/>
        <v>#VALUE!</v>
      </c>
      <c r="M142" s="128">
        <f t="shared" si="272"/>
        <v>32</v>
      </c>
      <c r="N142" s="128" t="str">
        <f>IFERROR(VLOOKUP(MID(I142,L142,M142-L142),[6]skilldef!$C:$D,2,FALSE),"-") &amp; " / " &amp; IFERROR(VLOOKUP(MID(I142,J142,K142-J142),[6]skilldef!$A:$B,2,FALSE),"-")</f>
        <v>- / -</v>
      </c>
      <c r="O142" s="128" t="str">
        <f t="shared" si="273"/>
        <v>none</v>
      </c>
      <c r="P142" s="125" t="str">
        <f>IFERROR(LEFT(O142,FIND("],",O142)+#REF!),O142)</f>
        <v>none</v>
      </c>
      <c r="Q142" s="128" t="e">
        <f t="shared" si="274"/>
        <v>#VALUE!</v>
      </c>
      <c r="R142" s="128">
        <f t="shared" si="275"/>
        <v>4</v>
      </c>
      <c r="S142" s="128" t="e">
        <f t="shared" si="276"/>
        <v>#VALUE!</v>
      </c>
      <c r="T142" s="128" t="e">
        <f t="shared" si="277"/>
        <v>#VALUE!</v>
      </c>
      <c r="U142" s="128" t="str">
        <f>IFERROR(VLOOKUP(MID(P142,S142,T142-S142),[6]skilldef!$C:$D,2,FALSE),"-") &amp; " / " &amp; IFERROR(VLOOKUP(MID(P142,Q142,R142-Q142),[6]skilldef!$A:$B,2,FALSE),"-")</f>
        <v>- / -</v>
      </c>
      <c r="V142" s="125" t="str">
        <f t="shared" si="278"/>
        <v>none</v>
      </c>
      <c r="W142" s="128" t="e">
        <f t="shared" si="279"/>
        <v>#VALUE!</v>
      </c>
      <c r="X142" s="128">
        <f t="shared" si="280"/>
        <v>4</v>
      </c>
      <c r="Y142" s="128" t="e">
        <f t="shared" si="281"/>
        <v>#VALUE!</v>
      </c>
      <c r="Z142" s="128" t="e">
        <f t="shared" si="282"/>
        <v>#VALUE!</v>
      </c>
      <c r="AA142" s="128" t="str">
        <f>IFERROR(VLOOKUP(MID(V142,Y142,Z142-Y142),[6]skilldef!$C:$D,2,FALSE),"-") &amp; " / " &amp; IFERROR(VLOOKUP(MID(V142,W142,X142-W142),[6]skilldef!$A:$B,2,FALSE),"-")</f>
        <v>- / -</v>
      </c>
      <c r="AB142" s="127"/>
      <c r="AC142" s="129"/>
      <c r="AD142" s="127"/>
      <c r="AE142" s="159"/>
      <c r="AF142" s="131"/>
    </row>
  </sheetData>
  <autoFilter ref="A1:AD1"/>
  <phoneticPr fontId="6"/>
  <conditionalFormatting sqref="A68:A82 A84:A88 A99:A107 A109:A133 A92:A97 A90">
    <cfRule type="containsText" dxfId="57" priority="23" operator="containsText" text="死亡">
      <formula>NOT(ISERROR(SEARCH("死亡",A68)))</formula>
    </cfRule>
    <cfRule type="containsText" dxfId="56" priority="24" operator="containsText" text="開幕">
      <formula>NOT(ISERROR(SEARCH("開幕",A68)))</formula>
    </cfRule>
  </conditionalFormatting>
  <conditionalFormatting sqref="A83">
    <cfRule type="containsText" dxfId="55" priority="21" operator="containsText" text="死亡">
      <formula>NOT(ISERROR(SEARCH("死亡",A83)))</formula>
    </cfRule>
    <cfRule type="containsText" dxfId="54" priority="22" operator="containsText" text="開幕">
      <formula>NOT(ISERROR(SEARCH("開幕",A83)))</formula>
    </cfRule>
  </conditionalFormatting>
  <conditionalFormatting sqref="A98">
    <cfRule type="containsText" dxfId="53" priority="19" operator="containsText" text="死亡">
      <formula>NOT(ISERROR(SEARCH("死亡",A98)))</formula>
    </cfRule>
    <cfRule type="containsText" dxfId="52" priority="20" operator="containsText" text="開幕">
      <formula>NOT(ISERROR(SEARCH("開幕",A98)))</formula>
    </cfRule>
  </conditionalFormatting>
  <conditionalFormatting sqref="A108">
    <cfRule type="containsText" dxfId="51" priority="17" operator="containsText" text="死亡">
      <formula>NOT(ISERROR(SEARCH("死亡",A108)))</formula>
    </cfRule>
    <cfRule type="containsText" dxfId="50" priority="18" operator="containsText" text="開幕">
      <formula>NOT(ISERROR(SEARCH("開幕",A108)))</formula>
    </cfRule>
  </conditionalFormatting>
  <conditionalFormatting sqref="A134:A136">
    <cfRule type="containsText" dxfId="49" priority="7" operator="containsText" text="死亡">
      <formula>NOT(ISERROR(SEARCH("死亡",A134)))</formula>
    </cfRule>
    <cfRule type="containsText" dxfId="48" priority="8" operator="containsText" text="開幕">
      <formula>NOT(ISERROR(SEARCH("開幕",A134)))</formula>
    </cfRule>
  </conditionalFormatting>
  <conditionalFormatting sqref="A91">
    <cfRule type="containsText" dxfId="47" priority="5" operator="containsText" text="死亡">
      <formula>NOT(ISERROR(SEARCH("死亡",A91)))</formula>
    </cfRule>
    <cfRule type="containsText" dxfId="46" priority="6" operator="containsText" text="開幕">
      <formula>NOT(ISERROR(SEARCH("開幕",A91)))</formula>
    </cfRule>
  </conditionalFormatting>
  <conditionalFormatting sqref="A25">
    <cfRule type="containsText" dxfId="45" priority="3" operator="containsText" text="死亡">
      <formula>NOT(ISERROR(SEARCH("死亡",A25)))</formula>
    </cfRule>
    <cfRule type="containsText" dxfId="44" priority="4" operator="containsText" text="開幕">
      <formula>NOT(ISERROR(SEARCH("開幕",A25)))</formula>
    </cfRule>
  </conditionalFormatting>
  <conditionalFormatting sqref="A89">
    <cfRule type="containsText" dxfId="43" priority="1" operator="containsText" text="死亡">
      <formula>NOT(ISERROR(SEARCH("死亡",A89)))</formula>
    </cfRule>
    <cfRule type="containsText" dxfId="42" priority="2" operator="containsText" text="開幕">
      <formula>NOT(ISERROR(SEARCH("開幕",A89)))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75"/>
  <sheetViews>
    <sheetView showGridLines="0" workbookViewId="0">
      <pane ySplit="1" topLeftCell="A8" activePane="bottomLeft" state="frozenSplit"/>
      <selection pane="bottomLeft" activeCell="N23" sqref="N23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0.83203125" style="48" customWidth="1"/>
    <col min="3" max="3" width="11" style="48" customWidth="1"/>
    <col min="4" max="4" width="12.5" style="48" customWidth="1"/>
    <col min="5" max="6" width="12.33203125" style="48" customWidth="1"/>
    <col min="7" max="7" width="13.5" style="48" customWidth="1"/>
    <col min="8" max="8" width="10" style="48" customWidth="1"/>
    <col min="9" max="9" width="11" style="48" customWidth="1"/>
    <col min="10" max="10" width="14.6640625" style="48" hidden="1" customWidth="1"/>
    <col min="11" max="11" width="2.83203125" style="38" customWidth="1"/>
    <col min="12" max="12" width="15.33203125" style="44" bestFit="1" customWidth="1"/>
    <col min="13" max="13" width="13.83203125" style="44" bestFit="1" customWidth="1"/>
    <col min="14" max="16384" width="12.83203125" style="44"/>
  </cols>
  <sheetData>
    <row r="1" spans="1:13" ht="21" customHeight="1" x14ac:dyDescent="0.15">
      <c r="A1" s="50" t="s">
        <v>83</v>
      </c>
      <c r="B1" s="50" t="s">
        <v>84</v>
      </c>
      <c r="C1" s="50" t="s">
        <v>85</v>
      </c>
      <c r="D1" s="50" t="s">
        <v>86</v>
      </c>
      <c r="E1" s="50" t="s">
        <v>69</v>
      </c>
      <c r="F1" s="50" t="s">
        <v>70</v>
      </c>
      <c r="G1" s="50" t="s">
        <v>71</v>
      </c>
      <c r="H1" s="50" t="s">
        <v>72</v>
      </c>
      <c r="I1" s="50" t="s">
        <v>73</v>
      </c>
      <c r="J1" s="50" t="s">
        <v>74</v>
      </c>
      <c r="K1" s="99"/>
    </row>
    <row r="2" spans="1:13" ht="21" customHeight="1" x14ac:dyDescent="0.15">
      <c r="A2" s="160">
        <v>40046000</v>
      </c>
      <c r="B2" s="102">
        <v>0</v>
      </c>
      <c r="C2" s="102">
        <v>490</v>
      </c>
      <c r="D2" s="102">
        <v>100</v>
      </c>
      <c r="E2" s="102" t="s">
        <v>251</v>
      </c>
      <c r="F2" s="102" t="s">
        <v>88</v>
      </c>
      <c r="G2" s="102">
        <v>1</v>
      </c>
      <c r="H2" s="102">
        <v>1</v>
      </c>
      <c r="I2" s="102" t="s">
        <v>88</v>
      </c>
      <c r="J2" s="103">
        <f t="shared" ref="J2" si="0">D2</f>
        <v>100</v>
      </c>
      <c r="K2" s="133"/>
      <c r="L2" s="149" t="s">
        <v>265</v>
      </c>
      <c r="M2" s="150" t="s">
        <v>266</v>
      </c>
    </row>
    <row r="3" spans="1:13" ht="21" customHeight="1" x14ac:dyDescent="0.15">
      <c r="A3" s="160">
        <v>40046001</v>
      </c>
      <c r="B3" s="102">
        <v>0</v>
      </c>
      <c r="C3" s="102">
        <v>480</v>
      </c>
      <c r="D3" s="102">
        <v>100</v>
      </c>
      <c r="E3" s="102" t="s">
        <v>251</v>
      </c>
      <c r="F3" s="102" t="s">
        <v>88</v>
      </c>
      <c r="G3" s="102">
        <v>1</v>
      </c>
      <c r="H3" s="102">
        <v>3</v>
      </c>
      <c r="I3" s="102" t="s">
        <v>88</v>
      </c>
      <c r="J3" s="103">
        <f t="shared" ref="J3:J66" si="1">D3</f>
        <v>100</v>
      </c>
      <c r="L3" s="149" t="s">
        <v>265</v>
      </c>
      <c r="M3" s="150" t="s">
        <v>269</v>
      </c>
    </row>
    <row r="4" spans="1:13" ht="21" customHeight="1" x14ac:dyDescent="0.15">
      <c r="A4" s="160">
        <v>40046002</v>
      </c>
      <c r="B4" s="102">
        <v>0</v>
      </c>
      <c r="C4" s="102">
        <v>470</v>
      </c>
      <c r="D4" s="102">
        <v>50</v>
      </c>
      <c r="E4" s="102" t="s">
        <v>251</v>
      </c>
      <c r="F4" s="102" t="s">
        <v>88</v>
      </c>
      <c r="G4" s="102" t="s">
        <v>251</v>
      </c>
      <c r="H4" s="102">
        <v>1</v>
      </c>
      <c r="I4" s="102" t="s">
        <v>88</v>
      </c>
      <c r="J4" s="103">
        <f t="shared" si="1"/>
        <v>50</v>
      </c>
      <c r="L4" s="149" t="s">
        <v>265</v>
      </c>
      <c r="M4" s="151">
        <v>0.5</v>
      </c>
    </row>
    <row r="5" spans="1:13" ht="21" customHeight="1" x14ac:dyDescent="0.15">
      <c r="A5" s="160">
        <v>40046003</v>
      </c>
      <c r="B5" s="102">
        <v>1</v>
      </c>
      <c r="C5" s="102">
        <v>500</v>
      </c>
      <c r="D5" s="102">
        <v>100</v>
      </c>
      <c r="E5" s="102" t="s">
        <v>251</v>
      </c>
      <c r="F5" s="102" t="s">
        <v>88</v>
      </c>
      <c r="G5" s="102">
        <v>1</v>
      </c>
      <c r="H5" s="102">
        <v>1</v>
      </c>
      <c r="I5" s="102" t="s">
        <v>88</v>
      </c>
      <c r="J5" s="103">
        <f t="shared" si="1"/>
        <v>100</v>
      </c>
      <c r="L5" s="149" t="s">
        <v>267</v>
      </c>
      <c r="M5" s="150" t="s">
        <v>270</v>
      </c>
    </row>
    <row r="6" spans="1:13" ht="21" customHeight="1" x14ac:dyDescent="0.15">
      <c r="A6" s="160">
        <v>40046004</v>
      </c>
      <c r="B6" s="102">
        <v>0</v>
      </c>
      <c r="C6" s="102">
        <v>490</v>
      </c>
      <c r="D6" s="102">
        <v>100</v>
      </c>
      <c r="E6" s="102" t="s">
        <v>251</v>
      </c>
      <c r="F6" s="102" t="s">
        <v>88</v>
      </c>
      <c r="G6" s="102">
        <v>1</v>
      </c>
      <c r="H6" s="102">
        <v>1</v>
      </c>
      <c r="I6" s="102" t="s">
        <v>88</v>
      </c>
      <c r="J6" s="103">
        <f t="shared" si="1"/>
        <v>100</v>
      </c>
      <c r="L6" s="149" t="s">
        <v>267</v>
      </c>
      <c r="M6" s="150" t="s">
        <v>266</v>
      </c>
    </row>
    <row r="7" spans="1:13" ht="21" customHeight="1" x14ac:dyDescent="0.15">
      <c r="A7" s="160">
        <v>40046005</v>
      </c>
      <c r="B7" s="102">
        <v>0</v>
      </c>
      <c r="C7" s="102">
        <v>480</v>
      </c>
      <c r="D7" s="102">
        <v>100</v>
      </c>
      <c r="E7" s="102" t="s">
        <v>251</v>
      </c>
      <c r="F7" s="102" t="s">
        <v>88</v>
      </c>
      <c r="G7" s="102">
        <v>1</v>
      </c>
      <c r="H7" s="102">
        <v>1</v>
      </c>
      <c r="I7" s="102" t="s">
        <v>88</v>
      </c>
      <c r="J7" s="103">
        <f t="shared" si="1"/>
        <v>100</v>
      </c>
      <c r="L7" s="149" t="s">
        <v>267</v>
      </c>
      <c r="M7" s="150" t="s">
        <v>271</v>
      </c>
    </row>
    <row r="8" spans="1:13" ht="21" customHeight="1" x14ac:dyDescent="0.15">
      <c r="A8" s="160">
        <v>40046006</v>
      </c>
      <c r="B8" s="102">
        <v>0</v>
      </c>
      <c r="C8" s="102">
        <v>470</v>
      </c>
      <c r="D8" s="102">
        <v>100</v>
      </c>
      <c r="E8" s="102" t="s">
        <v>251</v>
      </c>
      <c r="F8" s="102" t="s">
        <v>88</v>
      </c>
      <c r="G8" s="102">
        <v>1</v>
      </c>
      <c r="H8" s="102">
        <v>1</v>
      </c>
      <c r="I8" s="102" t="s">
        <v>88</v>
      </c>
      <c r="J8" s="103">
        <f t="shared" si="1"/>
        <v>100</v>
      </c>
      <c r="L8" s="149" t="s">
        <v>267</v>
      </c>
      <c r="M8" s="150" t="s">
        <v>268</v>
      </c>
    </row>
    <row r="9" spans="1:13" ht="21" customHeight="1" x14ac:dyDescent="0.15">
      <c r="A9" s="160">
        <v>40046007</v>
      </c>
      <c r="B9" s="102">
        <v>0</v>
      </c>
      <c r="C9" s="102">
        <v>460</v>
      </c>
      <c r="D9" s="102">
        <v>100</v>
      </c>
      <c r="E9" s="102" t="s">
        <v>251</v>
      </c>
      <c r="F9" s="102" t="s">
        <v>88</v>
      </c>
      <c r="G9" s="102">
        <v>1</v>
      </c>
      <c r="H9" s="102">
        <v>1</v>
      </c>
      <c r="I9" s="102" t="s">
        <v>88</v>
      </c>
      <c r="J9" s="103">
        <f t="shared" si="1"/>
        <v>100</v>
      </c>
      <c r="L9" s="149" t="s">
        <v>267</v>
      </c>
      <c r="M9" s="150" t="s">
        <v>272</v>
      </c>
    </row>
    <row r="10" spans="1:13" ht="21" customHeight="1" x14ac:dyDescent="0.15">
      <c r="A10" s="160">
        <v>40046008</v>
      </c>
      <c r="B10" s="102">
        <v>0</v>
      </c>
      <c r="C10" s="102">
        <v>430</v>
      </c>
      <c r="D10" s="102">
        <v>100</v>
      </c>
      <c r="E10" s="102" t="s">
        <v>251</v>
      </c>
      <c r="F10" s="102" t="s">
        <v>88</v>
      </c>
      <c r="G10" s="102" t="s">
        <v>251</v>
      </c>
      <c r="H10" s="102">
        <v>1</v>
      </c>
      <c r="I10" s="102" t="s">
        <v>88</v>
      </c>
      <c r="J10" s="103">
        <f t="shared" si="1"/>
        <v>100</v>
      </c>
      <c r="L10" s="149" t="s">
        <v>267</v>
      </c>
      <c r="M10" s="150" t="s">
        <v>273</v>
      </c>
    </row>
    <row r="11" spans="1:13" ht="21" customHeight="1" x14ac:dyDescent="0.15">
      <c r="A11" s="160">
        <v>40046009</v>
      </c>
      <c r="B11" s="102">
        <v>0</v>
      </c>
      <c r="C11" s="102">
        <v>440</v>
      </c>
      <c r="D11" s="102">
        <v>100</v>
      </c>
      <c r="E11" s="102" t="s">
        <v>251</v>
      </c>
      <c r="F11" s="102" t="s">
        <v>88</v>
      </c>
      <c r="G11" s="102" t="s">
        <v>251</v>
      </c>
      <c r="H11" s="102">
        <v>2</v>
      </c>
      <c r="I11" s="102" t="s">
        <v>88</v>
      </c>
      <c r="J11" s="103">
        <f t="shared" si="1"/>
        <v>100</v>
      </c>
      <c r="L11" s="149" t="s">
        <v>267</v>
      </c>
      <c r="M11" s="150" t="s">
        <v>274</v>
      </c>
    </row>
    <row r="12" spans="1:13" ht="21" customHeight="1" x14ac:dyDescent="0.15">
      <c r="A12" s="160">
        <v>40046010</v>
      </c>
      <c r="B12" s="102">
        <v>0</v>
      </c>
      <c r="C12" s="102">
        <v>450</v>
      </c>
      <c r="D12" s="102">
        <v>100</v>
      </c>
      <c r="E12" s="102" t="s">
        <v>251</v>
      </c>
      <c r="F12" s="102" t="s">
        <v>88</v>
      </c>
      <c r="G12" s="102" t="s">
        <v>251</v>
      </c>
      <c r="H12" s="102">
        <v>4</v>
      </c>
      <c r="I12" s="102" t="s">
        <v>88</v>
      </c>
      <c r="J12" s="103">
        <f t="shared" si="1"/>
        <v>100</v>
      </c>
      <c r="L12" s="149" t="s">
        <v>267</v>
      </c>
      <c r="M12" s="150" t="s">
        <v>275</v>
      </c>
    </row>
    <row r="13" spans="1:13" ht="21" customHeight="1" x14ac:dyDescent="0.15">
      <c r="A13" s="160">
        <v>40046011</v>
      </c>
      <c r="B13" s="102">
        <v>0</v>
      </c>
      <c r="C13" s="102">
        <v>490</v>
      </c>
      <c r="D13" s="102">
        <v>100</v>
      </c>
      <c r="E13" s="102" t="s">
        <v>251</v>
      </c>
      <c r="F13" s="102" t="s">
        <v>88</v>
      </c>
      <c r="G13" s="102">
        <v>1</v>
      </c>
      <c r="H13" s="102">
        <v>1</v>
      </c>
      <c r="I13" s="102" t="s">
        <v>88</v>
      </c>
      <c r="J13" s="103">
        <f t="shared" si="1"/>
        <v>100</v>
      </c>
      <c r="L13" s="149" t="s">
        <v>276</v>
      </c>
      <c r="M13" s="150" t="s">
        <v>266</v>
      </c>
    </row>
    <row r="14" spans="1:13" ht="21" customHeight="1" x14ac:dyDescent="0.15">
      <c r="A14" s="160">
        <v>40046012</v>
      </c>
      <c r="B14" s="102">
        <v>0</v>
      </c>
      <c r="C14" s="102">
        <v>480</v>
      </c>
      <c r="D14" s="102">
        <v>100</v>
      </c>
      <c r="E14" s="102" t="s">
        <v>251</v>
      </c>
      <c r="F14" s="102" t="s">
        <v>88</v>
      </c>
      <c r="G14" s="102">
        <v>1</v>
      </c>
      <c r="H14" s="102">
        <v>3</v>
      </c>
      <c r="I14" s="102" t="s">
        <v>88</v>
      </c>
      <c r="J14" s="103">
        <f t="shared" si="1"/>
        <v>100</v>
      </c>
      <c r="L14" s="149" t="s">
        <v>276</v>
      </c>
      <c r="M14" s="150" t="s">
        <v>269</v>
      </c>
    </row>
    <row r="15" spans="1:13" ht="21" customHeight="1" x14ac:dyDescent="0.15">
      <c r="A15" s="160">
        <v>40046013</v>
      </c>
      <c r="B15" s="102">
        <v>0</v>
      </c>
      <c r="C15" s="102">
        <v>470</v>
      </c>
      <c r="D15" s="102">
        <v>50</v>
      </c>
      <c r="E15" s="102" t="s">
        <v>251</v>
      </c>
      <c r="F15" s="102" t="s">
        <v>88</v>
      </c>
      <c r="G15" s="102" t="s">
        <v>251</v>
      </c>
      <c r="H15" s="102">
        <v>1</v>
      </c>
      <c r="I15" s="102" t="s">
        <v>88</v>
      </c>
      <c r="J15" s="103">
        <f t="shared" si="1"/>
        <v>50</v>
      </c>
      <c r="L15" s="149" t="s">
        <v>276</v>
      </c>
      <c r="M15" s="151">
        <v>0.5</v>
      </c>
    </row>
    <row r="16" spans="1:13" ht="21" customHeight="1" x14ac:dyDescent="0.15">
      <c r="A16" s="161">
        <v>40046020</v>
      </c>
      <c r="B16" s="102">
        <v>1</v>
      </c>
      <c r="C16" s="102">
        <v>500</v>
      </c>
      <c r="D16" s="102">
        <v>100</v>
      </c>
      <c r="E16" s="102" t="s">
        <v>251</v>
      </c>
      <c r="F16" s="102" t="s">
        <v>88</v>
      </c>
      <c r="G16" s="102">
        <v>1</v>
      </c>
      <c r="H16" s="102">
        <v>1</v>
      </c>
      <c r="I16" s="102" t="s">
        <v>88</v>
      </c>
      <c r="J16" s="103">
        <f t="shared" si="1"/>
        <v>100</v>
      </c>
      <c r="L16" s="152" t="s">
        <v>277</v>
      </c>
      <c r="M16" s="150" t="s">
        <v>270</v>
      </c>
    </row>
    <row r="17" spans="1:14" ht="21" customHeight="1" x14ac:dyDescent="0.15">
      <c r="A17" s="161">
        <v>40046021</v>
      </c>
      <c r="B17" s="102">
        <v>0</v>
      </c>
      <c r="C17" s="102">
        <v>490</v>
      </c>
      <c r="D17" s="102">
        <v>100</v>
      </c>
      <c r="E17" s="102" t="s">
        <v>251</v>
      </c>
      <c r="F17" s="102">
        <v>50</v>
      </c>
      <c r="G17" s="102" t="s">
        <v>251</v>
      </c>
      <c r="H17" s="102">
        <v>1</v>
      </c>
      <c r="I17" s="102" t="s">
        <v>88</v>
      </c>
      <c r="J17" s="103">
        <f t="shared" si="1"/>
        <v>100</v>
      </c>
      <c r="L17" s="152" t="s">
        <v>277</v>
      </c>
      <c r="M17" s="150" t="s">
        <v>278</v>
      </c>
    </row>
    <row r="18" spans="1:14" ht="21" customHeight="1" x14ac:dyDescent="0.15">
      <c r="A18" s="161">
        <v>40046026</v>
      </c>
      <c r="B18" s="102">
        <v>0</v>
      </c>
      <c r="C18" s="102">
        <v>491</v>
      </c>
      <c r="D18" s="102">
        <v>100</v>
      </c>
      <c r="E18" s="102" t="s">
        <v>87</v>
      </c>
      <c r="F18" s="102">
        <v>50</v>
      </c>
      <c r="G18" s="102" t="s">
        <v>87</v>
      </c>
      <c r="H18" s="102">
        <v>2</v>
      </c>
      <c r="I18" s="102" t="s">
        <v>87</v>
      </c>
      <c r="J18" s="103">
        <f t="shared" ref="J18" si="2">D18</f>
        <v>100</v>
      </c>
      <c r="L18" s="152" t="s">
        <v>277</v>
      </c>
      <c r="M18" s="150" t="s">
        <v>278</v>
      </c>
    </row>
    <row r="19" spans="1:14" ht="21" customHeight="1" x14ac:dyDescent="0.15">
      <c r="A19" s="161">
        <v>40046022</v>
      </c>
      <c r="B19" s="102">
        <v>0</v>
      </c>
      <c r="C19" s="102">
        <v>480</v>
      </c>
      <c r="D19" s="102">
        <v>100</v>
      </c>
      <c r="E19" s="102">
        <v>20</v>
      </c>
      <c r="F19" s="102" t="s">
        <v>88</v>
      </c>
      <c r="G19" s="102">
        <v>1</v>
      </c>
      <c r="H19" s="102">
        <v>1</v>
      </c>
      <c r="I19" s="102" t="s">
        <v>88</v>
      </c>
      <c r="J19" s="103">
        <f t="shared" si="1"/>
        <v>100</v>
      </c>
      <c r="L19" s="152" t="s">
        <v>277</v>
      </c>
      <c r="M19" s="150" t="s">
        <v>399</v>
      </c>
    </row>
    <row r="20" spans="1:14" ht="21" customHeight="1" x14ac:dyDescent="0.15">
      <c r="A20" s="161">
        <v>40046023</v>
      </c>
      <c r="B20" s="102">
        <v>0</v>
      </c>
      <c r="C20" s="102">
        <v>470</v>
      </c>
      <c r="D20" s="102">
        <v>100</v>
      </c>
      <c r="E20" s="102" t="s">
        <v>251</v>
      </c>
      <c r="F20" s="102" t="s">
        <v>88</v>
      </c>
      <c r="G20" s="102" t="s">
        <v>87</v>
      </c>
      <c r="H20" s="102">
        <v>2</v>
      </c>
      <c r="I20" s="102" t="s">
        <v>88</v>
      </c>
      <c r="J20" s="103">
        <f t="shared" si="1"/>
        <v>100</v>
      </c>
      <c r="L20" s="152" t="s">
        <v>277</v>
      </c>
      <c r="M20" s="150" t="s">
        <v>280</v>
      </c>
    </row>
    <row r="21" spans="1:14" ht="21" customHeight="1" x14ac:dyDescent="0.15">
      <c r="A21" s="161">
        <v>40046024</v>
      </c>
      <c r="B21" s="102">
        <v>0</v>
      </c>
      <c r="C21" s="102">
        <v>460</v>
      </c>
      <c r="D21" s="102">
        <v>40</v>
      </c>
      <c r="E21" s="102" t="s">
        <v>251</v>
      </c>
      <c r="F21" s="102" t="s">
        <v>88</v>
      </c>
      <c r="G21" s="102" t="s">
        <v>251</v>
      </c>
      <c r="H21" s="102">
        <v>1</v>
      </c>
      <c r="I21" s="102" t="s">
        <v>88</v>
      </c>
      <c r="J21" s="103">
        <f t="shared" si="1"/>
        <v>40</v>
      </c>
      <c r="L21" s="152" t="s">
        <v>277</v>
      </c>
      <c r="M21" s="150" t="s">
        <v>281</v>
      </c>
    </row>
    <row r="22" spans="1:14" ht="21" customHeight="1" x14ac:dyDescent="0.15">
      <c r="A22" s="161">
        <v>40046025</v>
      </c>
      <c r="B22" s="102">
        <v>0</v>
      </c>
      <c r="C22" s="102">
        <v>450</v>
      </c>
      <c r="D22" s="102">
        <v>100</v>
      </c>
      <c r="E22" s="102" t="s">
        <v>251</v>
      </c>
      <c r="F22" s="102" t="s">
        <v>88</v>
      </c>
      <c r="G22" s="102" t="s">
        <v>251</v>
      </c>
      <c r="H22" s="102">
        <v>1</v>
      </c>
      <c r="I22" s="102" t="s">
        <v>88</v>
      </c>
      <c r="J22" s="103">
        <f t="shared" si="1"/>
        <v>100</v>
      </c>
      <c r="L22" s="152" t="s">
        <v>277</v>
      </c>
      <c r="M22" s="150" t="s">
        <v>282</v>
      </c>
    </row>
    <row r="23" spans="1:14" ht="21" customHeight="1" x14ac:dyDescent="0.15">
      <c r="A23" s="161">
        <v>40046027</v>
      </c>
      <c r="B23" s="102">
        <v>1</v>
      </c>
      <c r="C23" s="102" t="s">
        <v>87</v>
      </c>
      <c r="D23" s="102">
        <v>100</v>
      </c>
      <c r="E23" s="102" t="s">
        <v>87</v>
      </c>
      <c r="F23" s="102" t="s">
        <v>87</v>
      </c>
      <c r="G23" s="102">
        <v>1</v>
      </c>
      <c r="H23" s="102">
        <v>1</v>
      </c>
      <c r="I23" s="102" t="s">
        <v>87</v>
      </c>
      <c r="J23" s="103">
        <f t="shared" ref="J23" si="3">D23</f>
        <v>100</v>
      </c>
      <c r="L23" s="152" t="s">
        <v>277</v>
      </c>
      <c r="M23" s="150" t="s">
        <v>550</v>
      </c>
      <c r="N23" s="44" t="s">
        <v>551</v>
      </c>
    </row>
    <row r="24" spans="1:14" ht="21" customHeight="1" x14ac:dyDescent="0.15">
      <c r="A24" s="162">
        <v>40046030</v>
      </c>
      <c r="B24" s="102">
        <v>1</v>
      </c>
      <c r="C24" s="102">
        <v>500</v>
      </c>
      <c r="D24" s="102">
        <v>100</v>
      </c>
      <c r="E24" s="102" t="s">
        <v>87</v>
      </c>
      <c r="F24" s="102" t="s">
        <v>87</v>
      </c>
      <c r="G24" s="102">
        <v>1</v>
      </c>
      <c r="H24" s="102">
        <v>1</v>
      </c>
      <c r="I24" s="102" t="s">
        <v>87</v>
      </c>
      <c r="J24" s="103">
        <f t="shared" ref="J24" si="4">D24</f>
        <v>100</v>
      </c>
      <c r="L24" s="153" t="s">
        <v>285</v>
      </c>
      <c r="M24" s="150" t="s">
        <v>270</v>
      </c>
    </row>
    <row r="25" spans="1:14" ht="21" customHeight="1" x14ac:dyDescent="0.15">
      <c r="A25" s="162">
        <v>40046038</v>
      </c>
      <c r="B25" s="102">
        <v>1</v>
      </c>
      <c r="C25" s="102">
        <v>700</v>
      </c>
      <c r="D25" s="102">
        <v>100</v>
      </c>
      <c r="E25" s="102" t="s">
        <v>251</v>
      </c>
      <c r="F25" s="102" t="s">
        <v>88</v>
      </c>
      <c r="G25" s="102">
        <v>1</v>
      </c>
      <c r="H25" s="102">
        <v>1</v>
      </c>
      <c r="I25" s="102">
        <v>648</v>
      </c>
      <c r="J25" s="103">
        <f t="shared" si="1"/>
        <v>100</v>
      </c>
      <c r="L25" s="153" t="s">
        <v>285</v>
      </c>
      <c r="M25" s="150" t="s">
        <v>270</v>
      </c>
      <c r="N25" s="44" t="s">
        <v>535</v>
      </c>
    </row>
    <row r="26" spans="1:14" ht="21" customHeight="1" x14ac:dyDescent="0.15">
      <c r="A26" s="162">
        <v>40046031</v>
      </c>
      <c r="B26" s="102">
        <v>0</v>
      </c>
      <c r="C26" s="102">
        <v>490</v>
      </c>
      <c r="D26" s="102">
        <v>100</v>
      </c>
      <c r="E26" s="102" t="s">
        <v>251</v>
      </c>
      <c r="F26" s="102" t="s">
        <v>88</v>
      </c>
      <c r="G26" s="102">
        <v>1</v>
      </c>
      <c r="H26" s="102">
        <v>1</v>
      </c>
      <c r="I26" s="102" t="s">
        <v>88</v>
      </c>
      <c r="J26" s="103">
        <f t="shared" si="1"/>
        <v>100</v>
      </c>
      <c r="L26" s="153" t="s">
        <v>285</v>
      </c>
      <c r="M26" s="150" t="s">
        <v>266</v>
      </c>
    </row>
    <row r="27" spans="1:14" ht="21" customHeight="1" x14ac:dyDescent="0.15">
      <c r="A27" s="162">
        <v>40046032</v>
      </c>
      <c r="B27" s="102">
        <v>0</v>
      </c>
      <c r="C27" s="102">
        <v>480</v>
      </c>
      <c r="D27" s="102">
        <v>100</v>
      </c>
      <c r="E27" s="102" t="s">
        <v>251</v>
      </c>
      <c r="F27" s="102" t="s">
        <v>88</v>
      </c>
      <c r="G27" s="102">
        <v>1</v>
      </c>
      <c r="H27" s="102">
        <v>1</v>
      </c>
      <c r="I27" s="102" t="s">
        <v>88</v>
      </c>
      <c r="J27" s="103">
        <f t="shared" si="1"/>
        <v>100</v>
      </c>
      <c r="L27" s="153" t="s">
        <v>285</v>
      </c>
      <c r="M27" s="150" t="s">
        <v>271</v>
      </c>
    </row>
    <row r="28" spans="1:14" ht="21" customHeight="1" x14ac:dyDescent="0.15">
      <c r="A28" s="162">
        <v>40046033</v>
      </c>
      <c r="B28" s="102">
        <v>0</v>
      </c>
      <c r="C28" s="102">
        <v>470</v>
      </c>
      <c r="D28" s="102">
        <v>100</v>
      </c>
      <c r="E28" s="102" t="s">
        <v>251</v>
      </c>
      <c r="F28" s="102" t="s">
        <v>88</v>
      </c>
      <c r="G28" s="102">
        <v>1</v>
      </c>
      <c r="H28" s="102">
        <v>1</v>
      </c>
      <c r="I28" s="102" t="s">
        <v>88</v>
      </c>
      <c r="J28" s="103">
        <f t="shared" si="1"/>
        <v>100</v>
      </c>
      <c r="L28" s="153" t="s">
        <v>285</v>
      </c>
      <c r="M28" s="150" t="s">
        <v>268</v>
      </c>
    </row>
    <row r="29" spans="1:14" ht="21" customHeight="1" x14ac:dyDescent="0.15">
      <c r="A29" s="162">
        <v>40046034</v>
      </c>
      <c r="B29" s="102">
        <v>0</v>
      </c>
      <c r="C29" s="102">
        <v>460</v>
      </c>
      <c r="D29" s="102">
        <v>100</v>
      </c>
      <c r="E29" s="102" t="s">
        <v>251</v>
      </c>
      <c r="F29" s="102" t="s">
        <v>88</v>
      </c>
      <c r="G29" s="102">
        <v>1</v>
      </c>
      <c r="H29" s="102">
        <v>1</v>
      </c>
      <c r="I29" s="102" t="s">
        <v>88</v>
      </c>
      <c r="J29" s="103">
        <f t="shared" si="1"/>
        <v>100</v>
      </c>
      <c r="L29" s="153" t="s">
        <v>285</v>
      </c>
      <c r="M29" s="150" t="s">
        <v>272</v>
      </c>
    </row>
    <row r="30" spans="1:14" ht="21" customHeight="1" x14ac:dyDescent="0.15">
      <c r="A30" s="162">
        <v>40046035</v>
      </c>
      <c r="B30" s="102">
        <v>0</v>
      </c>
      <c r="C30" s="102">
        <v>430</v>
      </c>
      <c r="D30" s="102">
        <v>100</v>
      </c>
      <c r="E30" s="102" t="s">
        <v>251</v>
      </c>
      <c r="F30" s="102" t="s">
        <v>88</v>
      </c>
      <c r="G30" s="102" t="s">
        <v>251</v>
      </c>
      <c r="H30" s="102">
        <v>1</v>
      </c>
      <c r="I30" s="102" t="s">
        <v>88</v>
      </c>
      <c r="J30" s="103">
        <f t="shared" si="1"/>
        <v>100</v>
      </c>
      <c r="L30" s="153" t="s">
        <v>285</v>
      </c>
      <c r="M30" s="150" t="s">
        <v>273</v>
      </c>
    </row>
    <row r="31" spans="1:14" ht="21" customHeight="1" x14ac:dyDescent="0.15">
      <c r="A31" s="162">
        <v>40046036</v>
      </c>
      <c r="B31" s="102">
        <v>0</v>
      </c>
      <c r="C31" s="102">
        <v>440</v>
      </c>
      <c r="D31" s="102">
        <v>100</v>
      </c>
      <c r="E31" s="102" t="s">
        <v>251</v>
      </c>
      <c r="F31" s="102" t="s">
        <v>88</v>
      </c>
      <c r="G31" s="102" t="s">
        <v>251</v>
      </c>
      <c r="H31" s="102">
        <v>2</v>
      </c>
      <c r="I31" s="102" t="s">
        <v>88</v>
      </c>
      <c r="J31" s="103">
        <f t="shared" si="1"/>
        <v>100</v>
      </c>
      <c r="L31" s="153" t="s">
        <v>285</v>
      </c>
      <c r="M31" s="150" t="s">
        <v>274</v>
      </c>
    </row>
    <row r="32" spans="1:14" ht="21" customHeight="1" x14ac:dyDescent="0.15">
      <c r="A32" s="162">
        <v>40046037</v>
      </c>
      <c r="B32" s="102">
        <v>0</v>
      </c>
      <c r="C32" s="102">
        <v>450</v>
      </c>
      <c r="D32" s="102">
        <v>100</v>
      </c>
      <c r="E32" s="102" t="s">
        <v>251</v>
      </c>
      <c r="F32" s="102" t="s">
        <v>88</v>
      </c>
      <c r="G32" s="102" t="s">
        <v>251</v>
      </c>
      <c r="H32" s="102">
        <v>3</v>
      </c>
      <c r="I32" s="102" t="s">
        <v>88</v>
      </c>
      <c r="J32" s="103">
        <f t="shared" si="1"/>
        <v>100</v>
      </c>
      <c r="L32" s="153" t="s">
        <v>285</v>
      </c>
      <c r="M32" s="150" t="s">
        <v>283</v>
      </c>
    </row>
    <row r="33" spans="1:13" ht="21" customHeight="1" x14ac:dyDescent="0.15">
      <c r="A33" s="163">
        <v>40046040</v>
      </c>
      <c r="B33" s="102">
        <v>1</v>
      </c>
      <c r="C33" s="102">
        <v>500</v>
      </c>
      <c r="D33" s="102">
        <v>100</v>
      </c>
      <c r="E33" s="102" t="s">
        <v>251</v>
      </c>
      <c r="F33" s="102" t="s">
        <v>88</v>
      </c>
      <c r="G33" s="102">
        <v>1</v>
      </c>
      <c r="H33" s="102">
        <v>1</v>
      </c>
      <c r="I33" s="102" t="s">
        <v>88</v>
      </c>
      <c r="J33" s="103">
        <f t="shared" si="1"/>
        <v>100</v>
      </c>
      <c r="L33" s="154" t="s">
        <v>284</v>
      </c>
      <c r="M33" s="150" t="s">
        <v>270</v>
      </c>
    </row>
    <row r="34" spans="1:13" ht="21" customHeight="1" x14ac:dyDescent="0.15">
      <c r="A34" s="163">
        <v>40046041</v>
      </c>
      <c r="B34" s="102">
        <v>0</v>
      </c>
      <c r="C34" s="102">
        <v>491</v>
      </c>
      <c r="D34" s="102">
        <v>25</v>
      </c>
      <c r="E34" s="102" t="s">
        <v>251</v>
      </c>
      <c r="F34" s="102">
        <v>59</v>
      </c>
      <c r="G34" s="102" t="s">
        <v>251</v>
      </c>
      <c r="H34" s="102">
        <v>1</v>
      </c>
      <c r="I34" s="102" t="s">
        <v>88</v>
      </c>
      <c r="J34" s="103">
        <f t="shared" si="1"/>
        <v>25</v>
      </c>
      <c r="L34" s="154" t="s">
        <v>284</v>
      </c>
      <c r="M34" s="150" t="s">
        <v>286</v>
      </c>
    </row>
    <row r="35" spans="1:13" ht="21" customHeight="1" x14ac:dyDescent="0.15">
      <c r="A35" s="163">
        <v>40046042</v>
      </c>
      <c r="B35" s="102">
        <v>0</v>
      </c>
      <c r="C35" s="102">
        <v>480</v>
      </c>
      <c r="D35" s="102">
        <v>33</v>
      </c>
      <c r="E35" s="102" t="s">
        <v>251</v>
      </c>
      <c r="F35" s="102">
        <v>59</v>
      </c>
      <c r="G35" s="102" t="s">
        <v>251</v>
      </c>
      <c r="H35" s="102">
        <v>1</v>
      </c>
      <c r="I35" s="102" t="s">
        <v>88</v>
      </c>
      <c r="J35" s="103">
        <f t="shared" si="1"/>
        <v>33</v>
      </c>
      <c r="L35" s="154" t="s">
        <v>284</v>
      </c>
      <c r="M35" s="150" t="s">
        <v>286</v>
      </c>
    </row>
    <row r="36" spans="1:13" ht="21" customHeight="1" x14ac:dyDescent="0.15">
      <c r="A36" s="163">
        <v>40046043</v>
      </c>
      <c r="B36" s="102">
        <v>0</v>
      </c>
      <c r="C36" s="102">
        <v>470</v>
      </c>
      <c r="D36" s="102">
        <v>50</v>
      </c>
      <c r="E36" s="102" t="s">
        <v>251</v>
      </c>
      <c r="F36" s="102">
        <v>59</v>
      </c>
      <c r="G36" s="102" t="s">
        <v>251</v>
      </c>
      <c r="H36" s="102">
        <v>1</v>
      </c>
      <c r="I36" s="102" t="s">
        <v>88</v>
      </c>
      <c r="J36" s="103">
        <f t="shared" si="1"/>
        <v>50</v>
      </c>
      <c r="L36" s="154" t="s">
        <v>284</v>
      </c>
      <c r="M36" s="150" t="s">
        <v>286</v>
      </c>
    </row>
    <row r="37" spans="1:13" ht="21" customHeight="1" x14ac:dyDescent="0.15">
      <c r="A37" s="163">
        <v>40046044</v>
      </c>
      <c r="B37" s="102">
        <v>0</v>
      </c>
      <c r="C37" s="102">
        <v>460</v>
      </c>
      <c r="D37" s="102">
        <v>100</v>
      </c>
      <c r="E37" s="102" t="s">
        <v>251</v>
      </c>
      <c r="F37" s="102">
        <v>59</v>
      </c>
      <c r="G37" s="102" t="s">
        <v>251</v>
      </c>
      <c r="H37" s="102">
        <v>1</v>
      </c>
      <c r="I37" s="102" t="s">
        <v>88</v>
      </c>
      <c r="J37" s="103">
        <f t="shared" si="1"/>
        <v>100</v>
      </c>
      <c r="L37" s="154" t="s">
        <v>284</v>
      </c>
      <c r="M37" s="150" t="s">
        <v>286</v>
      </c>
    </row>
    <row r="38" spans="1:13" ht="21" customHeight="1" x14ac:dyDescent="0.15">
      <c r="A38" s="163">
        <v>40046045</v>
      </c>
      <c r="B38" s="102">
        <v>0</v>
      </c>
      <c r="C38" s="102">
        <v>490</v>
      </c>
      <c r="D38" s="102">
        <v>100</v>
      </c>
      <c r="E38" s="102">
        <v>59</v>
      </c>
      <c r="F38" s="102" t="s">
        <v>88</v>
      </c>
      <c r="G38" s="102">
        <v>1</v>
      </c>
      <c r="H38" s="102">
        <v>1</v>
      </c>
      <c r="I38" s="102" t="s">
        <v>88</v>
      </c>
      <c r="J38" s="103">
        <f t="shared" si="1"/>
        <v>100</v>
      </c>
      <c r="L38" s="154" t="s">
        <v>284</v>
      </c>
      <c r="M38" s="150" t="s">
        <v>334</v>
      </c>
    </row>
    <row r="39" spans="1:13" ht="21" customHeight="1" x14ac:dyDescent="0.15">
      <c r="A39" s="163">
        <v>40046046</v>
      </c>
      <c r="B39" s="102">
        <v>0</v>
      </c>
      <c r="C39" s="102">
        <v>450</v>
      </c>
      <c r="D39" s="102">
        <v>25</v>
      </c>
      <c r="E39" s="102">
        <v>59</v>
      </c>
      <c r="F39" s="102" t="s">
        <v>88</v>
      </c>
      <c r="G39" s="102" t="s">
        <v>251</v>
      </c>
      <c r="H39" s="102">
        <v>1</v>
      </c>
      <c r="I39" s="102" t="s">
        <v>88</v>
      </c>
      <c r="J39" s="103">
        <f t="shared" si="1"/>
        <v>25</v>
      </c>
      <c r="L39" s="154" t="s">
        <v>284</v>
      </c>
      <c r="M39" s="150" t="s">
        <v>287</v>
      </c>
    </row>
    <row r="40" spans="1:13" ht="21" customHeight="1" x14ac:dyDescent="0.15">
      <c r="A40" s="163">
        <v>40046047</v>
      </c>
      <c r="B40" s="102">
        <v>0</v>
      </c>
      <c r="C40" s="102">
        <v>440</v>
      </c>
      <c r="D40" s="102">
        <v>33</v>
      </c>
      <c r="E40" s="102">
        <v>59</v>
      </c>
      <c r="F40" s="102" t="s">
        <v>88</v>
      </c>
      <c r="G40" s="102" t="s">
        <v>251</v>
      </c>
      <c r="H40" s="102">
        <v>1</v>
      </c>
      <c r="I40" s="102" t="s">
        <v>88</v>
      </c>
      <c r="J40" s="103">
        <f t="shared" si="1"/>
        <v>33</v>
      </c>
      <c r="L40" s="154" t="s">
        <v>284</v>
      </c>
      <c r="M40" s="150" t="s">
        <v>287</v>
      </c>
    </row>
    <row r="41" spans="1:13" ht="21" customHeight="1" x14ac:dyDescent="0.15">
      <c r="A41" s="163">
        <v>40046048</v>
      </c>
      <c r="B41" s="102">
        <v>0</v>
      </c>
      <c r="C41" s="102">
        <v>430</v>
      </c>
      <c r="D41" s="102">
        <v>50</v>
      </c>
      <c r="E41" s="102">
        <v>59</v>
      </c>
      <c r="F41" s="102" t="s">
        <v>88</v>
      </c>
      <c r="G41" s="102" t="s">
        <v>251</v>
      </c>
      <c r="H41" s="102">
        <v>1</v>
      </c>
      <c r="I41" s="102" t="s">
        <v>88</v>
      </c>
      <c r="J41" s="103">
        <f t="shared" si="1"/>
        <v>50</v>
      </c>
      <c r="L41" s="154" t="s">
        <v>284</v>
      </c>
      <c r="M41" s="150" t="s">
        <v>287</v>
      </c>
    </row>
    <row r="42" spans="1:13" ht="21" customHeight="1" x14ac:dyDescent="0.15">
      <c r="A42" s="163">
        <v>40046049</v>
      </c>
      <c r="B42" s="102">
        <v>0</v>
      </c>
      <c r="C42" s="102">
        <v>420</v>
      </c>
      <c r="D42" s="102">
        <v>100</v>
      </c>
      <c r="E42" s="102">
        <v>59</v>
      </c>
      <c r="F42" s="102" t="s">
        <v>88</v>
      </c>
      <c r="G42" s="102" t="s">
        <v>251</v>
      </c>
      <c r="H42" s="102">
        <v>1</v>
      </c>
      <c r="I42" s="102" t="s">
        <v>88</v>
      </c>
      <c r="J42" s="103">
        <f t="shared" si="1"/>
        <v>100</v>
      </c>
      <c r="L42" s="154" t="s">
        <v>284</v>
      </c>
      <c r="M42" s="150" t="s">
        <v>287</v>
      </c>
    </row>
    <row r="43" spans="1:13" ht="21" customHeight="1" x14ac:dyDescent="0.15">
      <c r="A43" s="164">
        <v>40046060</v>
      </c>
      <c r="B43" s="102">
        <v>1</v>
      </c>
      <c r="C43" s="102">
        <v>500</v>
      </c>
      <c r="D43" s="102">
        <v>100</v>
      </c>
      <c r="E43" s="102" t="s">
        <v>251</v>
      </c>
      <c r="F43" s="102" t="s">
        <v>88</v>
      </c>
      <c r="G43" s="102">
        <v>1</v>
      </c>
      <c r="H43" s="102">
        <v>1</v>
      </c>
      <c r="I43" s="102" t="s">
        <v>88</v>
      </c>
      <c r="J43" s="103">
        <f t="shared" si="1"/>
        <v>100</v>
      </c>
      <c r="L43" s="155" t="s">
        <v>294</v>
      </c>
      <c r="M43" s="150" t="s">
        <v>270</v>
      </c>
    </row>
    <row r="44" spans="1:13" ht="21" customHeight="1" x14ac:dyDescent="0.15">
      <c r="A44" s="164">
        <v>40046061</v>
      </c>
      <c r="B44" s="102">
        <v>0</v>
      </c>
      <c r="C44" s="102">
        <v>490</v>
      </c>
      <c r="D44" s="102">
        <v>100</v>
      </c>
      <c r="E44" s="102" t="s">
        <v>251</v>
      </c>
      <c r="F44" s="102" t="s">
        <v>88</v>
      </c>
      <c r="G44" s="102">
        <v>1</v>
      </c>
      <c r="H44" s="102">
        <v>1</v>
      </c>
      <c r="I44" s="102" t="s">
        <v>88</v>
      </c>
      <c r="J44" s="103">
        <f t="shared" si="1"/>
        <v>100</v>
      </c>
      <c r="L44" s="155" t="s">
        <v>294</v>
      </c>
      <c r="M44" s="150" t="s">
        <v>266</v>
      </c>
    </row>
    <row r="45" spans="1:13" ht="21" customHeight="1" x14ac:dyDescent="0.15">
      <c r="A45" s="164">
        <v>40046062</v>
      </c>
      <c r="B45" s="102">
        <v>0</v>
      </c>
      <c r="C45" s="102">
        <v>480</v>
      </c>
      <c r="D45" s="102">
        <v>100</v>
      </c>
      <c r="E45" s="102" t="s">
        <v>251</v>
      </c>
      <c r="F45" s="102" t="s">
        <v>88</v>
      </c>
      <c r="G45" s="102">
        <v>1</v>
      </c>
      <c r="H45" s="102">
        <v>2</v>
      </c>
      <c r="I45" s="102" t="s">
        <v>88</v>
      </c>
      <c r="J45" s="103">
        <f t="shared" si="1"/>
        <v>100</v>
      </c>
      <c r="L45" s="155" t="s">
        <v>294</v>
      </c>
      <c r="M45" s="150" t="s">
        <v>271</v>
      </c>
    </row>
    <row r="46" spans="1:13" ht="21" customHeight="1" x14ac:dyDescent="0.15">
      <c r="A46" s="164">
        <v>40046063</v>
      </c>
      <c r="B46" s="102">
        <v>0</v>
      </c>
      <c r="C46" s="102">
        <v>470</v>
      </c>
      <c r="D46" s="102">
        <v>100</v>
      </c>
      <c r="E46" s="102" t="s">
        <v>251</v>
      </c>
      <c r="F46" s="102" t="s">
        <v>88</v>
      </c>
      <c r="G46" s="102">
        <v>1</v>
      </c>
      <c r="H46" s="102">
        <v>3</v>
      </c>
      <c r="I46" s="102" t="s">
        <v>88</v>
      </c>
      <c r="J46" s="103">
        <f t="shared" si="1"/>
        <v>100</v>
      </c>
      <c r="L46" s="155" t="s">
        <v>294</v>
      </c>
      <c r="M46" s="150" t="s">
        <v>268</v>
      </c>
    </row>
    <row r="47" spans="1:13" ht="21" customHeight="1" x14ac:dyDescent="0.15">
      <c r="A47" s="164">
        <v>40046064</v>
      </c>
      <c r="B47" s="102">
        <v>0</v>
      </c>
      <c r="C47" s="102">
        <v>460</v>
      </c>
      <c r="D47" s="102">
        <v>100</v>
      </c>
      <c r="E47" s="102" t="s">
        <v>251</v>
      </c>
      <c r="F47" s="102" t="s">
        <v>88</v>
      </c>
      <c r="G47" s="102">
        <v>1</v>
      </c>
      <c r="H47" s="102">
        <v>4</v>
      </c>
      <c r="I47" s="102" t="s">
        <v>88</v>
      </c>
      <c r="J47" s="103">
        <f t="shared" si="1"/>
        <v>100</v>
      </c>
      <c r="L47" s="155" t="s">
        <v>294</v>
      </c>
      <c r="M47" s="150" t="s">
        <v>272</v>
      </c>
    </row>
    <row r="48" spans="1:13" ht="21" customHeight="1" x14ac:dyDescent="0.15">
      <c r="A48" s="164">
        <v>40046065</v>
      </c>
      <c r="B48" s="102">
        <v>0</v>
      </c>
      <c r="C48" s="102">
        <v>450</v>
      </c>
      <c r="D48" s="102">
        <v>100</v>
      </c>
      <c r="E48" s="102" t="s">
        <v>251</v>
      </c>
      <c r="F48" s="102" t="s">
        <v>88</v>
      </c>
      <c r="G48" s="102">
        <v>1</v>
      </c>
      <c r="H48" s="102">
        <v>7</v>
      </c>
      <c r="I48" s="102" t="s">
        <v>88</v>
      </c>
      <c r="J48" s="103">
        <f t="shared" si="1"/>
        <v>100</v>
      </c>
      <c r="L48" s="155" t="s">
        <v>294</v>
      </c>
      <c r="M48" s="150" t="s">
        <v>288</v>
      </c>
    </row>
    <row r="49" spans="1:13" ht="21" customHeight="1" x14ac:dyDescent="0.15">
      <c r="A49" s="164">
        <v>40046066</v>
      </c>
      <c r="B49" s="102">
        <v>0</v>
      </c>
      <c r="C49" s="102">
        <v>440</v>
      </c>
      <c r="D49" s="102">
        <v>100</v>
      </c>
      <c r="E49" s="102" t="s">
        <v>251</v>
      </c>
      <c r="F49" s="102" t="s">
        <v>88</v>
      </c>
      <c r="G49" s="102">
        <v>1</v>
      </c>
      <c r="H49" s="102">
        <v>8</v>
      </c>
      <c r="I49" s="102" t="s">
        <v>88</v>
      </c>
      <c r="J49" s="103">
        <f t="shared" si="1"/>
        <v>100</v>
      </c>
      <c r="L49" s="155" t="s">
        <v>294</v>
      </c>
      <c r="M49" s="150" t="s">
        <v>289</v>
      </c>
    </row>
    <row r="50" spans="1:13" ht="21" customHeight="1" x14ac:dyDescent="0.15">
      <c r="A50" s="164">
        <v>40046067</v>
      </c>
      <c r="B50" s="102">
        <v>0</v>
      </c>
      <c r="C50" s="102">
        <v>430</v>
      </c>
      <c r="D50" s="102">
        <v>100</v>
      </c>
      <c r="E50" s="102" t="s">
        <v>251</v>
      </c>
      <c r="F50" s="102" t="s">
        <v>88</v>
      </c>
      <c r="G50" s="102">
        <v>1</v>
      </c>
      <c r="H50" s="102">
        <v>9</v>
      </c>
      <c r="I50" s="102" t="s">
        <v>88</v>
      </c>
      <c r="J50" s="103">
        <f t="shared" si="1"/>
        <v>100</v>
      </c>
      <c r="L50" s="155" t="s">
        <v>294</v>
      </c>
      <c r="M50" s="150" t="s">
        <v>290</v>
      </c>
    </row>
    <row r="51" spans="1:13" ht="21" customHeight="1" x14ac:dyDescent="0.15">
      <c r="A51" s="164">
        <v>40046068</v>
      </c>
      <c r="B51" s="102">
        <v>0</v>
      </c>
      <c r="C51" s="102">
        <v>420</v>
      </c>
      <c r="D51" s="102">
        <v>100</v>
      </c>
      <c r="E51" s="102" t="s">
        <v>251</v>
      </c>
      <c r="F51" s="102" t="s">
        <v>88</v>
      </c>
      <c r="G51" s="102">
        <v>1</v>
      </c>
      <c r="H51" s="102">
        <v>11</v>
      </c>
      <c r="I51" s="102" t="s">
        <v>88</v>
      </c>
      <c r="J51" s="103">
        <f t="shared" si="1"/>
        <v>100</v>
      </c>
      <c r="L51" s="155" t="s">
        <v>294</v>
      </c>
      <c r="M51" s="150" t="s">
        <v>291</v>
      </c>
    </row>
    <row r="52" spans="1:13" ht="21" customHeight="1" x14ac:dyDescent="0.15">
      <c r="A52" s="164">
        <v>40046069</v>
      </c>
      <c r="B52" s="102">
        <v>0</v>
      </c>
      <c r="C52" s="102">
        <v>410</v>
      </c>
      <c r="D52" s="102">
        <v>100</v>
      </c>
      <c r="E52" s="102" t="s">
        <v>251</v>
      </c>
      <c r="F52" s="102" t="s">
        <v>88</v>
      </c>
      <c r="G52" s="102">
        <v>1</v>
      </c>
      <c r="H52" s="102">
        <v>12</v>
      </c>
      <c r="I52" s="102" t="s">
        <v>88</v>
      </c>
      <c r="J52" s="103">
        <f t="shared" si="1"/>
        <v>100</v>
      </c>
      <c r="L52" s="155" t="s">
        <v>294</v>
      </c>
      <c r="M52" s="150" t="s">
        <v>292</v>
      </c>
    </row>
    <row r="53" spans="1:13" ht="21" customHeight="1" x14ac:dyDescent="0.15">
      <c r="A53" s="164">
        <v>40046070</v>
      </c>
      <c r="B53" s="102">
        <v>0</v>
      </c>
      <c r="C53" s="102">
        <v>400</v>
      </c>
      <c r="D53" s="102">
        <v>100</v>
      </c>
      <c r="E53" s="102" t="s">
        <v>251</v>
      </c>
      <c r="F53" s="102" t="s">
        <v>88</v>
      </c>
      <c r="G53" s="102">
        <v>1</v>
      </c>
      <c r="H53" s="102">
        <v>13</v>
      </c>
      <c r="I53" s="102" t="s">
        <v>88</v>
      </c>
      <c r="J53" s="103">
        <f t="shared" si="1"/>
        <v>100</v>
      </c>
      <c r="L53" s="155" t="s">
        <v>294</v>
      </c>
      <c r="M53" s="150" t="s">
        <v>293</v>
      </c>
    </row>
    <row r="54" spans="1:13" ht="21" customHeight="1" x14ac:dyDescent="0.15">
      <c r="A54" s="164">
        <v>40046071</v>
      </c>
      <c r="B54" s="102">
        <v>0</v>
      </c>
      <c r="C54" s="102">
        <v>390</v>
      </c>
      <c r="D54" s="102">
        <v>50</v>
      </c>
      <c r="E54" s="102" t="s">
        <v>251</v>
      </c>
      <c r="F54" s="102" t="s">
        <v>88</v>
      </c>
      <c r="G54" s="102" t="s">
        <v>251</v>
      </c>
      <c r="H54" s="102">
        <v>1</v>
      </c>
      <c r="I54" s="102" t="s">
        <v>88</v>
      </c>
      <c r="J54" s="103">
        <f t="shared" si="1"/>
        <v>50</v>
      </c>
      <c r="L54" s="155" t="s">
        <v>294</v>
      </c>
      <c r="M54" s="151">
        <v>0.5</v>
      </c>
    </row>
    <row r="55" spans="1:13" ht="21" customHeight="1" x14ac:dyDescent="0.15">
      <c r="A55" s="164">
        <v>40046072</v>
      </c>
      <c r="B55" s="102">
        <v>0</v>
      </c>
      <c r="C55" s="102">
        <v>380</v>
      </c>
      <c r="D55" s="102">
        <v>50</v>
      </c>
      <c r="E55" s="102" t="s">
        <v>251</v>
      </c>
      <c r="F55" s="102" t="s">
        <v>88</v>
      </c>
      <c r="G55" s="102" t="s">
        <v>251</v>
      </c>
      <c r="H55" s="102">
        <v>1</v>
      </c>
      <c r="I55" s="102" t="s">
        <v>88</v>
      </c>
      <c r="J55" s="103">
        <f t="shared" si="1"/>
        <v>50</v>
      </c>
      <c r="L55" s="155" t="s">
        <v>294</v>
      </c>
      <c r="M55" s="151">
        <v>0.25</v>
      </c>
    </row>
    <row r="56" spans="1:13" ht="21" customHeight="1" x14ac:dyDescent="0.15">
      <c r="A56" s="165">
        <v>40046080</v>
      </c>
      <c r="B56" s="102">
        <v>1</v>
      </c>
      <c r="C56" s="102">
        <v>500</v>
      </c>
      <c r="D56" s="102">
        <v>100</v>
      </c>
      <c r="E56" s="102" t="s">
        <v>251</v>
      </c>
      <c r="F56" s="102" t="s">
        <v>88</v>
      </c>
      <c r="G56" s="102">
        <v>1</v>
      </c>
      <c r="H56" s="102">
        <v>1</v>
      </c>
      <c r="I56" s="102" t="s">
        <v>88</v>
      </c>
      <c r="J56" s="103">
        <f t="shared" si="1"/>
        <v>100</v>
      </c>
      <c r="L56" s="156" t="s">
        <v>295</v>
      </c>
      <c r="M56" s="150" t="s">
        <v>270</v>
      </c>
    </row>
    <row r="57" spans="1:13" ht="21" customHeight="1" x14ac:dyDescent="0.15">
      <c r="A57" s="165">
        <v>40046081</v>
      </c>
      <c r="B57" s="102">
        <v>0</v>
      </c>
      <c r="C57" s="102">
        <v>490</v>
      </c>
      <c r="D57" s="102">
        <v>100</v>
      </c>
      <c r="E57" s="102" t="s">
        <v>251</v>
      </c>
      <c r="F57" s="102" t="s">
        <v>88</v>
      </c>
      <c r="G57" s="102">
        <v>1</v>
      </c>
      <c r="H57" s="102">
        <v>1</v>
      </c>
      <c r="I57" s="102" t="s">
        <v>88</v>
      </c>
      <c r="J57" s="103">
        <f t="shared" si="1"/>
        <v>100</v>
      </c>
      <c r="L57" s="156" t="s">
        <v>295</v>
      </c>
      <c r="M57" s="150" t="s">
        <v>266</v>
      </c>
    </row>
    <row r="58" spans="1:13" ht="21" customHeight="1" x14ac:dyDescent="0.15">
      <c r="A58" s="165">
        <v>40046082</v>
      </c>
      <c r="B58" s="102">
        <v>0</v>
      </c>
      <c r="C58" s="102">
        <v>480</v>
      </c>
      <c r="D58" s="102">
        <v>100</v>
      </c>
      <c r="E58" s="102" t="s">
        <v>251</v>
      </c>
      <c r="F58" s="102" t="s">
        <v>88</v>
      </c>
      <c r="G58" s="102">
        <v>1</v>
      </c>
      <c r="H58" s="102">
        <v>1</v>
      </c>
      <c r="I58" s="102" t="s">
        <v>88</v>
      </c>
      <c r="J58" s="103">
        <f t="shared" si="1"/>
        <v>100</v>
      </c>
      <c r="L58" s="156" t="s">
        <v>295</v>
      </c>
      <c r="M58" s="150" t="s">
        <v>271</v>
      </c>
    </row>
    <row r="59" spans="1:13" ht="21" customHeight="1" x14ac:dyDescent="0.15">
      <c r="A59" s="165">
        <v>40046083</v>
      </c>
      <c r="B59" s="102">
        <v>0</v>
      </c>
      <c r="C59" s="102">
        <v>470</v>
      </c>
      <c r="D59" s="102">
        <v>100</v>
      </c>
      <c r="E59" s="102" t="s">
        <v>251</v>
      </c>
      <c r="F59" s="102" t="s">
        <v>88</v>
      </c>
      <c r="G59" s="102">
        <v>1</v>
      </c>
      <c r="H59" s="102">
        <v>1</v>
      </c>
      <c r="I59" s="102" t="s">
        <v>88</v>
      </c>
      <c r="J59" s="103">
        <f t="shared" si="1"/>
        <v>100</v>
      </c>
      <c r="L59" s="156" t="s">
        <v>295</v>
      </c>
      <c r="M59" s="150" t="s">
        <v>268</v>
      </c>
    </row>
    <row r="60" spans="1:13" ht="21" customHeight="1" x14ac:dyDescent="0.15">
      <c r="A60" s="165">
        <v>40046084</v>
      </c>
      <c r="B60" s="102">
        <v>0</v>
      </c>
      <c r="C60" s="102">
        <v>460</v>
      </c>
      <c r="D60" s="102">
        <v>100</v>
      </c>
      <c r="E60" s="102" t="s">
        <v>251</v>
      </c>
      <c r="F60" s="102" t="s">
        <v>88</v>
      </c>
      <c r="G60" s="102">
        <v>1</v>
      </c>
      <c r="H60" s="102">
        <v>1</v>
      </c>
      <c r="I60" s="102" t="s">
        <v>88</v>
      </c>
      <c r="J60" s="103">
        <f t="shared" si="1"/>
        <v>100</v>
      </c>
      <c r="L60" s="156" t="s">
        <v>295</v>
      </c>
      <c r="M60" s="150" t="s">
        <v>272</v>
      </c>
    </row>
    <row r="61" spans="1:13" ht="21" customHeight="1" x14ac:dyDescent="0.15">
      <c r="A61" s="165">
        <v>40046085</v>
      </c>
      <c r="B61" s="102">
        <v>0</v>
      </c>
      <c r="C61" s="102">
        <v>410</v>
      </c>
      <c r="D61" s="102">
        <v>100</v>
      </c>
      <c r="E61" s="102" t="s">
        <v>251</v>
      </c>
      <c r="F61" s="102" t="s">
        <v>88</v>
      </c>
      <c r="G61" s="102" t="s">
        <v>251</v>
      </c>
      <c r="H61" s="102">
        <v>1</v>
      </c>
      <c r="I61" s="102" t="s">
        <v>88</v>
      </c>
      <c r="J61" s="103">
        <f t="shared" si="1"/>
        <v>100</v>
      </c>
      <c r="L61" s="156" t="s">
        <v>295</v>
      </c>
      <c r="M61" s="150" t="s">
        <v>273</v>
      </c>
    </row>
    <row r="62" spans="1:13" ht="21" customHeight="1" x14ac:dyDescent="0.15">
      <c r="A62" s="165">
        <v>40046086</v>
      </c>
      <c r="B62" s="102">
        <v>0</v>
      </c>
      <c r="C62" s="102">
        <v>420</v>
      </c>
      <c r="D62" s="102">
        <v>100</v>
      </c>
      <c r="E62" s="102" t="s">
        <v>251</v>
      </c>
      <c r="F62" s="102" t="s">
        <v>88</v>
      </c>
      <c r="G62" s="102" t="s">
        <v>251</v>
      </c>
      <c r="H62" s="102">
        <v>2</v>
      </c>
      <c r="I62" s="102" t="s">
        <v>88</v>
      </c>
      <c r="J62" s="103">
        <f t="shared" si="1"/>
        <v>100</v>
      </c>
      <c r="L62" s="156" t="s">
        <v>295</v>
      </c>
      <c r="M62" s="150" t="s">
        <v>274</v>
      </c>
    </row>
    <row r="63" spans="1:13" ht="21" customHeight="1" x14ac:dyDescent="0.15">
      <c r="A63" s="165">
        <v>40046087</v>
      </c>
      <c r="B63" s="102">
        <v>0</v>
      </c>
      <c r="C63" s="102">
        <v>430</v>
      </c>
      <c r="D63" s="102">
        <v>100</v>
      </c>
      <c r="E63" s="102" t="s">
        <v>251</v>
      </c>
      <c r="F63" s="102" t="s">
        <v>88</v>
      </c>
      <c r="G63" s="102" t="s">
        <v>251</v>
      </c>
      <c r="H63" s="102">
        <v>4</v>
      </c>
      <c r="I63" s="102" t="s">
        <v>88</v>
      </c>
      <c r="J63" s="103">
        <f t="shared" si="1"/>
        <v>100</v>
      </c>
      <c r="L63" s="156" t="s">
        <v>295</v>
      </c>
      <c r="M63" s="150" t="s">
        <v>275</v>
      </c>
    </row>
    <row r="64" spans="1:13" ht="21" customHeight="1" x14ac:dyDescent="0.15">
      <c r="A64" s="165">
        <v>40046088</v>
      </c>
      <c r="B64" s="102">
        <v>0</v>
      </c>
      <c r="C64" s="102">
        <v>450</v>
      </c>
      <c r="D64" s="102">
        <v>100</v>
      </c>
      <c r="E64" s="102">
        <v>50</v>
      </c>
      <c r="F64" s="102" t="s">
        <v>88</v>
      </c>
      <c r="G64" s="102">
        <v>1</v>
      </c>
      <c r="H64" s="102">
        <v>1</v>
      </c>
      <c r="I64" s="102" t="s">
        <v>88</v>
      </c>
      <c r="J64" s="103">
        <f t="shared" si="1"/>
        <v>100</v>
      </c>
      <c r="L64" s="156" t="s">
        <v>295</v>
      </c>
      <c r="M64" s="150" t="s">
        <v>296</v>
      </c>
    </row>
    <row r="65" spans="1:13" ht="21" customHeight="1" x14ac:dyDescent="0.15">
      <c r="A65" s="165">
        <v>40046089</v>
      </c>
      <c r="B65" s="102">
        <v>0</v>
      </c>
      <c r="C65" s="102">
        <v>440</v>
      </c>
      <c r="D65" s="102">
        <v>100</v>
      </c>
      <c r="E65" s="102">
        <v>30</v>
      </c>
      <c r="F65" s="102" t="s">
        <v>88</v>
      </c>
      <c r="G65" s="102" t="s">
        <v>251</v>
      </c>
      <c r="H65" s="102">
        <v>1</v>
      </c>
      <c r="I65" s="102" t="s">
        <v>88</v>
      </c>
      <c r="J65" s="103">
        <f t="shared" si="1"/>
        <v>100</v>
      </c>
      <c r="L65" s="156" t="s">
        <v>295</v>
      </c>
      <c r="M65" s="150" t="s">
        <v>297</v>
      </c>
    </row>
    <row r="66" spans="1:13" ht="21" customHeight="1" x14ac:dyDescent="0.15">
      <c r="A66" s="165">
        <v>40046090</v>
      </c>
      <c r="B66" s="102">
        <v>0</v>
      </c>
      <c r="C66" s="102">
        <v>510</v>
      </c>
      <c r="D66" s="102">
        <v>100</v>
      </c>
      <c r="E66" s="102" t="s">
        <v>251</v>
      </c>
      <c r="F66" s="102" t="s">
        <v>88</v>
      </c>
      <c r="G66" s="102">
        <v>0</v>
      </c>
      <c r="H66" s="102" t="s">
        <v>87</v>
      </c>
      <c r="I66" s="102">
        <v>0</v>
      </c>
      <c r="J66" s="103">
        <f t="shared" si="1"/>
        <v>100</v>
      </c>
      <c r="L66" s="156" t="s">
        <v>295</v>
      </c>
      <c r="M66" s="150" t="s">
        <v>312</v>
      </c>
    </row>
    <row r="67" spans="1:13" ht="21" customHeight="1" x14ac:dyDescent="0.15">
      <c r="A67" s="215">
        <v>40046900</v>
      </c>
      <c r="B67" s="216">
        <v>1</v>
      </c>
      <c r="C67" s="216">
        <v>706</v>
      </c>
      <c r="D67" s="216">
        <v>100</v>
      </c>
      <c r="E67" s="216" t="s">
        <v>87</v>
      </c>
      <c r="F67" s="216" t="s">
        <v>87</v>
      </c>
      <c r="G67" s="216">
        <v>1</v>
      </c>
      <c r="H67" s="216">
        <v>1</v>
      </c>
      <c r="I67" s="217">
        <v>1444</v>
      </c>
      <c r="J67" s="216">
        <f t="shared" ref="J67" si="5">D67</f>
        <v>100</v>
      </c>
      <c r="K67" s="218"/>
      <c r="L67" s="217" t="s">
        <v>514</v>
      </c>
      <c r="M67" s="217">
        <v>1444</v>
      </c>
    </row>
    <row r="68" spans="1:13" ht="21" customHeight="1" x14ac:dyDescent="0.15">
      <c r="A68" s="215">
        <v>40046901</v>
      </c>
      <c r="B68" s="216">
        <v>1</v>
      </c>
      <c r="C68" s="216">
        <v>704</v>
      </c>
      <c r="D68" s="216">
        <v>100</v>
      </c>
      <c r="E68" s="216" t="s">
        <v>87</v>
      </c>
      <c r="F68" s="216" t="s">
        <v>87</v>
      </c>
      <c r="G68" s="216">
        <v>1</v>
      </c>
      <c r="H68" s="216">
        <v>1</v>
      </c>
      <c r="I68" s="217">
        <v>1446</v>
      </c>
      <c r="J68" s="216">
        <f t="shared" ref="J68:J70" si="6">D68</f>
        <v>100</v>
      </c>
      <c r="K68" s="218"/>
      <c r="L68" s="217" t="s">
        <v>518</v>
      </c>
      <c r="M68" s="217">
        <v>1446</v>
      </c>
    </row>
    <row r="69" spans="1:13" ht="21" customHeight="1" x14ac:dyDescent="0.15">
      <c r="A69" s="215">
        <v>40046902</v>
      </c>
      <c r="B69" s="216">
        <v>1</v>
      </c>
      <c r="C69" s="216">
        <v>702</v>
      </c>
      <c r="D69" s="216">
        <v>100</v>
      </c>
      <c r="E69" s="216" t="s">
        <v>87</v>
      </c>
      <c r="F69" s="216" t="s">
        <v>87</v>
      </c>
      <c r="G69" s="216">
        <v>1</v>
      </c>
      <c r="H69" s="216">
        <v>1</v>
      </c>
      <c r="I69" s="217">
        <v>1448</v>
      </c>
      <c r="J69" s="216">
        <f t="shared" si="6"/>
        <v>100</v>
      </c>
      <c r="K69" s="218"/>
      <c r="L69" s="217" t="s">
        <v>516</v>
      </c>
      <c r="M69" s="217">
        <v>1448</v>
      </c>
    </row>
    <row r="70" spans="1:13" ht="21" customHeight="1" x14ac:dyDescent="0.15">
      <c r="A70" s="213">
        <v>40046903</v>
      </c>
      <c r="B70" s="213">
        <v>0</v>
      </c>
      <c r="C70" s="213">
        <v>706</v>
      </c>
      <c r="D70" s="213">
        <v>100</v>
      </c>
      <c r="E70" s="213" t="s">
        <v>87</v>
      </c>
      <c r="F70" s="213" t="s">
        <v>87</v>
      </c>
      <c r="G70" s="213">
        <v>0</v>
      </c>
      <c r="H70" s="102" t="s">
        <v>87</v>
      </c>
      <c r="I70" s="207">
        <v>1444</v>
      </c>
      <c r="J70" s="213">
        <f t="shared" si="6"/>
        <v>100</v>
      </c>
      <c r="K70" s="214"/>
      <c r="L70" s="207" t="s">
        <v>514</v>
      </c>
      <c r="M70" s="207">
        <v>1444</v>
      </c>
    </row>
    <row r="71" spans="1:13" ht="21" customHeight="1" x14ac:dyDescent="0.15">
      <c r="A71" s="213">
        <v>40046904</v>
      </c>
      <c r="B71" s="213">
        <v>0</v>
      </c>
      <c r="C71" s="213">
        <v>705</v>
      </c>
      <c r="D71" s="213">
        <v>100</v>
      </c>
      <c r="E71" s="213" t="s">
        <v>87</v>
      </c>
      <c r="F71" s="213" t="s">
        <v>87</v>
      </c>
      <c r="G71" s="213">
        <v>0</v>
      </c>
      <c r="H71" s="102" t="s">
        <v>87</v>
      </c>
      <c r="I71" s="207">
        <v>1445</v>
      </c>
      <c r="J71" s="213">
        <f t="shared" ref="J71:J75" si="7">D71</f>
        <v>100</v>
      </c>
      <c r="K71" s="214"/>
      <c r="L71" s="207" t="s">
        <v>515</v>
      </c>
      <c r="M71" s="207">
        <v>1445</v>
      </c>
    </row>
    <row r="72" spans="1:13" ht="21" customHeight="1" x14ac:dyDescent="0.15">
      <c r="A72" s="213">
        <v>40046905</v>
      </c>
      <c r="B72" s="213">
        <v>0</v>
      </c>
      <c r="C72" s="213">
        <v>704</v>
      </c>
      <c r="D72" s="213">
        <v>100</v>
      </c>
      <c r="E72" s="213" t="s">
        <v>87</v>
      </c>
      <c r="F72" s="213" t="s">
        <v>87</v>
      </c>
      <c r="G72" s="213">
        <v>0</v>
      </c>
      <c r="H72" s="102" t="s">
        <v>87</v>
      </c>
      <c r="I72" s="207">
        <v>1446</v>
      </c>
      <c r="J72" s="213">
        <f t="shared" si="7"/>
        <v>100</v>
      </c>
      <c r="K72" s="214"/>
      <c r="L72" s="207" t="s">
        <v>518</v>
      </c>
      <c r="M72" s="207">
        <v>1446</v>
      </c>
    </row>
    <row r="73" spans="1:13" ht="21" customHeight="1" x14ac:dyDescent="0.15">
      <c r="A73" s="213">
        <v>40046906</v>
      </c>
      <c r="B73" s="213">
        <v>0</v>
      </c>
      <c r="C73" s="213">
        <v>703</v>
      </c>
      <c r="D73" s="213">
        <v>100</v>
      </c>
      <c r="E73" s="213" t="s">
        <v>87</v>
      </c>
      <c r="F73" s="213" t="s">
        <v>87</v>
      </c>
      <c r="G73" s="213">
        <v>0</v>
      </c>
      <c r="H73" s="102" t="s">
        <v>87</v>
      </c>
      <c r="I73" s="207">
        <v>1447</v>
      </c>
      <c r="J73" s="213">
        <f t="shared" si="7"/>
        <v>100</v>
      </c>
      <c r="K73" s="214"/>
      <c r="L73" s="207" t="s">
        <v>519</v>
      </c>
      <c r="M73" s="207">
        <v>1447</v>
      </c>
    </row>
    <row r="74" spans="1:13" ht="21" customHeight="1" x14ac:dyDescent="0.15">
      <c r="A74" s="213">
        <v>40046907</v>
      </c>
      <c r="B74" s="213">
        <v>0</v>
      </c>
      <c r="C74" s="213">
        <v>702</v>
      </c>
      <c r="D74" s="213">
        <v>100</v>
      </c>
      <c r="E74" s="213" t="s">
        <v>87</v>
      </c>
      <c r="F74" s="213" t="s">
        <v>87</v>
      </c>
      <c r="G74" s="213">
        <v>0</v>
      </c>
      <c r="H74" s="102" t="s">
        <v>87</v>
      </c>
      <c r="I74" s="207">
        <v>1448</v>
      </c>
      <c r="J74" s="213">
        <f t="shared" si="7"/>
        <v>100</v>
      </c>
      <c r="K74" s="214"/>
      <c r="L74" s="207" t="s">
        <v>516</v>
      </c>
      <c r="M74" s="207">
        <v>1448</v>
      </c>
    </row>
    <row r="75" spans="1:13" ht="21" customHeight="1" x14ac:dyDescent="0.15">
      <c r="A75" s="213">
        <v>40046908</v>
      </c>
      <c r="B75" s="213">
        <v>0</v>
      </c>
      <c r="C75" s="213">
        <v>701</v>
      </c>
      <c r="D75" s="213">
        <v>100</v>
      </c>
      <c r="E75" s="213" t="s">
        <v>87</v>
      </c>
      <c r="F75" s="213" t="s">
        <v>87</v>
      </c>
      <c r="G75" s="213">
        <v>0</v>
      </c>
      <c r="H75" s="102" t="s">
        <v>87</v>
      </c>
      <c r="I75" s="207">
        <v>1449</v>
      </c>
      <c r="J75" s="213">
        <f t="shared" si="7"/>
        <v>100</v>
      </c>
      <c r="K75" s="214"/>
      <c r="L75" s="207" t="s">
        <v>517</v>
      </c>
      <c r="M75" s="207">
        <v>1449</v>
      </c>
    </row>
  </sheetData>
  <autoFilter ref="A1:G1"/>
  <phoneticPr fontId="6"/>
  <conditionalFormatting sqref="L1:L17 L76:L1048576 L19:L22 A19:A22 A25:A69 L25:L68">
    <cfRule type="containsText" dxfId="41" priority="78" operator="containsText" text="死亡">
      <formula>NOT(ISERROR(SEARCH("死亡",A1)))</formula>
    </cfRule>
    <cfRule type="containsText" dxfId="40" priority="80" operator="containsText" text="開幕">
      <formula>NOT(ISERROR(SEARCH("開幕",A1)))</formula>
    </cfRule>
  </conditionalFormatting>
  <conditionalFormatting sqref="B1:B17 B19:B22 B76:B1048576 B34:B69 B25:B32">
    <cfRule type="containsText" dxfId="39" priority="79" operator="containsText" text="1">
      <formula>NOT(ISERROR(SEARCH("1",B1)))</formula>
    </cfRule>
  </conditionalFormatting>
  <conditionalFormatting sqref="G1:G17 G19:G22 G76:G1048576 G34:G69 G25:G32">
    <cfRule type="notContainsText" dxfId="38" priority="77" operator="notContains" text="null">
      <formula>ISERROR(SEARCH("null",G1))</formula>
    </cfRule>
  </conditionalFormatting>
  <conditionalFormatting sqref="D1:D17 D19:D22 D76:D1048576 D34:D69 D25:D32">
    <cfRule type="notContainsText" dxfId="37" priority="76" operator="notContains" text="100">
      <formula>ISERROR(SEARCH("100",D1))</formula>
    </cfRule>
  </conditionalFormatting>
  <conditionalFormatting sqref="K76:K1048576 K1:K17 K19:K22 K25:K69">
    <cfRule type="duplicateValues" dxfId="36" priority="82"/>
  </conditionalFormatting>
  <conditionalFormatting sqref="B33">
    <cfRule type="containsText" dxfId="35" priority="44" operator="containsText" text="1">
      <formula>NOT(ISERROR(SEARCH("1",B33)))</formula>
    </cfRule>
  </conditionalFormatting>
  <conditionalFormatting sqref="G33">
    <cfRule type="notContainsText" dxfId="34" priority="43" operator="notContains" text="null">
      <formula>ISERROR(SEARCH("null",G33))</formula>
    </cfRule>
  </conditionalFormatting>
  <conditionalFormatting sqref="D33">
    <cfRule type="notContainsText" dxfId="33" priority="42" operator="notContains" text="100">
      <formula>ISERROR(SEARCH("100",D33))</formula>
    </cfRule>
  </conditionalFormatting>
  <conditionalFormatting sqref="A2:A17">
    <cfRule type="containsText" dxfId="32" priority="40" operator="containsText" text="死亡">
      <formula>NOT(ISERROR(SEARCH("死亡",A2)))</formula>
    </cfRule>
    <cfRule type="containsText" dxfId="31" priority="41" operator="containsText" text="開幕">
      <formula>NOT(ISERROR(SEARCH("開幕",A2)))</formula>
    </cfRule>
  </conditionalFormatting>
  <conditionalFormatting sqref="L18">
    <cfRule type="containsText" dxfId="30" priority="36" operator="containsText" text="死亡">
      <formula>NOT(ISERROR(SEARCH("死亡",L18)))</formula>
    </cfRule>
    <cfRule type="containsText" dxfId="29" priority="38" operator="containsText" text="開幕">
      <formula>NOT(ISERROR(SEARCH("開幕",L18)))</formula>
    </cfRule>
  </conditionalFormatting>
  <conditionalFormatting sqref="B18">
    <cfRule type="containsText" dxfId="28" priority="37" operator="containsText" text="1">
      <formula>NOT(ISERROR(SEARCH("1",B18)))</formula>
    </cfRule>
  </conditionalFormatting>
  <conditionalFormatting sqref="G18">
    <cfRule type="notContainsText" dxfId="27" priority="35" operator="notContains" text="null">
      <formula>ISERROR(SEARCH("null",G18))</formula>
    </cfRule>
  </conditionalFormatting>
  <conditionalFormatting sqref="D18">
    <cfRule type="notContainsText" dxfId="26" priority="34" operator="notContains" text="100">
      <formula>ISERROR(SEARCH("100",D18))</formula>
    </cfRule>
  </conditionalFormatting>
  <conditionalFormatting sqref="K18">
    <cfRule type="duplicateValues" dxfId="25" priority="39"/>
  </conditionalFormatting>
  <conditionalFormatting sqref="A18">
    <cfRule type="containsText" dxfId="24" priority="32" operator="containsText" text="死亡">
      <formula>NOT(ISERROR(SEARCH("死亡",A18)))</formula>
    </cfRule>
    <cfRule type="containsText" dxfId="23" priority="33" operator="containsText" text="開幕">
      <formula>NOT(ISERROR(SEARCH("開幕",A18)))</formula>
    </cfRule>
  </conditionalFormatting>
  <conditionalFormatting sqref="L69">
    <cfRule type="containsText" dxfId="22" priority="30" operator="containsText" text="死亡">
      <formula>NOT(ISERROR(SEARCH("死亡",L69)))</formula>
    </cfRule>
    <cfRule type="containsText" dxfId="21" priority="31" operator="containsText" text="開幕">
      <formula>NOT(ISERROR(SEARCH("開幕",L69)))</formula>
    </cfRule>
  </conditionalFormatting>
  <conditionalFormatting sqref="L70:L73">
    <cfRule type="containsText" dxfId="20" priority="26" operator="containsText" text="死亡">
      <formula>NOT(ISERROR(SEARCH("死亡",L70)))</formula>
    </cfRule>
    <cfRule type="containsText" dxfId="19" priority="28" operator="containsText" text="開幕">
      <formula>NOT(ISERROR(SEARCH("開幕",L70)))</formula>
    </cfRule>
  </conditionalFormatting>
  <conditionalFormatting sqref="B70:B75">
    <cfRule type="containsText" dxfId="18" priority="27" operator="containsText" text="1">
      <formula>NOT(ISERROR(SEARCH("1",B70)))</formula>
    </cfRule>
  </conditionalFormatting>
  <conditionalFormatting sqref="G70:G75">
    <cfRule type="notContainsText" dxfId="17" priority="25" operator="notContains" text="null">
      <formula>ISERROR(SEARCH("null",G70))</formula>
    </cfRule>
  </conditionalFormatting>
  <conditionalFormatting sqref="D70:D75">
    <cfRule type="notContainsText" dxfId="16" priority="24" operator="notContains" text="100">
      <formula>ISERROR(SEARCH("100",D70))</formula>
    </cfRule>
  </conditionalFormatting>
  <conditionalFormatting sqref="K70:K75">
    <cfRule type="duplicateValues" dxfId="15" priority="29"/>
  </conditionalFormatting>
  <conditionalFormatting sqref="L74:L75">
    <cfRule type="containsText" dxfId="14" priority="20" operator="containsText" text="死亡">
      <formula>NOT(ISERROR(SEARCH("死亡",L74)))</formula>
    </cfRule>
    <cfRule type="containsText" dxfId="13" priority="21" operator="containsText" text="開幕">
      <formula>NOT(ISERROR(SEARCH("開幕",L74)))</formula>
    </cfRule>
  </conditionalFormatting>
  <conditionalFormatting sqref="A70:A75">
    <cfRule type="containsText" dxfId="12" priority="19" operator="containsText" text="1">
      <formula>NOT(ISERROR(SEARCH("1",A70)))</formula>
    </cfRule>
  </conditionalFormatting>
  <conditionalFormatting sqref="A24 L24">
    <cfRule type="containsText" dxfId="11" priority="9" operator="containsText" text="死亡">
      <formula>NOT(ISERROR(SEARCH("死亡",A24)))</formula>
    </cfRule>
    <cfRule type="containsText" dxfId="10" priority="11" operator="containsText" text="開幕">
      <formula>NOT(ISERROR(SEARCH("開幕",A24)))</formula>
    </cfRule>
  </conditionalFormatting>
  <conditionalFormatting sqref="B24">
    <cfRule type="containsText" dxfId="9" priority="10" operator="containsText" text="1">
      <formula>NOT(ISERROR(SEARCH("1",B24)))</formula>
    </cfRule>
  </conditionalFormatting>
  <conditionalFormatting sqref="G24">
    <cfRule type="notContainsText" dxfId="8" priority="8" operator="notContains" text="null">
      <formula>ISERROR(SEARCH("null",G24))</formula>
    </cfRule>
  </conditionalFormatting>
  <conditionalFormatting sqref="D24">
    <cfRule type="notContainsText" dxfId="7" priority="7" operator="notContains" text="100">
      <formula>ISERROR(SEARCH("100",D24))</formula>
    </cfRule>
  </conditionalFormatting>
  <conditionalFormatting sqref="K24">
    <cfRule type="duplicateValues" dxfId="6" priority="12"/>
  </conditionalFormatting>
  <conditionalFormatting sqref="L23 A23">
    <cfRule type="containsText" dxfId="5" priority="3" operator="containsText" text="死亡">
      <formula>NOT(ISERROR(SEARCH("死亡",A23)))</formula>
    </cfRule>
    <cfRule type="containsText" dxfId="4" priority="5" operator="containsText" text="開幕">
      <formula>NOT(ISERROR(SEARCH("開幕",A23)))</formula>
    </cfRule>
  </conditionalFormatting>
  <conditionalFormatting sqref="B23">
    <cfRule type="containsText" dxfId="3" priority="4" operator="containsText" text="1">
      <formula>NOT(ISERROR(SEARCH("1",B23)))</formula>
    </cfRule>
  </conditionalFormatting>
  <conditionalFormatting sqref="G23">
    <cfRule type="notContainsText" dxfId="2" priority="2" operator="notContains" text="null">
      <formula>ISERROR(SEARCH("null",G23))</formula>
    </cfRule>
  </conditionalFormatting>
  <conditionalFormatting sqref="D23">
    <cfRule type="notContainsText" dxfId="1" priority="1" operator="notContains" text="100">
      <formula>ISERROR(SEARCH("100",D23))</formula>
    </cfRule>
  </conditionalFormatting>
  <conditionalFormatting sqref="K23">
    <cfRule type="duplicateValues" dxfId="0" priority="6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P15" sqref="P1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8" t="s">
        <v>149</v>
      </c>
      <c r="B1" s="58" t="s">
        <v>150</v>
      </c>
      <c r="C1" s="59" t="s">
        <v>151</v>
      </c>
      <c r="D1" s="65" t="s">
        <v>152</v>
      </c>
      <c r="E1" s="60" t="s">
        <v>153</v>
      </c>
      <c r="F1" s="58" t="s">
        <v>154</v>
      </c>
      <c r="G1" s="58" t="s">
        <v>155</v>
      </c>
      <c r="H1" s="58" t="s">
        <v>156</v>
      </c>
      <c r="I1" s="58" t="s">
        <v>157</v>
      </c>
      <c r="J1" s="58" t="s">
        <v>158</v>
      </c>
      <c r="K1" s="58" t="s">
        <v>159</v>
      </c>
      <c r="L1" s="58" t="s">
        <v>160</v>
      </c>
      <c r="M1" s="58" t="s">
        <v>161</v>
      </c>
      <c r="N1" s="58" t="s">
        <v>162</v>
      </c>
      <c r="O1" s="58" t="s">
        <v>163</v>
      </c>
      <c r="P1" s="58" t="s">
        <v>164</v>
      </c>
      <c r="Q1" s="58" t="s">
        <v>165</v>
      </c>
      <c r="R1" s="58" t="s">
        <v>166</v>
      </c>
    </row>
    <row r="2" spans="1:18" x14ac:dyDescent="0.15">
      <c r="A2" s="53">
        <v>40046</v>
      </c>
      <c r="B2" s="53">
        <v>1</v>
      </c>
      <c r="C2" s="64" t="str">
        <f>A2&amp; "_"&amp;B2</f>
        <v>40046_1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40">
        <v>1</v>
      </c>
      <c r="F2" s="141" t="s">
        <v>261</v>
      </c>
      <c r="G2" s="141">
        <v>40000</v>
      </c>
      <c r="H2" s="141" t="s">
        <v>262</v>
      </c>
      <c r="I2" s="141">
        <v>1</v>
      </c>
      <c r="J2" s="141">
        <v>1</v>
      </c>
      <c r="K2" s="141">
        <v>0</v>
      </c>
      <c r="L2" s="141">
        <v>0</v>
      </c>
      <c r="M2" s="141">
        <v>0</v>
      </c>
      <c r="N2" s="141">
        <v>0</v>
      </c>
      <c r="O2" s="141">
        <v>1</v>
      </c>
      <c r="P2" s="141">
        <v>150</v>
      </c>
      <c r="Q2" s="53" t="s">
        <v>167</v>
      </c>
      <c r="R2" s="53" t="s">
        <v>168</v>
      </c>
    </row>
    <row r="3" spans="1:18" x14ac:dyDescent="0.15">
      <c r="A3" s="53">
        <v>40046</v>
      </c>
      <c r="B3" s="53">
        <v>1</v>
      </c>
      <c r="C3" s="64" t="str">
        <f t="shared" ref="C3:C18" si="0">A3&amp; "_"&amp;B3</f>
        <v>40046_1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142">
        <v>2</v>
      </c>
      <c r="F3" s="143" t="s">
        <v>263</v>
      </c>
      <c r="G3" s="143">
        <v>30</v>
      </c>
      <c r="H3" s="143" t="s">
        <v>262</v>
      </c>
      <c r="I3" s="143">
        <v>1</v>
      </c>
      <c r="J3" s="143">
        <v>1</v>
      </c>
      <c r="K3" s="143">
        <v>0</v>
      </c>
      <c r="L3" s="143">
        <v>0</v>
      </c>
      <c r="M3" s="143">
        <v>0</v>
      </c>
      <c r="N3" s="143">
        <v>0</v>
      </c>
      <c r="O3" s="143">
        <v>1</v>
      </c>
      <c r="P3" s="143">
        <v>150</v>
      </c>
      <c r="Q3" s="53" t="s">
        <v>167</v>
      </c>
      <c r="R3" s="53" t="s">
        <v>168</v>
      </c>
    </row>
    <row r="4" spans="1:18" x14ac:dyDescent="0.15">
      <c r="A4" s="53">
        <v>40046</v>
      </c>
      <c r="B4" s="53">
        <v>1</v>
      </c>
      <c r="C4" s="64" t="str">
        <f t="shared" si="0"/>
        <v>40046_1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142">
        <v>3</v>
      </c>
      <c r="F4" s="143" t="s">
        <v>264</v>
      </c>
      <c r="G4" s="144">
        <v>1438</v>
      </c>
      <c r="H4" s="143">
        <v>1</v>
      </c>
      <c r="I4" s="143">
        <v>1</v>
      </c>
      <c r="J4" s="143">
        <v>1</v>
      </c>
      <c r="K4" s="143">
        <v>0</v>
      </c>
      <c r="L4" s="143">
        <v>0</v>
      </c>
      <c r="M4" s="143">
        <v>0</v>
      </c>
      <c r="N4" s="143">
        <v>0</v>
      </c>
      <c r="O4" s="143">
        <v>1</v>
      </c>
      <c r="P4" s="143">
        <v>100</v>
      </c>
      <c r="Q4" s="53" t="s">
        <v>167</v>
      </c>
      <c r="R4" s="53" t="s">
        <v>168</v>
      </c>
    </row>
    <row r="5" spans="1:18" x14ac:dyDescent="0.15">
      <c r="A5" s="53">
        <v>40046</v>
      </c>
      <c r="B5" s="53">
        <v>1</v>
      </c>
      <c r="C5" s="64" t="str">
        <f t="shared" si="0"/>
        <v>40046_1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42">
        <v>4</v>
      </c>
      <c r="F5" s="143" t="s">
        <v>264</v>
      </c>
      <c r="G5" s="143">
        <v>337</v>
      </c>
      <c r="H5" s="143">
        <v>1</v>
      </c>
      <c r="I5" s="143">
        <v>1</v>
      </c>
      <c r="J5" s="143">
        <v>1</v>
      </c>
      <c r="K5" s="143">
        <v>0</v>
      </c>
      <c r="L5" s="143">
        <v>0</v>
      </c>
      <c r="M5" s="143">
        <v>0</v>
      </c>
      <c r="N5" s="143">
        <v>0</v>
      </c>
      <c r="O5" s="143">
        <v>1</v>
      </c>
      <c r="P5" s="143">
        <v>28</v>
      </c>
      <c r="Q5" s="53" t="s">
        <v>167</v>
      </c>
      <c r="R5" s="53" t="s">
        <v>168</v>
      </c>
    </row>
    <row r="6" spans="1:18" x14ac:dyDescent="0.15">
      <c r="A6" s="53">
        <v>40046</v>
      </c>
      <c r="B6" s="53">
        <v>1</v>
      </c>
      <c r="C6" s="64" t="str">
        <f t="shared" si="0"/>
        <v>40046_1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142">
        <v>5</v>
      </c>
      <c r="F6" s="143" t="s">
        <v>264</v>
      </c>
      <c r="G6" s="143">
        <v>338</v>
      </c>
      <c r="H6" s="143">
        <v>1</v>
      </c>
      <c r="I6" s="143">
        <v>1</v>
      </c>
      <c r="J6" s="143">
        <v>1</v>
      </c>
      <c r="K6" s="143">
        <v>0</v>
      </c>
      <c r="L6" s="143">
        <v>0</v>
      </c>
      <c r="M6" s="143">
        <v>0</v>
      </c>
      <c r="N6" s="143">
        <v>0</v>
      </c>
      <c r="O6" s="143">
        <v>1</v>
      </c>
      <c r="P6" s="143">
        <v>112</v>
      </c>
      <c r="Q6" s="53" t="s">
        <v>167</v>
      </c>
      <c r="R6" s="53" t="s">
        <v>168</v>
      </c>
    </row>
    <row r="7" spans="1:18" x14ac:dyDescent="0.15">
      <c r="A7" s="53">
        <v>40046</v>
      </c>
      <c r="B7" s="53">
        <v>1</v>
      </c>
      <c r="C7" s="64" t="str">
        <f t="shared" si="0"/>
        <v>40046_1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42">
        <v>6</v>
      </c>
      <c r="F7" s="143" t="s">
        <v>264</v>
      </c>
      <c r="G7" s="143">
        <v>350</v>
      </c>
      <c r="H7" s="143">
        <v>1</v>
      </c>
      <c r="I7" s="143">
        <v>1</v>
      </c>
      <c r="J7" s="143">
        <v>1</v>
      </c>
      <c r="K7" s="143">
        <v>0</v>
      </c>
      <c r="L7" s="143">
        <v>0</v>
      </c>
      <c r="M7" s="143">
        <v>0</v>
      </c>
      <c r="N7" s="143">
        <v>0</v>
      </c>
      <c r="O7" s="143">
        <v>1</v>
      </c>
      <c r="P7" s="143">
        <v>150</v>
      </c>
      <c r="Q7" s="53" t="s">
        <v>167</v>
      </c>
      <c r="R7" s="53" t="s">
        <v>168</v>
      </c>
    </row>
    <row r="8" spans="1:18" x14ac:dyDescent="0.15">
      <c r="A8" s="53">
        <v>40046</v>
      </c>
      <c r="B8" s="53">
        <v>1</v>
      </c>
      <c r="C8" s="64" t="str">
        <f t="shared" si="0"/>
        <v>40046_1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42">
        <v>7</v>
      </c>
      <c r="F8" s="143" t="s">
        <v>264</v>
      </c>
      <c r="G8" s="143">
        <v>121</v>
      </c>
      <c r="H8" s="143">
        <v>1</v>
      </c>
      <c r="I8" s="143">
        <v>1</v>
      </c>
      <c r="J8" s="143">
        <v>1</v>
      </c>
      <c r="K8" s="143">
        <v>0</v>
      </c>
      <c r="L8" s="143">
        <v>0</v>
      </c>
      <c r="M8" s="143">
        <v>0</v>
      </c>
      <c r="N8" s="143">
        <v>0</v>
      </c>
      <c r="O8" s="143">
        <v>1</v>
      </c>
      <c r="P8" s="143">
        <v>100</v>
      </c>
      <c r="Q8" s="53" t="s">
        <v>167</v>
      </c>
      <c r="R8" s="53" t="s">
        <v>168</v>
      </c>
    </row>
    <row r="9" spans="1:18" x14ac:dyDescent="0.15">
      <c r="A9" s="53">
        <v>40046</v>
      </c>
      <c r="B9" s="53">
        <v>1</v>
      </c>
      <c r="C9" s="64" t="str">
        <f t="shared" si="0"/>
        <v>40046_1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142">
        <v>8</v>
      </c>
      <c r="F9" s="143" t="s">
        <v>264</v>
      </c>
      <c r="G9" s="143">
        <v>122</v>
      </c>
      <c r="H9" s="143">
        <v>1</v>
      </c>
      <c r="I9" s="143">
        <v>1</v>
      </c>
      <c r="J9" s="143">
        <v>1</v>
      </c>
      <c r="K9" s="143">
        <v>0</v>
      </c>
      <c r="L9" s="143">
        <v>0</v>
      </c>
      <c r="M9" s="143">
        <v>0</v>
      </c>
      <c r="N9" s="143">
        <v>0</v>
      </c>
      <c r="O9" s="143">
        <v>1</v>
      </c>
      <c r="P9" s="143">
        <v>100</v>
      </c>
      <c r="Q9" s="53" t="s">
        <v>167</v>
      </c>
      <c r="R9" s="53" t="s">
        <v>168</v>
      </c>
    </row>
    <row r="10" spans="1:18" x14ac:dyDescent="0.15">
      <c r="A10" s="53">
        <v>40046</v>
      </c>
      <c r="B10" s="53">
        <v>1</v>
      </c>
      <c r="C10" s="64" t="str">
        <f t="shared" si="0"/>
        <v>40046_1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142">
        <v>9</v>
      </c>
      <c r="F10" s="143" t="s">
        <v>264</v>
      </c>
      <c r="G10" s="143">
        <v>123</v>
      </c>
      <c r="H10" s="143">
        <v>1</v>
      </c>
      <c r="I10" s="143">
        <v>1</v>
      </c>
      <c r="J10" s="143">
        <v>1</v>
      </c>
      <c r="K10" s="143">
        <v>0</v>
      </c>
      <c r="L10" s="143">
        <v>0</v>
      </c>
      <c r="M10" s="143">
        <v>0</v>
      </c>
      <c r="N10" s="143">
        <v>0</v>
      </c>
      <c r="O10" s="143">
        <v>1</v>
      </c>
      <c r="P10" s="143">
        <v>100</v>
      </c>
      <c r="Q10" s="53" t="s">
        <v>167</v>
      </c>
      <c r="R10" s="53" t="s">
        <v>168</v>
      </c>
    </row>
    <row r="11" spans="1:18" x14ac:dyDescent="0.15">
      <c r="A11" s="53">
        <v>40046</v>
      </c>
      <c r="B11" s="53">
        <v>1</v>
      </c>
      <c r="C11" s="64" t="str">
        <f t="shared" si="0"/>
        <v>40046_1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42">
        <v>10</v>
      </c>
      <c r="F11" s="143" t="s">
        <v>264</v>
      </c>
      <c r="G11" s="143">
        <v>125</v>
      </c>
      <c r="H11" s="143">
        <v>1</v>
      </c>
      <c r="I11" s="143">
        <v>1</v>
      </c>
      <c r="J11" s="143">
        <v>1</v>
      </c>
      <c r="K11" s="143">
        <v>0</v>
      </c>
      <c r="L11" s="143">
        <v>0</v>
      </c>
      <c r="M11" s="143">
        <v>0</v>
      </c>
      <c r="N11" s="143">
        <v>0</v>
      </c>
      <c r="O11" s="143">
        <v>1</v>
      </c>
      <c r="P11" s="143">
        <v>10</v>
      </c>
      <c r="Q11" s="53" t="s">
        <v>167</v>
      </c>
      <c r="R11" s="53" t="s">
        <v>168</v>
      </c>
    </row>
    <row r="12" spans="1:18" x14ac:dyDescent="0.15">
      <c r="A12" s="54">
        <v>40046</v>
      </c>
      <c r="B12" s="54">
        <v>2</v>
      </c>
      <c r="C12" s="64" t="str">
        <f t="shared" si="0"/>
        <v>40046_2</v>
      </c>
      <c r="D12" s="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45">
        <v>11</v>
      </c>
      <c r="F12" s="146" t="s">
        <v>264</v>
      </c>
      <c r="G12" s="147">
        <v>1438</v>
      </c>
      <c r="H12" s="146">
        <v>1</v>
      </c>
      <c r="I12" s="146">
        <v>1</v>
      </c>
      <c r="J12" s="146">
        <v>1</v>
      </c>
      <c r="K12" s="146">
        <v>0</v>
      </c>
      <c r="L12" s="146">
        <v>0</v>
      </c>
      <c r="M12" s="146">
        <v>0</v>
      </c>
      <c r="N12" s="146">
        <v>0</v>
      </c>
      <c r="O12" s="146">
        <v>1</v>
      </c>
      <c r="P12" s="146">
        <v>500</v>
      </c>
      <c r="Q12" s="54" t="s">
        <v>167</v>
      </c>
      <c r="R12" s="54" t="s">
        <v>168</v>
      </c>
    </row>
    <row r="13" spans="1:18" x14ac:dyDescent="0.15">
      <c r="A13" s="54">
        <v>40046</v>
      </c>
      <c r="B13" s="54">
        <v>2</v>
      </c>
      <c r="C13" s="64" t="str">
        <f t="shared" si="0"/>
        <v>40046_2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45">
        <v>12</v>
      </c>
      <c r="F13" s="146" t="s">
        <v>264</v>
      </c>
      <c r="G13" s="146">
        <v>338</v>
      </c>
      <c r="H13" s="146">
        <v>1</v>
      </c>
      <c r="I13" s="146">
        <v>1</v>
      </c>
      <c r="J13" s="146">
        <v>1</v>
      </c>
      <c r="K13" s="146">
        <v>0</v>
      </c>
      <c r="L13" s="146">
        <v>0</v>
      </c>
      <c r="M13" s="146">
        <v>0</v>
      </c>
      <c r="N13" s="146">
        <v>0</v>
      </c>
      <c r="O13" s="146">
        <v>1</v>
      </c>
      <c r="P13" s="146">
        <v>50</v>
      </c>
      <c r="Q13" s="54" t="s">
        <v>167</v>
      </c>
      <c r="R13" s="54" t="s">
        <v>168</v>
      </c>
    </row>
    <row r="14" spans="1:18" x14ac:dyDescent="0.15">
      <c r="A14" s="54">
        <v>40046</v>
      </c>
      <c r="B14" s="54">
        <v>2</v>
      </c>
      <c r="C14" s="64" t="str">
        <f t="shared" si="0"/>
        <v>40046_2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45">
        <v>13</v>
      </c>
      <c r="F14" s="146" t="s">
        <v>264</v>
      </c>
      <c r="G14" s="146">
        <v>350</v>
      </c>
      <c r="H14" s="146">
        <v>1</v>
      </c>
      <c r="I14" s="146">
        <v>1</v>
      </c>
      <c r="J14" s="146">
        <v>1</v>
      </c>
      <c r="K14" s="146">
        <v>0</v>
      </c>
      <c r="L14" s="146">
        <v>0</v>
      </c>
      <c r="M14" s="146">
        <v>0</v>
      </c>
      <c r="N14" s="146">
        <v>0</v>
      </c>
      <c r="O14" s="146">
        <v>1</v>
      </c>
      <c r="P14" s="146">
        <v>120</v>
      </c>
      <c r="Q14" s="54" t="s">
        <v>167</v>
      </c>
      <c r="R14" s="54" t="s">
        <v>168</v>
      </c>
    </row>
    <row r="15" spans="1:18" x14ac:dyDescent="0.15">
      <c r="A15" s="54">
        <v>40046</v>
      </c>
      <c r="B15" s="54">
        <v>2</v>
      </c>
      <c r="C15" s="64" t="str">
        <f t="shared" si="0"/>
        <v>40046_2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45">
        <v>14</v>
      </c>
      <c r="F15" s="146" t="s">
        <v>264</v>
      </c>
      <c r="G15" s="146">
        <v>607</v>
      </c>
      <c r="H15" s="146">
        <v>1</v>
      </c>
      <c r="I15" s="146">
        <v>1</v>
      </c>
      <c r="J15" s="146">
        <v>1</v>
      </c>
      <c r="K15" s="146">
        <v>0</v>
      </c>
      <c r="L15" s="146">
        <v>0</v>
      </c>
      <c r="M15" s="146">
        <v>0</v>
      </c>
      <c r="N15" s="146">
        <v>0</v>
      </c>
      <c r="O15" s="146">
        <v>1</v>
      </c>
      <c r="P15" s="146">
        <v>100</v>
      </c>
      <c r="Q15" s="54" t="s">
        <v>167</v>
      </c>
      <c r="R15" s="54" t="s">
        <v>168</v>
      </c>
    </row>
    <row r="16" spans="1:18" x14ac:dyDescent="0.15">
      <c r="A16" s="54">
        <v>40046</v>
      </c>
      <c r="B16" s="54">
        <v>2</v>
      </c>
      <c r="C16" s="64" t="str">
        <f t="shared" si="0"/>
        <v>40046_2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45">
        <v>15</v>
      </c>
      <c r="F16" s="146" t="s">
        <v>264</v>
      </c>
      <c r="G16" s="146">
        <v>608</v>
      </c>
      <c r="H16" s="146">
        <v>1</v>
      </c>
      <c r="I16" s="146">
        <v>1</v>
      </c>
      <c r="J16" s="146">
        <v>1</v>
      </c>
      <c r="K16" s="146">
        <v>0</v>
      </c>
      <c r="L16" s="146">
        <v>0</v>
      </c>
      <c r="M16" s="146">
        <v>0</v>
      </c>
      <c r="N16" s="146">
        <v>0</v>
      </c>
      <c r="O16" s="146">
        <v>1</v>
      </c>
      <c r="P16" s="146">
        <v>100</v>
      </c>
      <c r="Q16" s="54" t="s">
        <v>167</v>
      </c>
      <c r="R16" s="54" t="s">
        <v>168</v>
      </c>
    </row>
    <row r="17" spans="1:18" x14ac:dyDescent="0.15">
      <c r="A17" s="54">
        <v>40046</v>
      </c>
      <c r="B17" s="54">
        <v>2</v>
      </c>
      <c r="C17" s="64" t="str">
        <f t="shared" si="0"/>
        <v>40046_2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45">
        <v>16</v>
      </c>
      <c r="F17" s="146" t="s">
        <v>264</v>
      </c>
      <c r="G17" s="146">
        <v>609</v>
      </c>
      <c r="H17" s="146">
        <v>1</v>
      </c>
      <c r="I17" s="146">
        <v>1</v>
      </c>
      <c r="J17" s="146">
        <v>1</v>
      </c>
      <c r="K17" s="146">
        <v>0</v>
      </c>
      <c r="L17" s="146">
        <v>0</v>
      </c>
      <c r="M17" s="146">
        <v>0</v>
      </c>
      <c r="N17" s="146">
        <v>0</v>
      </c>
      <c r="O17" s="146">
        <v>1</v>
      </c>
      <c r="P17" s="146">
        <v>100</v>
      </c>
      <c r="Q17" s="54" t="s">
        <v>167</v>
      </c>
      <c r="R17" s="54" t="s">
        <v>168</v>
      </c>
    </row>
    <row r="18" spans="1:18" x14ac:dyDescent="0.15">
      <c r="A18" s="54">
        <v>40046</v>
      </c>
      <c r="B18" s="54">
        <v>2</v>
      </c>
      <c r="C18" s="64" t="str">
        <f t="shared" si="0"/>
        <v>40046_2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45">
        <v>17</v>
      </c>
      <c r="F18" s="146" t="s">
        <v>264</v>
      </c>
      <c r="G18" s="146">
        <v>125</v>
      </c>
      <c r="H18" s="146">
        <v>1</v>
      </c>
      <c r="I18" s="146">
        <v>1</v>
      </c>
      <c r="J18" s="146">
        <v>1</v>
      </c>
      <c r="K18" s="146">
        <v>0</v>
      </c>
      <c r="L18" s="146">
        <v>0</v>
      </c>
      <c r="M18" s="146">
        <v>0</v>
      </c>
      <c r="N18" s="146">
        <v>0</v>
      </c>
      <c r="O18" s="146">
        <v>1</v>
      </c>
      <c r="P18" s="146">
        <v>30</v>
      </c>
      <c r="Q18" s="54" t="s">
        <v>167</v>
      </c>
      <c r="R18" s="54" t="s">
        <v>168</v>
      </c>
    </row>
  </sheetData>
  <phoneticPr fontId="6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I12" sqref="I12"/>
    </sheetView>
  </sheetViews>
  <sheetFormatPr baseColWidth="12" defaultColWidth="13" defaultRowHeight="15" outlineLevelCol="1" x14ac:dyDescent="0.15"/>
  <cols>
    <col min="1" max="1" width="13" style="7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9" t="s">
        <v>185</v>
      </c>
      <c r="B1" s="66" t="s">
        <v>186</v>
      </c>
      <c r="C1" s="70" t="s">
        <v>187</v>
      </c>
      <c r="D1" s="70" t="s">
        <v>33</v>
      </c>
      <c r="E1" s="66" t="s">
        <v>188</v>
      </c>
      <c r="F1" s="70" t="s">
        <v>189</v>
      </c>
      <c r="G1" s="70" t="s">
        <v>33</v>
      </c>
      <c r="H1" s="66" t="s">
        <v>190</v>
      </c>
      <c r="I1" s="82" t="s">
        <v>192</v>
      </c>
      <c r="J1" s="72" t="s">
        <v>125</v>
      </c>
      <c r="K1" s="71" t="s">
        <v>184</v>
      </c>
      <c r="L1" s="83" t="s">
        <v>183</v>
      </c>
      <c r="M1" s="73" t="s">
        <v>193</v>
      </c>
    </row>
  </sheetData>
  <phoneticPr fontId="6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R18"/>
  <sheetViews>
    <sheetView showGridLines="0" zoomScale="118" zoomScaleNormal="118" zoomScalePageLayoutView="118" workbookViewId="0">
      <pane ySplit="1" topLeftCell="A2" activePane="bottomLeft" state="frozen"/>
      <selection pane="bottomLeft" activeCell="M6" sqref="M6"/>
    </sheetView>
  </sheetViews>
  <sheetFormatPr baseColWidth="12" defaultColWidth="13" defaultRowHeight="19" outlineLevelCol="1" x14ac:dyDescent="0.15"/>
  <cols>
    <col min="1" max="1" width="13" style="79"/>
    <col min="2" max="2" width="7.5" customWidth="1" collapsed="1"/>
    <col min="3" max="3" width="17" hidden="1" customWidth="1" outlineLevel="1"/>
    <col min="4" max="4" width="18.83203125" hidden="1" customWidth="1" outlineLevel="1"/>
    <col min="5" max="5" width="8" customWidth="1" collapsed="1"/>
    <col min="6" max="7" width="10.6640625" hidden="1" customWidth="1" outlineLevel="1"/>
    <col min="8" max="8" width="7.33203125" customWidth="1"/>
    <col min="9" max="9" width="8" customWidth="1"/>
    <col min="10" max="10" width="11.1640625" customWidth="1"/>
    <col min="11" max="11" width="6.83203125" hidden="1" customWidth="1"/>
    <col min="12" max="12" width="11.1640625" style="175" customWidth="1"/>
    <col min="13" max="13" width="42.6640625" customWidth="1"/>
    <col min="14" max="14" width="7.5" customWidth="1"/>
    <col min="15" max="15" width="37.83203125" customWidth="1"/>
    <col min="16" max="16" width="8.5" style="105" customWidth="1"/>
  </cols>
  <sheetData>
    <row r="1" spans="1:18" ht="15" x14ac:dyDescent="0.15">
      <c r="A1" s="176" t="s">
        <v>185</v>
      </c>
      <c r="B1" s="66" t="s">
        <v>149</v>
      </c>
      <c r="C1" s="70" t="s">
        <v>187</v>
      </c>
      <c r="D1" s="70" t="s">
        <v>33</v>
      </c>
      <c r="E1" s="66" t="s">
        <v>188</v>
      </c>
      <c r="F1" s="70" t="s">
        <v>18</v>
      </c>
      <c r="G1" s="70" t="s">
        <v>33</v>
      </c>
      <c r="H1" s="66" t="s">
        <v>190</v>
      </c>
      <c r="I1" s="80" t="s">
        <v>191</v>
      </c>
      <c r="J1" s="82" t="s">
        <v>192</v>
      </c>
      <c r="K1" s="72" t="s">
        <v>125</v>
      </c>
      <c r="L1" s="174" t="s">
        <v>184</v>
      </c>
      <c r="M1" s="83" t="s">
        <v>183</v>
      </c>
      <c r="N1" s="73" t="s">
        <v>193</v>
      </c>
      <c r="O1" s="104" t="s">
        <v>257</v>
      </c>
      <c r="P1" s="104" t="s">
        <v>259</v>
      </c>
    </row>
    <row r="2" spans="1:18" ht="70" customHeight="1" x14ac:dyDescent="0.15">
      <c r="A2" s="177" t="s">
        <v>194</v>
      </c>
      <c r="B2" s="74">
        <v>40046</v>
      </c>
      <c r="C2" s="171" t="str">
        <f ca="1">VLOOKUP($B2,OFFSET([2]quests!$A$1,0,0,COUNTA([2]quests!$A:$A),MATCH(C$1,[2]quests!$1:$1,0)-MATCH($B$1,[2]quests!$1:$1,0)+1),MATCH(C$1,[2]quests!$1:$1,0)-MATCH($B$1,[2]quests!$1:$1,0)+1,FALSE)</f>
        <v>ゼノビア襲来！</v>
      </c>
      <c r="D2" s="171" t="str">
        <f ca="1">VLOOKUP($B2,OFFSET([2]quests!$A$1,0,0,COUNTA([2]quests!$A:$A),MATCH(D$1,[2]quests!$1:$1,0)-MATCH($B$1,[2]quests!$1:$1,0)+1),MATCH(D$1,[2]quests!$1:$1,0)-MATCH($B$1,[2]quests!$1:$1,0)+1,FALSE)</f>
        <v>降臨46</v>
      </c>
      <c r="E2" s="76">
        <v>1</v>
      </c>
      <c r="F2" s="17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【超絶級】ゼノビア襲来</v>
      </c>
      <c r="G2" s="171" t="str">
        <f ca="1">VLOOKUP($B2&amp;"_"&amp;$E2,OFFSET([2]stages!$A$1,0,0,COUNTA([2]stages!$A:$A),MATCH(G$1,[2]stages!$2:$2,0)-MATCH("temp_stage",[2]stages!$2:$2,0)+1),MATCH(G$1,[2]stages!$2:$2,0)-MATCH("temp_stage",[2]stages!$2:$2,0)+1,FALSE)</f>
        <v>降臨46</v>
      </c>
      <c r="H2" s="172">
        <v>1</v>
      </c>
      <c r="I2" s="81">
        <f>ROW()-1</f>
        <v>1</v>
      </c>
      <c r="J2" s="78" t="str">
        <f>B2&amp;TEXT(I2,"00")</f>
        <v>4004601</v>
      </c>
      <c r="K2" s="76" t="s">
        <v>126</v>
      </c>
      <c r="L2" s="178" t="s">
        <v>250</v>
      </c>
      <c r="M2" s="179" t="s">
        <v>450</v>
      </c>
      <c r="N2" s="53" t="s">
        <v>196</v>
      </c>
      <c r="O2" s="173" t="str">
        <f>"１２３４５６７８９０１２３４５６７８９０"&amp;DBCS(M2)</f>
        <v>１２３４５６７８９０１２３４５６７８９０マミコが吸収攻撃予告をしたら_x000D_次のターンに備えて対応しましょう_x000D_カウンタースキルを使用したら_x000D_ターンスキップするのも一つの手です</v>
      </c>
      <c r="P2" s="106">
        <f>LEN(M2)</f>
        <v>64</v>
      </c>
    </row>
    <row r="3" spans="1:18" ht="85" customHeight="1" x14ac:dyDescent="0.15">
      <c r="A3" s="177" t="s">
        <v>194</v>
      </c>
      <c r="B3" s="74">
        <v>40046</v>
      </c>
      <c r="C3" s="171" t="str">
        <f ca="1">VLOOKUP($B3,OFFSET([2]quests!$A$1,0,0,COUNTA([2]quests!$A:$A),MATCH(C$1,[2]quests!$1:$1,0)-MATCH($B$1,[2]quests!$1:$1,0)+1),MATCH(C$1,[2]quests!$1:$1,0)-MATCH($B$1,[2]quests!$1:$1,0)+1,FALSE)</f>
        <v>ゼノビア襲来！</v>
      </c>
      <c r="D3" s="171" t="str">
        <f ca="1">VLOOKUP($B3,OFFSET([2]quests!$A$1,0,0,COUNTA([2]quests!$A:$A),MATCH(D$1,[2]quests!$1:$1,0)-MATCH($B$1,[2]quests!$1:$1,0)+1),MATCH(D$1,[2]quests!$1:$1,0)-MATCH($B$1,[2]quests!$1:$1,0)+1,FALSE)</f>
        <v>降臨46</v>
      </c>
      <c r="E3" s="76">
        <v>1</v>
      </c>
      <c r="F3" s="17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【超絶級】ゼノビア襲来</v>
      </c>
      <c r="G3" s="171" t="str">
        <f ca="1">VLOOKUP($B3&amp;"_"&amp;$E3,OFFSET([2]stages!$A$1,0,0,COUNTA([2]stages!$A:$A),MATCH(G$1,[2]stages!$2:$2,0)-MATCH("temp_stage",[2]stages!$2:$2,0)+1),MATCH(G$1,[2]stages!$2:$2,0)-MATCH("temp_stage",[2]stages!$2:$2,0)+1,FALSE)</f>
        <v>降臨46</v>
      </c>
      <c r="H3" s="172">
        <v>2</v>
      </c>
      <c r="I3" s="81">
        <f t="shared" ref="I3:I17" si="0">ROW()-1</f>
        <v>2</v>
      </c>
      <c r="J3" s="78" t="str">
        <f t="shared" ref="J3:J9" si="1">B3&amp;TEXT(I3,"00")</f>
        <v>4004602</v>
      </c>
      <c r="K3" s="76" t="s">
        <v>126</v>
      </c>
      <c r="L3" s="178" t="s">
        <v>250</v>
      </c>
      <c r="M3" s="179" t="s">
        <v>448</v>
      </c>
      <c r="N3" s="53" t="s">
        <v>196</v>
      </c>
      <c r="O3" s="173" t="str">
        <f t="shared" ref="O3:O9" si="2">"１２３４５６７８９０１２３４５６７８９０"&amp;DBCS(M3)</f>
        <v>１２３４５６７８９０１２３４５６７８９０ウルズはＨＰが５０％以下になると_x000D_攻撃の威力が弱くなります_x000D_強力な攻撃を受ける前に_x000D_ＨＰを減らして突破しましょう</v>
      </c>
      <c r="P3" s="106">
        <f t="shared" ref="P3:P9" si="3">LEN(M3)</f>
        <v>56</v>
      </c>
    </row>
    <row r="4" spans="1:18" ht="77" customHeight="1" x14ac:dyDescent="0.15">
      <c r="A4" s="177" t="s">
        <v>194</v>
      </c>
      <c r="B4" s="74">
        <v>40046</v>
      </c>
      <c r="C4" s="171" t="str">
        <f ca="1">VLOOKUP($B4,OFFSET([2]quests!$A$1,0,0,COUNTA([2]quests!$A:$A),MATCH(C$1,[2]quests!$1:$1,0)-MATCH($B$1,[2]quests!$1:$1,0)+1),MATCH(C$1,[2]quests!$1:$1,0)-MATCH($B$1,[2]quests!$1:$1,0)+1,FALSE)</f>
        <v>ゼノビア襲来！</v>
      </c>
      <c r="D4" s="171" t="str">
        <f ca="1">VLOOKUP($B4,OFFSET([2]quests!$A$1,0,0,COUNTA([2]quests!$A:$A),MATCH(D$1,[2]quests!$1:$1,0)-MATCH($B$1,[2]quests!$1:$1,0)+1),MATCH(D$1,[2]quests!$1:$1,0)-MATCH($B$1,[2]quests!$1:$1,0)+1,FALSE)</f>
        <v>降臨46</v>
      </c>
      <c r="E4" s="76">
        <v>1</v>
      </c>
      <c r="F4" s="17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【超絶級】ゼノビア襲来</v>
      </c>
      <c r="G4" s="171" t="str">
        <f ca="1">VLOOKUP($B4&amp;"_"&amp;$E4,OFFSET([2]stages!$A$1,0,0,COUNTA([2]stages!$A:$A),MATCH(G$1,[2]stages!$2:$2,0)-MATCH("temp_stage",[2]stages!$2:$2,0)+1),MATCH(G$1,[2]stages!$2:$2,0)-MATCH("temp_stage",[2]stages!$2:$2,0)+1,FALSE)</f>
        <v>降臨46</v>
      </c>
      <c r="H4" s="172">
        <v>3</v>
      </c>
      <c r="I4" s="81">
        <f t="shared" si="0"/>
        <v>3</v>
      </c>
      <c r="J4" s="78" t="str">
        <f t="shared" si="1"/>
        <v>4004603</v>
      </c>
      <c r="K4" s="76" t="s">
        <v>126</v>
      </c>
      <c r="L4" s="178" t="s">
        <v>250</v>
      </c>
      <c r="M4" s="179" t="s">
        <v>451</v>
      </c>
      <c r="N4" s="53" t="s">
        <v>196</v>
      </c>
      <c r="O4" s="173" t="str">
        <f t="shared" si="2"/>
        <v>１２３４５６７８９０１２３４５６７８９０シヴァはパネルプロテクトを使用します_x000D_さらに強力なパネル吸収攻撃で_x000D_大ダメージを与えてくるので_x000D_予告を見逃さないようにしましょう</v>
      </c>
      <c r="P4" s="106">
        <f t="shared" si="3"/>
        <v>64</v>
      </c>
    </row>
    <row r="5" spans="1:18" ht="70" customHeight="1" x14ac:dyDescent="0.15">
      <c r="A5" s="177" t="s">
        <v>194</v>
      </c>
      <c r="B5" s="74">
        <v>40046</v>
      </c>
      <c r="C5" s="171" t="str">
        <f ca="1">VLOOKUP($B5,OFFSET([2]quests!$A$1,0,0,COUNTA([2]quests!$A:$A),MATCH(C$1,[2]quests!$1:$1,0)-MATCH($B$1,[2]quests!$1:$1,0)+1),MATCH(C$1,[2]quests!$1:$1,0)-MATCH($B$1,[2]quests!$1:$1,0)+1,FALSE)</f>
        <v>ゼノビア襲来！</v>
      </c>
      <c r="D5" s="171" t="str">
        <f ca="1">VLOOKUP($B5,OFFSET([2]quests!$A$1,0,0,COUNTA([2]quests!$A:$A),MATCH(D$1,[2]quests!$1:$1,0)-MATCH($B$1,[2]quests!$1:$1,0)+1),MATCH(D$1,[2]quests!$1:$1,0)-MATCH($B$1,[2]quests!$1:$1,0)+1,FALSE)</f>
        <v>降臨46</v>
      </c>
      <c r="E5" s="76">
        <v>1</v>
      </c>
      <c r="F5" s="17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【超絶級】ゼノビア襲来</v>
      </c>
      <c r="G5" s="171" t="str">
        <f ca="1">VLOOKUP($B5&amp;"_"&amp;$E5,OFFSET([2]stages!$A$1,0,0,COUNTA([2]stages!$A:$A),MATCH(G$1,[2]stages!$2:$2,0)-MATCH("temp_stage",[2]stages!$2:$2,0)+1),MATCH(G$1,[2]stages!$2:$2,0)-MATCH("temp_stage",[2]stages!$2:$2,0)+1,FALSE)</f>
        <v>降臨46</v>
      </c>
      <c r="H5" s="172">
        <v>4</v>
      </c>
      <c r="I5" s="81">
        <f t="shared" si="0"/>
        <v>4</v>
      </c>
      <c r="J5" s="78" t="str">
        <f t="shared" si="1"/>
        <v>4004604</v>
      </c>
      <c r="K5" s="76" t="s">
        <v>126</v>
      </c>
      <c r="L5" s="178" t="s">
        <v>250</v>
      </c>
      <c r="M5" s="179" t="s">
        <v>452</v>
      </c>
      <c r="N5" s="53" t="s">
        <v>196</v>
      </c>
      <c r="O5" s="173" t="str">
        <f t="shared" si="2"/>
        <v>１２３４５６７８９０１２３４５６７８９０ゼノビアはＣパネル変換した次のターンに_x000D_強力なＣパネル吸収攻撃を行います_x000D_Ｃパネルは残さないようにしましょう</v>
      </c>
      <c r="P5" s="106">
        <f t="shared" si="3"/>
        <v>54</v>
      </c>
    </row>
    <row r="6" spans="1:18" ht="70" customHeight="1" x14ac:dyDescent="0.15">
      <c r="A6" s="177" t="s">
        <v>194</v>
      </c>
      <c r="B6" s="74">
        <v>40046</v>
      </c>
      <c r="C6" s="171" t="str">
        <f ca="1">VLOOKUP($B6,OFFSET([2]quests!$A$1,0,0,COUNTA([2]quests!$A:$A),MATCH(C$1,[2]quests!$1:$1,0)-MATCH($B$1,[2]quests!$1:$1,0)+1),MATCH(C$1,[2]quests!$1:$1,0)-MATCH($B$1,[2]quests!$1:$1,0)+1,FALSE)</f>
        <v>ゼノビア襲来！</v>
      </c>
      <c r="D6" s="171" t="str">
        <f ca="1">VLOOKUP($B6,OFFSET([2]quests!$A$1,0,0,COUNTA([2]quests!$A:$A),MATCH(D$1,[2]quests!$1:$1,0)-MATCH($B$1,[2]quests!$1:$1,0)+1),MATCH(D$1,[2]quests!$1:$1,0)-MATCH($B$1,[2]quests!$1:$1,0)+1,FALSE)</f>
        <v>降臨46</v>
      </c>
      <c r="E6" s="76">
        <v>1</v>
      </c>
      <c r="F6" s="17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【超絶級】ゼノビア襲来</v>
      </c>
      <c r="G6" s="171" t="str">
        <f ca="1">VLOOKUP($B6&amp;"_"&amp;$E6,OFFSET([2]stages!$A$1,0,0,COUNTA([2]stages!$A:$A),MATCH(G$1,[2]stages!$2:$2,0)-MATCH("temp_stage",[2]stages!$2:$2,0)+1),MATCH(G$1,[2]stages!$2:$2,0)-MATCH("temp_stage",[2]stages!$2:$2,0)+1,FALSE)</f>
        <v>降臨46</v>
      </c>
      <c r="H6" s="172">
        <v>4</v>
      </c>
      <c r="I6" s="81">
        <f t="shared" si="0"/>
        <v>5</v>
      </c>
      <c r="J6" s="78" t="str">
        <f t="shared" si="1"/>
        <v>4004605</v>
      </c>
      <c r="K6" s="76" t="s">
        <v>126</v>
      </c>
      <c r="L6" s="178" t="s">
        <v>250</v>
      </c>
      <c r="M6" s="179" t="s">
        <v>449</v>
      </c>
      <c r="N6" s="53" t="s">
        <v>196</v>
      </c>
      <c r="O6" s="173" t="str">
        <f t="shared" si="2"/>
        <v>１２３４５６７８９０１２３４５６７８９０ゼノビアの２ゲージ目は_x000D_ＨＰが一定以下になると_x000D_強力な全体攻撃を繰り返します_x000D_スキルやフィーバーで一気に倒しましょう</v>
      </c>
      <c r="P6" s="106">
        <f t="shared" si="3"/>
        <v>58</v>
      </c>
    </row>
    <row r="7" spans="1:18" ht="70" customHeight="1" x14ac:dyDescent="0.15">
      <c r="A7" s="177" t="s">
        <v>258</v>
      </c>
      <c r="B7" s="74">
        <v>40046</v>
      </c>
      <c r="C7" s="171" t="str">
        <f ca="1">VLOOKUP($B7,OFFSET([2]quests!$A$1,0,0,COUNTA([2]quests!$A:$A),MATCH(C$1,[2]quests!$1:$1,0)-MATCH($B$1,[2]quests!$1:$1,0)+1),MATCH(C$1,[2]quests!$1:$1,0)-MATCH($B$1,[2]quests!$1:$1,0)+1,FALSE)</f>
        <v>ゼノビア襲来！</v>
      </c>
      <c r="D7" s="171" t="str">
        <f ca="1">VLOOKUP($B7,OFFSET([2]quests!$A$1,0,0,COUNTA([2]quests!$A:$A),MATCH(D$1,[2]quests!$1:$1,0)-MATCH($B$1,[2]quests!$1:$1,0)+1),MATCH(D$1,[2]quests!$1:$1,0)-MATCH($B$1,[2]quests!$1:$1,0)+1,FALSE)</f>
        <v>降臨46</v>
      </c>
      <c r="E7" s="76">
        <v>1</v>
      </c>
      <c r="F7" s="17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【超絶級】ゼノビア襲来</v>
      </c>
      <c r="G7" s="171" t="str">
        <f ca="1">VLOOKUP($B7&amp;"_"&amp;$E7,OFFSET([2]stages!$A$1,0,0,COUNTA([2]stages!$A:$A),MATCH(G$1,[2]stages!$2:$2,0)-MATCH("temp_stage",[2]stages!$2:$2,0)+1),MATCH(G$1,[2]stages!$2:$2,0)-MATCH("temp_stage",[2]stages!$2:$2,0)+1,FALSE)</f>
        <v>降臨46</v>
      </c>
      <c r="H7" s="172">
        <v>0</v>
      </c>
      <c r="I7" s="81">
        <f t="shared" si="0"/>
        <v>6</v>
      </c>
      <c r="J7" s="78" t="str">
        <f t="shared" si="1"/>
        <v>4004606</v>
      </c>
      <c r="K7" s="76" t="s">
        <v>126</v>
      </c>
      <c r="L7" s="180" t="s">
        <v>447</v>
      </c>
      <c r="M7" s="181" t="s">
        <v>454</v>
      </c>
      <c r="N7" s="53" t="s">
        <v>196</v>
      </c>
      <c r="O7" s="173" t="str">
        <f t="shared" si="2"/>
        <v>１２３４５６７８９０１２３４５６７８９０シヴァはヴェーダ・アーカイブの_x000D_統合管理ＡＩとして_x000D_ヒストリア・アーカイブの異変を_x000D_察知して駆けつけたようです</v>
      </c>
      <c r="P7" s="106">
        <f t="shared" si="3"/>
        <v>55</v>
      </c>
    </row>
    <row r="8" spans="1:18" ht="70" x14ac:dyDescent="0.15">
      <c r="A8" s="177" t="s">
        <v>258</v>
      </c>
      <c r="B8" s="74">
        <v>40046</v>
      </c>
      <c r="C8" s="171" t="str">
        <f ca="1">VLOOKUP($B8,OFFSET([2]quests!$A$1,0,0,COUNTA([2]quests!$A:$A),MATCH(C$1,[2]quests!$1:$1,0)-MATCH($B$1,[2]quests!$1:$1,0)+1),MATCH(C$1,[2]quests!$1:$1,0)-MATCH($B$1,[2]quests!$1:$1,0)+1,FALSE)</f>
        <v>ゼノビア襲来！</v>
      </c>
      <c r="D8" s="171" t="str">
        <f ca="1">VLOOKUP($B8,OFFSET([2]quests!$A$1,0,0,COUNTA([2]quests!$A:$A),MATCH(D$1,[2]quests!$1:$1,0)-MATCH($B$1,[2]quests!$1:$1,0)+1),MATCH(D$1,[2]quests!$1:$1,0)-MATCH($B$1,[2]quests!$1:$1,0)+1,FALSE)</f>
        <v>降臨46</v>
      </c>
      <c r="E8" s="76">
        <v>1</v>
      </c>
      <c r="F8" s="17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【超絶級】ゼノビア襲来</v>
      </c>
      <c r="G8" s="171" t="str">
        <f ca="1">VLOOKUP($B8&amp;"_"&amp;$E8,OFFSET([2]stages!$A$1,0,0,COUNTA([2]stages!$A:$A),MATCH(G$1,[2]stages!$2:$2,0)-MATCH("temp_stage",[2]stages!$2:$2,0)+1),MATCH(G$1,[2]stages!$2:$2,0)-MATCH("temp_stage",[2]stages!$2:$2,0)+1,FALSE)</f>
        <v>降臨46</v>
      </c>
      <c r="H8" s="172">
        <v>0</v>
      </c>
      <c r="I8" s="81">
        <f t="shared" si="0"/>
        <v>7</v>
      </c>
      <c r="J8" s="78" t="str">
        <f t="shared" si="1"/>
        <v>4004607</v>
      </c>
      <c r="K8" s="76" t="s">
        <v>126</v>
      </c>
      <c r="L8" s="180" t="s">
        <v>361</v>
      </c>
      <c r="M8" s="181" t="s">
        <v>441</v>
      </c>
      <c r="N8" s="53" t="s">
        <v>196</v>
      </c>
      <c r="O8" s="173" t="str">
        <f t="shared" si="2"/>
        <v>１２３４５６７８９０１２３４５６７８９０ウルズは様々な歴史の記録を得るため_x000D_ヒストリア・アーカイブに_x000D_潜入していました_x000D_彼女の本当の目的は…</v>
      </c>
      <c r="P8" s="106">
        <f t="shared" si="3"/>
        <v>50</v>
      </c>
    </row>
    <row r="9" spans="1:18" ht="63" customHeight="1" x14ac:dyDescent="0.15">
      <c r="A9" s="177" t="s">
        <v>258</v>
      </c>
      <c r="B9" s="74">
        <v>40046</v>
      </c>
      <c r="C9" s="171" t="str">
        <f ca="1">VLOOKUP($B9,OFFSET([2]quests!$A$1,0,0,COUNTA([2]quests!$A:$A),MATCH(C$1,[2]quests!$1:$1,0)-MATCH($B$1,[2]quests!$1:$1,0)+1),MATCH(C$1,[2]quests!$1:$1,0)-MATCH($B$1,[2]quests!$1:$1,0)+1,FALSE)</f>
        <v>ゼノビア襲来！</v>
      </c>
      <c r="D9" s="171" t="str">
        <f ca="1">VLOOKUP($B9,OFFSET([2]quests!$A$1,0,0,COUNTA([2]quests!$A:$A),MATCH(D$1,[2]quests!$1:$1,0)-MATCH($B$1,[2]quests!$1:$1,0)+1),MATCH(D$1,[2]quests!$1:$1,0)-MATCH($B$1,[2]quests!$1:$1,0)+1,FALSE)</f>
        <v>降臨46</v>
      </c>
      <c r="E9" s="76">
        <v>1</v>
      </c>
      <c r="F9" s="17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【超絶級】ゼノビア襲来</v>
      </c>
      <c r="G9" s="171" t="str">
        <f ca="1">VLOOKUP($B9&amp;"_"&amp;$E9,OFFSET([2]stages!$A$1,0,0,COUNTA([2]stages!$A:$A),MATCH(G$1,[2]stages!$2:$2,0)-MATCH("temp_stage",[2]stages!$2:$2,0)+1),MATCH(G$1,[2]stages!$2:$2,0)-MATCH("temp_stage",[2]stages!$2:$2,0)+1,FALSE)</f>
        <v>降臨46</v>
      </c>
      <c r="H9" s="172">
        <v>0</v>
      </c>
      <c r="I9" s="81">
        <f t="shared" si="0"/>
        <v>8</v>
      </c>
      <c r="J9" s="78" t="str">
        <f t="shared" si="1"/>
        <v>4004608</v>
      </c>
      <c r="K9" s="76" t="s">
        <v>126</v>
      </c>
      <c r="L9" s="180" t="s">
        <v>363</v>
      </c>
      <c r="M9" s="181" t="s">
        <v>442</v>
      </c>
      <c r="N9" s="53" t="s">
        <v>196</v>
      </c>
      <c r="O9" s="173" t="str">
        <f t="shared" si="2"/>
        <v>１２３４５６７８９０１２３４５６７８９０周囲に持てはやされているクレオパトラを_x000D_ゼノビアは妬んでいましたが_x000D_クレオパトラもゼノビアの高圧的な態度が_x000D_苦手で避けていました</v>
      </c>
      <c r="P9" s="106">
        <f t="shared" si="3"/>
        <v>64</v>
      </c>
    </row>
    <row r="10" spans="1:18" ht="70" customHeight="1" x14ac:dyDescent="0.15">
      <c r="A10" s="177" t="s">
        <v>194</v>
      </c>
      <c r="B10" s="74">
        <v>40046</v>
      </c>
      <c r="C10" s="171" t="str">
        <f ca="1">VLOOKUP($B10,OFFSET([2]quests!$A$1,0,0,COUNTA([2]quests!$A:$A),MATCH(C$1,[2]quests!$1:$1,0)-MATCH($B$1,[2]quests!$1:$1,0)+1),MATCH(C$1,[2]quests!$1:$1,0)-MATCH($B$1,[2]quests!$1:$1,0)+1,FALSE)</f>
        <v>ゼノビア襲来！</v>
      </c>
      <c r="D10" s="171" t="str">
        <f ca="1">VLOOKUP($B10,OFFSET([2]quests!$A$1,0,0,COUNTA([2]quests!$A:$A),MATCH(D$1,[2]quests!$1:$1,0)-MATCH($B$1,[2]quests!$1:$1,0)+1),MATCH(D$1,[2]quests!$1:$1,0)-MATCH($B$1,[2]quests!$1:$1,0)+1,FALSE)</f>
        <v>降臨46</v>
      </c>
      <c r="E10" s="76">
        <v>2</v>
      </c>
      <c r="F10" s="17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10" s="171" t="str">
        <f ca="1">VLOOKUP($B10&amp;"_"&amp;$E10,OFFSET([2]stages!$A$1,0,0,COUNTA([2]stages!$A:$A),MATCH(G$1,[2]stages!$2:$2,0)-MATCH("temp_stage",[2]stages!$2:$2,0)+1),MATCH(G$1,[2]stages!$2:$2,0)-MATCH("temp_stage",[2]stages!$2:$2,0)+1,FALSE)</f>
        <v>降臨46</v>
      </c>
      <c r="H10" s="172">
        <v>1</v>
      </c>
      <c r="I10" s="81">
        <f>ROW()-1</f>
        <v>9</v>
      </c>
      <c r="J10" s="78" t="str">
        <f>B10&amp;TEXT(I10,"00")</f>
        <v>4004609</v>
      </c>
      <c r="K10" s="76" t="s">
        <v>195</v>
      </c>
      <c r="L10" s="178" t="s">
        <v>250</v>
      </c>
      <c r="M10" s="179" t="s">
        <v>450</v>
      </c>
      <c r="N10" s="53" t="s">
        <v>196</v>
      </c>
      <c r="O10" s="173" t="str">
        <f>"１２３４５６７８９０１２３４５６７８９０"&amp;DBCS(M10)</f>
        <v>１２３４５６７８９０１２３４５６７８９０マミコが吸収攻撃予告をしたら_x000D_次のターンに備えて対応しましょう_x000D_カウンタースキルを使用したら_x000D_ターンスキップするのも一つの手です</v>
      </c>
      <c r="P10" s="106">
        <f>LEN(M10)</f>
        <v>64</v>
      </c>
    </row>
    <row r="11" spans="1:18" ht="85" customHeight="1" x14ac:dyDescent="0.15">
      <c r="A11" s="177" t="s">
        <v>194</v>
      </c>
      <c r="B11" s="74">
        <v>40046</v>
      </c>
      <c r="C11" s="171" t="str">
        <f ca="1">VLOOKUP($B11,OFFSET([2]quests!$A$1,0,0,COUNTA([2]quests!$A:$A),MATCH(C$1,[2]quests!$1:$1,0)-MATCH($B$1,[2]quests!$1:$1,0)+1),MATCH(C$1,[2]quests!$1:$1,0)-MATCH($B$1,[2]quests!$1:$1,0)+1,FALSE)</f>
        <v>ゼノビア襲来！</v>
      </c>
      <c r="D11" s="171" t="str">
        <f ca="1">VLOOKUP($B11,OFFSET([2]quests!$A$1,0,0,COUNTA([2]quests!$A:$A),MATCH(D$1,[2]quests!$1:$1,0)-MATCH($B$1,[2]quests!$1:$1,0)+1),MATCH(D$1,[2]quests!$1:$1,0)-MATCH($B$1,[2]quests!$1:$1,0)+1,FALSE)</f>
        <v>降臨46</v>
      </c>
      <c r="E11" s="76">
        <v>2</v>
      </c>
      <c r="F11" s="17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11" s="171" t="str">
        <f ca="1">VLOOKUP($B11&amp;"_"&amp;$E11,OFFSET([2]stages!$A$1,0,0,COUNTA([2]stages!$A:$A),MATCH(G$1,[2]stages!$2:$2,0)-MATCH("temp_stage",[2]stages!$2:$2,0)+1),MATCH(G$1,[2]stages!$2:$2,0)-MATCH("temp_stage",[2]stages!$2:$2,0)+1,FALSE)</f>
        <v>降臨46</v>
      </c>
      <c r="H11" s="172">
        <v>2</v>
      </c>
      <c r="I11" s="81">
        <f t="shared" si="0"/>
        <v>10</v>
      </c>
      <c r="J11" s="78" t="str">
        <f t="shared" ref="J11:J13" si="4">B11&amp;TEXT(I11,"00")</f>
        <v>4004610</v>
      </c>
      <c r="K11" s="76" t="s">
        <v>195</v>
      </c>
      <c r="L11" s="178" t="s">
        <v>250</v>
      </c>
      <c r="M11" s="179" t="s">
        <v>448</v>
      </c>
      <c r="N11" s="53" t="s">
        <v>196</v>
      </c>
      <c r="O11" s="173" t="str">
        <f t="shared" ref="O11:O13" si="5">"１２３４５６７８９０１２３４５６７８９０"&amp;DBCS(M11)</f>
        <v>１２３４５６７８９０１２３４５６７８９０ウルズはＨＰが５０％以下になると_x000D_攻撃の威力が弱くなります_x000D_強力な攻撃を受ける前に_x000D_ＨＰを減らして突破しましょう</v>
      </c>
      <c r="P11" s="106">
        <f t="shared" ref="P11:P17" si="6">LEN(M11)</f>
        <v>56</v>
      </c>
    </row>
    <row r="12" spans="1:18" ht="79" customHeight="1" x14ac:dyDescent="0.15">
      <c r="A12" s="177" t="s">
        <v>194</v>
      </c>
      <c r="B12" s="74">
        <v>40046</v>
      </c>
      <c r="C12" s="171" t="str">
        <f ca="1">VLOOKUP($B12,OFFSET([2]quests!$A$1,0,0,COUNTA([2]quests!$A:$A),MATCH(C$1,[2]quests!$1:$1,0)-MATCH($B$1,[2]quests!$1:$1,0)+1),MATCH(C$1,[2]quests!$1:$1,0)-MATCH($B$1,[2]quests!$1:$1,0)+1,FALSE)</f>
        <v>ゼノビア襲来！</v>
      </c>
      <c r="D12" s="171" t="str">
        <f ca="1">VLOOKUP($B12,OFFSET([2]quests!$A$1,0,0,COUNTA([2]quests!$A:$A),MATCH(D$1,[2]quests!$1:$1,0)-MATCH($B$1,[2]quests!$1:$1,0)+1),MATCH(D$1,[2]quests!$1:$1,0)-MATCH($B$1,[2]quests!$1:$1,0)+1,FALSE)</f>
        <v>降臨46</v>
      </c>
      <c r="E12" s="76">
        <v>2</v>
      </c>
      <c r="F12" s="17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12" s="171" t="str">
        <f ca="1">VLOOKUP($B12&amp;"_"&amp;$E12,OFFSET([2]stages!$A$1,0,0,COUNTA([2]stages!$A:$A),MATCH(G$1,[2]stages!$2:$2,0)-MATCH("temp_stage",[2]stages!$2:$2,0)+1),MATCH(G$1,[2]stages!$2:$2,0)-MATCH("temp_stage",[2]stages!$2:$2,0)+1,FALSE)</f>
        <v>降臨46</v>
      </c>
      <c r="H12" s="172">
        <v>3</v>
      </c>
      <c r="I12" s="81">
        <f t="shared" si="0"/>
        <v>11</v>
      </c>
      <c r="J12" s="78" t="str">
        <f t="shared" si="4"/>
        <v>4004611</v>
      </c>
      <c r="K12" s="76" t="s">
        <v>195</v>
      </c>
      <c r="L12" s="178" t="s">
        <v>250</v>
      </c>
      <c r="M12" s="179" t="s">
        <v>451</v>
      </c>
      <c r="N12" s="53" t="s">
        <v>196</v>
      </c>
      <c r="O12" s="173" t="str">
        <f t="shared" si="5"/>
        <v>１２３４５６７８９０１２３４５６７８９０シヴァはパネルプロテクトを使用します_x000D_さらに強力なパネル吸収攻撃で_x000D_大ダメージを与えてくるので_x000D_予告を見逃さないようにしましょう</v>
      </c>
      <c r="P12" s="106">
        <f t="shared" si="6"/>
        <v>64</v>
      </c>
    </row>
    <row r="13" spans="1:18" ht="70" customHeight="1" x14ac:dyDescent="0.15">
      <c r="A13" s="177" t="s">
        <v>194</v>
      </c>
      <c r="B13" s="74">
        <v>40046</v>
      </c>
      <c r="C13" s="171" t="str">
        <f ca="1">VLOOKUP($B13,OFFSET([2]quests!$A$1,0,0,COUNTA([2]quests!$A:$A),MATCH(C$1,[2]quests!$1:$1,0)-MATCH($B$1,[2]quests!$1:$1,0)+1),MATCH(C$1,[2]quests!$1:$1,0)-MATCH($B$1,[2]quests!$1:$1,0)+1,FALSE)</f>
        <v>ゼノビア襲来！</v>
      </c>
      <c r="D13" s="171" t="str">
        <f ca="1">VLOOKUP($B13,OFFSET([2]quests!$A$1,0,0,COUNTA([2]quests!$A:$A),MATCH(D$1,[2]quests!$1:$1,0)-MATCH($B$1,[2]quests!$1:$1,0)+1),MATCH(D$1,[2]quests!$1:$1,0)-MATCH($B$1,[2]quests!$1:$1,0)+1,FALSE)</f>
        <v>降臨46</v>
      </c>
      <c r="E13" s="76">
        <v>2</v>
      </c>
      <c r="F13" s="17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13" s="171" t="str">
        <f ca="1">VLOOKUP($B13&amp;"_"&amp;$E13,OFFSET([2]stages!$A$1,0,0,COUNTA([2]stages!$A:$A),MATCH(G$1,[2]stages!$2:$2,0)-MATCH("temp_stage",[2]stages!$2:$2,0)+1),MATCH(G$1,[2]stages!$2:$2,0)-MATCH("temp_stage",[2]stages!$2:$2,0)+1,FALSE)</f>
        <v>降臨46</v>
      </c>
      <c r="H13" s="172">
        <v>4</v>
      </c>
      <c r="I13" s="81">
        <f t="shared" si="0"/>
        <v>12</v>
      </c>
      <c r="J13" s="78" t="str">
        <f t="shared" si="4"/>
        <v>4004612</v>
      </c>
      <c r="K13" s="76" t="s">
        <v>195</v>
      </c>
      <c r="L13" s="178" t="s">
        <v>250</v>
      </c>
      <c r="M13" s="179" t="s">
        <v>452</v>
      </c>
      <c r="N13" s="53" t="s">
        <v>196</v>
      </c>
      <c r="O13" s="173" t="str">
        <f t="shared" si="5"/>
        <v>１２３４５６７８９０１２３４５６７８９０ゼノビアはＣパネル変換した次のターンに_x000D_強力なＣパネル吸収攻撃を行います_x000D_Ｃパネルは残さないようにしましょう</v>
      </c>
      <c r="P13" s="106">
        <f t="shared" si="6"/>
        <v>54</v>
      </c>
    </row>
    <row r="14" spans="1:18" ht="70" customHeight="1" x14ac:dyDescent="0.2">
      <c r="A14" s="177" t="s">
        <v>194</v>
      </c>
      <c r="B14" s="74">
        <v>40046</v>
      </c>
      <c r="C14" s="171" t="str">
        <f ca="1">VLOOKUP($B14,OFFSET([2]quests!$A$1,0,0,COUNTA([2]quests!$A:$A),MATCH(C$1,[2]quests!$1:$1,0)-MATCH($B$1,[2]quests!$1:$1,0)+1),MATCH(C$1,[2]quests!$1:$1,0)-MATCH($B$1,[2]quests!$1:$1,0)+1,FALSE)</f>
        <v>ゼノビア襲来！</v>
      </c>
      <c r="D14" s="171" t="str">
        <f ca="1">VLOOKUP($B14,OFFSET([2]quests!$A$1,0,0,COUNTA([2]quests!$A:$A),MATCH(D$1,[2]quests!$1:$1,0)-MATCH($B$1,[2]quests!$1:$1,0)+1),MATCH(D$1,[2]quests!$1:$1,0)-MATCH($B$1,[2]quests!$1:$1,0)+1,FALSE)</f>
        <v>降臨46</v>
      </c>
      <c r="E14" s="76">
        <v>2</v>
      </c>
      <c r="F14" s="17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14" s="171" t="str">
        <f ca="1">VLOOKUP($B14&amp;"_"&amp;$E14,OFFSET([2]stages!$A$1,0,0,COUNTA([2]stages!$A:$A),MATCH(G$1,[2]stages!$2:$2,0)-MATCH("temp_stage",[2]stages!$2:$2,0)+1),MATCH(G$1,[2]stages!$2:$2,0)-MATCH("temp_stage",[2]stages!$2:$2,0)+1,FALSE)</f>
        <v>降臨46</v>
      </c>
      <c r="H14" s="172">
        <v>4</v>
      </c>
      <c r="I14" s="81">
        <f t="shared" si="0"/>
        <v>13</v>
      </c>
      <c r="J14" s="78" t="str">
        <f t="shared" ref="J14" si="7">B14&amp;TEXT(I14,"00")</f>
        <v>4004613</v>
      </c>
      <c r="K14" s="76" t="s">
        <v>195</v>
      </c>
      <c r="L14" s="178" t="s">
        <v>250</v>
      </c>
      <c r="M14" s="179" t="s">
        <v>449</v>
      </c>
      <c r="N14" s="53" t="s">
        <v>196</v>
      </c>
      <c r="O14" s="173" t="str">
        <f t="shared" ref="O14" si="8">"１２３４５６７８９０１２３４５６７８９０"&amp;DBCS(M14)</f>
        <v>１２３４５６７８９０１２３４５６７８９０ゼノビアの２ゲージ目は_x000D_ＨＰが一定以下になると_x000D_強力な全体攻撃を繰り返します_x000D_スキルやフィーバーで一気に倒しましょう</v>
      </c>
      <c r="P14" s="106">
        <f t="shared" si="6"/>
        <v>58</v>
      </c>
      <c r="R14" s="183"/>
    </row>
    <row r="15" spans="1:18" ht="70" customHeight="1" x14ac:dyDescent="0.2">
      <c r="A15" s="177" t="s">
        <v>258</v>
      </c>
      <c r="B15" s="74">
        <v>40046</v>
      </c>
      <c r="C15" s="171" t="str">
        <f ca="1">VLOOKUP($B15,OFFSET([2]quests!$A$1,0,0,COUNTA([2]quests!$A:$A),MATCH(C$1,[2]quests!$1:$1,0)-MATCH($B$1,[2]quests!$1:$1,0)+1),MATCH(C$1,[2]quests!$1:$1,0)-MATCH($B$1,[2]quests!$1:$1,0)+1,FALSE)</f>
        <v>ゼノビア襲来！</v>
      </c>
      <c r="D15" s="171" t="str">
        <f ca="1">VLOOKUP($B15,OFFSET([2]quests!$A$1,0,0,COUNTA([2]quests!$A:$A),MATCH(D$1,[2]quests!$1:$1,0)-MATCH($B$1,[2]quests!$1:$1,0)+1),MATCH(D$1,[2]quests!$1:$1,0)-MATCH($B$1,[2]quests!$1:$1,0)+1,FALSE)</f>
        <v>降臨46</v>
      </c>
      <c r="E15" s="76">
        <v>2</v>
      </c>
      <c r="F15" s="17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15" s="171" t="str">
        <f ca="1">VLOOKUP($B15&amp;"_"&amp;$E15,OFFSET([2]stages!$A$1,0,0,COUNTA([2]stages!$A:$A),MATCH(G$1,[2]stages!$2:$2,0)-MATCH("temp_stage",[2]stages!$2:$2,0)+1),MATCH(G$1,[2]stages!$2:$2,0)-MATCH("temp_stage",[2]stages!$2:$2,0)+1,FALSE)</f>
        <v>降臨46</v>
      </c>
      <c r="H15" s="172">
        <v>0</v>
      </c>
      <c r="I15" s="81">
        <f t="shared" si="0"/>
        <v>14</v>
      </c>
      <c r="J15" s="78" t="str">
        <f t="shared" ref="J15" si="9">B15&amp;TEXT(I15,"00")</f>
        <v>4004614</v>
      </c>
      <c r="K15" s="76" t="s">
        <v>195</v>
      </c>
      <c r="L15" s="180" t="s">
        <v>362</v>
      </c>
      <c r="M15" s="181" t="s">
        <v>453</v>
      </c>
      <c r="N15" s="53" t="s">
        <v>196</v>
      </c>
      <c r="O15" s="173" t="str">
        <f t="shared" ref="O15" si="10">"１２３４５６７８９０１２３４５６７８９０"&amp;DBCS(M15)</f>
        <v>１２３４５６７８９０１２３４５６７８９０シヴァはヴェーダ・アーカイブの_x000D_統合管理ＡＩとして_x000D_ヒストリア・アーカイブの異変を_x000D_察知して駆けつけたようです</v>
      </c>
      <c r="P15" s="106">
        <f t="shared" si="6"/>
        <v>55</v>
      </c>
      <c r="R15" s="183"/>
    </row>
    <row r="16" spans="1:18" ht="70" customHeight="1" x14ac:dyDescent="0.2">
      <c r="A16" s="177" t="s">
        <v>258</v>
      </c>
      <c r="B16" s="74">
        <v>40046</v>
      </c>
      <c r="C16" s="171" t="str">
        <f ca="1">VLOOKUP($B16,OFFSET([2]quests!$A$1,0,0,COUNTA([2]quests!$A:$A),MATCH(C$1,[2]quests!$1:$1,0)-MATCH($B$1,[2]quests!$1:$1,0)+1),MATCH(C$1,[2]quests!$1:$1,0)-MATCH($B$1,[2]quests!$1:$1,0)+1,FALSE)</f>
        <v>ゼノビア襲来！</v>
      </c>
      <c r="D16" s="171" t="str">
        <f ca="1">VLOOKUP($B16,OFFSET([2]quests!$A$1,0,0,COUNTA([2]quests!$A:$A),MATCH(D$1,[2]quests!$1:$1,0)-MATCH($B$1,[2]quests!$1:$1,0)+1),MATCH(D$1,[2]quests!$1:$1,0)-MATCH($B$1,[2]quests!$1:$1,0)+1,FALSE)</f>
        <v>降臨46</v>
      </c>
      <c r="E16" s="76">
        <v>2</v>
      </c>
      <c r="F16" s="17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16" s="171" t="str">
        <f ca="1">VLOOKUP($B16&amp;"_"&amp;$E16,OFFSET([2]stages!$A$1,0,0,COUNTA([2]stages!$A:$A),MATCH(G$1,[2]stages!$2:$2,0)-MATCH("temp_stage",[2]stages!$2:$2,0)+1),MATCH(G$1,[2]stages!$2:$2,0)-MATCH("temp_stage",[2]stages!$2:$2,0)+1,FALSE)</f>
        <v>降臨46</v>
      </c>
      <c r="H16" s="172">
        <v>0</v>
      </c>
      <c r="I16" s="81">
        <f t="shared" si="0"/>
        <v>15</v>
      </c>
      <c r="J16" s="78" t="str">
        <f t="shared" ref="J16:J17" si="11">B16&amp;TEXT(I16,"00")</f>
        <v>4004615</v>
      </c>
      <c r="K16" s="76" t="s">
        <v>195</v>
      </c>
      <c r="L16" s="180" t="s">
        <v>361</v>
      </c>
      <c r="M16" s="181" t="s">
        <v>441</v>
      </c>
      <c r="N16" s="53" t="s">
        <v>196</v>
      </c>
      <c r="O16" s="173" t="str">
        <f t="shared" ref="O16:O17" si="12">"１２３４５６７８９０１２３４５６７８９０"&amp;DBCS(M16)</f>
        <v>１２３４５６７８９０１２３４５６７８９０ウルズは様々な歴史の記録を得るため_x000D_ヒストリア・アーカイブに_x000D_潜入していました_x000D_彼女の本当の目的は…</v>
      </c>
      <c r="P16" s="106">
        <f t="shared" si="6"/>
        <v>50</v>
      </c>
      <c r="R16" s="183"/>
    </row>
    <row r="17" spans="1:18" ht="67" customHeight="1" x14ac:dyDescent="0.2">
      <c r="A17" s="177" t="s">
        <v>258</v>
      </c>
      <c r="B17" s="74">
        <v>40046</v>
      </c>
      <c r="C17" s="171" t="str">
        <f ca="1">VLOOKUP($B17,OFFSET([2]quests!$A$1,0,0,COUNTA([2]quests!$A:$A),MATCH(C$1,[2]quests!$1:$1,0)-MATCH($B$1,[2]quests!$1:$1,0)+1),MATCH(C$1,[2]quests!$1:$1,0)-MATCH($B$1,[2]quests!$1:$1,0)+1,FALSE)</f>
        <v>ゼノビア襲来！</v>
      </c>
      <c r="D17" s="171" t="str">
        <f ca="1">VLOOKUP($B17,OFFSET([2]quests!$A$1,0,0,COUNTA([2]quests!$A:$A),MATCH(D$1,[2]quests!$1:$1,0)-MATCH($B$1,[2]quests!$1:$1,0)+1),MATCH(D$1,[2]quests!$1:$1,0)-MATCH($B$1,[2]quests!$1:$1,0)+1,FALSE)</f>
        <v>降臨46</v>
      </c>
      <c r="E17" s="76">
        <v>2</v>
      </c>
      <c r="F17" s="17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17" s="171" t="str">
        <f ca="1">VLOOKUP($B17&amp;"_"&amp;$E17,OFFSET([2]stages!$A$1,0,0,COUNTA([2]stages!$A:$A),MATCH(G$1,[2]stages!$2:$2,0)-MATCH("temp_stage",[2]stages!$2:$2,0)+1),MATCH(G$1,[2]stages!$2:$2,0)-MATCH("temp_stage",[2]stages!$2:$2,0)+1,FALSE)</f>
        <v>降臨46</v>
      </c>
      <c r="H17" s="172">
        <v>0</v>
      </c>
      <c r="I17" s="81">
        <f t="shared" si="0"/>
        <v>16</v>
      </c>
      <c r="J17" s="78" t="str">
        <f t="shared" si="11"/>
        <v>4004616</v>
      </c>
      <c r="K17" s="76" t="s">
        <v>195</v>
      </c>
      <c r="L17" s="180" t="s">
        <v>363</v>
      </c>
      <c r="M17" s="181" t="s">
        <v>442</v>
      </c>
      <c r="N17" s="53" t="s">
        <v>196</v>
      </c>
      <c r="O17" s="173" t="str">
        <f t="shared" si="12"/>
        <v>１２３４５６７８９０１２３４５６７８９０周囲に持てはやされているクレオパトラを_x000D_ゼノビアは妬んでいましたが_x000D_クレオパトラもゼノビアの高圧的な態度が_x000D_苦手で避けていました</v>
      </c>
      <c r="P17" s="106">
        <f t="shared" si="6"/>
        <v>64</v>
      </c>
      <c r="R17" s="183"/>
    </row>
    <row r="18" spans="1:18" x14ac:dyDescent="0.15">
      <c r="M18" s="190"/>
    </row>
  </sheetData>
  <phoneticPr fontId="6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M2" sqref="M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5" t="s">
        <v>208</v>
      </c>
      <c r="B1" s="86" t="s">
        <v>209</v>
      </c>
      <c r="C1" s="70" t="s">
        <v>210</v>
      </c>
      <c r="D1" s="70" t="s">
        <v>33</v>
      </c>
      <c r="E1" s="86" t="s">
        <v>211</v>
      </c>
      <c r="F1" s="70" t="s">
        <v>212</v>
      </c>
      <c r="G1" s="70" t="s">
        <v>33</v>
      </c>
      <c r="H1" s="86" t="s">
        <v>213</v>
      </c>
      <c r="I1" s="86" t="s">
        <v>214</v>
      </c>
      <c r="J1" s="86" t="s">
        <v>215</v>
      </c>
      <c r="K1" s="66" t="s">
        <v>216</v>
      </c>
      <c r="L1" s="66" t="s">
        <v>217</v>
      </c>
      <c r="M1" s="66" t="s">
        <v>155</v>
      </c>
      <c r="N1" s="70" t="s">
        <v>16</v>
      </c>
      <c r="O1" s="66" t="s">
        <v>218</v>
      </c>
      <c r="P1" s="66" t="s">
        <v>56</v>
      </c>
      <c r="Q1" s="66" t="s">
        <v>219</v>
      </c>
      <c r="R1" s="66" t="s">
        <v>38</v>
      </c>
      <c r="S1" s="66" t="s">
        <v>40</v>
      </c>
      <c r="T1" s="66" t="s">
        <v>42</v>
      </c>
      <c r="U1" s="66" t="s">
        <v>44</v>
      </c>
      <c r="V1" s="66" t="s">
        <v>46</v>
      </c>
      <c r="W1" s="66" t="s">
        <v>220</v>
      </c>
      <c r="X1" s="66" t="s">
        <v>221</v>
      </c>
    </row>
    <row r="2" spans="1:24" x14ac:dyDescent="0.15">
      <c r="A2" s="87" t="str">
        <f>B2&amp;"_"&amp;E2&amp;"_"&amp;H2&amp;"_"&amp;I2&amp;"_"&amp;J2</f>
        <v>40046_2_everyone_no_continue_1</v>
      </c>
      <c r="B2" s="74">
        <v>40046</v>
      </c>
      <c r="C2" s="75" t="str">
        <f ca="1">VLOOKUP($B2,OFFSET([2]quests!$A$1,0,0,COUNTA([2]quests!$A:$A),MATCH(C$1,[2]quests!$1:$1,0)-MATCH($B$1,[2]quests!$1:$1,0)+1),MATCH(C$1,[2]quests!$1:$1,0)-MATCH($B$1,[2]quests!$1:$1,0)+1,FALSE)</f>
        <v>ゼノビア襲来！</v>
      </c>
      <c r="D2" s="75" t="str">
        <f ca="1">VLOOKUP($B2,OFFSET([2]quests!$A$1,0,0,COUNTA([2]quests!$A:$A),MATCH(D$1,[2]quests!$1:$1,0)-MATCH($B$1,[2]quests!$1:$1,0)+1),MATCH(D$1,[2]quests!$1:$1,0)-MATCH($B$1,[2]quests!$1:$1,0)+1,FALSE)</f>
        <v>降臨46</v>
      </c>
      <c r="E2" s="76">
        <v>2</v>
      </c>
      <c r="F2" s="75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2" s="75" t="str">
        <f ca="1">VLOOKUP($B2&amp;"_"&amp;$E2,OFFSET([2]stages!$A$1,0,0,COUNTA([2]stages!$A:$A),MATCH(G$1,[2]stages!$2:$2,0)-MATCH("temp_stage",[2]stages!$2:$2,0)+1),MATCH(G$1,[2]stages!$2:$2,0)-MATCH("temp_stage",[2]stages!$2:$2,0)+1,FALSE)</f>
        <v>降臨46</v>
      </c>
      <c r="H2" s="77" t="s">
        <v>222</v>
      </c>
      <c r="I2" s="76" t="s">
        <v>226</v>
      </c>
      <c r="J2" s="76">
        <v>1</v>
      </c>
      <c r="K2" s="76">
        <v>1000</v>
      </c>
      <c r="L2" s="76" t="s">
        <v>223</v>
      </c>
      <c r="M2" s="76">
        <v>1438</v>
      </c>
      <c r="N2" s="8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ゼノビア</v>
      </c>
      <c r="O2" s="76">
        <v>1</v>
      </c>
      <c r="P2" s="76">
        <v>1</v>
      </c>
      <c r="Q2" s="76">
        <v>1</v>
      </c>
      <c r="R2" s="76">
        <v>0</v>
      </c>
      <c r="S2" s="76">
        <v>0</v>
      </c>
      <c r="T2" s="76">
        <v>0</v>
      </c>
      <c r="U2" s="76">
        <v>0</v>
      </c>
      <c r="V2" s="76">
        <v>1</v>
      </c>
      <c r="W2" s="89" t="s">
        <v>224</v>
      </c>
      <c r="X2" s="90" t="s">
        <v>225</v>
      </c>
    </row>
    <row r="3" spans="1:24" x14ac:dyDescent="0.15">
      <c r="A3" s="87" t="str">
        <f>B3&amp;"_"&amp;E3&amp;"_"&amp;H3&amp;"_"&amp;I3&amp;"_"&amp;J3</f>
        <v>40046_2_everyone_full_member_1</v>
      </c>
      <c r="B3" s="74">
        <v>40046</v>
      </c>
      <c r="C3" s="75" t="str">
        <f ca="1">VLOOKUP($B3,OFFSET([2]quests!$A$1,0,0,COUNTA([2]quests!$A:$A),MATCH(C$1,[2]quests!$1:$1,0)-MATCH($B$1,[2]quests!$1:$1,0)+1),MATCH(C$1,[2]quests!$1:$1,0)-MATCH($B$1,[2]quests!$1:$1,0)+1,FALSE)</f>
        <v>ゼノビア襲来！</v>
      </c>
      <c r="D3" s="75" t="str">
        <f ca="1">VLOOKUP($B3,OFFSET([2]quests!$A$1,0,0,COUNTA([2]quests!$A:$A),MATCH(D$1,[2]quests!$1:$1,0)-MATCH($B$1,[2]quests!$1:$1,0)+1),MATCH(D$1,[2]quests!$1:$1,0)-MATCH($B$1,[2]quests!$1:$1,0)+1,FALSE)</f>
        <v>降臨46</v>
      </c>
      <c r="E3" s="76">
        <v>2</v>
      </c>
      <c r="F3" s="75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【ウィザード級】ゼノビア襲来</v>
      </c>
      <c r="G3" s="75" t="str">
        <f ca="1">VLOOKUP($B3&amp;"_"&amp;$E3,OFFSET([2]stages!$A$1,0,0,COUNTA([2]stages!$A:$A),MATCH(G$1,[2]stages!$2:$2,0)-MATCH("temp_stage",[2]stages!$2:$2,0)+1),MATCH(G$1,[2]stages!$2:$2,0)-MATCH("temp_stage",[2]stages!$2:$2,0)+1,FALSE)</f>
        <v>降臨46</v>
      </c>
      <c r="H3" s="77" t="s">
        <v>222</v>
      </c>
      <c r="I3" s="76" t="s">
        <v>260</v>
      </c>
      <c r="J3" s="76">
        <v>1</v>
      </c>
      <c r="K3" s="76">
        <v>1000</v>
      </c>
      <c r="L3" s="76" t="s">
        <v>223</v>
      </c>
      <c r="M3" s="76">
        <v>1438</v>
      </c>
      <c r="N3" s="8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ゼノビア</v>
      </c>
      <c r="O3" s="76">
        <v>1</v>
      </c>
      <c r="P3" s="76">
        <v>1</v>
      </c>
      <c r="Q3" s="76">
        <v>1</v>
      </c>
      <c r="R3" s="76">
        <v>0</v>
      </c>
      <c r="S3" s="76">
        <v>0</v>
      </c>
      <c r="T3" s="76">
        <v>0</v>
      </c>
      <c r="U3" s="76">
        <v>0</v>
      </c>
      <c r="V3" s="76">
        <v>1</v>
      </c>
      <c r="W3" s="89" t="s">
        <v>224</v>
      </c>
      <c r="X3" s="90" t="s">
        <v>225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2017-05-08T08:13:35Z</dcterms:modified>
</cp:coreProperties>
</file>