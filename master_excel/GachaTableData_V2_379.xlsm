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0" yWindow="460" windowWidth="28800" windowHeight="15940" tabRatio="943" activeTab="3"/>
  </bookViews>
  <sheets>
    <sheet name="確率の考え方" sheetId="110" r:id="rId1"/>
    <sheet name="Sheet1" sheetId="107" r:id="rId2"/>
    <sheet name="output" sheetId="103" r:id="rId3"/>
    <sheet name="input_379010" sheetId="157" r:id="rId4"/>
    <sheet name="tables_379010" sheetId="158" r:id="rId5"/>
    <sheet name="input_379100" sheetId="153" r:id="rId6"/>
    <sheet name="tables_379100" sheetId="154" r:id="rId7"/>
    <sheet name="tables_settle_379100" sheetId="156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tables_379010!$A$1:$V$294</definedName>
    <definedName name="_xlnm._FilterDatabase" localSheetId="6" hidden="1">tables_379100!$A$1:$V$294</definedName>
    <definedName name="_xlnm._FilterDatabase" localSheetId="7" hidden="1">tables_settle_379100!$A$1:$V$6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3" i="157" l="1"/>
  <c r="B23" i="153"/>
  <c r="B22" i="153"/>
  <c r="P2" i="156"/>
  <c r="P6" i="156"/>
  <c r="A2" i="153"/>
  <c r="I3" i="154"/>
  <c r="D3" i="154"/>
  <c r="J3" i="154"/>
  <c r="E3" i="154"/>
  <c r="C3" i="154"/>
  <c r="I2" i="154"/>
  <c r="D2" i="154"/>
  <c r="J2" i="154"/>
  <c r="E2" i="154"/>
  <c r="C2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F5" i="153"/>
  <c r="F6" i="153"/>
  <c r="A3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B19" i="153"/>
  <c r="E24" i="153"/>
  <c r="B24" i="153"/>
  <c r="B17" i="153"/>
  <c r="B18" i="153"/>
  <c r="G18" i="153"/>
  <c r="H18" i="153"/>
  <c r="O3" i="154"/>
  <c r="G17" i="153"/>
  <c r="E17" i="153"/>
  <c r="H17" i="153"/>
  <c r="O2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1" i="153"/>
  <c r="B21" i="153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5" i="153"/>
  <c r="E27" i="153"/>
  <c r="B27" i="153"/>
  <c r="G27" i="153"/>
  <c r="H27" i="153"/>
  <c r="O138" i="154"/>
  <c r="E28" i="153"/>
  <c r="B28" i="153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E23" i="153"/>
  <c r="G22" i="153"/>
  <c r="H22" i="153"/>
  <c r="O256" i="154"/>
  <c r="G23" i="153"/>
  <c r="H23" i="153"/>
  <c r="O257" i="154"/>
  <c r="O258" i="154"/>
  <c r="O259" i="154"/>
  <c r="E29" i="153"/>
  <c r="B29" i="153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R3" i="153"/>
  <c r="O295" i="154"/>
  <c r="R4" i="153"/>
  <c r="O296" i="154"/>
  <c r="N5" i="153"/>
  <c r="R5" i="153"/>
  <c r="O297" i="154"/>
  <c r="N6" i="153"/>
  <c r="R6" i="153"/>
  <c r="O298" i="154"/>
  <c r="R7" i="153"/>
  <c r="O299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2" i="154"/>
  <c r="A295" i="154"/>
  <c r="F295" i="154"/>
  <c r="H295" i="154"/>
  <c r="K295" i="154"/>
  <c r="L295" i="154"/>
  <c r="M295" i="154"/>
  <c r="N295" i="154"/>
  <c r="F296" i="154"/>
  <c r="F297" i="154"/>
  <c r="F298" i="154"/>
  <c r="F299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F6" i="157"/>
  <c r="E6" i="157"/>
  <c r="A2" i="157"/>
  <c r="F5" i="157"/>
  <c r="A36" i="157"/>
  <c r="E18" i="157"/>
  <c r="E19" i="157"/>
  <c r="B19" i="157"/>
  <c r="E24" i="157"/>
  <c r="B24" i="157"/>
  <c r="B17" i="157"/>
  <c r="B18" i="157"/>
  <c r="G18" i="157"/>
  <c r="H18" i="157"/>
  <c r="O3" i="158"/>
  <c r="G17" i="157"/>
  <c r="E17" i="157"/>
  <c r="H17" i="157"/>
  <c r="O2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1" i="157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5" i="157"/>
  <c r="E27" i="157"/>
  <c r="B27" i="157"/>
  <c r="G27" i="157"/>
  <c r="H27" i="157"/>
  <c r="O138" i="158"/>
  <c r="E28" i="157"/>
  <c r="B28" i="157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B22" i="157"/>
  <c r="G22" i="157"/>
  <c r="H22" i="157"/>
  <c r="O256" i="158"/>
  <c r="G23" i="157"/>
  <c r="H23" i="157"/>
  <c r="O257" i="158"/>
  <c r="O258" i="158"/>
  <c r="O259" i="158"/>
  <c r="E29" i="157"/>
  <c r="B29" i="157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R3" i="157"/>
  <c r="O295" i="158"/>
  <c r="R4" i="157"/>
  <c r="O296" i="158"/>
  <c r="N5" i="157"/>
  <c r="R5" i="157"/>
  <c r="O297" i="158"/>
  <c r="N6" i="157"/>
  <c r="R6" i="157"/>
  <c r="O298" i="158"/>
  <c r="R7" i="157"/>
  <c r="O299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2" i="158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P3" i="156"/>
  <c r="P4" i="156"/>
  <c r="P5" i="156"/>
  <c r="H287" i="154"/>
  <c r="K287" i="154"/>
  <c r="L287" i="154"/>
  <c r="M287" i="154"/>
  <c r="N287" i="154"/>
  <c r="R8" i="153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R8" i="157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1" i="157"/>
  <c r="G41" i="157"/>
  <c r="F40" i="157"/>
  <c r="G40" i="157"/>
  <c r="B30" i="157"/>
  <c r="B3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R10" i="157"/>
  <c r="P10" i="157"/>
  <c r="O10" i="157"/>
  <c r="M10" i="157"/>
  <c r="V9" i="157"/>
  <c r="R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F2" i="156"/>
  <c r="F3" i="156"/>
  <c r="F4" i="156"/>
  <c r="F5" i="156"/>
  <c r="F6" i="156"/>
  <c r="I2" i="156"/>
  <c r="D2" i="156"/>
  <c r="I3" i="156"/>
  <c r="D3" i="156"/>
  <c r="I4" i="156"/>
  <c r="D4" i="156"/>
  <c r="I5" i="156"/>
  <c r="D5" i="156"/>
  <c r="I6" i="156"/>
  <c r="D6" i="156"/>
  <c r="B30" i="153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J2" i="156"/>
  <c r="E2" i="156"/>
  <c r="C2" i="156"/>
  <c r="J3" i="156"/>
  <c r="E3" i="156"/>
  <c r="C3" i="156"/>
  <c r="J4" i="156"/>
  <c r="E4" i="156"/>
  <c r="C4" i="156"/>
  <c r="J5" i="156"/>
  <c r="E5" i="156"/>
  <c r="C5" i="156"/>
  <c r="J6" i="156"/>
  <c r="E6" i="156"/>
  <c r="C6" i="156"/>
  <c r="N6" i="156"/>
  <c r="M6" i="156"/>
  <c r="L6" i="156"/>
  <c r="K6" i="156"/>
  <c r="H6" i="156"/>
  <c r="N5" i="156"/>
  <c r="M5" i="156"/>
  <c r="L5" i="156"/>
  <c r="K5" i="156"/>
  <c r="H5" i="156"/>
  <c r="N4" i="156"/>
  <c r="M4" i="156"/>
  <c r="L4" i="156"/>
  <c r="K4" i="156"/>
  <c r="H4" i="156"/>
  <c r="N3" i="156"/>
  <c r="M3" i="156"/>
  <c r="L3" i="156"/>
  <c r="K3" i="156"/>
  <c r="H3" i="156"/>
  <c r="N2" i="156"/>
  <c r="M2" i="156"/>
  <c r="L2" i="156"/>
  <c r="K2" i="156"/>
  <c r="H2" i="156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<sst xmlns="http://schemas.openxmlformats.org/spreadsheetml/2006/main" count="552" uniqueCount="265">
  <si>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</si>
  <si>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</si>
  <si>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</si>
  <si>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</si>
  <si>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</si>
  <si>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</si>
  <si>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</si>
  <si>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</si>
  <si>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</si>
  <si>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</si>
  <si>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</si>
  <si>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</si>
  <si>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</si>
  <si>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</si>
  <si>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</si>
  <si>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</si>
  <si>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</si>
  <si>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</si>
  <si>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</si>
  <si>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</si>
  <si>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</si>
  <si>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</si>
  <si>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</si>
  <si>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</si>
  <si>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</si>
  <si>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</si>
  <si>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</si>
  <si>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</si>
  <si>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</si>
  <si>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</si>
  <si>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</si>
  <si>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</si>
  <si>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</si>
  <si>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</si>
  <si>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</si>
  <si>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</si>
  <si>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</si>
  <si>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</si>
  <si>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</si>
  <si>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</si>
  <si>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</si>
  <si>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</si>
  <si>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</si>
  <si>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</si>
  <si>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</si>
  <si>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</si>
  <si>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</si>
  <si>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</si>
  <si>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</si>
  <si>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</si>
  <si>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</si>
  <si>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</si>
  <si>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</si>
  <si>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</si>
  <si>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</si>
  <si>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</si>
  <si>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</si>
  <si>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</si>
  <si>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</si>
  <si>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</si>
  <si>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</si>
  <si>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</si>
  <si>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</si>
  <si>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</si>
  <si>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</si>
  <si>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</si>
  <si>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</si>
  <si>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</si>
  <si>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</si>
  <si>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</si>
  <si>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</si>
  <si>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</si>
  <si>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</si>
  <si>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</si>
  <si>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</si>
  <si>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</si>
  <si>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</si>
  <si>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</si>
  <si>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</si>
  <si>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</si>
  <si>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</si>
  <si>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</si>
  <si>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</si>
  <si>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</si>
  <si>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</si>
  <si>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</si>
  <si>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</si>
  <si>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</si>
  <si>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</si>
  <si>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</si>
  <si>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</si>
  <si>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</si>
  <si>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</si>
  <si>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</si>
  <si>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</si>
  <si>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</si>
  <si>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</si>
  <si>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</si>
  <si>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</si>
  <si>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</si>
  <si>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</si>
  <si>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</si>
  <si>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</si>
  <si>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</si>
  <si>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</si>
  <si>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</si>
  <si>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</si>
  <si>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</si>
  <si>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</si>
  <si>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</si>
  <si>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</si>
  <si>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</si>
  <si>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</si>
  <si>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</si>
  <si>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</si>
  <si>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</si>
  <si>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</si>
  <si>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</si>
  <si>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</si>
  <si>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</si>
  <si>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</si>
  <si>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</si>
  <si>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</si>
  <si>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</si>
  <si>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</si>
  <si>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</si>
  <si>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</si>
  <si>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</si>
  <si>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</si>
  <si>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</si>
  <si>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</si>
  <si>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</si>
  <si>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</si>
  <si>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</si>
  <si>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</si>
  <si>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</si>
  <si>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</si>
  <si>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</si>
  <si>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</si>
  <si>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</si>
  <si>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</si>
  <si>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</si>
  <si>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</si>
  <si>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</si>
  <si>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</si>
  <si>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</si>
  <si>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</si>
  <si>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</si>
  <si>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</si>
  <si>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</si>
  <si>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</si>
  <si>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</si>
  <si>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</si>
  <si>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</si>
  <si>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</si>
  <si>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</si>
  <si>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</si>
  <si>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</si>
  <si>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</si>
  <si>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</si>
  <si>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</si>
  <si>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</si>
  <si>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</si>
  <si>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</si>
  <si>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</si>
  <si>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</si>
  <si>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</si>
  <si>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</si>
  <si>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</si>
  <si>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</si>
  <si>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</si>
  <si>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</si>
  <si>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</si>
  <si>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</si>
  <si>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</si>
  <si>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</si>
  <si>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</si>
  <si>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</si>
  <si>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</si>
  <si>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</si>
  <si>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</si>
  <si>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</si>
  <si>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</si>
  <si>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</si>
  <si>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</si>
  <si>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</si>
  <si>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</si>
  <si>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</si>
  <si>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</si>
  <si>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</si>
  <si>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</si>
  <si>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</si>
  <si>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</si>
  <si>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</si>
  <si>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</si>
  <si>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</si>
  <si>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</si>
  <si>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</si>
  <si>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</si>
  <si>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</si>
  <si>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</si>
  <si>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</si>
  <si>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</si>
  <si>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</si>
  <si>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</si>
  <si>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</si>
  <si>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</si>
  <si>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</si>
  <si>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</si>
  <si>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</si>
  <si>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</si>
  <si>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</si>
  <si>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</si>
  <si>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gacha_settle_tables_</t>
    <phoneticPr fontId="20"/>
  </si>
  <si>
    <t>ja</t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</si>
  <si>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</si>
  <si>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</si>
  <si>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</si>
  <si>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</si>
  <si>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</si>
  <si>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</si>
  <si>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</si>
  <si>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</si>
  <si>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</si>
  <si>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</si>
  <si>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</si>
  <si>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</si>
  <si>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</si>
  <si>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</si>
  <si>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</si>
  <si>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</si>
  <si>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</si>
  <si>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</si>
  <si>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</si>
  <si>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</si>
  <si>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</si>
  <si>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</si>
  <si>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</si>
  <si>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</si>
  <si>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</si>
  <si>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</si>
  <si>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unit</t>
    <phoneticPr fontId="20"/>
  </si>
  <si>
    <t>PremiumSSS4R3less</t>
    <phoneticPr fontId="20"/>
  </si>
  <si>
    <t>PremiumSSS5R3less</t>
    <phoneticPr fontId="20"/>
  </si>
  <si>
    <t>unit</t>
    <phoneticPr fontId="20"/>
  </si>
  <si>
    <t>秘術の果実x3</t>
    <phoneticPr fontId="20"/>
  </si>
  <si>
    <t>秘術の果実</t>
    <phoneticPr fontId="20"/>
  </si>
  <si>
    <t>400万DL突破記念ガチャ特典</t>
    <rPh sb="13" eb="15">
      <t>トクテン</t>
    </rPh>
    <phoneticPr fontId="20"/>
  </si>
  <si>
    <t>358104</t>
    <phoneticPr fontId="20"/>
  </si>
  <si>
    <t>3581041</t>
    <phoneticPr fontId="20"/>
  </si>
  <si>
    <t>3581051</t>
    <phoneticPr fontId="20"/>
  </si>
  <si>
    <t>STEP4特典として
秘術の果実1体をプレゼント！</t>
    <phoneticPr fontId="20"/>
  </si>
  <si>
    <t>STEP5特典として
秘術の果実3体をプレゼント！</t>
    <phoneticPr fontId="20"/>
  </si>
  <si>
    <t>358105</t>
    <phoneticPr fontId="20"/>
  </si>
  <si>
    <t>skip</t>
    <phoneticPr fontId="20"/>
  </si>
  <si>
    <t>通常確率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</si>
  <si>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</si>
  <si>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</si>
  <si>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</si>
  <si>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</si>
  <si>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tables_379100</t>
    <phoneticPr fontId="20"/>
  </si>
  <si>
    <t>tables_379010</t>
    <phoneticPr fontId="20"/>
  </si>
  <si>
    <t>tables_settle_379100</t>
    <phoneticPr fontId="20"/>
  </si>
  <si>
    <t>379100</t>
    <phoneticPr fontId="20"/>
  </si>
  <si>
    <t>old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</si>
</sst>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</cellStyleXfs>
  <cellXfs count="95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6" fillId="0" borderId="1" xfId="2978" applyFont="1" applyBorder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5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25" fillId="0" borderId="1" xfId="2" quotePrefix="1" applyFont="1" applyBorder="1" applyAlignment="1">
      <alignment vertical="center"/>
    </xf>
    <xf numFmtId="0" fontId="4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3" fillId="4" borderId="1" xfId="2978" applyFont="1" applyFill="1" applyBorder="1"/>
    <xf numFmtId="0" fontId="2" fillId="4" borderId="1" xfId="2978" applyFont="1" applyFill="1" applyBorder="1"/>
    <xf numFmtId="0" fontId="2" fillId="0" borderId="1" xfId="3036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hp</v>
          </cell>
          <cell r="L884" t="str">
            <v>体力タイプ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Drop2N</v>
          </cell>
          <cell r="K885" t="str">
            <v>hp</v>
          </cell>
          <cell r="L885" t="str">
            <v>体力タイプ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hp</v>
          </cell>
          <cell r="L886" t="str">
            <v>体力タイプ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balance</v>
          </cell>
          <cell r="L887" t="str">
            <v>バランスタイプ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5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ド・モルガン_分岐覚醒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balance</v>
          </cell>
          <cell r="L961" t="str">
            <v>バランスタイプ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attack</v>
          </cell>
          <cell r="L1060" t="str">
            <v>攻撃タイプ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attack</v>
          </cell>
          <cell r="L1061" t="str">
            <v>攻撃タイプ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attack</v>
          </cell>
          <cell r="L1062" t="str">
            <v>攻撃タイプ</v>
          </cell>
          <cell r="M1062" t="str">
            <v>god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attack</v>
          </cell>
          <cell r="L1063" t="str">
            <v>攻撃タイプ</v>
          </cell>
          <cell r="M1063" t="str">
            <v>god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attack</v>
          </cell>
          <cell r="L1064" t="str">
            <v>攻撃タイプ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attack</v>
          </cell>
          <cell r="L1065" t="str">
            <v>攻撃タイプ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attack</v>
          </cell>
          <cell r="L1068" t="str">
            <v>攻撃タイプ</v>
          </cell>
          <cell r="M1068" t="str">
            <v>god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attack</v>
          </cell>
          <cell r="L1069" t="str">
            <v>攻撃タイプ</v>
          </cell>
          <cell r="M1069" t="str">
            <v>god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god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god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attack</v>
          </cell>
          <cell r="L1075" t="str">
            <v>攻撃タイプ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attack</v>
          </cell>
          <cell r="L1076" t="str">
            <v>攻撃タイプ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DropWizSSS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DropWizSSS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human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balance</v>
          </cell>
          <cell r="L1125" t="str">
            <v>バランスタイプ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4" t="s">
        <v>215</v>
      </c>
      <c r="K40" s="84" t="s">
        <v>190</v>
      </c>
      <c r="M40" s="84" t="s">
        <v>240</v>
      </c>
    </row>
    <row r="41" spans="1:13" x14ac:dyDescent="0.15">
      <c r="J41" s="84" t="s">
        <v>216</v>
      </c>
      <c r="K41" s="84" t="s">
        <v>217</v>
      </c>
      <c r="M41" s="66" t="s">
        <v>185</v>
      </c>
    </row>
    <row r="42" spans="1:13" x14ac:dyDescent="0.15">
      <c r="J42" s="84" t="s">
        <v>218</v>
      </c>
      <c r="K42" s="84" t="s">
        <v>219</v>
      </c>
    </row>
    <row r="43" spans="1:13" x14ac:dyDescent="0.15">
      <c r="J43" s="84" t="s">
        <v>220</v>
      </c>
      <c r="K43" s="84" t="s">
        <v>221</v>
      </c>
    </row>
    <row r="44" spans="1:13" x14ac:dyDescent="0.15">
      <c r="J44" s="84" t="s">
        <v>222</v>
      </c>
      <c r="K44" s="84" t="s">
        <v>223</v>
      </c>
    </row>
    <row r="45" spans="1:13" x14ac:dyDescent="0.15">
      <c r="J45" s="84" t="s">
        <v>224</v>
      </c>
      <c r="K45" s="84" t="s">
        <v>225</v>
      </c>
    </row>
    <row r="46" spans="1:13" x14ac:dyDescent="0.15">
      <c r="J46" s="84" t="s">
        <v>226</v>
      </c>
      <c r="K46" s="84" t="s">
        <v>227</v>
      </c>
    </row>
    <row r="47" spans="1:13" x14ac:dyDescent="0.15">
      <c r="J47" s="84" t="s">
        <v>228</v>
      </c>
      <c r="K47" s="84" t="s">
        <v>232</v>
      </c>
    </row>
    <row r="48" spans="1:13" x14ac:dyDescent="0.15">
      <c r="J48" s="84" t="s">
        <v>229</v>
      </c>
      <c r="K48" s="84" t="s">
        <v>233</v>
      </c>
    </row>
    <row r="49" spans="10:11" x14ac:dyDescent="0.15">
      <c r="J49" s="84" t="s">
        <v>230</v>
      </c>
      <c r="K49" s="84" t="s">
        <v>234</v>
      </c>
    </row>
    <row r="50" spans="10:11" x14ac:dyDescent="0.15">
      <c r="J50" s="84" t="s">
        <v>231</v>
      </c>
      <c r="K50" s="84" t="s">
        <v>235</v>
      </c>
    </row>
    <row r="51" spans="10:11" x14ac:dyDescent="0.15">
      <c r="J51" s="84" t="s">
        <v>237</v>
      </c>
      <c r="K51" s="84" t="s">
        <v>236</v>
      </c>
    </row>
    <row r="52" spans="10:11" x14ac:dyDescent="0.15">
      <c r="J52" s="84" t="s">
        <v>238</v>
      </c>
      <c r="K52" s="84" t="s">
        <v>239</v>
      </c>
    </row>
    <row r="53" spans="10:11" x14ac:dyDescent="0.15">
      <c r="J53" s="84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D15" sqref="D1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4" t="s">
        <v>264</v>
      </c>
      <c r="B2" s="61" t="s">
        <v>110</v>
      </c>
      <c r="C2" s="50" t="str">
        <f t="shared" ref="C2" si="0">RIGHT(F2,6)</f>
        <v>379100</v>
      </c>
      <c r="D2" s="19" t="s">
        <v>45</v>
      </c>
      <c r="E2" s="17" t="str">
        <f t="shared" ref="E2" si="1">B2&amp;C2&amp;D2</f>
        <v>gacha_select_tables_379100.tmp</v>
      </c>
      <c r="F2" s="93" t="s">
        <v>260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4" t="s">
        <v>264</v>
      </c>
      <c r="B3" s="61" t="s">
        <v>110</v>
      </c>
      <c r="C3" s="50" t="str">
        <f t="shared" ref="C3:C7" si="2">RIGHT(F3,6)</f>
        <v>379010</v>
      </c>
      <c r="D3" s="19" t="s">
        <v>45</v>
      </c>
      <c r="E3" s="17" t="str">
        <f t="shared" ref="E3:E10" si="3">B3&amp;C3&amp;D3</f>
        <v>gacha_select_tables_379010.tmp</v>
      </c>
      <c r="F3" s="93" t="s">
        <v>261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4" t="s">
        <v>264</v>
      </c>
      <c r="B4" s="77" t="s">
        <v>213</v>
      </c>
      <c r="C4" s="50" t="str">
        <f t="shared" si="2"/>
        <v>379100</v>
      </c>
      <c r="D4" s="19" t="s">
        <v>45</v>
      </c>
      <c r="E4" s="17" t="str">
        <f t="shared" ref="E4:E7" si="4">B4&amp;C4&amp;D4</f>
        <v>gacha_settle_tables_379100.tmp</v>
      </c>
      <c r="F4" s="93" t="s">
        <v>262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9" t="s">
        <v>254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si="4"/>
        <v>gacha_select_tables_363104.tmp</v>
      </c>
      <c r="F5" s="92" t="s">
        <v>257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9" t="s">
        <v>254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2" t="s">
        <v>258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9" t="s">
        <v>254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2" t="s">
        <v>259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9" t="s">
        <v>254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9" t="s">
        <v>254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9" t="s">
        <v>254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abSelected="1" workbookViewId="0">
      <selection activeCell="G36" sqref="G3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379010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5">
        <v>1012</v>
      </c>
      <c r="M3" s="37" t="str">
        <f>VLOOKUP(L3,[1]characters!$A:$C,3,FALSE)</f>
        <v>ラー</v>
      </c>
      <c r="N3" s="63">
        <v>7.0000000000000001E-3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VLOOKUP(L3,tables_379010!B:C,2,FALSE)</f>
        <v>PremiumSS5R5only</v>
      </c>
      <c r="R3" s="62">
        <f t="shared" ref="R3:R20" si="1">N3*A$36</f>
        <v>92820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5">
        <v>1014</v>
      </c>
      <c r="M4" s="37" t="str">
        <f>VLOOKUP(L4,[1]characters!$A:$C,3,FALSE)</f>
        <v>イシス</v>
      </c>
      <c r="N4" s="63">
        <v>7.0000000000000001E-3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VLOOKUP(L4,tables_379010!B:C,2,FALSE)</f>
        <v>PremiumSS5R5only</v>
      </c>
      <c r="R4" s="62">
        <f t="shared" si="1"/>
        <v>92820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7.4358974358974361E-4</v>
      </c>
      <c r="F5">
        <f>(COUNTIF(tables_379010!C:C,input_379010!A28)+COUNTIF(tables_379010!C:C,input_379010!A29))</f>
        <v>42</v>
      </c>
      <c r="H5" s="85">
        <v>2.1000000000000001E-2</v>
      </c>
      <c r="I5" s="31">
        <v>3</v>
      </c>
      <c r="L5" s="5">
        <v>1016</v>
      </c>
      <c r="M5" s="37" t="str">
        <f>VLOOKUP(L5,[1]characters!$A:$C,3,FALSE)</f>
        <v>ハトホル</v>
      </c>
      <c r="N5" s="63">
        <f>0.015*0.5</f>
        <v>7.4999999999999997E-3</v>
      </c>
      <c r="O5" s="37">
        <f>VLOOKUP(L5,[1]characters!$A:$I,9,FALSE)</f>
        <v>4</v>
      </c>
      <c r="P5" s="37" t="str">
        <f>VLOOKUP(L5,[1]characters!$A:$J,10,FALSE)</f>
        <v>PremiumS</v>
      </c>
      <c r="Q5" s="37" t="str">
        <f>VLOOKUP(L5,tables_379010!B:C,2,FALSE)</f>
        <v>Premium4R3less</v>
      </c>
      <c r="R5" s="62">
        <f t="shared" si="1"/>
        <v>99450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1.0999999999999999E-2</v>
      </c>
      <c r="F6">
        <f>(COUNTIF(tables_379010!C:C,input_379010!A25)+COUNTIF(tables_379010!C:C,input_379010!A18)+COUNTIF(tables_379010!C:C,input_379010!A20)+COUNTIF(tables_379010!C:C,input_379010!A22))</f>
        <v>86</v>
      </c>
      <c r="H6" s="91">
        <v>1.4999999999999999E-2</v>
      </c>
      <c r="I6" s="31">
        <v>1</v>
      </c>
      <c r="L6" s="5">
        <v>1017</v>
      </c>
      <c r="M6" s="37" t="str">
        <f>VLOOKUP(L6,[1]characters!$A:$C,3,FALSE)</f>
        <v>命瞳の慈母神 ハトホル</v>
      </c>
      <c r="N6" s="63">
        <f>0.015*0.5</f>
        <v>7.4999999999999997E-3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VLOOKUP(L6,tables_379010!B:C,2,FALSE)</f>
        <v>Premium5R3less</v>
      </c>
      <c r="R6" s="62">
        <f t="shared" si="1"/>
        <v>99450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5">
        <v>1018</v>
      </c>
      <c r="M7" s="37" t="str">
        <f>VLOOKUP(L7,[1]characters!$A:$C,3,FALSE)</f>
        <v>バステト</v>
      </c>
      <c r="N7" s="63">
        <v>7.0000000000000001E-3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VLOOKUP(L7,tables_379010!B:C,2,FALSE)</f>
        <v>PremiumSS5R5only</v>
      </c>
      <c r="R7" s="62">
        <f t="shared" si="1"/>
        <v>92820</v>
      </c>
      <c r="S7">
        <v>597</v>
      </c>
      <c r="U7" s="33" t="s">
        <v>196</v>
      </c>
      <c r="V7" s="54">
        <f t="shared" si="0"/>
        <v>7.4999999999999997E-3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VLOOKUP(L8,tables_379010!B:C,2,FALSE)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7.4999999999999997E-3</v>
      </c>
    </row>
    <row r="9" spans="1:22" x14ac:dyDescent="0.15">
      <c r="A9" s="35" t="s">
        <v>54</v>
      </c>
      <c r="B9" s="35"/>
      <c r="L9" s="90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VLOOKUP(L9,tables_379010!B:C,2,FALSE)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90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VLOOKUP(L10,tables_379010!B:C,2,FALSE)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256</v>
      </c>
      <c r="L11" s="90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VLOOKUP(L11,tables_379010!B:C,2,FALSE)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VLOOKUP(L12,tables_379010!B:C,2,FALSE)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VLOOKUP(L13,tables_379010!B:C,2,FALSE)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VLOOKUP(L14,tables_379010!B:C,2,FALSE)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2.1000000000000001E-2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VLOOKUP(L15,tables_379010!B:C,2,FALSE)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VLOOKUP(L16,tables_379010!B:C,2,FALSE)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0.19200000000000003</v>
      </c>
      <c r="C17" s="86">
        <f t="shared" ref="C17:C31" si="2">SUMIF(Q:Q,A17,N:N)</f>
        <v>0</v>
      </c>
      <c r="D17" s="74">
        <f t="shared" ref="D17:D32" si="3">B17-C17</f>
        <v>0.19200000000000003</v>
      </c>
      <c r="E17">
        <f>COUNTIF(tables_379010!C:C,input_379010!A17)-COUNTIF(Q:Q,A17)</f>
        <v>20</v>
      </c>
      <c r="F17" s="43">
        <f>IFERROR(B17/E17,0)</f>
        <v>9.6000000000000009E-3</v>
      </c>
      <c r="G17">
        <f t="shared" ref="G17:G31" si="4">A$36*B17</f>
        <v>2545920.0000000005</v>
      </c>
      <c r="H17">
        <f t="shared" ref="H17:H31" si="5">IFERROR(ROUND(G17/E17,5),0)</f>
        <v>127296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VLOOKUP(L17,tables_379010!B:C,2,FALSE)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2.7999999999999942E-2</v>
      </c>
      <c r="C18" s="86">
        <f t="shared" si="2"/>
        <v>0</v>
      </c>
      <c r="D18" s="74">
        <f t="shared" si="3"/>
        <v>2.7999999999999942E-2</v>
      </c>
      <c r="E18">
        <f>COUNTIF(tables_379010!C:C,input_379010!A18)-COUNTIF(Q:Q,A18)</f>
        <v>20</v>
      </c>
      <c r="F18" s="43">
        <f>IFERROR(B18/E18,0)</f>
        <v>1.3999999999999972E-3</v>
      </c>
      <c r="G18">
        <f t="shared" si="4"/>
        <v>371279.99999999924</v>
      </c>
      <c r="H18">
        <f t="shared" si="5"/>
        <v>18564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VLOOKUP(L18,tables_379010!B:C,2,FALSE)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0.28599999999999998</v>
      </c>
      <c r="C19" s="86">
        <f t="shared" si="2"/>
        <v>0</v>
      </c>
      <c r="D19" s="74">
        <f t="shared" si="3"/>
        <v>0.28599999999999998</v>
      </c>
      <c r="E19">
        <f>COUNTIF(tables_379010!C:C,input_379010!A19)-COUNTIF(Q:Q,A19)</f>
        <v>52</v>
      </c>
      <c r="F19" s="43">
        <f t="shared" ref="F19:F31" si="8">IFERROR(B19/E19,0)</f>
        <v>5.4999999999999997E-3</v>
      </c>
      <c r="G19">
        <f t="shared" si="4"/>
        <v>3792359.9999999995</v>
      </c>
      <c r="H19">
        <f t="shared" si="5"/>
        <v>72930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VLOOKUP(L19,tables_379010!B:C,2,FALSE)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0.25739999999999996</v>
      </c>
      <c r="C20" s="86">
        <f t="shared" si="2"/>
        <v>0</v>
      </c>
      <c r="D20" s="74">
        <f t="shared" si="3"/>
        <v>0.25739999999999996</v>
      </c>
      <c r="E20">
        <f>COUNTIF(tables_379010!C:C,input_379010!A20)-COUNTIF(Q:Q,A20)</f>
        <v>52</v>
      </c>
      <c r="F20" s="43">
        <f t="shared" si="8"/>
        <v>4.9499999999999995E-3</v>
      </c>
      <c r="G20">
        <f t="shared" si="4"/>
        <v>3413123.9999999995</v>
      </c>
      <c r="H20">
        <f t="shared" si="5"/>
        <v>65637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VLOOKUP(L20,tables_379010!B:C,2,FALSE)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2.86E-2</v>
      </c>
      <c r="C21" s="86">
        <f t="shared" si="2"/>
        <v>0</v>
      </c>
      <c r="D21" s="74">
        <f t="shared" si="3"/>
        <v>2.86E-2</v>
      </c>
      <c r="E21">
        <f>COUNTIF(tables_379010!C:C,input_379010!A21)-COUNTIF(Q:Q,A21)</f>
        <v>52</v>
      </c>
      <c r="F21" s="43">
        <f t="shared" si="8"/>
        <v>5.5000000000000003E-4</v>
      </c>
      <c r="G21">
        <f t="shared" si="4"/>
        <v>379236</v>
      </c>
      <c r="H21">
        <f t="shared" si="5"/>
        <v>7293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8.9020512820512807E-2</v>
      </c>
      <c r="C22" s="86">
        <f t="shared" si="2"/>
        <v>7.4999999999999997E-3</v>
      </c>
      <c r="D22" s="74">
        <f t="shared" si="3"/>
        <v>8.1520512820512814E-2</v>
      </c>
      <c r="E22">
        <f>COUNTIF(tables_379010!C:C,input_379010!A22)-COUNTIF(Q:Q,A22)</f>
        <v>9</v>
      </c>
      <c r="F22" s="43">
        <f t="shared" si="8"/>
        <v>9.8911680911680892E-3</v>
      </c>
      <c r="G22">
        <f t="shared" si="4"/>
        <v>1180411.9999999998</v>
      </c>
      <c r="H22">
        <f t="shared" si="5"/>
        <v>131156.88889</v>
      </c>
      <c r="I22">
        <f t="shared" si="6"/>
        <v>0.88889000000199303</v>
      </c>
      <c r="J22">
        <f t="shared" si="7"/>
        <v>1.1249985937492355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B$7-B21-B26-B28-B29</f>
        <v>9.9794871794871825E-3</v>
      </c>
      <c r="C23" s="86">
        <f t="shared" si="2"/>
        <v>7.4999999999999997E-3</v>
      </c>
      <c r="D23" s="74">
        <f t="shared" si="3"/>
        <v>2.4794871794871828E-3</v>
      </c>
      <c r="E23">
        <f>COUNTIF(tables_379010!C:C,input_379010!A23)-COUNTIF(Q:Q,A23)</f>
        <v>9</v>
      </c>
      <c r="F23" s="43">
        <f t="shared" si="8"/>
        <v>1.1088319088319093E-3</v>
      </c>
      <c r="G23">
        <f t="shared" si="4"/>
        <v>132328.00000000003</v>
      </c>
      <c r="H23">
        <f t="shared" si="5"/>
        <v>14703.11111</v>
      </c>
      <c r="I23">
        <f t="shared" si="6"/>
        <v>0.11110999999982596</v>
      </c>
      <c r="J23">
        <f t="shared" si="7"/>
        <v>9.0000900009141063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2.1999999999999999E-2</v>
      </c>
      <c r="C24" s="86">
        <f t="shared" si="2"/>
        <v>0</v>
      </c>
      <c r="D24" s="74">
        <f t="shared" si="3"/>
        <v>2.1999999999999999E-2</v>
      </c>
      <c r="E24">
        <f>COUNTIF(tables_379010!C:C,input_379010!A24)-COUNTIF(Q:Q,A24)</f>
        <v>4</v>
      </c>
      <c r="F24" s="43">
        <f t="shared" si="8"/>
        <v>5.4999999999999997E-3</v>
      </c>
      <c r="G24">
        <f t="shared" si="4"/>
        <v>291720</v>
      </c>
      <c r="H24">
        <f t="shared" si="5"/>
        <v>72930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1.9799999999999998E-2</v>
      </c>
      <c r="C25" s="86">
        <f t="shared" si="2"/>
        <v>0</v>
      </c>
      <c r="D25" s="74">
        <f t="shared" si="3"/>
        <v>1.9799999999999998E-2</v>
      </c>
      <c r="E25">
        <f>COUNTIF(tables_379010!C:C,input_379010!A25)-COUNTIF(Q:Q,A25)</f>
        <v>4</v>
      </c>
      <c r="F25" s="43">
        <f t="shared" si="8"/>
        <v>4.9499999999999995E-3</v>
      </c>
      <c r="G25">
        <f t="shared" si="4"/>
        <v>262548</v>
      </c>
      <c r="H25">
        <f t="shared" si="5"/>
        <v>65637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2.2000000000000001E-3</v>
      </c>
      <c r="C26" s="86">
        <f t="shared" si="2"/>
        <v>0</v>
      </c>
      <c r="D26" s="74">
        <f t="shared" si="3"/>
        <v>2.2000000000000001E-3</v>
      </c>
      <c r="E26">
        <f>COUNTIF(tables_379010!C:C,input_379010!A26)-COUNTIF(Q:Q,A26)</f>
        <v>4</v>
      </c>
      <c r="F26" s="43">
        <f t="shared" si="8"/>
        <v>5.5000000000000003E-4</v>
      </c>
      <c r="G26">
        <f t="shared" si="4"/>
        <v>29172</v>
      </c>
      <c r="H26">
        <f t="shared" si="5"/>
        <v>7293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1.9779487179487177E-2</v>
      </c>
      <c r="C27" s="86">
        <f t="shared" si="2"/>
        <v>0</v>
      </c>
      <c r="D27" s="74">
        <f t="shared" si="3"/>
        <v>1.9779487179487177E-2</v>
      </c>
      <c r="E27">
        <f>COUNTIF(tables_379010!C:C,input_379010!A27)-COUNTIF(Q:Q,A27)</f>
        <v>28</v>
      </c>
      <c r="F27" s="43">
        <f>IFERROR(B27/E27,0)</f>
        <v>7.0641025641025629E-4</v>
      </c>
      <c r="G27">
        <f t="shared" si="4"/>
        <v>262275.99999999994</v>
      </c>
      <c r="H27">
        <f t="shared" si="5"/>
        <v>9367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1.0410256410256411E-3</v>
      </c>
      <c r="C28" s="86">
        <f t="shared" si="2"/>
        <v>0</v>
      </c>
      <c r="D28" s="74">
        <f t="shared" si="3"/>
        <v>1.0410256410256411E-3</v>
      </c>
      <c r="E28">
        <f>COUNTIF(tables_379010!C:C,input_379010!A28)-COUNTIF(Q:Q,A28)</f>
        <v>28</v>
      </c>
      <c r="F28" s="43">
        <f t="shared" si="8"/>
        <v>3.7179487179487179E-5</v>
      </c>
      <c r="G28">
        <f t="shared" si="4"/>
        <v>13804.000000000002</v>
      </c>
      <c r="H28">
        <f t="shared" si="5"/>
        <v>493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8.1794871794871795E-3</v>
      </c>
      <c r="C29" s="86">
        <f t="shared" si="2"/>
        <v>2.1000000000000001E-2</v>
      </c>
      <c r="D29" s="74">
        <f t="shared" si="3"/>
        <v>-1.2820512820512822E-2</v>
      </c>
      <c r="E29">
        <f>COUNTIF(tables_379010!C:C,input_379010!A29)-COUNTIF(Q:Q,A29)</f>
        <v>11</v>
      </c>
      <c r="F29" s="43">
        <f t="shared" si="8"/>
        <v>7.4358974358974361E-4</v>
      </c>
      <c r="G29">
        <f t="shared" si="4"/>
        <v>108460</v>
      </c>
      <c r="H29">
        <f t="shared" si="5"/>
        <v>9860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COUNTIF(tables_379010!C:C,input_379010!A30)-COUNTIF(Q:Q,A30)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COUNTIF(tables_379010!C:C,input_379010!A31)-COUNTIF(Q:Q,A31)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0.96399999999999986</v>
      </c>
      <c r="C32" s="41">
        <f>SUM(C19:C31)</f>
        <v>3.6000000000000004E-2</v>
      </c>
      <c r="D32" s="42">
        <f t="shared" si="3"/>
        <v>0.92799999999999983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13260000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SUMIF(tables_379010!C:C,input_379010!A40,tables_379010!O:O)</f>
        <v>3792360</v>
      </c>
      <c r="C40" s="54">
        <f t="shared" ref="C40:C46" ca="1" si="9">B40/B$47</f>
        <v>0.48243944636678199</v>
      </c>
      <c r="E40">
        <v>3</v>
      </c>
      <c r="F40">
        <f ca="1">SUMIF(tables_379010!J:J,input_379010!E40,tables_379010!O:O)</f>
        <v>6630000</v>
      </c>
      <c r="G40">
        <f ca="1">F40/A36</f>
        <v>0.5</v>
      </c>
    </row>
    <row r="41" spans="1:7" x14ac:dyDescent="0.15">
      <c r="A41" s="33" t="s">
        <v>104</v>
      </c>
      <c r="B41">
        <f ca="1">SUMIF(tables_379010!C:C,input_379010!A41,tables_379010!O:O)</f>
        <v>3413124</v>
      </c>
      <c r="C41" s="54">
        <f t="shared" ca="1" si="9"/>
        <v>0.43419550173010379</v>
      </c>
      <c r="E41">
        <v>4</v>
      </c>
      <c r="F41">
        <f ca="1">SUMIF(tables_379010!J:J,input_379010!E41,tables_379010!O:O)</f>
        <v>5589090.0000100005</v>
      </c>
      <c r="G41">
        <f ca="1">F41/A36</f>
        <v>0.42150000000075422</v>
      </c>
    </row>
    <row r="42" spans="1:7" x14ac:dyDescent="0.15">
      <c r="A42" s="33" t="s">
        <v>106</v>
      </c>
      <c r="B42">
        <f ca="1">SUMIF(tables_379010!C:C,input_379010!A42,tables_379010!O:O)</f>
        <v>262276</v>
      </c>
      <c r="C42" s="54">
        <f t="shared" ca="1" si="9"/>
        <v>3.3365051903114187E-2</v>
      </c>
      <c r="E42">
        <v>5</v>
      </c>
      <c r="F42">
        <f ca="1">SUMIF(tables_379010!J:J,input_379010!E42,tables_379010!O:O)</f>
        <v>1040909.9999900003</v>
      </c>
      <c r="G42">
        <f ca="1">F42/A36</f>
        <v>7.8499999999245867E-2</v>
      </c>
    </row>
    <row r="43" spans="1:7" x14ac:dyDescent="0.15">
      <c r="A43" s="33" t="s">
        <v>109</v>
      </c>
      <c r="B43">
        <f>SUMIF(tables_379010!C:C,input_379010!A43,tables_379010!O:O)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SUMIF(tables_379010!C:C,input_379010!A44,tables_379010!O:O)</f>
        <v>379236</v>
      </c>
      <c r="C44" s="54">
        <f t="shared" ca="1" si="9"/>
        <v>4.82439446366782E-2</v>
      </c>
      <c r="E44" t="s">
        <v>54</v>
      </c>
      <c r="F44" s="55"/>
    </row>
    <row r="45" spans="1:7" x14ac:dyDescent="0.15">
      <c r="A45" s="33" t="s">
        <v>107</v>
      </c>
      <c r="B45">
        <f ca="1">SUMIF(tables_379010!C:C,input_379010!A45,tables_379010!O:O)</f>
        <v>13804</v>
      </c>
      <c r="C45" s="54">
        <f t="shared" ca="1" si="9"/>
        <v>1.7560553633217994E-3</v>
      </c>
      <c r="E45" t="s">
        <v>204</v>
      </c>
      <c r="F45" s="55">
        <f ca="1">SUMIF(tables_379010!I:I,input_379010!E45,tables_379010!P:P)</f>
        <v>0.22000000000000006</v>
      </c>
    </row>
    <row r="46" spans="1:7" x14ac:dyDescent="0.15">
      <c r="A46" s="33" t="s">
        <v>108</v>
      </c>
      <c r="B46">
        <f>SUMIF(tables_379010!C:C,input_379010!A46,tables_379010!O:O)</f>
        <v>0</v>
      </c>
      <c r="C46" s="54">
        <f t="shared" ca="1" si="9"/>
        <v>0</v>
      </c>
      <c r="E46" t="s">
        <v>205</v>
      </c>
      <c r="F46" s="55">
        <f ca="1">SUMIF(tables_379010!I:I,input_379010!E46,tables_379010!P:P)</f>
        <v>0.22000000000000006</v>
      </c>
    </row>
    <row r="47" spans="1:7" x14ac:dyDescent="0.15">
      <c r="A47" s="39" t="s">
        <v>59</v>
      </c>
      <c r="B47">
        <f ca="1">SUM(B40:B46)</f>
        <v>7860800</v>
      </c>
      <c r="C47" s="55">
        <f ca="1">SUM(C40:C46)</f>
        <v>1.0000000000000002</v>
      </c>
      <c r="E47" t="s">
        <v>206</v>
      </c>
      <c r="F47" s="55">
        <f ca="1">SUMIF(tables_379010!I:I,input_379010!E47,tables_379010!P:P)</f>
        <v>0.51000000000000023</v>
      </c>
    </row>
    <row r="48" spans="1:7" x14ac:dyDescent="0.15">
      <c r="E48" t="s">
        <v>207</v>
      </c>
      <c r="F48" s="55">
        <f ca="1">SUMIF(tables_379010!I:I,input_379010!E48,tables_379010!P:P)</f>
        <v>0.05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99"/>
  <sheetViews>
    <sheetView showGridLines="0" zoomScale="75" zoomScaleNormal="75" zoomScalePageLayoutView="75" workbookViewId="0">
      <pane ySplit="1" topLeftCell="A277" activePane="bottomLeft" state="frozen"/>
      <selection activeCell="H276" sqref="H276"/>
      <selection pane="bottomLeft" activeCell="B295" sqref="B295:B29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input_379010!A$2</f>
        <v>379010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IFERROR(VLOOKUP(B2,input_379010!L:R,7,FALSE),VLOOKUP(tables_379010!C2,input_379010!A:H,8,FALSE))</f>
        <v>127296</v>
      </c>
      <c r="P2" s="46">
        <f t="shared" ref="P2:P65" ca="1" si="2">O2/SUM(O:O)</f>
        <v>9.5999999999999992E-3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input_379010!A$2</f>
        <v>379010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IFERROR(VLOOKUP(B3,input_379010!L:R,7,FALSE),VLOOKUP(tables_379010!C3,input_379010!A:H,8,FALSE))</f>
        <v>18564</v>
      </c>
      <c r="P3" s="46">
        <f t="shared" ca="1" si="2"/>
        <v>1.4E-3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input_379010!A$2</f>
        <v>379010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IFERROR(VLOOKUP(B4,input_379010!L:R,7,FALSE),VLOOKUP(tables_379010!C4,input_379010!A:H,8,FALSE))</f>
        <v>127296</v>
      </c>
      <c r="P4" s="46">
        <f t="shared" ca="1" si="2"/>
        <v>9.5999999999999992E-3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input_379010!A$2</f>
        <v>379010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IFERROR(VLOOKUP(B5,input_379010!L:R,7,FALSE),VLOOKUP(tables_379010!C5,input_379010!A:H,8,FALSE))</f>
        <v>18564</v>
      </c>
      <c r="P5" s="46">
        <f t="shared" ca="1" si="2"/>
        <v>1.4E-3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input_379010!A$2</f>
        <v>379010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IFERROR(VLOOKUP(B6,input_379010!L:R,7,FALSE),VLOOKUP(tables_379010!C6,input_379010!A:H,8,FALSE))</f>
        <v>127296</v>
      </c>
      <c r="P6" s="46">
        <f t="shared" ca="1" si="2"/>
        <v>9.5999999999999992E-3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input_379010!A$2</f>
        <v>379010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IFERROR(VLOOKUP(B7,input_379010!L:R,7,FALSE),VLOOKUP(tables_379010!C7,input_379010!A:H,8,FALSE))</f>
        <v>18564</v>
      </c>
      <c r="P7" s="46">
        <f t="shared" ca="1" si="2"/>
        <v>1.4E-3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input_379010!A$2</f>
        <v>379010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IFERROR(VLOOKUP(B8,input_379010!L:R,7,FALSE),VLOOKUP(tables_379010!C8,input_379010!A:H,8,FALSE))</f>
        <v>127296</v>
      </c>
      <c r="P8" s="46">
        <f t="shared" ca="1" si="2"/>
        <v>9.5999999999999992E-3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input_379010!A$2</f>
        <v>379010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IFERROR(VLOOKUP(B9,input_379010!L:R,7,FALSE),VLOOKUP(tables_379010!C9,input_379010!A:H,8,FALSE))</f>
        <v>18564</v>
      </c>
      <c r="P9" s="46">
        <f t="shared" ca="1" si="2"/>
        <v>1.4E-3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input_379010!A$2</f>
        <v>379010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IFERROR(VLOOKUP(B10,input_379010!L:R,7,FALSE),VLOOKUP(tables_379010!C10,input_379010!A:H,8,FALSE))</f>
        <v>127296</v>
      </c>
      <c r="P10" s="46">
        <f t="shared" ca="1" si="2"/>
        <v>9.5999999999999992E-3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input_379010!A$2</f>
        <v>379010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IFERROR(VLOOKUP(B11,input_379010!L:R,7,FALSE),VLOOKUP(tables_379010!C11,input_379010!A:H,8,FALSE))</f>
        <v>18564</v>
      </c>
      <c r="P11" s="46">
        <f t="shared" ca="1" si="2"/>
        <v>1.4E-3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input_379010!A$2</f>
        <v>379010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IFERROR(VLOOKUP(B12,input_379010!L:R,7,FALSE),VLOOKUP(tables_379010!C12,input_379010!A:H,8,FALSE))</f>
        <v>127296</v>
      </c>
      <c r="P12" s="46">
        <f t="shared" ca="1" si="2"/>
        <v>9.5999999999999992E-3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input_379010!A$2</f>
        <v>379010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IFERROR(VLOOKUP(B13,input_379010!L:R,7,FALSE),VLOOKUP(tables_379010!C13,input_379010!A:H,8,FALSE))</f>
        <v>18564</v>
      </c>
      <c r="P13" s="46">
        <f t="shared" ca="1" si="2"/>
        <v>1.4E-3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input_379010!A$2</f>
        <v>379010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IFERROR(VLOOKUP(B14,input_379010!L:R,7,FALSE),VLOOKUP(tables_379010!C14,input_379010!A:H,8,FALSE))</f>
        <v>127296</v>
      </c>
      <c r="P14" s="46">
        <f t="shared" ca="1" si="2"/>
        <v>9.5999999999999992E-3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input_379010!A$2</f>
        <v>379010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IFERROR(VLOOKUP(B15,input_379010!L:R,7,FALSE),VLOOKUP(tables_379010!C15,input_379010!A:H,8,FALSE))</f>
        <v>18564</v>
      </c>
      <c r="P15" s="46">
        <f t="shared" ca="1" si="2"/>
        <v>1.4E-3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input_379010!A$2</f>
        <v>379010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IFERROR(VLOOKUP(B16,input_379010!L:R,7,FALSE),VLOOKUP(tables_379010!C16,input_379010!A:H,8,FALSE))</f>
        <v>127296</v>
      </c>
      <c r="P16" s="46">
        <f t="shared" ca="1" si="2"/>
        <v>9.5999999999999992E-3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input_379010!A$2</f>
        <v>379010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IFERROR(VLOOKUP(B17,input_379010!L:R,7,FALSE),VLOOKUP(tables_379010!C17,input_379010!A:H,8,FALSE))</f>
        <v>18564</v>
      </c>
      <c r="P17" s="46">
        <f t="shared" ca="1" si="2"/>
        <v>1.4E-3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input_379010!A$2</f>
        <v>379010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IFERROR(VLOOKUP(B18,input_379010!L:R,7,FALSE),VLOOKUP(tables_379010!C18,input_379010!A:H,8,FALSE))</f>
        <v>127296</v>
      </c>
      <c r="P18" s="46">
        <f t="shared" ca="1" si="2"/>
        <v>9.5999999999999992E-3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input_379010!A$2</f>
        <v>379010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IFERROR(VLOOKUP(B19,input_379010!L:R,7,FALSE),VLOOKUP(tables_379010!C19,input_379010!A:H,8,FALSE))</f>
        <v>18564</v>
      </c>
      <c r="P19" s="46">
        <f t="shared" ca="1" si="2"/>
        <v>1.4E-3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input_379010!A$2</f>
        <v>379010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IFERROR(VLOOKUP(B20,input_379010!L:R,7,FALSE),VLOOKUP(tables_379010!C20,input_379010!A:H,8,FALSE))</f>
        <v>127296</v>
      </c>
      <c r="P20" s="46">
        <f t="shared" ca="1" si="2"/>
        <v>9.5999999999999992E-3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input_379010!A$2</f>
        <v>379010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IFERROR(VLOOKUP(B21,input_379010!L:R,7,FALSE),VLOOKUP(tables_379010!C21,input_379010!A:H,8,FALSE))</f>
        <v>18564</v>
      </c>
      <c r="P21" s="46">
        <f t="shared" ca="1" si="2"/>
        <v>1.4E-3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input_379010!A$2</f>
        <v>379010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IFERROR(VLOOKUP(B22,input_379010!L:R,7,FALSE),VLOOKUP(tables_379010!C22,input_379010!A:H,8,FALSE))</f>
        <v>127296</v>
      </c>
      <c r="P22" s="46">
        <f t="shared" ca="1" si="2"/>
        <v>9.5999999999999992E-3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input_379010!A$2</f>
        <v>379010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IFERROR(VLOOKUP(B23,input_379010!L:R,7,FALSE),VLOOKUP(tables_379010!C23,input_379010!A:H,8,FALSE))</f>
        <v>18564</v>
      </c>
      <c r="P23" s="46">
        <f t="shared" ca="1" si="2"/>
        <v>1.4E-3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input_379010!A$2</f>
        <v>379010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IFERROR(VLOOKUP(B24,input_379010!L:R,7,FALSE),VLOOKUP(tables_379010!C24,input_379010!A:H,8,FALSE))</f>
        <v>127296</v>
      </c>
      <c r="P24" s="46">
        <f t="shared" ca="1" si="2"/>
        <v>9.5999999999999992E-3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input_379010!A$2</f>
        <v>379010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IFERROR(VLOOKUP(B25,input_379010!L:R,7,FALSE),VLOOKUP(tables_379010!C25,input_379010!A:H,8,FALSE))</f>
        <v>18564</v>
      </c>
      <c r="P25" s="46">
        <f t="shared" ca="1" si="2"/>
        <v>1.4E-3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input_379010!A$2</f>
        <v>379010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IFERROR(VLOOKUP(B26,input_379010!L:R,7,FALSE),VLOOKUP(tables_379010!C26,input_379010!A:H,8,FALSE))</f>
        <v>127296</v>
      </c>
      <c r="P26" s="46">
        <f t="shared" ca="1" si="2"/>
        <v>9.5999999999999992E-3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input_379010!A$2</f>
        <v>379010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IFERROR(VLOOKUP(B27,input_379010!L:R,7,FALSE),VLOOKUP(tables_379010!C27,input_379010!A:H,8,FALSE))</f>
        <v>18564</v>
      </c>
      <c r="P27" s="46">
        <f t="shared" ca="1" si="2"/>
        <v>1.4E-3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input_379010!A$2</f>
        <v>379010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IFERROR(VLOOKUP(B28,input_379010!L:R,7,FALSE),VLOOKUP(tables_379010!C28,input_379010!A:H,8,FALSE))</f>
        <v>127296</v>
      </c>
      <c r="P28" s="46">
        <f t="shared" ca="1" si="2"/>
        <v>9.5999999999999992E-3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input_379010!A$2</f>
        <v>379010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IFERROR(VLOOKUP(B29,input_379010!L:R,7,FALSE),VLOOKUP(tables_379010!C29,input_379010!A:H,8,FALSE))</f>
        <v>18564</v>
      </c>
      <c r="P29" s="46">
        <f t="shared" ca="1" si="2"/>
        <v>1.4E-3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input_379010!A$2</f>
        <v>379010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IFERROR(VLOOKUP(B30,input_379010!L:R,7,FALSE),VLOOKUP(tables_379010!C30,input_379010!A:H,8,FALSE))</f>
        <v>127296</v>
      </c>
      <c r="P30" s="46">
        <f t="shared" ca="1" si="2"/>
        <v>9.5999999999999992E-3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input_379010!A$2</f>
        <v>379010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IFERROR(VLOOKUP(B31,input_379010!L:R,7,FALSE),VLOOKUP(tables_379010!C31,input_379010!A:H,8,FALSE))</f>
        <v>18564</v>
      </c>
      <c r="P31" s="46">
        <f t="shared" ca="1" si="2"/>
        <v>1.4E-3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input_379010!A$2</f>
        <v>379010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IFERROR(VLOOKUP(B32,input_379010!L:R,7,FALSE),VLOOKUP(tables_379010!C32,input_379010!A:H,8,FALSE))</f>
        <v>127296</v>
      </c>
      <c r="P32" s="46">
        <f t="shared" ca="1" si="2"/>
        <v>9.5999999999999992E-3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input_379010!A$2</f>
        <v>379010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IFERROR(VLOOKUP(B33,input_379010!L:R,7,FALSE),VLOOKUP(tables_379010!C33,input_379010!A:H,8,FALSE))</f>
        <v>18564</v>
      </c>
      <c r="P33" s="46">
        <f t="shared" ca="1" si="2"/>
        <v>1.4E-3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input_379010!A$2</f>
        <v>379010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IFERROR(VLOOKUP(B34,input_379010!L:R,7,FALSE),VLOOKUP(tables_379010!C34,input_379010!A:H,8,FALSE))</f>
        <v>127296</v>
      </c>
      <c r="P34" s="46">
        <f t="shared" ca="1" si="2"/>
        <v>9.5999999999999992E-3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input_379010!A$2</f>
        <v>379010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IFERROR(VLOOKUP(B35,input_379010!L:R,7,FALSE),VLOOKUP(tables_379010!C35,input_379010!A:H,8,FALSE))</f>
        <v>18564</v>
      </c>
      <c r="P35" s="46">
        <f t="shared" ca="1" si="2"/>
        <v>1.4E-3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input_379010!A$2</f>
        <v>379010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IFERROR(VLOOKUP(B36,input_379010!L:R,7,FALSE),VLOOKUP(tables_379010!C36,input_379010!A:H,8,FALSE))</f>
        <v>127296</v>
      </c>
      <c r="P36" s="46">
        <f t="shared" ca="1" si="2"/>
        <v>9.5999999999999992E-3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input_379010!A$2</f>
        <v>379010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IFERROR(VLOOKUP(B37,input_379010!L:R,7,FALSE),VLOOKUP(tables_379010!C37,input_379010!A:H,8,FALSE))</f>
        <v>18564</v>
      </c>
      <c r="P37" s="46">
        <f t="shared" ca="1" si="2"/>
        <v>1.4E-3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input_379010!A$2</f>
        <v>379010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IFERROR(VLOOKUP(B38,input_379010!L:R,7,FALSE),VLOOKUP(tables_379010!C38,input_379010!A:H,8,FALSE))</f>
        <v>127296</v>
      </c>
      <c r="P38" s="46">
        <f t="shared" ca="1" si="2"/>
        <v>9.5999999999999992E-3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input_379010!A$2</f>
        <v>379010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IFERROR(VLOOKUP(B39,input_379010!L:R,7,FALSE),VLOOKUP(tables_379010!C39,input_379010!A:H,8,FALSE))</f>
        <v>18564</v>
      </c>
      <c r="P39" s="46">
        <f t="shared" ca="1" si="2"/>
        <v>1.4E-3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input_379010!A$2</f>
        <v>379010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IFERROR(VLOOKUP(B40,input_379010!L:R,7,FALSE),VLOOKUP(tables_379010!C40,input_379010!A:H,8,FALSE))</f>
        <v>127296</v>
      </c>
      <c r="P40" s="46">
        <f t="shared" ca="1" si="2"/>
        <v>9.5999999999999992E-3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input_379010!A$2</f>
        <v>379010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IFERROR(VLOOKUP(B41,input_379010!L:R,7,FALSE),VLOOKUP(tables_379010!C41,input_379010!A:H,8,FALSE))</f>
        <v>18564</v>
      </c>
      <c r="P41" s="46">
        <f t="shared" ca="1" si="2"/>
        <v>1.4E-3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input_379010!A$2</f>
        <v>379010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IFERROR(VLOOKUP(B42,input_379010!L:R,7,FALSE),VLOOKUP(tables_379010!C42,input_379010!A:H,8,FALSE))</f>
        <v>72930</v>
      </c>
      <c r="P42" s="46">
        <f t="shared" ca="1" si="2"/>
        <v>5.4999999999999997E-3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input_379010!A$2</f>
        <v>379010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IFERROR(VLOOKUP(B43,input_379010!L:R,7,FALSE),VLOOKUP(tables_379010!C43,input_379010!A:H,8,FALSE))</f>
        <v>65637</v>
      </c>
      <c r="P43" s="46">
        <f t="shared" ca="1" si="2"/>
        <v>4.9500000000000004E-3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input_379010!A$2</f>
        <v>379010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IFERROR(VLOOKUP(B44,input_379010!L:R,7,FALSE),VLOOKUP(tables_379010!C44,input_379010!A:H,8,FALSE))</f>
        <v>7293</v>
      </c>
      <c r="P44" s="46">
        <f t="shared" ca="1" si="2"/>
        <v>5.5000000000000003E-4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input_379010!A$2</f>
        <v>379010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IFERROR(VLOOKUP(B45,input_379010!L:R,7,FALSE),VLOOKUP(tables_379010!C45,input_379010!A:H,8,FALSE))</f>
        <v>72930</v>
      </c>
      <c r="P45" s="46">
        <f t="shared" ca="1" si="2"/>
        <v>5.4999999999999997E-3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input_379010!A$2</f>
        <v>379010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IFERROR(VLOOKUP(B46,input_379010!L:R,7,FALSE),VLOOKUP(tables_379010!C46,input_379010!A:H,8,FALSE))</f>
        <v>65637</v>
      </c>
      <c r="P46" s="46">
        <f t="shared" ca="1" si="2"/>
        <v>4.9500000000000004E-3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input_379010!A$2</f>
        <v>379010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IFERROR(VLOOKUP(B47,input_379010!L:R,7,FALSE),VLOOKUP(tables_379010!C47,input_379010!A:H,8,FALSE))</f>
        <v>7293</v>
      </c>
      <c r="P47" s="46">
        <f t="shared" ca="1" si="2"/>
        <v>5.5000000000000003E-4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input_379010!A$2</f>
        <v>379010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IFERROR(VLOOKUP(B48,input_379010!L:R,7,FALSE),VLOOKUP(tables_379010!C48,input_379010!A:H,8,FALSE))</f>
        <v>72930</v>
      </c>
      <c r="P48" s="46">
        <f t="shared" ca="1" si="2"/>
        <v>5.4999999999999997E-3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input_379010!A$2</f>
        <v>379010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IFERROR(VLOOKUP(B49,input_379010!L:R,7,FALSE),VLOOKUP(tables_379010!C49,input_379010!A:H,8,FALSE))</f>
        <v>65637</v>
      </c>
      <c r="P49" s="46">
        <f t="shared" ca="1" si="2"/>
        <v>4.9500000000000004E-3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input_379010!A$2</f>
        <v>379010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IFERROR(VLOOKUP(B50,input_379010!L:R,7,FALSE),VLOOKUP(tables_379010!C50,input_379010!A:H,8,FALSE))</f>
        <v>7293</v>
      </c>
      <c r="P50" s="46">
        <f t="shared" ca="1" si="2"/>
        <v>5.5000000000000003E-4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input_379010!A$2</f>
        <v>379010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IFERROR(VLOOKUP(B51,input_379010!L:R,7,FALSE),VLOOKUP(tables_379010!C51,input_379010!A:H,8,FALSE))</f>
        <v>72930</v>
      </c>
      <c r="P51" s="46">
        <f t="shared" ca="1" si="2"/>
        <v>5.4999999999999997E-3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input_379010!A$2</f>
        <v>379010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IFERROR(VLOOKUP(B52,input_379010!L:R,7,FALSE),VLOOKUP(tables_379010!C52,input_379010!A:H,8,FALSE))</f>
        <v>65637</v>
      </c>
      <c r="P52" s="46">
        <f t="shared" ca="1" si="2"/>
        <v>4.9500000000000004E-3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input_379010!A$2</f>
        <v>379010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IFERROR(VLOOKUP(B53,input_379010!L:R,7,FALSE),VLOOKUP(tables_379010!C53,input_379010!A:H,8,FALSE))</f>
        <v>7293</v>
      </c>
      <c r="P53" s="46">
        <f t="shared" ca="1" si="2"/>
        <v>5.5000000000000003E-4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input_379010!A$2</f>
        <v>379010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IFERROR(VLOOKUP(B54,input_379010!L:R,7,FALSE),VLOOKUP(tables_379010!C54,input_379010!A:H,8,FALSE))</f>
        <v>72930</v>
      </c>
      <c r="P54" s="46">
        <f t="shared" ca="1" si="2"/>
        <v>5.4999999999999997E-3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input_379010!A$2</f>
        <v>379010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IFERROR(VLOOKUP(B55,input_379010!L:R,7,FALSE),VLOOKUP(tables_379010!C55,input_379010!A:H,8,FALSE))</f>
        <v>65637</v>
      </c>
      <c r="P55" s="46">
        <f t="shared" ca="1" si="2"/>
        <v>4.9500000000000004E-3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input_379010!A$2</f>
        <v>379010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IFERROR(VLOOKUP(B56,input_379010!L:R,7,FALSE),VLOOKUP(tables_379010!C56,input_379010!A:H,8,FALSE))</f>
        <v>7293</v>
      </c>
      <c r="P56" s="46">
        <f t="shared" ca="1" si="2"/>
        <v>5.5000000000000003E-4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input_379010!A$2</f>
        <v>379010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IFERROR(VLOOKUP(B57,input_379010!L:R,7,FALSE),VLOOKUP(tables_379010!C57,input_379010!A:H,8,FALSE))</f>
        <v>72930</v>
      </c>
      <c r="P57" s="46">
        <f t="shared" ca="1" si="2"/>
        <v>5.4999999999999997E-3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input_379010!A$2</f>
        <v>379010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IFERROR(VLOOKUP(B58,input_379010!L:R,7,FALSE),VLOOKUP(tables_379010!C58,input_379010!A:H,8,FALSE))</f>
        <v>65637</v>
      </c>
      <c r="P58" s="46">
        <f t="shared" ca="1" si="2"/>
        <v>4.9500000000000004E-3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input_379010!A$2</f>
        <v>379010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IFERROR(VLOOKUP(B59,input_379010!L:R,7,FALSE),VLOOKUP(tables_379010!C59,input_379010!A:H,8,FALSE))</f>
        <v>7293</v>
      </c>
      <c r="P59" s="46">
        <f t="shared" ca="1" si="2"/>
        <v>5.5000000000000003E-4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input_379010!A$2</f>
        <v>379010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IFERROR(VLOOKUP(B60,input_379010!L:R,7,FALSE),VLOOKUP(tables_379010!C60,input_379010!A:H,8,FALSE))</f>
        <v>72930</v>
      </c>
      <c r="P60" s="46">
        <f t="shared" ca="1" si="2"/>
        <v>5.4999999999999997E-3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input_379010!A$2</f>
        <v>379010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IFERROR(VLOOKUP(B61,input_379010!L:R,7,FALSE),VLOOKUP(tables_379010!C61,input_379010!A:H,8,FALSE))</f>
        <v>65637</v>
      </c>
      <c r="P61" s="46">
        <f t="shared" ca="1" si="2"/>
        <v>4.9500000000000004E-3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input_379010!A$2</f>
        <v>379010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IFERROR(VLOOKUP(B62,input_379010!L:R,7,FALSE),VLOOKUP(tables_379010!C62,input_379010!A:H,8,FALSE))</f>
        <v>7293</v>
      </c>
      <c r="P62" s="46">
        <f t="shared" ca="1" si="2"/>
        <v>5.5000000000000003E-4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input_379010!A$2</f>
        <v>379010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IFERROR(VLOOKUP(B63,input_379010!L:R,7,FALSE),VLOOKUP(tables_379010!C63,input_379010!A:H,8,FALSE))</f>
        <v>72930</v>
      </c>
      <c r="P63" s="46">
        <f t="shared" ca="1" si="2"/>
        <v>5.4999999999999997E-3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input_379010!A$2</f>
        <v>379010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IFERROR(VLOOKUP(B64,input_379010!L:R,7,FALSE),VLOOKUP(tables_379010!C64,input_379010!A:H,8,FALSE))</f>
        <v>65637</v>
      </c>
      <c r="P64" s="46">
        <f t="shared" ca="1" si="2"/>
        <v>4.9500000000000004E-3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input_379010!A$2</f>
        <v>379010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IFERROR(VLOOKUP(B65,input_379010!L:R,7,FALSE),VLOOKUP(tables_379010!C65,input_379010!A:H,8,FALSE))</f>
        <v>7293</v>
      </c>
      <c r="P65" s="46">
        <f t="shared" ca="1" si="2"/>
        <v>5.5000000000000003E-4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input_379010!A$2</f>
        <v>379010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IFERROR(VLOOKUP(B66,input_379010!L:R,7,FALSE),VLOOKUP(tables_379010!C66,input_379010!A:H,8,FALSE))</f>
        <v>72930</v>
      </c>
      <c r="P66" s="46">
        <f t="shared" ref="P66:P129" ca="1" si="5">O66/SUM(O:O)</f>
        <v>5.4999999999999997E-3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input_379010!A$2</f>
        <v>379010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IFERROR(VLOOKUP(B67,input_379010!L:R,7,FALSE),VLOOKUP(tables_379010!C67,input_379010!A:H,8,FALSE))</f>
        <v>65637</v>
      </c>
      <c r="P67" s="46">
        <f t="shared" ca="1" si="5"/>
        <v>4.9500000000000004E-3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input_379010!A$2</f>
        <v>379010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IFERROR(VLOOKUP(B68,input_379010!L:R,7,FALSE),VLOOKUP(tables_379010!C68,input_379010!A:H,8,FALSE))</f>
        <v>7293</v>
      </c>
      <c r="P68" s="46">
        <f t="shared" ca="1" si="5"/>
        <v>5.5000000000000003E-4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input_379010!A$2</f>
        <v>379010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IFERROR(VLOOKUP(B69,input_379010!L:R,7,FALSE),VLOOKUP(tables_379010!C69,input_379010!A:H,8,FALSE))</f>
        <v>72930</v>
      </c>
      <c r="P69" s="46">
        <f t="shared" ca="1" si="5"/>
        <v>5.4999999999999997E-3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input_379010!A$2</f>
        <v>379010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IFERROR(VLOOKUP(B70,input_379010!L:R,7,FALSE),VLOOKUP(tables_379010!C70,input_379010!A:H,8,FALSE))</f>
        <v>65637</v>
      </c>
      <c r="P70" s="46">
        <f t="shared" ca="1" si="5"/>
        <v>4.9500000000000004E-3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input_379010!A$2</f>
        <v>379010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IFERROR(VLOOKUP(B71,input_379010!L:R,7,FALSE),VLOOKUP(tables_379010!C71,input_379010!A:H,8,FALSE))</f>
        <v>7293</v>
      </c>
      <c r="P71" s="46">
        <f t="shared" ca="1" si="5"/>
        <v>5.5000000000000003E-4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input_379010!A$2</f>
        <v>379010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IFERROR(VLOOKUP(B72,input_379010!L:R,7,FALSE),VLOOKUP(tables_379010!C72,input_379010!A:H,8,FALSE))</f>
        <v>72930</v>
      </c>
      <c r="P72" s="46">
        <f t="shared" ca="1" si="5"/>
        <v>5.4999999999999997E-3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input_379010!A$2</f>
        <v>379010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IFERROR(VLOOKUP(B73,input_379010!L:R,7,FALSE),VLOOKUP(tables_379010!C73,input_379010!A:H,8,FALSE))</f>
        <v>65637</v>
      </c>
      <c r="P73" s="46">
        <f t="shared" ca="1" si="5"/>
        <v>4.9500000000000004E-3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input_379010!A$2</f>
        <v>379010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IFERROR(VLOOKUP(B74,input_379010!L:R,7,FALSE),VLOOKUP(tables_379010!C74,input_379010!A:H,8,FALSE))</f>
        <v>7293</v>
      </c>
      <c r="P74" s="46">
        <f t="shared" ca="1" si="5"/>
        <v>5.5000000000000003E-4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input_379010!A$2</f>
        <v>379010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IFERROR(VLOOKUP(B75,input_379010!L:R,7,FALSE),VLOOKUP(tables_379010!C75,input_379010!A:H,8,FALSE))</f>
        <v>72930</v>
      </c>
      <c r="P75" s="46">
        <f t="shared" ca="1" si="5"/>
        <v>5.4999999999999997E-3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input_379010!A$2</f>
        <v>379010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IFERROR(VLOOKUP(B76,input_379010!L:R,7,FALSE),VLOOKUP(tables_379010!C76,input_379010!A:H,8,FALSE))</f>
        <v>65637</v>
      </c>
      <c r="P76" s="46">
        <f t="shared" ca="1" si="5"/>
        <v>4.9500000000000004E-3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input_379010!A$2</f>
        <v>379010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IFERROR(VLOOKUP(B77,input_379010!L:R,7,FALSE),VLOOKUP(tables_379010!C77,input_379010!A:H,8,FALSE))</f>
        <v>7293</v>
      </c>
      <c r="P77" s="46">
        <f t="shared" ca="1" si="5"/>
        <v>5.5000000000000003E-4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input_379010!A$2</f>
        <v>379010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IFERROR(VLOOKUP(B78,input_379010!L:R,7,FALSE),VLOOKUP(tables_379010!C78,input_379010!A:H,8,FALSE))</f>
        <v>72930</v>
      </c>
      <c r="P78" s="46">
        <f t="shared" ca="1" si="5"/>
        <v>5.4999999999999997E-3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input_379010!A$2</f>
        <v>379010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IFERROR(VLOOKUP(B79,input_379010!L:R,7,FALSE),VLOOKUP(tables_379010!C79,input_379010!A:H,8,FALSE))</f>
        <v>65637</v>
      </c>
      <c r="P79" s="46">
        <f t="shared" ca="1" si="5"/>
        <v>4.9500000000000004E-3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input_379010!A$2</f>
        <v>379010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IFERROR(VLOOKUP(B80,input_379010!L:R,7,FALSE),VLOOKUP(tables_379010!C80,input_379010!A:H,8,FALSE))</f>
        <v>7293</v>
      </c>
      <c r="P80" s="46">
        <f t="shared" ca="1" si="5"/>
        <v>5.5000000000000003E-4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input_379010!A$2</f>
        <v>379010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IFERROR(VLOOKUP(B81,input_379010!L:R,7,FALSE),VLOOKUP(tables_379010!C81,input_379010!A:H,8,FALSE))</f>
        <v>72930</v>
      </c>
      <c r="P81" s="46">
        <f t="shared" ca="1" si="5"/>
        <v>5.4999999999999997E-3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input_379010!A$2</f>
        <v>379010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IFERROR(VLOOKUP(B82,input_379010!L:R,7,FALSE),VLOOKUP(tables_379010!C82,input_379010!A:H,8,FALSE))</f>
        <v>65637</v>
      </c>
      <c r="P82" s="46">
        <f t="shared" ca="1" si="5"/>
        <v>4.9500000000000004E-3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input_379010!A$2</f>
        <v>379010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IFERROR(VLOOKUP(B83,input_379010!L:R,7,FALSE),VLOOKUP(tables_379010!C83,input_379010!A:H,8,FALSE))</f>
        <v>7293</v>
      </c>
      <c r="P83" s="46">
        <f t="shared" ca="1" si="5"/>
        <v>5.5000000000000003E-4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input_379010!A$2</f>
        <v>379010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IFERROR(VLOOKUP(B84,input_379010!L:R,7,FALSE),VLOOKUP(tables_379010!C84,input_379010!A:H,8,FALSE))</f>
        <v>72930</v>
      </c>
      <c r="P84" s="46">
        <f t="shared" ca="1" si="5"/>
        <v>5.4999999999999997E-3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input_379010!A$2</f>
        <v>379010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IFERROR(VLOOKUP(B85,input_379010!L:R,7,FALSE),VLOOKUP(tables_379010!C85,input_379010!A:H,8,FALSE))</f>
        <v>65637</v>
      </c>
      <c r="P85" s="46">
        <f t="shared" ca="1" si="5"/>
        <v>4.9500000000000004E-3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input_379010!A$2</f>
        <v>379010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IFERROR(VLOOKUP(B86,input_379010!L:R,7,FALSE),VLOOKUP(tables_379010!C86,input_379010!A:H,8,FALSE))</f>
        <v>7293</v>
      </c>
      <c r="P86" s="46">
        <f t="shared" ca="1" si="5"/>
        <v>5.5000000000000003E-4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input_379010!A$2</f>
        <v>379010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IFERROR(VLOOKUP(B87,input_379010!L:R,7,FALSE),VLOOKUP(tables_379010!C87,input_379010!A:H,8,FALSE))</f>
        <v>72930</v>
      </c>
      <c r="P87" s="46">
        <f t="shared" ca="1" si="5"/>
        <v>5.4999999999999997E-3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input_379010!A$2</f>
        <v>379010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IFERROR(VLOOKUP(B88,input_379010!L:R,7,FALSE),VLOOKUP(tables_379010!C88,input_379010!A:H,8,FALSE))</f>
        <v>65637</v>
      </c>
      <c r="P88" s="46">
        <f t="shared" ca="1" si="5"/>
        <v>4.9500000000000004E-3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input_379010!A$2</f>
        <v>379010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IFERROR(VLOOKUP(B89,input_379010!L:R,7,FALSE),VLOOKUP(tables_379010!C89,input_379010!A:H,8,FALSE))</f>
        <v>7293</v>
      </c>
      <c r="P89" s="46">
        <f t="shared" ca="1" si="5"/>
        <v>5.5000000000000003E-4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input_379010!A$2</f>
        <v>379010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IFERROR(VLOOKUP(B90,input_379010!L:R,7,FALSE),VLOOKUP(tables_379010!C90,input_379010!A:H,8,FALSE))</f>
        <v>72930</v>
      </c>
      <c r="P90" s="46">
        <f t="shared" ca="1" si="5"/>
        <v>5.4999999999999997E-3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input_379010!A$2</f>
        <v>379010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IFERROR(VLOOKUP(B91,input_379010!L:R,7,FALSE),VLOOKUP(tables_379010!C91,input_379010!A:H,8,FALSE))</f>
        <v>65637</v>
      </c>
      <c r="P91" s="46">
        <f t="shared" ca="1" si="5"/>
        <v>4.9500000000000004E-3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input_379010!A$2</f>
        <v>379010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IFERROR(VLOOKUP(B92,input_379010!L:R,7,FALSE),VLOOKUP(tables_379010!C92,input_379010!A:H,8,FALSE))</f>
        <v>7293</v>
      </c>
      <c r="P92" s="46">
        <f t="shared" ca="1" si="5"/>
        <v>5.5000000000000003E-4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input_379010!A$2</f>
        <v>379010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IFERROR(VLOOKUP(B93,input_379010!L:R,7,FALSE),VLOOKUP(tables_379010!C93,input_379010!A:H,8,FALSE))</f>
        <v>72930</v>
      </c>
      <c r="P93" s="46">
        <f t="shared" ca="1" si="5"/>
        <v>5.4999999999999997E-3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input_379010!A$2</f>
        <v>379010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IFERROR(VLOOKUP(B94,input_379010!L:R,7,FALSE),VLOOKUP(tables_379010!C94,input_379010!A:H,8,FALSE))</f>
        <v>65637</v>
      </c>
      <c r="P94" s="46">
        <f t="shared" ca="1" si="5"/>
        <v>4.9500000000000004E-3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input_379010!A$2</f>
        <v>379010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IFERROR(VLOOKUP(B95,input_379010!L:R,7,FALSE),VLOOKUP(tables_379010!C95,input_379010!A:H,8,FALSE))</f>
        <v>7293</v>
      </c>
      <c r="P95" s="46">
        <f t="shared" ca="1" si="5"/>
        <v>5.5000000000000003E-4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input_379010!A$2</f>
        <v>379010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IFERROR(VLOOKUP(B96,input_379010!L:R,7,FALSE),VLOOKUP(tables_379010!C96,input_379010!A:H,8,FALSE))</f>
        <v>72930</v>
      </c>
      <c r="P96" s="46">
        <f t="shared" ca="1" si="5"/>
        <v>5.4999999999999997E-3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input_379010!A$2</f>
        <v>379010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IFERROR(VLOOKUP(B97,input_379010!L:R,7,FALSE),VLOOKUP(tables_379010!C97,input_379010!A:H,8,FALSE))</f>
        <v>65637</v>
      </c>
      <c r="P97" s="46">
        <f t="shared" ca="1" si="5"/>
        <v>4.9500000000000004E-3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input_379010!A$2</f>
        <v>379010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IFERROR(VLOOKUP(B98,input_379010!L:R,7,FALSE),VLOOKUP(tables_379010!C98,input_379010!A:H,8,FALSE))</f>
        <v>7293</v>
      </c>
      <c r="P98" s="46">
        <f t="shared" ca="1" si="5"/>
        <v>5.5000000000000003E-4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input_379010!A$2</f>
        <v>379010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IFERROR(VLOOKUP(B99,input_379010!L:R,7,FALSE),VLOOKUP(tables_379010!C99,input_379010!A:H,8,FALSE))</f>
        <v>72930</v>
      </c>
      <c r="P99" s="46">
        <f t="shared" ca="1" si="5"/>
        <v>5.4999999999999997E-3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input_379010!A$2</f>
        <v>379010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IFERROR(VLOOKUP(B100,input_379010!L:R,7,FALSE),VLOOKUP(tables_379010!C100,input_379010!A:H,8,FALSE))</f>
        <v>65637</v>
      </c>
      <c r="P100" s="46">
        <f t="shared" ca="1" si="5"/>
        <v>4.9500000000000004E-3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input_379010!A$2</f>
        <v>379010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IFERROR(VLOOKUP(B101,input_379010!L:R,7,FALSE),VLOOKUP(tables_379010!C101,input_379010!A:H,8,FALSE))</f>
        <v>7293</v>
      </c>
      <c r="P101" s="46">
        <f t="shared" ca="1" si="5"/>
        <v>5.5000000000000003E-4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input_379010!A$2</f>
        <v>379010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IFERROR(VLOOKUP(B102,input_379010!L:R,7,FALSE),VLOOKUP(tables_379010!C102,input_379010!A:H,8,FALSE))</f>
        <v>72930</v>
      </c>
      <c r="P102" s="46">
        <f t="shared" ca="1" si="5"/>
        <v>5.4999999999999997E-3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input_379010!A$2</f>
        <v>379010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IFERROR(VLOOKUP(B103,input_379010!L:R,7,FALSE),VLOOKUP(tables_379010!C103,input_379010!A:H,8,FALSE))</f>
        <v>65637</v>
      </c>
      <c r="P103" s="46">
        <f t="shared" ca="1" si="5"/>
        <v>4.9500000000000004E-3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input_379010!A$2</f>
        <v>379010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IFERROR(VLOOKUP(B104,input_379010!L:R,7,FALSE),VLOOKUP(tables_379010!C104,input_379010!A:H,8,FALSE))</f>
        <v>7293</v>
      </c>
      <c r="P104" s="46">
        <f t="shared" ca="1" si="5"/>
        <v>5.5000000000000003E-4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input_379010!A$2</f>
        <v>379010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IFERROR(VLOOKUP(B105,input_379010!L:R,7,FALSE),VLOOKUP(tables_379010!C105,input_379010!A:H,8,FALSE))</f>
        <v>72930</v>
      </c>
      <c r="P105" s="46">
        <f t="shared" ca="1" si="5"/>
        <v>5.4999999999999997E-3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input_379010!A$2</f>
        <v>379010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IFERROR(VLOOKUP(B106,input_379010!L:R,7,FALSE),VLOOKUP(tables_379010!C106,input_379010!A:H,8,FALSE))</f>
        <v>65637</v>
      </c>
      <c r="P106" s="46">
        <f t="shared" ca="1" si="5"/>
        <v>4.9500000000000004E-3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input_379010!A$2</f>
        <v>379010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IFERROR(VLOOKUP(B107,input_379010!L:R,7,FALSE),VLOOKUP(tables_379010!C107,input_379010!A:H,8,FALSE))</f>
        <v>7293</v>
      </c>
      <c r="P107" s="46">
        <f t="shared" ca="1" si="5"/>
        <v>5.5000000000000003E-4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input_379010!A$2</f>
        <v>379010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IFERROR(VLOOKUP(B108,input_379010!L:R,7,FALSE),VLOOKUP(tables_379010!C108,input_379010!A:H,8,FALSE))</f>
        <v>72930</v>
      </c>
      <c r="P108" s="46">
        <f t="shared" ca="1" si="5"/>
        <v>5.4999999999999997E-3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input_379010!A$2</f>
        <v>379010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IFERROR(VLOOKUP(B109,input_379010!L:R,7,FALSE),VLOOKUP(tables_379010!C109,input_379010!A:H,8,FALSE))</f>
        <v>65637</v>
      </c>
      <c r="P109" s="46">
        <f t="shared" ca="1" si="5"/>
        <v>4.9500000000000004E-3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input_379010!A$2</f>
        <v>379010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IFERROR(VLOOKUP(B110,input_379010!L:R,7,FALSE),VLOOKUP(tables_379010!C110,input_379010!A:H,8,FALSE))</f>
        <v>7293</v>
      </c>
      <c r="P110" s="46">
        <f t="shared" ca="1" si="5"/>
        <v>5.5000000000000003E-4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input_379010!A$2</f>
        <v>379010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IFERROR(VLOOKUP(B111,input_379010!L:R,7,FALSE),VLOOKUP(tables_379010!C111,input_379010!A:H,8,FALSE))</f>
        <v>72930</v>
      </c>
      <c r="P111" s="46">
        <f t="shared" ca="1" si="5"/>
        <v>5.4999999999999997E-3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input_379010!A$2</f>
        <v>379010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IFERROR(VLOOKUP(B112,input_379010!L:R,7,FALSE),VLOOKUP(tables_379010!C112,input_379010!A:H,8,FALSE))</f>
        <v>65637</v>
      </c>
      <c r="P112" s="46">
        <f t="shared" ca="1" si="5"/>
        <v>4.9500000000000004E-3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input_379010!A$2</f>
        <v>379010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IFERROR(VLOOKUP(B113,input_379010!L:R,7,FALSE),VLOOKUP(tables_379010!C113,input_379010!A:H,8,FALSE))</f>
        <v>7293</v>
      </c>
      <c r="P113" s="46">
        <f t="shared" ca="1" si="5"/>
        <v>5.5000000000000003E-4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input_379010!A$2</f>
        <v>379010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IFERROR(VLOOKUP(B114,input_379010!L:R,7,FALSE),VLOOKUP(tables_379010!C114,input_379010!A:H,8,FALSE))</f>
        <v>72930</v>
      </c>
      <c r="P114" s="46">
        <f t="shared" ca="1" si="5"/>
        <v>5.4999999999999997E-3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input_379010!A$2</f>
        <v>379010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IFERROR(VLOOKUP(B115,input_379010!L:R,7,FALSE),VLOOKUP(tables_379010!C115,input_379010!A:H,8,FALSE))</f>
        <v>65637</v>
      </c>
      <c r="P115" s="46">
        <f t="shared" ca="1" si="5"/>
        <v>4.9500000000000004E-3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input_379010!A$2</f>
        <v>379010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IFERROR(VLOOKUP(B116,input_379010!L:R,7,FALSE),VLOOKUP(tables_379010!C116,input_379010!A:H,8,FALSE))</f>
        <v>7293</v>
      </c>
      <c r="P116" s="46">
        <f t="shared" ca="1" si="5"/>
        <v>5.5000000000000003E-4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input_379010!A$2</f>
        <v>379010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IFERROR(VLOOKUP(B117,input_379010!L:R,7,FALSE),VLOOKUP(tables_379010!C117,input_379010!A:H,8,FALSE))</f>
        <v>72930</v>
      </c>
      <c r="P117" s="46">
        <f t="shared" ca="1" si="5"/>
        <v>5.4999999999999997E-3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input_379010!A$2</f>
        <v>379010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IFERROR(VLOOKUP(B118,input_379010!L:R,7,FALSE),VLOOKUP(tables_379010!C118,input_379010!A:H,8,FALSE))</f>
        <v>65637</v>
      </c>
      <c r="P118" s="46">
        <f t="shared" ca="1" si="5"/>
        <v>4.9500000000000004E-3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input_379010!A$2</f>
        <v>379010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IFERROR(VLOOKUP(B119,input_379010!L:R,7,FALSE),VLOOKUP(tables_379010!C119,input_379010!A:H,8,FALSE))</f>
        <v>7293</v>
      </c>
      <c r="P119" s="46">
        <f t="shared" ca="1" si="5"/>
        <v>5.5000000000000003E-4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input_379010!A$2</f>
        <v>379010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IFERROR(VLOOKUP(B120,input_379010!L:R,7,FALSE),VLOOKUP(tables_379010!C120,input_379010!A:H,8,FALSE))</f>
        <v>72930</v>
      </c>
      <c r="P120" s="46">
        <f t="shared" ca="1" si="5"/>
        <v>5.4999999999999997E-3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input_379010!A$2</f>
        <v>379010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IFERROR(VLOOKUP(B121,input_379010!L:R,7,FALSE),VLOOKUP(tables_379010!C121,input_379010!A:H,8,FALSE))</f>
        <v>65637</v>
      </c>
      <c r="P121" s="46">
        <f t="shared" ca="1" si="5"/>
        <v>4.9500000000000004E-3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input_379010!A$2</f>
        <v>379010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IFERROR(VLOOKUP(B122,input_379010!L:R,7,FALSE),VLOOKUP(tables_379010!C122,input_379010!A:H,8,FALSE))</f>
        <v>7293</v>
      </c>
      <c r="P122" s="46">
        <f t="shared" ca="1" si="5"/>
        <v>5.5000000000000003E-4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input_379010!A$2</f>
        <v>379010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IFERROR(VLOOKUP(B123,input_379010!L:R,7,FALSE),VLOOKUP(tables_379010!C123,input_379010!A:H,8,FALSE))</f>
        <v>72930</v>
      </c>
      <c r="P123" s="46">
        <f t="shared" ca="1" si="5"/>
        <v>5.4999999999999997E-3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input_379010!A$2</f>
        <v>379010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IFERROR(VLOOKUP(B124,input_379010!L:R,7,FALSE),VLOOKUP(tables_379010!C124,input_379010!A:H,8,FALSE))</f>
        <v>65637</v>
      </c>
      <c r="P124" s="46">
        <f t="shared" ca="1" si="5"/>
        <v>4.9500000000000004E-3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input_379010!A$2</f>
        <v>379010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IFERROR(VLOOKUP(B125,input_379010!L:R,7,FALSE),VLOOKUP(tables_379010!C125,input_379010!A:H,8,FALSE))</f>
        <v>7293</v>
      </c>
      <c r="P125" s="46">
        <f t="shared" ca="1" si="5"/>
        <v>5.5000000000000003E-4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input_379010!A$2</f>
        <v>379010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IFERROR(VLOOKUP(B126,input_379010!L:R,7,FALSE),VLOOKUP(tables_379010!C126,input_379010!A:H,8,FALSE))</f>
        <v>72930</v>
      </c>
      <c r="P126" s="46">
        <f t="shared" ca="1" si="5"/>
        <v>5.4999999999999997E-3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input_379010!A$2</f>
        <v>379010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IFERROR(VLOOKUP(B127,input_379010!L:R,7,FALSE),VLOOKUP(tables_379010!C127,input_379010!A:H,8,FALSE))</f>
        <v>65637</v>
      </c>
      <c r="P127" s="46">
        <f t="shared" ca="1" si="5"/>
        <v>4.9500000000000004E-3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input_379010!A$2</f>
        <v>379010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IFERROR(VLOOKUP(B128,input_379010!L:R,7,FALSE),VLOOKUP(tables_379010!C128,input_379010!A:H,8,FALSE))</f>
        <v>7293</v>
      </c>
      <c r="P128" s="46">
        <f t="shared" ca="1" si="5"/>
        <v>5.5000000000000003E-4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input_379010!A$2</f>
        <v>379010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IFERROR(VLOOKUP(B129,input_379010!L:R,7,FALSE),VLOOKUP(tables_379010!C129,input_379010!A:H,8,FALSE))</f>
        <v>72930</v>
      </c>
      <c r="P129" s="46">
        <f t="shared" ca="1" si="5"/>
        <v>5.4999999999999997E-3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input_379010!A$2</f>
        <v>379010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IFERROR(VLOOKUP(B130,input_379010!L:R,7,FALSE),VLOOKUP(tables_379010!C130,input_379010!A:H,8,FALSE))</f>
        <v>65637</v>
      </c>
      <c r="P130" s="46">
        <f t="shared" ref="P130:P193" ca="1" si="8">O130/SUM(O:O)</f>
        <v>4.9500000000000004E-3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input_379010!A$2</f>
        <v>379010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IFERROR(VLOOKUP(B131,input_379010!L:R,7,FALSE),VLOOKUP(tables_379010!C131,input_379010!A:H,8,FALSE))</f>
        <v>7293</v>
      </c>
      <c r="P131" s="46">
        <f t="shared" ca="1" si="8"/>
        <v>5.5000000000000003E-4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input_379010!A$2</f>
        <v>379010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IFERROR(VLOOKUP(B132,input_379010!L:R,7,FALSE),VLOOKUP(tables_379010!C132,input_379010!A:H,8,FALSE))</f>
        <v>72930</v>
      </c>
      <c r="P132" s="46">
        <f t="shared" ca="1" si="8"/>
        <v>5.4999999999999997E-3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input_379010!A$2</f>
        <v>379010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IFERROR(VLOOKUP(B133,input_379010!L:R,7,FALSE),VLOOKUP(tables_379010!C133,input_379010!A:H,8,FALSE))</f>
        <v>65637</v>
      </c>
      <c r="P133" s="46">
        <f t="shared" ca="1" si="8"/>
        <v>4.9500000000000004E-3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input_379010!A$2</f>
        <v>379010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IFERROR(VLOOKUP(B134,input_379010!L:R,7,FALSE),VLOOKUP(tables_379010!C134,input_379010!A:H,8,FALSE))</f>
        <v>7293</v>
      </c>
      <c r="P134" s="46">
        <f t="shared" ca="1" si="8"/>
        <v>5.5000000000000003E-4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input_379010!A$2</f>
        <v>379010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IFERROR(VLOOKUP(B135,input_379010!L:R,7,FALSE),VLOOKUP(tables_379010!C135,input_379010!A:H,8,FALSE))</f>
        <v>72930</v>
      </c>
      <c r="P135" s="46">
        <f t="shared" ca="1" si="8"/>
        <v>5.4999999999999997E-3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input_379010!A$2</f>
        <v>379010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IFERROR(VLOOKUP(B136,input_379010!L:R,7,FALSE),VLOOKUP(tables_379010!C136,input_379010!A:H,8,FALSE))</f>
        <v>65637</v>
      </c>
      <c r="P136" s="46">
        <f t="shared" ca="1" si="8"/>
        <v>4.9500000000000004E-3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input_379010!A$2</f>
        <v>379010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IFERROR(VLOOKUP(B137,input_379010!L:R,7,FALSE),VLOOKUP(tables_379010!C137,input_379010!A:H,8,FALSE))</f>
        <v>7293</v>
      </c>
      <c r="P137" s="46">
        <f t="shared" ca="1" si="8"/>
        <v>5.5000000000000003E-4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input_379010!A$2</f>
        <v>379010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IFERROR(VLOOKUP(B138,input_379010!L:R,7,FALSE),VLOOKUP(tables_379010!C138,input_379010!A:H,8,FALSE))</f>
        <v>9367</v>
      </c>
      <c r="P138" s="46">
        <f t="shared" ca="1" si="8"/>
        <v>7.064102564102564E-4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input_379010!A$2</f>
        <v>379010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IFERROR(VLOOKUP(B139,input_379010!L:R,7,FALSE),VLOOKUP(tables_379010!C139,input_379010!A:H,8,FALSE))</f>
        <v>493</v>
      </c>
      <c r="P139" s="46">
        <f t="shared" ca="1" si="8"/>
        <v>3.7179487179487179E-5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input_379010!A$2</f>
        <v>379010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IFERROR(VLOOKUP(B140,input_379010!L:R,7,FALSE),VLOOKUP(tables_379010!C140,input_379010!A:H,8,FALSE))</f>
        <v>9367</v>
      </c>
      <c r="P140" s="46">
        <f t="shared" ca="1" si="8"/>
        <v>7.064102564102564E-4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input_379010!A$2</f>
        <v>379010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IFERROR(VLOOKUP(B141,input_379010!L:R,7,FALSE),VLOOKUP(tables_379010!C141,input_379010!A:H,8,FALSE))</f>
        <v>493</v>
      </c>
      <c r="P141" s="46">
        <f t="shared" ca="1" si="8"/>
        <v>3.7179487179487179E-5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input_379010!A$2</f>
        <v>379010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IFERROR(VLOOKUP(B142,input_379010!L:R,7,FALSE),VLOOKUP(tables_379010!C142,input_379010!A:H,8,FALSE))</f>
        <v>9367</v>
      </c>
      <c r="P142" s="46">
        <f t="shared" ca="1" si="8"/>
        <v>7.064102564102564E-4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input_379010!A$2</f>
        <v>379010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IFERROR(VLOOKUP(B143,input_379010!L:R,7,FALSE),VLOOKUP(tables_379010!C143,input_379010!A:H,8,FALSE))</f>
        <v>493</v>
      </c>
      <c r="P143" s="46">
        <f t="shared" ca="1" si="8"/>
        <v>3.7179487179487179E-5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input_379010!A$2</f>
        <v>379010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IFERROR(VLOOKUP(B144,input_379010!L:R,7,FALSE),VLOOKUP(tables_379010!C144,input_379010!A:H,8,FALSE))</f>
        <v>9367</v>
      </c>
      <c r="P144" s="46">
        <f t="shared" ca="1" si="8"/>
        <v>7.064102564102564E-4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input_379010!A$2</f>
        <v>379010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IFERROR(VLOOKUP(B145,input_379010!L:R,7,FALSE),VLOOKUP(tables_379010!C145,input_379010!A:H,8,FALSE))</f>
        <v>493</v>
      </c>
      <c r="P145" s="46">
        <f t="shared" ca="1" si="8"/>
        <v>3.7179487179487179E-5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input_379010!A$2</f>
        <v>379010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IFERROR(VLOOKUP(B146,input_379010!L:R,7,FALSE),VLOOKUP(tables_379010!C146,input_379010!A:H,8,FALSE))</f>
        <v>72930</v>
      </c>
      <c r="P146" s="46">
        <f t="shared" ca="1" si="8"/>
        <v>5.4999999999999997E-3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input_379010!A$2</f>
        <v>379010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IFERROR(VLOOKUP(B147,input_379010!L:R,7,FALSE),VLOOKUP(tables_379010!C147,input_379010!A:H,8,FALSE))</f>
        <v>65637</v>
      </c>
      <c r="P147" s="46">
        <f t="shared" ca="1" si="8"/>
        <v>4.9500000000000004E-3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input_379010!A$2</f>
        <v>379010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IFERROR(VLOOKUP(B148,input_379010!L:R,7,FALSE),VLOOKUP(tables_379010!C148,input_379010!A:H,8,FALSE))</f>
        <v>7293</v>
      </c>
      <c r="P148" s="46">
        <f t="shared" ca="1" si="8"/>
        <v>5.5000000000000003E-4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input_379010!A$2</f>
        <v>379010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IFERROR(VLOOKUP(B149,input_379010!L:R,7,FALSE),VLOOKUP(tables_379010!C149,input_379010!A:H,8,FALSE))</f>
        <v>9367</v>
      </c>
      <c r="P149" s="46">
        <f t="shared" ca="1" si="8"/>
        <v>7.064102564102564E-4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input_379010!A$2</f>
        <v>379010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IFERROR(VLOOKUP(B150,input_379010!L:R,7,FALSE),VLOOKUP(tables_379010!C150,input_379010!A:H,8,FALSE))</f>
        <v>493</v>
      </c>
      <c r="P150" s="46">
        <f t="shared" ca="1" si="8"/>
        <v>3.7179487179487179E-5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input_379010!A$2</f>
        <v>379010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IFERROR(VLOOKUP(B151,input_379010!L:R,7,FALSE),VLOOKUP(tables_379010!C151,input_379010!A:H,8,FALSE))</f>
        <v>9367</v>
      </c>
      <c r="P151" s="46">
        <f t="shared" ca="1" si="8"/>
        <v>7.064102564102564E-4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input_379010!A$2</f>
        <v>379010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IFERROR(VLOOKUP(B152,input_379010!L:R,7,FALSE),VLOOKUP(tables_379010!C152,input_379010!A:H,8,FALSE))</f>
        <v>493</v>
      </c>
      <c r="P152" s="46">
        <f t="shared" ca="1" si="8"/>
        <v>3.7179487179487179E-5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input_379010!A$2</f>
        <v>379010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IFERROR(VLOOKUP(B153,input_379010!L:R,7,FALSE),VLOOKUP(tables_379010!C153,input_379010!A:H,8,FALSE))</f>
        <v>72930</v>
      </c>
      <c r="P153" s="46">
        <f t="shared" ca="1" si="8"/>
        <v>5.4999999999999997E-3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input_379010!A$2</f>
        <v>379010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IFERROR(VLOOKUP(B154,input_379010!L:R,7,FALSE),VLOOKUP(tables_379010!C154,input_379010!A:H,8,FALSE))</f>
        <v>65637</v>
      </c>
      <c r="P154" s="46">
        <f t="shared" ca="1" si="8"/>
        <v>4.9500000000000004E-3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input_379010!A$2</f>
        <v>379010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IFERROR(VLOOKUP(B155,input_379010!L:R,7,FALSE),VLOOKUP(tables_379010!C155,input_379010!A:H,8,FALSE))</f>
        <v>7293</v>
      </c>
      <c r="P155" s="46">
        <f t="shared" ca="1" si="8"/>
        <v>5.5000000000000003E-4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input_379010!A$2</f>
        <v>379010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IFERROR(VLOOKUP(B156,input_379010!L:R,7,FALSE),VLOOKUP(tables_379010!C156,input_379010!A:H,8,FALSE))</f>
        <v>9367</v>
      </c>
      <c r="P156" s="46">
        <f t="shared" ca="1" si="8"/>
        <v>7.064102564102564E-4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input_379010!A$2</f>
        <v>379010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IFERROR(VLOOKUP(B157,input_379010!L:R,7,FALSE),VLOOKUP(tables_379010!C157,input_379010!A:H,8,FALSE))</f>
        <v>493</v>
      </c>
      <c r="P157" s="46">
        <f t="shared" ca="1" si="8"/>
        <v>3.7179487179487179E-5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input_379010!A$2</f>
        <v>379010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IFERROR(VLOOKUP(B158,input_379010!L:R,7,FALSE),VLOOKUP(tables_379010!C158,input_379010!A:H,8,FALSE))</f>
        <v>72930</v>
      </c>
      <c r="P158" s="46">
        <f t="shared" ca="1" si="8"/>
        <v>5.4999999999999997E-3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input_379010!A$2</f>
        <v>379010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IFERROR(VLOOKUP(B159,input_379010!L:R,7,FALSE),VLOOKUP(tables_379010!C159,input_379010!A:H,8,FALSE))</f>
        <v>65637</v>
      </c>
      <c r="P159" s="46">
        <f t="shared" ca="1" si="8"/>
        <v>4.9500000000000004E-3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input_379010!A$2</f>
        <v>379010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IFERROR(VLOOKUP(B160,input_379010!L:R,7,FALSE),VLOOKUP(tables_379010!C160,input_379010!A:H,8,FALSE))</f>
        <v>7293</v>
      </c>
      <c r="P160" s="46">
        <f t="shared" ca="1" si="8"/>
        <v>5.5000000000000003E-4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input_379010!A$2</f>
        <v>379010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IFERROR(VLOOKUP(B161,input_379010!L:R,7,FALSE),VLOOKUP(tables_379010!C161,input_379010!A:H,8,FALSE))</f>
        <v>72930</v>
      </c>
      <c r="P161" s="46">
        <f t="shared" ca="1" si="8"/>
        <v>5.4999999999999997E-3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input_379010!A$2</f>
        <v>379010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IFERROR(VLOOKUP(B162,input_379010!L:R,7,FALSE),VLOOKUP(tables_379010!C162,input_379010!A:H,8,FALSE))</f>
        <v>65637</v>
      </c>
      <c r="P162" s="46">
        <f t="shared" ca="1" si="8"/>
        <v>4.9500000000000004E-3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input_379010!A$2</f>
        <v>379010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IFERROR(VLOOKUP(B163,input_379010!L:R,7,FALSE),VLOOKUP(tables_379010!C163,input_379010!A:H,8,FALSE))</f>
        <v>7293</v>
      </c>
      <c r="P163" s="46">
        <f t="shared" ca="1" si="8"/>
        <v>5.5000000000000003E-4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input_379010!A$2</f>
        <v>379010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IFERROR(VLOOKUP(B164,input_379010!L:R,7,FALSE),VLOOKUP(tables_379010!C164,input_379010!A:H,8,FALSE))</f>
        <v>9367</v>
      </c>
      <c r="P164" s="46">
        <f t="shared" ca="1" si="8"/>
        <v>7.064102564102564E-4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input_379010!A$2</f>
        <v>379010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IFERROR(VLOOKUP(B165,input_379010!L:R,7,FALSE),VLOOKUP(tables_379010!C165,input_379010!A:H,8,FALSE))</f>
        <v>493</v>
      </c>
      <c r="P165" s="46">
        <f t="shared" ca="1" si="8"/>
        <v>3.7179487179487179E-5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input_379010!A$2</f>
        <v>379010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IFERROR(VLOOKUP(B166,input_379010!L:R,7,FALSE),VLOOKUP(tables_379010!C166,input_379010!A:H,8,FALSE))</f>
        <v>72930</v>
      </c>
      <c r="P166" s="46">
        <f t="shared" ca="1" si="8"/>
        <v>5.4999999999999997E-3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input_379010!A$2</f>
        <v>379010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IFERROR(VLOOKUP(B167,input_379010!L:R,7,FALSE),VLOOKUP(tables_379010!C167,input_379010!A:H,8,FALSE))</f>
        <v>65637</v>
      </c>
      <c r="P167" s="46">
        <f t="shared" ca="1" si="8"/>
        <v>4.9500000000000004E-3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input_379010!A$2</f>
        <v>379010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IFERROR(VLOOKUP(B168,input_379010!L:R,7,FALSE),VLOOKUP(tables_379010!C168,input_379010!A:H,8,FALSE))</f>
        <v>7293</v>
      </c>
      <c r="P168" s="46">
        <f t="shared" ca="1" si="8"/>
        <v>5.5000000000000003E-4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input_379010!A$2</f>
        <v>379010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IFERROR(VLOOKUP(B169,input_379010!L:R,7,FALSE),VLOOKUP(tables_379010!C169,input_379010!A:H,8,FALSE))</f>
        <v>9367</v>
      </c>
      <c r="P169" s="46">
        <f t="shared" ca="1" si="8"/>
        <v>7.064102564102564E-4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input_379010!A$2</f>
        <v>379010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IFERROR(VLOOKUP(B170,input_379010!L:R,7,FALSE),VLOOKUP(tables_379010!C170,input_379010!A:H,8,FALSE))</f>
        <v>493</v>
      </c>
      <c r="P170" s="46">
        <f t="shared" ca="1" si="8"/>
        <v>3.7179487179487179E-5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input_379010!A$2</f>
        <v>379010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IFERROR(VLOOKUP(B171,input_379010!L:R,7,FALSE),VLOOKUP(tables_379010!C171,input_379010!A:H,8,FALSE))</f>
        <v>72930</v>
      </c>
      <c r="P171" s="46">
        <f t="shared" ca="1" si="8"/>
        <v>5.4999999999999997E-3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input_379010!A$2</f>
        <v>379010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IFERROR(VLOOKUP(B172,input_379010!L:R,7,FALSE),VLOOKUP(tables_379010!C172,input_379010!A:H,8,FALSE))</f>
        <v>65637</v>
      </c>
      <c r="P172" s="46">
        <f t="shared" ca="1" si="8"/>
        <v>4.9500000000000004E-3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input_379010!A$2</f>
        <v>379010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IFERROR(VLOOKUP(B173,input_379010!L:R,7,FALSE),VLOOKUP(tables_379010!C173,input_379010!A:H,8,FALSE))</f>
        <v>7293</v>
      </c>
      <c r="P173" s="46">
        <f t="shared" ca="1" si="8"/>
        <v>5.5000000000000003E-4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input_379010!A$2</f>
        <v>379010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IFERROR(VLOOKUP(B174,input_379010!L:R,7,FALSE),VLOOKUP(tables_379010!C174,input_379010!A:H,8,FALSE))</f>
        <v>9367</v>
      </c>
      <c r="P174" s="46">
        <f t="shared" ca="1" si="8"/>
        <v>7.064102564102564E-4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input_379010!A$2</f>
        <v>379010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IFERROR(VLOOKUP(B175,input_379010!L:R,7,FALSE),VLOOKUP(tables_379010!C175,input_379010!A:H,8,FALSE))</f>
        <v>493</v>
      </c>
      <c r="P175" s="46">
        <f t="shared" ca="1" si="8"/>
        <v>3.7179487179487179E-5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input_379010!A$2</f>
        <v>379010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IFERROR(VLOOKUP(B176,input_379010!L:R,7,FALSE),VLOOKUP(tables_379010!C176,input_379010!A:H,8,FALSE))</f>
        <v>9367</v>
      </c>
      <c r="P176" s="46">
        <f t="shared" ca="1" si="8"/>
        <v>7.064102564102564E-4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input_379010!A$2</f>
        <v>379010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IFERROR(VLOOKUP(B177,input_379010!L:R,7,FALSE),VLOOKUP(tables_379010!C177,input_379010!A:H,8,FALSE))</f>
        <v>493</v>
      </c>
      <c r="P177" s="46">
        <f t="shared" ca="1" si="8"/>
        <v>3.7179487179487179E-5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input_379010!A$2</f>
        <v>379010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IFERROR(VLOOKUP(B178,input_379010!L:R,7,FALSE),VLOOKUP(tables_379010!C178,input_379010!A:H,8,FALSE))</f>
        <v>72930</v>
      </c>
      <c r="P178" s="46">
        <f t="shared" ca="1" si="8"/>
        <v>5.4999999999999997E-3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input_379010!A$2</f>
        <v>379010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IFERROR(VLOOKUP(B179,input_379010!L:R,7,FALSE),VLOOKUP(tables_379010!C179,input_379010!A:H,8,FALSE))</f>
        <v>65637</v>
      </c>
      <c r="P179" s="46">
        <f t="shared" ca="1" si="8"/>
        <v>4.9500000000000004E-3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input_379010!A$2</f>
        <v>379010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IFERROR(VLOOKUP(B180,input_379010!L:R,7,FALSE),VLOOKUP(tables_379010!C180,input_379010!A:H,8,FALSE))</f>
        <v>7293</v>
      </c>
      <c r="P180" s="46">
        <f t="shared" ca="1" si="8"/>
        <v>5.5000000000000003E-4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input_379010!A$2</f>
        <v>379010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IFERROR(VLOOKUP(B181,input_379010!L:R,7,FALSE),VLOOKUP(tables_379010!C181,input_379010!A:H,8,FALSE))</f>
        <v>72930</v>
      </c>
      <c r="P181" s="46">
        <f t="shared" ca="1" si="8"/>
        <v>5.4999999999999997E-3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input_379010!A$2</f>
        <v>379010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IFERROR(VLOOKUP(B182,input_379010!L:R,7,FALSE),VLOOKUP(tables_379010!C182,input_379010!A:H,8,FALSE))</f>
        <v>65637</v>
      </c>
      <c r="P182" s="46">
        <f t="shared" ca="1" si="8"/>
        <v>4.9500000000000004E-3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input_379010!A$2</f>
        <v>379010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IFERROR(VLOOKUP(B183,input_379010!L:R,7,FALSE),VLOOKUP(tables_379010!C183,input_379010!A:H,8,FALSE))</f>
        <v>7293</v>
      </c>
      <c r="P183" s="46">
        <f t="shared" ca="1" si="8"/>
        <v>5.5000000000000003E-4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input_379010!A$2</f>
        <v>379010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IFERROR(VLOOKUP(B184,input_379010!L:R,7,FALSE),VLOOKUP(tables_379010!C184,input_379010!A:H,8,FALSE))</f>
        <v>9367</v>
      </c>
      <c r="P184" s="46">
        <f t="shared" ca="1" si="8"/>
        <v>7.064102564102564E-4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input_379010!A$2</f>
        <v>379010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IFERROR(VLOOKUP(B185,input_379010!L:R,7,FALSE),VLOOKUP(tables_379010!C185,input_379010!A:H,8,FALSE))</f>
        <v>493</v>
      </c>
      <c r="P185" s="46">
        <f t="shared" ca="1" si="8"/>
        <v>3.7179487179487179E-5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input_379010!A$2</f>
        <v>379010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IFERROR(VLOOKUP(B186,input_379010!L:R,7,FALSE),VLOOKUP(tables_379010!C186,input_379010!A:H,8,FALSE))</f>
        <v>72930</v>
      </c>
      <c r="P186" s="46">
        <f t="shared" ca="1" si="8"/>
        <v>5.4999999999999997E-3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input_379010!A$2</f>
        <v>379010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IFERROR(VLOOKUP(B187,input_379010!L:R,7,FALSE),VLOOKUP(tables_379010!C187,input_379010!A:H,8,FALSE))</f>
        <v>65637</v>
      </c>
      <c r="P187" s="46">
        <f t="shared" ca="1" si="8"/>
        <v>4.9500000000000004E-3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input_379010!A$2</f>
        <v>379010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IFERROR(VLOOKUP(B188,input_379010!L:R,7,FALSE),VLOOKUP(tables_379010!C188,input_379010!A:H,8,FALSE))</f>
        <v>7293</v>
      </c>
      <c r="P188" s="46">
        <f t="shared" ca="1" si="8"/>
        <v>5.5000000000000003E-4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input_379010!A$2</f>
        <v>379010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IFERROR(VLOOKUP(B189,input_379010!L:R,7,FALSE),VLOOKUP(tables_379010!C189,input_379010!A:H,8,FALSE))</f>
        <v>9367</v>
      </c>
      <c r="P189" s="46">
        <f t="shared" ca="1" si="8"/>
        <v>7.064102564102564E-4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input_379010!A$2</f>
        <v>379010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IFERROR(VLOOKUP(B190,input_379010!L:R,7,FALSE),VLOOKUP(tables_379010!C190,input_379010!A:H,8,FALSE))</f>
        <v>493</v>
      </c>
      <c r="P190" s="46">
        <f t="shared" ca="1" si="8"/>
        <v>3.7179487179487179E-5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input_379010!A$2</f>
        <v>379010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IFERROR(VLOOKUP(B191,input_379010!L:R,7,FALSE),VLOOKUP(tables_379010!C191,input_379010!A:H,8,FALSE))</f>
        <v>9367</v>
      </c>
      <c r="P191" s="46">
        <f t="shared" ca="1" si="8"/>
        <v>7.064102564102564E-4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input_379010!A$2</f>
        <v>379010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IFERROR(VLOOKUP(B192,input_379010!L:R,7,FALSE),VLOOKUP(tables_379010!C192,input_379010!A:H,8,FALSE))</f>
        <v>493</v>
      </c>
      <c r="P192" s="46">
        <f t="shared" ca="1" si="8"/>
        <v>3.7179487179487179E-5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input_379010!A$2</f>
        <v>379010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IFERROR(VLOOKUP(B193,input_379010!L:R,7,FALSE),VLOOKUP(tables_379010!C193,input_379010!A:H,8,FALSE))</f>
        <v>72930</v>
      </c>
      <c r="P193" s="46">
        <f t="shared" ca="1" si="8"/>
        <v>5.4999999999999997E-3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input_379010!A$2</f>
        <v>379010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IFERROR(VLOOKUP(B194,input_379010!L:R,7,FALSE),VLOOKUP(tables_379010!C194,input_379010!A:H,8,FALSE))</f>
        <v>65637</v>
      </c>
      <c r="P194" s="46">
        <f t="shared" ref="P194:P257" ca="1" si="11">O194/SUM(O:O)</f>
        <v>4.9500000000000004E-3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input_379010!A$2</f>
        <v>379010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IFERROR(VLOOKUP(B195,input_379010!L:R,7,FALSE),VLOOKUP(tables_379010!C195,input_379010!A:H,8,FALSE))</f>
        <v>7293</v>
      </c>
      <c r="P195" s="46">
        <f t="shared" ca="1" si="11"/>
        <v>5.5000000000000003E-4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input_379010!A$2</f>
        <v>379010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IFERROR(VLOOKUP(B196,input_379010!L:R,7,FALSE),VLOOKUP(tables_379010!C196,input_379010!A:H,8,FALSE))</f>
        <v>9367</v>
      </c>
      <c r="P196" s="46">
        <f t="shared" ca="1" si="11"/>
        <v>7.064102564102564E-4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input_379010!A$2</f>
        <v>379010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IFERROR(VLOOKUP(B197,input_379010!L:R,7,FALSE),VLOOKUP(tables_379010!C197,input_379010!A:H,8,FALSE))</f>
        <v>493</v>
      </c>
      <c r="P197" s="46">
        <f t="shared" ca="1" si="11"/>
        <v>3.7179487179487179E-5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input_379010!A$2</f>
        <v>379010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IFERROR(VLOOKUP(B198,input_379010!L:R,7,FALSE),VLOOKUP(tables_379010!C198,input_379010!A:H,8,FALSE))</f>
        <v>72930</v>
      </c>
      <c r="P198" s="46">
        <f t="shared" ca="1" si="11"/>
        <v>5.4999999999999997E-3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input_379010!A$2</f>
        <v>379010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IFERROR(VLOOKUP(B199,input_379010!L:R,7,FALSE),VLOOKUP(tables_379010!C199,input_379010!A:H,8,FALSE))</f>
        <v>65637</v>
      </c>
      <c r="P199" s="46">
        <f t="shared" ca="1" si="11"/>
        <v>4.9500000000000004E-3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input_379010!A$2</f>
        <v>379010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IFERROR(VLOOKUP(B200,input_379010!L:R,7,FALSE),VLOOKUP(tables_379010!C200,input_379010!A:H,8,FALSE))</f>
        <v>7293</v>
      </c>
      <c r="P200" s="46">
        <f t="shared" ca="1" si="11"/>
        <v>5.5000000000000003E-4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input_379010!A$2</f>
        <v>379010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IFERROR(VLOOKUP(B201,input_379010!L:R,7,FALSE),VLOOKUP(tables_379010!C201,input_379010!A:H,8,FALSE))</f>
        <v>9367</v>
      </c>
      <c r="P201" s="46">
        <f t="shared" ca="1" si="11"/>
        <v>7.064102564102564E-4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input_379010!A$2</f>
        <v>379010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IFERROR(VLOOKUP(B202,input_379010!L:R,7,FALSE),VLOOKUP(tables_379010!C202,input_379010!A:H,8,FALSE))</f>
        <v>493</v>
      </c>
      <c r="P202" s="46">
        <f t="shared" ca="1" si="11"/>
        <v>3.7179487179487179E-5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input_379010!A$2</f>
        <v>379010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IFERROR(VLOOKUP(B203,input_379010!L:R,7,FALSE),VLOOKUP(tables_379010!C203,input_379010!A:H,8,FALSE))</f>
        <v>72930</v>
      </c>
      <c r="P203" s="46">
        <f t="shared" ca="1" si="11"/>
        <v>5.4999999999999997E-3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input_379010!A$2</f>
        <v>379010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IFERROR(VLOOKUP(B204,input_379010!L:R,7,FALSE),VLOOKUP(tables_379010!C204,input_379010!A:H,8,FALSE))</f>
        <v>65637</v>
      </c>
      <c r="P204" s="46">
        <f t="shared" ca="1" si="11"/>
        <v>4.9500000000000004E-3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input_379010!A$2</f>
        <v>379010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IFERROR(VLOOKUP(B205,input_379010!L:R,7,FALSE),VLOOKUP(tables_379010!C205,input_379010!A:H,8,FALSE))</f>
        <v>7293</v>
      </c>
      <c r="P205" s="46">
        <f t="shared" ca="1" si="11"/>
        <v>5.5000000000000003E-4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input_379010!A$2</f>
        <v>379010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IFERROR(VLOOKUP(B206,input_379010!L:R,7,FALSE),VLOOKUP(tables_379010!C206,input_379010!A:H,8,FALSE))</f>
        <v>9367</v>
      </c>
      <c r="P206" s="46">
        <f t="shared" ca="1" si="11"/>
        <v>7.064102564102564E-4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input_379010!A$2</f>
        <v>379010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IFERROR(VLOOKUP(B207,input_379010!L:R,7,FALSE),VLOOKUP(tables_379010!C207,input_379010!A:H,8,FALSE))</f>
        <v>493</v>
      </c>
      <c r="P207" s="46">
        <f t="shared" ca="1" si="11"/>
        <v>3.7179487179487179E-5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input_379010!A$2</f>
        <v>379010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IFERROR(VLOOKUP(B208,input_379010!L:R,7,FALSE),VLOOKUP(tables_379010!C208,input_379010!A:H,8,FALSE))</f>
        <v>9367</v>
      </c>
      <c r="P208" s="46">
        <f t="shared" ca="1" si="11"/>
        <v>7.064102564102564E-4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input_379010!A$2</f>
        <v>379010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IFERROR(VLOOKUP(B209,input_379010!L:R,7,FALSE),VLOOKUP(tables_379010!C209,input_379010!A:H,8,FALSE))</f>
        <v>493</v>
      </c>
      <c r="P209" s="46">
        <f t="shared" ca="1" si="11"/>
        <v>3.7179487179487179E-5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input_379010!A$2</f>
        <v>379010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IFERROR(VLOOKUP(B210,input_379010!L:R,7,FALSE),VLOOKUP(tables_379010!C210,input_379010!A:H,8,FALSE))</f>
        <v>72930</v>
      </c>
      <c r="P210" s="46">
        <f t="shared" ca="1" si="11"/>
        <v>5.4999999999999997E-3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input_379010!A$2</f>
        <v>379010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IFERROR(VLOOKUP(B211,input_379010!L:R,7,FALSE),VLOOKUP(tables_379010!C211,input_379010!A:H,8,FALSE))</f>
        <v>65637</v>
      </c>
      <c r="P211" s="46">
        <f t="shared" ca="1" si="11"/>
        <v>4.9500000000000004E-3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input_379010!A$2</f>
        <v>379010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IFERROR(VLOOKUP(B212,input_379010!L:R,7,FALSE),VLOOKUP(tables_379010!C212,input_379010!A:H,8,FALSE))</f>
        <v>7293</v>
      </c>
      <c r="P212" s="46">
        <f t="shared" ca="1" si="11"/>
        <v>5.5000000000000003E-4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input_379010!A$2</f>
        <v>379010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IFERROR(VLOOKUP(B213,input_379010!L:R,7,FALSE),VLOOKUP(tables_379010!C213,input_379010!A:H,8,FALSE))</f>
        <v>9367</v>
      </c>
      <c r="P213" s="46">
        <f t="shared" ca="1" si="11"/>
        <v>7.064102564102564E-4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input_379010!A$2</f>
        <v>379010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IFERROR(VLOOKUP(B214,input_379010!L:R,7,FALSE),VLOOKUP(tables_379010!C214,input_379010!A:H,8,FALSE))</f>
        <v>493</v>
      </c>
      <c r="P214" s="46">
        <f t="shared" ca="1" si="11"/>
        <v>3.7179487179487179E-5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input_379010!A$2</f>
        <v>379010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IFERROR(VLOOKUP(B215,input_379010!L:R,7,FALSE),VLOOKUP(tables_379010!C215,input_379010!A:H,8,FALSE))</f>
        <v>9367</v>
      </c>
      <c r="P215" s="46">
        <f t="shared" ca="1" si="11"/>
        <v>7.064102564102564E-4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input_379010!A$2</f>
        <v>379010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IFERROR(VLOOKUP(B216,input_379010!L:R,7,FALSE),VLOOKUP(tables_379010!C216,input_379010!A:H,8,FALSE))</f>
        <v>493</v>
      </c>
      <c r="P216" s="46">
        <f t="shared" ca="1" si="11"/>
        <v>3.7179487179487179E-5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input_379010!A$2</f>
        <v>379010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IFERROR(VLOOKUP(B217,input_379010!L:R,7,FALSE),VLOOKUP(tables_379010!C217,input_379010!A:H,8,FALSE))</f>
        <v>72930</v>
      </c>
      <c r="P217" s="46">
        <f t="shared" ca="1" si="11"/>
        <v>5.4999999999999997E-3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input_379010!A$2</f>
        <v>379010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IFERROR(VLOOKUP(B218,input_379010!L:R,7,FALSE),VLOOKUP(tables_379010!C218,input_379010!A:H,8,FALSE))</f>
        <v>65637</v>
      </c>
      <c r="P218" s="46">
        <f t="shared" ca="1" si="11"/>
        <v>4.9500000000000004E-3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input_379010!A$2</f>
        <v>379010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IFERROR(VLOOKUP(B219,input_379010!L:R,7,FALSE),VLOOKUP(tables_379010!C219,input_379010!A:H,8,FALSE))</f>
        <v>7293</v>
      </c>
      <c r="P219" s="46">
        <f t="shared" ca="1" si="11"/>
        <v>5.5000000000000003E-4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input_379010!A$2</f>
        <v>379010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IFERROR(VLOOKUP(B220,input_379010!L:R,7,FALSE),VLOOKUP(tables_379010!C220,input_379010!A:H,8,FALSE))</f>
        <v>72930</v>
      </c>
      <c r="P220" s="46">
        <f t="shared" ca="1" si="11"/>
        <v>5.4999999999999997E-3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input_379010!A$2</f>
        <v>379010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IFERROR(VLOOKUP(B221,input_379010!L:R,7,FALSE),VLOOKUP(tables_379010!C221,input_379010!A:H,8,FALSE))</f>
        <v>65637</v>
      </c>
      <c r="P221" s="46">
        <f t="shared" ca="1" si="11"/>
        <v>4.9500000000000004E-3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input_379010!A$2</f>
        <v>379010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IFERROR(VLOOKUP(B222,input_379010!L:R,7,FALSE),VLOOKUP(tables_379010!C222,input_379010!A:H,8,FALSE))</f>
        <v>7293</v>
      </c>
      <c r="P222" s="46">
        <f t="shared" ca="1" si="11"/>
        <v>5.5000000000000003E-4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input_379010!A$2</f>
        <v>379010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IFERROR(VLOOKUP(B223,input_379010!L:R,7,FALSE),VLOOKUP(tables_379010!C223,input_379010!A:H,8,FALSE))</f>
        <v>9367</v>
      </c>
      <c r="P223" s="46">
        <f t="shared" ca="1" si="11"/>
        <v>7.064102564102564E-4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input_379010!A$2</f>
        <v>379010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IFERROR(VLOOKUP(B224,input_379010!L:R,7,FALSE),VLOOKUP(tables_379010!C224,input_379010!A:H,8,FALSE))</f>
        <v>493</v>
      </c>
      <c r="P224" s="46">
        <f t="shared" ca="1" si="11"/>
        <v>3.7179487179487179E-5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input_379010!A$2</f>
        <v>379010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IFERROR(VLOOKUP(B225,input_379010!L:R,7,FALSE),VLOOKUP(tables_379010!C225,input_379010!A:H,8,FALSE))</f>
        <v>72930</v>
      </c>
      <c r="P225" s="46">
        <f t="shared" ca="1" si="11"/>
        <v>5.4999999999999997E-3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input_379010!A$2</f>
        <v>379010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IFERROR(VLOOKUP(B226,input_379010!L:R,7,FALSE),VLOOKUP(tables_379010!C226,input_379010!A:H,8,FALSE))</f>
        <v>65637</v>
      </c>
      <c r="P226" s="46">
        <f t="shared" ca="1" si="11"/>
        <v>4.9500000000000004E-3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input_379010!A$2</f>
        <v>379010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IFERROR(VLOOKUP(B227,input_379010!L:R,7,FALSE),VLOOKUP(tables_379010!C227,input_379010!A:H,8,FALSE))</f>
        <v>7293</v>
      </c>
      <c r="P227" s="46">
        <f t="shared" ca="1" si="11"/>
        <v>5.5000000000000003E-4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input_379010!A$2</f>
        <v>379010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IFERROR(VLOOKUP(B228,input_379010!L:R,7,FALSE),VLOOKUP(tables_379010!C228,input_379010!A:H,8,FALSE))</f>
        <v>72930</v>
      </c>
      <c r="P228" s="46">
        <f t="shared" ca="1" si="11"/>
        <v>5.4999999999999997E-3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input_379010!A$2</f>
        <v>379010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IFERROR(VLOOKUP(B229,input_379010!L:R,7,FALSE),VLOOKUP(tables_379010!C229,input_379010!A:H,8,FALSE))</f>
        <v>65637</v>
      </c>
      <c r="P229" s="46">
        <f t="shared" ca="1" si="11"/>
        <v>4.9500000000000004E-3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input_379010!A$2</f>
        <v>379010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IFERROR(VLOOKUP(B230,input_379010!L:R,7,FALSE),VLOOKUP(tables_379010!C230,input_379010!A:H,8,FALSE))</f>
        <v>7293</v>
      </c>
      <c r="P230" s="46">
        <f t="shared" ca="1" si="11"/>
        <v>5.5000000000000003E-4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input_379010!A$2</f>
        <v>379010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IFERROR(VLOOKUP(B231,input_379010!L:R,7,FALSE),VLOOKUP(tables_379010!C231,input_379010!A:H,8,FALSE))</f>
        <v>9367</v>
      </c>
      <c r="P231" s="46">
        <f t="shared" ca="1" si="11"/>
        <v>7.064102564102564E-4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input_379010!A$2</f>
        <v>379010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IFERROR(VLOOKUP(B232,input_379010!L:R,7,FALSE),VLOOKUP(tables_379010!C232,input_379010!A:H,8,FALSE))</f>
        <v>493</v>
      </c>
      <c r="P232" s="46">
        <f t="shared" ca="1" si="11"/>
        <v>3.7179487179487179E-5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input_379010!A$2</f>
        <v>379010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IFERROR(VLOOKUP(B233,input_379010!L:R,7,FALSE),VLOOKUP(tables_379010!C233,input_379010!A:H,8,FALSE))</f>
        <v>72930</v>
      </c>
      <c r="P233" s="46">
        <f t="shared" ca="1" si="11"/>
        <v>5.4999999999999997E-3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input_379010!A$2</f>
        <v>379010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IFERROR(VLOOKUP(B234,input_379010!L:R,7,FALSE),VLOOKUP(tables_379010!C234,input_379010!A:H,8,FALSE))</f>
        <v>65637</v>
      </c>
      <c r="P234" s="46">
        <f t="shared" ca="1" si="11"/>
        <v>4.9500000000000004E-3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input_379010!A$2</f>
        <v>379010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IFERROR(VLOOKUP(B235,input_379010!L:R,7,FALSE),VLOOKUP(tables_379010!C235,input_379010!A:H,8,FALSE))</f>
        <v>7293</v>
      </c>
      <c r="P235" s="46">
        <f t="shared" ca="1" si="11"/>
        <v>5.5000000000000003E-4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input_379010!A$2</f>
        <v>379010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IFERROR(VLOOKUP(B236,input_379010!L:R,7,FALSE),VLOOKUP(tables_379010!C236,input_379010!A:H,8,FALSE))</f>
        <v>9367</v>
      </c>
      <c r="P236" s="46">
        <f t="shared" ca="1" si="11"/>
        <v>7.064102564102564E-4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input_379010!A$2</f>
        <v>379010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IFERROR(VLOOKUP(B237,input_379010!L:R,7,FALSE),VLOOKUP(tables_379010!C237,input_379010!A:H,8,FALSE))</f>
        <v>493</v>
      </c>
      <c r="P237" s="46">
        <f t="shared" ca="1" si="11"/>
        <v>3.7179487179487179E-5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input_379010!A$2</f>
        <v>379010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IFERROR(VLOOKUP(B238,input_379010!L:R,7,FALSE),VLOOKUP(tables_379010!C238,input_379010!A:H,8,FALSE))</f>
        <v>9367</v>
      </c>
      <c r="P238" s="46">
        <f t="shared" ca="1" si="11"/>
        <v>7.064102564102564E-4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input_379010!A$2</f>
        <v>379010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IFERROR(VLOOKUP(B239,input_379010!L:R,7,FALSE),VLOOKUP(tables_379010!C239,input_379010!A:H,8,FALSE))</f>
        <v>493</v>
      </c>
      <c r="P239" s="46">
        <f t="shared" ca="1" si="11"/>
        <v>3.7179487179487179E-5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input_379010!A$2</f>
        <v>379010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IFERROR(VLOOKUP(B240,input_379010!L:R,7,FALSE),VLOOKUP(tables_379010!C240,input_379010!A:H,8,FALSE))</f>
        <v>72930</v>
      </c>
      <c r="P240" s="46">
        <f t="shared" ca="1" si="11"/>
        <v>5.4999999999999997E-3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input_379010!A$2</f>
        <v>379010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IFERROR(VLOOKUP(B241,input_379010!L:R,7,FALSE),VLOOKUP(tables_379010!C241,input_379010!A:H,8,FALSE))</f>
        <v>65637</v>
      </c>
      <c r="P241" s="46">
        <f t="shared" ca="1" si="11"/>
        <v>4.9500000000000004E-3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input_379010!A$2</f>
        <v>379010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IFERROR(VLOOKUP(B242,input_379010!L:R,7,FALSE),VLOOKUP(tables_379010!C242,input_379010!A:H,8,FALSE))</f>
        <v>7293</v>
      </c>
      <c r="P242" s="46">
        <f t="shared" ca="1" si="11"/>
        <v>5.5000000000000003E-4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input_379010!A$2</f>
        <v>379010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IFERROR(VLOOKUP(B243,input_379010!L:R,7,FALSE),VLOOKUP(tables_379010!C243,input_379010!A:H,8,FALSE))</f>
        <v>72930</v>
      </c>
      <c r="P243" s="46">
        <f t="shared" ca="1" si="11"/>
        <v>5.4999999999999997E-3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input_379010!A$2</f>
        <v>379010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IFERROR(VLOOKUP(B244,input_379010!L:R,7,FALSE),VLOOKUP(tables_379010!C244,input_379010!A:H,8,FALSE))</f>
        <v>65637</v>
      </c>
      <c r="P244" s="46">
        <f t="shared" ca="1" si="11"/>
        <v>4.9500000000000004E-3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input_379010!A$2</f>
        <v>379010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IFERROR(VLOOKUP(B245,input_379010!L:R,7,FALSE),VLOOKUP(tables_379010!C245,input_379010!A:H,8,FALSE))</f>
        <v>7293</v>
      </c>
      <c r="P245" s="46">
        <f t="shared" ca="1" si="11"/>
        <v>5.5000000000000003E-4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input_379010!A$2</f>
        <v>379010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IFERROR(VLOOKUP(B246,input_379010!L:R,7,FALSE),VLOOKUP(tables_379010!C246,input_379010!A:H,8,FALSE))</f>
        <v>72930</v>
      </c>
      <c r="P246" s="46">
        <f t="shared" ca="1" si="11"/>
        <v>5.4999999999999997E-3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input_379010!A$2</f>
        <v>379010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IFERROR(VLOOKUP(B247,input_379010!L:R,7,FALSE),VLOOKUP(tables_379010!C247,input_379010!A:H,8,FALSE))</f>
        <v>65637</v>
      </c>
      <c r="P247" s="46">
        <f t="shared" ca="1" si="11"/>
        <v>4.9500000000000004E-3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input_379010!A$2</f>
        <v>379010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IFERROR(VLOOKUP(B248,input_379010!L:R,7,FALSE),VLOOKUP(tables_379010!C248,input_379010!A:H,8,FALSE))</f>
        <v>7293</v>
      </c>
      <c r="P248" s="46">
        <f t="shared" ca="1" si="11"/>
        <v>5.5000000000000003E-4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input_379010!A$2</f>
        <v>379010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IFERROR(VLOOKUP(B249,input_379010!L:R,7,FALSE),VLOOKUP(tables_379010!C249,input_379010!A:H,8,FALSE))</f>
        <v>72930</v>
      </c>
      <c r="P249" s="46">
        <f t="shared" ca="1" si="11"/>
        <v>5.4999999999999997E-3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input_379010!A$2</f>
        <v>379010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IFERROR(VLOOKUP(B250,input_379010!L:R,7,FALSE),VLOOKUP(tables_379010!C250,input_379010!A:H,8,FALSE))</f>
        <v>65637</v>
      </c>
      <c r="P250" s="46">
        <f t="shared" ca="1" si="11"/>
        <v>4.9500000000000004E-3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input_379010!A$2</f>
        <v>379010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IFERROR(VLOOKUP(B251,input_379010!L:R,7,FALSE),VLOOKUP(tables_379010!C251,input_379010!A:H,8,FALSE))</f>
        <v>7293</v>
      </c>
      <c r="P251" s="46">
        <f t="shared" ca="1" si="11"/>
        <v>5.5000000000000003E-4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input_379010!A$2</f>
        <v>379010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IFERROR(VLOOKUP(B252,input_379010!L:R,7,FALSE),VLOOKUP(tables_379010!C252,input_379010!A:H,8,FALSE))</f>
        <v>9367</v>
      </c>
      <c r="P252" s="46">
        <f t="shared" ca="1" si="11"/>
        <v>7.064102564102564E-4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input_379010!A$2</f>
        <v>379010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IFERROR(VLOOKUP(B253,input_379010!L:R,7,FALSE),VLOOKUP(tables_379010!C253,input_379010!A:H,8,FALSE))</f>
        <v>493</v>
      </c>
      <c r="P253" s="46">
        <f t="shared" ca="1" si="11"/>
        <v>3.7179487179487179E-5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input_379010!A$2</f>
        <v>379010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IFERROR(VLOOKUP(B254,input_379010!L:R,7,FALSE),VLOOKUP(tables_379010!C254,input_379010!A:H,8,FALSE))</f>
        <v>9367</v>
      </c>
      <c r="P254" s="46">
        <f t="shared" ca="1" si="11"/>
        <v>7.064102564102564E-4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input_379010!A$2</f>
        <v>379010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IFERROR(VLOOKUP(B255,input_379010!L:R,7,FALSE),VLOOKUP(tables_379010!C255,input_379010!A:H,8,FALSE))</f>
        <v>493</v>
      </c>
      <c r="P255" s="46">
        <f t="shared" ca="1" si="11"/>
        <v>3.7179487179487179E-5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input_379010!A$2</f>
        <v>379010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IFERROR(VLOOKUP(B256,input_379010!L:R,7,FALSE),VLOOKUP(tables_379010!C256,input_379010!A:H,8,FALSE))</f>
        <v>131156.88889</v>
      </c>
      <c r="P256" s="46">
        <f t="shared" ca="1" si="11"/>
        <v>9.8911680912518851E-3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input_379010!A$2</f>
        <v>379010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IFERROR(VLOOKUP(B257,input_379010!L:R,7,FALSE),VLOOKUP(tables_379010!C257,input_379010!A:H,8,FALSE))</f>
        <v>14703.11111</v>
      </c>
      <c r="P257" s="46">
        <f t="shared" ca="1" si="11"/>
        <v>1.1088319087481145E-3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input_379010!A$2</f>
        <v>379010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IFERROR(VLOOKUP(B258,input_379010!L:R,7,FALSE),VLOOKUP(tables_379010!C258,input_379010!A:H,8,FALSE))</f>
        <v>131156.88889</v>
      </c>
      <c r="P258" s="46">
        <f t="shared" ref="P258:P299" ca="1" si="14">O258/SUM(O:O)</f>
        <v>9.8911680912518851E-3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input_379010!A$2</f>
        <v>379010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IFERROR(VLOOKUP(B259,input_379010!L:R,7,FALSE),VLOOKUP(tables_379010!C259,input_379010!A:H,8,FALSE))</f>
        <v>14703.11111</v>
      </c>
      <c r="P259" s="46">
        <f t="shared" ca="1" si="14"/>
        <v>1.1088319087481145E-3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input_379010!A$2</f>
        <v>379010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IFERROR(VLOOKUP(B260,input_379010!L:R,7,FALSE),VLOOKUP(tables_379010!C260,input_379010!A:H,8,FALSE))</f>
        <v>9860</v>
      </c>
      <c r="P260" s="46">
        <f t="shared" ca="1" si="14"/>
        <v>7.4358974358974361E-4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input_379010!A$2</f>
        <v>379010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IFERROR(VLOOKUP(B261,input_379010!L:R,7,FALSE),VLOOKUP(tables_379010!C261,input_379010!A:H,8,FALSE))</f>
        <v>9860</v>
      </c>
      <c r="P261" s="46">
        <f t="shared" ca="1" si="14"/>
        <v>7.4358974358974361E-4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input_379010!A$2</f>
        <v>379010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IFERROR(VLOOKUP(B262,input_379010!L:R,7,FALSE),VLOOKUP(tables_379010!C262,input_379010!A:H,8,FALSE))</f>
        <v>9367</v>
      </c>
      <c r="P262" s="46">
        <f t="shared" ca="1" si="14"/>
        <v>7.064102564102564E-4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input_379010!A$2</f>
        <v>379010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IFERROR(VLOOKUP(B263,input_379010!L:R,7,FALSE),VLOOKUP(tables_379010!C263,input_379010!A:H,8,FALSE))</f>
        <v>493</v>
      </c>
      <c r="P263" s="46">
        <f t="shared" ca="1" si="14"/>
        <v>3.7179487179487179E-5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input_379010!A$2</f>
        <v>379010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IFERROR(VLOOKUP(B264,input_379010!L:R,7,FALSE),VLOOKUP(tables_379010!C264,input_379010!A:H,8,FALSE))</f>
        <v>9367</v>
      </c>
      <c r="P264" s="46">
        <f t="shared" ca="1" si="14"/>
        <v>7.064102564102564E-4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input_379010!A$2</f>
        <v>379010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IFERROR(VLOOKUP(B265,input_379010!L:R,7,FALSE),VLOOKUP(tables_379010!C265,input_379010!A:H,8,FALSE))</f>
        <v>493</v>
      </c>
      <c r="P265" s="46">
        <f t="shared" ca="1" si="14"/>
        <v>3.7179487179487179E-5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input_379010!A$2</f>
        <v>379010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IFERROR(VLOOKUP(B266,input_379010!L:R,7,FALSE),VLOOKUP(tables_379010!C266,input_379010!A:H,8,FALSE))</f>
        <v>72930</v>
      </c>
      <c r="P266" s="46">
        <f t="shared" ca="1" si="14"/>
        <v>5.4999999999999997E-3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input_379010!A$2</f>
        <v>379010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IFERROR(VLOOKUP(B267,input_379010!L:R,7,FALSE),VLOOKUP(tables_379010!C267,input_379010!A:H,8,FALSE))</f>
        <v>65637</v>
      </c>
      <c r="P267" s="46">
        <f t="shared" ca="1" si="14"/>
        <v>4.9500000000000004E-3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input_379010!A$2</f>
        <v>379010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IFERROR(VLOOKUP(B268,input_379010!L:R,7,FALSE),VLOOKUP(tables_379010!C268,input_379010!A:H,8,FALSE))</f>
        <v>7293</v>
      </c>
      <c r="P268" s="46">
        <f t="shared" ca="1" si="14"/>
        <v>5.5000000000000003E-4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input_379010!A$2</f>
        <v>379010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IFERROR(VLOOKUP(B269,input_379010!L:R,7,FALSE),VLOOKUP(tables_379010!C269,input_379010!A:H,8,FALSE))</f>
        <v>72930</v>
      </c>
      <c r="P269" s="46">
        <f t="shared" ca="1" si="14"/>
        <v>5.4999999999999997E-3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input_379010!A$2</f>
        <v>379010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IFERROR(VLOOKUP(B270,input_379010!L:R,7,FALSE),VLOOKUP(tables_379010!C270,input_379010!A:H,8,FALSE))</f>
        <v>65637</v>
      </c>
      <c r="P270" s="46">
        <f t="shared" ca="1" si="14"/>
        <v>4.9500000000000004E-3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input_379010!A$2</f>
        <v>379010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IFERROR(VLOOKUP(B271,input_379010!L:R,7,FALSE),VLOOKUP(tables_379010!C271,input_379010!A:H,8,FALSE))</f>
        <v>7293</v>
      </c>
      <c r="P271" s="46">
        <f t="shared" ca="1" si="14"/>
        <v>5.5000000000000003E-4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input_379010!A$2</f>
        <v>379010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IFERROR(VLOOKUP(B272,input_379010!L:R,7,FALSE),VLOOKUP(tables_379010!C272,input_379010!A:H,8,FALSE))</f>
        <v>9860</v>
      </c>
      <c r="P272" s="46">
        <f t="shared" ca="1" si="14"/>
        <v>7.4358974358974361E-4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input_379010!A$2</f>
        <v>379010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IFERROR(VLOOKUP(B273,input_379010!L:R,7,FALSE),VLOOKUP(tables_379010!C273,input_379010!A:H,8,FALSE))</f>
        <v>9860</v>
      </c>
      <c r="P273" s="46">
        <f t="shared" ca="1" si="14"/>
        <v>7.4358974358974361E-4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input_379010!A$2</f>
        <v>379010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IFERROR(VLOOKUP(B274,input_379010!L:R,7,FALSE),VLOOKUP(tables_379010!C274,input_379010!A:H,8,FALSE))</f>
        <v>131156.88889</v>
      </c>
      <c r="P274" s="46">
        <f t="shared" ca="1" si="14"/>
        <v>9.8911680912518851E-3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input_379010!A$2</f>
        <v>379010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IFERROR(VLOOKUP(B275,input_379010!L:R,7,FALSE),VLOOKUP(tables_379010!C275,input_379010!A:H,8,FALSE))</f>
        <v>14703.11111</v>
      </c>
      <c r="P275" s="46">
        <f t="shared" ca="1" si="14"/>
        <v>1.1088319087481145E-3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input_379010!A$2</f>
        <v>379010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IFERROR(VLOOKUP(B276,input_379010!L:R,7,FALSE),VLOOKUP(tables_379010!C276,input_379010!A:H,8,FALSE))</f>
        <v>131156.88889</v>
      </c>
      <c r="P276" s="46">
        <f t="shared" ca="1" si="14"/>
        <v>9.8911680912518851E-3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input_379010!A$2</f>
        <v>379010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IFERROR(VLOOKUP(B277,input_379010!L:R,7,FALSE),VLOOKUP(tables_379010!C277,input_379010!A:H,8,FALSE))</f>
        <v>14703.11111</v>
      </c>
      <c r="P277" s="46">
        <f t="shared" ca="1" si="14"/>
        <v>1.1088319087481145E-3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input_379010!A$2</f>
        <v>379010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IFERROR(VLOOKUP(B278,input_379010!L:R,7,FALSE),VLOOKUP(tables_379010!C278,input_379010!A:H,8,FALSE))</f>
        <v>131156.88889</v>
      </c>
      <c r="P278" s="46">
        <f t="shared" ca="1" si="14"/>
        <v>9.8911680912518851E-3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input_379010!A$2</f>
        <v>379010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IFERROR(VLOOKUP(B279,input_379010!L:R,7,FALSE),VLOOKUP(tables_379010!C279,input_379010!A:H,8,FALSE))</f>
        <v>14703.11111</v>
      </c>
      <c r="P279" s="46">
        <f t="shared" ca="1" si="14"/>
        <v>1.1088319087481145E-3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input_379010!A$2</f>
        <v>379010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IFERROR(VLOOKUP(B280,input_379010!L:R,7,FALSE),VLOOKUP(tables_379010!C280,input_379010!A:H,8,FALSE))</f>
        <v>131156.88889</v>
      </c>
      <c r="P280" s="46">
        <f t="shared" ca="1" si="14"/>
        <v>9.8911680912518851E-3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input_379010!A$2</f>
        <v>379010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IFERROR(VLOOKUP(B281,input_379010!L:R,7,FALSE),VLOOKUP(tables_379010!C281,input_379010!A:H,8,FALSE))</f>
        <v>14703.11111</v>
      </c>
      <c r="P281" s="46">
        <f t="shared" ca="1" si="14"/>
        <v>1.1088319087481145E-3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input_379010!A$2</f>
        <v>379010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IFERROR(VLOOKUP(B282,input_379010!L:R,7,FALSE),VLOOKUP(tables_379010!C282,input_379010!A:H,8,FALSE))</f>
        <v>9860</v>
      </c>
      <c r="P282" s="46">
        <f t="shared" ca="1" si="14"/>
        <v>7.4358974358974361E-4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input_379010!A$2</f>
        <v>379010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IFERROR(VLOOKUP(B283,input_379010!L:R,7,FALSE),VLOOKUP(tables_379010!C283,input_379010!A:H,8,FALSE))</f>
        <v>9860</v>
      </c>
      <c r="P283" s="46">
        <f t="shared" ca="1" si="14"/>
        <v>7.4358974358974361E-4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input_379010!A$2</f>
        <v>379010</v>
      </c>
      <c r="B284" s="82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IFERROR(VLOOKUP(B284,input_379010!L:R,7,FALSE),VLOOKUP(tables_379010!C284,input_379010!A:H,8,FALSE))</f>
        <v>9860</v>
      </c>
      <c r="P284" s="46">
        <f t="shared" ca="1" si="14"/>
        <v>7.4358974358974361E-4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input_379010!A$2</f>
        <v>379010</v>
      </c>
      <c r="B285" s="82">
        <v>744</v>
      </c>
      <c r="C285" s="7" t="str">
        <f t="shared" ref="C285:C289" si="15">D285&amp;J285&amp;E285&amp;F285&amp;G285</f>
        <v>PremiumSS5R5only</v>
      </c>
      <c r="D285" s="7" t="str">
        <f t="shared" ref="D285:D289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IFERROR(VLOOKUP(B285,input_379010!L:R,7,FALSE),VLOOKUP(tables_379010!C285,input_379010!A:H,8,FALSE))</f>
        <v>9860</v>
      </c>
      <c r="P285" s="46">
        <f t="shared" ca="1" si="14"/>
        <v>7.4358974358974361E-4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input_379010!A$2</f>
        <v>379010</v>
      </c>
      <c r="B286" s="82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IFERROR(VLOOKUP(B286,input_379010!L:R,7,FALSE),VLOOKUP(tables_379010!C286,input_379010!A:H,8,FALSE))</f>
        <v>131156.88889</v>
      </c>
      <c r="P286" s="46">
        <f t="shared" ca="1" si="14"/>
        <v>9.8911680912518851E-3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input_379010!A$2</f>
        <v>379010</v>
      </c>
      <c r="B287" s="82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IFERROR(VLOOKUP(B287,input_379010!L:R,7,FALSE),VLOOKUP(tables_379010!C287,input_379010!A:H,8,FALSE))</f>
        <v>14703.11111</v>
      </c>
      <c r="P287" s="46">
        <f t="shared" ca="1" si="14"/>
        <v>1.1088319087481145E-3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input_379010!A$2</f>
        <v>379010</v>
      </c>
      <c r="B288" s="82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IFERROR(VLOOKUP(B288,input_379010!L:R,7,FALSE),VLOOKUP(tables_379010!C288,input_379010!A:H,8,FALSE))</f>
        <v>131156.88889</v>
      </c>
      <c r="P288" s="46">
        <f t="shared" ca="1" si="14"/>
        <v>9.8911680912518851E-3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input_379010!A$2</f>
        <v>379010</v>
      </c>
      <c r="B289" s="82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IFERROR(VLOOKUP(B289,input_379010!L:R,7,FALSE),VLOOKUP(tables_379010!C289,input_379010!A:H,8,FALSE))</f>
        <v>14703.11111</v>
      </c>
      <c r="P289" s="46">
        <f t="shared" ca="1" si="14"/>
        <v>1.1088319087481145E-3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input_379010!A$2</f>
        <v>379010</v>
      </c>
      <c r="B290" s="82">
        <v>937</v>
      </c>
      <c r="C290" s="7" t="str">
        <f t="shared" ref="C290:C294" si="17">D290&amp;J290&amp;E290&amp;F290&amp;G290</f>
        <v>PremiumSS5R5only</v>
      </c>
      <c r="D290" s="7" t="str">
        <f t="shared" ref="D290:D294" si="18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IFERROR(VLOOKUP(B290,input_379010!L:R,7,FALSE),VLOOKUP(tables_379010!C290,input_379010!A:H,8,FALSE))</f>
        <v>9860</v>
      </c>
      <c r="P290" s="46">
        <f t="shared" ca="1" si="14"/>
        <v>7.4358974358974361E-4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input_379010!A$2</f>
        <v>379010</v>
      </c>
      <c r="B291" s="82">
        <v>939</v>
      </c>
      <c r="C291" s="7" t="str">
        <f t="shared" si="17"/>
        <v>Premium4R3less</v>
      </c>
      <c r="D291" s="7" t="str">
        <f t="shared" si="18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IFERROR(VLOOKUP(B291,input_379010!L:R,7,FALSE),VLOOKUP(tables_379010!C291,input_379010!A:H,8,FALSE))</f>
        <v>131156.88889</v>
      </c>
      <c r="P291" s="46">
        <f t="shared" ca="1" si="14"/>
        <v>9.8911680912518851E-3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input_379010!A$2</f>
        <v>379010</v>
      </c>
      <c r="B292" s="82">
        <v>940</v>
      </c>
      <c r="C292" s="7" t="str">
        <f t="shared" si="17"/>
        <v>Premium5R3less</v>
      </c>
      <c r="D292" s="7" t="str">
        <f t="shared" si="18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IFERROR(VLOOKUP(B292,input_379010!L:R,7,FALSE),VLOOKUP(tables_379010!C292,input_379010!A:H,8,FALSE))</f>
        <v>14703.11111</v>
      </c>
      <c r="P292" s="46">
        <f t="shared" ca="1" si="14"/>
        <v>1.1088319087481145E-3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input_379010!A$2</f>
        <v>379010</v>
      </c>
      <c r="B293" s="82">
        <v>941</v>
      </c>
      <c r="C293" s="7" t="str">
        <f t="shared" si="17"/>
        <v>PremiumSS5R5only</v>
      </c>
      <c r="D293" s="7" t="str">
        <f t="shared" si="18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IFERROR(VLOOKUP(B293,input_379010!L:R,7,FALSE),VLOOKUP(tables_379010!C293,input_379010!A:H,8,FALSE))</f>
        <v>9860</v>
      </c>
      <c r="P293" s="46">
        <f t="shared" ca="1" si="14"/>
        <v>7.4358974358974361E-4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input_379010!A$2</f>
        <v>379010</v>
      </c>
      <c r="B294" s="82">
        <v>943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IFERROR(VLOOKUP(B294,input_379010!L:R,7,FALSE),VLOOKUP(tables_379010!C294,input_379010!A:H,8,FALSE))</f>
        <v>9860</v>
      </c>
      <c r="P294" s="46">
        <f t="shared" ca="1" si="14"/>
        <v>7.4358974358974361E-4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input_379010!A$2</f>
        <v>379010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ref="D295:D299" si="20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>IFERROR(VLOOKUP(B295,input_379010!L:R,7,FALSE),VLOOKUP(tables_379010!C295,input_379010!A:H,8,FALSE))</f>
        <v>92820</v>
      </c>
      <c r="P295" s="46">
        <f t="shared" ca="1" si="14"/>
        <v>7.0000000000000001E-3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input_379010!A$2</f>
        <v>379010</v>
      </c>
      <c r="B296" s="5">
        <v>1014</v>
      </c>
      <c r="C296" s="7" t="str">
        <f t="shared" si="19"/>
        <v>PremiumSS5R5only</v>
      </c>
      <c r="D296" s="7" t="str">
        <f t="shared" si="20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>IFERROR(VLOOKUP(B296,input_379010!L:R,7,FALSE),VLOOKUP(tables_379010!C296,input_379010!A:H,8,FALSE))</f>
        <v>92820</v>
      </c>
      <c r="P296" s="46">
        <f t="shared" ca="1" si="14"/>
        <v>7.0000000000000001E-3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input_379010!A$2</f>
        <v>379010</v>
      </c>
      <c r="B297" s="5">
        <v>1016</v>
      </c>
      <c r="C297" s="7" t="str">
        <f t="shared" si="19"/>
        <v>Premium4R3less</v>
      </c>
      <c r="D297" s="7" t="str">
        <f t="shared" si="20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>IFERROR(VLOOKUP(B297,input_379010!L:R,7,FALSE),VLOOKUP(tables_379010!C297,input_379010!A:H,8,FALSE))</f>
        <v>99450</v>
      </c>
      <c r="P297" s="46">
        <f t="shared" ca="1" si="14"/>
        <v>7.4999999999999997E-3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input_379010!A$2</f>
        <v>379010</v>
      </c>
      <c r="B298" s="5">
        <v>1017</v>
      </c>
      <c r="C298" s="7" t="str">
        <f t="shared" si="19"/>
        <v>Premium5R3less</v>
      </c>
      <c r="D298" s="7" t="str">
        <f t="shared" si="20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>IFERROR(VLOOKUP(B298,input_379010!L:R,7,FALSE),VLOOKUP(tables_379010!C298,input_379010!A:H,8,FALSE))</f>
        <v>99450</v>
      </c>
      <c r="P298" s="46">
        <f t="shared" ca="1" si="14"/>
        <v>7.4999999999999997E-3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input_379010!A$2</f>
        <v>379010</v>
      </c>
      <c r="B299" s="5">
        <v>1018</v>
      </c>
      <c r="C299" s="7" t="str">
        <f t="shared" si="19"/>
        <v>PremiumSS5R5only</v>
      </c>
      <c r="D299" s="7" t="str">
        <f t="shared" si="20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>IFERROR(VLOOKUP(B299,input_379010!L:R,7,FALSE),VLOOKUP(tables_379010!C299,input_379010!A:H,8,FALSE))</f>
        <v>92820</v>
      </c>
      <c r="P299" s="46">
        <f t="shared" ca="1" si="14"/>
        <v>7.0000000000000001E-3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B24" sqref="B2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379100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5">
        <v>1012</v>
      </c>
      <c r="M3" s="37" t="str">
        <f>VLOOKUP(L3,[1]characters!$A:$C,3,FALSE)</f>
        <v>ラー</v>
      </c>
      <c r="N3" s="63">
        <v>7.0000000000000001E-3</v>
      </c>
      <c r="O3" s="37">
        <f>VLOOKUP(L3,[1]characters!$A:$I,9,FALSE)</f>
        <v>5</v>
      </c>
      <c r="P3" s="37" t="str">
        <f>VLOOKUP(L3,[1]characters!$A:$J,10,FALSE)</f>
        <v>PremiumSS</v>
      </c>
      <c r="Q3" s="37" t="str">
        <f>VLOOKUP(L3,tables_379100!B:C,2,FALSE)</f>
        <v>PremiumSS5R5only</v>
      </c>
      <c r="R3" s="62">
        <f t="shared" ref="R3:R20" si="1">N3*A$36</f>
        <v>92820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5">
        <v>1014</v>
      </c>
      <c r="M4" s="37" t="str">
        <f>VLOOKUP(L4,[1]characters!$A:$C,3,FALSE)</f>
        <v>イシス</v>
      </c>
      <c r="N4" s="63">
        <v>7.0000000000000001E-3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VLOOKUP(L4,tables_379100!B:C,2,FALSE)</f>
        <v>PremiumSS5R5only</v>
      </c>
      <c r="R4" s="62">
        <f t="shared" si="1"/>
        <v>92820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7.4358974358974361E-4</v>
      </c>
      <c r="F5">
        <f>(COUNTIF(tables_379100!C:C,input_379100!A28)+COUNTIF(tables_379100!C:C,input_379100!A29))</f>
        <v>42</v>
      </c>
      <c r="H5" s="85">
        <v>2.1000000000000001E-2</v>
      </c>
      <c r="I5" s="31">
        <v>3</v>
      </c>
      <c r="L5" s="5">
        <v>1016</v>
      </c>
      <c r="M5" s="37" t="str">
        <f>VLOOKUP(L5,[1]characters!$A:$C,3,FALSE)</f>
        <v>ハトホル</v>
      </c>
      <c r="N5" s="63">
        <f>0.015*0.5</f>
        <v>7.4999999999999997E-3</v>
      </c>
      <c r="O5" s="37">
        <f>VLOOKUP(L5,[1]characters!$A:$I,9,FALSE)</f>
        <v>4</v>
      </c>
      <c r="P5" s="37" t="str">
        <f>VLOOKUP(L5,[1]characters!$A:$J,10,FALSE)</f>
        <v>PremiumS</v>
      </c>
      <c r="Q5" s="37" t="str">
        <f>VLOOKUP(L5,tables_379100!B:C,2,FALSE)</f>
        <v>Premium4R3less</v>
      </c>
      <c r="R5" s="62">
        <f t="shared" si="1"/>
        <v>99450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1.0999999999999999E-2</v>
      </c>
      <c r="F6">
        <f>(COUNTIF(tables_379100!C:C,input_379100!A26)+COUNTIF(tables_379100!C:C,input_379100!A18)+COUNTIF(tables_379100!C:C,input_379100!A20)+COUNTIF(tables_379100!C:C,input_379100!A22))</f>
        <v>86</v>
      </c>
      <c r="H6" s="91">
        <v>1.4999999999999999E-2</v>
      </c>
      <c r="I6" s="31">
        <v>1</v>
      </c>
      <c r="L6" s="5">
        <v>1017</v>
      </c>
      <c r="M6" s="37" t="str">
        <f>VLOOKUP(L6,[1]characters!$A:$C,3,FALSE)</f>
        <v>命瞳の慈母神 ハトホル</v>
      </c>
      <c r="N6" s="63">
        <f>0.015*0.5</f>
        <v>7.4999999999999997E-3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VLOOKUP(L6,tables_379100!B:C,2,FALSE)</f>
        <v>Premium5R3less</v>
      </c>
      <c r="R6" s="62">
        <f t="shared" si="1"/>
        <v>99450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5">
        <v>1018</v>
      </c>
      <c r="M7" s="37" t="str">
        <f>VLOOKUP(L7,[1]characters!$A:$C,3,FALSE)</f>
        <v>バステト</v>
      </c>
      <c r="N7" s="63">
        <v>7.0000000000000001E-3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VLOOKUP(L7,tables_379100!B:C,2,FALSE)</f>
        <v>PremiumSS5R5only</v>
      </c>
      <c r="R7" s="62">
        <f t="shared" si="1"/>
        <v>92820</v>
      </c>
      <c r="S7">
        <v>597</v>
      </c>
      <c r="U7" s="33" t="s">
        <v>196</v>
      </c>
      <c r="V7" s="54">
        <f t="shared" si="0"/>
        <v>7.4999999999999997E-3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VLOOKUP(L8,tables_379100!B:C,2,FALSE)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7.4999999999999997E-3</v>
      </c>
    </row>
    <row r="9" spans="1:22" x14ac:dyDescent="0.15">
      <c r="A9" s="35" t="s">
        <v>54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VLOOKUP(L9,tables_379100!B:C,2,FALSE)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VLOOKUP(L10,tables_379100!B:C,2,FALSE)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8">
        <v>0.05</v>
      </c>
      <c r="C11" t="s">
        <v>255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VLOOKUP(L11,tables_379100!B:C,2,FALSE)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VLOOKUP(L12,tables_379100!B:C,2,FALSE)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VLOOKUP(L13,tables_379100!B:C,2,FALSE)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VLOOKUP(L14,tables_379100!B:C,2,FALSE)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2.1000000000000001E-2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VLOOKUP(L15,tables_379100!B:C,2,FALSE)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VLOOKUP(L16,tables_379100!B:C,2,FALSE)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3">
        <f>B$5-B19-B24</f>
        <v>0</v>
      </c>
      <c r="C17" s="86">
        <f t="shared" ref="C17:C31" si="2">SUMIF(Q:Q,A17,N:N)</f>
        <v>0</v>
      </c>
      <c r="D17" s="74">
        <f t="shared" ref="D17:D32" si="3">B17-C17</f>
        <v>0</v>
      </c>
      <c r="E17">
        <f>COUNTIF(tables_379100!C:C,input_379100!A17)-COUNTIF(Q:Q,A17)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VLOOKUP(L17,tables_379100!B:C,2,FALSE)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0.21999999999999997</v>
      </c>
      <c r="C18" s="86">
        <f t="shared" si="2"/>
        <v>0</v>
      </c>
      <c r="D18" s="74">
        <f t="shared" si="3"/>
        <v>0.21999999999999997</v>
      </c>
      <c r="E18">
        <f>COUNTIF(tables_379100!C:C,input_379100!A18)-COUNTIF(Q:Q,A18)</f>
        <v>20</v>
      </c>
      <c r="F18" s="43">
        <f>IFERROR(B18/E18,0)</f>
        <v>1.0999999999999999E-2</v>
      </c>
      <c r="G18">
        <f t="shared" si="4"/>
        <v>2917199.9999999995</v>
      </c>
      <c r="H18">
        <f t="shared" si="5"/>
        <v>145860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VLOOKUP(L18,tables_379100!B:C,2,FALSE)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6">
        <f t="shared" si="2"/>
        <v>0</v>
      </c>
      <c r="D19" s="74">
        <f t="shared" si="3"/>
        <v>0</v>
      </c>
      <c r="E19">
        <f>COUNTIF(tables_379100!C:C,input_379100!A19)-COUNTIF(Q:Q,A19)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VLOOKUP(L19,tables_379100!B:C,2,FALSE)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56">
        <f>E$6*E20*B$6</f>
        <v>0.54339999999999988</v>
      </c>
      <c r="C20" s="86">
        <f t="shared" si="2"/>
        <v>0</v>
      </c>
      <c r="D20" s="74">
        <f t="shared" si="3"/>
        <v>0.54339999999999988</v>
      </c>
      <c r="E20">
        <f>COUNTIF(tables_379100!C:C,input_379100!A20)-COUNTIF(Q:Q,A20)</f>
        <v>52</v>
      </c>
      <c r="F20" s="43">
        <f t="shared" si="8"/>
        <v>1.0449999999999997E-2</v>
      </c>
      <c r="G20">
        <f t="shared" si="4"/>
        <v>7205483.9999999981</v>
      </c>
      <c r="H20">
        <f t="shared" si="5"/>
        <v>138567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VLOOKUP(L20,tables_379100!B:C,2,FALSE)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E$6*E21*B$7</f>
        <v>2.86E-2</v>
      </c>
      <c r="C21" s="86">
        <f t="shared" si="2"/>
        <v>0</v>
      </c>
      <c r="D21" s="74">
        <f t="shared" si="3"/>
        <v>2.86E-2</v>
      </c>
      <c r="E21">
        <f>COUNTIF(tables_379100!C:C,input_379100!A21)-COUNTIF(Q:Q,A21)</f>
        <v>52</v>
      </c>
      <c r="F21" s="43">
        <f t="shared" si="8"/>
        <v>5.5000000000000003E-4</v>
      </c>
      <c r="G21">
        <f t="shared" si="4"/>
        <v>379236</v>
      </c>
      <c r="H21">
        <f t="shared" si="5"/>
        <v>7293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8.9020512820512807E-2</v>
      </c>
      <c r="C22" s="86">
        <f t="shared" si="2"/>
        <v>7.4999999999999997E-3</v>
      </c>
      <c r="D22" s="74">
        <f t="shared" si="3"/>
        <v>8.1520512820512814E-2</v>
      </c>
      <c r="E22">
        <f>COUNTIF(tables_379100!C:C,input_379100!A22)-COUNTIF(Q:Q,A22)</f>
        <v>9</v>
      </c>
      <c r="F22" s="43">
        <f t="shared" si="8"/>
        <v>9.8911680911680892E-3</v>
      </c>
      <c r="G22">
        <f t="shared" si="4"/>
        <v>1180411.9999999998</v>
      </c>
      <c r="H22">
        <f t="shared" si="5"/>
        <v>131156.88889</v>
      </c>
      <c r="I22">
        <f t="shared" si="6"/>
        <v>0.88889000000199303</v>
      </c>
      <c r="J22">
        <f t="shared" si="7"/>
        <v>1.1249985937492355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B$7-B21-B26-B28-B29</f>
        <v>9.9794871794871825E-3</v>
      </c>
      <c r="C23" s="86">
        <f t="shared" si="2"/>
        <v>7.4999999999999997E-3</v>
      </c>
      <c r="D23" s="74">
        <f t="shared" si="3"/>
        <v>2.4794871794871828E-3</v>
      </c>
      <c r="E23">
        <f>COUNTIF(tables_379100!C:C,input_379100!A23)-COUNTIF(Q:Q,A23)</f>
        <v>9</v>
      </c>
      <c r="F23" s="43">
        <f t="shared" si="8"/>
        <v>1.1088319088319093E-3</v>
      </c>
      <c r="G23">
        <f t="shared" si="4"/>
        <v>132328.00000000003</v>
      </c>
      <c r="H23">
        <f t="shared" si="5"/>
        <v>14703.11111</v>
      </c>
      <c r="I23">
        <f t="shared" si="6"/>
        <v>0.11110999999982596</v>
      </c>
      <c r="J23">
        <f t="shared" si="7"/>
        <v>9.0000900009141063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6">
        <f t="shared" si="2"/>
        <v>0</v>
      </c>
      <c r="D24" s="74">
        <f t="shared" si="3"/>
        <v>0</v>
      </c>
      <c r="E24">
        <f>COUNTIF(tables_379100!C:C,input_379100!A24)-COUNTIF(Q:Q,A24)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4.1799999999999997E-2</v>
      </c>
      <c r="C25" s="86">
        <f t="shared" si="2"/>
        <v>0</v>
      </c>
      <c r="D25" s="74">
        <f t="shared" si="3"/>
        <v>4.1799999999999997E-2</v>
      </c>
      <c r="E25">
        <f>COUNTIF(tables_379100!C:C,input_379100!A25)-COUNTIF(Q:Q,A25)</f>
        <v>4</v>
      </c>
      <c r="F25" s="43">
        <f t="shared" si="8"/>
        <v>1.0449999999999999E-2</v>
      </c>
      <c r="G25">
        <f t="shared" si="4"/>
        <v>554268</v>
      </c>
      <c r="H25">
        <f t="shared" si="5"/>
        <v>138567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2.2000000000000001E-3</v>
      </c>
      <c r="C26" s="86">
        <f t="shared" si="2"/>
        <v>0</v>
      </c>
      <c r="D26" s="74">
        <f t="shared" si="3"/>
        <v>2.2000000000000001E-3</v>
      </c>
      <c r="E26">
        <f>COUNTIF(tables_379100!C:C,input_379100!A26)-COUNTIF(Q:Q,A26)</f>
        <v>4</v>
      </c>
      <c r="F26" s="43">
        <f t="shared" si="8"/>
        <v>5.5000000000000003E-4</v>
      </c>
      <c r="G26">
        <f t="shared" si="4"/>
        <v>29172</v>
      </c>
      <c r="H26">
        <f t="shared" si="5"/>
        <v>7293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1.9779487179487177E-2</v>
      </c>
      <c r="C27" s="86">
        <f t="shared" si="2"/>
        <v>0</v>
      </c>
      <c r="D27" s="74">
        <f t="shared" si="3"/>
        <v>1.9779487179487177E-2</v>
      </c>
      <c r="E27">
        <f>COUNTIF(tables_379100!C:C,input_379100!A27)-COUNTIF(Q:Q,A27)</f>
        <v>28</v>
      </c>
      <c r="F27" s="43">
        <f>IFERROR(B27/E27,0)</f>
        <v>7.0641025641025629E-4</v>
      </c>
      <c r="G27">
        <f t="shared" si="4"/>
        <v>262275.99999999994</v>
      </c>
      <c r="H27">
        <f t="shared" si="5"/>
        <v>9367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1.0410256410256411E-3</v>
      </c>
      <c r="C28" s="86">
        <f t="shared" si="2"/>
        <v>0</v>
      </c>
      <c r="D28" s="74">
        <f t="shared" si="3"/>
        <v>1.0410256410256411E-3</v>
      </c>
      <c r="E28">
        <f>COUNTIF(tables_379100!C:C,input_379100!A28)-COUNTIF(Q:Q,A28)</f>
        <v>28</v>
      </c>
      <c r="F28" s="43">
        <f t="shared" si="8"/>
        <v>3.7179487179487179E-5</v>
      </c>
      <c r="G28">
        <f t="shared" si="4"/>
        <v>13804.000000000002</v>
      </c>
      <c r="H28">
        <f t="shared" si="5"/>
        <v>493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8.1794871794871795E-3</v>
      </c>
      <c r="C29" s="86">
        <f t="shared" si="2"/>
        <v>2.1000000000000001E-2</v>
      </c>
      <c r="D29" s="74">
        <f t="shared" si="3"/>
        <v>-1.2820512820512822E-2</v>
      </c>
      <c r="E29">
        <f>COUNTIF(tables_379100!C:C,input_379100!A29)-COUNTIF(Q:Q,A29)</f>
        <v>11</v>
      </c>
      <c r="F29" s="43">
        <f t="shared" si="8"/>
        <v>7.4358974358974361E-4</v>
      </c>
      <c r="G29">
        <f t="shared" si="4"/>
        <v>108460</v>
      </c>
      <c r="H29">
        <f t="shared" si="5"/>
        <v>9860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242</v>
      </c>
      <c r="B30" s="56">
        <f>0</f>
        <v>0</v>
      </c>
      <c r="C30" s="86">
        <f t="shared" si="2"/>
        <v>0</v>
      </c>
      <c r="D30" s="74">
        <f t="shared" si="3"/>
        <v>0</v>
      </c>
      <c r="E30">
        <f>COUNTIF(tables_379100!C:C,input_379100!A30)-COUNTIF(Q:Q,A30)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243</v>
      </c>
      <c r="B31" s="56">
        <v>0</v>
      </c>
      <c r="C31" s="86">
        <f t="shared" si="2"/>
        <v>0</v>
      </c>
      <c r="D31" s="74">
        <f t="shared" si="3"/>
        <v>0</v>
      </c>
      <c r="E31">
        <f>COUNTIF(tables_379100!C:C,input_379100!A31)-COUNTIF(Q:Q,A31)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0.96399999999999963</v>
      </c>
      <c r="C32" s="41">
        <f>SUM(C19:C31)</f>
        <v>3.6000000000000004E-2</v>
      </c>
      <c r="D32" s="42">
        <f t="shared" si="3"/>
        <v>0.9279999999999996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73</v>
      </c>
    </row>
    <row r="36" spans="1:7" x14ac:dyDescent="0.15">
      <c r="A36" s="31">
        <f>LCM(F5-I5,F6-I6)*1000*2*2</f>
        <v>13260000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SUMIF(tables_379100!C:C,input_379100!A40,tables_379100!O:O)</f>
        <v>0</v>
      </c>
      <c r="C40" s="54">
        <f t="shared" ref="C40:C46" ca="1" si="9">B40/B$47</f>
        <v>0</v>
      </c>
      <c r="E40">
        <v>3</v>
      </c>
      <c r="F40">
        <f ca="1">SUMIF(tables_379100!J:J,input_379100!E40,tables_379100!O:O)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SUMIF(tables_379100!C:C,input_379100!A41,tables_379100!O:O)</f>
        <v>7205484</v>
      </c>
      <c r="C41" s="54">
        <f t="shared" ca="1" si="9"/>
        <v>0.91663494809688584</v>
      </c>
      <c r="E41">
        <v>4</v>
      </c>
      <c r="F41">
        <f ca="1">SUMIF(tables_379100!J:J,input_379100!E41,tables_379100!O:O)</f>
        <v>12219090.000010001</v>
      </c>
      <c r="G41">
        <f ca="1">F41/A36</f>
        <v>0.92150000000075416</v>
      </c>
    </row>
    <row r="42" spans="1:7" x14ac:dyDescent="0.15">
      <c r="A42" s="33" t="s">
        <v>106</v>
      </c>
      <c r="B42">
        <f ca="1">SUMIF(tables_379100!C:C,input_379100!A42,tables_379100!O:O)</f>
        <v>262276</v>
      </c>
      <c r="C42" s="54">
        <f t="shared" ca="1" si="9"/>
        <v>3.3365051903114187E-2</v>
      </c>
      <c r="E42">
        <v>5</v>
      </c>
      <c r="F42">
        <f ca="1">SUMIF(tables_379100!J:J,input_379100!E42,tables_379100!O:O)</f>
        <v>1040909.9999900003</v>
      </c>
      <c r="G42">
        <f ca="1">F42/A36</f>
        <v>7.8499999999245867E-2</v>
      </c>
    </row>
    <row r="43" spans="1:7" x14ac:dyDescent="0.15">
      <c r="A43" s="33" t="s">
        <v>109</v>
      </c>
      <c r="B43">
        <f>SUMIF(tables_379100!C:C,input_379100!A43,tables_379100!O:O)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SUMIF(tables_379100!C:C,input_379100!A44,tables_379100!O:O)</f>
        <v>379236</v>
      </c>
      <c r="C44" s="54">
        <f t="shared" ca="1" si="9"/>
        <v>4.82439446366782E-2</v>
      </c>
      <c r="E44" t="s">
        <v>54</v>
      </c>
      <c r="F44" s="55"/>
    </row>
    <row r="45" spans="1:7" x14ac:dyDescent="0.15">
      <c r="A45" s="33" t="s">
        <v>107</v>
      </c>
      <c r="B45">
        <f ca="1">SUMIF(tables_379100!C:C,input_379100!A45,tables_379100!O:O)</f>
        <v>13804</v>
      </c>
      <c r="C45" s="54">
        <f t="shared" ca="1" si="9"/>
        <v>1.7560553633217994E-3</v>
      </c>
      <c r="E45" t="s">
        <v>204</v>
      </c>
      <c r="F45" s="55">
        <f ca="1">SUMIF(tables_379100!I:I,input_379100!E45,tables_379100!P:P)</f>
        <v>0.22000000000000006</v>
      </c>
    </row>
    <row r="46" spans="1:7" x14ac:dyDescent="0.15">
      <c r="A46" s="33" t="s">
        <v>108</v>
      </c>
      <c r="B46">
        <f>SUMIF(tables_379100!C:C,input_379100!A46,tables_379100!O:O)</f>
        <v>0</v>
      </c>
      <c r="C46" s="54">
        <f t="shared" ca="1" si="9"/>
        <v>0</v>
      </c>
      <c r="E46" t="s">
        <v>205</v>
      </c>
      <c r="F46" s="55">
        <f ca="1">SUMIF(tables_379100!I:I,input_379100!E46,tables_379100!P:P)</f>
        <v>0.21999999999999981</v>
      </c>
    </row>
    <row r="47" spans="1:7" x14ac:dyDescent="0.15">
      <c r="A47" s="39" t="s">
        <v>59</v>
      </c>
      <c r="B47">
        <f ca="1">SUM(B40:B46)</f>
        <v>7860800</v>
      </c>
      <c r="C47" s="55">
        <f ca="1">SUM(C40:C46)</f>
        <v>1.0000000000000002</v>
      </c>
      <c r="E47" t="s">
        <v>206</v>
      </c>
      <c r="F47" s="55">
        <f ca="1">SUMIF(tables_379100!I:I,input_379100!E47,tables_379100!P:P)</f>
        <v>0.5099999999999999</v>
      </c>
    </row>
    <row r="48" spans="1:7" x14ac:dyDescent="0.15">
      <c r="E48" t="s">
        <v>207</v>
      </c>
      <c r="F48" s="55">
        <f ca="1">SUMIF(tables_379100!I:I,input_379100!E48,tables_379100!P:P)</f>
        <v>0.05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99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O2" sqref="O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input_379100!A$2</f>
        <v>379100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IFERROR(VLOOKUP(B2,input_379100!L:R,7,FALSE),VLOOKUP(tables_379100!C2,input_379100!A:H,8,FALSE))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input_379100!A$2</f>
        <v>379100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IFERROR(VLOOKUP(B3,input_379100!L:R,7,FALSE),VLOOKUP(tables_379100!C3,input_379100!A:H,8,FALSE))</f>
        <v>145860</v>
      </c>
      <c r="P3" s="46">
        <f t="shared" ca="1" si="2"/>
        <v>1.0999999999999999E-2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input_379100!A$2</f>
        <v>379100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IFERROR(VLOOKUP(B4,input_379100!L:R,7,FALSE),VLOOKUP(tables_379100!C4,input_379100!A:H,8,FALSE))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input_379100!A$2</f>
        <v>379100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IFERROR(VLOOKUP(B5,input_379100!L:R,7,FALSE),VLOOKUP(tables_379100!C5,input_379100!A:H,8,FALSE))</f>
        <v>145860</v>
      </c>
      <c r="P5" s="46">
        <f t="shared" ca="1" si="2"/>
        <v>1.0999999999999999E-2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input_379100!A$2</f>
        <v>379100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IFERROR(VLOOKUP(B6,input_379100!L:R,7,FALSE),VLOOKUP(tables_379100!C6,input_379100!A:H,8,FALSE))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input_379100!A$2</f>
        <v>379100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IFERROR(VLOOKUP(B7,input_379100!L:R,7,FALSE),VLOOKUP(tables_379100!C7,input_379100!A:H,8,FALSE))</f>
        <v>145860</v>
      </c>
      <c r="P7" s="46">
        <f t="shared" ca="1" si="2"/>
        <v>1.0999999999999999E-2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input_379100!A$2</f>
        <v>379100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IFERROR(VLOOKUP(B8,input_379100!L:R,7,FALSE),VLOOKUP(tables_379100!C8,input_379100!A:H,8,FALSE))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input_379100!A$2</f>
        <v>379100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IFERROR(VLOOKUP(B9,input_379100!L:R,7,FALSE),VLOOKUP(tables_379100!C9,input_379100!A:H,8,FALSE))</f>
        <v>145860</v>
      </c>
      <c r="P9" s="46">
        <f t="shared" ca="1" si="2"/>
        <v>1.0999999999999999E-2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input_379100!A$2</f>
        <v>379100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IFERROR(VLOOKUP(B10,input_379100!L:R,7,FALSE),VLOOKUP(tables_379100!C10,input_379100!A:H,8,FALSE))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input_379100!A$2</f>
        <v>379100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IFERROR(VLOOKUP(B11,input_379100!L:R,7,FALSE),VLOOKUP(tables_379100!C11,input_379100!A:H,8,FALSE))</f>
        <v>145860</v>
      </c>
      <c r="P11" s="46">
        <f t="shared" ca="1" si="2"/>
        <v>1.0999999999999999E-2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input_379100!A$2</f>
        <v>379100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IFERROR(VLOOKUP(B12,input_379100!L:R,7,FALSE),VLOOKUP(tables_379100!C12,input_379100!A:H,8,FALSE))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input_379100!A$2</f>
        <v>379100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IFERROR(VLOOKUP(B13,input_379100!L:R,7,FALSE),VLOOKUP(tables_379100!C13,input_379100!A:H,8,FALSE))</f>
        <v>145860</v>
      </c>
      <c r="P13" s="46">
        <f t="shared" ca="1" si="2"/>
        <v>1.0999999999999999E-2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input_379100!A$2</f>
        <v>379100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IFERROR(VLOOKUP(B14,input_379100!L:R,7,FALSE),VLOOKUP(tables_379100!C14,input_379100!A:H,8,FALSE))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input_379100!A$2</f>
        <v>379100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IFERROR(VLOOKUP(B15,input_379100!L:R,7,FALSE),VLOOKUP(tables_379100!C15,input_379100!A:H,8,FALSE))</f>
        <v>145860</v>
      </c>
      <c r="P15" s="46">
        <f t="shared" ca="1" si="2"/>
        <v>1.0999999999999999E-2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input_379100!A$2</f>
        <v>379100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IFERROR(VLOOKUP(B16,input_379100!L:R,7,FALSE),VLOOKUP(tables_379100!C16,input_379100!A:H,8,FALSE))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input_379100!A$2</f>
        <v>379100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IFERROR(VLOOKUP(B17,input_379100!L:R,7,FALSE),VLOOKUP(tables_379100!C17,input_379100!A:H,8,FALSE))</f>
        <v>145860</v>
      </c>
      <c r="P17" s="46">
        <f t="shared" ca="1" si="2"/>
        <v>1.0999999999999999E-2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input_379100!A$2</f>
        <v>379100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IFERROR(VLOOKUP(B18,input_379100!L:R,7,FALSE),VLOOKUP(tables_379100!C18,input_379100!A:H,8,FALSE))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input_379100!A$2</f>
        <v>379100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IFERROR(VLOOKUP(B19,input_379100!L:R,7,FALSE),VLOOKUP(tables_379100!C19,input_379100!A:H,8,FALSE))</f>
        <v>145860</v>
      </c>
      <c r="P19" s="46">
        <f t="shared" ca="1" si="2"/>
        <v>1.0999999999999999E-2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input_379100!A$2</f>
        <v>379100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IFERROR(VLOOKUP(B20,input_379100!L:R,7,FALSE),VLOOKUP(tables_379100!C20,input_379100!A:H,8,FALSE))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input_379100!A$2</f>
        <v>379100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IFERROR(VLOOKUP(B21,input_379100!L:R,7,FALSE),VLOOKUP(tables_379100!C21,input_379100!A:H,8,FALSE))</f>
        <v>145860</v>
      </c>
      <c r="P21" s="46">
        <f t="shared" ca="1" si="2"/>
        <v>1.0999999999999999E-2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input_379100!A$2</f>
        <v>379100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IFERROR(VLOOKUP(B22,input_379100!L:R,7,FALSE),VLOOKUP(tables_379100!C22,input_379100!A:H,8,FALSE))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input_379100!A$2</f>
        <v>379100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IFERROR(VLOOKUP(B23,input_379100!L:R,7,FALSE),VLOOKUP(tables_379100!C23,input_379100!A:H,8,FALSE))</f>
        <v>145860</v>
      </c>
      <c r="P23" s="46">
        <f t="shared" ca="1" si="2"/>
        <v>1.0999999999999999E-2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input_379100!A$2</f>
        <v>379100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IFERROR(VLOOKUP(B24,input_379100!L:R,7,FALSE),VLOOKUP(tables_379100!C24,input_379100!A:H,8,FALSE))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input_379100!A$2</f>
        <v>379100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IFERROR(VLOOKUP(B25,input_379100!L:R,7,FALSE),VLOOKUP(tables_379100!C25,input_379100!A:H,8,FALSE))</f>
        <v>145860</v>
      </c>
      <c r="P25" s="46">
        <f t="shared" ca="1" si="2"/>
        <v>1.0999999999999999E-2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input_379100!A$2</f>
        <v>379100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IFERROR(VLOOKUP(B26,input_379100!L:R,7,FALSE),VLOOKUP(tables_379100!C26,input_379100!A:H,8,FALSE))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input_379100!A$2</f>
        <v>379100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IFERROR(VLOOKUP(B27,input_379100!L:R,7,FALSE),VLOOKUP(tables_379100!C27,input_379100!A:H,8,FALSE))</f>
        <v>145860</v>
      </c>
      <c r="P27" s="46">
        <f t="shared" ca="1" si="2"/>
        <v>1.0999999999999999E-2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input_379100!A$2</f>
        <v>379100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IFERROR(VLOOKUP(B28,input_379100!L:R,7,FALSE),VLOOKUP(tables_379100!C28,input_379100!A:H,8,FALSE))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input_379100!A$2</f>
        <v>379100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IFERROR(VLOOKUP(B29,input_379100!L:R,7,FALSE),VLOOKUP(tables_379100!C29,input_379100!A:H,8,FALSE))</f>
        <v>145860</v>
      </c>
      <c r="P29" s="46">
        <f t="shared" ca="1" si="2"/>
        <v>1.0999999999999999E-2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input_379100!A$2</f>
        <v>379100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IFERROR(VLOOKUP(B30,input_379100!L:R,7,FALSE),VLOOKUP(tables_379100!C30,input_379100!A:H,8,FALSE))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input_379100!A$2</f>
        <v>379100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IFERROR(VLOOKUP(B31,input_379100!L:R,7,FALSE),VLOOKUP(tables_379100!C31,input_379100!A:H,8,FALSE))</f>
        <v>145860</v>
      </c>
      <c r="P31" s="46">
        <f t="shared" ca="1" si="2"/>
        <v>1.0999999999999999E-2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input_379100!A$2</f>
        <v>379100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IFERROR(VLOOKUP(B32,input_379100!L:R,7,FALSE),VLOOKUP(tables_379100!C32,input_379100!A:H,8,FALSE))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input_379100!A$2</f>
        <v>379100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IFERROR(VLOOKUP(B33,input_379100!L:R,7,FALSE),VLOOKUP(tables_379100!C33,input_379100!A:H,8,FALSE))</f>
        <v>145860</v>
      </c>
      <c r="P33" s="46">
        <f t="shared" ca="1" si="2"/>
        <v>1.0999999999999999E-2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input_379100!A$2</f>
        <v>379100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IFERROR(VLOOKUP(B34,input_379100!L:R,7,FALSE),VLOOKUP(tables_379100!C34,input_379100!A:H,8,FALSE))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input_379100!A$2</f>
        <v>379100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IFERROR(VLOOKUP(B35,input_379100!L:R,7,FALSE),VLOOKUP(tables_379100!C35,input_379100!A:H,8,FALSE))</f>
        <v>145860</v>
      </c>
      <c r="P35" s="46">
        <f t="shared" ca="1" si="2"/>
        <v>1.0999999999999999E-2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input_379100!A$2</f>
        <v>379100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IFERROR(VLOOKUP(B36,input_379100!L:R,7,FALSE),VLOOKUP(tables_379100!C36,input_379100!A:H,8,FALSE))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input_379100!A$2</f>
        <v>379100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IFERROR(VLOOKUP(B37,input_379100!L:R,7,FALSE),VLOOKUP(tables_379100!C37,input_379100!A:H,8,FALSE))</f>
        <v>145860</v>
      </c>
      <c r="P37" s="46">
        <f t="shared" ca="1" si="2"/>
        <v>1.0999999999999999E-2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input_379100!A$2</f>
        <v>379100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IFERROR(VLOOKUP(B38,input_379100!L:R,7,FALSE),VLOOKUP(tables_379100!C38,input_379100!A:H,8,FALSE))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input_379100!A$2</f>
        <v>379100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IFERROR(VLOOKUP(B39,input_379100!L:R,7,FALSE),VLOOKUP(tables_379100!C39,input_379100!A:H,8,FALSE))</f>
        <v>145860</v>
      </c>
      <c r="P39" s="46">
        <f t="shared" ca="1" si="2"/>
        <v>1.0999999999999999E-2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input_379100!A$2</f>
        <v>379100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IFERROR(VLOOKUP(B40,input_379100!L:R,7,FALSE),VLOOKUP(tables_379100!C40,input_379100!A:H,8,FALSE))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input_379100!A$2</f>
        <v>379100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IFERROR(VLOOKUP(B41,input_379100!L:R,7,FALSE),VLOOKUP(tables_379100!C41,input_379100!A:H,8,FALSE))</f>
        <v>145860</v>
      </c>
      <c r="P41" s="46">
        <f t="shared" ca="1" si="2"/>
        <v>1.0999999999999999E-2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input_379100!A$2</f>
        <v>379100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IFERROR(VLOOKUP(B42,input_379100!L:R,7,FALSE),VLOOKUP(tables_379100!C42,input_379100!A:H,8,FALSE))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input_379100!A$2</f>
        <v>379100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IFERROR(VLOOKUP(B43,input_379100!L:R,7,FALSE),VLOOKUP(tables_379100!C43,input_379100!A:H,8,FALSE))</f>
        <v>138567</v>
      </c>
      <c r="P43" s="46">
        <f t="shared" ca="1" si="2"/>
        <v>1.0449999999999999E-2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input_379100!A$2</f>
        <v>379100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IFERROR(VLOOKUP(B44,input_379100!L:R,7,FALSE),VLOOKUP(tables_379100!C44,input_379100!A:H,8,FALSE))</f>
        <v>7293</v>
      </c>
      <c r="P44" s="46">
        <f t="shared" ca="1" si="2"/>
        <v>5.5000000000000003E-4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input_379100!A$2</f>
        <v>379100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IFERROR(VLOOKUP(B45,input_379100!L:R,7,FALSE),VLOOKUP(tables_379100!C45,input_379100!A:H,8,FALSE))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input_379100!A$2</f>
        <v>379100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IFERROR(VLOOKUP(B46,input_379100!L:R,7,FALSE),VLOOKUP(tables_379100!C46,input_379100!A:H,8,FALSE))</f>
        <v>138567</v>
      </c>
      <c r="P46" s="46">
        <f t="shared" ca="1" si="2"/>
        <v>1.0449999999999999E-2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input_379100!A$2</f>
        <v>379100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IFERROR(VLOOKUP(B47,input_379100!L:R,7,FALSE),VLOOKUP(tables_379100!C47,input_379100!A:H,8,FALSE))</f>
        <v>7293</v>
      </c>
      <c r="P47" s="46">
        <f t="shared" ca="1" si="2"/>
        <v>5.5000000000000003E-4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input_379100!A$2</f>
        <v>379100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IFERROR(VLOOKUP(B48,input_379100!L:R,7,FALSE),VLOOKUP(tables_379100!C48,input_379100!A:H,8,FALSE))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input_379100!A$2</f>
        <v>379100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IFERROR(VLOOKUP(B49,input_379100!L:R,7,FALSE),VLOOKUP(tables_379100!C49,input_379100!A:H,8,FALSE))</f>
        <v>138567</v>
      </c>
      <c r="P49" s="46">
        <f t="shared" ca="1" si="2"/>
        <v>1.0449999999999999E-2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input_379100!A$2</f>
        <v>379100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IFERROR(VLOOKUP(B50,input_379100!L:R,7,FALSE),VLOOKUP(tables_379100!C50,input_379100!A:H,8,FALSE))</f>
        <v>7293</v>
      </c>
      <c r="P50" s="46">
        <f t="shared" ca="1" si="2"/>
        <v>5.5000000000000003E-4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input_379100!A$2</f>
        <v>379100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IFERROR(VLOOKUP(B51,input_379100!L:R,7,FALSE),VLOOKUP(tables_379100!C51,input_379100!A:H,8,FALSE))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input_379100!A$2</f>
        <v>379100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IFERROR(VLOOKUP(B52,input_379100!L:R,7,FALSE),VLOOKUP(tables_379100!C52,input_379100!A:H,8,FALSE))</f>
        <v>138567</v>
      </c>
      <c r="P52" s="46">
        <f t="shared" ca="1" si="2"/>
        <v>1.0449999999999999E-2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input_379100!A$2</f>
        <v>379100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IFERROR(VLOOKUP(B53,input_379100!L:R,7,FALSE),VLOOKUP(tables_379100!C53,input_379100!A:H,8,FALSE))</f>
        <v>7293</v>
      </c>
      <c r="P53" s="46">
        <f t="shared" ca="1" si="2"/>
        <v>5.5000000000000003E-4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input_379100!A$2</f>
        <v>379100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IFERROR(VLOOKUP(B54,input_379100!L:R,7,FALSE),VLOOKUP(tables_379100!C54,input_379100!A:H,8,FALSE))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input_379100!A$2</f>
        <v>379100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IFERROR(VLOOKUP(B55,input_379100!L:R,7,FALSE),VLOOKUP(tables_379100!C55,input_379100!A:H,8,FALSE))</f>
        <v>138567</v>
      </c>
      <c r="P55" s="46">
        <f t="shared" ca="1" si="2"/>
        <v>1.0449999999999999E-2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input_379100!A$2</f>
        <v>379100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IFERROR(VLOOKUP(B56,input_379100!L:R,7,FALSE),VLOOKUP(tables_379100!C56,input_379100!A:H,8,FALSE))</f>
        <v>7293</v>
      </c>
      <c r="P56" s="46">
        <f t="shared" ca="1" si="2"/>
        <v>5.5000000000000003E-4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input_379100!A$2</f>
        <v>379100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IFERROR(VLOOKUP(B57,input_379100!L:R,7,FALSE),VLOOKUP(tables_379100!C57,input_379100!A:H,8,FALSE))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input_379100!A$2</f>
        <v>379100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IFERROR(VLOOKUP(B58,input_379100!L:R,7,FALSE),VLOOKUP(tables_379100!C58,input_379100!A:H,8,FALSE))</f>
        <v>138567</v>
      </c>
      <c r="P58" s="46">
        <f t="shared" ca="1" si="2"/>
        <v>1.0449999999999999E-2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input_379100!A$2</f>
        <v>379100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IFERROR(VLOOKUP(B59,input_379100!L:R,7,FALSE),VLOOKUP(tables_379100!C59,input_379100!A:H,8,FALSE))</f>
        <v>7293</v>
      </c>
      <c r="P59" s="46">
        <f t="shared" ca="1" si="2"/>
        <v>5.5000000000000003E-4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input_379100!A$2</f>
        <v>379100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IFERROR(VLOOKUP(B60,input_379100!L:R,7,FALSE),VLOOKUP(tables_379100!C60,input_379100!A:H,8,FALSE))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input_379100!A$2</f>
        <v>379100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IFERROR(VLOOKUP(B61,input_379100!L:R,7,FALSE),VLOOKUP(tables_379100!C61,input_379100!A:H,8,FALSE))</f>
        <v>138567</v>
      </c>
      <c r="P61" s="46">
        <f t="shared" ca="1" si="2"/>
        <v>1.0449999999999999E-2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input_379100!A$2</f>
        <v>379100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IFERROR(VLOOKUP(B62,input_379100!L:R,7,FALSE),VLOOKUP(tables_379100!C62,input_379100!A:H,8,FALSE))</f>
        <v>7293</v>
      </c>
      <c r="P62" s="46">
        <f t="shared" ca="1" si="2"/>
        <v>5.5000000000000003E-4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input_379100!A$2</f>
        <v>379100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IFERROR(VLOOKUP(B63,input_379100!L:R,7,FALSE),VLOOKUP(tables_379100!C63,input_379100!A:H,8,FALSE))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input_379100!A$2</f>
        <v>379100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IFERROR(VLOOKUP(B64,input_379100!L:R,7,FALSE),VLOOKUP(tables_379100!C64,input_379100!A:H,8,FALSE))</f>
        <v>138567</v>
      </c>
      <c r="P64" s="46">
        <f t="shared" ca="1" si="2"/>
        <v>1.0449999999999999E-2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input_379100!A$2</f>
        <v>379100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IFERROR(VLOOKUP(B65,input_379100!L:R,7,FALSE),VLOOKUP(tables_379100!C65,input_379100!A:H,8,FALSE))</f>
        <v>7293</v>
      </c>
      <c r="P65" s="46">
        <f t="shared" ca="1" si="2"/>
        <v>5.5000000000000003E-4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input_379100!A$2</f>
        <v>379100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IFERROR(VLOOKUP(B66,input_379100!L:R,7,FALSE),VLOOKUP(tables_379100!C66,input_379100!A:H,8,FALSE))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input_379100!A$2</f>
        <v>379100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IFERROR(VLOOKUP(B67,input_379100!L:R,7,FALSE),VLOOKUP(tables_379100!C67,input_379100!A:H,8,FALSE))</f>
        <v>138567</v>
      </c>
      <c r="P67" s="46">
        <f t="shared" ca="1" si="5"/>
        <v>1.0449999999999999E-2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input_379100!A$2</f>
        <v>379100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IFERROR(VLOOKUP(B68,input_379100!L:R,7,FALSE),VLOOKUP(tables_379100!C68,input_379100!A:H,8,FALSE))</f>
        <v>7293</v>
      </c>
      <c r="P68" s="46">
        <f t="shared" ca="1" si="5"/>
        <v>5.5000000000000003E-4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input_379100!A$2</f>
        <v>379100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IFERROR(VLOOKUP(B69,input_379100!L:R,7,FALSE),VLOOKUP(tables_379100!C69,input_379100!A:H,8,FALSE))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input_379100!A$2</f>
        <v>379100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IFERROR(VLOOKUP(B70,input_379100!L:R,7,FALSE),VLOOKUP(tables_379100!C70,input_379100!A:H,8,FALSE))</f>
        <v>138567</v>
      </c>
      <c r="P70" s="46">
        <f t="shared" ca="1" si="5"/>
        <v>1.0449999999999999E-2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input_379100!A$2</f>
        <v>379100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IFERROR(VLOOKUP(B71,input_379100!L:R,7,FALSE),VLOOKUP(tables_379100!C71,input_379100!A:H,8,FALSE))</f>
        <v>7293</v>
      </c>
      <c r="P71" s="46">
        <f t="shared" ca="1" si="5"/>
        <v>5.5000000000000003E-4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input_379100!A$2</f>
        <v>379100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IFERROR(VLOOKUP(B72,input_379100!L:R,7,FALSE),VLOOKUP(tables_379100!C72,input_379100!A:H,8,FALSE))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input_379100!A$2</f>
        <v>379100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IFERROR(VLOOKUP(B73,input_379100!L:R,7,FALSE),VLOOKUP(tables_379100!C73,input_379100!A:H,8,FALSE))</f>
        <v>138567</v>
      </c>
      <c r="P73" s="46">
        <f t="shared" ca="1" si="5"/>
        <v>1.0449999999999999E-2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input_379100!A$2</f>
        <v>379100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IFERROR(VLOOKUP(B74,input_379100!L:R,7,FALSE),VLOOKUP(tables_379100!C74,input_379100!A:H,8,FALSE))</f>
        <v>7293</v>
      </c>
      <c r="P74" s="46">
        <f t="shared" ca="1" si="5"/>
        <v>5.5000000000000003E-4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input_379100!A$2</f>
        <v>379100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IFERROR(VLOOKUP(B75,input_379100!L:R,7,FALSE),VLOOKUP(tables_379100!C75,input_379100!A:H,8,FALSE))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input_379100!A$2</f>
        <v>379100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IFERROR(VLOOKUP(B76,input_379100!L:R,7,FALSE),VLOOKUP(tables_379100!C76,input_379100!A:H,8,FALSE))</f>
        <v>138567</v>
      </c>
      <c r="P76" s="46">
        <f t="shared" ca="1" si="5"/>
        <v>1.0449999999999999E-2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input_379100!A$2</f>
        <v>379100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IFERROR(VLOOKUP(B77,input_379100!L:R,7,FALSE),VLOOKUP(tables_379100!C77,input_379100!A:H,8,FALSE))</f>
        <v>7293</v>
      </c>
      <c r="P77" s="46">
        <f t="shared" ca="1" si="5"/>
        <v>5.5000000000000003E-4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input_379100!A$2</f>
        <v>379100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IFERROR(VLOOKUP(B78,input_379100!L:R,7,FALSE),VLOOKUP(tables_379100!C78,input_379100!A:H,8,FALSE))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input_379100!A$2</f>
        <v>379100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IFERROR(VLOOKUP(B79,input_379100!L:R,7,FALSE),VLOOKUP(tables_379100!C79,input_379100!A:H,8,FALSE))</f>
        <v>138567</v>
      </c>
      <c r="P79" s="46">
        <f t="shared" ca="1" si="5"/>
        <v>1.0449999999999999E-2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input_379100!A$2</f>
        <v>379100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IFERROR(VLOOKUP(B80,input_379100!L:R,7,FALSE),VLOOKUP(tables_379100!C80,input_379100!A:H,8,FALSE))</f>
        <v>7293</v>
      </c>
      <c r="P80" s="46">
        <f t="shared" ca="1" si="5"/>
        <v>5.5000000000000003E-4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input_379100!A$2</f>
        <v>379100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IFERROR(VLOOKUP(B81,input_379100!L:R,7,FALSE),VLOOKUP(tables_379100!C81,input_379100!A:H,8,FALSE))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input_379100!A$2</f>
        <v>379100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IFERROR(VLOOKUP(B82,input_379100!L:R,7,FALSE),VLOOKUP(tables_379100!C82,input_379100!A:H,8,FALSE))</f>
        <v>138567</v>
      </c>
      <c r="P82" s="46">
        <f t="shared" ca="1" si="5"/>
        <v>1.0449999999999999E-2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input_379100!A$2</f>
        <v>379100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IFERROR(VLOOKUP(B83,input_379100!L:R,7,FALSE),VLOOKUP(tables_379100!C83,input_379100!A:H,8,FALSE))</f>
        <v>7293</v>
      </c>
      <c r="P83" s="46">
        <f t="shared" ca="1" si="5"/>
        <v>5.5000000000000003E-4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input_379100!A$2</f>
        <v>379100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IFERROR(VLOOKUP(B84,input_379100!L:R,7,FALSE),VLOOKUP(tables_379100!C84,input_379100!A:H,8,FALSE))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input_379100!A$2</f>
        <v>379100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IFERROR(VLOOKUP(B85,input_379100!L:R,7,FALSE),VLOOKUP(tables_379100!C85,input_379100!A:H,8,FALSE))</f>
        <v>138567</v>
      </c>
      <c r="P85" s="46">
        <f t="shared" ca="1" si="5"/>
        <v>1.0449999999999999E-2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input_379100!A$2</f>
        <v>379100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IFERROR(VLOOKUP(B86,input_379100!L:R,7,FALSE),VLOOKUP(tables_379100!C86,input_379100!A:H,8,FALSE))</f>
        <v>7293</v>
      </c>
      <c r="P86" s="46">
        <f t="shared" ca="1" si="5"/>
        <v>5.5000000000000003E-4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input_379100!A$2</f>
        <v>379100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IFERROR(VLOOKUP(B87,input_379100!L:R,7,FALSE),VLOOKUP(tables_379100!C87,input_379100!A:H,8,FALSE))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input_379100!A$2</f>
        <v>379100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IFERROR(VLOOKUP(B88,input_379100!L:R,7,FALSE),VLOOKUP(tables_379100!C88,input_379100!A:H,8,FALSE))</f>
        <v>138567</v>
      </c>
      <c r="P88" s="46">
        <f t="shared" ca="1" si="5"/>
        <v>1.0449999999999999E-2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input_379100!A$2</f>
        <v>379100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IFERROR(VLOOKUP(B89,input_379100!L:R,7,FALSE),VLOOKUP(tables_379100!C89,input_379100!A:H,8,FALSE))</f>
        <v>7293</v>
      </c>
      <c r="P89" s="46">
        <f t="shared" ca="1" si="5"/>
        <v>5.5000000000000003E-4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input_379100!A$2</f>
        <v>379100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IFERROR(VLOOKUP(B90,input_379100!L:R,7,FALSE),VLOOKUP(tables_379100!C90,input_379100!A:H,8,FALSE))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input_379100!A$2</f>
        <v>379100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IFERROR(VLOOKUP(B91,input_379100!L:R,7,FALSE),VLOOKUP(tables_379100!C91,input_379100!A:H,8,FALSE))</f>
        <v>138567</v>
      </c>
      <c r="P91" s="46">
        <f t="shared" ca="1" si="5"/>
        <v>1.0449999999999999E-2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input_379100!A$2</f>
        <v>379100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IFERROR(VLOOKUP(B92,input_379100!L:R,7,FALSE),VLOOKUP(tables_379100!C92,input_379100!A:H,8,FALSE))</f>
        <v>7293</v>
      </c>
      <c r="P92" s="46">
        <f t="shared" ca="1" si="5"/>
        <v>5.5000000000000003E-4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input_379100!A$2</f>
        <v>379100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IFERROR(VLOOKUP(B93,input_379100!L:R,7,FALSE),VLOOKUP(tables_379100!C93,input_379100!A:H,8,FALSE))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input_379100!A$2</f>
        <v>379100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IFERROR(VLOOKUP(B94,input_379100!L:R,7,FALSE),VLOOKUP(tables_379100!C94,input_379100!A:H,8,FALSE))</f>
        <v>138567</v>
      </c>
      <c r="P94" s="46">
        <f t="shared" ca="1" si="5"/>
        <v>1.0449999999999999E-2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input_379100!A$2</f>
        <v>379100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IFERROR(VLOOKUP(B95,input_379100!L:R,7,FALSE),VLOOKUP(tables_379100!C95,input_379100!A:H,8,FALSE))</f>
        <v>7293</v>
      </c>
      <c r="P95" s="46">
        <f t="shared" ca="1" si="5"/>
        <v>5.5000000000000003E-4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input_379100!A$2</f>
        <v>379100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IFERROR(VLOOKUP(B96,input_379100!L:R,7,FALSE),VLOOKUP(tables_379100!C96,input_379100!A:H,8,FALSE))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input_379100!A$2</f>
        <v>379100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IFERROR(VLOOKUP(B97,input_379100!L:R,7,FALSE),VLOOKUP(tables_379100!C97,input_379100!A:H,8,FALSE))</f>
        <v>138567</v>
      </c>
      <c r="P97" s="46">
        <f t="shared" ca="1" si="5"/>
        <v>1.0449999999999999E-2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input_379100!A$2</f>
        <v>379100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IFERROR(VLOOKUP(B98,input_379100!L:R,7,FALSE),VLOOKUP(tables_379100!C98,input_379100!A:H,8,FALSE))</f>
        <v>7293</v>
      </c>
      <c r="P98" s="46">
        <f t="shared" ca="1" si="5"/>
        <v>5.5000000000000003E-4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input_379100!A$2</f>
        <v>379100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IFERROR(VLOOKUP(B99,input_379100!L:R,7,FALSE),VLOOKUP(tables_379100!C99,input_379100!A:H,8,FALSE))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input_379100!A$2</f>
        <v>379100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IFERROR(VLOOKUP(B100,input_379100!L:R,7,FALSE),VLOOKUP(tables_379100!C100,input_379100!A:H,8,FALSE))</f>
        <v>138567</v>
      </c>
      <c r="P100" s="46">
        <f t="shared" ca="1" si="5"/>
        <v>1.0449999999999999E-2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input_379100!A$2</f>
        <v>379100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IFERROR(VLOOKUP(B101,input_379100!L:R,7,FALSE),VLOOKUP(tables_379100!C101,input_379100!A:H,8,FALSE))</f>
        <v>7293</v>
      </c>
      <c r="P101" s="46">
        <f t="shared" ca="1" si="5"/>
        <v>5.5000000000000003E-4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input_379100!A$2</f>
        <v>379100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IFERROR(VLOOKUP(B102,input_379100!L:R,7,FALSE),VLOOKUP(tables_379100!C102,input_379100!A:H,8,FALSE))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input_379100!A$2</f>
        <v>379100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IFERROR(VLOOKUP(B103,input_379100!L:R,7,FALSE),VLOOKUP(tables_379100!C103,input_379100!A:H,8,FALSE))</f>
        <v>138567</v>
      </c>
      <c r="P103" s="46">
        <f t="shared" ca="1" si="5"/>
        <v>1.0449999999999999E-2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input_379100!A$2</f>
        <v>379100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IFERROR(VLOOKUP(B104,input_379100!L:R,7,FALSE),VLOOKUP(tables_379100!C104,input_379100!A:H,8,FALSE))</f>
        <v>7293</v>
      </c>
      <c r="P104" s="46">
        <f t="shared" ca="1" si="5"/>
        <v>5.5000000000000003E-4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input_379100!A$2</f>
        <v>379100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IFERROR(VLOOKUP(B105,input_379100!L:R,7,FALSE),VLOOKUP(tables_379100!C105,input_379100!A:H,8,FALSE))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input_379100!A$2</f>
        <v>379100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IFERROR(VLOOKUP(B106,input_379100!L:R,7,FALSE),VLOOKUP(tables_379100!C106,input_379100!A:H,8,FALSE))</f>
        <v>138567</v>
      </c>
      <c r="P106" s="46">
        <f t="shared" ca="1" si="5"/>
        <v>1.0449999999999999E-2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input_379100!A$2</f>
        <v>379100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IFERROR(VLOOKUP(B107,input_379100!L:R,7,FALSE),VLOOKUP(tables_379100!C107,input_379100!A:H,8,FALSE))</f>
        <v>7293</v>
      </c>
      <c r="P107" s="46">
        <f t="shared" ca="1" si="5"/>
        <v>5.5000000000000003E-4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input_379100!A$2</f>
        <v>379100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IFERROR(VLOOKUP(B108,input_379100!L:R,7,FALSE),VLOOKUP(tables_379100!C108,input_379100!A:H,8,FALSE))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input_379100!A$2</f>
        <v>379100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IFERROR(VLOOKUP(B109,input_379100!L:R,7,FALSE),VLOOKUP(tables_379100!C109,input_379100!A:H,8,FALSE))</f>
        <v>138567</v>
      </c>
      <c r="P109" s="46">
        <f t="shared" ca="1" si="5"/>
        <v>1.0449999999999999E-2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input_379100!A$2</f>
        <v>379100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IFERROR(VLOOKUP(B110,input_379100!L:R,7,FALSE),VLOOKUP(tables_379100!C110,input_379100!A:H,8,FALSE))</f>
        <v>7293</v>
      </c>
      <c r="P110" s="46">
        <f t="shared" ca="1" si="5"/>
        <v>5.5000000000000003E-4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input_379100!A$2</f>
        <v>379100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IFERROR(VLOOKUP(B111,input_379100!L:R,7,FALSE),VLOOKUP(tables_379100!C111,input_379100!A:H,8,FALSE))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input_379100!A$2</f>
        <v>379100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IFERROR(VLOOKUP(B112,input_379100!L:R,7,FALSE),VLOOKUP(tables_379100!C112,input_379100!A:H,8,FALSE))</f>
        <v>138567</v>
      </c>
      <c r="P112" s="46">
        <f t="shared" ca="1" si="5"/>
        <v>1.0449999999999999E-2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input_379100!A$2</f>
        <v>379100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IFERROR(VLOOKUP(B113,input_379100!L:R,7,FALSE),VLOOKUP(tables_379100!C113,input_379100!A:H,8,FALSE))</f>
        <v>7293</v>
      </c>
      <c r="P113" s="46">
        <f t="shared" ca="1" si="5"/>
        <v>5.5000000000000003E-4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input_379100!A$2</f>
        <v>379100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IFERROR(VLOOKUP(B114,input_379100!L:R,7,FALSE),VLOOKUP(tables_379100!C114,input_379100!A:H,8,FALSE))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input_379100!A$2</f>
        <v>379100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IFERROR(VLOOKUP(B115,input_379100!L:R,7,FALSE),VLOOKUP(tables_379100!C115,input_379100!A:H,8,FALSE))</f>
        <v>138567</v>
      </c>
      <c r="P115" s="46">
        <f t="shared" ca="1" si="5"/>
        <v>1.0449999999999999E-2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input_379100!A$2</f>
        <v>379100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IFERROR(VLOOKUP(B116,input_379100!L:R,7,FALSE),VLOOKUP(tables_379100!C116,input_379100!A:H,8,FALSE))</f>
        <v>7293</v>
      </c>
      <c r="P116" s="46">
        <f t="shared" ca="1" si="5"/>
        <v>5.5000000000000003E-4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input_379100!A$2</f>
        <v>379100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IFERROR(VLOOKUP(B117,input_379100!L:R,7,FALSE),VLOOKUP(tables_379100!C117,input_379100!A:H,8,FALSE))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input_379100!A$2</f>
        <v>379100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IFERROR(VLOOKUP(B118,input_379100!L:R,7,FALSE),VLOOKUP(tables_379100!C118,input_379100!A:H,8,FALSE))</f>
        <v>138567</v>
      </c>
      <c r="P118" s="46">
        <f t="shared" ca="1" si="5"/>
        <v>1.0449999999999999E-2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input_379100!A$2</f>
        <v>379100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IFERROR(VLOOKUP(B119,input_379100!L:R,7,FALSE),VLOOKUP(tables_379100!C119,input_379100!A:H,8,FALSE))</f>
        <v>7293</v>
      </c>
      <c r="P119" s="46">
        <f t="shared" ca="1" si="5"/>
        <v>5.5000000000000003E-4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input_379100!A$2</f>
        <v>379100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IFERROR(VLOOKUP(B120,input_379100!L:R,7,FALSE),VLOOKUP(tables_379100!C120,input_379100!A:H,8,FALSE))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input_379100!A$2</f>
        <v>379100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IFERROR(VLOOKUP(B121,input_379100!L:R,7,FALSE),VLOOKUP(tables_379100!C121,input_379100!A:H,8,FALSE))</f>
        <v>138567</v>
      </c>
      <c r="P121" s="46">
        <f t="shared" ca="1" si="5"/>
        <v>1.0449999999999999E-2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input_379100!A$2</f>
        <v>379100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IFERROR(VLOOKUP(B122,input_379100!L:R,7,FALSE),VLOOKUP(tables_379100!C122,input_379100!A:H,8,FALSE))</f>
        <v>7293</v>
      </c>
      <c r="P122" s="46">
        <f t="shared" ca="1" si="5"/>
        <v>5.5000000000000003E-4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input_379100!A$2</f>
        <v>379100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IFERROR(VLOOKUP(B123,input_379100!L:R,7,FALSE),VLOOKUP(tables_379100!C123,input_379100!A:H,8,FALSE))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input_379100!A$2</f>
        <v>379100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IFERROR(VLOOKUP(B124,input_379100!L:R,7,FALSE),VLOOKUP(tables_379100!C124,input_379100!A:H,8,FALSE))</f>
        <v>138567</v>
      </c>
      <c r="P124" s="46">
        <f t="shared" ca="1" si="5"/>
        <v>1.0449999999999999E-2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input_379100!A$2</f>
        <v>379100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IFERROR(VLOOKUP(B125,input_379100!L:R,7,FALSE),VLOOKUP(tables_379100!C125,input_379100!A:H,8,FALSE))</f>
        <v>7293</v>
      </c>
      <c r="P125" s="46">
        <f t="shared" ca="1" si="5"/>
        <v>5.5000000000000003E-4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input_379100!A$2</f>
        <v>379100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IFERROR(VLOOKUP(B126,input_379100!L:R,7,FALSE),VLOOKUP(tables_379100!C126,input_379100!A:H,8,FALSE))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input_379100!A$2</f>
        <v>379100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IFERROR(VLOOKUP(B127,input_379100!L:R,7,FALSE),VLOOKUP(tables_379100!C127,input_379100!A:H,8,FALSE))</f>
        <v>138567</v>
      </c>
      <c r="P127" s="46">
        <f t="shared" ca="1" si="5"/>
        <v>1.0449999999999999E-2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input_379100!A$2</f>
        <v>379100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IFERROR(VLOOKUP(B128,input_379100!L:R,7,FALSE),VLOOKUP(tables_379100!C128,input_379100!A:H,8,FALSE))</f>
        <v>7293</v>
      </c>
      <c r="P128" s="46">
        <f t="shared" ca="1" si="5"/>
        <v>5.5000000000000003E-4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input_379100!A$2</f>
        <v>379100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IFERROR(VLOOKUP(B129,input_379100!L:R,7,FALSE),VLOOKUP(tables_379100!C129,input_379100!A:H,8,FALSE))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input_379100!A$2</f>
        <v>379100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IFERROR(VLOOKUP(B130,input_379100!L:R,7,FALSE),VLOOKUP(tables_379100!C130,input_379100!A:H,8,FALSE))</f>
        <v>138567</v>
      </c>
      <c r="P130" s="46">
        <f t="shared" ref="P130:P193" ca="1" si="8">O130/SUM(O:O)</f>
        <v>1.0449999999999999E-2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input_379100!A$2</f>
        <v>379100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IFERROR(VLOOKUP(B131,input_379100!L:R,7,FALSE),VLOOKUP(tables_379100!C131,input_379100!A:H,8,FALSE))</f>
        <v>7293</v>
      </c>
      <c r="P131" s="46">
        <f t="shared" ca="1" si="8"/>
        <v>5.5000000000000003E-4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input_379100!A$2</f>
        <v>379100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IFERROR(VLOOKUP(B132,input_379100!L:R,7,FALSE),VLOOKUP(tables_379100!C132,input_379100!A:H,8,FALSE))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input_379100!A$2</f>
        <v>379100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IFERROR(VLOOKUP(B133,input_379100!L:R,7,FALSE),VLOOKUP(tables_379100!C133,input_379100!A:H,8,FALSE))</f>
        <v>138567</v>
      </c>
      <c r="P133" s="46">
        <f t="shared" ca="1" si="8"/>
        <v>1.0449999999999999E-2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input_379100!A$2</f>
        <v>379100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IFERROR(VLOOKUP(B134,input_379100!L:R,7,FALSE),VLOOKUP(tables_379100!C134,input_379100!A:H,8,FALSE))</f>
        <v>7293</v>
      </c>
      <c r="P134" s="46">
        <f t="shared" ca="1" si="8"/>
        <v>5.5000000000000003E-4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input_379100!A$2</f>
        <v>379100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IFERROR(VLOOKUP(B135,input_379100!L:R,7,FALSE),VLOOKUP(tables_379100!C135,input_379100!A:H,8,FALSE))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input_379100!A$2</f>
        <v>379100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IFERROR(VLOOKUP(B136,input_379100!L:R,7,FALSE),VLOOKUP(tables_379100!C136,input_379100!A:H,8,FALSE))</f>
        <v>138567</v>
      </c>
      <c r="P136" s="46">
        <f t="shared" ca="1" si="8"/>
        <v>1.0449999999999999E-2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input_379100!A$2</f>
        <v>379100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IFERROR(VLOOKUP(B137,input_379100!L:R,7,FALSE),VLOOKUP(tables_379100!C137,input_379100!A:H,8,FALSE))</f>
        <v>7293</v>
      </c>
      <c r="P137" s="46">
        <f t="shared" ca="1" si="8"/>
        <v>5.5000000000000003E-4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input_379100!A$2</f>
        <v>379100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IFERROR(VLOOKUP(B138,input_379100!L:R,7,FALSE),VLOOKUP(tables_379100!C138,input_379100!A:H,8,FALSE))</f>
        <v>9367</v>
      </c>
      <c r="P138" s="46">
        <f t="shared" ca="1" si="8"/>
        <v>7.064102564102564E-4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input_379100!A$2</f>
        <v>379100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IFERROR(VLOOKUP(B139,input_379100!L:R,7,FALSE),VLOOKUP(tables_379100!C139,input_379100!A:H,8,FALSE))</f>
        <v>493</v>
      </c>
      <c r="P139" s="46">
        <f t="shared" ca="1" si="8"/>
        <v>3.7179487179487179E-5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input_379100!A$2</f>
        <v>379100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IFERROR(VLOOKUP(B140,input_379100!L:R,7,FALSE),VLOOKUP(tables_379100!C140,input_379100!A:H,8,FALSE))</f>
        <v>9367</v>
      </c>
      <c r="P140" s="46">
        <f t="shared" ca="1" si="8"/>
        <v>7.064102564102564E-4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input_379100!A$2</f>
        <v>379100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IFERROR(VLOOKUP(B141,input_379100!L:R,7,FALSE),VLOOKUP(tables_379100!C141,input_379100!A:H,8,FALSE))</f>
        <v>493</v>
      </c>
      <c r="P141" s="46">
        <f t="shared" ca="1" si="8"/>
        <v>3.7179487179487179E-5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input_379100!A$2</f>
        <v>379100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IFERROR(VLOOKUP(B142,input_379100!L:R,7,FALSE),VLOOKUP(tables_379100!C142,input_379100!A:H,8,FALSE))</f>
        <v>9367</v>
      </c>
      <c r="P142" s="46">
        <f t="shared" ca="1" si="8"/>
        <v>7.064102564102564E-4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input_379100!A$2</f>
        <v>379100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IFERROR(VLOOKUP(B143,input_379100!L:R,7,FALSE),VLOOKUP(tables_379100!C143,input_379100!A:H,8,FALSE))</f>
        <v>493</v>
      </c>
      <c r="P143" s="46">
        <f t="shared" ca="1" si="8"/>
        <v>3.7179487179487179E-5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input_379100!A$2</f>
        <v>379100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IFERROR(VLOOKUP(B144,input_379100!L:R,7,FALSE),VLOOKUP(tables_379100!C144,input_379100!A:H,8,FALSE))</f>
        <v>9367</v>
      </c>
      <c r="P144" s="46">
        <f t="shared" ca="1" si="8"/>
        <v>7.064102564102564E-4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input_379100!A$2</f>
        <v>379100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IFERROR(VLOOKUP(B145,input_379100!L:R,7,FALSE),VLOOKUP(tables_379100!C145,input_379100!A:H,8,FALSE))</f>
        <v>493</v>
      </c>
      <c r="P145" s="46">
        <f t="shared" ca="1" si="8"/>
        <v>3.7179487179487179E-5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input_379100!A$2</f>
        <v>379100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IFERROR(VLOOKUP(B146,input_379100!L:R,7,FALSE),VLOOKUP(tables_379100!C146,input_379100!A:H,8,FALSE))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input_379100!A$2</f>
        <v>379100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IFERROR(VLOOKUP(B147,input_379100!L:R,7,FALSE),VLOOKUP(tables_379100!C147,input_379100!A:H,8,FALSE))</f>
        <v>138567</v>
      </c>
      <c r="P147" s="46">
        <f t="shared" ca="1" si="8"/>
        <v>1.0449999999999999E-2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input_379100!A$2</f>
        <v>379100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IFERROR(VLOOKUP(B148,input_379100!L:R,7,FALSE),VLOOKUP(tables_379100!C148,input_379100!A:H,8,FALSE))</f>
        <v>7293</v>
      </c>
      <c r="P148" s="46">
        <f t="shared" ca="1" si="8"/>
        <v>5.5000000000000003E-4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input_379100!A$2</f>
        <v>379100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IFERROR(VLOOKUP(B149,input_379100!L:R,7,FALSE),VLOOKUP(tables_379100!C149,input_379100!A:H,8,FALSE))</f>
        <v>9367</v>
      </c>
      <c r="P149" s="46">
        <f t="shared" ca="1" si="8"/>
        <v>7.064102564102564E-4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input_379100!A$2</f>
        <v>379100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IFERROR(VLOOKUP(B150,input_379100!L:R,7,FALSE),VLOOKUP(tables_379100!C150,input_379100!A:H,8,FALSE))</f>
        <v>493</v>
      </c>
      <c r="P150" s="46">
        <f t="shared" ca="1" si="8"/>
        <v>3.7179487179487179E-5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input_379100!A$2</f>
        <v>379100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IFERROR(VLOOKUP(B151,input_379100!L:R,7,FALSE),VLOOKUP(tables_379100!C151,input_379100!A:H,8,FALSE))</f>
        <v>9367</v>
      </c>
      <c r="P151" s="46">
        <f t="shared" ca="1" si="8"/>
        <v>7.064102564102564E-4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input_379100!A$2</f>
        <v>379100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IFERROR(VLOOKUP(B152,input_379100!L:R,7,FALSE),VLOOKUP(tables_379100!C152,input_379100!A:H,8,FALSE))</f>
        <v>493</v>
      </c>
      <c r="P152" s="46">
        <f t="shared" ca="1" si="8"/>
        <v>3.7179487179487179E-5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input_379100!A$2</f>
        <v>379100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IFERROR(VLOOKUP(B153,input_379100!L:R,7,FALSE),VLOOKUP(tables_379100!C153,input_379100!A:H,8,FALSE))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input_379100!A$2</f>
        <v>379100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IFERROR(VLOOKUP(B154,input_379100!L:R,7,FALSE),VLOOKUP(tables_379100!C154,input_379100!A:H,8,FALSE))</f>
        <v>138567</v>
      </c>
      <c r="P154" s="46">
        <f t="shared" ca="1" si="8"/>
        <v>1.0449999999999999E-2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input_379100!A$2</f>
        <v>379100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IFERROR(VLOOKUP(B155,input_379100!L:R,7,FALSE),VLOOKUP(tables_379100!C155,input_379100!A:H,8,FALSE))</f>
        <v>7293</v>
      </c>
      <c r="P155" s="46">
        <f t="shared" ca="1" si="8"/>
        <v>5.5000000000000003E-4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input_379100!A$2</f>
        <v>379100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IFERROR(VLOOKUP(B156,input_379100!L:R,7,FALSE),VLOOKUP(tables_379100!C156,input_379100!A:H,8,FALSE))</f>
        <v>9367</v>
      </c>
      <c r="P156" s="46">
        <f t="shared" ca="1" si="8"/>
        <v>7.064102564102564E-4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input_379100!A$2</f>
        <v>379100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IFERROR(VLOOKUP(B157,input_379100!L:R,7,FALSE),VLOOKUP(tables_379100!C157,input_379100!A:H,8,FALSE))</f>
        <v>493</v>
      </c>
      <c r="P157" s="46">
        <f t="shared" ca="1" si="8"/>
        <v>3.7179487179487179E-5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input_379100!A$2</f>
        <v>379100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IFERROR(VLOOKUP(B158,input_379100!L:R,7,FALSE),VLOOKUP(tables_379100!C158,input_379100!A:H,8,FALSE))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input_379100!A$2</f>
        <v>379100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IFERROR(VLOOKUP(B159,input_379100!L:R,7,FALSE),VLOOKUP(tables_379100!C159,input_379100!A:H,8,FALSE))</f>
        <v>138567</v>
      </c>
      <c r="P159" s="46">
        <f t="shared" ca="1" si="8"/>
        <v>1.0449999999999999E-2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input_379100!A$2</f>
        <v>379100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IFERROR(VLOOKUP(B160,input_379100!L:R,7,FALSE),VLOOKUP(tables_379100!C160,input_379100!A:H,8,FALSE))</f>
        <v>7293</v>
      </c>
      <c r="P160" s="46">
        <f t="shared" ca="1" si="8"/>
        <v>5.5000000000000003E-4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input_379100!A$2</f>
        <v>379100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IFERROR(VLOOKUP(B161,input_379100!L:R,7,FALSE),VLOOKUP(tables_379100!C161,input_379100!A:H,8,FALSE))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input_379100!A$2</f>
        <v>379100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IFERROR(VLOOKUP(B162,input_379100!L:R,7,FALSE),VLOOKUP(tables_379100!C162,input_379100!A:H,8,FALSE))</f>
        <v>138567</v>
      </c>
      <c r="P162" s="46">
        <f t="shared" ca="1" si="8"/>
        <v>1.0449999999999999E-2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input_379100!A$2</f>
        <v>379100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IFERROR(VLOOKUP(B163,input_379100!L:R,7,FALSE),VLOOKUP(tables_379100!C163,input_379100!A:H,8,FALSE))</f>
        <v>7293</v>
      </c>
      <c r="P163" s="46">
        <f t="shared" ca="1" si="8"/>
        <v>5.5000000000000003E-4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input_379100!A$2</f>
        <v>379100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IFERROR(VLOOKUP(B164,input_379100!L:R,7,FALSE),VLOOKUP(tables_379100!C164,input_379100!A:H,8,FALSE))</f>
        <v>9367</v>
      </c>
      <c r="P164" s="46">
        <f t="shared" ca="1" si="8"/>
        <v>7.064102564102564E-4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input_379100!A$2</f>
        <v>379100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IFERROR(VLOOKUP(B165,input_379100!L:R,7,FALSE),VLOOKUP(tables_379100!C165,input_379100!A:H,8,FALSE))</f>
        <v>493</v>
      </c>
      <c r="P165" s="46">
        <f t="shared" ca="1" si="8"/>
        <v>3.7179487179487179E-5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input_379100!A$2</f>
        <v>379100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IFERROR(VLOOKUP(B166,input_379100!L:R,7,FALSE),VLOOKUP(tables_379100!C166,input_379100!A:H,8,FALSE))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input_379100!A$2</f>
        <v>379100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IFERROR(VLOOKUP(B167,input_379100!L:R,7,FALSE),VLOOKUP(tables_379100!C167,input_379100!A:H,8,FALSE))</f>
        <v>138567</v>
      </c>
      <c r="P167" s="46">
        <f t="shared" ca="1" si="8"/>
        <v>1.0449999999999999E-2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input_379100!A$2</f>
        <v>379100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IFERROR(VLOOKUP(B168,input_379100!L:R,7,FALSE),VLOOKUP(tables_379100!C168,input_379100!A:H,8,FALSE))</f>
        <v>7293</v>
      </c>
      <c r="P168" s="46">
        <f t="shared" ca="1" si="8"/>
        <v>5.5000000000000003E-4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input_379100!A$2</f>
        <v>379100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IFERROR(VLOOKUP(B169,input_379100!L:R,7,FALSE),VLOOKUP(tables_379100!C169,input_379100!A:H,8,FALSE))</f>
        <v>9367</v>
      </c>
      <c r="P169" s="46">
        <f t="shared" ca="1" si="8"/>
        <v>7.064102564102564E-4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input_379100!A$2</f>
        <v>379100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IFERROR(VLOOKUP(B170,input_379100!L:R,7,FALSE),VLOOKUP(tables_379100!C170,input_379100!A:H,8,FALSE))</f>
        <v>493</v>
      </c>
      <c r="P170" s="46">
        <f t="shared" ca="1" si="8"/>
        <v>3.7179487179487179E-5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input_379100!A$2</f>
        <v>379100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IFERROR(VLOOKUP(B171,input_379100!L:R,7,FALSE),VLOOKUP(tables_379100!C171,input_379100!A:H,8,FALSE))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input_379100!A$2</f>
        <v>379100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IFERROR(VLOOKUP(B172,input_379100!L:R,7,FALSE),VLOOKUP(tables_379100!C172,input_379100!A:H,8,FALSE))</f>
        <v>138567</v>
      </c>
      <c r="P172" s="46">
        <f t="shared" ca="1" si="8"/>
        <v>1.0449999999999999E-2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input_379100!A$2</f>
        <v>379100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IFERROR(VLOOKUP(B173,input_379100!L:R,7,FALSE),VLOOKUP(tables_379100!C173,input_379100!A:H,8,FALSE))</f>
        <v>7293</v>
      </c>
      <c r="P173" s="46">
        <f t="shared" ca="1" si="8"/>
        <v>5.5000000000000003E-4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input_379100!A$2</f>
        <v>379100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IFERROR(VLOOKUP(B174,input_379100!L:R,7,FALSE),VLOOKUP(tables_379100!C174,input_379100!A:H,8,FALSE))</f>
        <v>9367</v>
      </c>
      <c r="P174" s="46">
        <f t="shared" ca="1" si="8"/>
        <v>7.064102564102564E-4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input_379100!A$2</f>
        <v>379100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IFERROR(VLOOKUP(B175,input_379100!L:R,7,FALSE),VLOOKUP(tables_379100!C175,input_379100!A:H,8,FALSE))</f>
        <v>493</v>
      </c>
      <c r="P175" s="46">
        <f t="shared" ca="1" si="8"/>
        <v>3.7179487179487179E-5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input_379100!A$2</f>
        <v>379100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IFERROR(VLOOKUP(B176,input_379100!L:R,7,FALSE),VLOOKUP(tables_379100!C176,input_379100!A:H,8,FALSE))</f>
        <v>9367</v>
      </c>
      <c r="P176" s="46">
        <f t="shared" ca="1" si="8"/>
        <v>7.064102564102564E-4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input_379100!A$2</f>
        <v>379100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IFERROR(VLOOKUP(B177,input_379100!L:R,7,FALSE),VLOOKUP(tables_379100!C177,input_379100!A:H,8,FALSE))</f>
        <v>493</v>
      </c>
      <c r="P177" s="46">
        <f t="shared" ca="1" si="8"/>
        <v>3.7179487179487179E-5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input_379100!A$2</f>
        <v>379100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IFERROR(VLOOKUP(B178,input_379100!L:R,7,FALSE),VLOOKUP(tables_379100!C178,input_379100!A:H,8,FALSE))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input_379100!A$2</f>
        <v>379100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IFERROR(VLOOKUP(B179,input_379100!L:R,7,FALSE),VLOOKUP(tables_379100!C179,input_379100!A:H,8,FALSE))</f>
        <v>138567</v>
      </c>
      <c r="P179" s="46">
        <f t="shared" ca="1" si="8"/>
        <v>1.0449999999999999E-2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input_379100!A$2</f>
        <v>379100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IFERROR(VLOOKUP(B180,input_379100!L:R,7,FALSE),VLOOKUP(tables_379100!C180,input_379100!A:H,8,FALSE))</f>
        <v>7293</v>
      </c>
      <c r="P180" s="46">
        <f t="shared" ca="1" si="8"/>
        <v>5.5000000000000003E-4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input_379100!A$2</f>
        <v>379100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IFERROR(VLOOKUP(B181,input_379100!L:R,7,FALSE),VLOOKUP(tables_379100!C181,input_379100!A:H,8,FALSE))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input_379100!A$2</f>
        <v>379100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IFERROR(VLOOKUP(B182,input_379100!L:R,7,FALSE),VLOOKUP(tables_379100!C182,input_379100!A:H,8,FALSE))</f>
        <v>138567</v>
      </c>
      <c r="P182" s="46">
        <f t="shared" ca="1" si="8"/>
        <v>1.0449999999999999E-2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input_379100!A$2</f>
        <v>379100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IFERROR(VLOOKUP(B183,input_379100!L:R,7,FALSE),VLOOKUP(tables_379100!C183,input_379100!A:H,8,FALSE))</f>
        <v>7293</v>
      </c>
      <c r="P183" s="46">
        <f t="shared" ca="1" si="8"/>
        <v>5.5000000000000003E-4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input_379100!A$2</f>
        <v>379100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IFERROR(VLOOKUP(B184,input_379100!L:R,7,FALSE),VLOOKUP(tables_379100!C184,input_379100!A:H,8,FALSE))</f>
        <v>9367</v>
      </c>
      <c r="P184" s="46">
        <f t="shared" ca="1" si="8"/>
        <v>7.064102564102564E-4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input_379100!A$2</f>
        <v>379100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IFERROR(VLOOKUP(B185,input_379100!L:R,7,FALSE),VLOOKUP(tables_379100!C185,input_379100!A:H,8,FALSE))</f>
        <v>493</v>
      </c>
      <c r="P185" s="46">
        <f t="shared" ca="1" si="8"/>
        <v>3.7179487179487179E-5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input_379100!A$2</f>
        <v>379100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IFERROR(VLOOKUP(B186,input_379100!L:R,7,FALSE),VLOOKUP(tables_379100!C186,input_379100!A:H,8,FALSE))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input_379100!A$2</f>
        <v>379100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IFERROR(VLOOKUP(B187,input_379100!L:R,7,FALSE),VLOOKUP(tables_379100!C187,input_379100!A:H,8,FALSE))</f>
        <v>138567</v>
      </c>
      <c r="P187" s="46">
        <f t="shared" ca="1" si="8"/>
        <v>1.0449999999999999E-2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input_379100!A$2</f>
        <v>379100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IFERROR(VLOOKUP(B188,input_379100!L:R,7,FALSE),VLOOKUP(tables_379100!C188,input_379100!A:H,8,FALSE))</f>
        <v>7293</v>
      </c>
      <c r="P188" s="46">
        <f t="shared" ca="1" si="8"/>
        <v>5.5000000000000003E-4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input_379100!A$2</f>
        <v>379100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IFERROR(VLOOKUP(B189,input_379100!L:R,7,FALSE),VLOOKUP(tables_379100!C189,input_379100!A:H,8,FALSE))</f>
        <v>9367</v>
      </c>
      <c r="P189" s="46">
        <f t="shared" ca="1" si="8"/>
        <v>7.064102564102564E-4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input_379100!A$2</f>
        <v>379100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IFERROR(VLOOKUP(B190,input_379100!L:R,7,FALSE),VLOOKUP(tables_379100!C190,input_379100!A:H,8,FALSE))</f>
        <v>493</v>
      </c>
      <c r="P190" s="46">
        <f t="shared" ca="1" si="8"/>
        <v>3.7179487179487179E-5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input_379100!A$2</f>
        <v>379100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IFERROR(VLOOKUP(B191,input_379100!L:R,7,FALSE),VLOOKUP(tables_379100!C191,input_379100!A:H,8,FALSE))</f>
        <v>9367</v>
      </c>
      <c r="P191" s="46">
        <f t="shared" ca="1" si="8"/>
        <v>7.064102564102564E-4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input_379100!A$2</f>
        <v>379100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IFERROR(VLOOKUP(B192,input_379100!L:R,7,FALSE),VLOOKUP(tables_379100!C192,input_379100!A:H,8,FALSE))</f>
        <v>493</v>
      </c>
      <c r="P192" s="46">
        <f t="shared" ca="1" si="8"/>
        <v>3.7179487179487179E-5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input_379100!A$2</f>
        <v>379100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IFERROR(VLOOKUP(B193,input_379100!L:R,7,FALSE),VLOOKUP(tables_379100!C193,input_379100!A:H,8,FALSE))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input_379100!A$2</f>
        <v>379100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IFERROR(VLOOKUP(B194,input_379100!L:R,7,FALSE),VLOOKUP(tables_379100!C194,input_379100!A:H,8,FALSE))</f>
        <v>138567</v>
      </c>
      <c r="P194" s="46">
        <f t="shared" ref="P194:P257" ca="1" si="11">O194/SUM(O:O)</f>
        <v>1.0449999999999999E-2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input_379100!A$2</f>
        <v>379100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IFERROR(VLOOKUP(B195,input_379100!L:R,7,FALSE),VLOOKUP(tables_379100!C195,input_379100!A:H,8,FALSE))</f>
        <v>7293</v>
      </c>
      <c r="P195" s="46">
        <f t="shared" ca="1" si="11"/>
        <v>5.5000000000000003E-4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input_379100!A$2</f>
        <v>379100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IFERROR(VLOOKUP(B196,input_379100!L:R,7,FALSE),VLOOKUP(tables_379100!C196,input_379100!A:H,8,FALSE))</f>
        <v>9367</v>
      </c>
      <c r="P196" s="46">
        <f t="shared" ca="1" si="11"/>
        <v>7.064102564102564E-4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input_379100!A$2</f>
        <v>379100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IFERROR(VLOOKUP(B197,input_379100!L:R,7,FALSE),VLOOKUP(tables_379100!C197,input_379100!A:H,8,FALSE))</f>
        <v>493</v>
      </c>
      <c r="P197" s="46">
        <f t="shared" ca="1" si="11"/>
        <v>3.7179487179487179E-5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input_379100!A$2</f>
        <v>379100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IFERROR(VLOOKUP(B198,input_379100!L:R,7,FALSE),VLOOKUP(tables_379100!C198,input_379100!A:H,8,FALSE))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input_379100!A$2</f>
        <v>379100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IFERROR(VLOOKUP(B199,input_379100!L:R,7,FALSE),VLOOKUP(tables_379100!C199,input_379100!A:H,8,FALSE))</f>
        <v>138567</v>
      </c>
      <c r="P199" s="46">
        <f t="shared" ca="1" si="11"/>
        <v>1.0449999999999999E-2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input_379100!A$2</f>
        <v>379100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IFERROR(VLOOKUP(B200,input_379100!L:R,7,FALSE),VLOOKUP(tables_379100!C200,input_379100!A:H,8,FALSE))</f>
        <v>7293</v>
      </c>
      <c r="P200" s="46">
        <f t="shared" ca="1" si="11"/>
        <v>5.5000000000000003E-4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input_379100!A$2</f>
        <v>379100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IFERROR(VLOOKUP(B201,input_379100!L:R,7,FALSE),VLOOKUP(tables_379100!C201,input_379100!A:H,8,FALSE))</f>
        <v>9367</v>
      </c>
      <c r="P201" s="46">
        <f t="shared" ca="1" si="11"/>
        <v>7.064102564102564E-4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input_379100!A$2</f>
        <v>379100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IFERROR(VLOOKUP(B202,input_379100!L:R,7,FALSE),VLOOKUP(tables_379100!C202,input_379100!A:H,8,FALSE))</f>
        <v>493</v>
      </c>
      <c r="P202" s="46">
        <f t="shared" ca="1" si="11"/>
        <v>3.7179487179487179E-5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input_379100!A$2</f>
        <v>379100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IFERROR(VLOOKUP(B203,input_379100!L:R,7,FALSE),VLOOKUP(tables_379100!C203,input_379100!A:H,8,FALSE))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input_379100!A$2</f>
        <v>379100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IFERROR(VLOOKUP(B204,input_379100!L:R,7,FALSE),VLOOKUP(tables_379100!C204,input_379100!A:H,8,FALSE))</f>
        <v>138567</v>
      </c>
      <c r="P204" s="46">
        <f t="shared" ca="1" si="11"/>
        <v>1.0449999999999999E-2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input_379100!A$2</f>
        <v>379100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IFERROR(VLOOKUP(B205,input_379100!L:R,7,FALSE),VLOOKUP(tables_379100!C205,input_379100!A:H,8,FALSE))</f>
        <v>7293</v>
      </c>
      <c r="P205" s="46">
        <f t="shared" ca="1" si="11"/>
        <v>5.5000000000000003E-4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input_379100!A$2</f>
        <v>379100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IFERROR(VLOOKUP(B206,input_379100!L:R,7,FALSE),VLOOKUP(tables_379100!C206,input_379100!A:H,8,FALSE))</f>
        <v>9367</v>
      </c>
      <c r="P206" s="46">
        <f t="shared" ca="1" si="11"/>
        <v>7.064102564102564E-4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input_379100!A$2</f>
        <v>379100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IFERROR(VLOOKUP(B207,input_379100!L:R,7,FALSE),VLOOKUP(tables_379100!C207,input_379100!A:H,8,FALSE))</f>
        <v>493</v>
      </c>
      <c r="P207" s="46">
        <f t="shared" ca="1" si="11"/>
        <v>3.7179487179487179E-5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input_379100!A$2</f>
        <v>379100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IFERROR(VLOOKUP(B208,input_379100!L:R,7,FALSE),VLOOKUP(tables_379100!C208,input_379100!A:H,8,FALSE))</f>
        <v>9367</v>
      </c>
      <c r="P208" s="46">
        <f t="shared" ca="1" si="11"/>
        <v>7.064102564102564E-4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input_379100!A$2</f>
        <v>379100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IFERROR(VLOOKUP(B209,input_379100!L:R,7,FALSE),VLOOKUP(tables_379100!C209,input_379100!A:H,8,FALSE))</f>
        <v>493</v>
      </c>
      <c r="P209" s="46">
        <f t="shared" ca="1" si="11"/>
        <v>3.7179487179487179E-5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input_379100!A$2</f>
        <v>379100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IFERROR(VLOOKUP(B210,input_379100!L:R,7,FALSE),VLOOKUP(tables_379100!C210,input_379100!A:H,8,FALSE))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input_379100!A$2</f>
        <v>379100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IFERROR(VLOOKUP(B211,input_379100!L:R,7,FALSE),VLOOKUP(tables_379100!C211,input_379100!A:H,8,FALSE))</f>
        <v>138567</v>
      </c>
      <c r="P211" s="46">
        <f t="shared" ca="1" si="11"/>
        <v>1.0449999999999999E-2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input_379100!A$2</f>
        <v>379100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IFERROR(VLOOKUP(B212,input_379100!L:R,7,FALSE),VLOOKUP(tables_379100!C212,input_379100!A:H,8,FALSE))</f>
        <v>7293</v>
      </c>
      <c r="P212" s="46">
        <f t="shared" ca="1" si="11"/>
        <v>5.5000000000000003E-4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input_379100!A$2</f>
        <v>379100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IFERROR(VLOOKUP(B213,input_379100!L:R,7,FALSE),VLOOKUP(tables_379100!C213,input_379100!A:H,8,FALSE))</f>
        <v>9367</v>
      </c>
      <c r="P213" s="46">
        <f t="shared" ca="1" si="11"/>
        <v>7.064102564102564E-4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input_379100!A$2</f>
        <v>379100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IFERROR(VLOOKUP(B214,input_379100!L:R,7,FALSE),VLOOKUP(tables_379100!C214,input_379100!A:H,8,FALSE))</f>
        <v>493</v>
      </c>
      <c r="P214" s="46">
        <f t="shared" ca="1" si="11"/>
        <v>3.7179487179487179E-5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input_379100!A$2</f>
        <v>379100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IFERROR(VLOOKUP(B215,input_379100!L:R,7,FALSE),VLOOKUP(tables_379100!C215,input_379100!A:H,8,FALSE))</f>
        <v>9367</v>
      </c>
      <c r="P215" s="46">
        <f t="shared" ca="1" si="11"/>
        <v>7.064102564102564E-4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input_379100!A$2</f>
        <v>379100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IFERROR(VLOOKUP(B216,input_379100!L:R,7,FALSE),VLOOKUP(tables_379100!C216,input_379100!A:H,8,FALSE))</f>
        <v>493</v>
      </c>
      <c r="P216" s="46">
        <f t="shared" ca="1" si="11"/>
        <v>3.7179487179487179E-5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input_379100!A$2</f>
        <v>379100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IFERROR(VLOOKUP(B217,input_379100!L:R,7,FALSE),VLOOKUP(tables_379100!C217,input_379100!A:H,8,FALSE))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input_379100!A$2</f>
        <v>379100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IFERROR(VLOOKUP(B218,input_379100!L:R,7,FALSE),VLOOKUP(tables_379100!C218,input_379100!A:H,8,FALSE))</f>
        <v>138567</v>
      </c>
      <c r="P218" s="46">
        <f t="shared" ca="1" si="11"/>
        <v>1.0449999999999999E-2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input_379100!A$2</f>
        <v>379100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IFERROR(VLOOKUP(B219,input_379100!L:R,7,FALSE),VLOOKUP(tables_379100!C219,input_379100!A:H,8,FALSE))</f>
        <v>7293</v>
      </c>
      <c r="P219" s="46">
        <f t="shared" ca="1" si="11"/>
        <v>5.5000000000000003E-4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input_379100!A$2</f>
        <v>379100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IFERROR(VLOOKUP(B220,input_379100!L:R,7,FALSE),VLOOKUP(tables_379100!C220,input_379100!A:H,8,FALSE))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input_379100!A$2</f>
        <v>379100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IFERROR(VLOOKUP(B221,input_379100!L:R,7,FALSE),VLOOKUP(tables_379100!C221,input_379100!A:H,8,FALSE))</f>
        <v>138567</v>
      </c>
      <c r="P221" s="46">
        <f t="shared" ca="1" si="11"/>
        <v>1.0449999999999999E-2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input_379100!A$2</f>
        <v>379100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IFERROR(VLOOKUP(B222,input_379100!L:R,7,FALSE),VLOOKUP(tables_379100!C222,input_379100!A:H,8,FALSE))</f>
        <v>7293</v>
      </c>
      <c r="P222" s="46">
        <f t="shared" ca="1" si="11"/>
        <v>5.5000000000000003E-4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input_379100!A$2</f>
        <v>379100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IFERROR(VLOOKUP(B223,input_379100!L:R,7,FALSE),VLOOKUP(tables_379100!C223,input_379100!A:H,8,FALSE))</f>
        <v>9367</v>
      </c>
      <c r="P223" s="46">
        <f t="shared" ca="1" si="11"/>
        <v>7.064102564102564E-4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input_379100!A$2</f>
        <v>379100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IFERROR(VLOOKUP(B224,input_379100!L:R,7,FALSE),VLOOKUP(tables_379100!C224,input_379100!A:H,8,FALSE))</f>
        <v>493</v>
      </c>
      <c r="P224" s="46">
        <f t="shared" ca="1" si="11"/>
        <v>3.7179487179487179E-5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input_379100!A$2</f>
        <v>379100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IFERROR(VLOOKUP(B225,input_379100!L:R,7,FALSE),VLOOKUP(tables_379100!C225,input_379100!A:H,8,FALSE))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input_379100!A$2</f>
        <v>379100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IFERROR(VLOOKUP(B226,input_379100!L:R,7,FALSE),VLOOKUP(tables_379100!C226,input_379100!A:H,8,FALSE))</f>
        <v>138567</v>
      </c>
      <c r="P226" s="46">
        <f t="shared" ca="1" si="11"/>
        <v>1.0449999999999999E-2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input_379100!A$2</f>
        <v>379100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IFERROR(VLOOKUP(B227,input_379100!L:R,7,FALSE),VLOOKUP(tables_379100!C227,input_379100!A:H,8,FALSE))</f>
        <v>7293</v>
      </c>
      <c r="P227" s="46">
        <f t="shared" ca="1" si="11"/>
        <v>5.5000000000000003E-4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input_379100!A$2</f>
        <v>379100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IFERROR(VLOOKUP(B228,input_379100!L:R,7,FALSE),VLOOKUP(tables_379100!C228,input_379100!A:H,8,FALSE))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input_379100!A$2</f>
        <v>379100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IFERROR(VLOOKUP(B229,input_379100!L:R,7,FALSE),VLOOKUP(tables_379100!C229,input_379100!A:H,8,FALSE))</f>
        <v>138567</v>
      </c>
      <c r="P229" s="46">
        <f t="shared" ca="1" si="11"/>
        <v>1.0449999999999999E-2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input_379100!A$2</f>
        <v>379100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IFERROR(VLOOKUP(B230,input_379100!L:R,7,FALSE),VLOOKUP(tables_379100!C230,input_379100!A:H,8,FALSE))</f>
        <v>7293</v>
      </c>
      <c r="P230" s="46">
        <f t="shared" ca="1" si="11"/>
        <v>5.5000000000000003E-4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input_379100!A$2</f>
        <v>379100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IFERROR(VLOOKUP(B231,input_379100!L:R,7,FALSE),VLOOKUP(tables_379100!C231,input_379100!A:H,8,FALSE))</f>
        <v>9367</v>
      </c>
      <c r="P231" s="46">
        <f t="shared" ca="1" si="11"/>
        <v>7.064102564102564E-4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input_379100!A$2</f>
        <v>379100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IFERROR(VLOOKUP(B232,input_379100!L:R,7,FALSE),VLOOKUP(tables_379100!C232,input_379100!A:H,8,FALSE))</f>
        <v>493</v>
      </c>
      <c r="P232" s="46">
        <f t="shared" ca="1" si="11"/>
        <v>3.7179487179487179E-5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input_379100!A$2</f>
        <v>379100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IFERROR(VLOOKUP(B233,input_379100!L:R,7,FALSE),VLOOKUP(tables_379100!C233,input_379100!A:H,8,FALSE))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input_379100!A$2</f>
        <v>379100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IFERROR(VLOOKUP(B234,input_379100!L:R,7,FALSE),VLOOKUP(tables_379100!C234,input_379100!A:H,8,FALSE))</f>
        <v>138567</v>
      </c>
      <c r="P234" s="46">
        <f t="shared" ca="1" si="11"/>
        <v>1.0449999999999999E-2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input_379100!A$2</f>
        <v>379100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IFERROR(VLOOKUP(B235,input_379100!L:R,7,FALSE),VLOOKUP(tables_379100!C235,input_379100!A:H,8,FALSE))</f>
        <v>7293</v>
      </c>
      <c r="P235" s="46">
        <f t="shared" ca="1" si="11"/>
        <v>5.5000000000000003E-4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input_379100!A$2</f>
        <v>379100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IFERROR(VLOOKUP(B236,input_379100!L:R,7,FALSE),VLOOKUP(tables_379100!C236,input_379100!A:H,8,FALSE))</f>
        <v>9367</v>
      </c>
      <c r="P236" s="46">
        <f t="shared" ca="1" si="11"/>
        <v>7.064102564102564E-4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input_379100!A$2</f>
        <v>379100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IFERROR(VLOOKUP(B237,input_379100!L:R,7,FALSE),VLOOKUP(tables_379100!C237,input_379100!A:H,8,FALSE))</f>
        <v>493</v>
      </c>
      <c r="P237" s="46">
        <f t="shared" ca="1" si="11"/>
        <v>3.7179487179487179E-5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input_379100!A$2</f>
        <v>379100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IFERROR(VLOOKUP(B238,input_379100!L:R,7,FALSE),VLOOKUP(tables_379100!C238,input_379100!A:H,8,FALSE))</f>
        <v>9367</v>
      </c>
      <c r="P238" s="46">
        <f t="shared" ca="1" si="11"/>
        <v>7.064102564102564E-4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input_379100!A$2</f>
        <v>379100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IFERROR(VLOOKUP(B239,input_379100!L:R,7,FALSE),VLOOKUP(tables_379100!C239,input_379100!A:H,8,FALSE))</f>
        <v>493</v>
      </c>
      <c r="P239" s="46">
        <f t="shared" ca="1" si="11"/>
        <v>3.7179487179487179E-5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input_379100!A$2</f>
        <v>379100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IFERROR(VLOOKUP(B240,input_379100!L:R,7,FALSE),VLOOKUP(tables_379100!C240,input_379100!A:H,8,FALSE))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input_379100!A$2</f>
        <v>379100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IFERROR(VLOOKUP(B241,input_379100!L:R,7,FALSE),VLOOKUP(tables_379100!C241,input_379100!A:H,8,FALSE))</f>
        <v>138567</v>
      </c>
      <c r="P241" s="46">
        <f t="shared" ca="1" si="11"/>
        <v>1.0449999999999999E-2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input_379100!A$2</f>
        <v>379100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IFERROR(VLOOKUP(B242,input_379100!L:R,7,FALSE),VLOOKUP(tables_379100!C242,input_379100!A:H,8,FALSE))</f>
        <v>7293</v>
      </c>
      <c r="P242" s="46">
        <f t="shared" ca="1" si="11"/>
        <v>5.5000000000000003E-4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input_379100!A$2</f>
        <v>379100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IFERROR(VLOOKUP(B243,input_379100!L:R,7,FALSE),VLOOKUP(tables_379100!C243,input_379100!A:H,8,FALSE))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input_379100!A$2</f>
        <v>379100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IFERROR(VLOOKUP(B244,input_379100!L:R,7,FALSE),VLOOKUP(tables_379100!C244,input_379100!A:H,8,FALSE))</f>
        <v>138567</v>
      </c>
      <c r="P244" s="46">
        <f t="shared" ca="1" si="11"/>
        <v>1.0449999999999999E-2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input_379100!A$2</f>
        <v>379100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IFERROR(VLOOKUP(B245,input_379100!L:R,7,FALSE),VLOOKUP(tables_379100!C245,input_379100!A:H,8,FALSE))</f>
        <v>7293</v>
      </c>
      <c r="P245" s="46">
        <f t="shared" ca="1" si="11"/>
        <v>5.5000000000000003E-4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input_379100!A$2</f>
        <v>379100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IFERROR(VLOOKUP(B246,input_379100!L:R,7,FALSE),VLOOKUP(tables_379100!C246,input_379100!A:H,8,FALSE))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input_379100!A$2</f>
        <v>379100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IFERROR(VLOOKUP(B247,input_379100!L:R,7,FALSE),VLOOKUP(tables_379100!C247,input_379100!A:H,8,FALSE))</f>
        <v>138567</v>
      </c>
      <c r="P247" s="46">
        <f t="shared" ca="1" si="11"/>
        <v>1.0449999999999999E-2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input_379100!A$2</f>
        <v>379100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IFERROR(VLOOKUP(B248,input_379100!L:R,7,FALSE),VLOOKUP(tables_379100!C248,input_379100!A:H,8,FALSE))</f>
        <v>7293</v>
      </c>
      <c r="P248" s="46">
        <f t="shared" ca="1" si="11"/>
        <v>5.5000000000000003E-4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input_379100!A$2</f>
        <v>379100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IFERROR(VLOOKUP(B249,input_379100!L:R,7,FALSE),VLOOKUP(tables_379100!C249,input_379100!A:H,8,FALSE))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input_379100!A$2</f>
        <v>379100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IFERROR(VLOOKUP(B250,input_379100!L:R,7,FALSE),VLOOKUP(tables_379100!C250,input_379100!A:H,8,FALSE))</f>
        <v>138567</v>
      </c>
      <c r="P250" s="46">
        <f t="shared" ca="1" si="11"/>
        <v>1.0449999999999999E-2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input_379100!A$2</f>
        <v>379100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IFERROR(VLOOKUP(B251,input_379100!L:R,7,FALSE),VLOOKUP(tables_379100!C251,input_379100!A:H,8,FALSE))</f>
        <v>7293</v>
      </c>
      <c r="P251" s="46">
        <f t="shared" ca="1" si="11"/>
        <v>5.5000000000000003E-4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input_379100!A$2</f>
        <v>379100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IFERROR(VLOOKUP(B252,input_379100!L:R,7,FALSE),VLOOKUP(tables_379100!C252,input_379100!A:H,8,FALSE))</f>
        <v>9367</v>
      </c>
      <c r="P252" s="46">
        <f t="shared" ca="1" si="11"/>
        <v>7.064102564102564E-4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input_379100!A$2</f>
        <v>379100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IFERROR(VLOOKUP(B253,input_379100!L:R,7,FALSE),VLOOKUP(tables_379100!C253,input_379100!A:H,8,FALSE))</f>
        <v>493</v>
      </c>
      <c r="P253" s="46">
        <f t="shared" ca="1" si="11"/>
        <v>3.7179487179487179E-5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input_379100!A$2</f>
        <v>379100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IFERROR(VLOOKUP(B254,input_379100!L:R,7,FALSE),VLOOKUP(tables_379100!C254,input_379100!A:H,8,FALSE))</f>
        <v>9367</v>
      </c>
      <c r="P254" s="46">
        <f t="shared" ca="1" si="11"/>
        <v>7.064102564102564E-4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input_379100!A$2</f>
        <v>379100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IFERROR(VLOOKUP(B255,input_379100!L:R,7,FALSE),VLOOKUP(tables_379100!C255,input_379100!A:H,8,FALSE))</f>
        <v>493</v>
      </c>
      <c r="P255" s="46">
        <f t="shared" ca="1" si="11"/>
        <v>3.7179487179487179E-5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input_379100!A$2</f>
        <v>379100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IFERROR(VLOOKUP(B256,input_379100!L:R,7,FALSE),VLOOKUP(tables_379100!C256,input_379100!A:H,8,FALSE))</f>
        <v>131156.88889</v>
      </c>
      <c r="P256" s="46">
        <f t="shared" ca="1" si="11"/>
        <v>9.8911680912518851E-3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input_379100!A$2</f>
        <v>379100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IFERROR(VLOOKUP(B257,input_379100!L:R,7,FALSE),VLOOKUP(tables_379100!C257,input_379100!A:H,8,FALSE))</f>
        <v>14703.11111</v>
      </c>
      <c r="P257" s="46">
        <f t="shared" ca="1" si="11"/>
        <v>1.1088319087481145E-3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input_379100!A$2</f>
        <v>379100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IFERROR(VLOOKUP(B258,input_379100!L:R,7,FALSE),VLOOKUP(tables_379100!C258,input_379100!A:H,8,FALSE))</f>
        <v>131156.88889</v>
      </c>
      <c r="P258" s="46">
        <f t="shared" ref="P258:P299" ca="1" si="14">O258/SUM(O:O)</f>
        <v>9.8911680912518851E-3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input_379100!A$2</f>
        <v>379100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IFERROR(VLOOKUP(B259,input_379100!L:R,7,FALSE),VLOOKUP(tables_379100!C259,input_379100!A:H,8,FALSE))</f>
        <v>14703.11111</v>
      </c>
      <c r="P259" s="46">
        <f t="shared" ca="1" si="14"/>
        <v>1.1088319087481145E-3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input_379100!A$2</f>
        <v>379100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IFERROR(VLOOKUP(B260,input_379100!L:R,7,FALSE),VLOOKUP(tables_379100!C260,input_379100!A:H,8,FALSE))</f>
        <v>9860</v>
      </c>
      <c r="P260" s="46">
        <f t="shared" ca="1" si="14"/>
        <v>7.4358974358974361E-4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input_379100!A$2</f>
        <v>379100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IFERROR(VLOOKUP(B261,input_379100!L:R,7,FALSE),VLOOKUP(tables_379100!C261,input_379100!A:H,8,FALSE))</f>
        <v>9860</v>
      </c>
      <c r="P261" s="46">
        <f t="shared" ca="1" si="14"/>
        <v>7.4358974358974361E-4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input_379100!A$2</f>
        <v>379100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IFERROR(VLOOKUP(B262,input_379100!L:R,7,FALSE),VLOOKUP(tables_379100!C262,input_379100!A:H,8,FALSE))</f>
        <v>9367</v>
      </c>
      <c r="P262" s="46">
        <f t="shared" ca="1" si="14"/>
        <v>7.064102564102564E-4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input_379100!A$2</f>
        <v>379100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IFERROR(VLOOKUP(B263,input_379100!L:R,7,FALSE),VLOOKUP(tables_379100!C263,input_379100!A:H,8,FALSE))</f>
        <v>493</v>
      </c>
      <c r="P263" s="46">
        <f t="shared" ca="1" si="14"/>
        <v>3.7179487179487179E-5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input_379100!A$2</f>
        <v>379100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IFERROR(VLOOKUP(B264,input_379100!L:R,7,FALSE),VLOOKUP(tables_379100!C264,input_379100!A:H,8,FALSE))</f>
        <v>9367</v>
      </c>
      <c r="P264" s="46">
        <f t="shared" ca="1" si="14"/>
        <v>7.064102564102564E-4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input_379100!A$2</f>
        <v>379100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IFERROR(VLOOKUP(B265,input_379100!L:R,7,FALSE),VLOOKUP(tables_379100!C265,input_379100!A:H,8,FALSE))</f>
        <v>493</v>
      </c>
      <c r="P265" s="46">
        <f t="shared" ca="1" si="14"/>
        <v>3.7179487179487179E-5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input_379100!A$2</f>
        <v>379100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IFERROR(VLOOKUP(B266,input_379100!L:R,7,FALSE),VLOOKUP(tables_379100!C266,input_379100!A:H,8,FALSE))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input_379100!A$2</f>
        <v>379100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IFERROR(VLOOKUP(B267,input_379100!L:R,7,FALSE),VLOOKUP(tables_379100!C267,input_379100!A:H,8,FALSE))</f>
        <v>138567</v>
      </c>
      <c r="P267" s="46">
        <f t="shared" ca="1" si="14"/>
        <v>1.0449999999999999E-2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input_379100!A$2</f>
        <v>379100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IFERROR(VLOOKUP(B268,input_379100!L:R,7,FALSE),VLOOKUP(tables_379100!C268,input_379100!A:H,8,FALSE))</f>
        <v>7293</v>
      </c>
      <c r="P268" s="46">
        <f t="shared" ca="1" si="14"/>
        <v>5.5000000000000003E-4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input_379100!A$2</f>
        <v>379100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IFERROR(VLOOKUP(B269,input_379100!L:R,7,FALSE),VLOOKUP(tables_379100!C269,input_379100!A:H,8,FALSE))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input_379100!A$2</f>
        <v>379100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IFERROR(VLOOKUP(B270,input_379100!L:R,7,FALSE),VLOOKUP(tables_379100!C270,input_379100!A:H,8,FALSE))</f>
        <v>138567</v>
      </c>
      <c r="P270" s="46">
        <f t="shared" ca="1" si="14"/>
        <v>1.0449999999999999E-2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input_379100!A$2</f>
        <v>379100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IFERROR(VLOOKUP(B271,input_379100!L:R,7,FALSE),VLOOKUP(tables_379100!C271,input_379100!A:H,8,FALSE))</f>
        <v>7293</v>
      </c>
      <c r="P271" s="46">
        <f t="shared" ca="1" si="14"/>
        <v>5.5000000000000003E-4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input_379100!A$2</f>
        <v>379100</v>
      </c>
      <c r="B272" s="82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IFERROR(VLOOKUP(B272,input_379100!L:R,7,FALSE),VLOOKUP(tables_379100!C272,input_379100!A:H,8,FALSE))</f>
        <v>9860</v>
      </c>
      <c r="P272" s="46">
        <f t="shared" ca="1" si="14"/>
        <v>7.4358974358974361E-4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input_379100!A$2</f>
        <v>379100</v>
      </c>
      <c r="B273" s="82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IFERROR(VLOOKUP(B273,input_379100!L:R,7,FALSE),VLOOKUP(tables_379100!C273,input_379100!A:H,8,FALSE))</f>
        <v>9860</v>
      </c>
      <c r="P273" s="46">
        <f t="shared" ca="1" si="14"/>
        <v>7.4358974358974361E-4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input_379100!A$2</f>
        <v>379100</v>
      </c>
      <c r="B274" s="82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IFERROR(VLOOKUP(B274,input_379100!L:R,7,FALSE),VLOOKUP(tables_379100!C274,input_379100!A:H,8,FALSE))</f>
        <v>131156.88889</v>
      </c>
      <c r="P274" s="46">
        <f t="shared" ca="1" si="14"/>
        <v>9.8911680912518851E-3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input_379100!A$2</f>
        <v>379100</v>
      </c>
      <c r="B275" s="82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IFERROR(VLOOKUP(B275,input_379100!L:R,7,FALSE),VLOOKUP(tables_379100!C275,input_379100!A:H,8,FALSE))</f>
        <v>14703.11111</v>
      </c>
      <c r="P275" s="46">
        <f t="shared" ca="1" si="14"/>
        <v>1.1088319087481145E-3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input_379100!A$2</f>
        <v>379100</v>
      </c>
      <c r="B276" s="82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IFERROR(VLOOKUP(B276,input_379100!L:R,7,FALSE),VLOOKUP(tables_379100!C276,input_379100!A:H,8,FALSE))</f>
        <v>131156.88889</v>
      </c>
      <c r="P276" s="46">
        <f t="shared" ca="1" si="14"/>
        <v>9.8911680912518851E-3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input_379100!A$2</f>
        <v>379100</v>
      </c>
      <c r="B277" s="82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IFERROR(VLOOKUP(B277,input_379100!L:R,7,FALSE),VLOOKUP(tables_379100!C277,input_379100!A:H,8,FALSE))</f>
        <v>14703.11111</v>
      </c>
      <c r="P277" s="46">
        <f t="shared" ca="1" si="14"/>
        <v>1.1088319087481145E-3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input_379100!A$2</f>
        <v>379100</v>
      </c>
      <c r="B278" s="82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IFERROR(VLOOKUP(B278,input_379100!L:R,7,FALSE),VLOOKUP(tables_379100!C278,input_379100!A:H,8,FALSE))</f>
        <v>131156.88889</v>
      </c>
      <c r="P278" s="46">
        <f t="shared" ca="1" si="14"/>
        <v>9.8911680912518851E-3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input_379100!A$2</f>
        <v>379100</v>
      </c>
      <c r="B279" s="82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IFERROR(VLOOKUP(B279,input_379100!L:R,7,FALSE),VLOOKUP(tables_379100!C279,input_379100!A:H,8,FALSE))</f>
        <v>14703.11111</v>
      </c>
      <c r="P279" s="46">
        <f t="shared" ca="1" si="14"/>
        <v>1.1088319087481145E-3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input_379100!A$2</f>
        <v>379100</v>
      </c>
      <c r="B280" s="82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IFERROR(VLOOKUP(B280,input_379100!L:R,7,FALSE),VLOOKUP(tables_379100!C280,input_379100!A:H,8,FALSE))</f>
        <v>131156.88889</v>
      </c>
      <c r="P280" s="46">
        <f t="shared" ca="1" si="14"/>
        <v>9.8911680912518851E-3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input_379100!A$2</f>
        <v>379100</v>
      </c>
      <c r="B281" s="82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IFERROR(VLOOKUP(B281,input_379100!L:R,7,FALSE),VLOOKUP(tables_379100!C281,input_379100!A:H,8,FALSE))</f>
        <v>14703.11111</v>
      </c>
      <c r="P281" s="46">
        <f t="shared" ca="1" si="14"/>
        <v>1.1088319087481145E-3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input_379100!A$2</f>
        <v>379100</v>
      </c>
      <c r="B282" s="82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IFERROR(VLOOKUP(B282,input_379100!L:R,7,FALSE),VLOOKUP(tables_379100!C282,input_379100!A:H,8,FALSE))</f>
        <v>9860</v>
      </c>
      <c r="P282" s="46">
        <f t="shared" ca="1" si="14"/>
        <v>7.4358974358974361E-4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input_379100!A$2</f>
        <v>379100</v>
      </c>
      <c r="B283" s="82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IFERROR(VLOOKUP(B283,input_379100!L:R,7,FALSE),VLOOKUP(tables_379100!C283,input_379100!A:H,8,FALSE))</f>
        <v>9860</v>
      </c>
      <c r="P283" s="46">
        <f t="shared" ca="1" si="14"/>
        <v>7.4358974358974361E-4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input_379100!A$2</f>
        <v>379100</v>
      </c>
      <c r="B284" s="82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IFERROR(VLOOKUP(B284,input_379100!L:R,7,FALSE),VLOOKUP(tables_379100!C284,input_379100!A:H,8,FALSE))</f>
        <v>9860</v>
      </c>
      <c r="P284" s="46">
        <f t="shared" ca="1" si="14"/>
        <v>7.4358974358974361E-4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input_379100!A$2</f>
        <v>379100</v>
      </c>
      <c r="B285" s="82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IFERROR(VLOOKUP(B285,input_379100!L:R,7,FALSE),VLOOKUP(tables_379100!C285,input_379100!A:H,8,FALSE))</f>
        <v>9860</v>
      </c>
      <c r="P285" s="46">
        <f t="shared" ca="1" si="14"/>
        <v>7.4358974358974361E-4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input_379100!A$2</f>
        <v>379100</v>
      </c>
      <c r="B286" s="82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IFERROR(VLOOKUP(B286,input_379100!L:R,7,FALSE),VLOOKUP(tables_379100!C286,input_379100!A:H,8,FALSE))</f>
        <v>131156.88889</v>
      </c>
      <c r="P286" s="46">
        <f t="shared" ca="1" si="14"/>
        <v>9.8911680912518851E-3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input_379100!A$2</f>
        <v>379100</v>
      </c>
      <c r="B287" s="82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IFERROR(VLOOKUP(B287,input_379100!L:R,7,FALSE),VLOOKUP(tables_379100!C287,input_379100!A:H,8,FALSE))</f>
        <v>14703.11111</v>
      </c>
      <c r="P287" s="46">
        <f t="shared" ca="1" si="14"/>
        <v>1.1088319087481145E-3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input_379100!A$2</f>
        <v>379100</v>
      </c>
      <c r="B288" s="82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IFERROR(VLOOKUP(B288,input_379100!L:R,7,FALSE),VLOOKUP(tables_379100!C288,input_379100!A:H,8,FALSE))</f>
        <v>131156.88889</v>
      </c>
      <c r="P288" s="46">
        <f t="shared" ca="1" si="14"/>
        <v>9.8911680912518851E-3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input_379100!A$2</f>
        <v>379100</v>
      </c>
      <c r="B289" s="82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IFERROR(VLOOKUP(B289,input_379100!L:R,7,FALSE),VLOOKUP(tables_379100!C289,input_379100!A:H,8,FALSE))</f>
        <v>14703.11111</v>
      </c>
      <c r="P289" s="46">
        <f t="shared" ca="1" si="14"/>
        <v>1.1088319087481145E-3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input_379100!A$2</f>
        <v>379100</v>
      </c>
      <c r="B290" s="82">
        <v>937</v>
      </c>
      <c r="C290" s="7" t="str">
        <f t="shared" ref="C290:C294" si="21">D290&amp;J290&amp;E290&amp;F290&amp;G290</f>
        <v>PremiumSS5R5only</v>
      </c>
      <c r="D290" s="7" t="str">
        <f t="shared" ref="D290:D294" si="22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IFERROR(VLOOKUP(B290,input_379100!L:R,7,FALSE),VLOOKUP(tables_379100!C290,input_379100!A:H,8,FALSE))</f>
        <v>9860</v>
      </c>
      <c r="P290" s="46">
        <f t="shared" ca="1" si="14"/>
        <v>7.4358974358974361E-4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input_379100!A$2</f>
        <v>379100</v>
      </c>
      <c r="B291" s="82">
        <v>939</v>
      </c>
      <c r="C291" s="7" t="str">
        <f t="shared" si="21"/>
        <v>Premium4R3less</v>
      </c>
      <c r="D291" s="7" t="str">
        <f t="shared" si="22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IFERROR(VLOOKUP(B291,input_379100!L:R,7,FALSE),VLOOKUP(tables_379100!C291,input_379100!A:H,8,FALSE))</f>
        <v>131156.88889</v>
      </c>
      <c r="P291" s="46">
        <f t="shared" ca="1" si="14"/>
        <v>9.8911680912518851E-3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input_379100!A$2</f>
        <v>379100</v>
      </c>
      <c r="B292" s="82">
        <v>940</v>
      </c>
      <c r="C292" s="7" t="str">
        <f t="shared" si="21"/>
        <v>Premium5R3less</v>
      </c>
      <c r="D292" s="7" t="str">
        <f t="shared" si="22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IFERROR(VLOOKUP(B292,input_379100!L:R,7,FALSE),VLOOKUP(tables_379100!C292,input_379100!A:H,8,FALSE))</f>
        <v>14703.11111</v>
      </c>
      <c r="P292" s="46">
        <f t="shared" ca="1" si="14"/>
        <v>1.1088319087481145E-3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input_379100!A$2</f>
        <v>379100</v>
      </c>
      <c r="B293" s="82">
        <v>941</v>
      </c>
      <c r="C293" s="7" t="str">
        <f t="shared" si="21"/>
        <v>PremiumSS5R5only</v>
      </c>
      <c r="D293" s="7" t="str">
        <f t="shared" si="22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IFERROR(VLOOKUP(B293,input_379100!L:R,7,FALSE),VLOOKUP(tables_379100!C293,input_379100!A:H,8,FALSE))</f>
        <v>9860</v>
      </c>
      <c r="P293" s="46">
        <f t="shared" ca="1" si="14"/>
        <v>7.4358974358974361E-4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input_379100!A$2</f>
        <v>379100</v>
      </c>
      <c r="B294" s="82">
        <v>943</v>
      </c>
      <c r="C294" s="7" t="str">
        <f t="shared" si="21"/>
        <v>PremiumSS5R5only</v>
      </c>
      <c r="D294" s="7" t="str">
        <f t="shared" si="22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IFERROR(VLOOKUP(B294,input_379100!L:R,7,FALSE),VLOOKUP(tables_379100!C294,input_379100!A:H,8,FALSE))</f>
        <v>9860</v>
      </c>
      <c r="P294" s="46">
        <f t="shared" ca="1" si="14"/>
        <v>7.4358974358974361E-4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input_379100!A$2</f>
        <v>379100</v>
      </c>
      <c r="B295" s="5">
        <v>1012</v>
      </c>
      <c r="C295" s="7" t="str">
        <f t="shared" ref="C295:C299" si="23">D295&amp;J295&amp;E295&amp;F295&amp;G295</f>
        <v>PremiumSS5R5only</v>
      </c>
      <c r="D295" s="7" t="str">
        <f t="shared" ref="D295:D299" si="24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>IFERROR(VLOOKUP(B295,input_379100!L:R,7,FALSE),VLOOKUP(tables_379100!C295,input_379100!A:H,8,FALSE))</f>
        <v>92820</v>
      </c>
      <c r="P295" s="46">
        <f t="shared" ca="1" si="14"/>
        <v>7.0000000000000001E-3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input_379100!A$2</f>
        <v>379100</v>
      </c>
      <c r="B296" s="5">
        <v>1014</v>
      </c>
      <c r="C296" s="7" t="str">
        <f t="shared" si="23"/>
        <v>PremiumSS5R5only</v>
      </c>
      <c r="D296" s="7" t="str">
        <f t="shared" si="24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>IFERROR(VLOOKUP(B296,input_379100!L:R,7,FALSE),VLOOKUP(tables_379100!C296,input_379100!A:H,8,FALSE))</f>
        <v>92820</v>
      </c>
      <c r="P296" s="46">
        <f t="shared" ca="1" si="14"/>
        <v>7.0000000000000001E-3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input_379100!A$2</f>
        <v>379100</v>
      </c>
      <c r="B297" s="5">
        <v>1016</v>
      </c>
      <c r="C297" s="7" t="str">
        <f t="shared" si="23"/>
        <v>Premium4R3less</v>
      </c>
      <c r="D297" s="7" t="str">
        <f t="shared" si="24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>IFERROR(VLOOKUP(B297,input_379100!L:R,7,FALSE),VLOOKUP(tables_379100!C297,input_379100!A:H,8,FALSE))</f>
        <v>99450</v>
      </c>
      <c r="P297" s="46">
        <f t="shared" ca="1" si="14"/>
        <v>7.4999999999999997E-3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input_379100!A$2</f>
        <v>379100</v>
      </c>
      <c r="B298" s="5">
        <v>1017</v>
      </c>
      <c r="C298" s="7" t="str">
        <f t="shared" si="23"/>
        <v>Premium5R3less</v>
      </c>
      <c r="D298" s="7" t="str">
        <f t="shared" si="24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>IFERROR(VLOOKUP(B298,input_379100!L:R,7,FALSE),VLOOKUP(tables_379100!C298,input_379100!A:H,8,FALSE))</f>
        <v>99450</v>
      </c>
      <c r="P298" s="46">
        <f t="shared" ca="1" si="14"/>
        <v>7.4999999999999997E-3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input_379100!A$2</f>
        <v>379100</v>
      </c>
      <c r="B299" s="5">
        <v>1018</v>
      </c>
      <c r="C299" s="7" t="str">
        <f t="shared" si="23"/>
        <v>PremiumSS5R5only</v>
      </c>
      <c r="D299" s="7" t="str">
        <f t="shared" si="24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>IFERROR(VLOOKUP(B299,input_379100!L:R,7,FALSE),VLOOKUP(tables_379100!C299,input_379100!A:H,8,FALSE))</f>
        <v>92820</v>
      </c>
      <c r="P299" s="46">
        <f t="shared" ca="1" si="14"/>
        <v>7.0000000000000001E-3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N15" sqref="N1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3.5976562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88" t="s">
        <v>263</v>
      </c>
      <c r="B2" s="82">
        <v>1012</v>
      </c>
      <c r="C2" s="7" t="str">
        <f t="shared" ref="C2:C3" si="0">D2&amp;J2&amp;E2&amp;F2&amp;G2</f>
        <v>PremiumSS5R5only</v>
      </c>
      <c r="D2" s="7" t="str">
        <f t="shared" ref="D2:D3" si="1">IF(I2="PremiumSS",I2,IF(I2="PremiumSSS",I2,IF(I2="PremiumW",I2,"Premium")))</f>
        <v>PremiumSS</v>
      </c>
      <c r="E2" s="7" t="str">
        <f>IF(COUNTIF('R6追加前'!A:A,B2)=0,IF(I2="PremiumSS","R5only","R3less"),"")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ラー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250</v>
      </c>
      <c r="P2" s="46">
        <f>O2/SUM(O:O)</f>
        <v>0.25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88" t="s">
        <v>263</v>
      </c>
      <c r="B3" s="82">
        <v>1014</v>
      </c>
      <c r="C3" s="7" t="str">
        <f t="shared" si="0"/>
        <v>PremiumSS5R5only</v>
      </c>
      <c r="D3" s="7" t="str">
        <f t="shared" si="1"/>
        <v>PremiumSS</v>
      </c>
      <c r="E3" s="7" t="str">
        <f>IF(COUNTIF('R6追加前'!A:A,B3)=0,IF(I3="PremiumSS","R5only","R3less"),"")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イシス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god</v>
      </c>
      <c r="N3" s="7" t="str">
        <f>VLOOKUP(B3,[1]characters!$A:$G,7,FALSE)</f>
        <v>男性</v>
      </c>
      <c r="O3" s="45">
        <v>250</v>
      </c>
      <c r="P3" s="46">
        <f>O3/SUM(O:O)</f>
        <v>0.25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88" t="s">
        <v>263</v>
      </c>
      <c r="B4" s="82">
        <v>1016</v>
      </c>
      <c r="C4" s="7" t="str">
        <f t="shared" ref="C4:C6" si="2">D4&amp;J4&amp;E4&amp;F4&amp;G4</f>
        <v>Premium4R3less</v>
      </c>
      <c r="D4" s="7" t="str">
        <f t="shared" ref="D4:D6" si="3">IF(I4="PremiumSS",I4,IF(I4="PremiumSSS",I4,IF(I4="PremiumW",I4,"Premium")))</f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ハトホル</v>
      </c>
      <c r="I4" s="7" t="str">
        <f>VLOOKUP(B4,[1]characters!$A:$J,10,FALSE)</f>
        <v>PremiumS</v>
      </c>
      <c r="J4" s="7">
        <f>VLOOKUP(B4,[1]characters!$A:$I,9,FALSE)</f>
        <v>4</v>
      </c>
      <c r="K4" s="7" t="str">
        <f>VLOOKUP(B4,[1]characters!$A:$H,8,FALSE)</f>
        <v>blue</v>
      </c>
      <c r="L4" s="7" t="str">
        <f>VLOOKUP(B4,[1]characters!$A:$K,11,FALSE)</f>
        <v>heal</v>
      </c>
      <c r="M4" s="7" t="str">
        <f>VLOOKUP(B4,[1]characters!$A:$M,13,FALSE)</f>
        <v>god</v>
      </c>
      <c r="N4" s="7" t="str">
        <f>VLOOKUP(B4,[1]characters!$A:$G,7,FALSE)</f>
        <v>男性</v>
      </c>
      <c r="O4" s="45">
        <v>200</v>
      </c>
      <c r="P4" s="46">
        <f>O4/SUM(O:O)</f>
        <v>0.2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88" t="s">
        <v>263</v>
      </c>
      <c r="B5" s="82">
        <v>1017</v>
      </c>
      <c r="C5" s="7" t="str">
        <f t="shared" si="2"/>
        <v>Premium5R3less</v>
      </c>
      <c r="D5" s="7" t="str">
        <f t="shared" si="3"/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命瞳の慈母神 ハトホル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heal</v>
      </c>
      <c r="M5" s="7" t="str">
        <f>VLOOKUP(B5,[1]characters!$A:$M,13,FALSE)</f>
        <v>god</v>
      </c>
      <c r="N5" s="7" t="str">
        <f>VLOOKUP(B5,[1]characters!$A:$G,7,FALSE)</f>
        <v>男性</v>
      </c>
      <c r="O5" s="45">
        <v>200</v>
      </c>
      <c r="P5" s="46">
        <f>O5/SUM(O:O)</f>
        <v>0.2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88" t="s">
        <v>263</v>
      </c>
      <c r="B6" s="82">
        <v>1018</v>
      </c>
      <c r="C6" s="7" t="str">
        <f t="shared" si="2"/>
        <v>PremiumSS5R5only</v>
      </c>
      <c r="D6" s="7" t="str">
        <f t="shared" si="3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バステト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attack</v>
      </c>
      <c r="M6" s="7" t="str">
        <f>VLOOKUP(B6,[1]characters!$A:$M,13,FALSE)</f>
        <v>god</v>
      </c>
      <c r="N6" s="7" t="str">
        <f>VLOOKUP(B6,[1]characters!$A:$G,7,FALSE)</f>
        <v>男性</v>
      </c>
      <c r="O6" s="45">
        <v>100</v>
      </c>
      <c r="P6" s="46">
        <f>O6/SUM(O:O)</f>
        <v>0.1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</sheetData>
  <autoFilter ref="A1:V6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I20" sqref="I2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9" t="s">
        <v>248</v>
      </c>
      <c r="B2" s="79" t="s">
        <v>249</v>
      </c>
      <c r="C2" s="80" t="s">
        <v>244</v>
      </c>
      <c r="D2" s="80">
        <v>125</v>
      </c>
      <c r="E2" s="80">
        <v>1</v>
      </c>
      <c r="F2" s="80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0" t="s">
        <v>214</v>
      </c>
      <c r="O2" s="80" t="s">
        <v>246</v>
      </c>
      <c r="P2" s="80" t="s">
        <v>247</v>
      </c>
      <c r="Q2" s="81" t="s">
        <v>251</v>
      </c>
    </row>
    <row r="3" spans="1:17" ht="21" customHeight="1" x14ac:dyDescent="0.15">
      <c r="A3" s="79" t="s">
        <v>253</v>
      </c>
      <c r="B3" s="79" t="s">
        <v>250</v>
      </c>
      <c r="C3" s="1" t="s">
        <v>241</v>
      </c>
      <c r="D3" s="1">
        <v>125</v>
      </c>
      <c r="E3" s="1">
        <v>3</v>
      </c>
      <c r="F3" s="1">
        <v>1</v>
      </c>
      <c r="G3" s="87">
        <v>0</v>
      </c>
      <c r="H3" s="87">
        <v>0</v>
      </c>
      <c r="I3" s="87">
        <v>0</v>
      </c>
      <c r="J3" s="87">
        <v>0</v>
      </c>
      <c r="K3" s="87">
        <v>1</v>
      </c>
      <c r="L3" s="87">
        <v>1</v>
      </c>
      <c r="M3" s="87">
        <v>1</v>
      </c>
      <c r="N3" s="80" t="s">
        <v>214</v>
      </c>
      <c r="O3" s="80" t="s">
        <v>245</v>
      </c>
      <c r="P3" s="80" t="s">
        <v>247</v>
      </c>
      <c r="Q3" s="81" t="s">
        <v>252</v>
      </c>
    </row>
    <row r="4" spans="1:17" ht="21" customHeight="1" x14ac:dyDescent="0.15">
      <c r="A4" s="79"/>
      <c r="B4" s="79"/>
      <c r="G4" s="87"/>
      <c r="H4" s="87"/>
      <c r="I4" s="87"/>
      <c r="J4" s="87"/>
      <c r="K4" s="87"/>
      <c r="L4" s="87"/>
      <c r="M4" s="87"/>
      <c r="N4" s="80"/>
      <c r="O4" s="80"/>
      <c r="P4" s="80"/>
      <c r="Q4" s="81"/>
    </row>
    <row r="5" spans="1:17" ht="21" customHeight="1" x14ac:dyDescent="0.15">
      <c r="A5" s="79"/>
      <c r="B5" s="79"/>
      <c r="G5" s="87"/>
      <c r="H5" s="87"/>
      <c r="I5" s="87"/>
      <c r="J5" s="87"/>
      <c r="K5" s="87"/>
      <c r="L5" s="87"/>
      <c r="M5" s="87"/>
      <c r="N5" s="80"/>
      <c r="O5" s="80"/>
      <c r="P5" s="80"/>
      <c r="Q5" s="81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input_379010</vt:lpstr>
      <vt:lpstr>tables_379010</vt:lpstr>
      <vt:lpstr>input_379100</vt:lpstr>
      <vt:lpstr>tables_379100</vt:lpstr>
      <vt:lpstr>tables_settle_379100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2016-07-27T10:06:01Z</dcterms:modified>
</cp:coreProperties>
</file>