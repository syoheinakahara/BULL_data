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460" yWindow="1480" windowWidth="32540" windowHeight="149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failu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9" hidden="1">stage_hints_complete!$C$1:$N$1</definedName>
    <definedName name="_xlnm._FilterDatabase" localSheetId="8" hidden="1">stage_hints_failue!$C$1:$N$2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0" l="1"/>
  <c r="N3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M12" i="20"/>
  <c r="N12" i="20"/>
  <c r="M13" i="20"/>
  <c r="N13" i="20"/>
  <c r="M14" i="20"/>
  <c r="N14" i="20"/>
  <c r="M15" i="20"/>
  <c r="N15" i="20"/>
  <c r="M16" i="20"/>
  <c r="N16" i="20"/>
  <c r="M17" i="20"/>
  <c r="N17" i="20"/>
  <c r="M18" i="20"/>
  <c r="N18" i="20"/>
  <c r="M19" i="20"/>
  <c r="N19" i="20"/>
  <c r="M20" i="20"/>
  <c r="N20" i="20"/>
  <c r="M21" i="20"/>
  <c r="N21" i="20"/>
  <c r="M22" i="20"/>
  <c r="N22" i="20"/>
  <c r="M23" i="20"/>
  <c r="N23" i="20"/>
  <c r="M24" i="20"/>
  <c r="N24" i="20"/>
  <c r="M25" i="20"/>
  <c r="N25" i="20"/>
  <c r="M26" i="20"/>
  <c r="N26" i="20"/>
  <c r="M27" i="20"/>
  <c r="N27" i="20"/>
  <c r="M28" i="20"/>
  <c r="N28" i="20"/>
  <c r="M29" i="20"/>
  <c r="N29" i="20"/>
  <c r="M30" i="20"/>
  <c r="N30" i="20"/>
  <c r="M31" i="20"/>
  <c r="N31" i="20"/>
  <c r="M32" i="20"/>
  <c r="N32" i="20"/>
  <c r="M33" i="20"/>
  <c r="N33" i="20"/>
  <c r="M34" i="20"/>
  <c r="N34" i="20"/>
  <c r="M35" i="20"/>
  <c r="N35" i="20"/>
  <c r="M36" i="20"/>
  <c r="N36" i="20"/>
  <c r="M37" i="20"/>
  <c r="N37" i="20"/>
  <c r="M38" i="20"/>
  <c r="N38" i="20"/>
  <c r="M39" i="20"/>
  <c r="N39" i="20"/>
  <c r="M40" i="20"/>
  <c r="N40" i="20"/>
  <c r="M41" i="20"/>
  <c r="N41" i="20"/>
  <c r="M42" i="20"/>
  <c r="N42" i="20"/>
  <c r="M43" i="20"/>
  <c r="N43" i="20"/>
  <c r="M44" i="20"/>
  <c r="N44" i="20"/>
  <c r="M45" i="20"/>
  <c r="N45" i="20"/>
  <c r="M46" i="20"/>
  <c r="N46" i="20"/>
  <c r="M47" i="20"/>
  <c r="N47" i="20"/>
  <c r="M48" i="20"/>
  <c r="N48" i="20"/>
  <c r="M49" i="20"/>
  <c r="N49" i="20"/>
  <c r="M50" i="20"/>
  <c r="N50" i="20"/>
  <c r="M51" i="20"/>
  <c r="N51" i="20"/>
  <c r="M52" i="20"/>
  <c r="N52" i="20"/>
  <c r="M53" i="20"/>
  <c r="N53" i="20"/>
  <c r="M54" i="20"/>
  <c r="N54" i="20"/>
  <c r="M55" i="20"/>
  <c r="N55" i="20"/>
  <c r="M56" i="20"/>
  <c r="N56" i="20"/>
  <c r="M57" i="20"/>
  <c r="N57" i="20"/>
  <c r="M58" i="20"/>
  <c r="N58" i="20"/>
  <c r="M59" i="20"/>
  <c r="N59" i="20"/>
  <c r="M60" i="20"/>
  <c r="N60" i="20"/>
  <c r="M61" i="20"/>
  <c r="N61" i="20"/>
  <c r="M62" i="20"/>
  <c r="N62" i="20"/>
  <c r="M63" i="20"/>
  <c r="N63" i="20"/>
  <c r="M64" i="20"/>
  <c r="N64" i="20"/>
  <c r="M65" i="20"/>
  <c r="N65" i="20"/>
  <c r="M66" i="20"/>
  <c r="N66" i="20"/>
  <c r="M67" i="20"/>
  <c r="N67" i="20"/>
  <c r="M68" i="20"/>
  <c r="N68" i="20"/>
  <c r="M69" i="20"/>
  <c r="N69" i="20"/>
  <c r="M70" i="20"/>
  <c r="N70" i="20"/>
  <c r="M71" i="20"/>
  <c r="N71" i="20"/>
  <c r="M72" i="20"/>
  <c r="N72" i="20"/>
  <c r="M73" i="20"/>
  <c r="N73" i="20"/>
  <c r="M74" i="20"/>
  <c r="N74" i="20"/>
  <c r="M75" i="20"/>
  <c r="N75" i="20"/>
  <c r="M76" i="20"/>
  <c r="N76" i="20"/>
  <c r="M77" i="20"/>
  <c r="N77" i="20"/>
  <c r="N2" i="20"/>
  <c r="M2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C2" i="16"/>
  <c r="C8" i="16"/>
  <c r="C10" i="16"/>
  <c r="E10" i="16"/>
  <c r="J13" i="11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C3" i="19"/>
  <c r="K3" i="19"/>
  <c r="C4" i="19"/>
  <c r="K4" i="19"/>
  <c r="C5" i="19"/>
  <c r="K5" i="19"/>
  <c r="C6" i="19"/>
  <c r="K6" i="19"/>
  <c r="H6" i="19"/>
  <c r="G6" i="19"/>
  <c r="E6" i="19"/>
  <c r="D6" i="19"/>
  <c r="A6" i="19"/>
  <c r="H5" i="19"/>
  <c r="G5" i="19"/>
  <c r="E5" i="19"/>
  <c r="D5" i="19"/>
  <c r="A5" i="19"/>
  <c r="H4" i="19"/>
  <c r="G4" i="19"/>
  <c r="E4" i="19"/>
  <c r="D4" i="19"/>
  <c r="A4" i="19"/>
  <c r="H3" i="19"/>
  <c r="G3" i="19"/>
  <c r="E3" i="19"/>
  <c r="D3" i="19"/>
  <c r="A3" i="19"/>
  <c r="J12" i="11"/>
  <c r="L19" i="10"/>
  <c r="S19" i="10"/>
  <c r="V19" i="10"/>
  <c r="U19" i="10"/>
  <c r="W19" i="10"/>
  <c r="T19" i="10"/>
  <c r="X19" i="10"/>
  <c r="M19" i="10"/>
  <c r="P19" i="10"/>
  <c r="O19" i="10"/>
  <c r="Q19" i="10"/>
  <c r="N19" i="10"/>
  <c r="R19" i="10"/>
  <c r="F19" i="10"/>
  <c r="I19" i="10"/>
  <c r="H19" i="10"/>
  <c r="J19" i="10"/>
  <c r="G19" i="10"/>
  <c r="K19" i="10"/>
  <c r="O15" i="9"/>
  <c r="N15" i="9"/>
  <c r="M15" i="9"/>
  <c r="L15" i="9"/>
  <c r="K15" i="9"/>
  <c r="J15" i="9"/>
  <c r="I15" i="9"/>
  <c r="H15" i="9"/>
  <c r="G15" i="9"/>
  <c r="E15" i="9"/>
  <c r="D15" i="9"/>
  <c r="A15" i="9"/>
  <c r="L18" i="10"/>
  <c r="S18" i="10"/>
  <c r="V18" i="10"/>
  <c r="U18" i="10"/>
  <c r="W18" i="10"/>
  <c r="T18" i="10"/>
  <c r="X18" i="10"/>
  <c r="M18" i="10"/>
  <c r="P18" i="10"/>
  <c r="O18" i="10"/>
  <c r="Q18" i="10"/>
  <c r="N18" i="10"/>
  <c r="R18" i="10"/>
  <c r="F18" i="10"/>
  <c r="I18" i="10"/>
  <c r="H18" i="10"/>
  <c r="J18" i="10"/>
  <c r="G18" i="10"/>
  <c r="K18" i="10"/>
  <c r="J7" i="11"/>
  <c r="O23" i="9"/>
  <c r="N23" i="9"/>
  <c r="M23" i="9"/>
  <c r="L23" i="9"/>
  <c r="K23" i="9"/>
  <c r="J23" i="9"/>
  <c r="I23" i="9"/>
  <c r="H23" i="9"/>
  <c r="G23" i="9"/>
  <c r="E23" i="9"/>
  <c r="D23" i="9"/>
  <c r="A23" i="9"/>
  <c r="J6" i="11"/>
  <c r="O22" i="9"/>
  <c r="N22" i="9"/>
  <c r="M22" i="9"/>
  <c r="L22" i="9"/>
  <c r="K22" i="9"/>
  <c r="J22" i="9"/>
  <c r="I22" i="9"/>
  <c r="H22" i="9"/>
  <c r="G22" i="9"/>
  <c r="E22" i="9"/>
  <c r="D22" i="9"/>
  <c r="A22" i="9"/>
  <c r="J4" i="11"/>
  <c r="O21" i="9"/>
  <c r="N21" i="9"/>
  <c r="M21" i="9"/>
  <c r="L21" i="9"/>
  <c r="K21" i="9"/>
  <c r="J21" i="9"/>
  <c r="I21" i="9"/>
  <c r="H21" i="9"/>
  <c r="G21" i="9"/>
  <c r="E21" i="9"/>
  <c r="D21" i="9"/>
  <c r="A21" i="9"/>
  <c r="J3" i="11"/>
  <c r="O20" i="9"/>
  <c r="N20" i="9"/>
  <c r="M20" i="9"/>
  <c r="L20" i="9"/>
  <c r="K20" i="9"/>
  <c r="J20" i="9"/>
  <c r="I20" i="9"/>
  <c r="H20" i="9"/>
  <c r="G20" i="9"/>
  <c r="E20" i="9"/>
  <c r="D20" i="9"/>
  <c r="A20" i="9"/>
  <c r="J2" i="11"/>
  <c r="O19" i="9"/>
  <c r="N19" i="9"/>
  <c r="M19" i="9"/>
  <c r="L19" i="9"/>
  <c r="K19" i="9"/>
  <c r="J19" i="9"/>
  <c r="I19" i="9"/>
  <c r="H19" i="9"/>
  <c r="G19" i="9"/>
  <c r="E19" i="9"/>
  <c r="D19" i="9"/>
  <c r="A19" i="9"/>
  <c r="C9" i="16"/>
  <c r="C11" i="16"/>
  <c r="C12" i="16"/>
  <c r="E12" i="16"/>
  <c r="E11" i="16"/>
  <c r="C2" i="19"/>
  <c r="K2" i="19"/>
  <c r="H2" i="19"/>
  <c r="G2" i="19"/>
  <c r="E2" i="19"/>
  <c r="D2" i="19"/>
  <c r="A2" i="19"/>
  <c r="J10" i="11"/>
  <c r="O18" i="9"/>
  <c r="N18" i="9"/>
  <c r="M18" i="9"/>
  <c r="L18" i="9"/>
  <c r="K18" i="9"/>
  <c r="J18" i="9"/>
  <c r="I18" i="9"/>
  <c r="H18" i="9"/>
  <c r="G18" i="9"/>
  <c r="E18" i="9"/>
  <c r="D18" i="9"/>
  <c r="A18" i="9"/>
  <c r="J9" i="11"/>
  <c r="O17" i="9"/>
  <c r="N17" i="9"/>
  <c r="M17" i="9"/>
  <c r="L17" i="9"/>
  <c r="K17" i="9"/>
  <c r="J17" i="9"/>
  <c r="I17" i="9"/>
  <c r="H17" i="9"/>
  <c r="G17" i="9"/>
  <c r="E17" i="9"/>
  <c r="D17" i="9"/>
  <c r="A17" i="9"/>
  <c r="J11" i="11"/>
  <c r="O16" i="9"/>
  <c r="N16" i="9"/>
  <c r="M16" i="9"/>
  <c r="L16" i="9"/>
  <c r="K16" i="9"/>
  <c r="J16" i="9"/>
  <c r="I16" i="9"/>
  <c r="H16" i="9"/>
  <c r="G16" i="9"/>
  <c r="E16" i="9"/>
  <c r="D16" i="9"/>
  <c r="A16" i="9"/>
  <c r="W3" i="7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F4" i="10"/>
  <c r="G4" i="10"/>
  <c r="H4" i="10"/>
  <c r="I4" i="10"/>
  <c r="J4" i="10"/>
  <c r="K4" i="10"/>
  <c r="L4" i="10"/>
  <c r="L14" i="10"/>
  <c r="M14" i="10"/>
  <c r="P14" i="10"/>
  <c r="O14" i="10"/>
  <c r="Q14" i="10"/>
  <c r="N14" i="10"/>
  <c r="R14" i="10"/>
  <c r="M4" i="10"/>
  <c r="N4" i="10"/>
  <c r="O4" i="10"/>
  <c r="P4" i="10"/>
  <c r="Q4" i="10"/>
  <c r="R4" i="10"/>
  <c r="S4" i="10"/>
  <c r="T4" i="10"/>
  <c r="U4" i="10"/>
  <c r="V4" i="10"/>
  <c r="W4" i="10"/>
  <c r="X4" i="10"/>
  <c r="F5" i="10"/>
  <c r="G5" i="10"/>
  <c r="H5" i="10"/>
  <c r="I5" i="10"/>
  <c r="J5" i="10"/>
  <c r="K5" i="10"/>
  <c r="L5" i="10"/>
  <c r="L15" i="10"/>
  <c r="M15" i="10"/>
  <c r="P15" i="10"/>
  <c r="O15" i="10"/>
  <c r="Q15" i="10"/>
  <c r="N15" i="10"/>
  <c r="R15" i="10"/>
  <c r="M5" i="10"/>
  <c r="N5" i="10"/>
  <c r="O5" i="10"/>
  <c r="P5" i="10"/>
  <c r="Q5" i="10"/>
  <c r="R5" i="10"/>
  <c r="S5" i="10"/>
  <c r="T5" i="10"/>
  <c r="U5" i="10"/>
  <c r="V5" i="10"/>
  <c r="W5" i="10"/>
  <c r="X5" i="10"/>
  <c r="F6" i="10"/>
  <c r="G6" i="10"/>
  <c r="H6" i="10"/>
  <c r="I6" i="10"/>
  <c r="J6" i="10"/>
  <c r="K6" i="10"/>
  <c r="L6" i="10"/>
  <c r="L16" i="10"/>
  <c r="M16" i="10"/>
  <c r="P16" i="10"/>
  <c r="O16" i="10"/>
  <c r="Q16" i="10"/>
  <c r="N16" i="10"/>
  <c r="R16" i="10"/>
  <c r="M6" i="10"/>
  <c r="N6" i="10"/>
  <c r="O6" i="10"/>
  <c r="P6" i="10"/>
  <c r="Q6" i="10"/>
  <c r="R6" i="10"/>
  <c r="S6" i="10"/>
  <c r="T6" i="10"/>
  <c r="U6" i="10"/>
  <c r="V6" i="10"/>
  <c r="W6" i="10"/>
  <c r="X6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F14" i="10"/>
  <c r="G14" i="10"/>
  <c r="H14" i="10"/>
  <c r="I14" i="10"/>
  <c r="J14" i="10"/>
  <c r="K14" i="10"/>
  <c r="S14" i="10"/>
  <c r="T14" i="10"/>
  <c r="U14" i="10"/>
  <c r="V14" i="10"/>
  <c r="W14" i="10"/>
  <c r="X14" i="10"/>
  <c r="F15" i="10"/>
  <c r="G15" i="10"/>
  <c r="H15" i="10"/>
  <c r="I15" i="10"/>
  <c r="J15" i="10"/>
  <c r="K15" i="10"/>
  <c r="S15" i="10"/>
  <c r="T15" i="10"/>
  <c r="U15" i="10"/>
  <c r="V15" i="10"/>
  <c r="W15" i="10"/>
  <c r="X15" i="10"/>
  <c r="F16" i="10"/>
  <c r="G16" i="10"/>
  <c r="H16" i="10"/>
  <c r="I16" i="10"/>
  <c r="J16" i="10"/>
  <c r="K16" i="10"/>
  <c r="S16" i="10"/>
  <c r="T16" i="10"/>
  <c r="U16" i="10"/>
  <c r="V16" i="10"/>
  <c r="W16" i="10"/>
  <c r="X16" i="10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O3" i="9"/>
  <c r="N3" i="9"/>
  <c r="M3" i="9"/>
  <c r="L3" i="9"/>
  <c r="K3" i="9"/>
  <c r="J3" i="9"/>
  <c r="I3" i="9"/>
  <c r="H3" i="9"/>
  <c r="G3" i="9"/>
  <c r="E3" i="9"/>
  <c r="D3" i="9"/>
  <c r="A3" i="9"/>
  <c r="L3" i="10"/>
  <c r="S3" i="10"/>
  <c r="V3" i="10"/>
  <c r="U3" i="10"/>
  <c r="W3" i="10"/>
  <c r="T3" i="10"/>
  <c r="X3" i="10"/>
  <c r="M3" i="10"/>
  <c r="P3" i="10"/>
  <c r="O3" i="10"/>
  <c r="Q3" i="10"/>
  <c r="N3" i="10"/>
  <c r="R3" i="10"/>
  <c r="I3" i="10"/>
  <c r="H3" i="10"/>
  <c r="J3" i="10"/>
  <c r="G3" i="10"/>
  <c r="K3" i="10"/>
  <c r="AD29" i="1"/>
  <c r="AG29" i="1"/>
  <c r="AE29" i="1"/>
  <c r="AC29" i="1"/>
  <c r="E2" i="9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AA28" i="1"/>
  <c r="W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AA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AA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AA25" i="1"/>
  <c r="W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W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AA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W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W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W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W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W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W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W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W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W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W7" i="1"/>
  <c r="W5" i="1"/>
  <c r="W3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C4" i="16"/>
  <c r="C5" i="16"/>
  <c r="C6" i="16"/>
  <c r="C7" i="16"/>
  <c r="C3" i="16"/>
  <c r="E9" i="16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L2" i="10"/>
  <c r="S2" i="10"/>
  <c r="U2" i="10"/>
  <c r="M2" i="10"/>
  <c r="O2" i="10"/>
  <c r="F2" i="10"/>
  <c r="H2" i="10"/>
  <c r="W2" i="10"/>
  <c r="V2" i="10"/>
  <c r="T2" i="10"/>
  <c r="X2" i="10"/>
  <c r="Q2" i="10"/>
  <c r="P2" i="10"/>
  <c r="N2" i="10"/>
  <c r="R2" i="10"/>
  <c r="J2" i="10"/>
  <c r="I2" i="10"/>
  <c r="G2" i="10"/>
  <c r="K2" i="10"/>
  <c r="AG2" i="1"/>
  <c r="D2" i="9"/>
  <c r="H2" i="7"/>
  <c r="J2" i="7"/>
  <c r="E8" i="16"/>
  <c r="E7" i="16"/>
  <c r="E6" i="16"/>
  <c r="E5" i="16"/>
  <c r="E4" i="16"/>
  <c r="E3" i="16"/>
  <c r="E2" i="16"/>
  <c r="A3" i="1"/>
  <c r="A2" i="1"/>
  <c r="AG3" i="1"/>
  <c r="O2" i="9"/>
  <c r="N2" i="9"/>
  <c r="M2" i="9"/>
  <c r="L2" i="9"/>
  <c r="K2" i="9"/>
  <c r="J2" i="9"/>
  <c r="I2" i="9"/>
  <c r="H2" i="9"/>
  <c r="G2" i="9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<sst xmlns="http://schemas.openxmlformats.org/spreadsheetml/2006/main" count="1095" uniqueCount="331">
  <si>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</si>
  <si>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</si>
  <si>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</si>
  <si>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</si>
  <si>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</si>
  <si>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</si>
  <si>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</si>
  <si>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</si>
  <si>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</si>
  <si>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</si>
  <si>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</si>
  <si>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</si>
  <si>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</si>
  <si>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</si>
  <si>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</si>
  <si>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</si>
  <si>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</si>
  <si>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</si>
  <si>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</si>
  <si>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</si>
  <si>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</si>
  <si>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</si>
  <si>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</si>
  <si>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</si>
  <si>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</si>
  <si>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</si>
  <si>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</si>
  <si>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</si>
  <si>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</si>
  <si>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</si>
  <si>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</si>
  <si>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</si>
  <si>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</si>
  <si>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</si>
  <si>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</si>
  <si>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</si>
  <si>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</si>
  <si>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</si>
  <si>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</si>
  <si>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</si>
  <si>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</si>
  <si>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</si>
  <si>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</si>
  <si>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</si>
  <si>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</si>
  <si>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</si>
  <si>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</si>
  <si>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</si>
  <si>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</si>
  <si>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</si>
  <si>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</si>
  <si>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</si>
  <si>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</si>
  <si>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</si>
  <si>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</si>
  <si>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</si>
  <si>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</si>
  <si>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</si>
  <si>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</si>
  <si>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</si>
  <si>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</si>
  <si>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</si>
  <si>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</si>
  <si>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</si>
  <si>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</si>
  <si>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</si>
  <si>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</si>
  <si>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</si>
  <si>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</si>
  <si>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</si>
  <si>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</si>
  <si>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</si>
  <si>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</si>
  <si>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</si>
  <si>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</si>
  <si>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</si>
  <si>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</si>
  <si>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</si>
  <si>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</si>
  <si>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</si>
  <si>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</si>
  <si>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</si>
  <si>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</si>
  <si>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</si>
  <si>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</si>
  <si>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</si>
  <si>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</si>
  <si>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</si>
  <si>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</si>
  <si>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</si>
  <si>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</si>
  <si>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</si>
  <si>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</si>
  <si>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</si>
  <si>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</si>
  <si>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</si>
  <si>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</si>
  <si>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</si>
  <si>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</si>
  <si>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</si>
  <si>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</si>
  <si>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</si>
  <si>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</si>
  <si>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</si>
  <si>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</si>
  <si>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</si>
  <si>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</si>
  <si>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</si>
  <si>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</si>
  <si>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</si>
  <si>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</si>
  <si>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</si>
  <si>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</si>
  <si>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</si>
  <si>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</si>
  <si>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</si>
  <si>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</si>
  <si>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</si>
  <si>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</si>
  <si>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</si>
  <si>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</si>
  <si>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</si>
  <si>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</si>
  <si>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</si>
  <si>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</si>
  <si>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</si>
  <si>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</si>
  <si>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</si>
  <si>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</si>
  <si>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</si>
  <si>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</si>
  <si>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</si>
  <si>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</si>
  <si>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</si>
  <si>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</si>
  <si>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</si>
  <si>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</si>
  <si>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</si>
  <si>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</si>
  <si>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</si>
  <si>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</si>
  <si>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</si>
  <si>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</si>
  <si>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</si>
  <si>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</si>
  <si>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</si>
  <si>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</si>
  <si>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</si>
  <si>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</si>
  <si>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</si>
  <si>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old</t>
    <phoneticPr fontId="5"/>
  </si>
  <si>
    <t>old</t>
    <phoneticPr fontId="5"/>
  </si>
  <si>
    <t>old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</si>
  <si>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</si>
  <si>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</si>
  <si>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</si>
  <si>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</si>
  <si>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</si>
  <si>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</si>
  <si>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</si>
  <si>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</si>
  <si>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</si>
  <si>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</si>
  <si>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</si>
  <si>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</si>
  <si>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</si>
  <si>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</si>
  <si>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</si>
  <si>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</si>
  <si>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</si>
  <si>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</si>
  <si>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</si>
  <si>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</si>
  <si>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</si>
  <si>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</si>
  <si>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</si>
  <si>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</si>
  <si>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</si>
  <si>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</si>
  <si>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</si>
  <si>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</si>
  <si>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赤属性ユニットの攻撃力が100%DOWN</t>
    <rPh sb="0" eb="3">
      <t>アカゾクセイ</t>
    </rPh>
    <rPh sb="8" eb="11">
      <t>コウゲキリョク</t>
    </rPh>
    <phoneticPr fontId="5"/>
  </si>
  <si>
    <t>種族マシンのユニットに大ダメージ</t>
    <rPh sb="0" eb="2">
      <t>sy</t>
    </rPh>
    <rPh sb="11" eb="16">
      <t>ダ</t>
    </rPh>
    <phoneticPr fontId="5"/>
  </si>
  <si>
    <t>[effect:damage_anti_tribe, target:unit_all, tribe:machine, val1:1.0, val2:0.2]</t>
    <phoneticPr fontId="5"/>
  </si>
  <si>
    <t>[effect:degrade_unit, target:unit_all, turn:3, status:action, val:1.0]</t>
  </si>
  <si>
    <t>3ターンタップ回数を1減少</t>
    <phoneticPr fontId="5"/>
  </si>
  <si>
    <t>[effect:freq_turn, target:myself, turn:-1, val:1, animation:enemy_freq_turn]</t>
    <phoneticPr fontId="5"/>
  </si>
  <si>
    <t>この戦闘の間攻撃頻度が1ターンにUP</t>
    <phoneticPr fontId="5"/>
  </si>
  <si>
    <t>[effect:kamikaze, val:0.6, animation:enemy_kamikaze]</t>
    <phoneticPr fontId="5"/>
  </si>
  <si>
    <t>[effect:kamikaze, val:0.7, animation:enemy_kamikaze]</t>
    <phoneticPr fontId="5"/>
  </si>
  <si>
    <t>temp_id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</si>
  <si>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</si>
  <si>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</si>
  <si>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</si>
  <si>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</si>
  <si>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</si>
  <si>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</si>
  <si>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</si>
  <si>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</si>
  <si>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title</t>
    <phoneticPr fontId="5"/>
  </si>
  <si>
    <t>hint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</si>
  <si>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</si>
  <si>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</si>
  <si>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</si>
  <si>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</si>
  <si>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</si>
  <si>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</si>
  <si>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</si>
  <si>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stage_id</t>
    <phoneticPr fontId="5"/>
  </si>
  <si>
    <t>hint_id</t>
    <phoneticPr fontId="5"/>
  </si>
  <si>
    <t>hint_id</t>
    <phoneticPr fontId="5"/>
  </si>
  <si>
    <t>floor_id</t>
    <phoneticPr fontId="5"/>
  </si>
  <si>
    <t>hint_type</t>
    <phoneticPr fontId="5"/>
  </si>
  <si>
    <t>filename</t>
  </si>
  <si>
    <t>[effect:critical, val:3.0, animation:enemy_critical]</t>
    <phoneticPr fontId="5"/>
  </si>
  <si>
    <t>[effect:rush, count:13, val:0.2]</t>
    <phoneticPr fontId="5"/>
  </si>
  <si>
    <t>13回連続攻撃</t>
    <rPh sb="2" eb="3">
      <t>カイ</t>
    </rPh>
    <rPh sb="3" eb="7">
      <t>レンゾクコウゲキ</t>
    </rPh>
    <phoneticPr fontId="5"/>
  </si>
  <si>
    <t>蒼帝憑依</t>
    <rPh sb="2" eb="4">
      <t>ヒョウイ</t>
    </rPh>
    <phoneticPr fontId="5"/>
  </si>
  <si>
    <t>好手封印</t>
    <rPh sb="0" eb="1">
      <t>ス</t>
    </rPh>
    <rPh sb="1" eb="2">
      <t>テ</t>
    </rPh>
    <rPh sb="2" eb="4">
      <t>フウイン</t>
    </rPh>
    <phoneticPr fontId="5"/>
  </si>
  <si>
    <t>[effect:fix_speed, target:myself, turn:2]</t>
  </si>
  <si>
    <t>[effect:fix_speed, target:myself, turn:2]</t>
    <phoneticPr fontId="5"/>
  </si>
  <si>
    <t>3ターン後大攻撃</t>
    <rPh sb="4" eb="5">
      <t>ゴ</t>
    </rPh>
    <rPh sb="5" eb="6">
      <t>ダイ</t>
    </rPh>
    <rPh sb="6" eb="8">
      <t>コウゲキ</t>
    </rPh>
    <phoneticPr fontId="5"/>
  </si>
  <si>
    <t>[effect:fix_speed, target:myself, turn:1]</t>
    <phoneticPr fontId="5"/>
  </si>
  <si>
    <t>[effect:fix_speed, target:myself, turn:1],[effect:degrade_unit, target:unit_all, turn:1, status:attack, val:1.0, calc:mul]</t>
    <phoneticPr fontId="5"/>
  </si>
  <si>
    <t>影縫い</t>
    <rPh sb="0" eb="2">
      <t>カゲヌ</t>
    </rPh>
    <phoneticPr fontId="5"/>
  </si>
  <si>
    <t>劇毒矢</t>
    <rPh sb="0" eb="2">
      <t>ゲキドク</t>
    </rPh>
    <rPh sb="2" eb="3">
      <t>ヤ</t>
    </rPh>
    <phoneticPr fontId="5"/>
  </si>
  <si>
    <t>脱力矢</t>
    <rPh sb="0" eb="2">
      <t>ダツリョク</t>
    </rPh>
    <rPh sb="2" eb="3">
      <t>ヤ</t>
    </rPh>
    <phoneticPr fontId="5"/>
  </si>
  <si>
    <t>衰弱矢</t>
    <rPh sb="0" eb="2">
      <t>スイジャク</t>
    </rPh>
    <rPh sb="2" eb="3">
      <t>ヤ</t>
    </rPh>
    <phoneticPr fontId="5"/>
  </si>
  <si>
    <t>周波数妨害速射</t>
    <rPh sb="0" eb="3">
      <t>シュウハスウ</t>
    </rPh>
    <rPh sb="3" eb="5">
      <t>ボウガイ</t>
    </rPh>
    <rPh sb="5" eb="6">
      <t>ソク</t>
    </rPh>
    <rPh sb="6" eb="7">
      <t>ソウシャ</t>
    </rPh>
    <phoneticPr fontId="5"/>
  </si>
  <si>
    <t>コード456「砕矢」生成準備…</t>
    <rPh sb="7" eb="8">
      <t>クダ</t>
    </rPh>
    <rPh sb="8" eb="9">
      <t>ヤ</t>
    </rPh>
    <rPh sb="10" eb="12">
      <t>セイセイ</t>
    </rPh>
    <rPh sb="12" eb="14">
      <t>ジュンビ</t>
    </rPh>
    <phoneticPr fontId="5"/>
  </si>
  <si>
    <t>10ターン後大攻撃</t>
    <rPh sb="5" eb="6">
      <t>ゴ</t>
    </rPh>
    <rPh sb="6" eb="7">
      <t>ダイ</t>
    </rPh>
    <rPh sb="7" eb="9">
      <t>コウゲキ</t>
    </rPh>
    <phoneticPr fontId="5"/>
  </si>
  <si>
    <t>6ターン後特大攻撃</t>
    <rPh sb="4" eb="5">
      <t>ゴ</t>
    </rPh>
    <rPh sb="5" eb="7">
      <t>トクダイ</t>
    </rPh>
    <rPh sb="7" eb="9">
      <t>コウゲキ</t>
    </rPh>
    <phoneticPr fontId="5"/>
  </si>
  <si>
    <t>3ターン後激烈攻撃</t>
    <rPh sb="4" eb="5">
      <t>ゴ</t>
    </rPh>
    <rPh sb="5" eb="7">
      <t>ゲキレツ</t>
    </rPh>
    <rPh sb="7" eb="9">
      <t>コウゲキ</t>
    </rPh>
    <phoneticPr fontId="5"/>
  </si>
  <si>
    <t>「砕矢」の直撃を確認…</t>
    <rPh sb="1" eb="2">
      <t>クダ</t>
    </rPh>
    <rPh sb="2" eb="3">
      <t>ヤ</t>
    </rPh>
    <rPh sb="5" eb="7">
      <t>チョクゲキ</t>
    </rPh>
    <rPh sb="8" eb="10">
      <t>カクニン</t>
    </rPh>
    <phoneticPr fontId="5"/>
  </si>
  <si>
    <t>コード457「剛矢」生成準備…</t>
    <rPh sb="7" eb="8">
      <t>ゴウ</t>
    </rPh>
    <rPh sb="8" eb="9">
      <t>ヤ</t>
    </rPh>
    <rPh sb="10" eb="12">
      <t>セイセイ</t>
    </rPh>
    <rPh sb="12" eb="14">
      <t>ジュンビ</t>
    </rPh>
    <phoneticPr fontId="5"/>
  </si>
  <si>
    <t>逃走経路を確保第2段階に移る…</t>
    <rPh sb="0" eb="4">
      <t>トウソウケイロ</t>
    </rPh>
    <rPh sb="5" eb="7">
      <t>カクホ</t>
    </rPh>
    <rPh sb="7" eb="8">
      <t>ダイ</t>
    </rPh>
    <rPh sb="9" eb="11">
      <t>ダンカイ</t>
    </rPh>
    <rPh sb="12" eb="13">
      <t>ウツ</t>
    </rPh>
    <phoneticPr fontId="5"/>
  </si>
  <si>
    <t>「剛矢」の直撃を確認…</t>
    <rPh sb="1" eb="2">
      <t>ゴウ</t>
    </rPh>
    <rPh sb="2" eb="3">
      <t>ヤ</t>
    </rPh>
    <rPh sb="5" eb="7">
      <t>チョクゲキ</t>
    </rPh>
    <rPh sb="8" eb="10">
      <t>カクニン</t>
    </rPh>
    <phoneticPr fontId="5"/>
  </si>
  <si>
    <t>逃走経路を確保第3段階に移る…</t>
    <rPh sb="0" eb="4">
      <t>トウソウケイロ</t>
    </rPh>
    <rPh sb="5" eb="7">
      <t>カクホ</t>
    </rPh>
    <rPh sb="7" eb="8">
      <t>ダイ</t>
    </rPh>
    <rPh sb="9" eb="11">
      <t>ダンカイ</t>
    </rPh>
    <rPh sb="12" eb="13">
      <t>ウツ</t>
    </rPh>
    <phoneticPr fontId="5"/>
  </si>
  <si>
    <t>「極矢」の直撃を確認…</t>
    <rPh sb="1" eb="2">
      <t>ゴク</t>
    </rPh>
    <rPh sb="2" eb="3">
      <t>ヤ</t>
    </rPh>
    <rPh sb="5" eb="7">
      <t>チョクゲキ</t>
    </rPh>
    <rPh sb="8" eb="10">
      <t>カクニン</t>
    </rPh>
    <phoneticPr fontId="5"/>
  </si>
  <si>
    <t>エネルギー吸収エリアに誘導完了…</t>
    <rPh sb="5" eb="7">
      <t>キュウシュウソウチ</t>
    </rPh>
    <rPh sb="11" eb="13">
      <t>ユウドウ</t>
    </rPh>
    <rPh sb="13" eb="15">
      <t>カンリョウ</t>
    </rPh>
    <phoneticPr fontId="5"/>
  </si>
  <si>
    <t>吸収エネルギー放出…</t>
    <rPh sb="0" eb="2">
      <t>キュウシュウ</t>
    </rPh>
    <rPh sb="7" eb="9">
      <t>ホウシュツ</t>
    </rPh>
    <phoneticPr fontId="5"/>
  </si>
  <si>
    <t>「極矢」生成完了…</t>
    <rPh sb="1" eb="2">
      <t>ゴク</t>
    </rPh>
    <rPh sb="2" eb="3">
      <t>ヤ</t>
    </rPh>
    <rPh sb="4" eb="6">
      <t>セイセイ</t>
    </rPh>
    <rPh sb="6" eb="8">
      <t>カンリョウ</t>
    </rPh>
    <phoneticPr fontId="5"/>
  </si>
  <si>
    <t>[effect:critical, val:2.0, animation:enemy_critical]</t>
  </si>
  <si>
    <t>神海の一撃</t>
    <phoneticPr fontId="5"/>
  </si>
  <si>
    <t>攻撃力×2.0倍の攻撃</t>
    <phoneticPr fontId="5"/>
  </si>
  <si>
    <t>「剛矢」生成完了…</t>
    <rPh sb="1" eb="2">
      <t>ゴウ</t>
    </rPh>
    <rPh sb="2" eb="3">
      <t>ヤ</t>
    </rPh>
    <rPh sb="4" eb="6">
      <t>セイセイ</t>
    </rPh>
    <rPh sb="6" eb="8">
      <t>カンリョウ</t>
    </rPh>
    <phoneticPr fontId="5"/>
  </si>
  <si>
    <t>[effect:rush, count:1, val:1.0]</t>
    <phoneticPr fontId="5"/>
  </si>
  <si>
    <t>コード457裏「極矢」生成準備…</t>
    <rPh sb="6" eb="7">
      <t>ウラ</t>
    </rPh>
    <rPh sb="8" eb="9">
      <t>ゴク</t>
    </rPh>
    <rPh sb="9" eb="10">
      <t>ヤ</t>
    </rPh>
    <rPh sb="11" eb="13">
      <t>セイセイ</t>
    </rPh>
    <rPh sb="13" eb="15">
      <t>ジュンビ</t>
    </rPh>
    <phoneticPr fontId="5"/>
  </si>
  <si>
    <t>次のターン激烈攻撃</t>
    <rPh sb="0" eb="1">
      <t>ツギ</t>
    </rPh>
    <rPh sb="5" eb="7">
      <t>ゲキレツ</t>
    </rPh>
    <rPh sb="7" eb="9">
      <t>コウゲキ</t>
    </rPh>
    <phoneticPr fontId="5"/>
  </si>
  <si>
    <t>complete</t>
  </si>
  <si>
    <t>復活の捕食者</t>
  </si>
  <si>
    <t>ドロップイベント3（マルチ専用）</t>
  </si>
  <si>
    <t>【超絶級】復活の捕食者</t>
  </si>
  <si>
    <t>ja</t>
  </si>
  <si>
    <t>2970-01-01 09:00:00</t>
  </si>
  <si>
    <t>2970-01-01 09:00:00</t>
    <phoneticPr fontId="5"/>
  </si>
  <si>
    <t>link</t>
    <phoneticPr fontId="5"/>
  </si>
  <si>
    <t>unit</t>
    <phoneticPr fontId="5"/>
  </si>
  <si>
    <t>unit</t>
    <phoneticPr fontId="5"/>
  </si>
  <si>
    <t>null</t>
    <phoneticPr fontId="5"/>
  </si>
  <si>
    <t>2015-03-27 00:00:00</t>
  </si>
  <si>
    <t>ドロップイベント4（マルチ専用）</t>
  </si>
  <si>
    <t>ドロップイベント5（マルチ専用）</t>
  </si>
  <si>
    <t>ドロップイベント6（マルチ専用）</t>
  </si>
  <si>
    <t>ドロップイベント7（マルチ専用）</t>
  </si>
  <si>
    <t>ドロップイベント8（マルチ専用）</t>
  </si>
  <si>
    <t>ドロップイベント9（マルチ専用）</t>
  </si>
  <si>
    <t>ドロップイベント10（マルチ専用）</t>
  </si>
  <si>
    <t>ドロップイベント11（マルチ専用）</t>
  </si>
  <si>
    <t>ドロップイベント12（マルチ専用）</t>
  </si>
  <si>
    <t>ドロップイベント13（マルチ専用）</t>
  </si>
  <si>
    <t>ドロップイベント14（マルチ専用）</t>
  </si>
  <si>
    <t>ドロップイベント15（マルチ専用）</t>
  </si>
  <si>
    <t>ドロップイベント16（マルチ専用）</t>
  </si>
  <si>
    <t>ドロップイベント17（マルチ専用）</t>
  </si>
  <si>
    <t>ドロップイベント18（マルチ専用）</t>
  </si>
  <si>
    <t>ドロップイベント19（マルチ専用）</t>
  </si>
  <si>
    <t>ドロップイベント20（マルチ専用）</t>
  </si>
  <si>
    <t>ドロップイベント21（マルチ専用）</t>
  </si>
  <si>
    <t>ドロップイベント22（マルチ専用）</t>
  </si>
  <si>
    <t>ドロップイベント23（マルチ専用）</t>
  </si>
  <si>
    <t>ドロップイベント24（マルチ専用）</t>
  </si>
  <si>
    <t>ドロップイベント25（マルチ専用）</t>
  </si>
  <si>
    <t>ドロップイベント26（マルチ専用）</t>
  </si>
  <si>
    <t>ドロップイベント27（マルチ専用）</t>
  </si>
  <si>
    <t>ドロップイベント28（マルチ専用）</t>
  </si>
  <si>
    <t>ドロップイベント29（マルチ専用）</t>
  </si>
  <si>
    <t>ドロップイベント30（マルチ専用）</t>
  </si>
  <si>
    <t>ドロップイベント31（マルチ専用）</t>
  </si>
  <si>
    <t>ドロップイベント32（マルチ専用）</t>
  </si>
  <si>
    <t>ドロップイベント33（マルチ専用）</t>
  </si>
  <si>
    <t>ドロップイベント34（マルチ専用）</t>
  </si>
  <si>
    <t>ドロップイベント35（マルチ専用）</t>
  </si>
  <si>
    <t>ドロップイベント36（マルチ専用）</t>
  </si>
  <si>
    <t>ドロップイベント37（マルチ専用）</t>
  </si>
  <si>
    <t>ドロップイベント38（マルチ専用）</t>
  </si>
  <si>
    <t>ドロップイベント39（マルチ専用）</t>
  </si>
  <si>
    <t>ドロップイベント40（マルチ専用）</t>
  </si>
  <si>
    <t>ドロップイベント41（マルチ専用）</t>
  </si>
  <si>
    <t>ドロップイベント42（マルチ専用）</t>
  </si>
  <si>
    <t>ドロップイベント43（マルチ専用）</t>
  </si>
  <si>
    <t>ドロップイベント44（マルチ専用）</t>
  </si>
  <si>
    <t>ドロップイベント45（マルチ専用）</t>
  </si>
  <si>
    <t>ドロップイベント46（マルチ専用）</t>
  </si>
  <si>
    <t>ドロップイベント47（マルチ専用）</t>
  </si>
  <si>
    <t>ドロップイベント48（マルチ専用）</t>
  </si>
  <si>
    <t>ドロップイベント49（マルチ専用）</t>
  </si>
  <si>
    <t>ドロップイベント50（マルチ専用）</t>
  </si>
  <si>
    <t>ドロップイベント51（マルチ専用）</t>
  </si>
  <si>
    <t>ドロップイベント52（マルチ専用）</t>
  </si>
  <si>
    <t>ドロップイベント53（マルチ専用）</t>
  </si>
  <si>
    <t>ドロップイベント54（マルチ専用）</t>
  </si>
  <si>
    <t>ドロップイベント55（マルチ専用）</t>
  </si>
  <si>
    <t>全体攻撃+ユニット1体に3ターン回復力が50%DOWN</t>
    <rPh sb="0" eb="4">
      <t>ゼン</t>
    </rPh>
    <rPh sb="10" eb="12">
      <t>taiンi</t>
    </rPh>
    <rPh sb="16" eb="18">
      <t>カイフク</t>
    </rPh>
    <phoneticPr fontId="5"/>
  </si>
  <si>
    <t>全体攻撃+ユニット1体に3ターンスリープ</t>
    <rPh sb="0" eb="4">
      <t>ゼン</t>
    </rPh>
    <rPh sb="10" eb="11">
      <t>タイ</t>
    </rPh>
    <phoneticPr fontId="5"/>
  </si>
  <si>
    <t>[effect:degrade_unit, target:unit_one, turn:3, status:attack, val:0.5, calc:mul],[effect:spread, val:0.25]</t>
    <phoneticPr fontId="5"/>
  </si>
  <si>
    <t>[effect:sleep, target:unit_one, turn:3, rate:1.0, animation:enemy_sleep],[effect:spread, val:0.25]</t>
    <phoneticPr fontId="5"/>
  </si>
  <si>
    <t>[effect:degrade_unit, target:unit_one, turn:3, status:heal, val:0.5, calc:mul],[effect:spread, val:0.25]</t>
    <phoneticPr fontId="5"/>
  </si>
  <si>
    <t>[effect:virus, turn:2, rate:1.0, val:0.15, animation:enemy_virus],[effect:spread, val:0.25]</t>
    <phoneticPr fontId="5"/>
  </si>
  <si>
    <t>全体攻撃+2ターンの間ダメージを受ける</t>
    <rPh sb="0" eb="4">
      <t>ゼン</t>
    </rPh>
    <phoneticPr fontId="5"/>
  </si>
  <si>
    <t>全体攻撃+ユニット1体に3ターン攻撃力が50%DOWN</t>
    <rPh sb="0" eb="2">
      <t>ゼンタイ</t>
    </rPh>
    <rPh sb="2" eb="4">
      <t>k</t>
    </rPh>
    <rPh sb="10" eb="11">
      <t>タイ</t>
    </rPh>
    <rPh sb="16" eb="18">
      <t>コウゲキ</t>
    </rPh>
    <phoneticPr fontId="5"/>
  </si>
  <si>
    <t>1ターン全ユニットの攻撃力が100%DOWN</t>
    <rPh sb="4" eb="10">
      <t>ゼンy</t>
    </rPh>
    <rPh sb="10" eb="13">
      <t>コウゲキリョク</t>
    </rPh>
    <phoneticPr fontId="5"/>
  </si>
  <si>
    <t>stage_hints_data_c_</t>
    <phoneticPr fontId="5"/>
  </si>
  <si>
    <t>stage_hints_data_f_</t>
    <phoneticPr fontId="5"/>
  </si>
  <si>
    <t>stage_hints_i18n_f_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</si>
  <si>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</si>
  <si>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</si>
  <si>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ユヅルが使う全体攻撃スキルは
マシンタイプが大ダメージを受けます
他のタイプで固めて挑みましょう</t>
    <rPh sb="28" eb="29">
      <t>ウ</t>
    </rPh>
    <rPh sb="43" eb="44">
      <t>イド</t>
    </rPh>
    <phoneticPr fontId="5"/>
  </si>
  <si>
    <t>ユヅルは一定のターン数が経過すると
強力な攻撃を仕掛けてきます
事前に準備して一気に倒し切りましょう</t>
    <phoneticPr fontId="5"/>
  </si>
  <si>
    <t>ユヅルは一定のターン数が経過すると
強力な攻撃を仕掛けてきます
事前に準備して一気に倒し切りましょう</t>
    <phoneticPr fontId="5"/>
  </si>
  <si>
    <t>ユヅルに力を吸収されたら要注意です
直後に激しい攻撃が待っていますので
防御力アップなどの対抗策で備えましょう</t>
    <rPh sb="12" eb="15">
      <t>ヨウチュウイ</t>
    </rPh>
    <rPh sb="50" eb="51">
      <t>ソナ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</si>
</sst>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5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22" borderId="12" applyNumberFormat="0" applyAlignment="0" applyProtection="0"/>
    <xf numFmtId="0" fontId="33" fillId="23" borderId="0" applyNumberFormat="0" applyBorder="0" applyAlignment="0" applyProtection="0"/>
    <xf numFmtId="0" fontId="34" fillId="24" borderId="13" applyNumberFormat="0" applyAlignment="0" applyProtection="0"/>
    <xf numFmtId="0" fontId="35" fillId="0" borderId="0" applyNumberFormat="0" applyFill="0" applyBorder="0" applyAlignment="0" applyProtection="0"/>
    <xf numFmtId="0" fontId="36" fillId="25" borderId="0" applyNumberFormat="0" applyBorder="0" applyAlignment="0" applyProtection="0"/>
    <xf numFmtId="0" fontId="37" fillId="26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24" borderId="0" applyNumberFormat="0" applyBorder="0" applyAlignment="0" applyProtection="0"/>
    <xf numFmtId="0" fontId="42" fillId="23" borderId="0" applyNumberFormat="0" applyBorder="0" applyAlignment="0" applyProtection="0"/>
    <xf numFmtId="0" fontId="42" fillId="27" borderId="0" applyNumberFormat="0" applyBorder="0" applyAlignment="0" applyProtection="0"/>
    <xf numFmtId="0" fontId="42" fillId="24" borderId="0" applyNumberFormat="0" applyBorder="0" applyAlignment="0" applyProtection="0"/>
    <xf numFmtId="0" fontId="42" fillId="28" borderId="0" applyNumberFormat="0" applyBorder="0" applyAlignment="0" applyProtection="0"/>
    <xf numFmtId="0" fontId="42" fillId="22" borderId="0" applyNumberFormat="0" applyBorder="0" applyAlignment="0" applyProtection="0"/>
    <xf numFmtId="0" fontId="42" fillId="24" borderId="0" applyNumberFormat="0" applyBorder="0" applyAlignment="0" applyProtection="0"/>
    <xf numFmtId="0" fontId="42" fillId="29" borderId="0" applyNumberFormat="0" applyBorder="0" applyAlignment="0" applyProtection="0"/>
    <xf numFmtId="0" fontId="42" fillId="27" borderId="0" applyNumberFormat="0" applyBorder="0" applyAlignment="0" applyProtection="0"/>
    <xf numFmtId="0" fontId="42" fillId="24" borderId="0" applyNumberFormat="0" applyBorder="0" applyAlignment="0" applyProtection="0"/>
    <xf numFmtId="0" fontId="42" fillId="30" borderId="0" applyNumberFormat="0" applyBorder="0" applyAlignment="0" applyProtection="0"/>
    <xf numFmtId="0" fontId="42" fillId="23" borderId="0" applyNumberFormat="0" applyBorder="0" applyAlignment="0" applyProtection="0"/>
    <xf numFmtId="0" fontId="43" fillId="31" borderId="0" applyNumberFormat="0" applyBorder="0" applyAlignment="0" applyProtection="0"/>
    <xf numFmtId="0" fontId="43" fillId="29" borderId="0" applyNumberFormat="0" applyBorder="0" applyAlignment="0" applyProtection="0"/>
    <xf numFmtId="0" fontId="43" fillId="27" borderId="0" applyNumberFormat="0" applyBorder="0" applyAlignment="0" applyProtection="0"/>
    <xf numFmtId="0" fontId="43" fillId="24" borderId="0" applyNumberFormat="0" applyBorder="0" applyAlignment="0" applyProtection="0"/>
    <xf numFmtId="0" fontId="43" fillId="31" borderId="0" applyNumberFormat="0" applyBorder="0" applyAlignment="0" applyProtection="0"/>
    <xf numFmtId="0" fontId="43" fillId="23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27" borderId="0" applyNumberFormat="0" applyBorder="0" applyAlignment="0" applyProtection="0"/>
    <xf numFmtId="0" fontId="43" fillId="33" borderId="0" applyNumberFormat="0" applyBorder="0" applyAlignment="0" applyProtection="0"/>
    <xf numFmtId="0" fontId="43" fillId="31" borderId="0" applyNumberFormat="0" applyBorder="0" applyAlignment="0" applyProtection="0"/>
    <xf numFmtId="0" fontId="43" fillId="29" borderId="0" applyNumberFormat="0" applyBorder="0" applyAlignment="0" applyProtection="0"/>
    <xf numFmtId="0" fontId="44" fillId="34" borderId="0" applyNumberFormat="0" applyBorder="0" applyAlignment="0" applyProtection="0"/>
    <xf numFmtId="0" fontId="33" fillId="23" borderId="0" applyNumberFormat="0" applyBorder="0" applyAlignment="0" applyProtection="0"/>
    <xf numFmtId="0" fontId="45" fillId="0" borderId="18" applyNumberFormat="0" applyFill="0" applyAlignment="0" applyProtection="0"/>
    <xf numFmtId="0" fontId="46" fillId="24" borderId="19" applyNumberFormat="0" applyAlignment="0" applyProtection="0"/>
    <xf numFmtId="0" fontId="46" fillId="35" borderId="19" applyNumberFormat="0" applyAlignment="0" applyProtection="0"/>
    <xf numFmtId="0" fontId="34" fillId="23" borderId="13" applyNumberFormat="0" applyAlignment="0" applyProtection="0"/>
    <xf numFmtId="0" fontId="47" fillId="0" borderId="20" applyNumberFormat="0" applyFill="0" applyAlignment="0" applyProtection="0"/>
    <xf numFmtId="0" fontId="48" fillId="35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16" fillId="14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4" fillId="15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6" fillId="19" borderId="7" xfId="0" applyFont="1" applyFill="1" applyBorder="1" applyAlignment="1">
      <alignment vertical="center"/>
    </xf>
    <xf numFmtId="0" fontId="16" fillId="20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21" borderId="7" xfId="0" applyFont="1" applyFill="1" applyBorder="1" applyAlignment="1">
      <alignment horizontal="center"/>
    </xf>
    <xf numFmtId="56" fontId="16" fillId="21" borderId="7" xfId="0" applyNumberFormat="1" applyFont="1" applyFill="1" applyBorder="1" applyAlignment="1">
      <alignment horizontal="center"/>
    </xf>
    <xf numFmtId="0" fontId="0" fillId="21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6" fillId="0" borderId="7" xfId="0" applyFont="1" applyBorder="1" applyAlignment="1">
      <alignment vertical="center"/>
    </xf>
    <xf numFmtId="0" fontId="27" fillId="36" borderId="7" xfId="0" applyFont="1" applyFill="1" applyBorder="1"/>
    <xf numFmtId="49" fontId="0" fillId="0" borderId="7" xfId="0" applyNumberFormat="1" applyFill="1" applyBorder="1"/>
    <xf numFmtId="0" fontId="31" fillId="14" borderId="7" xfId="0" applyFont="1" applyFill="1" applyBorder="1"/>
    <xf numFmtId="38" fontId="16" fillId="14" borderId="7" xfId="692" applyFont="1" applyFill="1" applyBorder="1" applyAlignment="1"/>
    <xf numFmtId="0" fontId="0" fillId="0" borderId="7" xfId="0" applyBorder="1" applyAlignment="1">
      <alignment wrapText="1"/>
    </xf>
    <xf numFmtId="0" fontId="27" fillId="0" borderId="11" xfId="0" applyFont="1" applyFill="1" applyBorder="1"/>
    <xf numFmtId="0" fontId="27" fillId="36" borderId="11" xfId="0" applyFont="1" applyFill="1" applyBorder="1"/>
    <xf numFmtId="49" fontId="0" fillId="0" borderId="11" xfId="0" applyNumberFormat="1" applyFill="1" applyBorder="1"/>
    <xf numFmtId="0" fontId="27" fillId="0" borderId="22" xfId="0" applyFont="1" applyFill="1" applyBorder="1"/>
    <xf numFmtId="0" fontId="27" fillId="36" borderId="22" xfId="0" applyFont="1" applyFill="1" applyBorder="1"/>
    <xf numFmtId="49" fontId="0" fillId="0" borderId="22" xfId="0" applyNumberFormat="1" applyFill="1" applyBorder="1"/>
  </cellXfs>
  <cellStyles count="850">
    <cellStyle name="20% - ANZg1" xfId="704"/>
    <cellStyle name="20% - ANZg2" xfId="705"/>
    <cellStyle name="20% - ANZg3" xfId="706"/>
    <cellStyle name="20% - ANZg4" xfId="707"/>
    <cellStyle name="20% - ANZg5" xfId="708"/>
    <cellStyle name="20% - ANZg6" xfId="709"/>
    <cellStyle name="40% - ANZg1" xfId="710"/>
    <cellStyle name="40% - ANZg2" xfId="711"/>
    <cellStyle name="40% - ANZg3" xfId="712"/>
    <cellStyle name="40% - ANZg4" xfId="713"/>
    <cellStyle name="40% - ANZg5" xfId="714"/>
    <cellStyle name="40% - ANZg6" xfId="715"/>
    <cellStyle name="60% - ANZg1" xfId="716"/>
    <cellStyle name="60% - ANZg2" xfId="717"/>
    <cellStyle name="60% - ANZg3" xfId="718"/>
    <cellStyle name="60% - ANZg4" xfId="719"/>
    <cellStyle name="60% - ANZg5" xfId="720"/>
    <cellStyle name="60% - ANZg6" xfId="721"/>
    <cellStyle name="Excel Built-in Normal" xfId="428"/>
    <cellStyle name="^Cg" xfId="699"/>
    <cellStyle name="`FbN Z" xfId="698"/>
    <cellStyle name="ANZg 1" xfId="723"/>
    <cellStyle name="ANZg 2" xfId="724"/>
    <cellStyle name="ANZg 3" xfId="725"/>
    <cellStyle name="ANZg 4" xfId="726"/>
    <cellStyle name="ANZg 5" xfId="727"/>
    <cellStyle name="ANZg 6" xfId="728"/>
    <cellStyle name="" xfId="693"/>
    <cellStyle name="N Z" xfId="731"/>
    <cellStyle name="_" xfId="694"/>
    <cellStyle name="«¢" xfId="697"/>
    <cellStyle name="vZ" xfId="736"/>
    <cellStyle name="x÷" xfId="738"/>
    <cellStyle name="x¶" xfId="737"/>
    <cellStyle name="ýo_ 1" xfId="739"/>
    <cellStyle name="©oµ 1" xfId="700"/>
    <cellStyle name="©oµ 2" xfId="701"/>
    <cellStyle name="©oµ 3" xfId="702"/>
    <cellStyle name="©oµ 4" xfId="703"/>
    <cellStyle name="v" xfId="735"/>
    <cellStyle name="o_" xfId="732"/>
    <cellStyle name="oÍ" xfId="733"/>
    <cellStyle name="__÷" xfId="696"/>
    <cellStyle name="à¾¶" xfId="722"/>
    <cellStyle name="__" xfId="695"/>
    <cellStyle name="üÍ" xfId="734"/>
    <cellStyle name="Ê" xfId="730"/>
    <cellStyle name="Ç¢" xfId="729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桁区切り 2" xfId="429"/>
    <cellStyle name="桁区切り 2 2" xfId="692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740"/>
    <cellStyle name="標準 5 2" xfId="741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0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G18" sqref="G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151</v>
      </c>
      <c r="B2" s="57" t="s">
        <v>106</v>
      </c>
      <c r="C2" s="62">
        <f>floors!C2</f>
        <v>30019</v>
      </c>
      <c r="D2" s="57" t="s">
        <v>107</v>
      </c>
      <c r="E2" s="56" t="str">
        <f>B2&amp;C2&amp;D2</f>
        <v>floors_30019.tmp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152</v>
      </c>
      <c r="B3" s="57" t="s">
        <v>109</v>
      </c>
      <c r="C3" s="62">
        <f>C$2</f>
        <v>30019</v>
      </c>
      <c r="D3" s="57" t="s">
        <v>107</v>
      </c>
      <c r="E3" s="56" t="str">
        <f>B3&amp;C3&amp;D3</f>
        <v>enemy_habitats_30019.tmp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152</v>
      </c>
      <c r="B4" s="57" t="s">
        <v>111</v>
      </c>
      <c r="C4" s="62">
        <f t="shared" ref="C4:C9" si="0">C$2</f>
        <v>30019</v>
      </c>
      <c r="D4" s="57" t="s">
        <v>107</v>
      </c>
      <c r="E4" s="56" t="str">
        <f>B4&amp;C4&amp;D4</f>
        <v>enemy_habitat_S_30019.tmp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152</v>
      </c>
      <c r="B5" s="57" t="s">
        <v>113</v>
      </c>
      <c r="C5" s="62">
        <f t="shared" si="0"/>
        <v>30019</v>
      </c>
      <c r="D5" s="57" t="s">
        <v>107</v>
      </c>
      <c r="E5" s="56" t="str">
        <f>B5&amp;C5&amp;D5</f>
        <v>enemy_skill_sets_30019.tmp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152</v>
      </c>
      <c r="B6" s="57" t="s">
        <v>115</v>
      </c>
      <c r="C6" s="62">
        <f t="shared" si="0"/>
        <v>30019</v>
      </c>
      <c r="D6" s="57" t="s">
        <v>116</v>
      </c>
      <c r="E6" s="56" t="str">
        <f t="shared" ref="E6:E12" si="1">B6&amp;C6&amp;D6</f>
        <v>enemy_skills_tmp_30019.tmp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152</v>
      </c>
      <c r="B7" s="57" t="s">
        <v>117</v>
      </c>
      <c r="C7" s="62">
        <f t="shared" si="0"/>
        <v>30019</v>
      </c>
      <c r="D7" s="57" t="s">
        <v>107</v>
      </c>
      <c r="E7" s="56" t="str">
        <f>B7&amp;C7&amp;D7</f>
        <v>enemy_skills_i18n_30019.tmp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150</v>
      </c>
      <c r="B8" s="57" t="s">
        <v>119</v>
      </c>
      <c r="C8" s="62">
        <f t="shared" si="0"/>
        <v>30019</v>
      </c>
      <c r="D8" s="57" t="s">
        <v>120</v>
      </c>
      <c r="E8" s="56" t="str">
        <f t="shared" si="1"/>
        <v>enemy_skill_triggers_30019.tmp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150</v>
      </c>
      <c r="B9" s="68" t="s">
        <v>178</v>
      </c>
      <c r="C9" s="62">
        <f t="shared" si="0"/>
        <v>30019</v>
      </c>
      <c r="D9" s="68" t="s">
        <v>172</v>
      </c>
      <c r="E9" s="69" t="str">
        <f t="shared" si="1"/>
        <v>stage_bug_bonuses_30019.tmp</v>
      </c>
      <c r="F9" s="68" t="s">
        <v>173</v>
      </c>
      <c r="G9" s="64" t="s">
        <v>153</v>
      </c>
      <c r="H9" s="64" t="s">
        <v>174</v>
      </c>
      <c r="I9" s="64" t="s">
        <v>175</v>
      </c>
      <c r="J9" s="67" t="s">
        <v>176</v>
      </c>
      <c r="K9" s="64" t="s">
        <v>177</v>
      </c>
      <c r="L9" s="64" t="s">
        <v>159</v>
      </c>
      <c r="M9" s="64" t="s">
        <v>160</v>
      </c>
      <c r="N9" s="64" t="s">
        <v>161</v>
      </c>
      <c r="O9" s="64" t="s">
        <v>162</v>
      </c>
      <c r="P9" s="64" t="s">
        <v>163</v>
      </c>
      <c r="Q9" s="64" t="s">
        <v>164</v>
      </c>
      <c r="R9" s="64" t="s">
        <v>165</v>
      </c>
      <c r="S9" s="64" t="s">
        <v>166</v>
      </c>
      <c r="T9" s="64" t="s">
        <v>167</v>
      </c>
      <c r="U9" s="64" t="s">
        <v>168</v>
      </c>
      <c r="V9" s="64" t="s">
        <v>169</v>
      </c>
      <c r="W9" s="64" t="s">
        <v>170</v>
      </c>
    </row>
    <row r="10" spans="1:30" s="101" customFormat="1" x14ac:dyDescent="0.15">
      <c r="A10" s="61" t="s">
        <v>150</v>
      </c>
      <c r="B10" s="68" t="s">
        <v>322</v>
      </c>
      <c r="C10" s="62">
        <f>C8</f>
        <v>30019</v>
      </c>
      <c r="D10" s="68" t="s">
        <v>172</v>
      </c>
      <c r="E10" s="69" t="str">
        <f t="shared" ref="E10" si="2">B10&amp;C10&amp;D10</f>
        <v>stage_hints_data_c_30019.tmp</v>
      </c>
      <c r="F10" s="68" t="s">
        <v>325</v>
      </c>
      <c r="G10" s="84" t="s">
        <v>153</v>
      </c>
      <c r="H10" s="84" t="s">
        <v>174</v>
      </c>
      <c r="I10" s="99" t="s">
        <v>198</v>
      </c>
      <c r="J10" s="67" t="s">
        <v>19</v>
      </c>
      <c r="K10" s="100" t="s">
        <v>191</v>
      </c>
    </row>
    <row r="11" spans="1:30" s="101" customFormat="1" x14ac:dyDescent="0.15">
      <c r="A11" s="61" t="s">
        <v>150</v>
      </c>
      <c r="B11" s="68" t="s">
        <v>323</v>
      </c>
      <c r="C11" s="62">
        <f>C9</f>
        <v>30019</v>
      </c>
      <c r="D11" s="68" t="s">
        <v>206</v>
      </c>
      <c r="E11" s="69" t="str">
        <f t="shared" si="1"/>
        <v>stage_hints_data_f_30019.tmp</v>
      </c>
      <c r="F11" s="68" t="s">
        <v>326</v>
      </c>
      <c r="G11" s="84" t="s">
        <v>207</v>
      </c>
      <c r="H11" s="84" t="s">
        <v>208</v>
      </c>
      <c r="I11" s="99" t="s">
        <v>210</v>
      </c>
      <c r="J11" s="67" t="s">
        <v>211</v>
      </c>
      <c r="K11" s="100" t="s">
        <v>212</v>
      </c>
    </row>
    <row r="12" spans="1:30" s="101" customFormat="1" x14ac:dyDescent="0.15">
      <c r="A12" s="61" t="s">
        <v>150</v>
      </c>
      <c r="B12" s="68" t="s">
        <v>324</v>
      </c>
      <c r="C12" s="62">
        <f t="shared" ref="C12" si="3">C11</f>
        <v>30019</v>
      </c>
      <c r="D12" s="68" t="s">
        <v>205</v>
      </c>
      <c r="E12" s="69" t="str">
        <f t="shared" si="1"/>
        <v>stage_hints_i18n_f_30019.tmp</v>
      </c>
      <c r="F12" s="68" t="s">
        <v>326</v>
      </c>
      <c r="G12" s="99" t="s">
        <v>209</v>
      </c>
      <c r="H12" s="102" t="s">
        <v>126</v>
      </c>
      <c r="I12" s="84" t="s">
        <v>200</v>
      </c>
      <c r="J12" s="103" t="s">
        <v>213</v>
      </c>
      <c r="K12" s="100" t="s">
        <v>199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H24" sqref="H2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30019_1-1</v>
      </c>
      <c r="B2" s="16" t="str">
        <f>IF(COUNTIF(enemy_habitats!$H:$H,A2),"OK","NG")</f>
        <v>OK</v>
      </c>
      <c r="C2" s="7">
        <v>30019</v>
      </c>
      <c r="D2" s="11" t="str">
        <f ca="1">VLOOKUP($C2,OFFSET([2]quests!$A$1,0,0,COUNTA([2]quests!$A:$A),MATCH(D$1,[2]quests!$1:$1,0)-MATCH($C$1,[2]quests!$1:$1,0)+1),MATCH(D$1,[2]quests!$1:$1,0)-MATCH($C$1,[2]quests!$1:$1,0)+1,FALSE)</f>
        <v>狙撃は終わらない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21">
        <v>1</v>
      </c>
      <c r="G2" s="23" t="str">
        <f t="shared" ref="G2:G9" si="1">C2&amp;"_"&amp;F2</f>
        <v>30019_1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【超級】狙撃は終わらない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30019_1-2</v>
      </c>
      <c r="B3" s="16" t="str">
        <f>IF(COUNTIF(enemy_habitats!$H:$H,A3),"OK","NG")</f>
        <v>OK</v>
      </c>
      <c r="C3" s="7">
        <v>30019</v>
      </c>
      <c r="D3" s="11" t="str">
        <f ca="1">VLOOKUP($C3,OFFSET([2]quests!$A$1,0,0,COUNTA([2]quests!$A:$A),MATCH(D$1,[2]quests!$1:$1,0)-MATCH($C$1,[2]quests!$1:$1,0)+1),MATCH(D$1,[2]quests!$1:$1,0)-MATCH($C$1,[2]quests!$1:$1,0)+1,FALSE)</f>
        <v>狙撃は終わらない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21">
        <v>1</v>
      </c>
      <c r="G3" s="23" t="str">
        <f t="shared" si="1"/>
        <v>30019_1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【超級】狙撃は終わらない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30019_1-3</v>
      </c>
      <c r="B4" s="16" t="str">
        <f>IF(COUNTIF(enemy_habitats!$H:$H,A4),"OK","NG")</f>
        <v>OK</v>
      </c>
      <c r="C4" s="7">
        <v>30019</v>
      </c>
      <c r="D4" s="11" t="str">
        <f ca="1">VLOOKUP($C4,OFFSET([2]quests!$A$1,0,0,COUNTA([2]quests!$A:$A),MATCH(D$1,[2]quests!$1:$1,0)-MATCH($C$1,[2]quests!$1:$1,0)+1),MATCH(D$1,[2]quests!$1:$1,0)-MATCH($C$1,[2]quests!$1:$1,0)+1,FALSE)</f>
        <v>狙撃は終わらない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21">
        <v>1</v>
      </c>
      <c r="G4" s="23" t="str">
        <f t="shared" si="1"/>
        <v>30019_1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【超級】狙撃は終わらない</v>
      </c>
      <c r="I4" s="21">
        <v>3</v>
      </c>
      <c r="J4" s="12">
        <v>45</v>
      </c>
      <c r="K4" s="12">
        <v>60</v>
      </c>
    </row>
    <row r="5" spans="1:11" ht="21" customHeight="1" x14ac:dyDescent="0.15">
      <c r="A5" s="16" t="str">
        <f t="shared" si="0"/>
        <v>30019_1-4</v>
      </c>
      <c r="B5" s="16" t="str">
        <f>IF(COUNTIF(enemy_habitats!$H:$H,A5),"OK","NG")</f>
        <v>OK</v>
      </c>
      <c r="C5" s="7">
        <v>30019</v>
      </c>
      <c r="D5" s="11" t="str">
        <f ca="1">VLOOKUP($C5,OFFSET([2]quests!$A$1,0,0,COUNTA([2]quests!$A:$A),MATCH(D$1,[2]quests!$1:$1,0)-MATCH($C$1,[2]quests!$1:$1,0)+1),MATCH(D$1,[2]quests!$1:$1,0)-MATCH($C$1,[2]quests!$1:$1,0)+1,FALSE)</f>
        <v>狙撃は終わらない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21">
        <v>1</v>
      </c>
      <c r="G5" s="23" t="str">
        <f t="shared" si="1"/>
        <v>30019_1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【超級】狙撃は終わらない</v>
      </c>
      <c r="I5" s="21">
        <v>4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30019_2-1</v>
      </c>
      <c r="B6" s="16" t="str">
        <f>IF(COUNTIF(enemy_habitats!$H:$H,A6),"OK","NG")</f>
        <v>OK</v>
      </c>
      <c r="C6" s="7">
        <v>30019</v>
      </c>
      <c r="D6" s="11" t="str">
        <f ca="1">VLOOKUP($C6,OFFSET([2]quests!$A$1,0,0,COUNTA([2]quests!$A:$A),MATCH(D$1,[2]quests!$1:$1,0)-MATCH($C$1,[2]quests!$1:$1,0)+1),MATCH(D$1,[2]quests!$1:$1,0)-MATCH($C$1,[2]quests!$1:$1,0)+1,FALSE)</f>
        <v>狙撃は終わらない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21">
        <v>2</v>
      </c>
      <c r="G6" s="23" t="str">
        <f t="shared" si="1"/>
        <v>30019_2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【超絶級】狙撃は終わらない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30019_2-2</v>
      </c>
      <c r="B7" s="16" t="str">
        <f>IF(COUNTIF(enemy_habitats!$H:$H,A7),"OK","NG")</f>
        <v>OK</v>
      </c>
      <c r="C7" s="7">
        <v>30019</v>
      </c>
      <c r="D7" s="11" t="str">
        <f ca="1">VLOOKUP($C7,OFFSET([2]quests!$A$1,0,0,COUNTA([2]quests!$A:$A),MATCH(D$1,[2]quests!$1:$1,0)-MATCH($C$1,[2]quests!$1:$1,0)+1),MATCH(D$1,[2]quests!$1:$1,0)-MATCH($C$1,[2]quests!$1:$1,0)+1,FALSE)</f>
        <v>狙撃は終わらない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21">
        <v>2</v>
      </c>
      <c r="G7" s="23" t="str">
        <f t="shared" si="1"/>
        <v>30019_2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【超絶級】狙撃は終わらない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30019_2-3</v>
      </c>
      <c r="B8" s="16" t="str">
        <f>IF(COUNTIF(enemy_habitats!$H:$H,A8),"OK","NG")</f>
        <v>OK</v>
      </c>
      <c r="C8" s="7">
        <v>30019</v>
      </c>
      <c r="D8" s="11" t="str">
        <f ca="1">VLOOKUP($C8,OFFSET([2]quests!$A$1,0,0,COUNTA([2]quests!$A:$A),MATCH(D$1,[2]quests!$1:$1,0)-MATCH($C$1,[2]quests!$1:$1,0)+1),MATCH(D$1,[2]quests!$1:$1,0)-MATCH($C$1,[2]quests!$1:$1,0)+1,FALSE)</f>
        <v>狙撃は終わらない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21">
        <v>2</v>
      </c>
      <c r="G8" s="23" t="str">
        <f t="shared" si="1"/>
        <v>30019_2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【超絶級】狙撃は終わらない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30019_2-4</v>
      </c>
      <c r="B9" s="16" t="str">
        <f>IF(COUNTIF(enemy_habitats!$H:$H,A9),"OK","NG")</f>
        <v>OK</v>
      </c>
      <c r="C9" s="7">
        <v>30019</v>
      </c>
      <c r="D9" s="11" t="str">
        <f ca="1">VLOOKUP($C9,OFFSET([2]quests!$A$1,0,0,COUNTA([2]quests!$A:$A),MATCH(D$1,[2]quests!$1:$1,0)-MATCH($C$1,[2]quests!$1:$1,0)+1),MATCH(D$1,[2]quests!$1:$1,0)-MATCH($C$1,[2]quests!$1:$1,0)+1,FALSE)</f>
        <v>狙撃は終わらない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21">
        <v>2</v>
      </c>
      <c r="G9" s="23" t="str">
        <f t="shared" si="1"/>
        <v>30019_2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【超絶級】狙撃は終わらない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9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H16" sqref="AH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29" ca="1" si="0">B2&amp;"_"&amp;C2&amp;"-"&amp;G2&amp;"/"&amp;L2&amp;"&lt;lv"&amp;R2&amp;"&gt;s"&amp;AA2</f>
        <v>30019_1-1/15&lt;lv50&gt;s3</v>
      </c>
      <c r="B2" s="22">
        <v>30019</v>
      </c>
      <c r="C2" s="71">
        <v>1</v>
      </c>
      <c r="D2" s="2" t="str">
        <f t="shared" ref="D2:D29" si="1">B2&amp;"_"&amp;C2</f>
        <v>30019_1</v>
      </c>
      <c r="E2" s="4" t="str">
        <f ca="1">VLOOKUP($B2,OFFSET([2]quests!$A$1,0,0,COUNTA([2]quests!$A:$A),MATCH(E$1,[2]quests!$1:$1,0)-MATCH($B$1,[2]quests!$1:$1,0)+1),MATCH(E$1,[2]quests!$1:$1,0)-MATCH($B$1,[2]quests!$1:$1,0)+1,FALSE)</f>
        <v>狙撃は終わらない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【超級】狙撃は終わらない</v>
      </c>
      <c r="G2" s="71">
        <v>1</v>
      </c>
      <c r="H2" s="15" t="str">
        <f t="shared" ref="H2:H29" si="2">B2&amp;"_"&amp;C2&amp;"-"&amp;G2</f>
        <v>30019_1-1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15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アカネ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5">
        <v>2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28" si="3">L2</f>
        <v>15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t="shared" ref="AG2:AG29" ca="1" si="4">AD2</f>
        <v>1</v>
      </c>
      <c r="AH2" s="8">
        <v>25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t="shared" ca="1" si="0"/>
        <v>30019_1-1/17&lt;lv50&gt;s2</v>
      </c>
      <c r="B3" s="22">
        <v>30019</v>
      </c>
      <c r="C3" s="71">
        <v>1</v>
      </c>
      <c r="D3" s="2" t="str">
        <f t="shared" si="1"/>
        <v>30019_1</v>
      </c>
      <c r="E3" s="4" t="str">
        <f ca="1">VLOOKUP($B3,OFFSET([2]quests!$A$1,0,0,COUNTA([2]quests!$A:$A),MATCH(E$1,[2]quests!$1:$1,0)-MATCH($B$1,[2]quests!$1:$1,0)+1),MATCH(E$1,[2]quests!$1:$1,0)-MATCH($B$1,[2]quests!$1:$1,0)+1,FALSE)</f>
        <v>狙撃は終わらない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【超級】狙撃は終わらない</v>
      </c>
      <c r="G3" s="71">
        <v>1</v>
      </c>
      <c r="H3" s="15" t="str">
        <f t="shared" si="2"/>
        <v>30019_1-1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17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リム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5">
        <v>1.3</v>
      </c>
      <c r="T3" s="25">
        <v>1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17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リム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4"/>
        <v>1</v>
      </c>
      <c r="AH3" s="8">
        <v>25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ca="1" si="0"/>
        <v>30019_1-1/19&lt;lv50&gt;s3</v>
      </c>
      <c r="B4" s="22">
        <v>30019</v>
      </c>
      <c r="C4" s="71">
        <v>1</v>
      </c>
      <c r="D4" s="2" t="str">
        <f t="shared" si="1"/>
        <v>30019_1</v>
      </c>
      <c r="E4" s="4" t="str">
        <f ca="1">VLOOKUP($B4,OFFSET([2]quests!$A$1,0,0,COUNTA([2]quests!$A:$A),MATCH(E$1,[2]quests!$1:$1,0)-MATCH($B$1,[2]quests!$1:$1,0)+1),MATCH(E$1,[2]quests!$1:$1,0)-MATCH($B$1,[2]quests!$1:$1,0)+1,FALSE)</f>
        <v>狙撃は終わらない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【超級】狙撃は終わらない</v>
      </c>
      <c r="G4" s="71">
        <v>1</v>
      </c>
      <c r="H4" s="15" t="str">
        <f t="shared" si="2"/>
        <v>30019_1-1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19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ティンク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5">
        <v>1.5</v>
      </c>
      <c r="T4" s="25">
        <v>0.8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19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ティンク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4">
        <f t="shared" ca="1" si="4"/>
        <v>1</v>
      </c>
      <c r="AH4" s="8">
        <v>25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ca="1" si="0"/>
        <v>30019_1-1/39&lt;lv50&gt;s3</v>
      </c>
      <c r="B5" s="22">
        <v>30019</v>
      </c>
      <c r="C5" s="71">
        <v>1</v>
      </c>
      <c r="D5" s="2" t="str">
        <f t="shared" si="1"/>
        <v>30019_1</v>
      </c>
      <c r="E5" s="4" t="str">
        <f ca="1">VLOOKUP($B5,OFFSET([2]quests!$A$1,0,0,COUNTA([2]quests!$A:$A),MATCH(E$1,[2]quests!$1:$1,0)-MATCH($B$1,[2]quests!$1:$1,0)+1),MATCH(E$1,[2]quests!$1:$1,0)-MATCH($B$1,[2]quests!$1:$1,0)+1,FALSE)</f>
        <v>狙撃は終わらない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【超級】狙撃は終わらない</v>
      </c>
      <c r="G5" s="71">
        <v>1</v>
      </c>
      <c r="H5" s="15" t="str">
        <f t="shared" si="2"/>
        <v>30019_1-1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53</v>
      </c>
      <c r="L5" s="20">
        <v>39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マーロン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25">
        <v>1.3</v>
      </c>
      <c r="T5" s="25">
        <v>1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39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39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ca="1" si="4"/>
        <v>2</v>
      </c>
      <c r="AH5" s="8">
        <v>25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ca="1" si="0"/>
        <v>30019_1-1/43&lt;lv50&gt;s2</v>
      </c>
      <c r="B6" s="22">
        <v>30019</v>
      </c>
      <c r="C6" s="71">
        <v>1</v>
      </c>
      <c r="D6" s="2" t="str">
        <f t="shared" si="1"/>
        <v>30019_1</v>
      </c>
      <c r="E6" s="4" t="str">
        <f ca="1">VLOOKUP($B6,OFFSET([2]quests!$A$1,0,0,COUNTA([2]quests!$A:$A),MATCH(E$1,[2]quests!$1:$1,0)-MATCH($B$1,[2]quests!$1:$1,0)+1),MATCH(E$1,[2]quests!$1:$1,0)-MATCH($B$1,[2]quests!$1:$1,0)+1,FALSE)</f>
        <v>狙撃は終わらない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【超級】狙撃は終わらない</v>
      </c>
      <c r="G6" s="71">
        <v>1</v>
      </c>
      <c r="H6" s="15" t="str">
        <f t="shared" si="2"/>
        <v>30019_1-1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43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ムゥ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25">
        <v>1.1000000000000001</v>
      </c>
      <c r="T6" s="25">
        <v>1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3"/>
        <v>43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ムゥ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25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ca="1" si="0"/>
        <v>30019_1-1/362&lt;lv50&gt;s3</v>
      </c>
      <c r="B7" s="22">
        <v>30019</v>
      </c>
      <c r="C7" s="71">
        <v>1</v>
      </c>
      <c r="D7" s="2" t="str">
        <f t="shared" si="1"/>
        <v>30019_1</v>
      </c>
      <c r="E7" s="4" t="str">
        <f ca="1">VLOOKUP($B7,OFFSET([2]quests!$A$1,0,0,COUNTA([2]quests!$A:$A),MATCH(E$1,[2]quests!$1:$1,0)-MATCH($B$1,[2]quests!$1:$1,0)+1),MATCH(E$1,[2]quests!$1:$1,0)-MATCH($B$1,[2]quests!$1:$1,0)+1,FALSE)</f>
        <v>狙撃は終わらない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【超級】狙撃は終わらない</v>
      </c>
      <c r="G7" s="71">
        <v>1</v>
      </c>
      <c r="H7" s="15" t="str">
        <f t="shared" si="2"/>
        <v>30019_1-1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362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ゆらら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50</v>
      </c>
      <c r="S7" s="25">
        <v>1.1000000000000001</v>
      </c>
      <c r="T7" s="25">
        <v>0.9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362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4"/>
        <v>2</v>
      </c>
      <c r="AH7" s="8">
        <v>25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30019_1-2/93&lt;lv55&gt;s2</v>
      </c>
      <c r="B8" s="22">
        <v>30019</v>
      </c>
      <c r="C8" s="71">
        <v>1</v>
      </c>
      <c r="D8" s="2" t="str">
        <f t="shared" si="1"/>
        <v>30019_1</v>
      </c>
      <c r="E8" s="4" t="str">
        <f ca="1">VLOOKUP($B8,OFFSET([2]quests!$A$1,0,0,COUNTA([2]quests!$A:$A),MATCH(E$1,[2]quests!$1:$1,0)-MATCH($B$1,[2]quests!$1:$1,0)+1),MATCH(E$1,[2]quests!$1:$1,0)-MATCH($B$1,[2]quests!$1:$1,0)+1,FALSE)</f>
        <v>狙撃は終わらない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【超級】狙撃は終わらない</v>
      </c>
      <c r="G8" s="72">
        <v>2</v>
      </c>
      <c r="H8" s="15" t="str">
        <f t="shared" si="2"/>
        <v>30019_1-2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93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碧東の守護神 青龍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55</v>
      </c>
      <c r="S8" s="25">
        <v>1.5</v>
      </c>
      <c r="T8" s="25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好手封印</v>
      </c>
      <c r="W8" s="47">
        <v>30019004</v>
      </c>
      <c r="X8" s="6">
        <v>1</v>
      </c>
      <c r="Y8" s="6">
        <v>100</v>
      </c>
      <c r="Z8" s="6">
        <v>1</v>
      </c>
      <c r="AA8" s="17">
        <v>2</v>
      </c>
      <c r="AB8" s="24">
        <f t="shared" si="3"/>
        <v>93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碧東の守護神 青龍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ca="1" si="0"/>
        <v>30019_1-3/16&lt;lv50&gt;s3</v>
      </c>
      <c r="B9" s="22">
        <v>30019</v>
      </c>
      <c r="C9" s="71">
        <v>1</v>
      </c>
      <c r="D9" s="2" t="str">
        <f t="shared" si="1"/>
        <v>30019_1</v>
      </c>
      <c r="E9" s="4" t="str">
        <f ca="1">VLOOKUP($B9,OFFSET([2]quests!$A$1,0,0,COUNTA([2]quests!$A:$A),MATCH(E$1,[2]quests!$1:$1,0)-MATCH($B$1,[2]quests!$1:$1,0)+1),MATCH(E$1,[2]quests!$1:$1,0)-MATCH($B$1,[2]quests!$1:$1,0)+1,FALSE)</f>
        <v>狙撃は終わらない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【超級】狙撃は終わらない</v>
      </c>
      <c r="G9" s="73">
        <v>3</v>
      </c>
      <c r="H9" s="15" t="str">
        <f t="shared" si="2"/>
        <v>30019_1-3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炎戦少女 アカネ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50</v>
      </c>
      <c r="S9" s="25">
        <v>0.8</v>
      </c>
      <c r="T9" s="25">
        <v>0.9</v>
      </c>
      <c r="U9" s="5">
        <v>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3"/>
        <v>16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炎戦少女 アカネ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ca="1" si="4"/>
        <v>2</v>
      </c>
      <c r="AH9" s="8">
        <v>25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ca="1" si="0"/>
        <v>30019_1-3/18&lt;lv50&gt;s2</v>
      </c>
      <c r="B10" s="22">
        <v>30019</v>
      </c>
      <c r="C10" s="71">
        <v>1</v>
      </c>
      <c r="D10" s="2" t="str">
        <f t="shared" si="1"/>
        <v>30019_1</v>
      </c>
      <c r="E10" s="4" t="str">
        <f ca="1">VLOOKUP($B10,OFFSET([2]quests!$A$1,0,0,COUNTA([2]quests!$A:$A),MATCH(E$1,[2]quests!$1:$1,0)-MATCH($B$1,[2]quests!$1:$1,0)+1),MATCH(E$1,[2]quests!$1:$1,0)-MATCH($B$1,[2]quests!$1:$1,0)+1,FALSE)</f>
        <v>狙撃は終わらない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【超級】狙撃は終わらない</v>
      </c>
      <c r="G10" s="73">
        <v>3</v>
      </c>
      <c r="H10" s="15" t="str">
        <f t="shared" si="2"/>
        <v>30019_1-3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18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戦闘案内人 リム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50</v>
      </c>
      <c r="S10" s="25">
        <v>0.8</v>
      </c>
      <c r="T10" s="25">
        <v>0.9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si="3"/>
        <v>18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" s="7">
        <v>1</v>
      </c>
      <c r="AG10" s="24">
        <f t="shared" ca="1" si="4"/>
        <v>2</v>
      </c>
      <c r="AH10" s="8">
        <v>25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ca="1" si="0"/>
        <v>30019_1-3/20&lt;lv50&gt;s3</v>
      </c>
      <c r="B11" s="22">
        <v>30019</v>
      </c>
      <c r="C11" s="71">
        <v>1</v>
      </c>
      <c r="D11" s="2" t="str">
        <f t="shared" si="1"/>
        <v>30019_1</v>
      </c>
      <c r="E11" s="4" t="str">
        <f ca="1">VLOOKUP($B11,OFFSET([2]quests!$A$1,0,0,COUNTA([2]quests!$A:$A),MATCH(E$1,[2]quests!$1:$1,0)-MATCH($B$1,[2]quests!$1:$1,0)+1),MATCH(E$1,[2]quests!$1:$1,0)-MATCH($B$1,[2]quests!$1:$1,0)+1,FALSE)</f>
        <v>狙撃は終わらない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【超級】狙撃は終わらない</v>
      </c>
      <c r="G11" s="73">
        <v>3</v>
      </c>
      <c r="H11" s="15" t="str">
        <f t="shared" si="2"/>
        <v>30019_1-3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20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電子妖精 ティンク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50</v>
      </c>
      <c r="S11" s="25">
        <v>0.8</v>
      </c>
      <c r="T11" s="25">
        <v>0.9</v>
      </c>
      <c r="U11" s="5">
        <v>0</v>
      </c>
      <c r="V11" s="4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 t="shared" si="3"/>
        <v>20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Drop1W</v>
      </c>
      <c r="AF11" s="7">
        <v>1</v>
      </c>
      <c r="AG11" s="24">
        <f t="shared" ca="1" si="4"/>
        <v>2</v>
      </c>
      <c r="AH11" s="8">
        <v>25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ca="1" si="0"/>
        <v>30019_1-3/40&lt;lv50&gt;s3</v>
      </c>
      <c r="B12" s="22">
        <v>30019</v>
      </c>
      <c r="C12" s="71">
        <v>1</v>
      </c>
      <c r="D12" s="2" t="str">
        <f t="shared" si="1"/>
        <v>30019_1</v>
      </c>
      <c r="E12" s="4" t="str">
        <f ca="1">VLOOKUP($B12,OFFSET([2]quests!$A$1,0,0,COUNTA([2]quests!$A:$A),MATCH(E$1,[2]quests!$1:$1,0)-MATCH($B$1,[2]quests!$1:$1,0)+1),MATCH(E$1,[2]quests!$1:$1,0)-MATCH($B$1,[2]quests!$1:$1,0)+1,FALSE)</f>
        <v>狙撃は終わらない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【超級】狙撃は終わらない</v>
      </c>
      <c r="G12" s="73">
        <v>3</v>
      </c>
      <c r="H12" s="15" t="str">
        <f t="shared" si="2"/>
        <v>30019_1-3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40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デジタルマジシャン マーロン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50</v>
      </c>
      <c r="S12" s="25">
        <v>0.8</v>
      </c>
      <c r="T12" s="25">
        <v>0.9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4">
        <f ca="1">VLOOKUP($L12,OFFSET([3]enemies!$A$1,0,0,COUNTA([3]enemies!$A:$A),MATCH(W$1,[3]enemies!$1:$1,0)-MATCH($L$1,[3]enemies!$1:$1,0)+1),MATCH(W$1,[3]enemies!$1:$1,0)-MATCH($L$1,[3]enemies!$1:$1,0)+1,FALSE)</f>
        <v>40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3"/>
        <v>40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デジタルマジシャン マーロン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ca="1" si="4"/>
        <v>3</v>
      </c>
      <c r="AH12" s="8">
        <v>25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ca="1" si="0"/>
        <v>30019_1-3/44&lt;lv50&gt;s2</v>
      </c>
      <c r="B13" s="22">
        <v>30019</v>
      </c>
      <c r="C13" s="71">
        <v>1</v>
      </c>
      <c r="D13" s="2" t="str">
        <f t="shared" si="1"/>
        <v>30019_1</v>
      </c>
      <c r="E13" s="4" t="str">
        <f ca="1">VLOOKUP($B13,OFFSET([2]quests!$A$1,0,0,COUNTA([2]quests!$A:$A),MATCH(E$1,[2]quests!$1:$1,0)-MATCH($B$1,[2]quests!$1:$1,0)+1),MATCH(E$1,[2]quests!$1:$1,0)-MATCH($B$1,[2]quests!$1:$1,0)+1,FALSE)</f>
        <v>狙撃は終わらない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【超級】狙撃は終わらない</v>
      </c>
      <c r="G13" s="73">
        <v>3</v>
      </c>
      <c r="H13" s="15" t="str">
        <f t="shared" si="2"/>
        <v>30019_1-3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44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遠い星からやってきたムゥ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50</v>
      </c>
      <c r="S13" s="25">
        <v>0.3</v>
      </c>
      <c r="T13" s="25">
        <v>0.6</v>
      </c>
      <c r="U13" s="5">
        <v>0</v>
      </c>
      <c r="V13" s="4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1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3"/>
        <v>44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4"/>
        <v>3</v>
      </c>
      <c r="AH13" s="8">
        <v>25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ca="1" si="0"/>
        <v>30019_1-3/363&lt;lv50&gt;s3</v>
      </c>
      <c r="B14" s="22">
        <v>30019</v>
      </c>
      <c r="C14" s="71">
        <v>1</v>
      </c>
      <c r="D14" s="2" t="str">
        <f t="shared" si="1"/>
        <v>30019_1</v>
      </c>
      <c r="E14" s="4" t="str">
        <f ca="1">VLOOKUP($B14,OFFSET([2]quests!$A$1,0,0,COUNTA([2]quests!$A:$A),MATCH(E$1,[2]quests!$1:$1,0)-MATCH($B$1,[2]quests!$1:$1,0)+1),MATCH(E$1,[2]quests!$1:$1,0)-MATCH($B$1,[2]quests!$1:$1,0)+1,FALSE)</f>
        <v>狙撃は終わらない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【超級】狙撃は終わらない</v>
      </c>
      <c r="G14" s="73">
        <v>3</v>
      </c>
      <c r="H14" s="15" t="str">
        <f t="shared" si="2"/>
        <v>30019_1-3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363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花咲く幼精 ゆらら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50</v>
      </c>
      <c r="S14" s="25">
        <v>1.2</v>
      </c>
      <c r="T14" s="25">
        <v>0.8</v>
      </c>
      <c r="U14" s="5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3</v>
      </c>
      <c r="AB14" s="24">
        <f t="shared" si="3"/>
        <v>363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4">
        <f t="shared" ca="1" si="4"/>
        <v>3</v>
      </c>
      <c r="AH14" s="8">
        <v>25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ca="1" si="0"/>
        <v>30019_1-4/456&lt;lv60&gt;s3</v>
      </c>
      <c r="B15" s="22">
        <v>30019</v>
      </c>
      <c r="C15" s="71">
        <v>1</v>
      </c>
      <c r="D15" s="2" t="str">
        <f t="shared" si="1"/>
        <v>30019_1</v>
      </c>
      <c r="E15" s="4" t="str">
        <f ca="1">VLOOKUP($B15,OFFSET([2]quests!$A$1,0,0,COUNTA([2]quests!$A:$A),MATCH(E$1,[2]quests!$1:$1,0)-MATCH($B$1,[2]quests!$1:$1,0)+1),MATCH(E$1,[2]quests!$1:$1,0)-MATCH($B$1,[2]quests!$1:$1,0)+1,FALSE)</f>
        <v>狙撃は終わらない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【超級】狙撃は終わらない</v>
      </c>
      <c r="G15" s="74">
        <v>4</v>
      </c>
      <c r="H15" s="15" t="str">
        <f t="shared" si="2"/>
        <v>30019_1-4</v>
      </c>
      <c r="I15" s="4">
        <f ca="1">VLOOKUP($H15,OFFSET(floors!$A$1,0,0,COUNTA(floors!$A:$A),MATCH(I$1,floors!$1:$1,0)-MATCH($H$1,floors!$1:$1,0)+1),MATCH(I$1,floors!$1:$1,0)-MATCH($H$1,floors!$1:$1,0)+1,FALSE)</f>
        <v>30</v>
      </c>
      <c r="J15" s="4">
        <f ca="1">VLOOKUP($H15,OFFSET(floors!$A$1,0,0,COUNTA(floors!$A:$A),MATCH(J$1,floors!$1:$1,0)-MATCH($H$1,floors!$1:$1,0)+1),MATCH(J$1,floors!$1:$1,0)-MATCH($H$1,floors!$1:$1,0)+1,FALSE)</f>
        <v>30</v>
      </c>
      <c r="K15" s="38">
        <v>1</v>
      </c>
      <c r="L15" s="20">
        <v>456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射絶 ユヅル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2.2999999999999998</v>
      </c>
      <c r="T15" s="25">
        <v>1.1000000000000001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周波数妨害速射</v>
      </c>
      <c r="W15" s="47">
        <v>30019001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3"/>
        <v>456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射絶 ユヅル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7">
        <v>1</v>
      </c>
      <c r="AG15" s="24">
        <f t="shared" ca="1" si="4"/>
        <v>4</v>
      </c>
      <c r="AH15" s="8">
        <v>50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ca="1" si="0"/>
        <v>30019_2-1/15&lt;lv60&gt;s3</v>
      </c>
      <c r="B16" s="22">
        <v>30019</v>
      </c>
      <c r="C16" s="72">
        <v>2</v>
      </c>
      <c r="D16" s="2" t="str">
        <f t="shared" si="1"/>
        <v>30019_2</v>
      </c>
      <c r="E16" s="4" t="str">
        <f ca="1">VLOOKUP($B16,OFFSET([2]quests!$A$1,0,0,COUNTA([2]quests!$A:$A),MATCH(E$1,[2]quests!$1:$1,0)-MATCH($B$1,[2]quests!$1:$1,0)+1),MATCH(E$1,[2]quests!$1:$1,0)-MATCH($B$1,[2]quests!$1:$1,0)+1,FALSE)</f>
        <v>狙撃は終わらない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【超絶級】狙撃は終わらない</v>
      </c>
      <c r="G16" s="71">
        <v>1</v>
      </c>
      <c r="H16" s="15" t="str">
        <f t="shared" si="2"/>
        <v>30019_2-1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8" t="s">
        <v>53</v>
      </c>
      <c r="L16" s="20">
        <v>15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アカネ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60</v>
      </c>
      <c r="S16" s="25">
        <v>2.2000000000000002</v>
      </c>
      <c r="T16" s="25">
        <v>1</v>
      </c>
      <c r="U16" s="5">
        <v>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4">
        <f ca="1">VLOOKUP($L16,OFFSET([3]enemies!$A$1,0,0,COUNTA([3]enemies!$A:$A),MATCH(W$1,[3]enemies!$1:$1,0)-MATCH($L$1,[3]enemies!$1:$1,0)+1),MATCH(W$1,[3]enemies!$1:$1,0)-MATCH($L$1,[3]enemies!$1:$1,0)+1,FALSE)</f>
        <v>0</v>
      </c>
      <c r="X16" s="6">
        <v>0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3</v>
      </c>
      <c r="AB16" s="24">
        <f t="shared" si="3"/>
        <v>15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6" s="7">
        <v>1</v>
      </c>
      <c r="AG16" s="24">
        <f t="shared" ca="1" si="4"/>
        <v>1</v>
      </c>
      <c r="AH16" s="8">
        <v>25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ca="1" si="0"/>
        <v>30019_2-1/17&lt;lv60&gt;s2</v>
      </c>
      <c r="B17" s="22">
        <v>30019</v>
      </c>
      <c r="C17" s="72">
        <v>2</v>
      </c>
      <c r="D17" s="2" t="str">
        <f t="shared" si="1"/>
        <v>30019_2</v>
      </c>
      <c r="E17" s="4" t="str">
        <f ca="1">VLOOKUP($B17,OFFSET([2]quests!$A$1,0,0,COUNTA([2]quests!$A:$A),MATCH(E$1,[2]quests!$1:$1,0)-MATCH($B$1,[2]quests!$1:$1,0)+1),MATCH(E$1,[2]quests!$1:$1,0)-MATCH($B$1,[2]quests!$1:$1,0)+1,FALSE)</f>
        <v>狙撃は終わらない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【超絶級】狙撃は終わらない</v>
      </c>
      <c r="G17" s="71">
        <v>1</v>
      </c>
      <c r="H17" s="15" t="str">
        <f t="shared" si="2"/>
        <v>30019_2-1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8" t="s">
        <v>53</v>
      </c>
      <c r="L17" s="20">
        <v>17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リム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5">
        <v>1.5</v>
      </c>
      <c r="T17" s="25">
        <v>1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f t="shared" si="3"/>
        <v>17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リム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4">
        <f t="shared" ca="1" si="4"/>
        <v>1</v>
      </c>
      <c r="AH17" s="8">
        <v>25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ca="1" si="0"/>
        <v>30019_2-1/19&lt;lv60&gt;s3</v>
      </c>
      <c r="B18" s="22">
        <v>30019</v>
      </c>
      <c r="C18" s="72">
        <v>2</v>
      </c>
      <c r="D18" s="2" t="str">
        <f t="shared" si="1"/>
        <v>30019_2</v>
      </c>
      <c r="E18" s="4" t="str">
        <f ca="1">VLOOKUP($B18,OFFSET([2]quests!$A$1,0,0,COUNTA([2]quests!$A:$A),MATCH(E$1,[2]quests!$1:$1,0)-MATCH($B$1,[2]quests!$1:$1,0)+1),MATCH(E$1,[2]quests!$1:$1,0)-MATCH($B$1,[2]quests!$1:$1,0)+1,FALSE)</f>
        <v>狙撃は終わらない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【超絶級】狙撃は終わらない</v>
      </c>
      <c r="G18" s="71">
        <v>1</v>
      </c>
      <c r="H18" s="15" t="str">
        <f t="shared" si="2"/>
        <v>30019_2-1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19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ティンク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25">
        <v>1.5</v>
      </c>
      <c r="T18" s="25">
        <v>0.9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4">
        <f ca="1">VLOOKUP($L18,OFFSET([3]enemies!$A$1,0,0,COUNTA([3]enemies!$A:$A),MATCH(W$1,[3]enemies!$1:$1,0)-MATCH($L$1,[3]enemies!$1:$1,0)+1),MATCH(W$1,[3]enemies!$1:$1,0)-MATCH($L$1,[3]enemies!$1:$1,0)+1,FALSE)</f>
        <v>0</v>
      </c>
      <c r="X18" s="6">
        <v>0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3</v>
      </c>
      <c r="AB18" s="24">
        <f t="shared" si="3"/>
        <v>19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ティンク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Drop1W</v>
      </c>
      <c r="AF18" s="7">
        <v>1</v>
      </c>
      <c r="AG18" s="24">
        <f t="shared" ca="1" si="4"/>
        <v>1</v>
      </c>
      <c r="AH18" s="8">
        <v>25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ca="1" si="0"/>
        <v>30019_2-1/39&lt;lv60&gt;s3</v>
      </c>
      <c r="B19" s="22">
        <v>30019</v>
      </c>
      <c r="C19" s="72">
        <v>2</v>
      </c>
      <c r="D19" s="2" t="str">
        <f t="shared" si="1"/>
        <v>30019_2</v>
      </c>
      <c r="E19" s="4" t="str">
        <f ca="1">VLOOKUP($B19,OFFSET([2]quests!$A$1,0,0,COUNTA([2]quests!$A:$A),MATCH(E$1,[2]quests!$1:$1,0)-MATCH($B$1,[2]quests!$1:$1,0)+1),MATCH(E$1,[2]quests!$1:$1,0)-MATCH($B$1,[2]quests!$1:$1,0)+1,FALSE)</f>
        <v>狙撃は終わらない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【超絶級】狙撃は終わらない</v>
      </c>
      <c r="G19" s="71">
        <v>1</v>
      </c>
      <c r="H19" s="15" t="str">
        <f t="shared" si="2"/>
        <v>30019_2-1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53</v>
      </c>
      <c r="L19" s="20">
        <v>39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マーロン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60</v>
      </c>
      <c r="S19" s="25">
        <v>1.5</v>
      </c>
      <c r="T19" s="25">
        <v>1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4">
        <f ca="1">VLOOKUP($L19,OFFSET([3]enemies!$A$1,0,0,COUNTA([3]enemies!$A:$A),MATCH(W$1,[3]enemies!$1:$1,0)-MATCH($L$1,[3]enemies!$1:$1,0)+1),MATCH(W$1,[3]enemies!$1:$1,0)-MATCH($L$1,[3]enemies!$1:$1,0)+1,FALSE)</f>
        <v>39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 t="shared" si="3"/>
        <v>39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7">
        <v>1</v>
      </c>
      <c r="AG19" s="24">
        <f t="shared" ca="1" si="4"/>
        <v>2</v>
      </c>
      <c r="AH19" s="8">
        <v>25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  <row r="20" spans="1:40" ht="21" customHeight="1" x14ac:dyDescent="0.15">
      <c r="A20" s="16" t="str">
        <f t="shared" ca="1" si="0"/>
        <v>30019_2-1/43&lt;lv60&gt;s2</v>
      </c>
      <c r="B20" s="22">
        <v>30019</v>
      </c>
      <c r="C20" s="72">
        <v>2</v>
      </c>
      <c r="D20" s="2" t="str">
        <f t="shared" si="1"/>
        <v>30019_2</v>
      </c>
      <c r="E20" s="4" t="str">
        <f ca="1">VLOOKUP($B20,OFFSET([2]quests!$A$1,0,0,COUNTA([2]quests!$A:$A),MATCH(E$1,[2]quests!$1:$1,0)-MATCH($B$1,[2]quests!$1:$1,0)+1),MATCH(E$1,[2]quests!$1:$1,0)-MATCH($B$1,[2]quests!$1:$1,0)+1,FALSE)</f>
        <v>狙撃は終わらない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【超絶級】狙撃は終わらない</v>
      </c>
      <c r="G20" s="71">
        <v>1</v>
      </c>
      <c r="H20" s="15" t="str">
        <f t="shared" si="2"/>
        <v>30019_2-1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45</v>
      </c>
      <c r="K20" s="38" t="s">
        <v>53</v>
      </c>
      <c r="L20" s="20">
        <v>43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ムゥ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60</v>
      </c>
      <c r="S20" s="25">
        <v>1.3</v>
      </c>
      <c r="T20" s="25">
        <v>1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4">
        <f ca="1">VLOOKUP($L20,OFFSET([3]enemies!$A$1,0,0,COUNTA([3]enemies!$A:$A),MATCH(W$1,[3]enemies!$1:$1,0)-MATCH($L$1,[3]enemies!$1:$1,0)+1),MATCH(W$1,[3]enemies!$1:$1,0)-MATCH($L$1,[3]enemies!$1:$1,0)+1,FALSE)</f>
        <v>0</v>
      </c>
      <c r="X20" s="6">
        <v>0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f t="shared" si="3"/>
        <v>43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ムゥ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7">
        <v>1</v>
      </c>
      <c r="AG20" s="24">
        <f t="shared" ca="1" si="4"/>
        <v>2</v>
      </c>
      <c r="AH20" s="8">
        <v>25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70">
        <v>1</v>
      </c>
    </row>
    <row r="21" spans="1:40" ht="21" customHeight="1" x14ac:dyDescent="0.15">
      <c r="A21" s="16" t="str">
        <f t="shared" ca="1" si="0"/>
        <v>30019_2-1/362&lt;lv60&gt;s3</v>
      </c>
      <c r="B21" s="22">
        <v>30019</v>
      </c>
      <c r="C21" s="72">
        <v>2</v>
      </c>
      <c r="D21" s="2" t="str">
        <f t="shared" si="1"/>
        <v>30019_2</v>
      </c>
      <c r="E21" s="4" t="str">
        <f ca="1">VLOOKUP($B21,OFFSET([2]quests!$A$1,0,0,COUNTA([2]quests!$A:$A),MATCH(E$1,[2]quests!$1:$1,0)-MATCH($B$1,[2]quests!$1:$1,0)+1),MATCH(E$1,[2]quests!$1:$1,0)-MATCH($B$1,[2]quests!$1:$1,0)+1,FALSE)</f>
        <v>狙撃は終わらない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【超絶級】狙撃は終わらない</v>
      </c>
      <c r="G21" s="71">
        <v>1</v>
      </c>
      <c r="H21" s="15" t="str">
        <f t="shared" si="2"/>
        <v>30019_2-1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45</v>
      </c>
      <c r="K21" s="38" t="s">
        <v>53</v>
      </c>
      <c r="L21" s="20">
        <v>362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ゆらら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60</v>
      </c>
      <c r="S21" s="25">
        <v>1.1000000000000001</v>
      </c>
      <c r="T21" s="25">
        <v>0.9</v>
      </c>
      <c r="U21" s="5">
        <v>0</v>
      </c>
      <c r="V21" s="4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f t="shared" si="3"/>
        <v>362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Drop1S</v>
      </c>
      <c r="AF21" s="7">
        <v>1</v>
      </c>
      <c r="AG21" s="24">
        <f t="shared" ca="1" si="4"/>
        <v>2</v>
      </c>
      <c r="AH21" s="8">
        <v>25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70">
        <v>1</v>
      </c>
    </row>
    <row r="22" spans="1:40" ht="21" customHeight="1" x14ac:dyDescent="0.15">
      <c r="A22" s="16" t="str">
        <f t="shared" si="0"/>
        <v>30019_2-2/93&lt;lv65&gt;s2</v>
      </c>
      <c r="B22" s="22">
        <v>30019</v>
      </c>
      <c r="C22" s="72">
        <v>2</v>
      </c>
      <c r="D22" s="2" t="str">
        <f t="shared" si="1"/>
        <v>30019_2</v>
      </c>
      <c r="E22" s="4" t="str">
        <f ca="1">VLOOKUP($B22,OFFSET([2]quests!$A$1,0,0,COUNTA([2]quests!$A:$A),MATCH(E$1,[2]quests!$1:$1,0)-MATCH($B$1,[2]quests!$1:$1,0)+1),MATCH(E$1,[2]quests!$1:$1,0)-MATCH($B$1,[2]quests!$1:$1,0)+1,FALSE)</f>
        <v>狙撃は終わらない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【超絶級】狙撃は終わらない</v>
      </c>
      <c r="G22" s="72">
        <v>2</v>
      </c>
      <c r="H22" s="15" t="str">
        <f t="shared" si="2"/>
        <v>30019_2-2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93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碧東の守護神 青龍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7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65</v>
      </c>
      <c r="S22" s="25">
        <v>1.6</v>
      </c>
      <c r="T22" s="25">
        <v>0.9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好手封印</v>
      </c>
      <c r="W22" s="47">
        <v>30019004</v>
      </c>
      <c r="X22" s="6">
        <v>1</v>
      </c>
      <c r="Y22" s="6">
        <v>100</v>
      </c>
      <c r="Z22" s="6">
        <v>1</v>
      </c>
      <c r="AA22" s="17">
        <v>2</v>
      </c>
      <c r="AB22" s="24">
        <f t="shared" si="3"/>
        <v>93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碧東の守護神 青龍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7">
        <v>1</v>
      </c>
      <c r="AG22" s="24">
        <f t="shared" ca="1" si="4"/>
        <v>5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70">
        <v>1</v>
      </c>
    </row>
    <row r="23" spans="1:40" ht="21" customHeight="1" x14ac:dyDescent="0.15">
      <c r="A23" s="16" t="str">
        <f t="shared" ca="1" si="0"/>
        <v>30019_2-3/16&lt;lv60&gt;s3</v>
      </c>
      <c r="B23" s="22">
        <v>30019</v>
      </c>
      <c r="C23" s="72">
        <v>2</v>
      </c>
      <c r="D23" s="2" t="str">
        <f t="shared" si="1"/>
        <v>30019_2</v>
      </c>
      <c r="E23" s="4" t="str">
        <f ca="1">VLOOKUP($B23,OFFSET([2]quests!$A$1,0,0,COUNTA([2]quests!$A:$A),MATCH(E$1,[2]quests!$1:$1,0)-MATCH($B$1,[2]quests!$1:$1,0)+1),MATCH(E$1,[2]quests!$1:$1,0)-MATCH($B$1,[2]quests!$1:$1,0)+1,FALSE)</f>
        <v>狙撃は終わらない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【超絶級】狙撃は終わらない</v>
      </c>
      <c r="G23" s="73">
        <v>3</v>
      </c>
      <c r="H23" s="15" t="str">
        <f t="shared" si="2"/>
        <v>30019_2-3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16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炎戦少女 アカネ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60</v>
      </c>
      <c r="S23" s="25">
        <v>1</v>
      </c>
      <c r="T23" s="25">
        <v>1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3</v>
      </c>
      <c r="AB23" s="24">
        <f t="shared" si="3"/>
        <v>16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炎戦少女 アカネ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Drop1W</v>
      </c>
      <c r="AF23" s="7">
        <v>1</v>
      </c>
      <c r="AG23" s="24">
        <f t="shared" ca="1" si="4"/>
        <v>2</v>
      </c>
      <c r="AH23" s="8">
        <v>25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70">
        <v>1</v>
      </c>
    </row>
    <row r="24" spans="1:40" ht="21" customHeight="1" x14ac:dyDescent="0.15">
      <c r="A24" s="16" t="str">
        <f t="shared" ca="1" si="0"/>
        <v>30019_2-3/18&lt;lv60&gt;s2</v>
      </c>
      <c r="B24" s="22">
        <v>30019</v>
      </c>
      <c r="C24" s="72">
        <v>2</v>
      </c>
      <c r="D24" s="2" t="str">
        <f t="shared" si="1"/>
        <v>30019_2</v>
      </c>
      <c r="E24" s="4" t="str">
        <f ca="1">VLOOKUP($B24,OFFSET([2]quests!$A$1,0,0,COUNTA([2]quests!$A:$A),MATCH(E$1,[2]quests!$1:$1,0)-MATCH($B$1,[2]quests!$1:$1,0)+1),MATCH(E$1,[2]quests!$1:$1,0)-MATCH($B$1,[2]quests!$1:$1,0)+1,FALSE)</f>
        <v>狙撃は終わらない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【超絶級】狙撃は終わらない</v>
      </c>
      <c r="G24" s="73">
        <v>3</v>
      </c>
      <c r="H24" s="15" t="str">
        <f t="shared" si="2"/>
        <v>30019_2-3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18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戦闘案内人 リム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Drop1W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60</v>
      </c>
      <c r="S24" s="25">
        <v>1</v>
      </c>
      <c r="T24" s="25">
        <v>1</v>
      </c>
      <c r="U24" s="5">
        <v>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4">
        <f ca="1">VLOOKUP($L24,OFFSET([3]enemies!$A$1,0,0,COUNTA([3]enemies!$A:$A),MATCH(W$1,[3]enemies!$1:$1,0)-MATCH($L$1,[3]enemies!$1:$1,0)+1),MATCH(W$1,[3]enemies!$1:$1,0)-MATCH($L$1,[3]enemies!$1:$1,0)+1,FALSE)</f>
        <v>0</v>
      </c>
      <c r="X24" s="6">
        <v>0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3"/>
        <v>18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Drop1W</v>
      </c>
      <c r="AF24" s="7">
        <v>1</v>
      </c>
      <c r="AG24" s="24">
        <f t="shared" ca="1" si="4"/>
        <v>2</v>
      </c>
      <c r="AH24" s="8">
        <v>25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70">
        <v>1</v>
      </c>
    </row>
    <row r="25" spans="1:40" ht="21" customHeight="1" x14ac:dyDescent="0.15">
      <c r="A25" s="16" t="str">
        <f t="shared" ca="1" si="0"/>
        <v>30019_2-3/20&lt;lv60&gt;s3</v>
      </c>
      <c r="B25" s="22">
        <v>30019</v>
      </c>
      <c r="C25" s="72">
        <v>2</v>
      </c>
      <c r="D25" s="2" t="str">
        <f t="shared" si="1"/>
        <v>30019_2</v>
      </c>
      <c r="E25" s="4" t="str">
        <f ca="1">VLOOKUP($B25,OFFSET([2]quests!$A$1,0,0,COUNTA([2]quests!$A:$A),MATCH(E$1,[2]quests!$1:$1,0)-MATCH($B$1,[2]quests!$1:$1,0)+1),MATCH(E$1,[2]quests!$1:$1,0)-MATCH($B$1,[2]quests!$1:$1,0)+1,FALSE)</f>
        <v>狙撃は終わらない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【超絶級】狙撃は終わらない</v>
      </c>
      <c r="G25" s="73">
        <v>3</v>
      </c>
      <c r="H25" s="15" t="str">
        <f t="shared" si="2"/>
        <v>30019_2-3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20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電子妖精 ティンク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60</v>
      </c>
      <c r="S25" s="25">
        <v>1</v>
      </c>
      <c r="T25" s="25">
        <v>1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0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f t="shared" si="3"/>
        <v>20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Drop1W</v>
      </c>
      <c r="AF25" s="7">
        <v>1</v>
      </c>
      <c r="AG25" s="24">
        <f t="shared" ca="1" si="4"/>
        <v>2</v>
      </c>
      <c r="AH25" s="8">
        <v>25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70">
        <v>1</v>
      </c>
    </row>
    <row r="26" spans="1:40" ht="21" customHeight="1" x14ac:dyDescent="0.15">
      <c r="A26" s="16" t="str">
        <f t="shared" ca="1" si="0"/>
        <v>30019_2-3/40&lt;lv60&gt;s3</v>
      </c>
      <c r="B26" s="22">
        <v>30019</v>
      </c>
      <c r="C26" s="72">
        <v>2</v>
      </c>
      <c r="D26" s="2" t="str">
        <f t="shared" si="1"/>
        <v>30019_2</v>
      </c>
      <c r="E26" s="4" t="str">
        <f ca="1">VLOOKUP($B26,OFFSET([2]quests!$A$1,0,0,COUNTA([2]quests!$A:$A),MATCH(E$1,[2]quests!$1:$1,0)-MATCH($B$1,[2]quests!$1:$1,0)+1),MATCH(E$1,[2]quests!$1:$1,0)-MATCH($B$1,[2]quests!$1:$1,0)+1,FALSE)</f>
        <v>狙撃は終わらない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【超絶級】狙撃は終わらない</v>
      </c>
      <c r="G26" s="73">
        <v>3</v>
      </c>
      <c r="H26" s="15" t="str">
        <f t="shared" si="2"/>
        <v>30019_2-3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20">
        <v>40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デジタルマジシャン マーロン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60</v>
      </c>
      <c r="S26" s="25">
        <v>1</v>
      </c>
      <c r="T26" s="25">
        <v>1</v>
      </c>
      <c r="U26" s="5">
        <v>0</v>
      </c>
      <c r="V26" s="4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4">
        <f ca="1">VLOOKUP($L26,OFFSET([3]enemies!$A$1,0,0,COUNTA([3]enemies!$A:$A),MATCH(W$1,[3]enemies!$1:$1,0)-MATCH($L$1,[3]enemies!$1:$1,0)+1),MATCH(W$1,[3]enemies!$1:$1,0)-MATCH($L$1,[3]enemies!$1:$1,0)+1,FALSE)</f>
        <v>40</v>
      </c>
      <c r="X26" s="6">
        <v>0</v>
      </c>
      <c r="Y26" s="6">
        <v>100</v>
      </c>
      <c r="Z26" s="6">
        <v>0</v>
      </c>
      <c r="AA26" s="17">
        <f ca="1">VLOOKUP($L26,OFFSET([3]enemies!$A$1,0,0,COUNTA([3]enemies!$A:$A),MATCH(AA$1,[3]enemies!$1:$1,0)-MATCH($L$1,[3]enemies!$1:$1,0)+1),MATCH(AA$1,[3]enemies!$1:$1,0)-MATCH($L$1,[3]enemies!$1:$1,0)+1,FALSE)</f>
        <v>3</v>
      </c>
      <c r="AB26" s="24">
        <f t="shared" si="3"/>
        <v>40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デジタルマジシャン マーロン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7">
        <v>1</v>
      </c>
      <c r="AG26" s="24">
        <f t="shared" ca="1" si="4"/>
        <v>3</v>
      </c>
      <c r="AH26" s="8">
        <v>25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70">
        <v>1</v>
      </c>
    </row>
    <row r="27" spans="1:40" ht="21" customHeight="1" x14ac:dyDescent="0.15">
      <c r="A27" s="16" t="str">
        <f t="shared" ca="1" si="0"/>
        <v>30019_2-3/44&lt;lv60&gt;s2</v>
      </c>
      <c r="B27" s="22">
        <v>30019</v>
      </c>
      <c r="C27" s="72">
        <v>2</v>
      </c>
      <c r="D27" s="2" t="str">
        <f t="shared" si="1"/>
        <v>30019_2</v>
      </c>
      <c r="E27" s="4" t="str">
        <f ca="1">VLOOKUP($B27,OFFSET([2]quests!$A$1,0,0,COUNTA([2]quests!$A:$A),MATCH(E$1,[2]quests!$1:$1,0)-MATCH($B$1,[2]quests!$1:$1,0)+1),MATCH(E$1,[2]quests!$1:$1,0)-MATCH($B$1,[2]quests!$1:$1,0)+1,FALSE)</f>
        <v>狙撃は終わらない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【超絶級】狙撃は終わらない</v>
      </c>
      <c r="G27" s="73">
        <v>3</v>
      </c>
      <c r="H27" s="15" t="str">
        <f t="shared" si="2"/>
        <v>30019_2-3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44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遠い星からやってきたムゥ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dragon</v>
      </c>
      <c r="Q27" s="17">
        <f ca="1">VLOOKUP($L27,OFFSET([3]enemies!$A$1,0,0,COUNTA([3]enemies!$A:$A),MATCH(Q$1,[3]enemies!$1:$1,0)-MATCH($L$1,[3]enemies!$1:$1,0)+1),MATCH(Q$1,[3]enemies!$1:$1,0)-MATCH($L$1,[3]enemies!$1:$1,0)+1,FALSE)</f>
        <v>20</v>
      </c>
      <c r="R27" s="5">
        <v>60</v>
      </c>
      <c r="S27" s="25">
        <v>0.4</v>
      </c>
      <c r="T27" s="25">
        <v>0.8</v>
      </c>
      <c r="U27" s="5">
        <v>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6">
        <v>0</v>
      </c>
      <c r="Y27" s="6">
        <v>100</v>
      </c>
      <c r="Z27" s="6">
        <v>1</v>
      </c>
      <c r="AA27" s="17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f t="shared" si="3"/>
        <v>44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3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Drop1N</v>
      </c>
      <c r="AF27" s="7">
        <v>1</v>
      </c>
      <c r="AG27" s="24">
        <f t="shared" ca="1" si="4"/>
        <v>3</v>
      </c>
      <c r="AH27" s="8">
        <v>25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70">
        <v>1</v>
      </c>
    </row>
    <row r="28" spans="1:40" ht="21" customHeight="1" x14ac:dyDescent="0.15">
      <c r="A28" s="16" t="str">
        <f t="shared" ca="1" si="0"/>
        <v>30019_2-3/363&lt;lv60&gt;s3</v>
      </c>
      <c r="B28" s="22">
        <v>30019</v>
      </c>
      <c r="C28" s="72">
        <v>2</v>
      </c>
      <c r="D28" s="2" t="str">
        <f t="shared" si="1"/>
        <v>30019_2</v>
      </c>
      <c r="E28" s="4" t="str">
        <f ca="1">VLOOKUP($B28,OFFSET([2]quests!$A$1,0,0,COUNTA([2]quests!$A:$A),MATCH(E$1,[2]quests!$1:$1,0)-MATCH($B$1,[2]quests!$1:$1,0)+1),MATCH(E$1,[2]quests!$1:$1,0)-MATCH($B$1,[2]quests!$1:$1,0)+1,FALSE)</f>
        <v>狙撃は終わらない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【超絶級】狙撃は終わらない</v>
      </c>
      <c r="G28" s="73">
        <v>3</v>
      </c>
      <c r="H28" s="15" t="str">
        <f t="shared" si="2"/>
        <v>30019_2-3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53</v>
      </c>
      <c r="L28" s="20">
        <v>363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花咲く幼精 ゆらら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60</v>
      </c>
      <c r="S28" s="25">
        <v>1.4</v>
      </c>
      <c r="T28" s="25">
        <v>1</v>
      </c>
      <c r="U28" s="5">
        <v>0</v>
      </c>
      <c r="V28" s="4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4">
        <f ca="1">VLOOKUP($L28,OFFSET([3]enemies!$A$1,0,0,COUNTA([3]enemies!$A:$A),MATCH(W$1,[3]enemies!$1:$1,0)-MATCH($L$1,[3]enemies!$1:$1,0)+1),MATCH(W$1,[3]enemies!$1:$1,0)-MATCH($L$1,[3]enemies!$1:$1,0)+1,FALSE)</f>
        <v>0</v>
      </c>
      <c r="X28" s="6">
        <v>0</v>
      </c>
      <c r="Y28" s="6">
        <v>100</v>
      </c>
      <c r="Z28" s="6">
        <v>0</v>
      </c>
      <c r="AA28" s="17">
        <f ca="1">VLOOKUP($L28,OFFSET([3]enemies!$A$1,0,0,COUNTA([3]enemies!$A:$A),MATCH(AA$1,[3]enemies!$1:$1,0)-MATCH($L$1,[3]enemies!$1:$1,0)+1),MATCH(AA$1,[3]enemies!$1:$1,0)-MATCH($L$1,[3]enemies!$1:$1,0)+1,FALSE)</f>
        <v>3</v>
      </c>
      <c r="AB28" s="24">
        <f t="shared" si="3"/>
        <v>363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7">
        <v>1</v>
      </c>
      <c r="AG28" s="24">
        <f t="shared" ca="1" si="4"/>
        <v>3</v>
      </c>
      <c r="AH28" s="8">
        <v>25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70">
        <v>1</v>
      </c>
    </row>
    <row r="29" spans="1:40" ht="21" customHeight="1" x14ac:dyDescent="0.15">
      <c r="A29" s="16" t="str">
        <f t="shared" si="0"/>
        <v>30019_2-4/457&lt;lv70&gt;s2</v>
      </c>
      <c r="B29" s="22">
        <v>30019</v>
      </c>
      <c r="C29" s="72">
        <v>2</v>
      </c>
      <c r="D29" s="2" t="str">
        <f t="shared" si="1"/>
        <v>30019_2</v>
      </c>
      <c r="E29" s="4" t="str">
        <f ca="1">VLOOKUP($B29,OFFSET([2]quests!$A$1,0,0,COUNTA([2]quests!$A:$A),MATCH(E$1,[2]quests!$1:$1,0)-MATCH($B$1,[2]quests!$1:$1,0)+1),MATCH(E$1,[2]quests!$1:$1,0)-MATCH($B$1,[2]quests!$1:$1,0)+1,FALSE)</f>
        <v>狙撃は終わらない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【超絶級】狙撃は終わらない</v>
      </c>
      <c r="G29" s="74">
        <v>4</v>
      </c>
      <c r="H29" s="15" t="str">
        <f t="shared" si="2"/>
        <v>30019_2-4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>
        <v>2</v>
      </c>
      <c r="L29" s="20">
        <v>457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京速射絶 ユヅル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Drop2N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human</v>
      </c>
      <c r="Q29" s="17">
        <f ca="1">VLOOKUP($L29,OFFSET([3]enemies!$A$1,0,0,COUNTA([3]enemies!$A:$A),MATCH(Q$1,[3]enemies!$1:$1,0)-MATCH($L$1,[3]enemies!$1:$1,0)+1),MATCH(Q$1,[3]enemies!$1:$1,0)-MATCH($L$1,[3]enemies!$1:$1,0)+1,FALSE)</f>
        <v>60</v>
      </c>
      <c r="R29" s="5">
        <v>70</v>
      </c>
      <c r="S29" s="25">
        <v>2.2999999999999998</v>
      </c>
      <c r="T29" s="25">
        <v>1.1000000000000001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周波数妨害速射</v>
      </c>
      <c r="W29" s="47">
        <v>30019001</v>
      </c>
      <c r="X29" s="6">
        <v>1</v>
      </c>
      <c r="Y29" s="6">
        <v>100</v>
      </c>
      <c r="Z29" s="6">
        <v>1</v>
      </c>
      <c r="AA29" s="17">
        <v>2</v>
      </c>
      <c r="AB29" s="24">
        <v>456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射絶 ユヅル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Drop2N</v>
      </c>
      <c r="AF29" s="7">
        <v>1</v>
      </c>
      <c r="AG29" s="24">
        <f t="shared" ca="1" si="4"/>
        <v>4</v>
      </c>
      <c r="AH29" s="8">
        <v>100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7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I33" sqref="I3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30019_1-4/456&lt;lv60&gt;sq1st2</v>
      </c>
      <c r="B2" s="22">
        <v>30019</v>
      </c>
      <c r="C2" s="21">
        <v>1</v>
      </c>
      <c r="D2" s="2" t="str">
        <f>B2&amp;"_"&amp;C2</f>
        <v>30019_1</v>
      </c>
      <c r="E2" s="4" t="str">
        <f ca="1">VLOOKUP($B2,OFFSET([2]quests!$A$1,0,0,COUNTA([2]quests!$A:$A),MATCH(E$1,[2]quests!$1:$1,0)-MATCH($B$1,[2]quests!$1:$1,0)+1),MATCH(E$1,[2]quests!$1:$1,0)-MATCH($B$1,[2]quests!$1:$1,0)+1,FALSE)</f>
        <v>狙撃は終わらない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【超級】狙撃は終わらない</v>
      </c>
      <c r="G2" s="21">
        <v>4</v>
      </c>
      <c r="H2" s="15" t="str">
        <f>B2&amp;"_"&amp;C2&amp;"-"&amp;G2</f>
        <v>30019_1-4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456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射絶 ユヅル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2.1</v>
      </c>
      <c r="U2" s="25">
        <v>1.1000000000000001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7">
        <v>30019005</v>
      </c>
      <c r="Y2" s="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30019_2-4/457&lt;lv70&gt;sq2st2</v>
      </c>
      <c r="B3" s="22">
        <v>30019</v>
      </c>
      <c r="C3" s="21">
        <v>2</v>
      </c>
      <c r="D3" s="2" t="str">
        <f>B3&amp;"_"&amp;C3</f>
        <v>30019_2</v>
      </c>
      <c r="E3" s="4" t="str">
        <f ca="1">VLOOKUP($B3,OFFSET([2]quests!$A$1,0,0,COUNTA([2]quests!$A:$A),MATCH(E$1,[2]quests!$1:$1,0)-MATCH($B$1,[2]quests!$1:$1,0)+1),MATCH(E$1,[2]quests!$1:$1,0)-MATCH($B$1,[2]quests!$1:$1,0)+1,FALSE)</f>
        <v>狙撃は終わらない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【超絶級】狙撃は終わらない</v>
      </c>
      <c r="G3" s="21">
        <v>4</v>
      </c>
      <c r="H3" s="15" t="str">
        <f>B3&amp;"_"&amp;C3&amp;"-"&amp;G3</f>
        <v>30019_2-4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457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京速射絶 ユヅル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5">
        <v>2.1</v>
      </c>
      <c r="U3" s="25">
        <v>1.1000000000000001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7">
        <v>30019002</v>
      </c>
      <c r="Y3" s="4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30019_2-4/457&lt;lv70&gt;sq2st3</v>
      </c>
      <c r="B4" s="22">
        <v>30019</v>
      </c>
      <c r="C4" s="21">
        <v>2</v>
      </c>
      <c r="D4" s="2" t="str">
        <f>B4&amp;"_"&amp;C4</f>
        <v>30019_2</v>
      </c>
      <c r="E4" s="4" t="str">
        <f ca="1">VLOOKUP($B4,OFFSET([2]quests!$A$1,0,0,COUNTA([2]quests!$A:$A),MATCH(E$1,[2]quests!$1:$1,0)-MATCH($B$1,[2]quests!$1:$1,0)+1),MATCH(E$1,[2]quests!$1:$1,0)-MATCH($B$1,[2]quests!$1:$1,0)+1,FALSE)</f>
        <v>狙撃は終わらない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【超絶級】狙撃は終わらない</v>
      </c>
      <c r="G4" s="21">
        <v>4</v>
      </c>
      <c r="H4" s="15" t="str">
        <f>B4&amp;"_"&amp;C4&amp;"-"&amp;G4</f>
        <v>30019_2-4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457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京速射絶 ユヅル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5">
        <v>1.8</v>
      </c>
      <c r="U4" s="25">
        <v>1.1000000000000001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7">
        <v>30019003</v>
      </c>
      <c r="Y4" s="4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 activeCell="B24" sqref="B2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52" style="49" hidden="1" customWidth="1" outlineLevel="1"/>
    <col min="7" max="7" width="18.33203125" style="49" hidden="1" customWidth="1" outlineLevel="1"/>
    <col min="8" max="10" width="18.6640625" style="49" hidden="1" customWidth="1" outlineLevel="1"/>
    <col min="11" max="11" width="23.6640625" style="49" customWidth="1" collapsed="1"/>
    <col min="12" max="17" width="23.6640625" style="49" hidden="1" customWidth="1" outlineLevel="1"/>
    <col min="18" max="18" width="23.6640625" style="49" customWidth="1" collapsed="1"/>
    <col min="19" max="23" width="23.6640625" style="49" hidden="1" customWidth="1" outlineLevel="1"/>
    <col min="24" max="24" width="23.6640625" style="49" customWidth="1" collapsed="1"/>
    <col min="25" max="25" width="44.1640625" style="49" bestFit="1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1" t="s">
        <v>132</v>
      </c>
      <c r="G1" s="41" t="s">
        <v>138</v>
      </c>
      <c r="H1" s="41" t="s">
        <v>140</v>
      </c>
      <c r="I1" s="41" t="s">
        <v>139</v>
      </c>
      <c r="J1" s="41" t="s">
        <v>141</v>
      </c>
      <c r="K1" s="41" t="s">
        <v>133</v>
      </c>
      <c r="L1" s="41" t="s">
        <v>131</v>
      </c>
      <c r="M1" s="41" t="s">
        <v>134</v>
      </c>
      <c r="N1" s="41" t="s">
        <v>142</v>
      </c>
      <c r="O1" s="41" t="s">
        <v>143</v>
      </c>
      <c r="P1" s="41" t="s">
        <v>144</v>
      </c>
      <c r="Q1" s="41" t="s">
        <v>145</v>
      </c>
      <c r="R1" s="41" t="s">
        <v>135</v>
      </c>
      <c r="S1" s="41" t="s">
        <v>136</v>
      </c>
      <c r="T1" s="41" t="s">
        <v>146</v>
      </c>
      <c r="U1" s="41" t="s">
        <v>147</v>
      </c>
      <c r="V1" s="41" t="s">
        <v>148</v>
      </c>
      <c r="W1" s="41" t="s">
        <v>149</v>
      </c>
      <c r="X1" s="41" t="s">
        <v>137</v>
      </c>
      <c r="Y1" s="40" t="s">
        <v>83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75">
        <v>30019001</v>
      </c>
      <c r="B2" s="47" t="s">
        <v>183</v>
      </c>
      <c r="C2" s="50">
        <v>3</v>
      </c>
      <c r="D2" s="50" t="s">
        <v>127</v>
      </c>
      <c r="E2" s="51" t="s">
        <v>228</v>
      </c>
      <c r="F2" s="63" t="str">
        <f>IFERROR(LEFT(B2,FIND("],",B2)),B2)</f>
        <v>[effect:damage_anti_tribe, target:unit_all, tribe:machine, val1:1.0, val2:0.2]</v>
      </c>
      <c r="G2" s="63">
        <f>FIND("effect:",F2)+7</f>
        <v>9</v>
      </c>
      <c r="H2" s="63">
        <f>IFERROR(FIND(",",F2),LEN(F2))</f>
        <v>26</v>
      </c>
      <c r="I2" s="63">
        <f>FIND("target:",F2)+7</f>
        <v>35</v>
      </c>
      <c r="J2" s="63">
        <f>FIND(",",F2,H2+1)</f>
        <v>43</v>
      </c>
      <c r="K2" s="63" t="str">
        <f>IFERROR(VLOOKUP(MID(F2,I2,J2-I2),[6]skilldef!$C:$D,2,FALSE),"-") &amp; " / " &amp; IFERROR(VLOOKUP(MID(F2,G2,H2-G2),[6]skilldef!$A:$B,2,FALSE),"-")</f>
        <v>味方全体に / 種族キラー</v>
      </c>
      <c r="L2" s="63" t="str">
        <f>IFERROR(RIGHT(B2,LEN(B2)-FIND("],",B2)-1),"none")</f>
        <v>none</v>
      </c>
      <c r="M2" s="48" t="str">
        <f>IFERROR(LEFT(L2,FIND("],",L2)+R12),L2)</f>
        <v>none</v>
      </c>
      <c r="N2" s="63" t="e">
        <f>FIND("effect:",M2)+7</f>
        <v>#VALUE!</v>
      </c>
      <c r="O2" s="63">
        <f>IFERROR(FIND(",",M2),LEN(M2))</f>
        <v>4</v>
      </c>
      <c r="P2" s="63" t="e">
        <f>FIND("target:",M2)+7</f>
        <v>#VALUE!</v>
      </c>
      <c r="Q2" s="63" t="e">
        <f>FIND(",",M2,O2+1)</f>
        <v>#VALUE!</v>
      </c>
      <c r="R2" s="63" t="str">
        <f>IFERROR(VLOOKUP(MID(M2,P2,Q2-P2),[6]skilldef!$C:$D,2,FALSE),"-") &amp; " / " &amp; IFERROR(VLOOKUP(MID(M2,N2,O2-N2),[6]skilldef!$A:$B,2,FALSE),"-")</f>
        <v>- / -</v>
      </c>
      <c r="S2" s="48" t="str">
        <f>IFERROR(RIGHT(L2,LEN(L2)-FIND("],",L2)-1),"none")</f>
        <v>none</v>
      </c>
      <c r="T2" s="63" t="e">
        <f>FIND("effect:",S2)+7</f>
        <v>#VALUE!</v>
      </c>
      <c r="U2" s="63">
        <f>IFERROR(FIND(",",S2),LEN(S2))</f>
        <v>4</v>
      </c>
      <c r="V2" s="63" t="e">
        <f>FIND("target:",S2)+7</f>
        <v>#VALUE!</v>
      </c>
      <c r="W2" s="63" t="e">
        <f>FIND(",",S2,U2+1)</f>
        <v>#VALUE!</v>
      </c>
      <c r="X2" s="63" t="str">
        <f>IFERROR(VLOOKUP(MID(S2,V2,W2-V2),[6]skilldef!$C:$D,2,FALSE),"-") &amp; " / " &amp; IFERROR(VLOOKUP(MID(S2,T2,U2-T2),[6]skilldef!$A:$B,2,FALSE),"-")</f>
        <v>- / -</v>
      </c>
      <c r="Y2" s="47" t="s">
        <v>182</v>
      </c>
      <c r="Z2" s="50"/>
      <c r="AA2" s="52"/>
      <c r="AB2" s="50"/>
    </row>
    <row r="3" spans="1:28" ht="21" customHeight="1" x14ac:dyDescent="0.15">
      <c r="A3" s="75">
        <v>30019002</v>
      </c>
      <c r="B3" s="47" t="s">
        <v>315</v>
      </c>
      <c r="C3" s="50">
        <v>3</v>
      </c>
      <c r="D3" s="50" t="s">
        <v>127</v>
      </c>
      <c r="E3" s="47" t="s">
        <v>226</v>
      </c>
      <c r="F3" s="47" t="s">
        <v>181</v>
      </c>
      <c r="G3" s="63" t="e">
        <f>FIND("effect:",F3)+7</f>
        <v>#VALUE!</v>
      </c>
      <c r="H3" s="63">
        <f>IFERROR(FIND(",",F3),LEN(F3))</f>
        <v>20</v>
      </c>
      <c r="I3" s="63" t="e">
        <f>FIND("target:",F3)+7</f>
        <v>#VALUE!</v>
      </c>
      <c r="J3" s="63" t="e">
        <f>FIND(",",F3,H3+1)</f>
        <v>#VALUE!</v>
      </c>
      <c r="K3" s="63" t="str">
        <f>IFERROR(VLOOKUP(MID(F3,I3,J3-I3),[6]skilldef!$C:$D,2,FALSE),"-") &amp; " / " &amp; IFERROR(VLOOKUP(MID(F3,G3,H3-G3),[6]skilldef!$A:$B,2,FALSE),"-")</f>
        <v>- / -</v>
      </c>
      <c r="L3" s="63" t="str">
        <f>IFERROR(RIGHT(B3,LEN(B3)-FIND("],",B3)-1),"none")</f>
        <v>[effect:spread, val:0.25]</v>
      </c>
      <c r="M3" s="48" t="str">
        <f>IFERROR(LEFT(L3,FIND("],",L3)+R13),L3)</f>
        <v>[effect:spread, val:0.25]</v>
      </c>
      <c r="N3" s="63">
        <f>FIND("effect:",M3)+7</f>
        <v>9</v>
      </c>
      <c r="O3" s="63">
        <f>IFERROR(FIND(",",M3),LEN(M3))</f>
        <v>15</v>
      </c>
      <c r="P3" s="63" t="e">
        <f>FIND("target:",M3)+7</f>
        <v>#VALUE!</v>
      </c>
      <c r="Q3" s="63" t="e">
        <f>FIND(",",M3,O3+1)</f>
        <v>#VALUE!</v>
      </c>
      <c r="R3" s="63" t="str">
        <f>IFERROR(VLOOKUP(MID(M3,P3,Q3-P3),[6]skilldef!$C:$D,2,FALSE),"-") &amp; " / " &amp; IFERROR(VLOOKUP(MID(M3,N3,O3-N3),[6]skilldef!$A:$B,2,FALSE),"-")</f>
        <v>- / 全体攻撃</v>
      </c>
      <c r="S3" s="48" t="str">
        <f>IFERROR(RIGHT(L3,LEN(L3)-FIND("],",L3)-1),"none")</f>
        <v>none</v>
      </c>
      <c r="T3" s="63" t="e">
        <f>FIND("effect:",S3)+7</f>
        <v>#VALUE!</v>
      </c>
      <c r="U3" s="63">
        <f>IFERROR(FIND(",",S3),LEN(S3))</f>
        <v>4</v>
      </c>
      <c r="V3" s="63" t="e">
        <f>FIND("target:",S3)+7</f>
        <v>#VALUE!</v>
      </c>
      <c r="W3" s="63" t="e">
        <f>FIND(",",S3,U3+1)</f>
        <v>#VALUE!</v>
      </c>
      <c r="X3" s="63" t="str">
        <f>IFERROR(VLOOKUP(MID(S3,V3,W3-V3),[6]skilldef!$C:$D,2,FALSE),"-") &amp; " / " &amp; IFERROR(VLOOKUP(MID(S3,T3,U3-T3),[6]skilldef!$A:$B,2,FALSE),"-")</f>
        <v>- / -</v>
      </c>
      <c r="Y3" s="51" t="s">
        <v>320</v>
      </c>
      <c r="Z3" s="50"/>
      <c r="AA3" s="52"/>
      <c r="AB3" s="50"/>
    </row>
    <row r="4" spans="1:28" ht="21" customHeight="1" x14ac:dyDescent="0.15">
      <c r="A4" s="75">
        <v>30019003</v>
      </c>
      <c r="B4" s="47" t="s">
        <v>316</v>
      </c>
      <c r="C4" s="50">
        <v>3</v>
      </c>
      <c r="D4" s="50" t="s">
        <v>127</v>
      </c>
      <c r="E4" s="51" t="s">
        <v>224</v>
      </c>
      <c r="F4" s="63" t="str">
        <f t="shared" ref="F4:F16" si="0">IFERROR(LEFT(B4,FIND("],",B4)),B4)</f>
        <v>[effect:sleep, target:unit_one, turn:3, rate:1.0, animation:enemy_sleep]</v>
      </c>
      <c r="G4" s="63">
        <f t="shared" ref="G4:G16" si="1">FIND("effect:",F4)+7</f>
        <v>9</v>
      </c>
      <c r="H4" s="63">
        <f t="shared" ref="H4:H16" si="2">IFERROR(FIND(",",F4),LEN(F4))</f>
        <v>14</v>
      </c>
      <c r="I4" s="63">
        <f t="shared" ref="I4:I16" si="3">FIND("target:",F4)+7</f>
        <v>23</v>
      </c>
      <c r="J4" s="63">
        <f t="shared" ref="J4:J16" si="4">FIND(",",F4,H4+1)</f>
        <v>31</v>
      </c>
      <c r="K4" s="63" t="str">
        <f>IFERROR(VLOOKUP(MID(F4,I4,J4-I4),[6]skilldef!$C:$D,2,FALSE),"-") &amp; " / " &amp; IFERROR(VLOOKUP(MID(F4,G4,H4-G4),[6]skilldef!$A:$B,2,FALSE),"-")</f>
        <v>味方単体に / スリープ</v>
      </c>
      <c r="L4" s="63" t="str">
        <f t="shared" ref="L4:L16" si="5">IFERROR(RIGHT(B4,LEN(B4)-FIND("],",B4)-1),"none")</f>
        <v>[effect:spread, val:0.25]</v>
      </c>
      <c r="M4" s="48" t="str">
        <f t="shared" ref="M4:M6" si="6">IFERROR(LEFT(L4,FIND("],",L4)+R14),L4)</f>
        <v>[effect:spread, val:0.25]</v>
      </c>
      <c r="N4" s="63">
        <f t="shared" ref="N4:N16" si="7">FIND("effect:",M4)+7</f>
        <v>9</v>
      </c>
      <c r="O4" s="63">
        <f t="shared" ref="O4:O16" si="8">IFERROR(FIND(",",M4),LEN(M4))</f>
        <v>15</v>
      </c>
      <c r="P4" s="63" t="e">
        <f t="shared" ref="P4:P16" si="9">FIND("target:",M4)+7</f>
        <v>#VALUE!</v>
      </c>
      <c r="Q4" s="63" t="e">
        <f t="shared" ref="Q4:Q16" si="10">FIND(",",M4,O4+1)</f>
        <v>#VALUE!</v>
      </c>
      <c r="R4" s="63" t="str">
        <f>IFERROR(VLOOKUP(MID(M4,P4,Q4-P4),[6]skilldef!$C:$D,2,FALSE),"-") &amp; " / " &amp; IFERROR(VLOOKUP(MID(M4,N4,O4-N4),[6]skilldef!$A:$B,2,FALSE),"-")</f>
        <v>- / 全体攻撃</v>
      </c>
      <c r="S4" s="48" t="str">
        <f t="shared" ref="S4:S16" si="11">IFERROR(RIGHT(L4,LEN(L4)-FIND("],",L4)-1),"none")</f>
        <v>none</v>
      </c>
      <c r="T4" s="63" t="e">
        <f t="shared" ref="T4:T16" si="12">FIND("effect:",S4)+7</f>
        <v>#VALUE!</v>
      </c>
      <c r="U4" s="63">
        <f t="shared" ref="U4:U16" si="13">IFERROR(FIND(",",S4),LEN(S4))</f>
        <v>4</v>
      </c>
      <c r="V4" s="63" t="e">
        <f t="shared" ref="V4:V16" si="14">FIND("target:",S4)+7</f>
        <v>#VALUE!</v>
      </c>
      <c r="W4" s="63" t="e">
        <f t="shared" ref="W4:W16" si="15">FIND(",",S4,U4+1)</f>
        <v>#VALUE!</v>
      </c>
      <c r="X4" s="63" t="str">
        <f>IFERROR(VLOOKUP(MID(S4,V4,W4-V4),[6]skilldef!$C:$D,2,FALSE),"-") &amp; " / " &amp; IFERROR(VLOOKUP(MID(S4,T4,U4-T4),[6]skilldef!$A:$B,2,FALSE),"-")</f>
        <v>- / -</v>
      </c>
      <c r="Y4" s="47" t="s">
        <v>314</v>
      </c>
      <c r="Z4" s="50"/>
      <c r="AA4" s="52"/>
      <c r="AB4" s="50"/>
    </row>
    <row r="5" spans="1:28" ht="21" customHeight="1" x14ac:dyDescent="0.15">
      <c r="A5" s="75">
        <v>30019004</v>
      </c>
      <c r="B5" s="47" t="s">
        <v>317</v>
      </c>
      <c r="C5" s="50">
        <v>3</v>
      </c>
      <c r="D5" s="50" t="s">
        <v>127</v>
      </c>
      <c r="E5" s="51" t="s">
        <v>227</v>
      </c>
      <c r="F5" s="63" t="str">
        <f t="shared" si="0"/>
        <v>[effect:degrade_unit, target:unit_one, turn:3, status:heal, val:0.5, calc:mul]</v>
      </c>
      <c r="G5" s="63">
        <f t="shared" si="1"/>
        <v>9</v>
      </c>
      <c r="H5" s="63">
        <f t="shared" si="2"/>
        <v>21</v>
      </c>
      <c r="I5" s="63">
        <f t="shared" si="3"/>
        <v>30</v>
      </c>
      <c r="J5" s="63">
        <f t="shared" si="4"/>
        <v>38</v>
      </c>
      <c r="K5" s="63" t="str">
        <f>IFERROR(VLOOKUP(MID(F5,I5,J5-I5),[6]skilldef!$C:$D,2,FALSE),"-") &amp; " / " &amp; IFERROR(VLOOKUP(MID(F5,G5,H5-G5),[6]skilldef!$A:$B,2,FALSE),"-")</f>
        <v>味方単体に / ステータスDOWN</v>
      </c>
      <c r="L5" s="63" t="str">
        <f t="shared" si="5"/>
        <v>[effect:spread, val:0.25]</v>
      </c>
      <c r="M5" s="48" t="str">
        <f t="shared" si="6"/>
        <v>[effect:spread, val:0.25]</v>
      </c>
      <c r="N5" s="63">
        <f t="shared" si="7"/>
        <v>9</v>
      </c>
      <c r="O5" s="63">
        <f t="shared" si="8"/>
        <v>15</v>
      </c>
      <c r="P5" s="63" t="e">
        <f t="shared" si="9"/>
        <v>#VALUE!</v>
      </c>
      <c r="Q5" s="63" t="e">
        <f t="shared" si="10"/>
        <v>#VALUE!</v>
      </c>
      <c r="R5" s="63" t="str">
        <f>IFERROR(VLOOKUP(MID(M5,P5,Q5-P5),[6]skilldef!$C:$D,2,FALSE),"-") &amp; " / " &amp; IFERROR(VLOOKUP(MID(M5,N5,O5-N5),[6]skilldef!$A:$B,2,FALSE),"-")</f>
        <v>- / 全体攻撃</v>
      </c>
      <c r="S5" s="48" t="str">
        <f t="shared" si="11"/>
        <v>none</v>
      </c>
      <c r="T5" s="63" t="e">
        <f t="shared" si="12"/>
        <v>#VALUE!</v>
      </c>
      <c r="U5" s="63">
        <f t="shared" si="13"/>
        <v>4</v>
      </c>
      <c r="V5" s="63" t="e">
        <f t="shared" si="14"/>
        <v>#VALUE!</v>
      </c>
      <c r="W5" s="63" t="e">
        <f t="shared" si="15"/>
        <v>#VALUE!</v>
      </c>
      <c r="X5" s="63" t="str">
        <f>IFERROR(VLOOKUP(MID(S5,V5,W5-V5),[6]skilldef!$C:$D,2,FALSE),"-") &amp; " / " &amp; IFERROR(VLOOKUP(MID(S5,T5,U5-T5),[6]skilldef!$A:$B,2,FALSE),"-")</f>
        <v>- / -</v>
      </c>
      <c r="Y5" s="51" t="s">
        <v>313</v>
      </c>
      <c r="Z5" s="50"/>
      <c r="AA5" s="52"/>
      <c r="AB5" s="50"/>
    </row>
    <row r="6" spans="1:28" ht="21" customHeight="1" x14ac:dyDescent="0.15">
      <c r="A6" s="75">
        <v>30019005</v>
      </c>
      <c r="B6" s="47" t="s">
        <v>318</v>
      </c>
      <c r="C6" s="50">
        <v>3</v>
      </c>
      <c r="D6" s="50" t="s">
        <v>127</v>
      </c>
      <c r="E6" s="51" t="s">
        <v>225</v>
      </c>
      <c r="F6" s="63" t="str">
        <f t="shared" si="0"/>
        <v>[effect:virus, turn:2, rate:1.0, val:0.15, animation:enemy_virus]</v>
      </c>
      <c r="G6" s="63">
        <f t="shared" si="1"/>
        <v>9</v>
      </c>
      <c r="H6" s="63">
        <f t="shared" si="2"/>
        <v>14</v>
      </c>
      <c r="I6" s="63" t="e">
        <f t="shared" si="3"/>
        <v>#VALUE!</v>
      </c>
      <c r="J6" s="63">
        <f t="shared" si="4"/>
        <v>22</v>
      </c>
      <c r="K6" s="63" t="str">
        <f>IFERROR(VLOOKUP(MID(F6,I6,J6-I6),[6]skilldef!$C:$D,2,FALSE),"-") &amp; " / " &amp; IFERROR(VLOOKUP(MID(F6,G6,H6-G6),[6]skilldef!$A:$B,2,FALSE),"-")</f>
        <v>- / ウィルス</v>
      </c>
      <c r="L6" s="63" t="str">
        <f t="shared" si="5"/>
        <v>[effect:spread, val:0.25]</v>
      </c>
      <c r="M6" s="48" t="str">
        <f t="shared" si="6"/>
        <v>[effect:spread, val:0.25]</v>
      </c>
      <c r="N6" s="63">
        <f t="shared" si="7"/>
        <v>9</v>
      </c>
      <c r="O6" s="63">
        <f t="shared" si="8"/>
        <v>15</v>
      </c>
      <c r="P6" s="63" t="e">
        <f t="shared" si="9"/>
        <v>#VALUE!</v>
      </c>
      <c r="Q6" s="63" t="e">
        <f t="shared" si="10"/>
        <v>#VALUE!</v>
      </c>
      <c r="R6" s="63" t="str">
        <f>IFERROR(VLOOKUP(MID(M6,P6,Q6-P6),[6]skilldef!$C:$D,2,FALSE),"-") &amp; " / " &amp; IFERROR(VLOOKUP(MID(M6,N6,O6-N6),[6]skilldef!$A:$B,2,FALSE),"-")</f>
        <v>- / 全体攻撃</v>
      </c>
      <c r="S6" s="48" t="str">
        <f t="shared" si="11"/>
        <v>none</v>
      </c>
      <c r="T6" s="63" t="e">
        <f t="shared" si="12"/>
        <v>#VALUE!</v>
      </c>
      <c r="U6" s="63">
        <f t="shared" si="13"/>
        <v>4</v>
      </c>
      <c r="V6" s="63" t="e">
        <f t="shared" si="14"/>
        <v>#VALUE!</v>
      </c>
      <c r="W6" s="63" t="e">
        <f t="shared" si="15"/>
        <v>#VALUE!</v>
      </c>
      <c r="X6" s="63" t="str">
        <f>IFERROR(VLOOKUP(MID(S6,V6,W6-V6),[6]skilldef!$C:$D,2,FALSE),"-") &amp; " / " &amp; IFERROR(VLOOKUP(MID(S6,T6,U6-T6),[6]skilldef!$A:$B,2,FALSE),"-")</f>
        <v>- / -</v>
      </c>
      <c r="Y6" s="51" t="s">
        <v>319</v>
      </c>
      <c r="Z6" s="50"/>
      <c r="AA6" s="52"/>
      <c r="AB6" s="50"/>
    </row>
    <row r="7" spans="1:28" ht="21" customHeight="1" x14ac:dyDescent="0.15">
      <c r="A7" s="75">
        <v>30019006</v>
      </c>
      <c r="B7" s="47" t="s">
        <v>215</v>
      </c>
      <c r="C7" s="50">
        <v>3</v>
      </c>
      <c r="D7" s="50" t="s">
        <v>127</v>
      </c>
      <c r="E7" s="51" t="s">
        <v>240</v>
      </c>
      <c r="F7" s="63" t="str">
        <f t="shared" si="0"/>
        <v>[effect:rush, count:13, val:0.2]</v>
      </c>
      <c r="G7" s="63">
        <f t="shared" si="1"/>
        <v>9</v>
      </c>
      <c r="H7" s="63">
        <f t="shared" si="2"/>
        <v>13</v>
      </c>
      <c r="I7" s="63" t="e">
        <f t="shared" si="3"/>
        <v>#VALUE!</v>
      </c>
      <c r="J7" s="63">
        <f t="shared" si="4"/>
        <v>23</v>
      </c>
      <c r="K7" s="63" t="str">
        <f>IFERROR(VLOOKUP(MID(F7,I7,J7-I7),[6]skilldef!$C:$D,2,FALSE),"-") &amp; " / " &amp; IFERROR(VLOOKUP(MID(F7,G7,H7-G7),[6]skilldef!$A:$B,2,FALSE),"-")</f>
        <v>- / 連続攻撃</v>
      </c>
      <c r="L7" s="63" t="str">
        <f t="shared" si="5"/>
        <v>none</v>
      </c>
      <c r="M7" s="48" t="str">
        <f>IFERROR(LEFT(L7,FIND("],",L7)+#REF!),L7)</f>
        <v>none</v>
      </c>
      <c r="N7" s="63" t="e">
        <f t="shared" si="7"/>
        <v>#VALUE!</v>
      </c>
      <c r="O7" s="63">
        <f t="shared" si="8"/>
        <v>4</v>
      </c>
      <c r="P7" s="63" t="e">
        <f t="shared" si="9"/>
        <v>#VALUE!</v>
      </c>
      <c r="Q7" s="63" t="e">
        <f t="shared" si="10"/>
        <v>#VALUE!</v>
      </c>
      <c r="R7" s="63" t="str">
        <f>IFERROR(VLOOKUP(MID(M7,P7,Q7-P7),[6]skilldef!$C:$D,2,FALSE),"-") &amp; " / " &amp; IFERROR(VLOOKUP(MID(M7,N7,O7-N7),[6]skilldef!$A:$B,2,FALSE),"-")</f>
        <v>- / -</v>
      </c>
      <c r="S7" s="48" t="str">
        <f t="shared" si="11"/>
        <v>none</v>
      </c>
      <c r="T7" s="63" t="e">
        <f t="shared" si="12"/>
        <v>#VALUE!</v>
      </c>
      <c r="U7" s="63">
        <f t="shared" si="13"/>
        <v>4</v>
      </c>
      <c r="V7" s="63" t="e">
        <f t="shared" si="14"/>
        <v>#VALUE!</v>
      </c>
      <c r="W7" s="63" t="e">
        <f t="shared" si="15"/>
        <v>#VALUE!</v>
      </c>
      <c r="X7" s="63" t="str">
        <f>IFERROR(VLOOKUP(MID(S7,V7,W7-V7),[6]skilldef!$C:$D,2,FALSE),"-") &amp; " / " &amp; IFERROR(VLOOKUP(MID(S7,T7,U7-T7),[6]skilldef!$A:$B,2,FALSE),"-")</f>
        <v>- / -</v>
      </c>
      <c r="Y7" s="51" t="s">
        <v>216</v>
      </c>
      <c r="Z7" s="50"/>
      <c r="AA7" s="52"/>
      <c r="AB7" s="50"/>
    </row>
    <row r="8" spans="1:28" ht="21" customHeight="1" x14ac:dyDescent="0.15">
      <c r="A8" s="75">
        <v>30019007</v>
      </c>
      <c r="B8" s="47" t="s">
        <v>223</v>
      </c>
      <c r="C8" s="50">
        <v>3</v>
      </c>
      <c r="D8" s="50" t="s">
        <v>127</v>
      </c>
      <c r="E8" s="51" t="s">
        <v>239</v>
      </c>
      <c r="F8" s="63" t="str">
        <f t="shared" si="0"/>
        <v>[effect:fix_speed, target:myself, turn:1]</v>
      </c>
      <c r="G8" s="63">
        <f t="shared" si="1"/>
        <v>9</v>
      </c>
      <c r="H8" s="63">
        <f t="shared" si="2"/>
        <v>18</v>
      </c>
      <c r="I8" s="63">
        <f t="shared" si="3"/>
        <v>27</v>
      </c>
      <c r="J8" s="63">
        <f t="shared" si="4"/>
        <v>33</v>
      </c>
      <c r="K8" s="63" t="str">
        <f>IFERROR(VLOOKUP(MID(F8,I8,J8-I8),[6]skilldef!$C:$D,2,FALSE),"-") &amp; " / " &amp; IFERROR(VLOOKUP(MID(F8,G8,H8-G8),[6]skilldef!$A:$B,2,FALSE),"-")</f>
        <v>自分自身に / 行動値設定</v>
      </c>
      <c r="L8" s="63" t="str">
        <f t="shared" si="5"/>
        <v>[effect:degrade_unit, target:unit_all, turn:1, status:attack, val:1.0, calc:mul]</v>
      </c>
      <c r="M8" s="48" t="str">
        <f>IFERROR(LEFT(L8,FIND("],",L8)+#REF!),L8)</f>
        <v>[effect:degrade_unit, target:unit_all, turn:1, status:attack, val:1.0, calc:mul]</v>
      </c>
      <c r="N8" s="63">
        <f t="shared" si="7"/>
        <v>9</v>
      </c>
      <c r="O8" s="63">
        <f t="shared" si="8"/>
        <v>21</v>
      </c>
      <c r="P8" s="63">
        <f t="shared" si="9"/>
        <v>30</v>
      </c>
      <c r="Q8" s="63">
        <f t="shared" si="10"/>
        <v>38</v>
      </c>
      <c r="R8" s="63" t="str">
        <f>IFERROR(VLOOKUP(MID(M8,P8,Q8-P8),[6]skilldef!$C:$D,2,FALSE),"-") &amp; " / " &amp; IFERROR(VLOOKUP(MID(M8,N8,O8-N8),[6]skilldef!$A:$B,2,FALSE),"-")</f>
        <v>味方全体に / ステータスDOWN</v>
      </c>
      <c r="S8" s="48" t="str">
        <f t="shared" si="11"/>
        <v>none</v>
      </c>
      <c r="T8" s="63" t="e">
        <f t="shared" si="12"/>
        <v>#VALUE!</v>
      </c>
      <c r="U8" s="63">
        <f t="shared" si="13"/>
        <v>4</v>
      </c>
      <c r="V8" s="63" t="e">
        <f t="shared" si="14"/>
        <v>#VALUE!</v>
      </c>
      <c r="W8" s="63" t="e">
        <f t="shared" si="15"/>
        <v>#VALUE!</v>
      </c>
      <c r="X8" s="63" t="str">
        <f>IFERROR(VLOOKUP(MID(S8,V8,W8-V8),[6]skilldef!$C:$D,2,FALSE),"-") &amp; " / " &amp; IFERROR(VLOOKUP(MID(S8,T8,U8-T8),[6]skilldef!$A:$B,2,FALSE),"-")</f>
        <v>- / -</v>
      </c>
      <c r="Y8" s="51" t="s">
        <v>321</v>
      </c>
      <c r="Z8" s="50"/>
      <c r="AA8" s="52"/>
      <c r="AB8" s="50"/>
    </row>
    <row r="9" spans="1:28" ht="21" customHeight="1" x14ac:dyDescent="0.15">
      <c r="A9" s="75">
        <v>30019008</v>
      </c>
      <c r="B9" s="47" t="s">
        <v>188</v>
      </c>
      <c r="C9" s="50">
        <v>3</v>
      </c>
      <c r="D9" s="50" t="s">
        <v>127</v>
      </c>
      <c r="E9" s="51" t="s">
        <v>233</v>
      </c>
      <c r="F9" s="63" t="str">
        <f t="shared" si="0"/>
        <v>[effect:kamikaze, val:0.6, animation:enemy_kamikaze]</v>
      </c>
      <c r="G9" s="63">
        <f t="shared" si="1"/>
        <v>9</v>
      </c>
      <c r="H9" s="63">
        <f t="shared" si="2"/>
        <v>17</v>
      </c>
      <c r="I9" s="63" t="e">
        <f t="shared" si="3"/>
        <v>#VALUE!</v>
      </c>
      <c r="J9" s="63">
        <f t="shared" si="4"/>
        <v>26</v>
      </c>
      <c r="K9" s="63" t="str">
        <f>IFERROR(VLOOKUP(MID(F9,I9,J9-I9),[6]skilldef!$C:$D,2,FALSE),"-") &amp; " / " &amp; IFERROR(VLOOKUP(MID(F9,G9,H9-G9),[6]skilldef!$A:$B,2,FALSE),"-")</f>
        <v>- / 自爆</v>
      </c>
      <c r="L9" s="63" t="str">
        <f t="shared" si="5"/>
        <v>none</v>
      </c>
      <c r="M9" s="48" t="str">
        <f>IFERROR(LEFT(L9,FIND("],",L9)+#REF!),L9)</f>
        <v>none</v>
      </c>
      <c r="N9" s="63" t="e">
        <f t="shared" si="7"/>
        <v>#VALUE!</v>
      </c>
      <c r="O9" s="63">
        <f t="shared" si="8"/>
        <v>4</v>
      </c>
      <c r="P9" s="63" t="e">
        <f t="shared" si="9"/>
        <v>#VALUE!</v>
      </c>
      <c r="Q9" s="63" t="e">
        <f t="shared" si="10"/>
        <v>#VALUE!</v>
      </c>
      <c r="R9" s="63" t="str">
        <f>IFERROR(VLOOKUP(MID(M9,P9,Q9-P9),[6]skilldef!$C:$D,2,FALSE),"-") &amp; " / " &amp; IFERROR(VLOOKUP(MID(M9,N9,O9-N9),[6]skilldef!$A:$B,2,FALSE),"-")</f>
        <v>- / -</v>
      </c>
      <c r="S9" s="48" t="str">
        <f t="shared" si="11"/>
        <v>none</v>
      </c>
      <c r="T9" s="63" t="e">
        <f t="shared" si="12"/>
        <v>#VALUE!</v>
      </c>
      <c r="U9" s="63">
        <f t="shared" si="13"/>
        <v>4</v>
      </c>
      <c r="V9" s="63" t="e">
        <f t="shared" si="14"/>
        <v>#VALUE!</v>
      </c>
      <c r="W9" s="63" t="e">
        <f t="shared" si="15"/>
        <v>#VALUE!</v>
      </c>
      <c r="X9" s="63" t="str">
        <f>IFERROR(VLOOKUP(MID(S9,V9,W9-V9),[6]skilldef!$C:$D,2,FALSE),"-") &amp; " / " &amp; IFERROR(VLOOKUP(MID(S9,T9,U9-T9),[6]skilldef!$A:$B,2,FALSE),"-")</f>
        <v>- / -</v>
      </c>
      <c r="Y9" s="51" t="s">
        <v>235</v>
      </c>
      <c r="Z9" s="50"/>
      <c r="AA9" s="52"/>
      <c r="AB9" s="50"/>
    </row>
    <row r="10" spans="1:28" ht="21" customHeight="1" x14ac:dyDescent="0.15">
      <c r="A10" s="75">
        <v>30019009</v>
      </c>
      <c r="B10" s="47" t="s">
        <v>189</v>
      </c>
      <c r="C10" s="50">
        <v>3</v>
      </c>
      <c r="D10" s="50" t="s">
        <v>127</v>
      </c>
      <c r="E10" s="51" t="s">
        <v>236</v>
      </c>
      <c r="F10" s="63" t="str">
        <f t="shared" si="0"/>
        <v>[effect:kamikaze, val:0.7, animation:enemy_kamikaze]</v>
      </c>
      <c r="G10" s="63">
        <f t="shared" si="1"/>
        <v>9</v>
      </c>
      <c r="H10" s="63">
        <f t="shared" si="2"/>
        <v>17</v>
      </c>
      <c r="I10" s="63" t="e">
        <f t="shared" si="3"/>
        <v>#VALUE!</v>
      </c>
      <c r="J10" s="63">
        <f t="shared" si="4"/>
        <v>26</v>
      </c>
      <c r="K10" s="63" t="str">
        <f>IFERROR(VLOOKUP(MID(F10,I10,J10-I10),[6]skilldef!$C:$D,2,FALSE),"-") &amp; " / " &amp; IFERROR(VLOOKUP(MID(F10,G10,H10-G10),[6]skilldef!$A:$B,2,FALSE),"-")</f>
        <v>- / 自爆</v>
      </c>
      <c r="L10" s="63" t="str">
        <f t="shared" si="5"/>
        <v>none</v>
      </c>
      <c r="M10" s="48" t="str">
        <f t="shared" ref="M10:M16" si="16">IFERROR(LEFT(L10,FIND("],",L10)+R18),L10)</f>
        <v>none</v>
      </c>
      <c r="N10" s="63" t="e">
        <f t="shared" si="7"/>
        <v>#VALUE!</v>
      </c>
      <c r="O10" s="63">
        <f t="shared" si="8"/>
        <v>4</v>
      </c>
      <c r="P10" s="63" t="e">
        <f t="shared" si="9"/>
        <v>#VALUE!</v>
      </c>
      <c r="Q10" s="63" t="e">
        <f t="shared" si="10"/>
        <v>#VALUE!</v>
      </c>
      <c r="R10" s="63" t="str">
        <f>IFERROR(VLOOKUP(MID(M10,P10,Q10-P10),[6]skilldef!$C:$D,2,FALSE),"-") &amp; " / " &amp; IFERROR(VLOOKUP(MID(M10,N10,O10-N10),[6]skilldef!$A:$B,2,FALSE),"-")</f>
        <v>- / -</v>
      </c>
      <c r="S10" s="48" t="str">
        <f t="shared" si="11"/>
        <v>none</v>
      </c>
      <c r="T10" s="63" t="e">
        <f t="shared" si="12"/>
        <v>#VALUE!</v>
      </c>
      <c r="U10" s="63">
        <f t="shared" si="13"/>
        <v>4</v>
      </c>
      <c r="V10" s="63" t="e">
        <f t="shared" si="14"/>
        <v>#VALUE!</v>
      </c>
      <c r="W10" s="63" t="e">
        <f t="shared" si="15"/>
        <v>#VALUE!</v>
      </c>
      <c r="X10" s="63" t="str">
        <f>IFERROR(VLOOKUP(MID(S10,V10,W10-V10),[6]skilldef!$C:$D,2,FALSE),"-") &amp; " / " &amp; IFERROR(VLOOKUP(MID(S10,T10,U10-T10),[6]skilldef!$A:$B,2,FALSE),"-")</f>
        <v>- / -</v>
      </c>
      <c r="Y10" s="51" t="s">
        <v>237</v>
      </c>
      <c r="Z10" s="50"/>
      <c r="AA10" s="52"/>
      <c r="AB10" s="50"/>
    </row>
    <row r="11" spans="1:28" ht="21" customHeight="1" x14ac:dyDescent="0.15">
      <c r="A11" s="75">
        <v>30019010</v>
      </c>
      <c r="B11" s="76" t="s">
        <v>214</v>
      </c>
      <c r="C11" s="50">
        <v>3</v>
      </c>
      <c r="D11" s="50" t="s">
        <v>127</v>
      </c>
      <c r="E11" s="51" t="s">
        <v>241</v>
      </c>
      <c r="F11" s="63" t="str">
        <f t="shared" si="0"/>
        <v>[effect:critical, val:3.0, animation:enemy_critical]</v>
      </c>
      <c r="G11" s="63">
        <f t="shared" si="1"/>
        <v>9</v>
      </c>
      <c r="H11" s="63">
        <f t="shared" si="2"/>
        <v>17</v>
      </c>
      <c r="I11" s="63" t="e">
        <f t="shared" si="3"/>
        <v>#VALUE!</v>
      </c>
      <c r="J11" s="63">
        <f t="shared" si="4"/>
        <v>26</v>
      </c>
      <c r="K11" s="63" t="str">
        <f>IFERROR(VLOOKUP(MID(F11,I11,J11-I11),[6]skilldef!$C:$D,2,FALSE),"-") &amp; " / " &amp; IFERROR(VLOOKUP(MID(F11,G11,H11-G11),[6]skilldef!$A:$B,2,FALSE),"-")</f>
        <v>- / 大攻撃</v>
      </c>
      <c r="L11" s="63" t="str">
        <f t="shared" si="5"/>
        <v>none</v>
      </c>
      <c r="M11" s="48" t="str">
        <f t="shared" si="16"/>
        <v>none</v>
      </c>
      <c r="N11" s="63" t="e">
        <f t="shared" si="7"/>
        <v>#VALUE!</v>
      </c>
      <c r="O11" s="63">
        <f t="shared" si="8"/>
        <v>4</v>
      </c>
      <c r="P11" s="63" t="e">
        <f t="shared" si="9"/>
        <v>#VALUE!</v>
      </c>
      <c r="Q11" s="63" t="e">
        <f t="shared" si="10"/>
        <v>#VALUE!</v>
      </c>
      <c r="R11" s="63" t="str">
        <f>IFERROR(VLOOKUP(MID(M11,P11,Q11-P11),[6]skilldef!$C:$D,2,FALSE),"-") &amp; " / " &amp; IFERROR(VLOOKUP(MID(M11,N11,O11-N11),[6]skilldef!$A:$B,2,FALSE),"-")</f>
        <v>- / -</v>
      </c>
      <c r="S11" s="48" t="str">
        <f t="shared" si="11"/>
        <v>none</v>
      </c>
      <c r="T11" s="63" t="e">
        <f t="shared" si="12"/>
        <v>#VALUE!</v>
      </c>
      <c r="U11" s="63">
        <f t="shared" si="13"/>
        <v>4</v>
      </c>
      <c r="V11" s="63" t="e">
        <f t="shared" si="14"/>
        <v>#VALUE!</v>
      </c>
      <c r="W11" s="63" t="e">
        <f t="shared" si="15"/>
        <v>#VALUE!</v>
      </c>
      <c r="X11" s="63" t="str">
        <f>IFERROR(VLOOKUP(MID(S11,V11,W11-V11),[6]skilldef!$C:$D,2,FALSE),"-") &amp; " / " &amp; IFERROR(VLOOKUP(MID(S11,T11,U11-T11),[6]skilldef!$A:$B,2,FALSE),"-")</f>
        <v>- / -</v>
      </c>
      <c r="Y11" s="51" t="s">
        <v>238</v>
      </c>
      <c r="Z11" s="50"/>
      <c r="AA11" s="52"/>
      <c r="AB11" s="50"/>
    </row>
    <row r="12" spans="1:28" ht="21" customHeight="1" x14ac:dyDescent="0.15">
      <c r="A12" s="75">
        <v>30019011</v>
      </c>
      <c r="B12" s="47" t="s">
        <v>220</v>
      </c>
      <c r="C12" s="50">
        <v>3</v>
      </c>
      <c r="D12" s="50" t="s">
        <v>127</v>
      </c>
      <c r="E12" s="51" t="s">
        <v>229</v>
      </c>
      <c r="F12" s="63" t="str">
        <f t="shared" si="0"/>
        <v>[effect:fix_speed, target:myself, turn:2]</v>
      </c>
      <c r="G12" s="63">
        <f t="shared" si="1"/>
        <v>9</v>
      </c>
      <c r="H12" s="63">
        <f t="shared" si="2"/>
        <v>18</v>
      </c>
      <c r="I12" s="63">
        <f t="shared" si="3"/>
        <v>27</v>
      </c>
      <c r="J12" s="63">
        <f t="shared" si="4"/>
        <v>33</v>
      </c>
      <c r="K12" s="63" t="str">
        <f>IFERROR(VLOOKUP(MID(F12,I12,J12-I12),[6]skilldef!$C:$D,2,FALSE),"-") &amp; " / " &amp; IFERROR(VLOOKUP(MID(F12,G12,H12-G12),[6]skilldef!$A:$B,2,FALSE),"-")</f>
        <v>自分自身に / 行動値設定</v>
      </c>
      <c r="L12" s="63" t="str">
        <f t="shared" si="5"/>
        <v>none</v>
      </c>
      <c r="M12" s="48" t="str">
        <f t="shared" si="16"/>
        <v>none</v>
      </c>
      <c r="N12" s="63" t="e">
        <f t="shared" si="7"/>
        <v>#VALUE!</v>
      </c>
      <c r="O12" s="63">
        <f t="shared" si="8"/>
        <v>4</v>
      </c>
      <c r="P12" s="63" t="e">
        <f t="shared" si="9"/>
        <v>#VALUE!</v>
      </c>
      <c r="Q12" s="63" t="e">
        <f t="shared" si="10"/>
        <v>#VALUE!</v>
      </c>
      <c r="R12" s="63" t="str">
        <f>IFERROR(VLOOKUP(MID(M12,P12,Q12-P12),[6]skilldef!$C:$D,2,FALSE),"-") &amp; " / " &amp; IFERROR(VLOOKUP(MID(M12,N12,O12-N12),[6]skilldef!$A:$B,2,FALSE),"-")</f>
        <v>- / -</v>
      </c>
      <c r="S12" s="48" t="str">
        <f t="shared" si="11"/>
        <v>none</v>
      </c>
      <c r="T12" s="63" t="e">
        <f t="shared" si="12"/>
        <v>#VALUE!</v>
      </c>
      <c r="U12" s="63">
        <f t="shared" si="13"/>
        <v>4</v>
      </c>
      <c r="V12" s="63" t="e">
        <f t="shared" si="14"/>
        <v>#VALUE!</v>
      </c>
      <c r="W12" s="63" t="e">
        <f t="shared" si="15"/>
        <v>#VALUE!</v>
      </c>
      <c r="X12" s="63" t="str">
        <f>IFERROR(VLOOKUP(MID(S12,V12,W12-V12),[6]skilldef!$C:$D,2,FALSE),"-") &amp; " / " &amp; IFERROR(VLOOKUP(MID(S12,T12,U12-T12),[6]skilldef!$A:$B,2,FALSE),"-")</f>
        <v>- / -</v>
      </c>
      <c r="Y12" s="51" t="s">
        <v>230</v>
      </c>
      <c r="Z12" s="50"/>
      <c r="AA12" s="52"/>
      <c r="AB12" s="50"/>
    </row>
    <row r="13" spans="1:28" ht="21" customHeight="1" x14ac:dyDescent="0.15">
      <c r="A13" s="75">
        <v>30019012</v>
      </c>
      <c r="B13" s="104" t="s">
        <v>219</v>
      </c>
      <c r="C13" s="50">
        <v>3</v>
      </c>
      <c r="D13" s="50" t="s">
        <v>127</v>
      </c>
      <c r="E13" s="51" t="s">
        <v>234</v>
      </c>
      <c r="F13" s="63" t="str">
        <f t="shared" si="0"/>
        <v>[effect:fix_speed, target:myself, turn:2]</v>
      </c>
      <c r="G13" s="63">
        <f t="shared" si="1"/>
        <v>9</v>
      </c>
      <c r="H13" s="63">
        <f t="shared" si="2"/>
        <v>18</v>
      </c>
      <c r="I13" s="63">
        <f t="shared" si="3"/>
        <v>27</v>
      </c>
      <c r="J13" s="63">
        <f t="shared" si="4"/>
        <v>33</v>
      </c>
      <c r="K13" s="63" t="str">
        <f>IFERROR(VLOOKUP(MID(F13,I13,J13-I13),[6]skilldef!$C:$D,2,FALSE),"-") &amp; " / " &amp; IFERROR(VLOOKUP(MID(F13,G13,H13-G13),[6]skilldef!$A:$B,2,FALSE),"-")</f>
        <v>自分自身に / 行動値設定</v>
      </c>
      <c r="L13" s="63" t="str">
        <f t="shared" si="5"/>
        <v>none</v>
      </c>
      <c r="M13" s="48" t="str">
        <f t="shared" si="16"/>
        <v>none</v>
      </c>
      <c r="N13" s="63" t="e">
        <f t="shared" si="7"/>
        <v>#VALUE!</v>
      </c>
      <c r="O13" s="63">
        <f t="shared" si="8"/>
        <v>4</v>
      </c>
      <c r="P13" s="63" t="e">
        <f t="shared" si="9"/>
        <v>#VALUE!</v>
      </c>
      <c r="Q13" s="63" t="e">
        <f t="shared" si="10"/>
        <v>#VALUE!</v>
      </c>
      <c r="R13" s="63" t="str">
        <f>IFERROR(VLOOKUP(MID(M13,P13,Q13-P13),[6]skilldef!$C:$D,2,FALSE),"-") &amp; " / " &amp; IFERROR(VLOOKUP(MID(M13,N13,O13-N13),[6]skilldef!$A:$B,2,FALSE),"-")</f>
        <v>- / -</v>
      </c>
      <c r="S13" s="48" t="str">
        <f t="shared" si="11"/>
        <v>none</v>
      </c>
      <c r="T13" s="63" t="e">
        <f t="shared" si="12"/>
        <v>#VALUE!</v>
      </c>
      <c r="U13" s="63">
        <f t="shared" si="13"/>
        <v>4</v>
      </c>
      <c r="V13" s="63" t="e">
        <f t="shared" si="14"/>
        <v>#VALUE!</v>
      </c>
      <c r="W13" s="63" t="e">
        <f t="shared" si="15"/>
        <v>#VALUE!</v>
      </c>
      <c r="X13" s="63" t="str">
        <f>IFERROR(VLOOKUP(MID(S13,V13,W13-V13),[6]skilldef!$C:$D,2,FALSE),"-") &amp; " / " &amp; IFERROR(VLOOKUP(MID(S13,T13,U13-T13),[6]skilldef!$A:$B,2,FALSE),"-")</f>
        <v>- / -</v>
      </c>
      <c r="Y13" s="51" t="s">
        <v>231</v>
      </c>
      <c r="Z13" s="50"/>
      <c r="AA13" s="52"/>
      <c r="AB13" s="50"/>
    </row>
    <row r="14" spans="1:28" ht="21" customHeight="1" x14ac:dyDescent="0.15">
      <c r="A14" s="75">
        <v>30019013</v>
      </c>
      <c r="B14" s="104" t="s">
        <v>222</v>
      </c>
      <c r="C14" s="50">
        <v>3</v>
      </c>
      <c r="D14" s="50" t="s">
        <v>127</v>
      </c>
      <c r="E14" s="51" t="s">
        <v>221</v>
      </c>
      <c r="F14" s="63" t="str">
        <f t="shared" si="0"/>
        <v>[effect:fix_speed, target:myself, turn:1]</v>
      </c>
      <c r="G14" s="63">
        <f t="shared" si="1"/>
        <v>9</v>
      </c>
      <c r="H14" s="63">
        <f t="shared" si="2"/>
        <v>18</v>
      </c>
      <c r="I14" s="63">
        <f t="shared" si="3"/>
        <v>27</v>
      </c>
      <c r="J14" s="63">
        <f t="shared" si="4"/>
        <v>33</v>
      </c>
      <c r="K14" s="63" t="str">
        <f>IFERROR(VLOOKUP(MID(F14,I14,J14-I14),[6]skilldef!$C:$D,2,FALSE),"-") &amp; " / " &amp; IFERROR(VLOOKUP(MID(F14,G14,H14-G14),[6]skilldef!$A:$B,2,FALSE),"-")</f>
        <v>自分自身に / 行動値設定</v>
      </c>
      <c r="L14" s="63" t="str">
        <f t="shared" si="5"/>
        <v>none</v>
      </c>
      <c r="M14" s="48" t="str">
        <f t="shared" si="16"/>
        <v>none</v>
      </c>
      <c r="N14" s="63" t="e">
        <f t="shared" si="7"/>
        <v>#VALUE!</v>
      </c>
      <c r="O14" s="63">
        <f t="shared" si="8"/>
        <v>4</v>
      </c>
      <c r="P14" s="63" t="e">
        <f t="shared" si="9"/>
        <v>#VALUE!</v>
      </c>
      <c r="Q14" s="63" t="e">
        <f t="shared" si="10"/>
        <v>#VALUE!</v>
      </c>
      <c r="R14" s="63" t="str">
        <f>IFERROR(VLOOKUP(MID(M14,P14,Q14-P14),[6]skilldef!$C:$D,2,FALSE),"-") &amp; " / " &amp; IFERROR(VLOOKUP(MID(M14,N14,O14-N14),[6]skilldef!$A:$B,2,FALSE),"-")</f>
        <v>- / -</v>
      </c>
      <c r="S14" s="48" t="str">
        <f t="shared" si="11"/>
        <v>none</v>
      </c>
      <c r="T14" s="63" t="e">
        <f t="shared" si="12"/>
        <v>#VALUE!</v>
      </c>
      <c r="U14" s="63">
        <f t="shared" si="13"/>
        <v>4</v>
      </c>
      <c r="V14" s="63" t="e">
        <f t="shared" si="14"/>
        <v>#VALUE!</v>
      </c>
      <c r="W14" s="63" t="e">
        <f t="shared" si="15"/>
        <v>#VALUE!</v>
      </c>
      <c r="X14" s="63" t="str">
        <f>IFERROR(VLOOKUP(MID(S14,V14,W14-V14),[6]skilldef!$C:$D,2,FALSE),"-") &amp; " / " &amp; IFERROR(VLOOKUP(MID(S14,T14,U14-T14),[6]skilldef!$A:$B,2,FALSE),"-")</f>
        <v>- / -</v>
      </c>
      <c r="Y14" s="51" t="s">
        <v>232</v>
      </c>
      <c r="Z14" s="50"/>
      <c r="AA14" s="52"/>
      <c r="AB14" s="50"/>
    </row>
    <row r="15" spans="1:28" ht="21" customHeight="1" x14ac:dyDescent="0.15">
      <c r="A15" s="47">
        <v>30019014</v>
      </c>
      <c r="B15" s="47" t="s">
        <v>184</v>
      </c>
      <c r="C15" s="50">
        <v>3</v>
      </c>
      <c r="D15" s="50" t="s">
        <v>127</v>
      </c>
      <c r="E15" s="51" t="s">
        <v>218</v>
      </c>
      <c r="F15" s="63" t="str">
        <f t="shared" si="0"/>
        <v>[effect:degrade_unit, target:unit_all, turn:3, status:action, val:1.0]</v>
      </c>
      <c r="G15" s="63">
        <f t="shared" si="1"/>
        <v>9</v>
      </c>
      <c r="H15" s="63">
        <f t="shared" si="2"/>
        <v>21</v>
      </c>
      <c r="I15" s="63">
        <f t="shared" si="3"/>
        <v>30</v>
      </c>
      <c r="J15" s="63">
        <f t="shared" si="4"/>
        <v>38</v>
      </c>
      <c r="K15" s="63" t="str">
        <f>IFERROR(VLOOKUP(MID(F15,I15,J15-I15),[6]skilldef!$C:$D,2,FALSE),"-") &amp; " / " &amp; IFERROR(VLOOKUP(MID(F15,G15,H15-G15),[6]skilldef!$A:$B,2,FALSE),"-")</f>
        <v>味方全体に / ステータスDOWN</v>
      </c>
      <c r="L15" s="63" t="str">
        <f t="shared" si="5"/>
        <v>none</v>
      </c>
      <c r="M15" s="48" t="str">
        <f t="shared" si="16"/>
        <v>none</v>
      </c>
      <c r="N15" s="63" t="e">
        <f t="shared" si="7"/>
        <v>#VALUE!</v>
      </c>
      <c r="O15" s="63">
        <f t="shared" si="8"/>
        <v>4</v>
      </c>
      <c r="P15" s="63" t="e">
        <f t="shared" si="9"/>
        <v>#VALUE!</v>
      </c>
      <c r="Q15" s="63" t="e">
        <f t="shared" si="10"/>
        <v>#VALUE!</v>
      </c>
      <c r="R15" s="63" t="str">
        <f>IFERROR(VLOOKUP(MID(M15,P15,Q15-P15),[6]skilldef!$C:$D,2,FALSE),"-") &amp; " / " &amp; IFERROR(VLOOKUP(MID(M15,N15,O15-N15),[6]skilldef!$A:$B,2,FALSE),"-")</f>
        <v>- / -</v>
      </c>
      <c r="S15" s="48" t="str">
        <f t="shared" si="11"/>
        <v>none</v>
      </c>
      <c r="T15" s="63" t="e">
        <f t="shared" si="12"/>
        <v>#VALUE!</v>
      </c>
      <c r="U15" s="63">
        <f t="shared" si="13"/>
        <v>4</v>
      </c>
      <c r="V15" s="63" t="e">
        <f t="shared" si="14"/>
        <v>#VALUE!</v>
      </c>
      <c r="W15" s="63" t="e">
        <f t="shared" si="15"/>
        <v>#VALUE!</v>
      </c>
      <c r="X15" s="63" t="str">
        <f>IFERROR(VLOOKUP(MID(S15,V15,W15-V15),[6]skilldef!$C:$D,2,FALSE),"-") &amp; " / " &amp; IFERROR(VLOOKUP(MID(S15,T15,U15-T15),[6]skilldef!$A:$B,2,FALSE),"-")</f>
        <v>- / -</v>
      </c>
      <c r="Y15" s="51" t="s">
        <v>185</v>
      </c>
      <c r="Z15" s="50"/>
      <c r="AA15" s="52"/>
      <c r="AB15" s="50"/>
    </row>
    <row r="16" spans="1:28" ht="21" customHeight="1" x14ac:dyDescent="0.15">
      <c r="A16" s="47">
        <v>30019015</v>
      </c>
      <c r="B16" s="77" t="s">
        <v>186</v>
      </c>
      <c r="C16" s="50">
        <v>3</v>
      </c>
      <c r="D16" s="50" t="s">
        <v>127</v>
      </c>
      <c r="E16" s="51" t="s">
        <v>217</v>
      </c>
      <c r="F16" s="63" t="str">
        <f t="shared" si="0"/>
        <v>[effect:freq_turn, target:myself, turn:-1, val:1, animation:enemy_freq_turn]</v>
      </c>
      <c r="G16" s="63">
        <f t="shared" si="1"/>
        <v>9</v>
      </c>
      <c r="H16" s="63">
        <f t="shared" si="2"/>
        <v>18</v>
      </c>
      <c r="I16" s="63">
        <f t="shared" si="3"/>
        <v>27</v>
      </c>
      <c r="J16" s="63">
        <f t="shared" si="4"/>
        <v>33</v>
      </c>
      <c r="K16" s="63" t="str">
        <f>IFERROR(VLOOKUP(MID(F16,I16,J16-I16),[6]skilldef!$C:$D,2,FALSE),"-") &amp; " / " &amp; IFERROR(VLOOKUP(MID(F16,G16,H16-G16),[6]skilldef!$A:$B,2,FALSE),"-")</f>
        <v>自分自身に / 攻撃頻度がUP</v>
      </c>
      <c r="L16" s="63" t="str">
        <f t="shared" si="5"/>
        <v>none</v>
      </c>
      <c r="M16" s="48" t="str">
        <f t="shared" si="16"/>
        <v>none</v>
      </c>
      <c r="N16" s="63" t="e">
        <f t="shared" si="7"/>
        <v>#VALUE!</v>
      </c>
      <c r="O16" s="63">
        <f t="shared" si="8"/>
        <v>4</v>
      </c>
      <c r="P16" s="63" t="e">
        <f t="shared" si="9"/>
        <v>#VALUE!</v>
      </c>
      <c r="Q16" s="63" t="e">
        <f t="shared" si="10"/>
        <v>#VALUE!</v>
      </c>
      <c r="R16" s="63" t="str">
        <f>IFERROR(VLOOKUP(MID(M16,P16,Q16-P16),[6]skilldef!$C:$D,2,FALSE),"-") &amp; " / " &amp; IFERROR(VLOOKUP(MID(M16,N16,O16-N16),[6]skilldef!$A:$B,2,FALSE),"-")</f>
        <v>- / -</v>
      </c>
      <c r="S16" s="48" t="str">
        <f t="shared" si="11"/>
        <v>none</v>
      </c>
      <c r="T16" s="63" t="e">
        <f t="shared" si="12"/>
        <v>#VALUE!</v>
      </c>
      <c r="U16" s="63">
        <f t="shared" si="13"/>
        <v>4</v>
      </c>
      <c r="V16" s="63" t="e">
        <f t="shared" si="14"/>
        <v>#VALUE!</v>
      </c>
      <c r="W16" s="63" t="e">
        <f t="shared" si="15"/>
        <v>#VALUE!</v>
      </c>
      <c r="X16" s="63" t="str">
        <f>IFERROR(VLOOKUP(MID(S16,V16,W16-V16),[6]skilldef!$C:$D,2,FALSE),"-") &amp; " / " &amp; IFERROR(VLOOKUP(MID(S16,T16,U16-T16),[6]skilldef!$A:$B,2,FALSE),"-")</f>
        <v>- / -</v>
      </c>
      <c r="Y16" s="51" t="s">
        <v>187</v>
      </c>
      <c r="Z16" s="50"/>
      <c r="AA16" s="52"/>
      <c r="AB16" s="50"/>
    </row>
    <row r="17" spans="1:28" ht="21" customHeight="1" x14ac:dyDescent="0.15">
      <c r="A17" s="47">
        <v>30019016</v>
      </c>
      <c r="B17" s="77" t="s">
        <v>242</v>
      </c>
      <c r="C17" s="50">
        <v>3</v>
      </c>
      <c r="D17" s="50" t="s">
        <v>127</v>
      </c>
      <c r="E17" s="51" t="s">
        <v>243</v>
      </c>
      <c r="F17" s="63"/>
      <c r="G17" s="63"/>
      <c r="H17" s="63"/>
      <c r="I17" s="63"/>
      <c r="J17" s="63"/>
      <c r="K17" s="63"/>
      <c r="L17" s="63"/>
      <c r="M17" s="48"/>
      <c r="N17" s="63"/>
      <c r="O17" s="63"/>
      <c r="P17" s="63"/>
      <c r="Q17" s="63"/>
      <c r="R17" s="63"/>
      <c r="S17" s="48"/>
      <c r="T17" s="63"/>
      <c r="U17" s="63"/>
      <c r="V17" s="63"/>
      <c r="W17" s="63"/>
      <c r="X17" s="63"/>
      <c r="Y17" s="51" t="s">
        <v>244</v>
      </c>
      <c r="Z17" s="50"/>
      <c r="AA17" s="52"/>
      <c r="AB17" s="50"/>
    </row>
    <row r="18" spans="1:28" ht="21" customHeight="1" x14ac:dyDescent="0.15">
      <c r="A18" s="75">
        <v>30019017</v>
      </c>
      <c r="B18" s="76" t="s">
        <v>214</v>
      </c>
      <c r="C18" s="50">
        <v>3</v>
      </c>
      <c r="D18" s="50" t="s">
        <v>127</v>
      </c>
      <c r="E18" s="51" t="s">
        <v>245</v>
      </c>
      <c r="F18" s="63" t="str">
        <f t="shared" ref="F18" si="17">IFERROR(LEFT(B18,FIND("],",B18)),B18)</f>
        <v>[effect:critical, val:3.0, animation:enemy_critical]</v>
      </c>
      <c r="G18" s="63">
        <f t="shared" ref="G18" si="18">FIND("effect:",F18)+7</f>
        <v>9</v>
      </c>
      <c r="H18" s="63">
        <f t="shared" ref="H18" si="19">IFERROR(FIND(",",F18),LEN(F18))</f>
        <v>17</v>
      </c>
      <c r="I18" s="63" t="e">
        <f t="shared" ref="I18" si="20">FIND("target:",F18)+7</f>
        <v>#VALUE!</v>
      </c>
      <c r="J18" s="63">
        <f t="shared" ref="J18" si="21">FIND(",",F18,H18+1)</f>
        <v>26</v>
      </c>
      <c r="K18" s="63" t="str">
        <f>IFERROR(VLOOKUP(MID(F18,I18,J18-I18),[6]skilldef!$C:$D,2,FALSE),"-") &amp; " / " &amp; IFERROR(VLOOKUP(MID(F18,G18,H18-G18),[6]skilldef!$A:$B,2,FALSE),"-")</f>
        <v>- / 大攻撃</v>
      </c>
      <c r="L18" s="63" t="str">
        <f t="shared" ref="L18" si="22">IFERROR(RIGHT(B18,LEN(B18)-FIND("],",B18)-1),"none")</f>
        <v>none</v>
      </c>
      <c r="M18" s="48" t="str">
        <f t="shared" ref="M18" si="23">IFERROR(LEFT(L18,FIND("],",L18)+R26),L18)</f>
        <v>none</v>
      </c>
      <c r="N18" s="63" t="e">
        <f t="shared" ref="N18" si="24">FIND("effect:",M18)+7</f>
        <v>#VALUE!</v>
      </c>
      <c r="O18" s="63">
        <f t="shared" ref="O18" si="25">IFERROR(FIND(",",M18),LEN(M18))</f>
        <v>4</v>
      </c>
      <c r="P18" s="63" t="e">
        <f t="shared" ref="P18" si="26">FIND("target:",M18)+7</f>
        <v>#VALUE!</v>
      </c>
      <c r="Q18" s="63" t="e">
        <f t="shared" ref="Q18" si="27">FIND(",",M18,O18+1)</f>
        <v>#VALUE!</v>
      </c>
      <c r="R18" s="63" t="str">
        <f>IFERROR(VLOOKUP(MID(M18,P18,Q18-P18),[6]skilldef!$C:$D,2,FALSE),"-") &amp; " / " &amp; IFERROR(VLOOKUP(MID(M18,N18,O18-N18),[6]skilldef!$A:$B,2,FALSE),"-")</f>
        <v>- / -</v>
      </c>
      <c r="S18" s="48" t="str">
        <f t="shared" ref="S18" si="28">IFERROR(RIGHT(L18,LEN(L18)-FIND("],",L18)-1),"none")</f>
        <v>none</v>
      </c>
      <c r="T18" s="63" t="e">
        <f t="shared" ref="T18" si="29">FIND("effect:",S18)+7</f>
        <v>#VALUE!</v>
      </c>
      <c r="U18" s="63">
        <f t="shared" ref="U18" si="30">IFERROR(FIND(",",S18),LEN(S18))</f>
        <v>4</v>
      </c>
      <c r="V18" s="63" t="e">
        <f t="shared" ref="V18" si="31">FIND("target:",S18)+7</f>
        <v>#VALUE!</v>
      </c>
      <c r="W18" s="63" t="e">
        <f t="shared" ref="W18" si="32">FIND(",",S18,U18+1)</f>
        <v>#VALUE!</v>
      </c>
      <c r="X18" s="63" t="str">
        <f>IFERROR(VLOOKUP(MID(S18,V18,W18-V18),[6]skilldef!$C:$D,2,FALSE),"-") &amp; " / " &amp; IFERROR(VLOOKUP(MID(S18,T18,U18-T18),[6]skilldef!$A:$B,2,FALSE),"-")</f>
        <v>- / -</v>
      </c>
      <c r="Y18" s="51" t="s">
        <v>236</v>
      </c>
      <c r="Z18" s="50"/>
      <c r="AA18" s="52"/>
      <c r="AB18" s="50"/>
    </row>
    <row r="19" spans="1:28" ht="21" customHeight="1" x14ac:dyDescent="0.15">
      <c r="A19" s="75">
        <v>30019018</v>
      </c>
      <c r="B19" s="76" t="s">
        <v>246</v>
      </c>
      <c r="C19" s="50">
        <v>3</v>
      </c>
      <c r="D19" s="50" t="s">
        <v>127</v>
      </c>
      <c r="E19" s="51" t="s">
        <v>247</v>
      </c>
      <c r="F19" s="63" t="str">
        <f t="shared" ref="F19" si="33">IFERROR(LEFT(B19,FIND("],",B19)),B19)</f>
        <v>[effect:rush, count:1, val:1.0]</v>
      </c>
      <c r="G19" s="63">
        <f t="shared" ref="G19" si="34">FIND("effect:",F19)+7</f>
        <v>9</v>
      </c>
      <c r="H19" s="63">
        <f t="shared" ref="H19" si="35">IFERROR(FIND(",",F19),LEN(F19))</f>
        <v>13</v>
      </c>
      <c r="I19" s="63" t="e">
        <f t="shared" ref="I19" si="36">FIND("target:",F19)+7</f>
        <v>#VALUE!</v>
      </c>
      <c r="J19" s="63">
        <f t="shared" ref="J19" si="37">FIND(",",F19,H19+1)</f>
        <v>22</v>
      </c>
      <c r="K19" s="63" t="str">
        <f>IFERROR(VLOOKUP(MID(F19,I19,J19-I19),[6]skilldef!$C:$D,2,FALSE),"-") &amp; " / " &amp; IFERROR(VLOOKUP(MID(F19,G19,H19-G19),[6]skilldef!$A:$B,2,FALSE),"-")</f>
        <v>- / 連続攻撃</v>
      </c>
      <c r="L19" s="63" t="str">
        <f t="shared" ref="L19" si="38">IFERROR(RIGHT(B19,LEN(B19)-FIND("],",B19)-1),"none")</f>
        <v>none</v>
      </c>
      <c r="M19" s="48" t="str">
        <f t="shared" ref="M19" si="39">IFERROR(LEFT(L19,FIND("],",L19)+R27),L19)</f>
        <v>none</v>
      </c>
      <c r="N19" s="63" t="e">
        <f t="shared" ref="N19" si="40">FIND("effect:",M19)+7</f>
        <v>#VALUE!</v>
      </c>
      <c r="O19" s="63">
        <f t="shared" ref="O19" si="41">IFERROR(FIND(",",M19),LEN(M19))</f>
        <v>4</v>
      </c>
      <c r="P19" s="63" t="e">
        <f t="shared" ref="P19" si="42">FIND("target:",M19)+7</f>
        <v>#VALUE!</v>
      </c>
      <c r="Q19" s="63" t="e">
        <f t="shared" ref="Q19" si="43">FIND(",",M19,O19+1)</f>
        <v>#VALUE!</v>
      </c>
      <c r="R19" s="63" t="str">
        <f>IFERROR(VLOOKUP(MID(M19,P19,Q19-P19),[6]skilldef!$C:$D,2,FALSE),"-") &amp; " / " &amp; IFERROR(VLOOKUP(MID(M19,N19,O19-N19),[6]skilldef!$A:$B,2,FALSE),"-")</f>
        <v>- / -</v>
      </c>
      <c r="S19" s="48" t="str">
        <f t="shared" ref="S19" si="44">IFERROR(RIGHT(L19,LEN(L19)-FIND("],",L19)-1),"none")</f>
        <v>none</v>
      </c>
      <c r="T19" s="63" t="e">
        <f t="shared" ref="T19" si="45">FIND("effect:",S19)+7</f>
        <v>#VALUE!</v>
      </c>
      <c r="U19" s="63">
        <f t="shared" ref="U19" si="46">IFERROR(FIND(",",S19),LEN(S19))</f>
        <v>4</v>
      </c>
      <c r="V19" s="63" t="e">
        <f t="shared" ref="V19" si="47">FIND("target:",S19)+7</f>
        <v>#VALUE!</v>
      </c>
      <c r="W19" s="63" t="e">
        <f t="shared" ref="W19" si="48">FIND(",",S19,U19+1)</f>
        <v>#VALUE!</v>
      </c>
      <c r="X19" s="63" t="str">
        <f>IFERROR(VLOOKUP(MID(S19,V19,W19-V19),[6]skilldef!$C:$D,2,FALSE),"-") &amp; " / " &amp; IFERROR(VLOOKUP(MID(S19,T19,U19-T19),[6]skilldef!$A:$B,2,FALSE),"-")</f>
        <v>- / -</v>
      </c>
      <c r="Y19" s="51" t="s">
        <v>248</v>
      </c>
      <c r="Z19" s="50"/>
      <c r="AA19" s="52"/>
      <c r="AB1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 activeCell="H15" sqref="H1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30019001</v>
      </c>
      <c r="B2" s="47">
        <v>0</v>
      </c>
      <c r="C2" s="47">
        <v>1</v>
      </c>
      <c r="D2" s="47">
        <v>30</v>
      </c>
      <c r="E2" s="47" t="s">
        <v>89</v>
      </c>
      <c r="F2" s="47" t="s">
        <v>89</v>
      </c>
      <c r="G2" s="47" t="s">
        <v>89</v>
      </c>
      <c r="H2" s="47" t="s">
        <v>53</v>
      </c>
      <c r="I2" s="47" t="s">
        <v>89</v>
      </c>
      <c r="J2" s="48">
        <f t="shared" ref="J2" si="0">D2</f>
        <v>30</v>
      </c>
    </row>
    <row r="3" spans="1:11" ht="21" customHeight="1" x14ac:dyDescent="0.15">
      <c r="A3" s="47">
        <v>30019002</v>
      </c>
      <c r="B3" s="47">
        <v>0</v>
      </c>
      <c r="C3" s="47">
        <v>2</v>
      </c>
      <c r="D3" s="47">
        <v>40</v>
      </c>
      <c r="E3" s="47" t="s">
        <v>89</v>
      </c>
      <c r="F3" s="47" t="s">
        <v>89</v>
      </c>
      <c r="G3" s="47">
        <v>2</v>
      </c>
      <c r="H3" s="47" t="s">
        <v>53</v>
      </c>
      <c r="I3" s="47" t="s">
        <v>89</v>
      </c>
      <c r="J3" s="48">
        <f t="shared" ref="J3:J4" si="1">D3</f>
        <v>40</v>
      </c>
    </row>
    <row r="4" spans="1:11" ht="21" customHeight="1" x14ac:dyDescent="0.15">
      <c r="A4" s="47">
        <v>30019003</v>
      </c>
      <c r="B4" s="47">
        <v>0</v>
      </c>
      <c r="C4" s="47">
        <v>2</v>
      </c>
      <c r="D4" s="47">
        <v>40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40</v>
      </c>
    </row>
    <row r="5" spans="1:11" ht="21" customHeight="1" x14ac:dyDescent="0.15">
      <c r="A5" s="47">
        <v>30019004</v>
      </c>
      <c r="B5" s="47">
        <v>0</v>
      </c>
      <c r="C5" s="47">
        <v>3</v>
      </c>
      <c r="D5" s="47">
        <v>100</v>
      </c>
      <c r="E5" s="47" t="s">
        <v>53</v>
      </c>
      <c r="F5" s="47" t="s">
        <v>53</v>
      </c>
      <c r="G5" s="47" t="s">
        <v>53</v>
      </c>
      <c r="H5" s="47">
        <v>5</v>
      </c>
      <c r="I5" s="47" t="s">
        <v>53</v>
      </c>
      <c r="J5" s="48">
        <f t="shared" ref="J5:J11" si="2">D5</f>
        <v>100</v>
      </c>
    </row>
    <row r="6" spans="1:11" ht="21" customHeight="1" x14ac:dyDescent="0.15">
      <c r="A6" s="47">
        <v>30019005</v>
      </c>
      <c r="B6" s="47">
        <v>1</v>
      </c>
      <c r="C6" s="47">
        <v>4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2"/>
        <v>100</v>
      </c>
    </row>
    <row r="7" spans="1:11" ht="21" customHeight="1" x14ac:dyDescent="0.15">
      <c r="A7" s="47">
        <v>30019006</v>
      </c>
      <c r="B7" s="47">
        <v>0</v>
      </c>
      <c r="C7" s="47">
        <v>3</v>
      </c>
      <c r="D7" s="47">
        <v>100</v>
      </c>
      <c r="E7" s="47" t="s">
        <v>53</v>
      </c>
      <c r="F7" s="47" t="s">
        <v>53</v>
      </c>
      <c r="G7" s="47" t="s">
        <v>53</v>
      </c>
      <c r="H7" s="47">
        <v>3</v>
      </c>
      <c r="I7" s="47" t="s">
        <v>53</v>
      </c>
      <c r="J7" s="48">
        <f t="shared" si="2"/>
        <v>100</v>
      </c>
    </row>
    <row r="8" spans="1:11" ht="21" customHeight="1" x14ac:dyDescent="0.15">
      <c r="A8" s="47">
        <v>30019007</v>
      </c>
      <c r="B8" s="47">
        <v>0</v>
      </c>
      <c r="C8" s="47">
        <v>1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100</v>
      </c>
    </row>
    <row r="9" spans="1:11" ht="21" customHeight="1" x14ac:dyDescent="0.15">
      <c r="A9" s="47">
        <v>30019008</v>
      </c>
      <c r="B9" s="47">
        <v>0</v>
      </c>
      <c r="C9" s="47">
        <v>2</v>
      </c>
      <c r="D9" s="47">
        <v>100</v>
      </c>
      <c r="E9" s="47">
        <v>50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2"/>
        <v>100</v>
      </c>
    </row>
    <row r="10" spans="1:11" ht="21" customHeight="1" x14ac:dyDescent="0.15">
      <c r="A10" s="47">
        <v>30019009</v>
      </c>
      <c r="B10" s="47">
        <v>0</v>
      </c>
      <c r="C10" s="47">
        <v>1</v>
      </c>
      <c r="D10" s="47">
        <v>50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2"/>
        <v>50</v>
      </c>
    </row>
    <row r="11" spans="1:11" ht="21" customHeight="1" x14ac:dyDescent="0.15">
      <c r="A11" s="47">
        <v>30019010</v>
      </c>
      <c r="B11" s="47">
        <v>0</v>
      </c>
      <c r="C11" s="47">
        <v>1</v>
      </c>
      <c r="D11" s="47">
        <v>50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2"/>
        <v>50</v>
      </c>
    </row>
    <row r="12" spans="1:11" ht="21" customHeight="1" x14ac:dyDescent="0.15">
      <c r="A12" s="47">
        <v>30019011</v>
      </c>
      <c r="B12" s="47">
        <v>0</v>
      </c>
      <c r="C12" s="47">
        <v>4</v>
      </c>
      <c r="D12" s="47">
        <v>100</v>
      </c>
      <c r="E12" s="47" t="s">
        <v>53</v>
      </c>
      <c r="F12" s="47" t="s">
        <v>53</v>
      </c>
      <c r="G12" s="47">
        <v>1</v>
      </c>
      <c r="H12" s="47">
        <v>2</v>
      </c>
      <c r="I12" s="47" t="s">
        <v>53</v>
      </c>
      <c r="J12" s="48">
        <f t="shared" ref="J12" si="3">D12</f>
        <v>100</v>
      </c>
    </row>
    <row r="13" spans="1:11" ht="21" customHeight="1" x14ac:dyDescent="0.15">
      <c r="A13" s="47">
        <v>30019012</v>
      </c>
      <c r="B13" s="47">
        <v>0</v>
      </c>
      <c r="C13" s="47">
        <v>4</v>
      </c>
      <c r="D13" s="47">
        <v>100</v>
      </c>
      <c r="E13" s="47" t="s">
        <v>53</v>
      </c>
      <c r="F13" s="47" t="s">
        <v>53</v>
      </c>
      <c r="G13" s="47">
        <v>1</v>
      </c>
      <c r="H13" s="47">
        <v>1</v>
      </c>
      <c r="I13" s="47" t="s">
        <v>53</v>
      </c>
      <c r="J13" s="48">
        <f t="shared" ref="J13" si="4">D13</f>
        <v>100</v>
      </c>
    </row>
  </sheetData>
  <autoFilter ref="A1:G1"/>
  <phoneticPr fontId="5"/>
  <conditionalFormatting sqref="K14:K1048576 K1:K2 K4 K6 K8 K10">
    <cfRule type="duplicateValues" dxfId="3" priority="6"/>
  </conditionalFormatting>
  <conditionalFormatting sqref="K3 K5 K7 K9 K11">
    <cfRule type="duplicateValues" dxfId="2" priority="12"/>
  </conditionalFormatting>
  <conditionalFormatting sqref="K12">
    <cfRule type="duplicateValues" dxfId="1" priority="2"/>
  </conditionalFormatting>
  <conditionalFormatting sqref="K1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pane xSplit="5" ySplit="1" topLeftCell="F2" activePane="bottomRight" state="frozen"/>
      <selection activeCell="F3" sqref="F3"/>
      <selection pane="topRight" activeCell="F3" sqref="F3"/>
      <selection pane="bottomLeft" activeCell="F3" sqref="F3"/>
      <selection pane="bottomRight" activeCell="J14" sqref="J1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30019001_30019001</v>
      </c>
      <c r="B2" s="78">
        <v>30019001</v>
      </c>
      <c r="C2" s="47">
        <v>30019001</v>
      </c>
      <c r="D2" s="46" t="str">
        <f>IFERROR(VLOOKUP(C2,enemy_skills!A:Y,4,FALSE),VLOOKUP(C2,[5]enemy_skills!$A:$E,4,FALSE))</f>
        <v>ja</v>
      </c>
      <c r="E2" s="46" t="str">
        <f>IFERROR(VLOOKUP(C2,enemy_skills!A:Y,5,FALSE),VLOOKUP(C2,[5]enemy_skills!$A:$E,5,FALSE))</f>
        <v>周波数妨害速射</v>
      </c>
      <c r="F2" s="47">
        <v>30019001</v>
      </c>
      <c r="G2" s="48">
        <f>VLOOKUP($F2,enemy_skill_triggers!$A:$J,2,FALSE)</f>
        <v>0</v>
      </c>
      <c r="H2" s="48">
        <f>VLOOKUP($F2,enemy_skill_triggers!$A:$J,3,FALSE)</f>
        <v>1</v>
      </c>
      <c r="I2" s="48">
        <f>VLOOKUP($F2,enemy_skill_triggers!$A:$J,4,FALSE)</f>
        <v>30</v>
      </c>
      <c r="J2" s="48" t="str">
        <f>VLOOKUP($F2,enemy_skill_triggers!$A:$J,5,FALSE)</f>
        <v>null</v>
      </c>
      <c r="K2" s="48" t="str">
        <f>VLOOKUP($F2,enemy_skill_triggers!$A:$J,6,FALSE)</f>
        <v>null</v>
      </c>
      <c r="L2" s="48" t="str">
        <f>VLOOKUP($F2,enemy_skill_triggers!$A:$J,7,FALSE)</f>
        <v>null</v>
      </c>
      <c r="M2" s="48" t="str">
        <f>VLOOKUP($F2,enemy_skill_triggers!$A:$J,8,FALSE)</f>
        <v>null</v>
      </c>
      <c r="N2" s="48" t="str">
        <f>VLOOKUP($F2,enemy_skill_triggers!$A:$J,9,FALSE)</f>
        <v>null</v>
      </c>
      <c r="O2" s="48">
        <f>VLOOKUP($F2,enemy_skill_triggers!$A:$J,10,FALSE)</f>
        <v>30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30019001_30019002</v>
      </c>
      <c r="B3" s="78">
        <v>30019001</v>
      </c>
      <c r="C3" s="47">
        <v>30019002</v>
      </c>
      <c r="D3" s="46" t="str">
        <f>IFERROR(VLOOKUP(C3,enemy_skills!A:Y,4,FALSE),VLOOKUP(C3,[5]enemy_skills!$A:$E,4,FALSE))</f>
        <v>ja</v>
      </c>
      <c r="E3" s="46" t="str">
        <f>IFERROR(VLOOKUP(C3,enemy_skills!A:Y,5,FALSE),VLOOKUP(C3,[5]enemy_skills!$A:$E,5,FALSE))</f>
        <v>脱力矢</v>
      </c>
      <c r="F3" s="47">
        <v>30019002</v>
      </c>
      <c r="G3" s="48">
        <f>VLOOKUP($F3,enemy_skill_triggers!$A:$J,2,FALSE)</f>
        <v>0</v>
      </c>
      <c r="H3" s="48">
        <f>VLOOKUP($F3,enemy_skill_triggers!$A:$J,3,FALSE)</f>
        <v>2</v>
      </c>
      <c r="I3" s="48">
        <f>VLOOKUP($F3,enemy_skill_triggers!$A:$J,4,FALSE)</f>
        <v>40</v>
      </c>
      <c r="J3" s="48" t="str">
        <f>VLOOKUP($F3,enemy_skill_triggers!$A:$J,5,FALSE)</f>
        <v>null</v>
      </c>
      <c r="K3" s="48" t="str">
        <f>VLOOKUP($F3,enemy_skill_triggers!$A:$J,6,FALSE)</f>
        <v>null</v>
      </c>
      <c r="L3" s="48">
        <f>VLOOKUP($F3,enemy_skill_triggers!$A:$J,7,FALSE)</f>
        <v>2</v>
      </c>
      <c r="M3" s="48" t="str">
        <f>VLOOKUP($F3,enemy_skill_triggers!$A:$J,8,FALSE)</f>
        <v>null</v>
      </c>
      <c r="N3" s="48" t="str">
        <f>VLOOKUP($F3,enemy_skill_triggers!$A:$J,9,FALSE)</f>
        <v>null</v>
      </c>
      <c r="O3" s="48">
        <f>VLOOKUP($F3,enemy_skill_triggers!$A:$J,10,FALSE)</f>
        <v>40</v>
      </c>
      <c r="P3" s="47"/>
      <c r="Q3" s="47"/>
      <c r="R3" s="47"/>
    </row>
    <row r="4" spans="1:18" ht="21" customHeight="1" x14ac:dyDescent="0.15">
      <c r="A4" s="39" t="str">
        <f t="shared" si="1"/>
        <v>30019001_30019003</v>
      </c>
      <c r="B4" s="78">
        <v>30019001</v>
      </c>
      <c r="C4" s="47">
        <v>30019003</v>
      </c>
      <c r="D4" s="46" t="str">
        <f>IFERROR(VLOOKUP(C4,enemy_skills!A:Y,4,FALSE),VLOOKUP(C4,[5]enemy_skills!$A:$E,4,FALSE))</f>
        <v>ja</v>
      </c>
      <c r="E4" s="46" t="str">
        <f>IFERROR(VLOOKUP(C4,enemy_skills!A:Y,5,FALSE),VLOOKUP(C4,[5]enemy_skills!$A:$E,5,FALSE))</f>
        <v>影縫い</v>
      </c>
      <c r="F4" s="47">
        <v>30019003</v>
      </c>
      <c r="G4" s="48">
        <f>VLOOKUP($F4,enemy_skill_triggers!$A:$J,2,FALSE)</f>
        <v>0</v>
      </c>
      <c r="H4" s="48">
        <f>VLOOKUP($F4,enemy_skill_triggers!$A:$J,3,FALSE)</f>
        <v>2</v>
      </c>
      <c r="I4" s="48">
        <f>VLOOKUP($F4,enemy_skill_triggers!$A:$J,4,FALSE)</f>
        <v>40</v>
      </c>
      <c r="J4" s="48" t="str">
        <f>VLOOKUP($F4,enemy_skill_triggers!$A:$J,5,FALSE)</f>
        <v>null</v>
      </c>
      <c r="K4" s="48" t="str">
        <f>VLOOKUP($F4,enemy_skill_triggers!$A:$J,6,FALSE)</f>
        <v>null</v>
      </c>
      <c r="L4" s="48">
        <f>VLOOKUP($F4,enemy_skill_triggers!$A:$J,7,FALSE)</f>
        <v>1</v>
      </c>
      <c r="M4" s="48" t="str">
        <f>VLOOKUP($F4,enemy_skill_triggers!$A:$J,8,FALSE)</f>
        <v>null</v>
      </c>
      <c r="N4" s="48" t="str">
        <f>VLOOKUP($F4,enemy_skill_triggers!$A:$J,9,FALSE)</f>
        <v>null</v>
      </c>
      <c r="O4" s="48">
        <f>VLOOKUP($F4,enemy_skill_triggers!$A:$J,10,FALSE)</f>
        <v>40</v>
      </c>
      <c r="P4" s="47"/>
      <c r="Q4" s="47"/>
      <c r="R4" s="47"/>
    </row>
    <row r="5" spans="1:18" ht="21" customHeight="1" x14ac:dyDescent="0.15">
      <c r="A5" s="39" t="str">
        <f t="shared" ref="A5:A8" si="2">B5&amp;"_"&amp;C5</f>
        <v>30019001_30019008</v>
      </c>
      <c r="B5" s="78">
        <v>30019001</v>
      </c>
      <c r="C5" s="47">
        <v>30019008</v>
      </c>
      <c r="D5" s="46" t="str">
        <f>IFERROR(VLOOKUP(C5,enemy_skills!A:Y,4,FALSE),VLOOKUP(C5,[5]enemy_skills!$A:$E,4,FALSE))</f>
        <v>ja</v>
      </c>
      <c r="E5" s="46" t="str">
        <f>IFERROR(VLOOKUP(C5,enemy_skills!A:Y,5,FALSE),VLOOKUP(C5,[5]enemy_skills!$A:$E,5,FALSE))</f>
        <v>「砕矢」の直撃を確認…</v>
      </c>
      <c r="F5" s="47">
        <v>30019004</v>
      </c>
      <c r="G5" s="48">
        <f>VLOOKUP($F5,enemy_skill_triggers!$A:$J,2,FALSE)</f>
        <v>0</v>
      </c>
      <c r="H5" s="48">
        <f>VLOOKUP($F5,enemy_skill_triggers!$A:$J,3,FALSE)</f>
        <v>3</v>
      </c>
      <c r="I5" s="48">
        <f>VLOOKUP($F5,enemy_skill_triggers!$A:$J,4,FALSE)</f>
        <v>100</v>
      </c>
      <c r="J5" s="48" t="str">
        <f>VLOOKUP($F5,enemy_skill_triggers!$A:$J,5,FALSE)</f>
        <v>null</v>
      </c>
      <c r="K5" s="48" t="str">
        <f>VLOOKUP($F5,enemy_skill_triggers!$A:$J,6,FALSE)</f>
        <v>null</v>
      </c>
      <c r="L5" s="48" t="str">
        <f>VLOOKUP($F5,enemy_skill_triggers!$A:$J,7,FALSE)</f>
        <v>null</v>
      </c>
      <c r="M5" s="48">
        <f>VLOOKUP($F5,enemy_skill_triggers!$A:$J,8,FALSE)</f>
        <v>5</v>
      </c>
      <c r="N5" s="48" t="str">
        <f>VLOOKUP($F5,enemy_skill_triggers!$A:$J,9,FALSE)</f>
        <v>null</v>
      </c>
      <c r="O5" s="48">
        <f>VLOOKUP($F5,enemy_skill_triggers!$A:$J,10,FALSE)</f>
        <v>100</v>
      </c>
      <c r="P5" s="47"/>
      <c r="Q5" s="47"/>
      <c r="R5" s="47"/>
    </row>
    <row r="6" spans="1:18" ht="21" customHeight="1" x14ac:dyDescent="0.15">
      <c r="A6" s="39" t="str">
        <f t="shared" si="2"/>
        <v>30019001_30019011</v>
      </c>
      <c r="B6" s="78">
        <v>30019001</v>
      </c>
      <c r="C6" s="47">
        <v>30019011</v>
      </c>
      <c r="D6" s="46" t="str">
        <f>IFERROR(VLOOKUP(C6,enemy_skills!A:Y,4,FALSE),VLOOKUP(C6,[5]enemy_skills!$A:$E,4,FALSE))</f>
        <v>ja</v>
      </c>
      <c r="E6" s="46" t="str">
        <f>IFERROR(VLOOKUP(C6,enemy_skills!A:Y,5,FALSE),VLOOKUP(C6,[5]enemy_skills!$A:$E,5,FALSE))</f>
        <v>コード456「砕矢」生成準備…</v>
      </c>
      <c r="F6" s="47">
        <v>30019005</v>
      </c>
      <c r="G6" s="48">
        <f>VLOOKUP($F6,enemy_skill_triggers!$A:$J,2,FALSE)</f>
        <v>1</v>
      </c>
      <c r="H6" s="48">
        <f>VLOOKUP($F6,enemy_skill_triggers!$A:$J,3,FALSE)</f>
        <v>4</v>
      </c>
      <c r="I6" s="48">
        <f>VLOOKUP($F6,enemy_skill_triggers!$A:$J,4,FALSE)</f>
        <v>100</v>
      </c>
      <c r="J6" s="48" t="str">
        <f>VLOOKUP($F6,enemy_skill_triggers!$A:$J,5,FALSE)</f>
        <v>null</v>
      </c>
      <c r="K6" s="48" t="str">
        <f>VLOOKUP($F6,enemy_skill_triggers!$A:$J,6,FALSE)</f>
        <v>null</v>
      </c>
      <c r="L6" s="48">
        <f>VLOOKUP($F6,enemy_skill_triggers!$A:$J,7,FALSE)</f>
        <v>1</v>
      </c>
      <c r="M6" s="48" t="str">
        <f>VLOOKUP($F6,enemy_skill_triggers!$A:$J,8,FALSE)</f>
        <v>null</v>
      </c>
      <c r="N6" s="48" t="str">
        <f>VLOOKUP($F6,enemy_skill_triggers!$A:$J,9,FALSE)</f>
        <v>null</v>
      </c>
      <c r="O6" s="48">
        <f>VLOOKUP($F6,enemy_skill_triggers!$A:$J,10,FALSE)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30019002_30019001</v>
      </c>
      <c r="B7" s="79">
        <v>30019002</v>
      </c>
      <c r="C7" s="47">
        <v>30019001</v>
      </c>
      <c r="D7" s="46" t="str">
        <f>IFERROR(VLOOKUP(C7,enemy_skills!A:Y,4,FALSE),VLOOKUP(C7,[5]enemy_skills!$A:$E,4,FALSE))</f>
        <v>ja</v>
      </c>
      <c r="E7" s="46" t="str">
        <f>IFERROR(VLOOKUP(C7,enemy_skills!A:Y,5,FALSE),VLOOKUP(C7,[5]enemy_skills!$A:$E,5,FALSE))</f>
        <v>周波数妨害速射</v>
      </c>
      <c r="F7" s="47">
        <v>30019001</v>
      </c>
      <c r="G7" s="48">
        <f>VLOOKUP($F7,enemy_skill_triggers!$A:$J,2,FALSE)</f>
        <v>0</v>
      </c>
      <c r="H7" s="48">
        <f>VLOOKUP($F7,enemy_skill_triggers!$A:$J,3,FALSE)</f>
        <v>1</v>
      </c>
      <c r="I7" s="48">
        <f>VLOOKUP($F7,enemy_skill_triggers!$A:$J,4,FALSE)</f>
        <v>30</v>
      </c>
      <c r="J7" s="48" t="str">
        <f>VLOOKUP($F7,enemy_skill_triggers!$A:$J,5,FALSE)</f>
        <v>null</v>
      </c>
      <c r="K7" s="48" t="str">
        <f>VLOOKUP($F7,enemy_skill_triggers!$A:$J,6,FALSE)</f>
        <v>null</v>
      </c>
      <c r="L7" s="48" t="str">
        <f>VLOOKUP($F7,enemy_skill_triggers!$A:$J,7,FALSE)</f>
        <v>null</v>
      </c>
      <c r="M7" s="48" t="str">
        <f>VLOOKUP($F7,enemy_skill_triggers!$A:$J,8,FALSE)</f>
        <v>null</v>
      </c>
      <c r="N7" s="48" t="str">
        <f>VLOOKUP($F7,enemy_skill_triggers!$A:$J,9,FALSE)</f>
        <v>null</v>
      </c>
      <c r="O7" s="48">
        <f>VLOOKUP($F7,enemy_skill_triggers!$A:$J,10,FALSE)</f>
        <v>30</v>
      </c>
      <c r="P7" s="47"/>
      <c r="Q7" s="47"/>
      <c r="R7" s="47"/>
    </row>
    <row r="8" spans="1:18" ht="21" customHeight="1" x14ac:dyDescent="0.15">
      <c r="A8" s="39" t="str">
        <f t="shared" si="2"/>
        <v>30019002_30019004</v>
      </c>
      <c r="B8" s="79">
        <v>30019002</v>
      </c>
      <c r="C8" s="47">
        <v>30019004</v>
      </c>
      <c r="D8" s="46" t="str">
        <f>IFERROR(VLOOKUP(C8,enemy_skills!A:Y,4,FALSE),VLOOKUP(C8,[5]enemy_skills!$A:$E,4,FALSE))</f>
        <v>ja</v>
      </c>
      <c r="E8" s="46" t="str">
        <f>IFERROR(VLOOKUP(C8,enemy_skills!A:Y,5,FALSE),VLOOKUP(C8,[5]enemy_skills!$A:$E,5,FALSE))</f>
        <v>衰弱矢</v>
      </c>
      <c r="F8" s="47">
        <v>30019002</v>
      </c>
      <c r="G8" s="48">
        <f>VLOOKUP($F8,enemy_skill_triggers!$A:$J,2,FALSE)</f>
        <v>0</v>
      </c>
      <c r="H8" s="48">
        <f>VLOOKUP($F8,enemy_skill_triggers!$A:$J,3,FALSE)</f>
        <v>2</v>
      </c>
      <c r="I8" s="48">
        <f>VLOOKUP($F8,enemy_skill_triggers!$A:$J,4,FALSE)</f>
        <v>40</v>
      </c>
      <c r="J8" s="48" t="str">
        <f>VLOOKUP($F8,enemy_skill_triggers!$A:$J,5,FALSE)</f>
        <v>null</v>
      </c>
      <c r="K8" s="48" t="str">
        <f>VLOOKUP($F8,enemy_skill_triggers!$A:$J,6,FALSE)</f>
        <v>null</v>
      </c>
      <c r="L8" s="48">
        <f>VLOOKUP($F8,enemy_skill_triggers!$A:$J,7,FALSE)</f>
        <v>2</v>
      </c>
      <c r="M8" s="48" t="str">
        <f>VLOOKUP($F8,enemy_skill_triggers!$A:$J,8,FALSE)</f>
        <v>null</v>
      </c>
      <c r="N8" s="48" t="str">
        <f>VLOOKUP($F8,enemy_skill_triggers!$A:$J,9,FALSE)</f>
        <v>null</v>
      </c>
      <c r="O8" s="48">
        <f>VLOOKUP($F8,enemy_skill_triggers!$A:$J,10,FALSE)</f>
        <v>40</v>
      </c>
      <c r="P8" s="47"/>
      <c r="Q8" s="47"/>
      <c r="R8" s="47"/>
    </row>
    <row r="9" spans="1:18" ht="21" customHeight="1" x14ac:dyDescent="0.15">
      <c r="A9" s="39" t="str">
        <f t="shared" ref="A9:A14" si="3">B9&amp;"_"&amp;C9</f>
        <v>30019002_30019005</v>
      </c>
      <c r="B9" s="79">
        <v>30019002</v>
      </c>
      <c r="C9" s="47">
        <v>30019005</v>
      </c>
      <c r="D9" s="46" t="str">
        <f>IFERROR(VLOOKUP(C9,enemy_skills!A:Y,4,FALSE),VLOOKUP(C9,[5]enemy_skills!$A:$E,4,FALSE))</f>
        <v>ja</v>
      </c>
      <c r="E9" s="46" t="str">
        <f>IFERROR(VLOOKUP(C9,enemy_skills!A:Y,5,FALSE),VLOOKUP(C9,[5]enemy_skills!$A:$E,5,FALSE))</f>
        <v>劇毒矢</v>
      </c>
      <c r="F9" s="47">
        <v>30019003</v>
      </c>
      <c r="G9" s="48">
        <f>VLOOKUP($F9,enemy_skill_triggers!$A:$J,2,FALSE)</f>
        <v>0</v>
      </c>
      <c r="H9" s="48">
        <f>VLOOKUP($F9,enemy_skill_triggers!$A:$J,3,FALSE)</f>
        <v>2</v>
      </c>
      <c r="I9" s="48">
        <f>VLOOKUP($F9,enemy_skill_triggers!$A:$J,4,FALSE)</f>
        <v>40</v>
      </c>
      <c r="J9" s="48" t="str">
        <f>VLOOKUP($F9,enemy_skill_triggers!$A:$J,5,FALSE)</f>
        <v>null</v>
      </c>
      <c r="K9" s="48" t="str">
        <f>VLOOKUP($F9,enemy_skill_triggers!$A:$J,6,FALSE)</f>
        <v>null</v>
      </c>
      <c r="L9" s="48">
        <f>VLOOKUP($F9,enemy_skill_triggers!$A:$J,7,FALSE)</f>
        <v>1</v>
      </c>
      <c r="M9" s="48" t="str">
        <f>VLOOKUP($F9,enemy_skill_triggers!$A:$J,8,FALSE)</f>
        <v>null</v>
      </c>
      <c r="N9" s="48" t="str">
        <f>VLOOKUP($F9,enemy_skill_triggers!$A:$J,9,FALSE)</f>
        <v>null</v>
      </c>
      <c r="O9" s="48">
        <f>VLOOKUP($F9,enemy_skill_triggers!$A:$J,10,FALSE)</f>
        <v>40</v>
      </c>
      <c r="P9" s="47"/>
      <c r="Q9" s="47"/>
      <c r="R9" s="47"/>
    </row>
    <row r="10" spans="1:18" ht="21" customHeight="1" x14ac:dyDescent="0.15">
      <c r="A10" s="39" t="str">
        <f t="shared" si="3"/>
        <v>30019002_30019009</v>
      </c>
      <c r="B10" s="79">
        <v>30019002</v>
      </c>
      <c r="C10" s="47">
        <v>30019009</v>
      </c>
      <c r="D10" s="46" t="str">
        <f>IFERROR(VLOOKUP(C10,enemy_skills!A:Y,4,FALSE),VLOOKUP(C10,[5]enemy_skills!$A:$E,4,FALSE))</f>
        <v>ja</v>
      </c>
      <c r="E10" s="46" t="str">
        <f>IFERROR(VLOOKUP(C10,enemy_skills!A:Y,5,FALSE),VLOOKUP(C10,[5]enemy_skills!$A:$E,5,FALSE))</f>
        <v>「剛矢」の直撃を確認…</v>
      </c>
      <c r="F10" s="47">
        <v>30019006</v>
      </c>
      <c r="G10" s="48">
        <f>VLOOKUP($F10,enemy_skill_triggers!$A:$J,2,FALSE)</f>
        <v>0</v>
      </c>
      <c r="H10" s="48">
        <f>VLOOKUP($F10,enemy_skill_triggers!$A:$J,3,FALSE)</f>
        <v>3</v>
      </c>
      <c r="I10" s="48">
        <f>VLOOKUP($F10,enemy_skill_triggers!$A:$J,4,FALSE)</f>
        <v>100</v>
      </c>
      <c r="J10" s="48" t="str">
        <f>VLOOKUP($F10,enemy_skill_triggers!$A:$J,5,FALSE)</f>
        <v>null</v>
      </c>
      <c r="K10" s="48" t="str">
        <f>VLOOKUP($F10,enemy_skill_triggers!$A:$J,6,FALSE)</f>
        <v>null</v>
      </c>
      <c r="L10" s="48" t="str">
        <f>VLOOKUP($F10,enemy_skill_triggers!$A:$J,7,FALSE)</f>
        <v>null</v>
      </c>
      <c r="M10" s="48">
        <f>VLOOKUP($F10,enemy_skill_triggers!$A:$J,8,FALSE)</f>
        <v>3</v>
      </c>
      <c r="N10" s="48" t="str">
        <f>VLOOKUP($F10,enemy_skill_triggers!$A:$J,9,FALSE)</f>
        <v>null</v>
      </c>
      <c r="O10" s="48">
        <f>VLOOKUP($F10,enemy_skill_triggers!$A:$J,10,FALSE)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30019002_30019012</v>
      </c>
      <c r="B11" s="79">
        <v>30019002</v>
      </c>
      <c r="C11" s="47">
        <v>30019012</v>
      </c>
      <c r="D11" s="46" t="str">
        <f>IFERROR(VLOOKUP(C11,enemy_skills!A:Y,4,FALSE),VLOOKUP(C11,[5]enemy_skills!$A:$E,4,FALSE))</f>
        <v>ja</v>
      </c>
      <c r="E11" s="46" t="str">
        <f>IFERROR(VLOOKUP(C11,enemy_skills!A:Y,5,FALSE),VLOOKUP(C11,[5]enemy_skills!$A:$E,5,FALSE))</f>
        <v>コード457「剛矢」生成準備…</v>
      </c>
      <c r="F11" s="47">
        <v>30019005</v>
      </c>
      <c r="G11" s="48">
        <f>VLOOKUP($F11,enemy_skill_triggers!$A:$J,2,FALSE)</f>
        <v>1</v>
      </c>
      <c r="H11" s="48">
        <f>VLOOKUP($F11,enemy_skill_triggers!$A:$J,3,FALSE)</f>
        <v>4</v>
      </c>
      <c r="I11" s="48">
        <f>VLOOKUP($F11,enemy_skill_triggers!$A:$J,4,FALSE)</f>
        <v>100</v>
      </c>
      <c r="J11" s="48" t="str">
        <f>VLOOKUP($F11,enemy_skill_triggers!$A:$J,5,FALSE)</f>
        <v>null</v>
      </c>
      <c r="K11" s="48" t="str">
        <f>VLOOKUP($F11,enemy_skill_triggers!$A:$J,6,FALSE)</f>
        <v>null</v>
      </c>
      <c r="L11" s="48">
        <f>VLOOKUP($F11,enemy_skill_triggers!$A:$J,7,FALSE)</f>
        <v>1</v>
      </c>
      <c r="M11" s="48" t="str">
        <f>VLOOKUP($F11,enemy_skill_triggers!$A:$J,8,FALSE)</f>
        <v>null</v>
      </c>
      <c r="N11" s="48" t="str">
        <f>VLOOKUP($F11,enemy_skill_triggers!$A:$J,9,FALSE)</f>
        <v>null</v>
      </c>
      <c r="O11" s="48">
        <f>VLOOKUP($F11,enemy_skill_triggers!$A:$J,10,FALSE)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30019003_30019007</v>
      </c>
      <c r="B12" s="80">
        <v>30019003</v>
      </c>
      <c r="C12" s="47">
        <v>30019007</v>
      </c>
      <c r="D12" s="46" t="str">
        <f>IFERROR(VLOOKUP(C12,enemy_skills!A:Y,4,FALSE),VLOOKUP(C12,[5]enemy_skills!$A:$E,4,FALSE))</f>
        <v>ja</v>
      </c>
      <c r="E12" s="46" t="str">
        <f>IFERROR(VLOOKUP(C12,enemy_skills!A:Y,5,FALSE),VLOOKUP(C12,[5]enemy_skills!$A:$E,5,FALSE))</f>
        <v>エネルギー吸収エリアに誘導完了…</v>
      </c>
      <c r="F12" s="47">
        <v>30019005</v>
      </c>
      <c r="G12" s="48">
        <f>VLOOKUP($F12,enemy_skill_triggers!$A:$J,2,FALSE)</f>
        <v>1</v>
      </c>
      <c r="H12" s="48">
        <f>VLOOKUP($F12,enemy_skill_triggers!$A:$J,3,FALSE)</f>
        <v>4</v>
      </c>
      <c r="I12" s="48">
        <f>VLOOKUP($F12,enemy_skill_triggers!$A:$J,4,FALSE)</f>
        <v>100</v>
      </c>
      <c r="J12" s="48" t="str">
        <f>VLOOKUP($F12,enemy_skill_triggers!$A:$J,5,FALSE)</f>
        <v>null</v>
      </c>
      <c r="K12" s="48" t="str">
        <f>VLOOKUP($F12,enemy_skill_triggers!$A:$J,6,FALSE)</f>
        <v>null</v>
      </c>
      <c r="L12" s="48">
        <f>VLOOKUP($F12,enemy_skill_triggers!$A:$J,7,FALSE)</f>
        <v>1</v>
      </c>
      <c r="M12" s="48" t="str">
        <f>VLOOKUP($F12,enemy_skill_triggers!$A:$J,8,FALSE)</f>
        <v>null</v>
      </c>
      <c r="N12" s="48" t="str">
        <f>VLOOKUP($F12,enemy_skill_triggers!$A:$J,9,FALSE)</f>
        <v>null</v>
      </c>
      <c r="O12" s="48">
        <f>VLOOKUP($F12,enemy_skill_triggers!$A:$J,10,FALSE)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30019003_30019006</v>
      </c>
      <c r="B13" s="80">
        <v>30019003</v>
      </c>
      <c r="C13" s="47">
        <v>30019006</v>
      </c>
      <c r="D13" s="46" t="str">
        <f>IFERROR(VLOOKUP(C13,enemy_skills!A:Y,4,FALSE),VLOOKUP(C13,[5]enemy_skills!$A:$E,4,FALSE))</f>
        <v>ja</v>
      </c>
      <c r="E13" s="46" t="str">
        <f>IFERROR(VLOOKUP(C13,enemy_skills!A:Y,5,FALSE),VLOOKUP(C13,[5]enemy_skills!$A:$E,5,FALSE))</f>
        <v>吸収エネルギー放出…</v>
      </c>
      <c r="F13" s="47">
        <v>30019007</v>
      </c>
      <c r="G13" s="48">
        <f>VLOOKUP($F13,enemy_skill_triggers!$A:$J,2,FALSE)</f>
        <v>0</v>
      </c>
      <c r="H13" s="48">
        <f>VLOOKUP($F13,enemy_skill_triggers!$A:$J,3,FALSE)</f>
        <v>1</v>
      </c>
      <c r="I13" s="48">
        <f>VLOOKUP($F13,enemy_skill_triggers!$A:$J,4,FALSE)</f>
        <v>100</v>
      </c>
      <c r="J13" s="48" t="str">
        <f>VLOOKUP($F13,enemy_skill_triggers!$A:$J,5,FALSE)</f>
        <v>null</v>
      </c>
      <c r="K13" s="48" t="str">
        <f>VLOOKUP($F13,enemy_skill_triggers!$A:$J,6,FALSE)</f>
        <v>null</v>
      </c>
      <c r="L13" s="48">
        <f>VLOOKUP($F13,enemy_skill_triggers!$A:$J,7,FALSE)</f>
        <v>1</v>
      </c>
      <c r="M13" s="48" t="str">
        <f>VLOOKUP($F13,enemy_skill_triggers!$A:$J,8,FALSE)</f>
        <v>null</v>
      </c>
      <c r="N13" s="48" t="str">
        <f>VLOOKUP($F13,enemy_skill_triggers!$A:$J,9,FALSE)</f>
        <v>null</v>
      </c>
      <c r="O13" s="48">
        <f>VLOOKUP($F13,enemy_skill_triggers!$A:$J,10,FALSE)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30019003_30019010</v>
      </c>
      <c r="B14" s="80">
        <v>30019003</v>
      </c>
      <c r="C14" s="47">
        <v>30019010</v>
      </c>
      <c r="D14" s="46" t="str">
        <f>IFERROR(VLOOKUP(C14,enemy_skills!A:Y,4,FALSE),VLOOKUP(C14,[5]enemy_skills!$A:$E,4,FALSE))</f>
        <v>ja</v>
      </c>
      <c r="E14" s="46" t="str">
        <f>IFERROR(VLOOKUP(C14,enemy_skills!A:Y,5,FALSE),VLOOKUP(C14,[5]enemy_skills!$A:$E,5,FALSE))</f>
        <v>「極矢」生成完了…</v>
      </c>
      <c r="F14" s="47">
        <v>30019006</v>
      </c>
      <c r="G14" s="48">
        <f>VLOOKUP($F14,enemy_skill_triggers!$A:$J,2,FALSE)</f>
        <v>0</v>
      </c>
      <c r="H14" s="48">
        <f>VLOOKUP($F14,enemy_skill_triggers!$A:$J,3,FALSE)</f>
        <v>3</v>
      </c>
      <c r="I14" s="48">
        <f>VLOOKUP($F14,enemy_skill_triggers!$A:$J,4,FALSE)</f>
        <v>100</v>
      </c>
      <c r="J14" s="48" t="str">
        <f>VLOOKUP($F14,enemy_skill_triggers!$A:$J,5,FALSE)</f>
        <v>null</v>
      </c>
      <c r="K14" s="48" t="str">
        <f>VLOOKUP($F14,enemy_skill_triggers!$A:$J,6,FALSE)</f>
        <v>null</v>
      </c>
      <c r="L14" s="48" t="str">
        <f>VLOOKUP($F14,enemy_skill_triggers!$A:$J,7,FALSE)</f>
        <v>null</v>
      </c>
      <c r="M14" s="48">
        <f>VLOOKUP($F14,enemy_skill_triggers!$A:$J,8,FALSE)</f>
        <v>3</v>
      </c>
      <c r="N14" s="48" t="str">
        <f>VLOOKUP($F14,enemy_skill_triggers!$A:$J,9,FALSE)</f>
        <v>null</v>
      </c>
      <c r="O14" s="48">
        <f>VLOOKUP($F14,enemy_skill_triggers!$A:$J,10,FALSE)</f>
        <v>100</v>
      </c>
      <c r="P14" s="47"/>
      <c r="Q14" s="47"/>
      <c r="R14" s="47"/>
    </row>
    <row r="15" spans="1:18" ht="21" customHeight="1" x14ac:dyDescent="0.15">
      <c r="A15" s="39" t="str">
        <f t="shared" ref="A15" si="4">B15&amp;"_"&amp;C15</f>
        <v>30019003_30019018</v>
      </c>
      <c r="B15" s="80">
        <v>30019003</v>
      </c>
      <c r="C15" s="47">
        <v>30019018</v>
      </c>
      <c r="D15" s="46" t="str">
        <f>IFERROR(VLOOKUP(C15,enemy_skills!A:Y,4,FALSE),VLOOKUP(C15,[5]enemy_skills!$A:$E,4,FALSE))</f>
        <v>ja</v>
      </c>
      <c r="E15" s="46" t="str">
        <f>IFERROR(VLOOKUP(C15,enemy_skills!A:Y,5,FALSE),VLOOKUP(C15,[5]enemy_skills!$A:$E,5,FALSE))</f>
        <v>コード457裏「極矢」生成準備…</v>
      </c>
      <c r="F15" s="47">
        <v>30019011</v>
      </c>
      <c r="G15" s="48">
        <f>VLOOKUP($F15,enemy_skill_triggers!$A:$J,2,FALSE)</f>
        <v>0</v>
      </c>
      <c r="H15" s="48">
        <f>VLOOKUP($F15,enemy_skill_triggers!$A:$J,3,FALSE)</f>
        <v>4</v>
      </c>
      <c r="I15" s="48">
        <f>VLOOKUP($F15,enemy_skill_triggers!$A:$J,4,FALSE)</f>
        <v>100</v>
      </c>
      <c r="J15" s="48" t="str">
        <f>VLOOKUP($F15,enemy_skill_triggers!$A:$J,5,FALSE)</f>
        <v>null</v>
      </c>
      <c r="K15" s="48" t="str">
        <f>VLOOKUP($F15,enemy_skill_triggers!$A:$J,6,FALSE)</f>
        <v>null</v>
      </c>
      <c r="L15" s="48">
        <f>VLOOKUP($F15,enemy_skill_triggers!$A:$J,7,FALSE)</f>
        <v>1</v>
      </c>
      <c r="M15" s="48">
        <f>VLOOKUP($F15,enemy_skill_triggers!$A:$J,8,FALSE)</f>
        <v>2</v>
      </c>
      <c r="N15" s="48" t="str">
        <f>VLOOKUP($F15,enemy_skill_triggers!$A:$J,9,FALSE)</f>
        <v>null</v>
      </c>
      <c r="O15" s="48">
        <f>VLOOKUP($F15,enemy_skill_triggers!$A:$J,10,FALSE)</f>
        <v>100</v>
      </c>
      <c r="P15" s="47"/>
      <c r="Q15" s="47"/>
      <c r="R15" s="47"/>
    </row>
    <row r="16" spans="1:18" ht="21" customHeight="1" x14ac:dyDescent="0.15">
      <c r="A16" s="39" t="str">
        <f t="shared" ref="A16:A23" si="5">B16&amp;"_"&amp;C16</f>
        <v>30019004_30019014</v>
      </c>
      <c r="B16" s="81">
        <v>30019004</v>
      </c>
      <c r="C16" s="47">
        <v>30019014</v>
      </c>
      <c r="D16" s="46" t="str">
        <f>IFERROR(VLOOKUP(C16,enemy_skills!A:Y,4,FALSE),VLOOKUP(C16,[5]enemy_skills!$A:$E,4,FALSE))</f>
        <v>ja</v>
      </c>
      <c r="E16" s="46" t="str">
        <f>IFERROR(VLOOKUP(C16,enemy_skills!A:Y,5,FALSE),VLOOKUP(C16,[5]enemy_skills!$A:$E,5,FALSE))</f>
        <v>好手封印</v>
      </c>
      <c r="F16" s="47">
        <v>30019010</v>
      </c>
      <c r="G16" s="48">
        <f>VLOOKUP($F16,enemy_skill_triggers!$A:$J,2,FALSE)</f>
        <v>0</v>
      </c>
      <c r="H16" s="48">
        <f>VLOOKUP($F16,enemy_skill_triggers!$A:$J,3,FALSE)</f>
        <v>1</v>
      </c>
      <c r="I16" s="48">
        <f>VLOOKUP($F16,enemy_skill_triggers!$A:$J,4,FALSE)</f>
        <v>50</v>
      </c>
      <c r="J16" s="48" t="str">
        <f>VLOOKUP($F16,enemy_skill_triggers!$A:$J,5,FALSE)</f>
        <v>null</v>
      </c>
      <c r="K16" s="48" t="str">
        <f>VLOOKUP($F16,enemy_skill_triggers!$A:$J,6,FALSE)</f>
        <v>null</v>
      </c>
      <c r="L16" s="48">
        <f>VLOOKUP($F16,enemy_skill_triggers!$A:$J,7,FALSE)</f>
        <v>1</v>
      </c>
      <c r="M16" s="48" t="str">
        <f>VLOOKUP($F16,enemy_skill_triggers!$A:$J,8,FALSE)</f>
        <v>null</v>
      </c>
      <c r="N16" s="48" t="str">
        <f>VLOOKUP($F16,enemy_skill_triggers!$A:$J,9,FALSE)</f>
        <v>null</v>
      </c>
      <c r="O16" s="48">
        <f>VLOOKUP($F16,enemy_skill_triggers!$A:$J,10,FALSE)</f>
        <v>50</v>
      </c>
      <c r="P16" s="47"/>
      <c r="Q16" s="47"/>
      <c r="R16" s="47"/>
    </row>
    <row r="17" spans="1:18" ht="21" customHeight="1" x14ac:dyDescent="0.15">
      <c r="A17" s="39" t="str">
        <f t="shared" si="5"/>
        <v>30019004_30019015</v>
      </c>
      <c r="B17" s="81">
        <v>30019004</v>
      </c>
      <c r="C17" s="47">
        <v>30019015</v>
      </c>
      <c r="D17" s="46" t="str">
        <f>IFERROR(VLOOKUP(C17,enemy_skills!A:Y,4,FALSE),VLOOKUP(C17,[5]enemy_skills!$A:$E,4,FALSE))</f>
        <v>ja</v>
      </c>
      <c r="E17" s="46" t="str">
        <f>IFERROR(VLOOKUP(C17,enemy_skills!A:Y,5,FALSE),VLOOKUP(C17,[5]enemy_skills!$A:$E,5,FALSE))</f>
        <v>蒼帝憑依</v>
      </c>
      <c r="F17" s="47">
        <v>30019008</v>
      </c>
      <c r="G17" s="48">
        <f>VLOOKUP($F17,enemy_skill_triggers!$A:$J,2,FALSE)</f>
        <v>0</v>
      </c>
      <c r="H17" s="48">
        <f>VLOOKUP($F17,enemy_skill_triggers!$A:$J,3,FALSE)</f>
        <v>2</v>
      </c>
      <c r="I17" s="48">
        <f>VLOOKUP($F17,enemy_skill_triggers!$A:$J,4,FALSE)</f>
        <v>100</v>
      </c>
      <c r="J17" s="48">
        <f>VLOOKUP($F17,enemy_skill_triggers!$A:$J,5,FALSE)</f>
        <v>50</v>
      </c>
      <c r="K17" s="48" t="str">
        <f>VLOOKUP($F17,enemy_skill_triggers!$A:$J,6,FALSE)</f>
        <v>null</v>
      </c>
      <c r="L17" s="48">
        <f>VLOOKUP($F17,enemy_skill_triggers!$A:$J,7,FALSE)</f>
        <v>1</v>
      </c>
      <c r="M17" s="48" t="str">
        <f>VLOOKUP($F17,enemy_skill_triggers!$A:$J,8,FALSE)</f>
        <v>null</v>
      </c>
      <c r="N17" s="48" t="str">
        <f>VLOOKUP($F17,enemy_skill_triggers!$A:$J,9,FALSE)</f>
        <v>null</v>
      </c>
      <c r="O17" s="48">
        <f>VLOOKUP($F17,enemy_skill_triggers!$A:$J,10,FALSE)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30019004_30019016</v>
      </c>
      <c r="B18" s="81">
        <v>30019004</v>
      </c>
      <c r="C18" s="47">
        <v>30019016</v>
      </c>
      <c r="D18" s="46" t="str">
        <f>IFERROR(VLOOKUP(C18,enemy_skills!A:Y,4,FALSE),VLOOKUP(C18,[5]enemy_skills!$A:$E,4,FALSE))</f>
        <v>ja</v>
      </c>
      <c r="E18" s="46" t="str">
        <f>IFERROR(VLOOKUP(C18,enemy_skills!A:Y,5,FALSE),VLOOKUP(C18,[5]enemy_skills!$A:$E,5,FALSE))</f>
        <v>神海の一撃</v>
      </c>
      <c r="F18" s="47">
        <v>30019009</v>
      </c>
      <c r="G18" s="48">
        <f>VLOOKUP($F18,enemy_skill_triggers!$A:$J,2,FALSE)</f>
        <v>0</v>
      </c>
      <c r="H18" s="48">
        <f>VLOOKUP($F18,enemy_skill_triggers!$A:$J,3,FALSE)</f>
        <v>1</v>
      </c>
      <c r="I18" s="48">
        <f>VLOOKUP($F18,enemy_skill_triggers!$A:$J,4,FALSE)</f>
        <v>50</v>
      </c>
      <c r="J18" s="48" t="str">
        <f>VLOOKUP($F18,enemy_skill_triggers!$A:$J,5,FALSE)</f>
        <v>null</v>
      </c>
      <c r="K18" s="48" t="str">
        <f>VLOOKUP($F18,enemy_skill_triggers!$A:$J,6,FALSE)</f>
        <v>null</v>
      </c>
      <c r="L18" s="48" t="str">
        <f>VLOOKUP($F18,enemy_skill_triggers!$A:$J,7,FALSE)</f>
        <v>null</v>
      </c>
      <c r="M18" s="48" t="str">
        <f>VLOOKUP($F18,enemy_skill_triggers!$A:$J,8,FALSE)</f>
        <v>null</v>
      </c>
      <c r="N18" s="48" t="str">
        <f>VLOOKUP($F18,enemy_skill_triggers!$A:$J,9,FALSE)</f>
        <v>null</v>
      </c>
      <c r="O18" s="48">
        <f>VLOOKUP($F18,enemy_skill_triggers!$A:$J,10,FALSE)</f>
        <v>50</v>
      </c>
      <c r="P18" s="47"/>
      <c r="Q18" s="47"/>
      <c r="R18" s="47"/>
    </row>
    <row r="19" spans="1:18" ht="21" customHeight="1" x14ac:dyDescent="0.15">
      <c r="A19" s="39" t="str">
        <f t="shared" si="5"/>
        <v>30019005_30019001</v>
      </c>
      <c r="B19" s="79">
        <v>30019005</v>
      </c>
      <c r="C19" s="47">
        <v>30019001</v>
      </c>
      <c r="D19" s="46" t="str">
        <f>IFERROR(VLOOKUP(C19,enemy_skills!A:Y,4,FALSE),VLOOKUP(C19,[5]enemy_skills!$A:$E,4,FALSE))</f>
        <v>ja</v>
      </c>
      <c r="E19" s="46" t="str">
        <f>IFERROR(VLOOKUP(C19,enemy_skills!A:Y,5,FALSE),VLOOKUP(C19,[5]enemy_skills!$A:$E,5,FALSE))</f>
        <v>周波数妨害速射</v>
      </c>
      <c r="F19" s="47">
        <v>30019001</v>
      </c>
      <c r="G19" s="48">
        <f>VLOOKUP($F19,enemy_skill_triggers!$A:$J,2,FALSE)</f>
        <v>0</v>
      </c>
      <c r="H19" s="48">
        <f>VLOOKUP($F19,enemy_skill_triggers!$A:$J,3,FALSE)</f>
        <v>1</v>
      </c>
      <c r="I19" s="48">
        <f>VLOOKUP($F19,enemy_skill_triggers!$A:$J,4,FALSE)</f>
        <v>30</v>
      </c>
      <c r="J19" s="48" t="str">
        <f>VLOOKUP($F19,enemy_skill_triggers!$A:$J,5,FALSE)</f>
        <v>null</v>
      </c>
      <c r="K19" s="48" t="str">
        <f>VLOOKUP($F19,enemy_skill_triggers!$A:$J,6,FALSE)</f>
        <v>null</v>
      </c>
      <c r="L19" s="48" t="str">
        <f>VLOOKUP($F19,enemy_skill_triggers!$A:$J,7,FALSE)</f>
        <v>null</v>
      </c>
      <c r="M19" s="48" t="str">
        <f>VLOOKUP($F19,enemy_skill_triggers!$A:$J,8,FALSE)</f>
        <v>null</v>
      </c>
      <c r="N19" s="48" t="str">
        <f>VLOOKUP($F19,enemy_skill_triggers!$A:$J,9,FALSE)</f>
        <v>null</v>
      </c>
      <c r="O19" s="48">
        <f>VLOOKUP($F19,enemy_skill_triggers!$A:$J,10,FALSE)</f>
        <v>30</v>
      </c>
      <c r="P19" s="47"/>
      <c r="Q19" s="47"/>
      <c r="R19" s="47"/>
    </row>
    <row r="20" spans="1:18" ht="21" customHeight="1" x14ac:dyDescent="0.15">
      <c r="A20" s="39" t="str">
        <f t="shared" si="5"/>
        <v>30019005_30019004</v>
      </c>
      <c r="B20" s="79">
        <v>30019005</v>
      </c>
      <c r="C20" s="47">
        <v>30019004</v>
      </c>
      <c r="D20" s="46" t="str">
        <f>IFERROR(VLOOKUP(C20,enemy_skills!A:Y,4,FALSE),VLOOKUP(C20,[5]enemy_skills!$A:$E,4,FALSE))</f>
        <v>ja</v>
      </c>
      <c r="E20" s="46" t="str">
        <f>IFERROR(VLOOKUP(C20,enemy_skills!A:Y,5,FALSE),VLOOKUP(C20,[5]enemy_skills!$A:$E,5,FALSE))</f>
        <v>衰弱矢</v>
      </c>
      <c r="F20" s="47">
        <v>30019002</v>
      </c>
      <c r="G20" s="48">
        <f>VLOOKUP($F20,enemy_skill_triggers!$A:$J,2,FALSE)</f>
        <v>0</v>
      </c>
      <c r="H20" s="48">
        <f>VLOOKUP($F20,enemy_skill_triggers!$A:$J,3,FALSE)</f>
        <v>2</v>
      </c>
      <c r="I20" s="48">
        <f>VLOOKUP($F20,enemy_skill_triggers!$A:$J,4,FALSE)</f>
        <v>40</v>
      </c>
      <c r="J20" s="48" t="str">
        <f>VLOOKUP($F20,enemy_skill_triggers!$A:$J,5,FALSE)</f>
        <v>null</v>
      </c>
      <c r="K20" s="48" t="str">
        <f>VLOOKUP($F20,enemy_skill_triggers!$A:$J,6,FALSE)</f>
        <v>null</v>
      </c>
      <c r="L20" s="48">
        <f>VLOOKUP($F20,enemy_skill_triggers!$A:$J,7,FALSE)</f>
        <v>2</v>
      </c>
      <c r="M20" s="48" t="str">
        <f>VLOOKUP($F20,enemy_skill_triggers!$A:$J,8,FALSE)</f>
        <v>null</v>
      </c>
      <c r="N20" s="48" t="str">
        <f>VLOOKUP($F20,enemy_skill_triggers!$A:$J,9,FALSE)</f>
        <v>null</v>
      </c>
      <c r="O20" s="48">
        <f>VLOOKUP($F20,enemy_skill_triggers!$A:$J,10,FALSE)</f>
        <v>40</v>
      </c>
      <c r="P20" s="47"/>
      <c r="Q20" s="47"/>
      <c r="R20" s="47"/>
    </row>
    <row r="21" spans="1:18" ht="21" customHeight="1" x14ac:dyDescent="0.15">
      <c r="A21" s="39" t="str">
        <f t="shared" si="5"/>
        <v>30019005_30019005</v>
      </c>
      <c r="B21" s="79">
        <v>30019005</v>
      </c>
      <c r="C21" s="47">
        <v>30019005</v>
      </c>
      <c r="D21" s="46" t="str">
        <f>IFERROR(VLOOKUP(C21,enemy_skills!A:Y,4,FALSE),VLOOKUP(C21,[5]enemy_skills!$A:$E,4,FALSE))</f>
        <v>ja</v>
      </c>
      <c r="E21" s="46" t="str">
        <f>IFERROR(VLOOKUP(C21,enemy_skills!A:Y,5,FALSE),VLOOKUP(C21,[5]enemy_skills!$A:$E,5,FALSE))</f>
        <v>劇毒矢</v>
      </c>
      <c r="F21" s="47">
        <v>30019003</v>
      </c>
      <c r="G21" s="48">
        <f>VLOOKUP($F21,enemy_skill_triggers!$A:$J,2,FALSE)</f>
        <v>0</v>
      </c>
      <c r="H21" s="48">
        <f>VLOOKUP($F21,enemy_skill_triggers!$A:$J,3,FALSE)</f>
        <v>2</v>
      </c>
      <c r="I21" s="48">
        <f>VLOOKUP($F21,enemy_skill_triggers!$A:$J,4,FALSE)</f>
        <v>40</v>
      </c>
      <c r="J21" s="48" t="str">
        <f>VLOOKUP($F21,enemy_skill_triggers!$A:$J,5,FALSE)</f>
        <v>null</v>
      </c>
      <c r="K21" s="48" t="str">
        <f>VLOOKUP($F21,enemy_skill_triggers!$A:$J,6,FALSE)</f>
        <v>null</v>
      </c>
      <c r="L21" s="48">
        <f>VLOOKUP($F21,enemy_skill_triggers!$A:$J,7,FALSE)</f>
        <v>1</v>
      </c>
      <c r="M21" s="48" t="str">
        <f>VLOOKUP($F21,enemy_skill_triggers!$A:$J,8,FALSE)</f>
        <v>null</v>
      </c>
      <c r="N21" s="48" t="str">
        <f>VLOOKUP($F21,enemy_skill_triggers!$A:$J,9,FALSE)</f>
        <v>null</v>
      </c>
      <c r="O21" s="48">
        <f>VLOOKUP($F21,enemy_skill_triggers!$A:$J,10,FALSE)</f>
        <v>40</v>
      </c>
      <c r="P21" s="47"/>
      <c r="Q21" s="47"/>
      <c r="R21" s="47"/>
    </row>
    <row r="22" spans="1:18" ht="21" customHeight="1" x14ac:dyDescent="0.15">
      <c r="A22" s="39" t="str">
        <f t="shared" si="5"/>
        <v>30019005_30019012</v>
      </c>
      <c r="B22" s="79">
        <v>30019005</v>
      </c>
      <c r="C22" s="47">
        <v>30019012</v>
      </c>
      <c r="D22" s="46" t="str">
        <f>IFERROR(VLOOKUP(C22,enemy_skills!A:Y,4,FALSE),VLOOKUP(C22,[5]enemy_skills!$A:$E,4,FALSE))</f>
        <v>ja</v>
      </c>
      <c r="E22" s="46" t="str">
        <f>IFERROR(VLOOKUP(C22,enemy_skills!A:Y,5,FALSE),VLOOKUP(C22,[5]enemy_skills!$A:$E,5,FALSE))</f>
        <v>コード457「剛矢」生成準備…</v>
      </c>
      <c r="F22" s="47">
        <v>30019005</v>
      </c>
      <c r="G22" s="48">
        <f>VLOOKUP($F22,enemy_skill_triggers!$A:$J,2,FALSE)</f>
        <v>1</v>
      </c>
      <c r="H22" s="48">
        <f>VLOOKUP($F22,enemy_skill_triggers!$A:$J,3,FALSE)</f>
        <v>4</v>
      </c>
      <c r="I22" s="48">
        <f>VLOOKUP($F22,enemy_skill_triggers!$A:$J,4,FALSE)</f>
        <v>100</v>
      </c>
      <c r="J22" s="48" t="str">
        <f>VLOOKUP($F22,enemy_skill_triggers!$A:$J,5,FALSE)</f>
        <v>null</v>
      </c>
      <c r="K22" s="48" t="str">
        <f>VLOOKUP($F22,enemy_skill_triggers!$A:$J,6,FALSE)</f>
        <v>null</v>
      </c>
      <c r="L22" s="48">
        <f>VLOOKUP($F22,enemy_skill_triggers!$A:$J,7,FALSE)</f>
        <v>1</v>
      </c>
      <c r="M22" s="48" t="str">
        <f>VLOOKUP($F22,enemy_skill_triggers!$A:$J,8,FALSE)</f>
        <v>null</v>
      </c>
      <c r="N22" s="48" t="str">
        <f>VLOOKUP($F22,enemy_skill_triggers!$A:$J,9,FALSE)</f>
        <v>null</v>
      </c>
      <c r="O22" s="48">
        <f>VLOOKUP($F22,enemy_skill_triggers!$A:$J,10,FALSE)</f>
        <v>100</v>
      </c>
      <c r="P22" s="47"/>
      <c r="Q22" s="47"/>
      <c r="R22" s="47"/>
    </row>
    <row r="23" spans="1:18" ht="21" customHeight="1" x14ac:dyDescent="0.15">
      <c r="A23" s="39" t="str">
        <f t="shared" si="5"/>
        <v>30019005_30019017</v>
      </c>
      <c r="B23" s="79">
        <v>30019005</v>
      </c>
      <c r="C23" s="47">
        <v>30019017</v>
      </c>
      <c r="D23" s="46" t="str">
        <f>IFERROR(VLOOKUP(C23,enemy_skills!A:Y,4,FALSE),VLOOKUP(C23,[5]enemy_skills!$A:$E,4,FALSE))</f>
        <v>ja</v>
      </c>
      <c r="E23" s="46" t="str">
        <f>IFERROR(VLOOKUP(C23,enemy_skills!A:Y,5,FALSE),VLOOKUP(C23,[5]enemy_skills!$A:$E,5,FALSE))</f>
        <v>「剛矢」生成完了…</v>
      </c>
      <c r="F23" s="47">
        <v>30019006</v>
      </c>
      <c r="G23" s="48">
        <f>VLOOKUP($F23,enemy_skill_triggers!$A:$J,2,FALSE)</f>
        <v>0</v>
      </c>
      <c r="H23" s="48">
        <f>VLOOKUP($F23,enemy_skill_triggers!$A:$J,3,FALSE)</f>
        <v>3</v>
      </c>
      <c r="I23" s="48">
        <f>VLOOKUP($F23,enemy_skill_triggers!$A:$J,4,FALSE)</f>
        <v>100</v>
      </c>
      <c r="J23" s="48" t="str">
        <f>VLOOKUP($F23,enemy_skill_triggers!$A:$J,5,FALSE)</f>
        <v>null</v>
      </c>
      <c r="K23" s="48" t="str">
        <f>VLOOKUP($F23,enemy_skill_triggers!$A:$J,6,FALSE)</f>
        <v>null</v>
      </c>
      <c r="L23" s="48" t="str">
        <f>VLOOKUP($F23,enemy_skill_triggers!$A:$J,7,FALSE)</f>
        <v>null</v>
      </c>
      <c r="M23" s="48">
        <f>VLOOKUP($F23,enemy_skill_triggers!$A:$J,8,FALSE)</f>
        <v>3</v>
      </c>
      <c r="N23" s="48" t="str">
        <f>VLOOKUP($F23,enemy_skill_triggers!$A:$J,9,FALSE)</f>
        <v>null</v>
      </c>
      <c r="O23" s="48">
        <f>VLOOKUP($F23,enemy_skill_triggers!$A:$J,10,FALSE)</f>
        <v>100</v>
      </c>
      <c r="P23" s="47"/>
      <c r="Q23" s="47"/>
      <c r="R2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2"/>
  <sheetViews>
    <sheetView tabSelected="1" workbookViewId="0">
      <selection activeCell="L26" sqref="L2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153</v>
      </c>
      <c r="B1" s="64" t="s">
        <v>154</v>
      </c>
      <c r="C1" s="65" t="s">
        <v>155</v>
      </c>
      <c r="D1" s="66" t="s">
        <v>156</v>
      </c>
      <c r="E1" s="67" t="s">
        <v>157</v>
      </c>
      <c r="F1" s="64" t="s">
        <v>158</v>
      </c>
      <c r="G1" s="64" t="s">
        <v>159</v>
      </c>
      <c r="H1" s="64" t="s">
        <v>160</v>
      </c>
      <c r="I1" s="64" t="s">
        <v>161</v>
      </c>
      <c r="J1" s="64" t="s">
        <v>162</v>
      </c>
      <c r="K1" s="64" t="s">
        <v>163</v>
      </c>
      <c r="L1" s="64" t="s">
        <v>164</v>
      </c>
      <c r="M1" s="64" t="s">
        <v>165</v>
      </c>
      <c r="N1" s="64" t="s">
        <v>166</v>
      </c>
      <c r="O1" s="64" t="s">
        <v>167</v>
      </c>
      <c r="P1" s="64" t="s">
        <v>168</v>
      </c>
      <c r="Q1" s="64" t="s">
        <v>169</v>
      </c>
      <c r="R1" s="64" t="s">
        <v>170</v>
      </c>
    </row>
    <row r="2" spans="1:18" x14ac:dyDescent="0.15">
      <c r="A2" s="91">
        <v>30019</v>
      </c>
      <c r="B2" s="91">
        <v>1</v>
      </c>
      <c r="C2" s="105" t="str">
        <f t="shared" ref="C2:C12" si="0">A2&amp; "_"&amp;B2</f>
        <v>30019_1</v>
      </c>
      <c r="D2" s="105" t="str">
        <f>VLOOKUP(C2,[2]stages!$A:$AE,31,FALSE)</f>
        <v>multionly</v>
      </c>
      <c r="E2" s="91">
        <v>1</v>
      </c>
      <c r="F2" s="91" t="s">
        <v>171</v>
      </c>
      <c r="G2" s="91">
        <v>6500</v>
      </c>
      <c r="H2" s="91" t="s">
        <v>259</v>
      </c>
      <c r="I2" s="91">
        <v>1</v>
      </c>
      <c r="J2" s="91">
        <v>1</v>
      </c>
      <c r="K2" s="91">
        <v>0</v>
      </c>
      <c r="L2" s="91">
        <v>0</v>
      </c>
      <c r="M2" s="91">
        <v>0</v>
      </c>
      <c r="N2" s="91">
        <v>0</v>
      </c>
      <c r="O2" s="91">
        <v>1</v>
      </c>
      <c r="P2" s="91">
        <v>200</v>
      </c>
      <c r="Q2" s="91" t="s">
        <v>260</v>
      </c>
      <c r="R2" s="106" t="s">
        <v>255</v>
      </c>
    </row>
    <row r="3" spans="1:18" x14ac:dyDescent="0.15">
      <c r="A3" s="91">
        <v>30019</v>
      </c>
      <c r="B3" s="91">
        <v>1</v>
      </c>
      <c r="C3" s="105" t="str">
        <f t="shared" si="0"/>
        <v>30019_1</v>
      </c>
      <c r="D3" s="105" t="str">
        <f>VLOOKUP(C3,[2]stages!$A:$AE,31,FALSE)</f>
        <v>multionly</v>
      </c>
      <c r="E3" s="91">
        <v>2</v>
      </c>
      <c r="F3" s="91" t="s">
        <v>256</v>
      </c>
      <c r="G3" s="91">
        <v>25</v>
      </c>
      <c r="H3" s="91" t="s">
        <v>259</v>
      </c>
      <c r="I3" s="91">
        <v>1</v>
      </c>
      <c r="J3" s="91">
        <v>1</v>
      </c>
      <c r="K3" s="91">
        <v>0</v>
      </c>
      <c r="L3" s="91">
        <v>0</v>
      </c>
      <c r="M3" s="91">
        <v>0</v>
      </c>
      <c r="N3" s="91">
        <v>0</v>
      </c>
      <c r="O3" s="91">
        <v>1</v>
      </c>
      <c r="P3" s="91">
        <v>150</v>
      </c>
      <c r="Q3" s="91" t="s">
        <v>260</v>
      </c>
      <c r="R3" s="106" t="s">
        <v>255</v>
      </c>
    </row>
    <row r="4" spans="1:18" x14ac:dyDescent="0.15">
      <c r="A4" s="91">
        <v>30019</v>
      </c>
      <c r="B4" s="91">
        <v>1</v>
      </c>
      <c r="C4" s="105" t="str">
        <f t="shared" si="0"/>
        <v>30019_1</v>
      </c>
      <c r="D4" s="105" t="str">
        <f>VLOOKUP(C4,[2]stages!$A:$AE,31,FALSE)</f>
        <v>multionly</v>
      </c>
      <c r="E4" s="91">
        <v>3</v>
      </c>
      <c r="F4" s="91" t="s">
        <v>258</v>
      </c>
      <c r="G4" s="91">
        <v>340</v>
      </c>
      <c r="H4" s="91">
        <v>1</v>
      </c>
      <c r="I4" s="91">
        <v>1</v>
      </c>
      <c r="J4" s="91">
        <v>1</v>
      </c>
      <c r="K4" s="91">
        <v>0</v>
      </c>
      <c r="L4" s="91">
        <v>0</v>
      </c>
      <c r="M4" s="91">
        <v>0</v>
      </c>
      <c r="N4" s="91">
        <v>0</v>
      </c>
      <c r="O4" s="91">
        <v>1</v>
      </c>
      <c r="P4" s="91">
        <v>28</v>
      </c>
      <c r="Q4" s="91" t="s">
        <v>260</v>
      </c>
      <c r="R4" s="106" t="s">
        <v>254</v>
      </c>
    </row>
    <row r="5" spans="1:18" x14ac:dyDescent="0.15">
      <c r="A5" s="91">
        <v>30019</v>
      </c>
      <c r="B5" s="91">
        <v>1</v>
      </c>
      <c r="C5" s="105" t="str">
        <f t="shared" si="0"/>
        <v>30019_1</v>
      </c>
      <c r="D5" s="105" t="str">
        <f>VLOOKUP(C5,[2]stages!$A:$AE,31,FALSE)</f>
        <v>multionly</v>
      </c>
      <c r="E5" s="91">
        <v>4</v>
      </c>
      <c r="F5" s="91" t="s">
        <v>258</v>
      </c>
      <c r="G5" s="91">
        <v>341</v>
      </c>
      <c r="H5" s="91">
        <v>1</v>
      </c>
      <c r="I5" s="91">
        <v>1</v>
      </c>
      <c r="J5" s="91">
        <v>1</v>
      </c>
      <c r="K5" s="91">
        <v>0</v>
      </c>
      <c r="L5" s="91">
        <v>0</v>
      </c>
      <c r="M5" s="91">
        <v>0</v>
      </c>
      <c r="N5" s="91">
        <v>0</v>
      </c>
      <c r="O5" s="91">
        <v>1</v>
      </c>
      <c r="P5" s="91">
        <v>56</v>
      </c>
      <c r="Q5" s="91" t="s">
        <v>260</v>
      </c>
      <c r="R5" s="106" t="s">
        <v>254</v>
      </c>
    </row>
    <row r="6" spans="1:18" x14ac:dyDescent="0.15">
      <c r="A6" s="91">
        <v>30019</v>
      </c>
      <c r="B6" s="91">
        <v>1</v>
      </c>
      <c r="C6" s="105" t="str">
        <f t="shared" si="0"/>
        <v>30019_1</v>
      </c>
      <c r="D6" s="105" t="str">
        <f>VLOOKUP(C6,[2]stages!$A:$AE,31,FALSE)</f>
        <v>multionly</v>
      </c>
      <c r="E6" s="91">
        <v>5</v>
      </c>
      <c r="F6" s="91" t="s">
        <v>258</v>
      </c>
      <c r="G6" s="91">
        <v>342</v>
      </c>
      <c r="H6" s="91">
        <v>1</v>
      </c>
      <c r="I6" s="91">
        <v>1</v>
      </c>
      <c r="J6" s="91">
        <v>1</v>
      </c>
      <c r="K6" s="91">
        <v>0</v>
      </c>
      <c r="L6" s="91">
        <v>0</v>
      </c>
      <c r="M6" s="91">
        <v>0</v>
      </c>
      <c r="N6" s="91">
        <v>0</v>
      </c>
      <c r="O6" s="91">
        <v>1</v>
      </c>
      <c r="P6" s="91">
        <v>56</v>
      </c>
      <c r="Q6" s="91" t="s">
        <v>260</v>
      </c>
      <c r="R6" s="106" t="s">
        <v>254</v>
      </c>
    </row>
    <row r="7" spans="1:18" x14ac:dyDescent="0.15">
      <c r="A7" s="91">
        <v>30019</v>
      </c>
      <c r="B7" s="91">
        <v>1</v>
      </c>
      <c r="C7" s="105" t="str">
        <f t="shared" si="0"/>
        <v>30019_1</v>
      </c>
      <c r="D7" s="105" t="str">
        <f>VLOOKUP(C7,[2]stages!$A:$AE,31,FALSE)</f>
        <v>multionly</v>
      </c>
      <c r="E7" s="91">
        <v>6</v>
      </c>
      <c r="F7" s="91" t="s">
        <v>258</v>
      </c>
      <c r="G7" s="91">
        <v>121</v>
      </c>
      <c r="H7" s="91">
        <v>1</v>
      </c>
      <c r="I7" s="91">
        <v>1</v>
      </c>
      <c r="J7" s="91">
        <v>1</v>
      </c>
      <c r="K7" s="91">
        <v>0</v>
      </c>
      <c r="L7" s="91">
        <v>0</v>
      </c>
      <c r="M7" s="91">
        <v>0</v>
      </c>
      <c r="N7" s="91">
        <v>0</v>
      </c>
      <c r="O7" s="91">
        <v>1</v>
      </c>
      <c r="P7" s="91">
        <v>50</v>
      </c>
      <c r="Q7" s="91" t="s">
        <v>260</v>
      </c>
      <c r="R7" s="106" t="s">
        <v>254</v>
      </c>
    </row>
    <row r="8" spans="1:18" x14ac:dyDescent="0.15">
      <c r="A8" s="91">
        <v>30019</v>
      </c>
      <c r="B8" s="91">
        <v>1</v>
      </c>
      <c r="C8" s="105" t="str">
        <f t="shared" si="0"/>
        <v>30019_1</v>
      </c>
      <c r="D8" s="105" t="str">
        <f>VLOOKUP(C8,[2]stages!$A:$AE,31,FALSE)</f>
        <v>multionly</v>
      </c>
      <c r="E8" s="91">
        <v>7</v>
      </c>
      <c r="F8" s="91" t="s">
        <v>258</v>
      </c>
      <c r="G8" s="91">
        <v>122</v>
      </c>
      <c r="H8" s="91">
        <v>1</v>
      </c>
      <c r="I8" s="91">
        <v>1</v>
      </c>
      <c r="J8" s="91">
        <v>1</v>
      </c>
      <c r="K8" s="91">
        <v>0</v>
      </c>
      <c r="L8" s="91">
        <v>0</v>
      </c>
      <c r="M8" s="91">
        <v>0</v>
      </c>
      <c r="N8" s="91">
        <v>0</v>
      </c>
      <c r="O8" s="91">
        <v>1</v>
      </c>
      <c r="P8" s="91">
        <v>50</v>
      </c>
      <c r="Q8" s="91" t="s">
        <v>260</v>
      </c>
      <c r="R8" s="106" t="s">
        <v>254</v>
      </c>
    </row>
    <row r="9" spans="1:18" x14ac:dyDescent="0.15">
      <c r="A9" s="91">
        <v>30019</v>
      </c>
      <c r="B9" s="91">
        <v>1</v>
      </c>
      <c r="C9" s="105" t="str">
        <f t="shared" si="0"/>
        <v>30019_1</v>
      </c>
      <c r="D9" s="105" t="str">
        <f>VLOOKUP(C9,[2]stages!$A:$AE,31,FALSE)</f>
        <v>multionly</v>
      </c>
      <c r="E9" s="91">
        <v>8</v>
      </c>
      <c r="F9" s="91" t="s">
        <v>258</v>
      </c>
      <c r="G9" s="91">
        <v>123</v>
      </c>
      <c r="H9" s="91">
        <v>1</v>
      </c>
      <c r="I9" s="91">
        <v>1</v>
      </c>
      <c r="J9" s="91">
        <v>1</v>
      </c>
      <c r="K9" s="91">
        <v>0</v>
      </c>
      <c r="L9" s="91">
        <v>0</v>
      </c>
      <c r="M9" s="91">
        <v>0</v>
      </c>
      <c r="N9" s="91">
        <v>0</v>
      </c>
      <c r="O9" s="91">
        <v>1</v>
      </c>
      <c r="P9" s="91">
        <v>50</v>
      </c>
      <c r="Q9" s="91" t="s">
        <v>260</v>
      </c>
      <c r="R9" s="106" t="s">
        <v>254</v>
      </c>
    </row>
    <row r="10" spans="1:18" x14ac:dyDescent="0.15">
      <c r="A10" s="91">
        <v>30019</v>
      </c>
      <c r="B10" s="91">
        <v>1</v>
      </c>
      <c r="C10" s="105" t="str">
        <f t="shared" si="0"/>
        <v>30019_1</v>
      </c>
      <c r="D10" s="105" t="str">
        <f>VLOOKUP(C10,[2]stages!$A:$AE,31,FALSE)</f>
        <v>multionly</v>
      </c>
      <c r="E10" s="91">
        <v>9</v>
      </c>
      <c r="F10" s="91" t="s">
        <v>258</v>
      </c>
      <c r="G10" s="91">
        <v>125</v>
      </c>
      <c r="H10" s="91">
        <v>1</v>
      </c>
      <c r="I10" s="91">
        <v>1</v>
      </c>
      <c r="J10" s="91">
        <v>1</v>
      </c>
      <c r="K10" s="91">
        <v>0</v>
      </c>
      <c r="L10" s="91">
        <v>0</v>
      </c>
      <c r="M10" s="91">
        <v>0</v>
      </c>
      <c r="N10" s="91">
        <v>0</v>
      </c>
      <c r="O10" s="91">
        <v>1</v>
      </c>
      <c r="P10" s="91">
        <v>10</v>
      </c>
      <c r="Q10" s="91" t="s">
        <v>260</v>
      </c>
      <c r="R10" s="106" t="s">
        <v>254</v>
      </c>
    </row>
    <row r="11" spans="1:18" x14ac:dyDescent="0.15">
      <c r="A11" s="91">
        <v>30019</v>
      </c>
      <c r="B11" s="91">
        <v>1</v>
      </c>
      <c r="C11" s="105" t="str">
        <f t="shared" si="0"/>
        <v>30019_1</v>
      </c>
      <c r="D11" s="105" t="str">
        <f>VLOOKUP(C11,[2]stages!$A:$AE,31,FALSE)</f>
        <v>multionly</v>
      </c>
      <c r="E11" s="91">
        <v>10</v>
      </c>
      <c r="F11" s="91" t="s">
        <v>258</v>
      </c>
      <c r="G11" s="91">
        <v>456</v>
      </c>
      <c r="H11" s="91">
        <v>1</v>
      </c>
      <c r="I11" s="91">
        <v>1</v>
      </c>
      <c r="J11" s="91">
        <v>1</v>
      </c>
      <c r="K11" s="91">
        <v>0</v>
      </c>
      <c r="L11" s="91">
        <v>0</v>
      </c>
      <c r="M11" s="91">
        <v>0</v>
      </c>
      <c r="N11" s="91">
        <v>0</v>
      </c>
      <c r="O11" s="91">
        <v>1</v>
      </c>
      <c r="P11" s="91">
        <v>250</v>
      </c>
      <c r="Q11" s="91" t="s">
        <v>260</v>
      </c>
      <c r="R11" s="106" t="s">
        <v>254</v>
      </c>
    </row>
    <row r="12" spans="1:18" ht="16" thickBot="1" x14ac:dyDescent="0.2">
      <c r="A12" s="113">
        <v>30019</v>
      </c>
      <c r="B12" s="113">
        <v>1</v>
      </c>
      <c r="C12" s="114" t="str">
        <f t="shared" si="0"/>
        <v>30019_1</v>
      </c>
      <c r="D12" s="114" t="str">
        <f>VLOOKUP(C12,[2]stages!$A:$AE,31,FALSE)</f>
        <v>multionly</v>
      </c>
      <c r="E12" s="113">
        <v>11</v>
      </c>
      <c r="F12" s="113" t="s">
        <v>258</v>
      </c>
      <c r="G12" s="113">
        <v>352</v>
      </c>
      <c r="H12" s="113">
        <v>1</v>
      </c>
      <c r="I12" s="113">
        <v>1</v>
      </c>
      <c r="J12" s="113">
        <v>1</v>
      </c>
      <c r="K12" s="113">
        <v>0</v>
      </c>
      <c r="L12" s="113">
        <v>0</v>
      </c>
      <c r="M12" s="113">
        <v>0</v>
      </c>
      <c r="N12" s="113">
        <v>0</v>
      </c>
      <c r="O12" s="113">
        <v>1</v>
      </c>
      <c r="P12" s="113">
        <v>100</v>
      </c>
      <c r="Q12" s="113" t="s">
        <v>260</v>
      </c>
      <c r="R12" s="115" t="s">
        <v>254</v>
      </c>
    </row>
    <row r="13" spans="1:18" ht="16" thickTop="1" x14ac:dyDescent="0.15">
      <c r="A13" s="110">
        <v>30019</v>
      </c>
      <c r="B13" s="110">
        <v>2</v>
      </c>
      <c r="C13" s="111" t="str">
        <f>A13&amp; "_"&amp;B13</f>
        <v>30019_2</v>
      </c>
      <c r="D13" s="111" t="str">
        <f>VLOOKUP(C13,[2]stages!$A:$AE,31,FALSE)</f>
        <v>multionly</v>
      </c>
      <c r="E13" s="110">
        <v>12</v>
      </c>
      <c r="F13" s="110" t="s">
        <v>171</v>
      </c>
      <c r="G13" s="110">
        <v>7500</v>
      </c>
      <c r="H13" s="110" t="s">
        <v>259</v>
      </c>
      <c r="I13" s="110">
        <v>1</v>
      </c>
      <c r="J13" s="110">
        <v>1</v>
      </c>
      <c r="K13" s="110">
        <v>0</v>
      </c>
      <c r="L13" s="110">
        <v>0</v>
      </c>
      <c r="M13" s="110">
        <v>0</v>
      </c>
      <c r="N13" s="110">
        <v>0</v>
      </c>
      <c r="O13" s="110">
        <v>1</v>
      </c>
      <c r="P13" s="110">
        <v>100</v>
      </c>
      <c r="Q13" s="110" t="s">
        <v>260</v>
      </c>
      <c r="R13" s="112" t="s">
        <v>254</v>
      </c>
    </row>
    <row r="14" spans="1:18" x14ac:dyDescent="0.15">
      <c r="A14" s="91">
        <v>30019</v>
      </c>
      <c r="B14" s="91">
        <v>2</v>
      </c>
      <c r="C14" s="105" t="str">
        <f t="shared" ref="C14:C22" si="1">A14&amp; "_"&amp;B14</f>
        <v>30019_2</v>
      </c>
      <c r="D14" s="105" t="str">
        <f>VLOOKUP(C14,[2]stages!$A:$AE,31,FALSE)</f>
        <v>multionly</v>
      </c>
      <c r="E14" s="91">
        <v>13</v>
      </c>
      <c r="F14" s="91" t="s">
        <v>256</v>
      </c>
      <c r="G14" s="91">
        <v>25</v>
      </c>
      <c r="H14" s="91" t="s">
        <v>259</v>
      </c>
      <c r="I14" s="91">
        <v>1</v>
      </c>
      <c r="J14" s="91">
        <v>1</v>
      </c>
      <c r="K14" s="91">
        <v>0</v>
      </c>
      <c r="L14" s="91">
        <v>0</v>
      </c>
      <c r="M14" s="91">
        <v>0</v>
      </c>
      <c r="N14" s="91">
        <v>0</v>
      </c>
      <c r="O14" s="91">
        <v>1</v>
      </c>
      <c r="P14" s="91">
        <v>100</v>
      </c>
      <c r="Q14" s="91" t="s">
        <v>260</v>
      </c>
      <c r="R14" s="106" t="s">
        <v>254</v>
      </c>
    </row>
    <row r="15" spans="1:18" x14ac:dyDescent="0.15">
      <c r="A15" s="91">
        <v>30019</v>
      </c>
      <c r="B15" s="91">
        <v>2</v>
      </c>
      <c r="C15" s="105" t="str">
        <f t="shared" si="1"/>
        <v>30019_2</v>
      </c>
      <c r="D15" s="105" t="str">
        <f>VLOOKUP(C15,[2]stages!$A:$AE,31,FALSE)</f>
        <v>multionly</v>
      </c>
      <c r="E15" s="91">
        <v>14</v>
      </c>
      <c r="F15" s="91" t="s">
        <v>258</v>
      </c>
      <c r="G15" s="91">
        <v>341</v>
      </c>
      <c r="H15" s="91">
        <v>1</v>
      </c>
      <c r="I15" s="91">
        <v>1</v>
      </c>
      <c r="J15" s="91">
        <v>1</v>
      </c>
      <c r="K15" s="91">
        <v>0</v>
      </c>
      <c r="L15" s="91">
        <v>0</v>
      </c>
      <c r="M15" s="91">
        <v>0</v>
      </c>
      <c r="N15" s="91">
        <v>0</v>
      </c>
      <c r="O15" s="91">
        <v>1</v>
      </c>
      <c r="P15" s="91">
        <v>56</v>
      </c>
      <c r="Q15" s="91" t="s">
        <v>260</v>
      </c>
      <c r="R15" s="106" t="s">
        <v>254</v>
      </c>
    </row>
    <row r="16" spans="1:18" x14ac:dyDescent="0.15">
      <c r="A16" s="91">
        <v>30019</v>
      </c>
      <c r="B16" s="91">
        <v>2</v>
      </c>
      <c r="C16" s="105" t="str">
        <f t="shared" si="1"/>
        <v>30019_2</v>
      </c>
      <c r="D16" s="105" t="str">
        <f>VLOOKUP(C16,[2]stages!$A:$AE,31,FALSE)</f>
        <v>multionly</v>
      </c>
      <c r="E16" s="91">
        <v>15</v>
      </c>
      <c r="F16" s="91" t="s">
        <v>258</v>
      </c>
      <c r="G16" s="91">
        <v>342</v>
      </c>
      <c r="H16" s="91">
        <v>1</v>
      </c>
      <c r="I16" s="91">
        <v>1</v>
      </c>
      <c r="J16" s="91">
        <v>1</v>
      </c>
      <c r="K16" s="91">
        <v>0</v>
      </c>
      <c r="L16" s="91">
        <v>0</v>
      </c>
      <c r="M16" s="91">
        <v>0</v>
      </c>
      <c r="N16" s="91">
        <v>0</v>
      </c>
      <c r="O16" s="91">
        <v>1</v>
      </c>
      <c r="P16" s="91">
        <v>84</v>
      </c>
      <c r="Q16" s="91" t="s">
        <v>260</v>
      </c>
      <c r="R16" s="106" t="s">
        <v>254</v>
      </c>
    </row>
    <row r="17" spans="1:18" x14ac:dyDescent="0.15">
      <c r="A17" s="91">
        <v>30019</v>
      </c>
      <c r="B17" s="91">
        <v>2</v>
      </c>
      <c r="C17" s="105" t="str">
        <f t="shared" si="1"/>
        <v>30019_2</v>
      </c>
      <c r="D17" s="105" t="str">
        <f>VLOOKUP(C17,[2]stages!$A:$AE,31,FALSE)</f>
        <v>multionly</v>
      </c>
      <c r="E17" s="91">
        <v>16</v>
      </c>
      <c r="F17" s="91" t="s">
        <v>258</v>
      </c>
      <c r="G17" s="91">
        <v>121</v>
      </c>
      <c r="H17" s="91">
        <v>1</v>
      </c>
      <c r="I17" s="91">
        <v>1</v>
      </c>
      <c r="J17" s="91">
        <v>1</v>
      </c>
      <c r="K17" s="91">
        <v>0</v>
      </c>
      <c r="L17" s="91">
        <v>0</v>
      </c>
      <c r="M17" s="91">
        <v>0</v>
      </c>
      <c r="N17" s="91">
        <v>0</v>
      </c>
      <c r="O17" s="91">
        <v>1</v>
      </c>
      <c r="P17" s="91">
        <v>50</v>
      </c>
      <c r="Q17" s="91" t="s">
        <v>260</v>
      </c>
      <c r="R17" s="106" t="s">
        <v>254</v>
      </c>
    </row>
    <row r="18" spans="1:18" x14ac:dyDescent="0.15">
      <c r="A18" s="91">
        <v>30019</v>
      </c>
      <c r="B18" s="91">
        <v>2</v>
      </c>
      <c r="C18" s="105" t="str">
        <f t="shared" si="1"/>
        <v>30019_2</v>
      </c>
      <c r="D18" s="105" t="str">
        <f>VLOOKUP(C18,[2]stages!$A:$AE,31,FALSE)</f>
        <v>multionly</v>
      </c>
      <c r="E18" s="91">
        <v>17</v>
      </c>
      <c r="F18" s="91" t="s">
        <v>257</v>
      </c>
      <c r="G18" s="91">
        <v>122</v>
      </c>
      <c r="H18" s="91">
        <v>1</v>
      </c>
      <c r="I18" s="91">
        <v>1</v>
      </c>
      <c r="J18" s="91">
        <v>1</v>
      </c>
      <c r="K18" s="91">
        <v>0</v>
      </c>
      <c r="L18" s="91">
        <v>0</v>
      </c>
      <c r="M18" s="91">
        <v>0</v>
      </c>
      <c r="N18" s="91">
        <v>0</v>
      </c>
      <c r="O18" s="91">
        <v>1</v>
      </c>
      <c r="P18" s="91">
        <v>50</v>
      </c>
      <c r="Q18" s="91" t="s">
        <v>260</v>
      </c>
      <c r="R18" s="106" t="s">
        <v>254</v>
      </c>
    </row>
    <row r="19" spans="1:18" x14ac:dyDescent="0.15">
      <c r="A19" s="91">
        <v>30019</v>
      </c>
      <c r="B19" s="91">
        <v>2</v>
      </c>
      <c r="C19" s="105" t="str">
        <f t="shared" si="1"/>
        <v>30019_2</v>
      </c>
      <c r="D19" s="105" t="str">
        <f>VLOOKUP(C19,[2]stages!$A:$AE,31,FALSE)</f>
        <v>multionly</v>
      </c>
      <c r="E19" s="91">
        <v>18</v>
      </c>
      <c r="F19" s="91" t="s">
        <v>258</v>
      </c>
      <c r="G19" s="91">
        <v>123</v>
      </c>
      <c r="H19" s="91">
        <v>1</v>
      </c>
      <c r="I19" s="91">
        <v>1</v>
      </c>
      <c r="J19" s="91">
        <v>1</v>
      </c>
      <c r="K19" s="91">
        <v>0</v>
      </c>
      <c r="L19" s="91">
        <v>0</v>
      </c>
      <c r="M19" s="91">
        <v>0</v>
      </c>
      <c r="N19" s="91">
        <v>0</v>
      </c>
      <c r="O19" s="91">
        <v>1</v>
      </c>
      <c r="P19" s="91">
        <v>50</v>
      </c>
      <c r="Q19" s="91" t="s">
        <v>260</v>
      </c>
      <c r="R19" s="106" t="s">
        <v>254</v>
      </c>
    </row>
    <row r="20" spans="1:18" x14ac:dyDescent="0.15">
      <c r="A20" s="91">
        <v>30019</v>
      </c>
      <c r="B20" s="91">
        <v>2</v>
      </c>
      <c r="C20" s="105" t="str">
        <f t="shared" si="1"/>
        <v>30019_2</v>
      </c>
      <c r="D20" s="105" t="str">
        <f>VLOOKUP(C20,[2]stages!$A:$AE,31,FALSE)</f>
        <v>multionly</v>
      </c>
      <c r="E20" s="91">
        <v>19</v>
      </c>
      <c r="F20" s="91" t="s">
        <v>258</v>
      </c>
      <c r="G20" s="91">
        <v>125</v>
      </c>
      <c r="H20" s="91">
        <v>1</v>
      </c>
      <c r="I20" s="91">
        <v>1</v>
      </c>
      <c r="J20" s="91">
        <v>1</v>
      </c>
      <c r="K20" s="91">
        <v>0</v>
      </c>
      <c r="L20" s="91">
        <v>0</v>
      </c>
      <c r="M20" s="91">
        <v>0</v>
      </c>
      <c r="N20" s="91">
        <v>0</v>
      </c>
      <c r="O20" s="91">
        <v>1</v>
      </c>
      <c r="P20" s="91">
        <v>10</v>
      </c>
      <c r="Q20" s="91" t="s">
        <v>260</v>
      </c>
      <c r="R20" s="106" t="s">
        <v>254</v>
      </c>
    </row>
    <row r="21" spans="1:18" x14ac:dyDescent="0.15">
      <c r="A21" s="91">
        <v>30019</v>
      </c>
      <c r="B21" s="91">
        <v>2</v>
      </c>
      <c r="C21" s="105" t="str">
        <f t="shared" si="1"/>
        <v>30019_2</v>
      </c>
      <c r="D21" s="105" t="str">
        <f>VLOOKUP(C21,[2]stages!$A:$AE,31,FALSE)</f>
        <v>multionly</v>
      </c>
      <c r="E21" s="91">
        <v>20</v>
      </c>
      <c r="F21" s="91" t="s">
        <v>258</v>
      </c>
      <c r="G21" s="91">
        <v>456</v>
      </c>
      <c r="H21" s="91">
        <v>1</v>
      </c>
      <c r="I21" s="91">
        <v>1</v>
      </c>
      <c r="J21" s="91">
        <v>1</v>
      </c>
      <c r="K21" s="91">
        <v>0</v>
      </c>
      <c r="L21" s="91">
        <v>0</v>
      </c>
      <c r="M21" s="91">
        <v>0</v>
      </c>
      <c r="N21" s="91">
        <v>0</v>
      </c>
      <c r="O21" s="91">
        <v>1</v>
      </c>
      <c r="P21" s="91">
        <v>400</v>
      </c>
      <c r="Q21" s="91" t="s">
        <v>260</v>
      </c>
      <c r="R21" s="106" t="s">
        <v>254</v>
      </c>
    </row>
    <row r="22" spans="1:18" x14ac:dyDescent="0.15">
      <c r="A22" s="91">
        <v>30019</v>
      </c>
      <c r="B22" s="91">
        <v>2</v>
      </c>
      <c r="C22" s="105" t="str">
        <f t="shared" si="1"/>
        <v>30019_2</v>
      </c>
      <c r="D22" s="105" t="str">
        <f>VLOOKUP(C22,[2]stages!$A:$AE,31,FALSE)</f>
        <v>multionly</v>
      </c>
      <c r="E22" s="91">
        <v>21</v>
      </c>
      <c r="F22" s="91" t="s">
        <v>258</v>
      </c>
      <c r="G22" s="91">
        <v>352</v>
      </c>
      <c r="H22" s="91">
        <v>1</v>
      </c>
      <c r="I22" s="91">
        <v>1</v>
      </c>
      <c r="J22" s="91">
        <v>1</v>
      </c>
      <c r="K22" s="91">
        <v>0</v>
      </c>
      <c r="L22" s="91">
        <v>0</v>
      </c>
      <c r="M22" s="91">
        <v>0</v>
      </c>
      <c r="N22" s="91">
        <v>0</v>
      </c>
      <c r="O22" s="91">
        <v>1</v>
      </c>
      <c r="P22" s="91">
        <v>100</v>
      </c>
      <c r="Q22" s="91" t="s">
        <v>260</v>
      </c>
      <c r="R22" s="106" t="s">
        <v>254</v>
      </c>
    </row>
  </sheetData>
  <phoneticPr fontId="5"/>
  <dataValidations count="1">
    <dataValidation type="list" allowBlank="1" showInputMessage="1" showErrorMessage="1" sqref="F2:F22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6"/>
  <sheetViews>
    <sheetView showGridLines="0" workbookViewId="0">
      <pane ySplit="1" topLeftCell="A2" activePane="bottomLeft" state="frozen"/>
      <selection pane="bottomLeft" activeCell="N7" sqref="N7"/>
    </sheetView>
  </sheetViews>
  <sheetFormatPr baseColWidth="12" defaultColWidth="13" defaultRowHeight="15" outlineLevelCol="1" x14ac:dyDescent="0.15"/>
  <cols>
    <col min="2" max="2" width="13" style="9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82" t="s">
        <v>190</v>
      </c>
      <c r="B1" s="83" t="s">
        <v>191</v>
      </c>
      <c r="C1" s="84" t="s">
        <v>192</v>
      </c>
      <c r="D1" s="85" t="s">
        <v>193</v>
      </c>
      <c r="E1" s="85" t="s">
        <v>33</v>
      </c>
      <c r="F1" s="84" t="s">
        <v>194</v>
      </c>
      <c r="G1" s="85" t="s">
        <v>195</v>
      </c>
      <c r="H1" s="85" t="s">
        <v>33</v>
      </c>
      <c r="I1" s="84" t="s">
        <v>196</v>
      </c>
      <c r="J1" s="84" t="s">
        <v>197</v>
      </c>
      <c r="K1" s="86" t="s">
        <v>198</v>
      </c>
      <c r="L1" s="87" t="s">
        <v>126</v>
      </c>
      <c r="M1" s="87" t="s">
        <v>199</v>
      </c>
      <c r="N1" s="88" t="s">
        <v>200</v>
      </c>
      <c r="O1" s="89" t="s">
        <v>201</v>
      </c>
    </row>
    <row r="2" spans="1:15" ht="60" x14ac:dyDescent="0.15">
      <c r="A2" s="90" t="str">
        <f t="shared" ref="A2" si="0">C2&amp;"_"&amp;F2&amp;"_"&amp;J2</f>
        <v>30019_1_1</v>
      </c>
      <c r="B2" s="91" t="s">
        <v>202</v>
      </c>
      <c r="C2" s="92">
        <f>floors!C$2</f>
        <v>30019</v>
      </c>
      <c r="D2" s="93" t="str">
        <f ca="1">VLOOKUP($C2,OFFSET([2]quests!$A$1,0,0,COUNTA([2]quests!$A:$A),MATCH(D$1,[2]quests!$1:$1,0)-MATCH($C$1,[2]quests!$1:$1,0)+1),MATCH(D$1,[2]quests!$1:$1,0)-MATCH($C$1,[2]quests!$1:$1,0)+1,FALSE)</f>
        <v>狙撃は終わらない</v>
      </c>
      <c r="E2" s="93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94">
        <v>1</v>
      </c>
      <c r="G2" s="93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【超級】狙撃は終わらない</v>
      </c>
      <c r="H2" s="93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" s="95">
        <v>0</v>
      </c>
      <c r="J2" s="94">
        <v>1</v>
      </c>
      <c r="K2" s="96" t="str">
        <f>C2&amp;TEXT(J2,"00")</f>
        <v>3001901</v>
      </c>
      <c r="L2" s="94" t="s">
        <v>127</v>
      </c>
      <c r="M2" s="97" t="s">
        <v>203</v>
      </c>
      <c r="N2" s="109" t="s">
        <v>327</v>
      </c>
      <c r="O2" s="57" t="s">
        <v>204</v>
      </c>
    </row>
    <row r="3" spans="1:15" ht="60" x14ac:dyDescent="0.15">
      <c r="A3" s="90" t="str">
        <f t="shared" ref="A3:A5" si="1">C3&amp;"_"&amp;F3&amp;"_"&amp;J3</f>
        <v>30019_1_2</v>
      </c>
      <c r="B3" s="91" t="s">
        <v>202</v>
      </c>
      <c r="C3" s="92">
        <f>floors!C$2</f>
        <v>30019</v>
      </c>
      <c r="D3" s="93" t="str">
        <f ca="1">VLOOKUP($C3,OFFSET([2]quests!$A$1,0,0,COUNTA([2]quests!$A:$A),MATCH(D$1,[2]quests!$1:$1,0)-MATCH($C$1,[2]quests!$1:$1,0)+1),MATCH(D$1,[2]quests!$1:$1,0)-MATCH($C$1,[2]quests!$1:$1,0)+1,FALSE)</f>
        <v>狙撃は終わらない</v>
      </c>
      <c r="E3" s="93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94">
        <v>1</v>
      </c>
      <c r="G3" s="93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【超級】狙撃は終わらない</v>
      </c>
      <c r="H3" s="93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3" s="95">
        <v>0</v>
      </c>
      <c r="J3" s="94">
        <v>2</v>
      </c>
      <c r="K3" s="96" t="str">
        <f t="shared" ref="K3:K6" si="2">C3&amp;TEXT(J3,"00")</f>
        <v>3001902</v>
      </c>
      <c r="L3" s="94" t="s">
        <v>127</v>
      </c>
      <c r="M3" s="97" t="s">
        <v>203</v>
      </c>
      <c r="N3" s="109" t="s">
        <v>328</v>
      </c>
      <c r="O3" s="57" t="s">
        <v>204</v>
      </c>
    </row>
    <row r="4" spans="1:15" ht="60" x14ac:dyDescent="0.15">
      <c r="A4" s="90" t="str">
        <f t="shared" si="1"/>
        <v>30019_2_3</v>
      </c>
      <c r="B4" s="91" t="s">
        <v>202</v>
      </c>
      <c r="C4" s="92">
        <f>floors!C$2</f>
        <v>30019</v>
      </c>
      <c r="D4" s="93" t="str">
        <f ca="1">VLOOKUP($C4,OFFSET([2]quests!$A$1,0,0,COUNTA([2]quests!$A:$A),MATCH(D$1,[2]quests!$1:$1,0)-MATCH($C$1,[2]quests!$1:$1,0)+1),MATCH(D$1,[2]quests!$1:$1,0)-MATCH($C$1,[2]quests!$1:$1,0)+1,FALSE)</f>
        <v>狙撃は終わらない</v>
      </c>
      <c r="E4" s="93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94">
        <v>2</v>
      </c>
      <c r="G4" s="93" t="str">
        <f ca="1">VLOOKUP($C4&amp;"_"&amp;$F4,OFFSET([2]stages!$A$1,0,0,COUNTA([2]stages!$A:$A),MATCH(G$1,[2]stages!$2:$2,0)-MATCH("temp_stage",[2]stages!$2:$2,0)+1),MATCH(G$1,[2]stages!$2:$2,0)-MATCH("temp_stage",[2]stages!$2:$2,0)+1,FALSE)</f>
        <v>【超絶級】狙撃は終わらない</v>
      </c>
      <c r="H4" s="93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4" s="95">
        <v>0</v>
      </c>
      <c r="J4" s="94">
        <v>3</v>
      </c>
      <c r="K4" s="96" t="str">
        <f t="shared" si="2"/>
        <v>3001903</v>
      </c>
      <c r="L4" s="94" t="s">
        <v>127</v>
      </c>
      <c r="M4" s="97" t="s">
        <v>203</v>
      </c>
      <c r="N4" s="109" t="s">
        <v>327</v>
      </c>
      <c r="O4" s="57" t="s">
        <v>204</v>
      </c>
    </row>
    <row r="5" spans="1:15" ht="60" x14ac:dyDescent="0.15">
      <c r="A5" s="90" t="str">
        <f t="shared" si="1"/>
        <v>30019_2_4</v>
      </c>
      <c r="B5" s="91" t="s">
        <v>202</v>
      </c>
      <c r="C5" s="92">
        <f>floors!C$2</f>
        <v>30019</v>
      </c>
      <c r="D5" s="93" t="str">
        <f ca="1">VLOOKUP($C5,OFFSET([2]quests!$A$1,0,0,COUNTA([2]quests!$A:$A),MATCH(D$1,[2]quests!$1:$1,0)-MATCH($C$1,[2]quests!$1:$1,0)+1),MATCH(D$1,[2]quests!$1:$1,0)-MATCH($C$1,[2]quests!$1:$1,0)+1,FALSE)</f>
        <v>狙撃は終わらない</v>
      </c>
      <c r="E5" s="93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94">
        <v>2</v>
      </c>
      <c r="G5" s="93" t="str">
        <f ca="1">VLOOKUP($C5&amp;"_"&amp;$F5,OFFSET([2]stages!$A$1,0,0,COUNTA([2]stages!$A:$A),MATCH(G$1,[2]stages!$2:$2,0)-MATCH("temp_stage",[2]stages!$2:$2,0)+1),MATCH(G$1,[2]stages!$2:$2,0)-MATCH("temp_stage",[2]stages!$2:$2,0)+1,FALSE)</f>
        <v>【超絶級】狙撃は終わらない</v>
      </c>
      <c r="H5" s="93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5" s="95">
        <v>0</v>
      </c>
      <c r="J5" s="94">
        <v>4</v>
      </c>
      <c r="K5" s="96" t="str">
        <f t="shared" si="2"/>
        <v>3001904</v>
      </c>
      <c r="L5" s="94" t="s">
        <v>127</v>
      </c>
      <c r="M5" s="97" t="s">
        <v>203</v>
      </c>
      <c r="N5" s="109" t="s">
        <v>330</v>
      </c>
      <c r="O5" s="57" t="s">
        <v>204</v>
      </c>
    </row>
    <row r="6" spans="1:15" ht="60" x14ac:dyDescent="0.15">
      <c r="A6" s="90" t="str">
        <f t="shared" ref="A6" si="3">C6&amp;"_"&amp;F6&amp;"_"&amp;J6</f>
        <v>30019_2_5</v>
      </c>
      <c r="B6" s="91" t="s">
        <v>202</v>
      </c>
      <c r="C6" s="92">
        <f>floors!C$2</f>
        <v>30019</v>
      </c>
      <c r="D6" s="93" t="str">
        <f ca="1">VLOOKUP($C6,OFFSET([2]quests!$A$1,0,0,COUNTA([2]quests!$A:$A),MATCH(D$1,[2]quests!$1:$1,0)-MATCH($C$1,[2]quests!$1:$1,0)+1),MATCH(D$1,[2]quests!$1:$1,0)-MATCH($C$1,[2]quests!$1:$1,0)+1,FALSE)</f>
        <v>狙撃は終わらない</v>
      </c>
      <c r="E6" s="93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94">
        <v>2</v>
      </c>
      <c r="G6" s="93" t="str">
        <f ca="1">VLOOKUP($C6&amp;"_"&amp;$F6,OFFSET([2]stages!$A$1,0,0,COUNTA([2]stages!$A:$A),MATCH(G$1,[2]stages!$2:$2,0)-MATCH("temp_stage",[2]stages!$2:$2,0)+1),MATCH(G$1,[2]stages!$2:$2,0)-MATCH("temp_stage",[2]stages!$2:$2,0)+1,FALSE)</f>
        <v>【超絶級】狙撃は終わらない</v>
      </c>
      <c r="H6" s="93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6" s="95">
        <v>0</v>
      </c>
      <c r="J6" s="94">
        <v>5</v>
      </c>
      <c r="K6" s="96" t="str">
        <f t="shared" si="2"/>
        <v>3001905</v>
      </c>
      <c r="L6" s="94" t="s">
        <v>127</v>
      </c>
      <c r="M6" s="97" t="s">
        <v>203</v>
      </c>
      <c r="N6" s="109" t="s">
        <v>329</v>
      </c>
      <c r="O6" s="57" t="s">
        <v>204</v>
      </c>
    </row>
  </sheetData>
  <phoneticPr fontId="5"/>
  <dataValidations count="1">
    <dataValidation type="list" allowBlank="1" showInputMessage="1" showErrorMessage="1" sqref="B2:B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77"/>
  <sheetViews>
    <sheetView showGridLines="0" workbookViewId="0">
      <pane ySplit="1" topLeftCell="A2" activePane="bottomLeft" state="frozen"/>
      <selection pane="bottomLeft" activeCell="N96" sqref="N96"/>
    </sheetView>
  </sheetViews>
  <sheetFormatPr baseColWidth="12" defaultColWidth="13" defaultRowHeight="15" outlineLevelCol="1" x14ac:dyDescent="0.15"/>
  <cols>
    <col min="2" max="2" width="13" style="9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6" x14ac:dyDescent="0.15">
      <c r="A1" s="82" t="s">
        <v>60</v>
      </c>
      <c r="B1" s="83" t="s">
        <v>191</v>
      </c>
      <c r="C1" s="84" t="s">
        <v>153</v>
      </c>
      <c r="D1" s="85" t="s">
        <v>16</v>
      </c>
      <c r="E1" s="85" t="s">
        <v>33</v>
      </c>
      <c r="F1" s="84" t="s">
        <v>174</v>
      </c>
      <c r="G1" s="85" t="s">
        <v>16</v>
      </c>
      <c r="H1" s="85" t="s">
        <v>33</v>
      </c>
      <c r="I1" s="84" t="s">
        <v>19</v>
      </c>
      <c r="J1" s="84" t="s">
        <v>197</v>
      </c>
      <c r="K1" s="86" t="s">
        <v>198</v>
      </c>
      <c r="L1" s="87" t="s">
        <v>126</v>
      </c>
      <c r="M1" s="87" t="s">
        <v>199</v>
      </c>
      <c r="N1" s="88" t="s">
        <v>200</v>
      </c>
      <c r="O1" s="89" t="s">
        <v>201</v>
      </c>
    </row>
    <row r="2" spans="1:16" x14ac:dyDescent="0.15">
      <c r="A2" s="90" t="str">
        <f t="shared" ref="A2:A60" si="0">C2&amp;"_"&amp;F2&amp;"_"&amp;J2</f>
        <v>30019_1_6</v>
      </c>
      <c r="B2" s="91" t="s">
        <v>249</v>
      </c>
      <c r="C2" s="92">
        <v>30019</v>
      </c>
      <c r="D2" s="93" t="s">
        <v>250</v>
      </c>
      <c r="E2" s="93" t="s">
        <v>251</v>
      </c>
      <c r="F2" s="94">
        <v>1</v>
      </c>
      <c r="G2" s="93" t="s">
        <v>252</v>
      </c>
      <c r="H2" s="93" t="s">
        <v>251</v>
      </c>
      <c r="I2" s="95">
        <v>0</v>
      </c>
      <c r="J2" s="94">
        <v>6</v>
      </c>
      <c r="K2">
        <v>1</v>
      </c>
      <c r="L2" s="94" t="s">
        <v>253</v>
      </c>
      <c r="M2" s="107" t="str">
        <f>VLOOKUP(K2,[7]stage_hints!$A:$C,3,FALSE)</f>
        <v>長くつなげて大ダメージ</v>
      </c>
      <c r="N2" s="108" t="str">
        <f>VLOOKUP(K2,[7]stage_hints!$A:$D,4,FALSE)</f>
        <v>パネルを長くつなげるほど_x000D_大ダメージを与えることができます</v>
      </c>
      <c r="O2" s="57" t="s">
        <v>204</v>
      </c>
      <c r="P2">
        <v>1</v>
      </c>
    </row>
    <row r="3" spans="1:16" x14ac:dyDescent="0.15">
      <c r="A3" s="90" t="str">
        <f t="shared" si="0"/>
        <v>30019_1_7</v>
      </c>
      <c r="B3" s="91" t="s">
        <v>249</v>
      </c>
      <c r="C3" s="92">
        <v>30019</v>
      </c>
      <c r="D3" s="93" t="s">
        <v>250</v>
      </c>
      <c r="E3" s="93" t="s">
        <v>251</v>
      </c>
      <c r="F3" s="94">
        <v>1</v>
      </c>
      <c r="G3" s="93" t="s">
        <v>252</v>
      </c>
      <c r="H3" s="93" t="s">
        <v>251</v>
      </c>
      <c r="I3" s="95">
        <v>0</v>
      </c>
      <c r="J3" s="94">
        <v>7</v>
      </c>
      <c r="K3">
        <v>2</v>
      </c>
      <c r="L3" s="94" t="s">
        <v>253</v>
      </c>
      <c r="M3" s="107" t="str">
        <f>VLOOKUP(K3,[7]stage_hints!$A:$C,3,FALSE)</f>
        <v>属性の相性</v>
      </c>
      <c r="N3" s="108" t="str">
        <f>VLOOKUP(K3,[7]stage_hints!$A:$D,4,FALSE)</f>
        <v>赤＞青　青＞黄　黄＞緑　緑＞赤_x000D_敵属性に最適なパーティがオススメです</v>
      </c>
      <c r="O3" s="57" t="s">
        <v>204</v>
      </c>
      <c r="P3">
        <v>2</v>
      </c>
    </row>
    <row r="4" spans="1:16" x14ac:dyDescent="0.15">
      <c r="A4" s="90" t="str">
        <f t="shared" si="0"/>
        <v>30019_1_8</v>
      </c>
      <c r="B4" s="91" t="s">
        <v>249</v>
      </c>
      <c r="C4" s="92">
        <v>30019</v>
      </c>
      <c r="D4" s="93" t="s">
        <v>250</v>
      </c>
      <c r="E4" s="93" t="s">
        <v>251</v>
      </c>
      <c r="F4" s="94">
        <v>1</v>
      </c>
      <c r="G4" s="93" t="s">
        <v>252</v>
      </c>
      <c r="H4" s="93" t="s">
        <v>251</v>
      </c>
      <c r="I4" s="95">
        <v>0</v>
      </c>
      <c r="J4" s="94">
        <v>8</v>
      </c>
      <c r="K4">
        <v>3</v>
      </c>
      <c r="L4" s="94" t="s">
        <v>253</v>
      </c>
      <c r="M4" s="107" t="str">
        <f>VLOOKUP(K4,[7]stage_hints!$A:$C,3,FALSE)</f>
        <v>ターゲット</v>
      </c>
      <c r="N4" s="108" t="str">
        <f>VLOOKUP(K4,[7]stage_hints!$A:$D,4,FALSE)</f>
        <v>敵ユニットをタップすると_x000D_その敵を狙い撃ちできます</v>
      </c>
      <c r="O4" s="57" t="s">
        <v>204</v>
      </c>
      <c r="P4">
        <v>3</v>
      </c>
    </row>
    <row r="5" spans="1:16" x14ac:dyDescent="0.15">
      <c r="A5" s="90" t="str">
        <f t="shared" si="0"/>
        <v>30019_1_9</v>
      </c>
      <c r="B5" s="91" t="s">
        <v>249</v>
      </c>
      <c r="C5" s="92">
        <v>30019</v>
      </c>
      <c r="D5" s="93" t="s">
        <v>250</v>
      </c>
      <c r="E5" s="93" t="s">
        <v>251</v>
      </c>
      <c r="F5" s="94">
        <v>1</v>
      </c>
      <c r="G5" s="93" t="s">
        <v>252</v>
      </c>
      <c r="H5" s="93" t="s">
        <v>251</v>
      </c>
      <c r="I5" s="95">
        <v>0</v>
      </c>
      <c r="J5" s="94">
        <v>9</v>
      </c>
      <c r="K5">
        <v>4</v>
      </c>
      <c r="L5" s="94" t="s">
        <v>253</v>
      </c>
      <c r="M5" s="107" t="str">
        <f>VLOOKUP(K5,[7]stage_hints!$A:$C,3,FALSE)</f>
        <v>ボーナスクエスト</v>
      </c>
      <c r="N5" s="108" t="str">
        <f>VLOOKUP(K5,[7]stage_hints!$A:$D,4,FALSE)</f>
        <v>ノーマルクエストを進めると_x000D_嬉しいボーナスクエストが登場します</v>
      </c>
      <c r="O5" s="57" t="s">
        <v>204</v>
      </c>
      <c r="P5">
        <v>4</v>
      </c>
    </row>
    <row r="6" spans="1:16" x14ac:dyDescent="0.15">
      <c r="A6" s="90" t="str">
        <f t="shared" si="0"/>
        <v>30019_1_10</v>
      </c>
      <c r="B6" s="91" t="s">
        <v>249</v>
      </c>
      <c r="C6" s="92">
        <v>30019</v>
      </c>
      <c r="D6" s="93" t="s">
        <v>250</v>
      </c>
      <c r="E6" s="93" t="s">
        <v>251</v>
      </c>
      <c r="F6" s="94">
        <v>1</v>
      </c>
      <c r="G6" s="93" t="s">
        <v>252</v>
      </c>
      <c r="H6" s="93" t="s">
        <v>251</v>
      </c>
      <c r="I6" s="95">
        <v>0</v>
      </c>
      <c r="J6" s="94">
        <v>10</v>
      </c>
      <c r="K6">
        <v>5</v>
      </c>
      <c r="L6" s="94" t="s">
        <v>253</v>
      </c>
      <c r="M6" s="107" t="str">
        <f>VLOOKUP(K6,[7]stage_hints!$A:$C,3,FALSE)</f>
        <v>ユニット強化でレベルアップ</v>
      </c>
      <c r="N6" s="108" t="str">
        <f>VLOOKUP(K6,[7]stage_hints!$A:$D,4,FALSE)</f>
        <v>「ユニット強化」でレベルアップすると_x000D_勝てない敵にも勝てるようになります</v>
      </c>
      <c r="O6" s="57" t="s">
        <v>204</v>
      </c>
      <c r="P6">
        <v>5</v>
      </c>
    </row>
    <row r="7" spans="1:16" x14ac:dyDescent="0.15">
      <c r="A7" s="90" t="str">
        <f t="shared" si="0"/>
        <v>30019_1_11</v>
      </c>
      <c r="B7" s="91" t="s">
        <v>249</v>
      </c>
      <c r="C7" s="92">
        <v>30019</v>
      </c>
      <c r="D7" s="93" t="s">
        <v>250</v>
      </c>
      <c r="E7" s="93" t="s">
        <v>251</v>
      </c>
      <c r="F7" s="94">
        <v>1</v>
      </c>
      <c r="G7" s="93" t="s">
        <v>252</v>
      </c>
      <c r="H7" s="93" t="s">
        <v>251</v>
      </c>
      <c r="I7" s="95">
        <v>0</v>
      </c>
      <c r="J7" s="94">
        <v>11</v>
      </c>
      <c r="K7">
        <v>6</v>
      </c>
      <c r="L7" s="94" t="s">
        <v>253</v>
      </c>
      <c r="M7" s="107" t="str">
        <f>VLOOKUP(K7,[7]stage_hints!$A:$C,3,FALSE)</f>
        <v>ユニット強化の属性ボーナス</v>
      </c>
      <c r="N7" s="108" t="str">
        <f>VLOOKUP(K7,[7]stage_hints!$A:$D,4,FALSE)</f>
        <v>同属性ユニットを強化素材にすると_x000D_経験値が多くもらえます</v>
      </c>
      <c r="O7" s="57" t="s">
        <v>204</v>
      </c>
      <c r="P7">
        <v>6</v>
      </c>
    </row>
    <row r="8" spans="1:16" x14ac:dyDescent="0.15">
      <c r="A8" s="90" t="str">
        <f t="shared" si="0"/>
        <v>30019_1_12</v>
      </c>
      <c r="B8" s="91" t="s">
        <v>249</v>
      </c>
      <c r="C8" s="92">
        <v>30019</v>
      </c>
      <c r="D8" s="93" t="s">
        <v>250</v>
      </c>
      <c r="E8" s="93" t="s">
        <v>251</v>
      </c>
      <c r="F8" s="94">
        <v>1</v>
      </c>
      <c r="G8" s="93" t="s">
        <v>252</v>
      </c>
      <c r="H8" s="93" t="s">
        <v>251</v>
      </c>
      <c r="I8" s="95">
        <v>0</v>
      </c>
      <c r="J8" s="94">
        <v>12</v>
      </c>
      <c r="K8">
        <v>7</v>
      </c>
      <c r="L8" s="94" t="s">
        <v>253</v>
      </c>
      <c r="M8" s="107" t="str">
        <f>VLOOKUP(K8,[7]stage_hints!$A:$C,3,FALSE)</f>
        <v>メタルダックで経験値を獲得</v>
      </c>
      <c r="N8" s="108" t="str">
        <f>VLOOKUP(K8,[7]stage_hints!$A:$D,4,FALSE)</f>
        <v>「メタルなアヒル」を強化素材にすると_x000D_大量の経験値がもらえます</v>
      </c>
      <c r="O8" s="57" t="s">
        <v>204</v>
      </c>
      <c r="P8">
        <v>7</v>
      </c>
    </row>
    <row r="9" spans="1:16" x14ac:dyDescent="0.15">
      <c r="A9" s="90" t="str">
        <f t="shared" si="0"/>
        <v>30019_1_13</v>
      </c>
      <c r="B9" s="91" t="s">
        <v>249</v>
      </c>
      <c r="C9" s="92">
        <v>30019</v>
      </c>
      <c r="D9" s="93" t="s">
        <v>250</v>
      </c>
      <c r="E9" s="93" t="s">
        <v>251</v>
      </c>
      <c r="F9" s="94">
        <v>1</v>
      </c>
      <c r="G9" s="93" t="s">
        <v>252</v>
      </c>
      <c r="H9" s="93" t="s">
        <v>251</v>
      </c>
      <c r="I9" s="95">
        <v>0</v>
      </c>
      <c r="J9" s="94">
        <v>13</v>
      </c>
      <c r="K9">
        <v>8</v>
      </c>
      <c r="L9" s="94" t="s">
        <v>253</v>
      </c>
      <c r="M9" s="107" t="str">
        <f>VLOOKUP(K9,[7]stage_hints!$A:$C,3,FALSE)</f>
        <v>ゲリラクエストは要チェック</v>
      </c>
      <c r="N9" s="108" t="str">
        <f>VLOOKUP(K9,[7]stage_hints!$A:$D,4,FALSE)</f>
        <v>時間限定の「アヒル捕獲作戦」では_x000D_経験値素材ユニットが多く手に入ります</v>
      </c>
      <c r="O9" s="57" t="s">
        <v>204</v>
      </c>
      <c r="P9">
        <v>8</v>
      </c>
    </row>
    <row r="10" spans="1:16" x14ac:dyDescent="0.15">
      <c r="A10" s="90" t="str">
        <f t="shared" si="0"/>
        <v>30019_1_14</v>
      </c>
      <c r="B10" s="91" t="s">
        <v>249</v>
      </c>
      <c r="C10" s="92">
        <v>30019</v>
      </c>
      <c r="D10" s="93" t="s">
        <v>250</v>
      </c>
      <c r="E10" s="93" t="s">
        <v>251</v>
      </c>
      <c r="F10" s="94">
        <v>1</v>
      </c>
      <c r="G10" s="93" t="s">
        <v>252</v>
      </c>
      <c r="H10" s="93" t="s">
        <v>251</v>
      </c>
      <c r="I10" s="95">
        <v>0</v>
      </c>
      <c r="J10" s="94">
        <v>14</v>
      </c>
      <c r="K10">
        <v>9</v>
      </c>
      <c r="L10" s="94" t="s">
        <v>253</v>
      </c>
      <c r="M10" s="107" t="str">
        <f>VLOOKUP(K10,[7]stage_hints!$A:$C,3,FALSE)</f>
        <v>ゴールドダックでビットを獲得</v>
      </c>
      <c r="N10" s="108" t="str">
        <f>VLOOKUP(K10,[7]stage_hints!$A:$D,4,FALSE)</f>
        <v>「ゴールドなアヒル」を売却すると_x000D_大量のビットがもらえます</v>
      </c>
      <c r="O10" s="57" t="s">
        <v>204</v>
      </c>
      <c r="P10">
        <v>9</v>
      </c>
    </row>
    <row r="11" spans="1:16" x14ac:dyDescent="0.15">
      <c r="A11" s="90" t="str">
        <f t="shared" si="0"/>
        <v>30019_1_15</v>
      </c>
      <c r="B11" s="91" t="s">
        <v>249</v>
      </c>
      <c r="C11" s="92">
        <v>30019</v>
      </c>
      <c r="D11" s="93" t="s">
        <v>250</v>
      </c>
      <c r="E11" s="93" t="s">
        <v>251</v>
      </c>
      <c r="F11" s="94">
        <v>1</v>
      </c>
      <c r="G11" s="93" t="s">
        <v>252</v>
      </c>
      <c r="H11" s="93" t="s">
        <v>251</v>
      </c>
      <c r="I11" s="95">
        <v>0</v>
      </c>
      <c r="J11" s="94">
        <v>15</v>
      </c>
      <c r="K11">
        <v>10</v>
      </c>
      <c r="L11" s="94" t="s">
        <v>253</v>
      </c>
      <c r="M11" s="107" t="str">
        <f>VLOOKUP(K11,[7]stage_hints!$A:$C,3,FALSE)</f>
        <v>土日に大量のビットを獲得</v>
      </c>
      <c r="N11" s="108" t="str">
        <f>VLOOKUP(K11,[7]stage_hints!$A:$D,4,FALSE)</f>
        <v>土日限定の「ゴールドカジノ」では_x000D_売却素材ユニットが多く手に入ります</v>
      </c>
      <c r="O11" s="57" t="s">
        <v>204</v>
      </c>
      <c r="P11">
        <v>10</v>
      </c>
    </row>
    <row r="12" spans="1:16" x14ac:dyDescent="0.15">
      <c r="A12" s="90" t="str">
        <f t="shared" si="0"/>
        <v>30019_1_16</v>
      </c>
      <c r="B12" s="91" t="s">
        <v>249</v>
      </c>
      <c r="C12" s="92">
        <v>30019</v>
      </c>
      <c r="D12" s="93" t="s">
        <v>250</v>
      </c>
      <c r="E12" s="93" t="s">
        <v>251</v>
      </c>
      <c r="F12" s="94">
        <v>1</v>
      </c>
      <c r="G12" s="93" t="s">
        <v>252</v>
      </c>
      <c r="H12" s="93" t="s">
        <v>251</v>
      </c>
      <c r="I12" s="95">
        <v>0</v>
      </c>
      <c r="J12" s="94">
        <v>16</v>
      </c>
      <c r="K12">
        <v>11</v>
      </c>
      <c r="L12" s="94" t="s">
        <v>253</v>
      </c>
      <c r="M12" s="107" t="str">
        <f>VLOOKUP(K12,[7]stage_hints!$A:$C,3,FALSE)</f>
        <v>ランク解放クエスト</v>
      </c>
      <c r="N12" s="108" t="str">
        <f>VLOOKUP(K12,[7]stage_hints!$A:$D,4,FALSE)</f>
        <v>一定ランクに到達すると_x000D_報酬付きのランク開放クエストが現れます</v>
      </c>
      <c r="O12" s="57" t="s">
        <v>204</v>
      </c>
      <c r="P12">
        <v>11</v>
      </c>
    </row>
    <row r="13" spans="1:16" x14ac:dyDescent="0.15">
      <c r="A13" s="90" t="str">
        <f t="shared" si="0"/>
        <v>30019_1_17</v>
      </c>
      <c r="B13" s="91" t="s">
        <v>249</v>
      </c>
      <c r="C13" s="92">
        <v>30019</v>
      </c>
      <c r="D13" s="93" t="s">
        <v>250</v>
      </c>
      <c r="E13" s="93" t="s">
        <v>251</v>
      </c>
      <c r="F13" s="94">
        <v>1</v>
      </c>
      <c r="G13" s="93" t="s">
        <v>252</v>
      </c>
      <c r="H13" s="93" t="s">
        <v>251</v>
      </c>
      <c r="I13" s="95">
        <v>0</v>
      </c>
      <c r="J13" s="94">
        <v>17</v>
      </c>
      <c r="K13">
        <v>12</v>
      </c>
      <c r="L13" s="94" t="s">
        <v>253</v>
      </c>
      <c r="M13" s="107" t="str">
        <f>VLOOKUP(K13,[7]stage_hints!$A:$C,3,FALSE)</f>
        <v>ユニットのお気に入り登録</v>
      </c>
      <c r="N13" s="108" t="str">
        <f>VLOOKUP(K13,[7]stage_hints!$A:$D,4,FALSE)</f>
        <v>大事なユニットを誤って消さないように_x000D_フォルダから「お気に入り登録」しましょう</v>
      </c>
      <c r="O13" s="57" t="s">
        <v>204</v>
      </c>
      <c r="P13">
        <v>12</v>
      </c>
    </row>
    <row r="14" spans="1:16" x14ac:dyDescent="0.15">
      <c r="A14" s="90" t="str">
        <f t="shared" si="0"/>
        <v>30019_1_18</v>
      </c>
      <c r="B14" s="91" t="s">
        <v>249</v>
      </c>
      <c r="C14" s="92">
        <v>30019</v>
      </c>
      <c r="D14" s="93" t="s">
        <v>250</v>
      </c>
      <c r="E14" s="93" t="s">
        <v>251</v>
      </c>
      <c r="F14" s="94">
        <v>1</v>
      </c>
      <c r="G14" s="93" t="s">
        <v>252</v>
      </c>
      <c r="H14" s="93" t="s">
        <v>251</v>
      </c>
      <c r="I14" s="95">
        <v>0</v>
      </c>
      <c r="J14" s="94">
        <v>18</v>
      </c>
      <c r="K14">
        <v>13</v>
      </c>
      <c r="L14" s="94" t="s">
        <v>253</v>
      </c>
      <c r="M14" s="107" t="str">
        <f>VLOOKUP(K14,[7]stage_hints!$A:$C,3,FALSE)</f>
        <v>ユニットの覚醒</v>
      </c>
      <c r="N14" s="108" t="str">
        <f>VLOOKUP(K14,[7]stage_hints!$A:$D,4,FALSE)</f>
        <v>ユニットを覚醒させると_x000D_比べものにならない強さが手に入ります</v>
      </c>
      <c r="O14" s="57" t="s">
        <v>204</v>
      </c>
      <c r="P14">
        <v>13</v>
      </c>
    </row>
    <row r="15" spans="1:16" x14ac:dyDescent="0.15">
      <c r="A15" s="90" t="str">
        <f t="shared" si="0"/>
        <v>30019_1_19</v>
      </c>
      <c r="B15" s="91" t="s">
        <v>249</v>
      </c>
      <c r="C15" s="92">
        <v>30019</v>
      </c>
      <c r="D15" s="93" t="s">
        <v>250</v>
      </c>
      <c r="E15" s="93" t="s">
        <v>251</v>
      </c>
      <c r="F15" s="94">
        <v>1</v>
      </c>
      <c r="G15" s="93" t="s">
        <v>252</v>
      </c>
      <c r="H15" s="93" t="s">
        <v>251</v>
      </c>
      <c r="I15" s="95">
        <v>0</v>
      </c>
      <c r="J15" s="94">
        <v>19</v>
      </c>
      <c r="K15">
        <v>14</v>
      </c>
      <c r="L15" s="94" t="s">
        <v>253</v>
      </c>
      <c r="M15" s="107" t="str">
        <f>VLOOKUP(K15,[7]stage_hints!$A:$C,3,FALSE)</f>
        <v>覚醒するにはレベルを最大に</v>
      </c>
      <c r="N15" s="108" t="str">
        <f>VLOOKUP(K15,[7]stage_hints!$A:$D,4,FALSE)</f>
        <v>覚醒するにはユニットのレベルを_x000D_最大まで上げる必要があります</v>
      </c>
      <c r="O15" s="57" t="s">
        <v>204</v>
      </c>
      <c r="P15">
        <v>14</v>
      </c>
    </row>
    <row r="16" spans="1:16" x14ac:dyDescent="0.15">
      <c r="A16" s="90" t="str">
        <f t="shared" si="0"/>
        <v>30019_1_20</v>
      </c>
      <c r="B16" s="91" t="s">
        <v>249</v>
      </c>
      <c r="C16" s="92">
        <v>30019</v>
      </c>
      <c r="D16" s="93" t="s">
        <v>250</v>
      </c>
      <c r="E16" s="93" t="s">
        <v>251</v>
      </c>
      <c r="F16" s="94">
        <v>1</v>
      </c>
      <c r="G16" s="93" t="s">
        <v>252</v>
      </c>
      <c r="H16" s="93" t="s">
        <v>251</v>
      </c>
      <c r="I16" s="95">
        <v>0</v>
      </c>
      <c r="J16" s="94">
        <v>20</v>
      </c>
      <c r="K16">
        <v>15</v>
      </c>
      <c r="L16" s="94" t="s">
        <v>253</v>
      </c>
      <c r="M16" s="107" t="str">
        <f>VLOOKUP(K16,[7]stage_hints!$A:$C,3,FALSE)</f>
        <v>覚醒素材を獲得</v>
      </c>
      <c r="N16" s="108" t="str">
        <f>VLOOKUP(K16,[7]stage_hints!$A:$D,4,FALSE)</f>
        <v>「曜日クエスト」では_x000D_ユニットの覚醒に必要な素材が手に入ります</v>
      </c>
      <c r="O16" s="57" t="s">
        <v>204</v>
      </c>
      <c r="P16">
        <v>15</v>
      </c>
    </row>
    <row r="17" spans="1:16" x14ac:dyDescent="0.15">
      <c r="A17" s="90" t="str">
        <f t="shared" si="0"/>
        <v>30019_1_21</v>
      </c>
      <c r="B17" s="91" t="s">
        <v>249</v>
      </c>
      <c r="C17" s="92">
        <v>30019</v>
      </c>
      <c r="D17" s="93" t="s">
        <v>250</v>
      </c>
      <c r="E17" s="93" t="s">
        <v>251</v>
      </c>
      <c r="F17" s="94">
        <v>1</v>
      </c>
      <c r="G17" s="93" t="s">
        <v>252</v>
      </c>
      <c r="H17" s="93" t="s">
        <v>251</v>
      </c>
      <c r="I17" s="95">
        <v>0</v>
      </c>
      <c r="J17" s="94">
        <v>21</v>
      </c>
      <c r="K17">
        <v>16</v>
      </c>
      <c r="L17" s="94" t="s">
        <v>253</v>
      </c>
      <c r="M17" s="107" t="str">
        <f>VLOOKUP(K17,[7]stage_hints!$A:$C,3,FALSE)</f>
        <v>マルチプレイのメリット（その1）</v>
      </c>
      <c r="N17" s="108" t="str">
        <f>VLOOKUP(K17,[7]stage_hints!$A:$D,4,FALSE)</f>
        <v>他のプレイヤーとマルチプレイで遊ぶと_x000D_ポリゴンがもらえます（100人まで）</v>
      </c>
      <c r="O17" s="57" t="s">
        <v>204</v>
      </c>
      <c r="P17">
        <v>16</v>
      </c>
    </row>
    <row r="18" spans="1:16" x14ac:dyDescent="0.15">
      <c r="A18" s="90" t="str">
        <f t="shared" si="0"/>
        <v>30019_1_22</v>
      </c>
      <c r="B18" s="91" t="s">
        <v>249</v>
      </c>
      <c r="C18" s="92">
        <v>30019</v>
      </c>
      <c r="D18" s="93" t="s">
        <v>250</v>
      </c>
      <c r="E18" s="93" t="s">
        <v>251</v>
      </c>
      <c r="F18" s="94">
        <v>1</v>
      </c>
      <c r="G18" s="93" t="s">
        <v>252</v>
      </c>
      <c r="H18" s="93" t="s">
        <v>251</v>
      </c>
      <c r="I18" s="95">
        <v>0</v>
      </c>
      <c r="J18" s="94">
        <v>22</v>
      </c>
      <c r="K18">
        <v>17</v>
      </c>
      <c r="L18" s="94" t="s">
        <v>253</v>
      </c>
      <c r="M18" s="107" t="str">
        <f>VLOOKUP(K18,[7]stage_hints!$A:$C,3,FALSE)</f>
        <v>リンクガチャ</v>
      </c>
      <c r="N18" s="108" t="str">
        <f>VLOOKUP(K18,[7]stage_hints!$A:$D,4,FALSE)</f>
        <v>無料のリンクガチャを回して_x000D_経験値素材や売却素材を獲得しましょう</v>
      </c>
      <c r="O18" s="57" t="s">
        <v>204</v>
      </c>
      <c r="P18">
        <v>17</v>
      </c>
    </row>
    <row r="19" spans="1:16" x14ac:dyDescent="0.15">
      <c r="A19" s="90" t="str">
        <f t="shared" si="0"/>
        <v>30019_1_23</v>
      </c>
      <c r="B19" s="91" t="s">
        <v>249</v>
      </c>
      <c r="C19" s="92">
        <v>30019</v>
      </c>
      <c r="D19" s="93" t="s">
        <v>250</v>
      </c>
      <c r="E19" s="93" t="s">
        <v>251</v>
      </c>
      <c r="F19" s="94">
        <v>1</v>
      </c>
      <c r="G19" s="93" t="s">
        <v>252</v>
      </c>
      <c r="H19" s="93" t="s">
        <v>251</v>
      </c>
      <c r="I19" s="95">
        <v>0</v>
      </c>
      <c r="J19" s="94">
        <v>23</v>
      </c>
      <c r="K19">
        <v>18</v>
      </c>
      <c r="L19" s="94" t="s">
        <v>253</v>
      </c>
      <c r="M19" s="107" t="str">
        <f>VLOOKUP(K19,[7]stage_hints!$A:$C,3,FALSE)</f>
        <v>マルチプレイのメリット（その2）</v>
      </c>
      <c r="N19" s="108" t="str">
        <f>VLOOKUP(K19,[7]stage_hints!$A:$D,4,FALSE)</f>
        <v>マルチプレイならリンクが2倍もらえます_x000D_リンクガチャをたくさん回しましょう</v>
      </c>
      <c r="O19" s="57" t="s">
        <v>204</v>
      </c>
      <c r="P19">
        <v>18</v>
      </c>
    </row>
    <row r="20" spans="1:16" x14ac:dyDescent="0.15">
      <c r="A20" s="90" t="str">
        <f t="shared" si="0"/>
        <v>30019_1_24</v>
      </c>
      <c r="B20" s="91" t="s">
        <v>249</v>
      </c>
      <c r="C20" s="92">
        <v>30019</v>
      </c>
      <c r="D20" s="93" t="s">
        <v>250</v>
      </c>
      <c r="E20" s="93" t="s">
        <v>251</v>
      </c>
      <c r="F20" s="94">
        <v>1</v>
      </c>
      <c r="G20" s="93" t="s">
        <v>252</v>
      </c>
      <c r="H20" s="93" t="s">
        <v>251</v>
      </c>
      <c r="I20" s="95">
        <v>0</v>
      </c>
      <c r="J20" s="94">
        <v>24</v>
      </c>
      <c r="K20">
        <v>19</v>
      </c>
      <c r="L20" s="94" t="s">
        <v>253</v>
      </c>
      <c r="M20" s="107" t="str">
        <f>VLOOKUP(K20,[7]stage_hints!$A:$C,3,FALSE)</f>
        <v>ソロ専用タワーオブザクイーン</v>
      </c>
      <c r="N20" s="108" t="str">
        <f>VLOOKUP(K20,[7]stage_hints!$A:$D,4,FALSE)</f>
        <v>ソロ専用の「タワーオブザクイーン」は_x000D_期間限定で定期的に開催されます_x000D_ここでしか獲得できない報酬もあるようです</v>
      </c>
      <c r="O20" s="57" t="s">
        <v>204</v>
      </c>
      <c r="P20">
        <v>19</v>
      </c>
    </row>
    <row r="21" spans="1:16" x14ac:dyDescent="0.15">
      <c r="A21" s="90" t="str">
        <f t="shared" si="0"/>
        <v>30019_1_25</v>
      </c>
      <c r="B21" s="91" t="s">
        <v>249</v>
      </c>
      <c r="C21" s="92">
        <v>30019</v>
      </c>
      <c r="D21" s="93" t="s">
        <v>250</v>
      </c>
      <c r="E21" s="93" t="s">
        <v>251</v>
      </c>
      <c r="F21" s="94">
        <v>1</v>
      </c>
      <c r="G21" s="93" t="s">
        <v>252</v>
      </c>
      <c r="H21" s="93" t="s">
        <v>251</v>
      </c>
      <c r="I21" s="95">
        <v>0</v>
      </c>
      <c r="J21" s="94">
        <v>25</v>
      </c>
      <c r="K21">
        <v>20</v>
      </c>
      <c r="L21" s="94" t="s">
        <v>253</v>
      </c>
      <c r="M21" s="107" t="str">
        <f>VLOOKUP(K21,[7]stage_hints!$A:$C,3,FALSE)</f>
        <v>マルチプレイのメリット（その3）</v>
      </c>
      <c r="N21" s="108" t="str">
        <f>VLOOKUP(K21,[7]stage_hints!$A:$D,4,FALSE)</f>
        <v>マルチプレイへの参加はエナジー消費ゼロ_x000D_いつでも好きなだけ遊ぶことができます</v>
      </c>
      <c r="O21" s="57" t="s">
        <v>204</v>
      </c>
      <c r="P21">
        <v>20</v>
      </c>
    </row>
    <row r="22" spans="1:16" x14ac:dyDescent="0.15">
      <c r="A22" s="90" t="str">
        <f t="shared" si="0"/>
        <v>30019_1_26</v>
      </c>
      <c r="B22" s="91" t="s">
        <v>249</v>
      </c>
      <c r="C22" s="92">
        <v>30019</v>
      </c>
      <c r="D22" s="93" t="s">
        <v>250</v>
      </c>
      <c r="E22" s="93" t="s">
        <v>251</v>
      </c>
      <c r="F22" s="94">
        <v>1</v>
      </c>
      <c r="G22" s="93" t="s">
        <v>252</v>
      </c>
      <c r="H22" s="93" t="s">
        <v>251</v>
      </c>
      <c r="I22" s="95">
        <v>0</v>
      </c>
      <c r="J22" s="94">
        <v>26</v>
      </c>
      <c r="K22">
        <v>21</v>
      </c>
      <c r="L22" s="94" t="s">
        <v>253</v>
      </c>
      <c r="M22" s="107" t="str">
        <f>VLOOKUP(K22,[7]stage_hints!$A:$C,3,FALSE)</f>
        <v>スキルを有効に</v>
      </c>
      <c r="N22" s="108" t="str">
        <f>VLOOKUP(K22,[7]stage_hints!$A:$D,4,FALSE)</f>
        <v>ターン経過でユニットのスキルが使えます_x000D_強力スキルでバトルを有利に進めましょう</v>
      </c>
      <c r="O22" s="57" t="s">
        <v>204</v>
      </c>
      <c r="P22">
        <v>21</v>
      </c>
    </row>
    <row r="23" spans="1:16" x14ac:dyDescent="0.15">
      <c r="A23" s="90" t="str">
        <f t="shared" si="0"/>
        <v>30019_1_27</v>
      </c>
      <c r="B23" s="91" t="s">
        <v>249</v>
      </c>
      <c r="C23" s="92">
        <v>30019</v>
      </c>
      <c r="D23" s="93" t="s">
        <v>250</v>
      </c>
      <c r="E23" s="93" t="s">
        <v>251</v>
      </c>
      <c r="F23" s="94">
        <v>1</v>
      </c>
      <c r="G23" s="93" t="s">
        <v>252</v>
      </c>
      <c r="H23" s="93" t="s">
        <v>251</v>
      </c>
      <c r="I23" s="95">
        <v>0</v>
      </c>
      <c r="J23" s="94">
        <v>27</v>
      </c>
      <c r="K23">
        <v>22</v>
      </c>
      <c r="L23" s="94" t="s">
        <v>253</v>
      </c>
      <c r="M23" s="107" t="str">
        <f>VLOOKUP(K23,[7]stage_hints!$A:$C,3,FALSE)</f>
        <v>フィーバーで一発逆転（その1）</v>
      </c>
      <c r="N23" s="108" t="str">
        <f>VLOOKUP(K23,[7]stage_hints!$A:$D,4,FALSE)</f>
        <v>フィーバーは攻撃と回復を兼ね備えます_x000D_ピンチからの一発逆転を狙いましょう</v>
      </c>
      <c r="O23" s="57" t="s">
        <v>204</v>
      </c>
      <c r="P23">
        <v>22</v>
      </c>
    </row>
    <row r="24" spans="1:16" x14ac:dyDescent="0.15">
      <c r="A24" s="90" t="str">
        <f t="shared" si="0"/>
        <v>30019_1_28</v>
      </c>
      <c r="B24" s="91" t="s">
        <v>249</v>
      </c>
      <c r="C24" s="92">
        <v>30019</v>
      </c>
      <c r="D24" s="93" t="s">
        <v>250</v>
      </c>
      <c r="E24" s="93" t="s">
        <v>251</v>
      </c>
      <c r="F24" s="94">
        <v>1</v>
      </c>
      <c r="G24" s="93" t="s">
        <v>252</v>
      </c>
      <c r="H24" s="93" t="s">
        <v>251</v>
      </c>
      <c r="I24" s="95">
        <v>0</v>
      </c>
      <c r="J24" s="94">
        <v>28</v>
      </c>
      <c r="K24">
        <v>23</v>
      </c>
      <c r="L24" s="94" t="s">
        <v>253</v>
      </c>
      <c r="M24" s="107" t="str">
        <f>VLOOKUP(K24,[7]stage_hints!$A:$C,3,FALSE)</f>
        <v>フィーバーで一発逆転（その2）</v>
      </c>
      <c r="N24" s="108" t="str">
        <f>VLOOKUP(K24,[7]stage_hints!$A:$D,4,FALSE)</f>
        <v>フィーバー中は虹色のボムパネルを狙って_x000D_画面上のパネルを一気に破壊しましょう</v>
      </c>
      <c r="O24" s="57" t="s">
        <v>204</v>
      </c>
      <c r="P24">
        <v>23</v>
      </c>
    </row>
    <row r="25" spans="1:16" x14ac:dyDescent="0.15">
      <c r="A25" s="90" t="str">
        <f t="shared" si="0"/>
        <v>30019_1_29</v>
      </c>
      <c r="B25" s="91" t="s">
        <v>249</v>
      </c>
      <c r="C25" s="92">
        <v>30019</v>
      </c>
      <c r="D25" s="93" t="s">
        <v>250</v>
      </c>
      <c r="E25" s="93" t="s">
        <v>251</v>
      </c>
      <c r="F25" s="94">
        <v>1</v>
      </c>
      <c r="G25" s="93" t="s">
        <v>252</v>
      </c>
      <c r="H25" s="93" t="s">
        <v>251</v>
      </c>
      <c r="I25" s="95">
        <v>0</v>
      </c>
      <c r="J25" s="94">
        <v>29</v>
      </c>
      <c r="K25">
        <v>24</v>
      </c>
      <c r="L25" s="94" t="s">
        <v>253</v>
      </c>
      <c r="M25" s="107" t="str">
        <f>VLOOKUP(K25,[7]stage_hints!$A:$C,3,FALSE)</f>
        <v>果実を使って限界突破</v>
      </c>
      <c r="N25" s="108" t="str">
        <f>VLOOKUP(K25,[7]stage_hints!$A:$D,4,FALSE)</f>
        <v>攻めの果実 癒しの果実_x000D_生命の果実をユニット強化に使うと_x000D_ステータスが限界突破します（計99個迄）</v>
      </c>
      <c r="O25" s="57" t="s">
        <v>204</v>
      </c>
      <c r="P25">
        <v>24</v>
      </c>
    </row>
    <row r="26" spans="1:16" x14ac:dyDescent="0.15">
      <c r="A26" s="90" t="str">
        <f t="shared" si="0"/>
        <v>30019_1_30</v>
      </c>
      <c r="B26" s="91" t="s">
        <v>249</v>
      </c>
      <c r="C26" s="92">
        <v>30019</v>
      </c>
      <c r="D26" s="93" t="s">
        <v>250</v>
      </c>
      <c r="E26" s="93" t="s">
        <v>261</v>
      </c>
      <c r="F26" s="94">
        <v>1</v>
      </c>
      <c r="G26" s="93" t="s">
        <v>252</v>
      </c>
      <c r="H26" s="93" t="s">
        <v>261</v>
      </c>
      <c r="I26" s="95">
        <v>0</v>
      </c>
      <c r="J26" s="94">
        <v>30</v>
      </c>
      <c r="K26">
        <v>25</v>
      </c>
      <c r="L26" s="94" t="s">
        <v>253</v>
      </c>
      <c r="M26" s="107" t="str">
        <f>VLOOKUP(K26,[7]stage_hints!$A:$C,3,FALSE)</f>
        <v>スキルレベルアップ</v>
      </c>
      <c r="N26" s="108" t="str">
        <f>VLOOKUP(K26,[7]stage_hints!$A:$D,4,FALSE)</f>
        <v>「秘術の果実」を強化に使うと_x000D_スキルレベルを上げることができます</v>
      </c>
      <c r="O26" s="57" t="s">
        <v>204</v>
      </c>
      <c r="P26">
        <v>25</v>
      </c>
    </row>
    <row r="27" spans="1:16" x14ac:dyDescent="0.15">
      <c r="A27" s="90" t="str">
        <f t="shared" si="0"/>
        <v>30019_1_31</v>
      </c>
      <c r="B27" s="91" t="s">
        <v>249</v>
      </c>
      <c r="C27" s="92">
        <v>30019</v>
      </c>
      <c r="D27" s="93" t="s">
        <v>250</v>
      </c>
      <c r="E27" s="93" t="s">
        <v>262</v>
      </c>
      <c r="F27" s="94">
        <v>1</v>
      </c>
      <c r="G27" s="93" t="s">
        <v>252</v>
      </c>
      <c r="H27" s="93" t="s">
        <v>262</v>
      </c>
      <c r="I27" s="95">
        <v>0</v>
      </c>
      <c r="J27" s="94">
        <v>31</v>
      </c>
      <c r="K27">
        <v>26</v>
      </c>
      <c r="L27" s="94" t="s">
        <v>253</v>
      </c>
      <c r="M27" s="107" t="str">
        <f>VLOOKUP(K27,[7]stage_hints!$A:$C,3,FALSE)</f>
        <v>スキルレベルの効果</v>
      </c>
      <c r="N27" s="108" t="str">
        <f>VLOOKUP(K27,[7]stage_hints!$A:$D,4,FALSE)</f>
        <v>スキルレベルが上がると_x000D_短いターンでスキルを使うことができます</v>
      </c>
      <c r="O27" s="57" t="s">
        <v>204</v>
      </c>
      <c r="P27">
        <v>26</v>
      </c>
    </row>
    <row r="28" spans="1:16" x14ac:dyDescent="0.15">
      <c r="A28" s="90" t="str">
        <f t="shared" si="0"/>
        <v>30019_1_32</v>
      </c>
      <c r="B28" s="91" t="s">
        <v>249</v>
      </c>
      <c r="C28" s="92">
        <v>30019</v>
      </c>
      <c r="D28" s="93" t="s">
        <v>250</v>
      </c>
      <c r="E28" s="93" t="s">
        <v>263</v>
      </c>
      <c r="F28" s="94">
        <v>1</v>
      </c>
      <c r="G28" s="93" t="s">
        <v>252</v>
      </c>
      <c r="H28" s="93" t="s">
        <v>263</v>
      </c>
      <c r="I28" s="95">
        <v>0</v>
      </c>
      <c r="J28" s="94">
        <v>32</v>
      </c>
      <c r="K28">
        <v>27</v>
      </c>
      <c r="L28" s="94" t="s">
        <v>253</v>
      </c>
      <c r="M28" s="107" t="str">
        <f>VLOOKUP(K28,[7]stage_hints!$A:$C,3,FALSE)</f>
        <v>ホーム画面からデッキを編成</v>
      </c>
      <c r="N28" s="108" t="str">
        <f>VLOOKUP(K28,[7]stage_hints!$A:$D,4,FALSE)</f>
        <v>ホーム画面でユニットを長押しすると_x000D_すぐにパーティ編成に移動できます</v>
      </c>
      <c r="O28" s="57" t="s">
        <v>204</v>
      </c>
      <c r="P28">
        <v>27</v>
      </c>
    </row>
    <row r="29" spans="1:16" x14ac:dyDescent="0.15">
      <c r="A29" s="90" t="str">
        <f t="shared" si="0"/>
        <v>30019_1_33</v>
      </c>
      <c r="B29" s="91" t="s">
        <v>249</v>
      </c>
      <c r="C29" s="92">
        <v>30019</v>
      </c>
      <c r="D29" s="93" t="s">
        <v>250</v>
      </c>
      <c r="E29" s="93" t="s">
        <v>264</v>
      </c>
      <c r="F29" s="94">
        <v>1</v>
      </c>
      <c r="G29" s="93" t="s">
        <v>252</v>
      </c>
      <c r="H29" s="93" t="s">
        <v>264</v>
      </c>
      <c r="I29" s="95">
        <v>0</v>
      </c>
      <c r="J29" s="94">
        <v>33</v>
      </c>
      <c r="K29">
        <v>28</v>
      </c>
      <c r="L29" s="94" t="s">
        <v>253</v>
      </c>
      <c r="M29" s="107" t="str">
        <f>VLOOKUP(K29,[7]stage_hints!$A:$C,3,FALSE)</f>
        <v>ステータス情報は長押しで</v>
      </c>
      <c r="N29" s="108" t="str">
        <f>VLOOKUP(K29,[7]stage_hints!$A:$D,4,FALSE)</f>
        <v>ユニットのアイコンを長押しすると_x000D_ステータス情報を確認することができます</v>
      </c>
      <c r="O29" s="57" t="s">
        <v>204</v>
      </c>
      <c r="P29">
        <v>28</v>
      </c>
    </row>
    <row r="30" spans="1:16" x14ac:dyDescent="0.15">
      <c r="A30" s="90" t="str">
        <f t="shared" si="0"/>
        <v>30019_1_34</v>
      </c>
      <c r="B30" s="91" t="s">
        <v>249</v>
      </c>
      <c r="C30" s="92">
        <v>30019</v>
      </c>
      <c r="D30" s="93" t="s">
        <v>250</v>
      </c>
      <c r="E30" s="93" t="s">
        <v>265</v>
      </c>
      <c r="F30" s="94">
        <v>1</v>
      </c>
      <c r="G30" s="93" t="s">
        <v>252</v>
      </c>
      <c r="H30" s="93" t="s">
        <v>265</v>
      </c>
      <c r="I30" s="95">
        <v>0</v>
      </c>
      <c r="J30" s="94">
        <v>34</v>
      </c>
      <c r="K30">
        <v>29</v>
      </c>
      <c r="L30" s="94" t="s">
        <v>253</v>
      </c>
      <c r="M30" s="107" t="str">
        <f>VLOOKUP(K30,[7]stage_hints!$A:$C,3,FALSE)</f>
        <v>「バグ」のメリット</v>
      </c>
      <c r="N30" s="108" t="str">
        <f>VLOOKUP(K30,[7]stage_hints!$A:$D,4,FALSE)</f>
        <v>ユニットの「バグ」を増やすと_x000D_報酬をもらえる確率がアップします</v>
      </c>
      <c r="O30" s="57" t="s">
        <v>204</v>
      </c>
      <c r="P30">
        <v>29</v>
      </c>
    </row>
    <row r="31" spans="1:16" x14ac:dyDescent="0.15">
      <c r="A31" s="90" t="str">
        <f t="shared" si="0"/>
        <v>30019_1_35</v>
      </c>
      <c r="B31" s="91" t="s">
        <v>249</v>
      </c>
      <c r="C31" s="92">
        <v>30019</v>
      </c>
      <c r="D31" s="93" t="s">
        <v>250</v>
      </c>
      <c r="E31" s="93" t="s">
        <v>266</v>
      </c>
      <c r="F31" s="94">
        <v>1</v>
      </c>
      <c r="G31" s="93" t="s">
        <v>252</v>
      </c>
      <c r="H31" s="93" t="s">
        <v>266</v>
      </c>
      <c r="I31" s="95">
        <v>0</v>
      </c>
      <c r="J31" s="94">
        <v>35</v>
      </c>
      <c r="K31">
        <v>30</v>
      </c>
      <c r="L31" s="94" t="s">
        <v>253</v>
      </c>
      <c r="M31" s="107" t="str">
        <f>VLOOKUP(K31,[7]stage_hints!$A:$C,3,FALSE)</f>
        <v>「バグ」の増やし方</v>
      </c>
      <c r="N31" s="108" t="str">
        <f>VLOOKUP(K31,[7]stage_hints!$A:$D,4,FALSE)</f>
        <v>同じユニット同士を強化で合成すると_x000D_「バグ」を増やすことができます</v>
      </c>
      <c r="O31" s="57" t="s">
        <v>204</v>
      </c>
      <c r="P31">
        <v>30</v>
      </c>
    </row>
    <row r="32" spans="1:16" x14ac:dyDescent="0.15">
      <c r="A32" s="90" t="str">
        <f t="shared" si="0"/>
        <v>30019_1_36</v>
      </c>
      <c r="B32" s="91" t="s">
        <v>249</v>
      </c>
      <c r="C32" s="92">
        <v>30019</v>
      </c>
      <c r="D32" s="93" t="s">
        <v>250</v>
      </c>
      <c r="E32" s="93" t="s">
        <v>267</v>
      </c>
      <c r="F32" s="94">
        <v>1</v>
      </c>
      <c r="G32" s="93" t="s">
        <v>252</v>
      </c>
      <c r="H32" s="93" t="s">
        <v>267</v>
      </c>
      <c r="I32" s="95">
        <v>0</v>
      </c>
      <c r="J32" s="94">
        <v>36</v>
      </c>
      <c r="K32">
        <v>31</v>
      </c>
      <c r="L32" s="94" t="s">
        <v>253</v>
      </c>
      <c r="M32" s="107" t="str">
        <f>VLOOKUP(K32,[7]stage_hints!$A:$C,3,FALSE)</f>
        <v>イベントはお知らせでチェック</v>
      </c>
      <c r="N32" s="108" t="str">
        <f>VLOOKUP(K32,[7]stage_hints!$A:$D,4,FALSE)</f>
        <v>イベント限定ユニットを取り忘れないように_x000D_お知らせをこまめにチェックしましょう</v>
      </c>
      <c r="O32" s="57" t="s">
        <v>204</v>
      </c>
      <c r="P32">
        <v>31</v>
      </c>
    </row>
    <row r="33" spans="1:16" x14ac:dyDescent="0.15">
      <c r="A33" s="90" t="str">
        <f t="shared" si="0"/>
        <v>30019_1_37</v>
      </c>
      <c r="B33" s="91" t="s">
        <v>249</v>
      </c>
      <c r="C33" s="92">
        <v>30019</v>
      </c>
      <c r="D33" s="93" t="s">
        <v>250</v>
      </c>
      <c r="E33" s="93" t="s">
        <v>268</v>
      </c>
      <c r="F33" s="94">
        <v>1</v>
      </c>
      <c r="G33" s="93" t="s">
        <v>252</v>
      </c>
      <c r="H33" s="93" t="s">
        <v>268</v>
      </c>
      <c r="I33" s="95">
        <v>0</v>
      </c>
      <c r="J33" s="94">
        <v>37</v>
      </c>
      <c r="K33">
        <v>38</v>
      </c>
      <c r="L33" s="94" t="s">
        <v>253</v>
      </c>
      <c r="M33" s="107" t="str">
        <f>VLOOKUP(K33,[7]stage_hints!$A:$C,3,FALSE)</f>
        <v>お邪魔パネルはフィーバーで</v>
      </c>
      <c r="N33" s="108" t="str">
        <f>VLOOKUP(K33,[7]stage_hints!$A:$D,4,FALSE)</f>
        <v>つなげて消せない「お邪魔パネル」は_x000D_フィーバーで下へ落としてしまいましょう</v>
      </c>
      <c r="O33" s="57" t="s">
        <v>204</v>
      </c>
      <c r="P33">
        <v>38</v>
      </c>
    </row>
    <row r="34" spans="1:16" x14ac:dyDescent="0.15">
      <c r="A34" s="90" t="str">
        <f t="shared" si="0"/>
        <v>30019_1_38</v>
      </c>
      <c r="B34" s="91" t="s">
        <v>249</v>
      </c>
      <c r="C34" s="92">
        <v>30019</v>
      </c>
      <c r="D34" s="93" t="s">
        <v>250</v>
      </c>
      <c r="E34" s="93" t="s">
        <v>269</v>
      </c>
      <c r="F34" s="94">
        <v>1</v>
      </c>
      <c r="G34" s="93" t="s">
        <v>252</v>
      </c>
      <c r="H34" s="93" t="s">
        <v>269</v>
      </c>
      <c r="I34" s="95">
        <v>0</v>
      </c>
      <c r="J34" s="94">
        <v>38</v>
      </c>
      <c r="K34">
        <v>32</v>
      </c>
      <c r="L34" s="94" t="s">
        <v>253</v>
      </c>
      <c r="M34" s="107" t="str">
        <f>VLOOKUP(K34,[7]stage_hints!$A:$C,3,FALSE)</f>
        <v>敵の連続攻撃には</v>
      </c>
      <c r="N34" s="108" t="str">
        <f>VLOOKUP(K34,[7]stage_hints!$A:$D,4,FALSE)</f>
        <v>カウンタースキルを持つユニットがいれば_x000D_ダメージ回数分の反撃ができます</v>
      </c>
      <c r="O34" s="57" t="s">
        <v>204</v>
      </c>
      <c r="P34">
        <v>32</v>
      </c>
    </row>
    <row r="35" spans="1:16" x14ac:dyDescent="0.15">
      <c r="A35" s="90" t="str">
        <f t="shared" si="0"/>
        <v>30019_1_39</v>
      </c>
      <c r="B35" s="91" t="s">
        <v>249</v>
      </c>
      <c r="C35" s="92">
        <v>30019</v>
      </c>
      <c r="D35" s="93" t="s">
        <v>250</v>
      </c>
      <c r="E35" s="93" t="s">
        <v>270</v>
      </c>
      <c r="F35" s="94">
        <v>1</v>
      </c>
      <c r="G35" s="93" t="s">
        <v>252</v>
      </c>
      <c r="H35" s="93" t="s">
        <v>270</v>
      </c>
      <c r="I35" s="95">
        <v>0</v>
      </c>
      <c r="J35" s="94">
        <v>39</v>
      </c>
      <c r="K35">
        <v>33</v>
      </c>
      <c r="L35" s="94" t="s">
        <v>253</v>
      </c>
      <c r="M35" s="107" t="str">
        <f>VLOOKUP(K35,[7]stage_hints!$A:$C,3,FALSE)</f>
        <v>敵のカウンター攻撃には</v>
      </c>
      <c r="N35" s="108" t="str">
        <f>VLOOKUP(K35,[7]stage_hints!$A:$D,4,FALSE)</f>
        <v>カウンターブレイクスキルを持っていれば_x000D_敵のカウンターを解除して攻撃ができます</v>
      </c>
      <c r="O35" s="57" t="s">
        <v>204</v>
      </c>
      <c r="P35">
        <v>33</v>
      </c>
    </row>
    <row r="36" spans="1:16" x14ac:dyDescent="0.15">
      <c r="A36" s="90" t="str">
        <f t="shared" si="0"/>
        <v>30019_1_40</v>
      </c>
      <c r="B36" s="91" t="s">
        <v>249</v>
      </c>
      <c r="C36" s="92">
        <v>30019</v>
      </c>
      <c r="D36" s="93" t="s">
        <v>250</v>
      </c>
      <c r="E36" s="93" t="s">
        <v>271</v>
      </c>
      <c r="F36" s="94">
        <v>1</v>
      </c>
      <c r="G36" s="93" t="s">
        <v>252</v>
      </c>
      <c r="H36" s="93" t="s">
        <v>271</v>
      </c>
      <c r="I36" s="95">
        <v>0</v>
      </c>
      <c r="J36" s="94">
        <v>40</v>
      </c>
      <c r="K36">
        <v>34</v>
      </c>
      <c r="L36" s="94" t="s">
        <v>253</v>
      </c>
      <c r="M36" s="107" t="str">
        <f>VLOOKUP(K36,[7]stage_hints!$A:$C,3,FALSE)</f>
        <v>ステータスをスキルで下げられたら</v>
      </c>
      <c r="N36" s="108" t="str">
        <f>VLOOKUP(K36,[7]stage_hints!$A:$D,4,FALSE)</f>
        <v>ステータスダウンのスキルを受けたら_x000D_ステータスアップスキルで上書きしましょう</v>
      </c>
      <c r="O36" s="57" t="s">
        <v>204</v>
      </c>
      <c r="P36">
        <v>34</v>
      </c>
    </row>
    <row r="37" spans="1:16" x14ac:dyDescent="0.15">
      <c r="A37" s="90" t="str">
        <f t="shared" si="0"/>
        <v>30019_1_41</v>
      </c>
      <c r="B37" s="91" t="s">
        <v>249</v>
      </c>
      <c r="C37" s="92">
        <v>30019</v>
      </c>
      <c r="D37" s="93" t="s">
        <v>250</v>
      </c>
      <c r="E37" s="93" t="s">
        <v>272</v>
      </c>
      <c r="F37" s="94">
        <v>1</v>
      </c>
      <c r="G37" s="93" t="s">
        <v>252</v>
      </c>
      <c r="H37" s="93" t="s">
        <v>272</v>
      </c>
      <c r="I37" s="95">
        <v>0</v>
      </c>
      <c r="J37" s="94">
        <v>41</v>
      </c>
      <c r="K37">
        <v>35</v>
      </c>
      <c r="L37" s="94" t="s">
        <v>253</v>
      </c>
      <c r="M37" s="107" t="str">
        <f>VLOOKUP(K37,[7]stage_hints!$A:$C,3,FALSE)</f>
        <v>敵のステータスがスキルで上がったら</v>
      </c>
      <c r="N37" s="108" t="str">
        <f>VLOOKUP(K37,[7]stage_hints!$A:$D,4,FALSE)</f>
        <v>敵のステータスがスキルでアップしたときは_x000D_ステータスダウンスキルで上書きしましょう</v>
      </c>
      <c r="O37" s="57" t="s">
        <v>204</v>
      </c>
      <c r="P37">
        <v>35</v>
      </c>
    </row>
    <row r="38" spans="1:16" x14ac:dyDescent="0.15">
      <c r="A38" s="90" t="str">
        <f t="shared" si="0"/>
        <v>30019_1_42</v>
      </c>
      <c r="B38" s="91" t="s">
        <v>249</v>
      </c>
      <c r="C38" s="92">
        <v>30019</v>
      </c>
      <c r="D38" s="93" t="s">
        <v>250</v>
      </c>
      <c r="E38" s="93" t="s">
        <v>273</v>
      </c>
      <c r="F38" s="94">
        <v>1</v>
      </c>
      <c r="G38" s="93" t="s">
        <v>252</v>
      </c>
      <c r="H38" s="93" t="s">
        <v>273</v>
      </c>
      <c r="I38" s="95">
        <v>0</v>
      </c>
      <c r="J38" s="94">
        <v>42</v>
      </c>
      <c r="K38">
        <v>36</v>
      </c>
      <c r="L38" s="94" t="s">
        <v>253</v>
      </c>
      <c r="M38" s="107" t="str">
        <f>VLOOKUP(K38,[7]stage_hints!$A:$C,3,FALSE)</f>
        <v>タワーオブザクイーンのボス</v>
      </c>
      <c r="N38" s="108" t="str">
        <f>VLOOKUP(K38,[7]stage_hints!$A:$D,4,FALSE)</f>
        <v>「タワーオブザクイーン」最上階のボスは_x000D_15階の初回クリア報酬で獲得できるほか_x000D_その階にて低確率でドロップもします</v>
      </c>
      <c r="O38" s="57" t="s">
        <v>204</v>
      </c>
      <c r="P38">
        <v>36</v>
      </c>
    </row>
    <row r="39" spans="1:16" x14ac:dyDescent="0.15">
      <c r="A39" s="90" t="str">
        <f t="shared" si="0"/>
        <v>30019_1_43</v>
      </c>
      <c r="B39" s="91" t="s">
        <v>249</v>
      </c>
      <c r="C39" s="92">
        <v>30019</v>
      </c>
      <c r="D39" s="93" t="s">
        <v>250</v>
      </c>
      <c r="E39" s="93" t="s">
        <v>274</v>
      </c>
      <c r="F39" s="94">
        <v>1</v>
      </c>
      <c r="G39" s="93" t="s">
        <v>252</v>
      </c>
      <c r="H39" s="93" t="s">
        <v>274</v>
      </c>
      <c r="I39" s="95">
        <v>0</v>
      </c>
      <c r="J39" s="94">
        <v>43</v>
      </c>
      <c r="K39">
        <v>37</v>
      </c>
      <c r="L39" s="94" t="s">
        <v>253</v>
      </c>
      <c r="M39" s="107" t="str">
        <f>VLOOKUP(K39,[7]stage_hints!$A:$C,3,FALSE)</f>
        <v>限界突破値の引き継ぎ</v>
      </c>
      <c r="N39" s="108" t="str">
        <f>VLOOKUP(K39,[7]stage_hints!$A:$D,4,FALSE)</f>
        <v>同じユニットを強化で合成すると_x000D_限界突破値を引き継げます（覚醒前後も可）</v>
      </c>
      <c r="O39" s="57" t="s">
        <v>204</v>
      </c>
      <c r="P39">
        <v>37</v>
      </c>
    </row>
    <row r="40" spans="1:16" x14ac:dyDescent="0.15">
      <c r="A40" s="90" t="str">
        <f t="shared" si="0"/>
        <v>30019_2_44</v>
      </c>
      <c r="B40" s="91" t="s">
        <v>249</v>
      </c>
      <c r="C40" s="92">
        <v>30019</v>
      </c>
      <c r="D40" s="93" t="s">
        <v>250</v>
      </c>
      <c r="E40" s="93" t="s">
        <v>275</v>
      </c>
      <c r="F40" s="94">
        <v>2</v>
      </c>
      <c r="G40" s="93" t="s">
        <v>252</v>
      </c>
      <c r="H40" s="93" t="s">
        <v>275</v>
      </c>
      <c r="I40" s="95">
        <v>0</v>
      </c>
      <c r="J40" s="94">
        <v>44</v>
      </c>
      <c r="K40">
        <v>1</v>
      </c>
      <c r="L40" s="94" t="s">
        <v>253</v>
      </c>
      <c r="M40" s="107" t="str">
        <f>VLOOKUP(K40,[7]stage_hints!$A:$C,3,FALSE)</f>
        <v>長くつなげて大ダメージ</v>
      </c>
      <c r="N40" s="108" t="str">
        <f>VLOOKUP(K40,[7]stage_hints!$A:$D,4,FALSE)</f>
        <v>パネルを長くつなげるほど_x000D_大ダメージを与えることができます</v>
      </c>
      <c r="O40" s="57" t="s">
        <v>204</v>
      </c>
      <c r="P40">
        <v>1</v>
      </c>
    </row>
    <row r="41" spans="1:16" x14ac:dyDescent="0.15">
      <c r="A41" s="90" t="str">
        <f t="shared" si="0"/>
        <v>30019_2_45</v>
      </c>
      <c r="B41" s="91" t="s">
        <v>249</v>
      </c>
      <c r="C41" s="92">
        <v>30019</v>
      </c>
      <c r="D41" s="93" t="s">
        <v>250</v>
      </c>
      <c r="E41" s="93" t="s">
        <v>276</v>
      </c>
      <c r="F41" s="94">
        <v>2</v>
      </c>
      <c r="G41" s="93" t="s">
        <v>252</v>
      </c>
      <c r="H41" s="93" t="s">
        <v>276</v>
      </c>
      <c r="I41" s="95">
        <v>0</v>
      </c>
      <c r="J41" s="94">
        <v>45</v>
      </c>
      <c r="K41">
        <v>2</v>
      </c>
      <c r="L41" s="94" t="s">
        <v>253</v>
      </c>
      <c r="M41" s="107" t="str">
        <f>VLOOKUP(K41,[7]stage_hints!$A:$C,3,FALSE)</f>
        <v>属性の相性</v>
      </c>
      <c r="N41" s="108" t="str">
        <f>VLOOKUP(K41,[7]stage_hints!$A:$D,4,FALSE)</f>
        <v>赤＞青　青＞黄　黄＞緑　緑＞赤_x000D_敵属性に最適なパーティがオススメです</v>
      </c>
      <c r="O41" s="57" t="s">
        <v>204</v>
      </c>
      <c r="P41">
        <v>2</v>
      </c>
    </row>
    <row r="42" spans="1:16" x14ac:dyDescent="0.15">
      <c r="A42" s="90" t="str">
        <f t="shared" si="0"/>
        <v>30019_2_46</v>
      </c>
      <c r="B42" s="91" t="s">
        <v>249</v>
      </c>
      <c r="C42" s="92">
        <v>30019</v>
      </c>
      <c r="D42" s="93" t="s">
        <v>250</v>
      </c>
      <c r="E42" s="93" t="s">
        <v>277</v>
      </c>
      <c r="F42" s="94">
        <v>2</v>
      </c>
      <c r="G42" s="93" t="s">
        <v>252</v>
      </c>
      <c r="H42" s="93" t="s">
        <v>277</v>
      </c>
      <c r="I42" s="95">
        <v>0</v>
      </c>
      <c r="J42" s="94">
        <v>46</v>
      </c>
      <c r="K42">
        <v>3</v>
      </c>
      <c r="L42" s="94" t="s">
        <v>253</v>
      </c>
      <c r="M42" s="107" t="str">
        <f>VLOOKUP(K42,[7]stage_hints!$A:$C,3,FALSE)</f>
        <v>ターゲット</v>
      </c>
      <c r="N42" s="108" t="str">
        <f>VLOOKUP(K42,[7]stage_hints!$A:$D,4,FALSE)</f>
        <v>敵ユニットをタップすると_x000D_その敵を狙い撃ちできます</v>
      </c>
      <c r="O42" s="57" t="s">
        <v>204</v>
      </c>
      <c r="P42">
        <v>3</v>
      </c>
    </row>
    <row r="43" spans="1:16" x14ac:dyDescent="0.15">
      <c r="A43" s="90" t="str">
        <f t="shared" si="0"/>
        <v>30019_2_47</v>
      </c>
      <c r="B43" s="91" t="s">
        <v>249</v>
      </c>
      <c r="C43" s="92">
        <v>30019</v>
      </c>
      <c r="D43" s="93" t="s">
        <v>250</v>
      </c>
      <c r="E43" s="93" t="s">
        <v>278</v>
      </c>
      <c r="F43" s="94">
        <v>2</v>
      </c>
      <c r="G43" s="93" t="s">
        <v>252</v>
      </c>
      <c r="H43" s="93" t="s">
        <v>278</v>
      </c>
      <c r="I43" s="95">
        <v>0</v>
      </c>
      <c r="J43" s="94">
        <v>47</v>
      </c>
      <c r="K43">
        <v>4</v>
      </c>
      <c r="L43" s="94" t="s">
        <v>253</v>
      </c>
      <c r="M43" s="107" t="str">
        <f>VLOOKUP(K43,[7]stage_hints!$A:$C,3,FALSE)</f>
        <v>ボーナスクエスト</v>
      </c>
      <c r="N43" s="108" t="str">
        <f>VLOOKUP(K43,[7]stage_hints!$A:$D,4,FALSE)</f>
        <v>ノーマルクエストを進めると_x000D_嬉しいボーナスクエストが登場します</v>
      </c>
      <c r="O43" s="57" t="s">
        <v>204</v>
      </c>
      <c r="P43">
        <v>4</v>
      </c>
    </row>
    <row r="44" spans="1:16" x14ac:dyDescent="0.15">
      <c r="A44" s="90" t="str">
        <f t="shared" si="0"/>
        <v>30019_2_48</v>
      </c>
      <c r="B44" s="91" t="s">
        <v>249</v>
      </c>
      <c r="C44" s="92">
        <v>30019</v>
      </c>
      <c r="D44" s="93" t="s">
        <v>250</v>
      </c>
      <c r="E44" s="93" t="s">
        <v>279</v>
      </c>
      <c r="F44" s="94">
        <v>2</v>
      </c>
      <c r="G44" s="93" t="s">
        <v>252</v>
      </c>
      <c r="H44" s="93" t="s">
        <v>279</v>
      </c>
      <c r="I44" s="95">
        <v>0</v>
      </c>
      <c r="J44" s="94">
        <v>48</v>
      </c>
      <c r="K44">
        <v>5</v>
      </c>
      <c r="L44" s="94" t="s">
        <v>253</v>
      </c>
      <c r="M44" s="107" t="str">
        <f>VLOOKUP(K44,[7]stage_hints!$A:$C,3,FALSE)</f>
        <v>ユニット強化でレベルアップ</v>
      </c>
      <c r="N44" s="108" t="str">
        <f>VLOOKUP(K44,[7]stage_hints!$A:$D,4,FALSE)</f>
        <v>「ユニット強化」でレベルアップすると_x000D_勝てない敵にも勝てるようになります</v>
      </c>
      <c r="O44" s="57" t="s">
        <v>204</v>
      </c>
      <c r="P44">
        <v>5</v>
      </c>
    </row>
    <row r="45" spans="1:16" x14ac:dyDescent="0.15">
      <c r="A45" s="90" t="str">
        <f t="shared" si="0"/>
        <v>30019_2_49</v>
      </c>
      <c r="B45" s="91" t="s">
        <v>249</v>
      </c>
      <c r="C45" s="92">
        <v>30019</v>
      </c>
      <c r="D45" s="93" t="s">
        <v>250</v>
      </c>
      <c r="E45" s="93" t="s">
        <v>280</v>
      </c>
      <c r="F45" s="94">
        <v>2</v>
      </c>
      <c r="G45" s="93" t="s">
        <v>252</v>
      </c>
      <c r="H45" s="93" t="s">
        <v>280</v>
      </c>
      <c r="I45" s="95">
        <v>0</v>
      </c>
      <c r="J45" s="94">
        <v>49</v>
      </c>
      <c r="K45">
        <v>6</v>
      </c>
      <c r="L45" s="94" t="s">
        <v>253</v>
      </c>
      <c r="M45" s="107" t="str">
        <f>VLOOKUP(K45,[7]stage_hints!$A:$C,3,FALSE)</f>
        <v>ユニット強化の属性ボーナス</v>
      </c>
      <c r="N45" s="108" t="str">
        <f>VLOOKUP(K45,[7]stage_hints!$A:$D,4,FALSE)</f>
        <v>同属性ユニットを強化素材にすると_x000D_経験値が多くもらえます</v>
      </c>
      <c r="O45" s="57" t="s">
        <v>204</v>
      </c>
      <c r="P45">
        <v>6</v>
      </c>
    </row>
    <row r="46" spans="1:16" x14ac:dyDescent="0.15">
      <c r="A46" s="90" t="str">
        <f t="shared" si="0"/>
        <v>30019_2_50</v>
      </c>
      <c r="B46" s="91" t="s">
        <v>249</v>
      </c>
      <c r="C46" s="92">
        <v>30019</v>
      </c>
      <c r="D46" s="93" t="s">
        <v>250</v>
      </c>
      <c r="E46" s="93" t="s">
        <v>281</v>
      </c>
      <c r="F46" s="94">
        <v>2</v>
      </c>
      <c r="G46" s="93" t="s">
        <v>252</v>
      </c>
      <c r="H46" s="93" t="s">
        <v>281</v>
      </c>
      <c r="I46" s="95">
        <v>0</v>
      </c>
      <c r="J46" s="94">
        <v>50</v>
      </c>
      <c r="K46">
        <v>7</v>
      </c>
      <c r="L46" s="94" t="s">
        <v>253</v>
      </c>
      <c r="M46" s="107" t="str">
        <f>VLOOKUP(K46,[7]stage_hints!$A:$C,3,FALSE)</f>
        <v>メタルダックで経験値を獲得</v>
      </c>
      <c r="N46" s="108" t="str">
        <f>VLOOKUP(K46,[7]stage_hints!$A:$D,4,FALSE)</f>
        <v>「メタルなアヒル」を強化素材にすると_x000D_大量の経験値がもらえます</v>
      </c>
      <c r="O46" s="57" t="s">
        <v>204</v>
      </c>
      <c r="P46">
        <v>7</v>
      </c>
    </row>
    <row r="47" spans="1:16" x14ac:dyDescent="0.15">
      <c r="A47" s="90" t="str">
        <f t="shared" si="0"/>
        <v>30019_2_51</v>
      </c>
      <c r="B47" s="91" t="s">
        <v>249</v>
      </c>
      <c r="C47" s="92">
        <v>30019</v>
      </c>
      <c r="D47" s="93" t="s">
        <v>250</v>
      </c>
      <c r="E47" s="93" t="s">
        <v>282</v>
      </c>
      <c r="F47" s="94">
        <v>2</v>
      </c>
      <c r="G47" s="93" t="s">
        <v>252</v>
      </c>
      <c r="H47" s="93" t="s">
        <v>282</v>
      </c>
      <c r="I47" s="95">
        <v>0</v>
      </c>
      <c r="J47" s="94">
        <v>51</v>
      </c>
      <c r="K47">
        <v>8</v>
      </c>
      <c r="L47" s="94" t="s">
        <v>253</v>
      </c>
      <c r="M47" s="107" t="str">
        <f>VLOOKUP(K47,[7]stage_hints!$A:$C,3,FALSE)</f>
        <v>ゲリラクエストは要チェック</v>
      </c>
      <c r="N47" s="108" t="str">
        <f>VLOOKUP(K47,[7]stage_hints!$A:$D,4,FALSE)</f>
        <v>時間限定の「アヒル捕獲作戦」では_x000D_経験値素材ユニットが多く手に入ります</v>
      </c>
      <c r="O47" s="57" t="s">
        <v>204</v>
      </c>
      <c r="P47">
        <v>8</v>
      </c>
    </row>
    <row r="48" spans="1:16" x14ac:dyDescent="0.15">
      <c r="A48" s="90" t="str">
        <f t="shared" si="0"/>
        <v>30019_2_52</v>
      </c>
      <c r="B48" s="91" t="s">
        <v>249</v>
      </c>
      <c r="C48" s="92">
        <v>30019</v>
      </c>
      <c r="D48" s="93" t="s">
        <v>250</v>
      </c>
      <c r="E48" s="93" t="s">
        <v>283</v>
      </c>
      <c r="F48" s="94">
        <v>2</v>
      </c>
      <c r="G48" s="93" t="s">
        <v>252</v>
      </c>
      <c r="H48" s="93" t="s">
        <v>283</v>
      </c>
      <c r="I48" s="95">
        <v>0</v>
      </c>
      <c r="J48" s="94">
        <v>52</v>
      </c>
      <c r="K48">
        <v>9</v>
      </c>
      <c r="L48" s="94" t="s">
        <v>253</v>
      </c>
      <c r="M48" s="107" t="str">
        <f>VLOOKUP(K48,[7]stage_hints!$A:$C,3,FALSE)</f>
        <v>ゴールドダックでビットを獲得</v>
      </c>
      <c r="N48" s="108" t="str">
        <f>VLOOKUP(K48,[7]stage_hints!$A:$D,4,FALSE)</f>
        <v>「ゴールドなアヒル」を売却すると_x000D_大量のビットがもらえます</v>
      </c>
      <c r="O48" s="57" t="s">
        <v>204</v>
      </c>
      <c r="P48">
        <v>9</v>
      </c>
    </row>
    <row r="49" spans="1:16" x14ac:dyDescent="0.15">
      <c r="A49" s="90" t="str">
        <f t="shared" si="0"/>
        <v>30019_2_53</v>
      </c>
      <c r="B49" s="91" t="s">
        <v>249</v>
      </c>
      <c r="C49" s="92">
        <v>30019</v>
      </c>
      <c r="D49" s="93" t="s">
        <v>250</v>
      </c>
      <c r="E49" s="93" t="s">
        <v>284</v>
      </c>
      <c r="F49" s="94">
        <v>2</v>
      </c>
      <c r="G49" s="93" t="s">
        <v>252</v>
      </c>
      <c r="H49" s="93" t="s">
        <v>284</v>
      </c>
      <c r="I49" s="95">
        <v>0</v>
      </c>
      <c r="J49" s="94">
        <v>53</v>
      </c>
      <c r="K49">
        <v>10</v>
      </c>
      <c r="L49" s="94" t="s">
        <v>253</v>
      </c>
      <c r="M49" s="107" t="str">
        <f>VLOOKUP(K49,[7]stage_hints!$A:$C,3,FALSE)</f>
        <v>土日に大量のビットを獲得</v>
      </c>
      <c r="N49" s="108" t="str">
        <f>VLOOKUP(K49,[7]stage_hints!$A:$D,4,FALSE)</f>
        <v>土日限定の「ゴールドカジノ」では_x000D_売却素材ユニットが多く手に入ります</v>
      </c>
      <c r="O49" s="57" t="s">
        <v>204</v>
      </c>
      <c r="P49">
        <v>10</v>
      </c>
    </row>
    <row r="50" spans="1:16" x14ac:dyDescent="0.15">
      <c r="A50" s="90" t="str">
        <f t="shared" si="0"/>
        <v>30019_2_54</v>
      </c>
      <c r="B50" s="91" t="s">
        <v>249</v>
      </c>
      <c r="C50" s="92">
        <v>30019</v>
      </c>
      <c r="D50" s="93" t="s">
        <v>250</v>
      </c>
      <c r="E50" s="93" t="s">
        <v>285</v>
      </c>
      <c r="F50" s="94">
        <v>2</v>
      </c>
      <c r="G50" s="93" t="s">
        <v>252</v>
      </c>
      <c r="H50" s="93" t="s">
        <v>285</v>
      </c>
      <c r="I50" s="95">
        <v>0</v>
      </c>
      <c r="J50" s="94">
        <v>54</v>
      </c>
      <c r="K50">
        <v>11</v>
      </c>
      <c r="L50" s="94" t="s">
        <v>253</v>
      </c>
      <c r="M50" s="107" t="str">
        <f>VLOOKUP(K50,[7]stage_hints!$A:$C,3,FALSE)</f>
        <v>ランク解放クエスト</v>
      </c>
      <c r="N50" s="108" t="str">
        <f>VLOOKUP(K50,[7]stage_hints!$A:$D,4,FALSE)</f>
        <v>一定ランクに到達すると_x000D_報酬付きのランク開放クエストが現れます</v>
      </c>
      <c r="O50" s="57" t="s">
        <v>204</v>
      </c>
      <c r="P50">
        <v>11</v>
      </c>
    </row>
    <row r="51" spans="1:16" x14ac:dyDescent="0.15">
      <c r="A51" s="90" t="str">
        <f t="shared" si="0"/>
        <v>30019_2_55</v>
      </c>
      <c r="B51" s="91" t="s">
        <v>249</v>
      </c>
      <c r="C51" s="92">
        <v>30019</v>
      </c>
      <c r="D51" s="93" t="s">
        <v>250</v>
      </c>
      <c r="E51" s="93" t="s">
        <v>286</v>
      </c>
      <c r="F51" s="94">
        <v>2</v>
      </c>
      <c r="G51" s="93" t="s">
        <v>252</v>
      </c>
      <c r="H51" s="93" t="s">
        <v>286</v>
      </c>
      <c r="I51" s="95">
        <v>0</v>
      </c>
      <c r="J51" s="94">
        <v>55</v>
      </c>
      <c r="K51">
        <v>12</v>
      </c>
      <c r="L51" s="94" t="s">
        <v>253</v>
      </c>
      <c r="M51" s="107" t="str">
        <f>VLOOKUP(K51,[7]stage_hints!$A:$C,3,FALSE)</f>
        <v>ユニットのお気に入り登録</v>
      </c>
      <c r="N51" s="108" t="str">
        <f>VLOOKUP(K51,[7]stage_hints!$A:$D,4,FALSE)</f>
        <v>大事なユニットを誤って消さないように_x000D_フォルダから「お気に入り登録」しましょう</v>
      </c>
      <c r="O51" s="57" t="s">
        <v>204</v>
      </c>
      <c r="P51">
        <v>12</v>
      </c>
    </row>
    <row r="52" spans="1:16" x14ac:dyDescent="0.15">
      <c r="A52" s="90" t="str">
        <f t="shared" si="0"/>
        <v>30019_2_56</v>
      </c>
      <c r="B52" s="91" t="s">
        <v>249</v>
      </c>
      <c r="C52" s="92">
        <v>30019</v>
      </c>
      <c r="D52" s="93" t="s">
        <v>250</v>
      </c>
      <c r="E52" s="93" t="s">
        <v>287</v>
      </c>
      <c r="F52" s="94">
        <v>2</v>
      </c>
      <c r="G52" s="93" t="s">
        <v>252</v>
      </c>
      <c r="H52" s="93" t="s">
        <v>287</v>
      </c>
      <c r="I52" s="95">
        <v>0</v>
      </c>
      <c r="J52" s="94">
        <v>56</v>
      </c>
      <c r="K52">
        <v>13</v>
      </c>
      <c r="L52" s="94" t="s">
        <v>253</v>
      </c>
      <c r="M52" s="107" t="str">
        <f>VLOOKUP(K52,[7]stage_hints!$A:$C,3,FALSE)</f>
        <v>ユニットの覚醒</v>
      </c>
      <c r="N52" s="108" t="str">
        <f>VLOOKUP(K52,[7]stage_hints!$A:$D,4,FALSE)</f>
        <v>ユニットを覚醒させると_x000D_比べものにならない強さが手に入ります</v>
      </c>
      <c r="O52" s="57" t="s">
        <v>204</v>
      </c>
      <c r="P52">
        <v>13</v>
      </c>
    </row>
    <row r="53" spans="1:16" x14ac:dyDescent="0.15">
      <c r="A53" s="90" t="str">
        <f t="shared" si="0"/>
        <v>30019_2_57</v>
      </c>
      <c r="B53" s="91" t="s">
        <v>249</v>
      </c>
      <c r="C53" s="92">
        <v>30019</v>
      </c>
      <c r="D53" s="93" t="s">
        <v>250</v>
      </c>
      <c r="E53" s="93" t="s">
        <v>288</v>
      </c>
      <c r="F53" s="94">
        <v>2</v>
      </c>
      <c r="G53" s="93" t="s">
        <v>252</v>
      </c>
      <c r="H53" s="93" t="s">
        <v>288</v>
      </c>
      <c r="I53" s="95">
        <v>0</v>
      </c>
      <c r="J53" s="94">
        <v>57</v>
      </c>
      <c r="K53">
        <v>14</v>
      </c>
      <c r="L53" s="94" t="s">
        <v>253</v>
      </c>
      <c r="M53" s="107" t="str">
        <f>VLOOKUP(K53,[7]stage_hints!$A:$C,3,FALSE)</f>
        <v>覚醒するにはレベルを最大に</v>
      </c>
      <c r="N53" s="108" t="str">
        <f>VLOOKUP(K53,[7]stage_hints!$A:$D,4,FALSE)</f>
        <v>覚醒するにはユニットのレベルを_x000D_最大まで上げる必要があります</v>
      </c>
      <c r="O53" s="57" t="s">
        <v>204</v>
      </c>
      <c r="P53">
        <v>14</v>
      </c>
    </row>
    <row r="54" spans="1:16" x14ac:dyDescent="0.15">
      <c r="A54" s="90" t="str">
        <f t="shared" si="0"/>
        <v>30019_2_58</v>
      </c>
      <c r="B54" s="91" t="s">
        <v>249</v>
      </c>
      <c r="C54" s="92">
        <v>30019</v>
      </c>
      <c r="D54" s="93" t="s">
        <v>250</v>
      </c>
      <c r="E54" s="93" t="s">
        <v>289</v>
      </c>
      <c r="F54" s="94">
        <v>2</v>
      </c>
      <c r="G54" s="93" t="s">
        <v>252</v>
      </c>
      <c r="H54" s="93" t="s">
        <v>289</v>
      </c>
      <c r="I54" s="95">
        <v>0</v>
      </c>
      <c r="J54" s="94">
        <v>58</v>
      </c>
      <c r="K54">
        <v>15</v>
      </c>
      <c r="L54" s="94" t="s">
        <v>253</v>
      </c>
      <c r="M54" s="107" t="str">
        <f>VLOOKUP(K54,[7]stage_hints!$A:$C,3,FALSE)</f>
        <v>覚醒素材を獲得</v>
      </c>
      <c r="N54" s="108" t="str">
        <f>VLOOKUP(K54,[7]stage_hints!$A:$D,4,FALSE)</f>
        <v>「曜日クエスト」では_x000D_ユニットの覚醒に必要な素材が手に入ります</v>
      </c>
      <c r="O54" s="57" t="s">
        <v>204</v>
      </c>
      <c r="P54">
        <v>15</v>
      </c>
    </row>
    <row r="55" spans="1:16" x14ac:dyDescent="0.15">
      <c r="A55" s="90" t="str">
        <f t="shared" si="0"/>
        <v>30019_2_59</v>
      </c>
      <c r="B55" s="91" t="s">
        <v>249</v>
      </c>
      <c r="C55" s="92">
        <v>30019</v>
      </c>
      <c r="D55" s="93" t="s">
        <v>250</v>
      </c>
      <c r="E55" s="93" t="s">
        <v>290</v>
      </c>
      <c r="F55" s="94">
        <v>2</v>
      </c>
      <c r="G55" s="93" t="s">
        <v>252</v>
      </c>
      <c r="H55" s="93" t="s">
        <v>290</v>
      </c>
      <c r="I55" s="95">
        <v>0</v>
      </c>
      <c r="J55" s="94">
        <v>59</v>
      </c>
      <c r="K55">
        <v>16</v>
      </c>
      <c r="L55" s="94" t="s">
        <v>253</v>
      </c>
      <c r="M55" s="107" t="str">
        <f>VLOOKUP(K55,[7]stage_hints!$A:$C,3,FALSE)</f>
        <v>マルチプレイのメリット（その1）</v>
      </c>
      <c r="N55" s="108" t="str">
        <f>VLOOKUP(K55,[7]stage_hints!$A:$D,4,FALSE)</f>
        <v>他のプレイヤーとマルチプレイで遊ぶと_x000D_ポリゴンがもらえます（100人まで）</v>
      </c>
      <c r="O55" s="57" t="s">
        <v>204</v>
      </c>
      <c r="P55">
        <v>16</v>
      </c>
    </row>
    <row r="56" spans="1:16" x14ac:dyDescent="0.15">
      <c r="A56" s="90" t="str">
        <f t="shared" si="0"/>
        <v>30019_2_60</v>
      </c>
      <c r="B56" s="91" t="s">
        <v>249</v>
      </c>
      <c r="C56" s="92">
        <v>30019</v>
      </c>
      <c r="D56" s="93" t="s">
        <v>250</v>
      </c>
      <c r="E56" s="93" t="s">
        <v>291</v>
      </c>
      <c r="F56" s="94">
        <v>2</v>
      </c>
      <c r="G56" s="93" t="s">
        <v>252</v>
      </c>
      <c r="H56" s="93" t="s">
        <v>291</v>
      </c>
      <c r="I56" s="95">
        <v>0</v>
      </c>
      <c r="J56" s="94">
        <v>60</v>
      </c>
      <c r="K56">
        <v>17</v>
      </c>
      <c r="L56" s="94" t="s">
        <v>253</v>
      </c>
      <c r="M56" s="107" t="str">
        <f>VLOOKUP(K56,[7]stage_hints!$A:$C,3,FALSE)</f>
        <v>リンクガチャ</v>
      </c>
      <c r="N56" s="108" t="str">
        <f>VLOOKUP(K56,[7]stage_hints!$A:$D,4,FALSE)</f>
        <v>無料のリンクガチャを回して_x000D_経験値素材や売却素材を獲得しましょう</v>
      </c>
      <c r="O56" s="57" t="s">
        <v>204</v>
      </c>
      <c r="P56">
        <v>17</v>
      </c>
    </row>
    <row r="57" spans="1:16" x14ac:dyDescent="0.15">
      <c r="A57" s="90" t="str">
        <f t="shared" si="0"/>
        <v>30019_2_61</v>
      </c>
      <c r="B57" s="91" t="s">
        <v>249</v>
      </c>
      <c r="C57" s="92">
        <v>30019</v>
      </c>
      <c r="D57" s="93" t="s">
        <v>250</v>
      </c>
      <c r="E57" s="93" t="s">
        <v>292</v>
      </c>
      <c r="F57" s="94">
        <v>2</v>
      </c>
      <c r="G57" s="93" t="s">
        <v>252</v>
      </c>
      <c r="H57" s="93" t="s">
        <v>292</v>
      </c>
      <c r="I57" s="95">
        <v>0</v>
      </c>
      <c r="J57" s="94">
        <v>61</v>
      </c>
      <c r="K57">
        <v>18</v>
      </c>
      <c r="L57" s="94" t="s">
        <v>253</v>
      </c>
      <c r="M57" s="107" t="str">
        <f>VLOOKUP(K57,[7]stage_hints!$A:$C,3,FALSE)</f>
        <v>マルチプレイのメリット（その2）</v>
      </c>
      <c r="N57" s="108" t="str">
        <f>VLOOKUP(K57,[7]stage_hints!$A:$D,4,FALSE)</f>
        <v>マルチプレイならリンクが2倍もらえます_x000D_リンクガチャをたくさん回しましょう</v>
      </c>
      <c r="O57" s="57" t="s">
        <v>204</v>
      </c>
      <c r="P57">
        <v>18</v>
      </c>
    </row>
    <row r="58" spans="1:16" x14ac:dyDescent="0.15">
      <c r="A58" s="90" t="str">
        <f t="shared" si="0"/>
        <v>30019_2_62</v>
      </c>
      <c r="B58" s="91" t="s">
        <v>249</v>
      </c>
      <c r="C58" s="92">
        <v>30019</v>
      </c>
      <c r="D58" s="93" t="s">
        <v>250</v>
      </c>
      <c r="E58" s="93" t="s">
        <v>293</v>
      </c>
      <c r="F58" s="94">
        <v>2</v>
      </c>
      <c r="G58" s="93" t="s">
        <v>252</v>
      </c>
      <c r="H58" s="93" t="s">
        <v>293</v>
      </c>
      <c r="I58" s="95">
        <v>0</v>
      </c>
      <c r="J58" s="94">
        <v>62</v>
      </c>
      <c r="K58">
        <v>19</v>
      </c>
      <c r="L58" s="94" t="s">
        <v>253</v>
      </c>
      <c r="M58" s="107" t="str">
        <f>VLOOKUP(K58,[7]stage_hints!$A:$C,3,FALSE)</f>
        <v>ソロ専用タワーオブザクイーン</v>
      </c>
      <c r="N58" s="108" t="str">
        <f>VLOOKUP(K58,[7]stage_hints!$A:$D,4,FALSE)</f>
        <v>ソロ専用の「タワーオブザクイーン」は_x000D_期間限定で定期的に開催されます_x000D_ここでしか獲得できない報酬もあるようです</v>
      </c>
      <c r="O58" s="57" t="s">
        <v>204</v>
      </c>
      <c r="P58">
        <v>19</v>
      </c>
    </row>
    <row r="59" spans="1:16" x14ac:dyDescent="0.15">
      <c r="A59" s="90" t="str">
        <f t="shared" si="0"/>
        <v>30019_2_63</v>
      </c>
      <c r="B59" s="91" t="s">
        <v>249</v>
      </c>
      <c r="C59" s="92">
        <v>30019</v>
      </c>
      <c r="D59" s="93" t="s">
        <v>250</v>
      </c>
      <c r="E59" s="93" t="s">
        <v>294</v>
      </c>
      <c r="F59" s="94">
        <v>2</v>
      </c>
      <c r="G59" s="93" t="s">
        <v>252</v>
      </c>
      <c r="H59" s="93" t="s">
        <v>294</v>
      </c>
      <c r="I59" s="95">
        <v>0</v>
      </c>
      <c r="J59" s="94">
        <v>63</v>
      </c>
      <c r="K59">
        <v>20</v>
      </c>
      <c r="L59" s="94" t="s">
        <v>253</v>
      </c>
      <c r="M59" s="107" t="str">
        <f>VLOOKUP(K59,[7]stage_hints!$A:$C,3,FALSE)</f>
        <v>マルチプレイのメリット（その3）</v>
      </c>
      <c r="N59" s="108" t="str">
        <f>VLOOKUP(K59,[7]stage_hints!$A:$D,4,FALSE)</f>
        <v>マルチプレイへの参加はエナジー消費ゼロ_x000D_いつでも好きなだけ遊ぶことができます</v>
      </c>
      <c r="O59" s="57" t="s">
        <v>204</v>
      </c>
      <c r="P59">
        <v>20</v>
      </c>
    </row>
    <row r="60" spans="1:16" x14ac:dyDescent="0.15">
      <c r="A60" s="90" t="str">
        <f t="shared" si="0"/>
        <v>30019_2_64</v>
      </c>
      <c r="B60" s="91" t="s">
        <v>249</v>
      </c>
      <c r="C60" s="92">
        <v>30019</v>
      </c>
      <c r="D60" s="93" t="s">
        <v>250</v>
      </c>
      <c r="E60" s="93" t="s">
        <v>295</v>
      </c>
      <c r="F60" s="94">
        <v>2</v>
      </c>
      <c r="G60" s="93" t="s">
        <v>252</v>
      </c>
      <c r="H60" s="93" t="s">
        <v>295</v>
      </c>
      <c r="I60" s="95">
        <v>0</v>
      </c>
      <c r="J60" s="94">
        <v>64</v>
      </c>
      <c r="K60">
        <v>21</v>
      </c>
      <c r="L60" s="94" t="s">
        <v>253</v>
      </c>
      <c r="M60" s="107" t="str">
        <f>VLOOKUP(K60,[7]stage_hints!$A:$C,3,FALSE)</f>
        <v>スキルを有効に</v>
      </c>
      <c r="N60" s="108" t="str">
        <f>VLOOKUP(K60,[7]stage_hints!$A:$D,4,FALSE)</f>
        <v>ターン経過でユニットのスキルが使えます_x000D_強力スキルでバトルを有利に進めましょう</v>
      </c>
      <c r="O60" s="57" t="s">
        <v>204</v>
      </c>
      <c r="P60">
        <v>21</v>
      </c>
    </row>
    <row r="61" spans="1:16" x14ac:dyDescent="0.15">
      <c r="A61" s="90" t="str">
        <f t="shared" ref="A61:A77" si="1">C61&amp;"_"&amp;F61&amp;"_"&amp;J61</f>
        <v>30019_2_65</v>
      </c>
      <c r="B61" s="91" t="s">
        <v>249</v>
      </c>
      <c r="C61" s="92">
        <v>30019</v>
      </c>
      <c r="D61" s="93" t="s">
        <v>250</v>
      </c>
      <c r="E61" s="93" t="s">
        <v>296</v>
      </c>
      <c r="F61" s="94">
        <v>2</v>
      </c>
      <c r="G61" s="93" t="s">
        <v>252</v>
      </c>
      <c r="H61" s="93" t="s">
        <v>296</v>
      </c>
      <c r="I61" s="95">
        <v>0</v>
      </c>
      <c r="J61" s="94">
        <v>65</v>
      </c>
      <c r="K61">
        <v>22</v>
      </c>
      <c r="L61" s="94" t="s">
        <v>253</v>
      </c>
      <c r="M61" s="107" t="str">
        <f>VLOOKUP(K61,[7]stage_hints!$A:$C,3,FALSE)</f>
        <v>フィーバーで一発逆転（その1）</v>
      </c>
      <c r="N61" s="108" t="str">
        <f>VLOOKUP(K61,[7]stage_hints!$A:$D,4,FALSE)</f>
        <v>フィーバーは攻撃と回復を兼ね備えます_x000D_ピンチからの一発逆転を狙いましょう</v>
      </c>
      <c r="O61" s="57" t="s">
        <v>204</v>
      </c>
      <c r="P61">
        <v>22</v>
      </c>
    </row>
    <row r="62" spans="1:16" x14ac:dyDescent="0.15">
      <c r="A62" s="90" t="str">
        <f t="shared" si="1"/>
        <v>30019_2_66</v>
      </c>
      <c r="B62" s="91" t="s">
        <v>249</v>
      </c>
      <c r="C62" s="92">
        <v>30019</v>
      </c>
      <c r="D62" s="93" t="s">
        <v>250</v>
      </c>
      <c r="E62" s="93" t="s">
        <v>297</v>
      </c>
      <c r="F62" s="94">
        <v>2</v>
      </c>
      <c r="G62" s="93" t="s">
        <v>252</v>
      </c>
      <c r="H62" s="93" t="s">
        <v>297</v>
      </c>
      <c r="I62" s="95">
        <v>0</v>
      </c>
      <c r="J62" s="94">
        <v>66</v>
      </c>
      <c r="K62">
        <v>23</v>
      </c>
      <c r="L62" s="94" t="s">
        <v>253</v>
      </c>
      <c r="M62" s="107" t="str">
        <f>VLOOKUP(K62,[7]stage_hints!$A:$C,3,FALSE)</f>
        <v>フィーバーで一発逆転（その2）</v>
      </c>
      <c r="N62" s="108" t="str">
        <f>VLOOKUP(K62,[7]stage_hints!$A:$D,4,FALSE)</f>
        <v>フィーバー中は虹色のボムパネルを狙って_x000D_画面上のパネルを一気に破壊しましょう</v>
      </c>
      <c r="O62" s="57" t="s">
        <v>204</v>
      </c>
      <c r="P62">
        <v>23</v>
      </c>
    </row>
    <row r="63" spans="1:16" x14ac:dyDescent="0.15">
      <c r="A63" s="90" t="str">
        <f t="shared" si="1"/>
        <v>30019_2_67</v>
      </c>
      <c r="B63" s="91" t="s">
        <v>249</v>
      </c>
      <c r="C63" s="92">
        <v>30019</v>
      </c>
      <c r="D63" s="93" t="s">
        <v>250</v>
      </c>
      <c r="E63" s="93" t="s">
        <v>298</v>
      </c>
      <c r="F63" s="94">
        <v>2</v>
      </c>
      <c r="G63" s="93" t="s">
        <v>252</v>
      </c>
      <c r="H63" s="93" t="s">
        <v>298</v>
      </c>
      <c r="I63" s="95">
        <v>0</v>
      </c>
      <c r="J63" s="94">
        <v>67</v>
      </c>
      <c r="K63">
        <v>24</v>
      </c>
      <c r="L63" s="94" t="s">
        <v>253</v>
      </c>
      <c r="M63" s="107" t="str">
        <f>VLOOKUP(K63,[7]stage_hints!$A:$C,3,FALSE)</f>
        <v>果実を使って限界突破</v>
      </c>
      <c r="N63" s="108" t="str">
        <f>VLOOKUP(K63,[7]stage_hints!$A:$D,4,FALSE)</f>
        <v>攻めの果実 癒しの果実_x000D_生命の果実をユニット強化に使うと_x000D_ステータスが限界突破します（計99個迄）</v>
      </c>
      <c r="O63" s="57" t="s">
        <v>204</v>
      </c>
      <c r="P63">
        <v>24</v>
      </c>
    </row>
    <row r="64" spans="1:16" x14ac:dyDescent="0.15">
      <c r="A64" s="90" t="str">
        <f t="shared" si="1"/>
        <v>30019_2_68</v>
      </c>
      <c r="B64" s="91" t="s">
        <v>249</v>
      </c>
      <c r="C64" s="92">
        <v>30019</v>
      </c>
      <c r="D64" s="93" t="s">
        <v>250</v>
      </c>
      <c r="E64" s="93" t="s">
        <v>299</v>
      </c>
      <c r="F64" s="94">
        <v>2</v>
      </c>
      <c r="G64" s="93" t="s">
        <v>252</v>
      </c>
      <c r="H64" s="93" t="s">
        <v>299</v>
      </c>
      <c r="I64" s="95">
        <v>0</v>
      </c>
      <c r="J64" s="94">
        <v>68</v>
      </c>
      <c r="K64">
        <v>25</v>
      </c>
      <c r="L64" s="94" t="s">
        <v>253</v>
      </c>
      <c r="M64" s="107" t="str">
        <f>VLOOKUP(K64,[7]stage_hints!$A:$C,3,FALSE)</f>
        <v>スキルレベルアップ</v>
      </c>
      <c r="N64" s="108" t="str">
        <f>VLOOKUP(K64,[7]stage_hints!$A:$D,4,FALSE)</f>
        <v>「秘術の果実」を強化に使うと_x000D_スキルレベルを上げることができます</v>
      </c>
      <c r="O64" s="57" t="s">
        <v>204</v>
      </c>
      <c r="P64">
        <v>25</v>
      </c>
    </row>
    <row r="65" spans="1:16" x14ac:dyDescent="0.15">
      <c r="A65" s="90" t="str">
        <f t="shared" si="1"/>
        <v>30019_2_69</v>
      </c>
      <c r="B65" s="91" t="s">
        <v>249</v>
      </c>
      <c r="C65" s="92">
        <v>30019</v>
      </c>
      <c r="D65" s="93" t="s">
        <v>250</v>
      </c>
      <c r="E65" s="93" t="s">
        <v>300</v>
      </c>
      <c r="F65" s="94">
        <v>2</v>
      </c>
      <c r="G65" s="93" t="s">
        <v>252</v>
      </c>
      <c r="H65" s="93" t="s">
        <v>300</v>
      </c>
      <c r="I65" s="95">
        <v>0</v>
      </c>
      <c r="J65" s="94">
        <v>69</v>
      </c>
      <c r="K65">
        <v>26</v>
      </c>
      <c r="L65" s="94" t="s">
        <v>253</v>
      </c>
      <c r="M65" s="107" t="str">
        <f>VLOOKUP(K65,[7]stage_hints!$A:$C,3,FALSE)</f>
        <v>スキルレベルの効果</v>
      </c>
      <c r="N65" s="108" t="str">
        <f>VLOOKUP(K65,[7]stage_hints!$A:$D,4,FALSE)</f>
        <v>スキルレベルが上がると_x000D_短いターンでスキルを使うことができます</v>
      </c>
      <c r="O65" s="57" t="s">
        <v>204</v>
      </c>
      <c r="P65">
        <v>26</v>
      </c>
    </row>
    <row r="66" spans="1:16" x14ac:dyDescent="0.15">
      <c r="A66" s="90" t="str">
        <f t="shared" si="1"/>
        <v>30019_2_70</v>
      </c>
      <c r="B66" s="91" t="s">
        <v>249</v>
      </c>
      <c r="C66" s="92">
        <v>30019</v>
      </c>
      <c r="D66" s="93" t="s">
        <v>250</v>
      </c>
      <c r="E66" s="93" t="s">
        <v>301</v>
      </c>
      <c r="F66" s="94">
        <v>2</v>
      </c>
      <c r="G66" s="93" t="s">
        <v>252</v>
      </c>
      <c r="H66" s="93" t="s">
        <v>301</v>
      </c>
      <c r="I66" s="95">
        <v>0</v>
      </c>
      <c r="J66" s="94">
        <v>70</v>
      </c>
      <c r="K66">
        <v>27</v>
      </c>
      <c r="L66" s="94" t="s">
        <v>253</v>
      </c>
      <c r="M66" s="107" t="str">
        <f>VLOOKUP(K66,[7]stage_hints!$A:$C,3,FALSE)</f>
        <v>ホーム画面からデッキを編成</v>
      </c>
      <c r="N66" s="108" t="str">
        <f>VLOOKUP(K66,[7]stage_hints!$A:$D,4,FALSE)</f>
        <v>ホーム画面でユニットを長押しすると_x000D_すぐにパーティ編成に移動できます</v>
      </c>
      <c r="O66" s="57" t="s">
        <v>204</v>
      </c>
      <c r="P66">
        <v>27</v>
      </c>
    </row>
    <row r="67" spans="1:16" x14ac:dyDescent="0.15">
      <c r="A67" s="90" t="str">
        <f t="shared" si="1"/>
        <v>30019_2_71</v>
      </c>
      <c r="B67" s="91" t="s">
        <v>249</v>
      </c>
      <c r="C67" s="92">
        <v>30019</v>
      </c>
      <c r="D67" s="93" t="s">
        <v>250</v>
      </c>
      <c r="E67" s="93" t="s">
        <v>302</v>
      </c>
      <c r="F67" s="94">
        <v>2</v>
      </c>
      <c r="G67" s="93" t="s">
        <v>252</v>
      </c>
      <c r="H67" s="93" t="s">
        <v>302</v>
      </c>
      <c r="I67" s="95">
        <v>0</v>
      </c>
      <c r="J67" s="94">
        <v>71</v>
      </c>
      <c r="K67">
        <v>28</v>
      </c>
      <c r="L67" s="94" t="s">
        <v>253</v>
      </c>
      <c r="M67" s="107" t="str">
        <f>VLOOKUP(K67,[7]stage_hints!$A:$C,3,FALSE)</f>
        <v>ステータス情報は長押しで</v>
      </c>
      <c r="N67" s="108" t="str">
        <f>VLOOKUP(K67,[7]stage_hints!$A:$D,4,FALSE)</f>
        <v>ユニットのアイコンを長押しすると_x000D_ステータス情報を確認することができます</v>
      </c>
      <c r="O67" s="57" t="s">
        <v>204</v>
      </c>
      <c r="P67">
        <v>28</v>
      </c>
    </row>
    <row r="68" spans="1:16" x14ac:dyDescent="0.15">
      <c r="A68" s="90" t="str">
        <f t="shared" si="1"/>
        <v>30019_2_72</v>
      </c>
      <c r="B68" s="91" t="s">
        <v>249</v>
      </c>
      <c r="C68" s="92">
        <v>30019</v>
      </c>
      <c r="D68" s="93" t="s">
        <v>250</v>
      </c>
      <c r="E68" s="93" t="s">
        <v>303</v>
      </c>
      <c r="F68" s="94">
        <v>2</v>
      </c>
      <c r="G68" s="93" t="s">
        <v>252</v>
      </c>
      <c r="H68" s="93" t="s">
        <v>303</v>
      </c>
      <c r="I68" s="95">
        <v>0</v>
      </c>
      <c r="J68" s="94">
        <v>72</v>
      </c>
      <c r="K68">
        <v>29</v>
      </c>
      <c r="L68" s="94" t="s">
        <v>253</v>
      </c>
      <c r="M68" s="107" t="str">
        <f>VLOOKUP(K68,[7]stage_hints!$A:$C,3,FALSE)</f>
        <v>「バグ」のメリット</v>
      </c>
      <c r="N68" s="108" t="str">
        <f>VLOOKUP(K68,[7]stage_hints!$A:$D,4,FALSE)</f>
        <v>ユニットの「バグ」を増やすと_x000D_報酬をもらえる確率がアップします</v>
      </c>
      <c r="O68" s="57" t="s">
        <v>204</v>
      </c>
      <c r="P68">
        <v>29</v>
      </c>
    </row>
    <row r="69" spans="1:16" x14ac:dyDescent="0.15">
      <c r="A69" s="90" t="str">
        <f t="shared" si="1"/>
        <v>30019_2_73</v>
      </c>
      <c r="B69" s="91" t="s">
        <v>249</v>
      </c>
      <c r="C69" s="92">
        <v>30019</v>
      </c>
      <c r="D69" s="93" t="s">
        <v>250</v>
      </c>
      <c r="E69" s="93" t="s">
        <v>304</v>
      </c>
      <c r="F69" s="94">
        <v>2</v>
      </c>
      <c r="G69" s="93" t="s">
        <v>252</v>
      </c>
      <c r="H69" s="93" t="s">
        <v>304</v>
      </c>
      <c r="I69" s="95">
        <v>0</v>
      </c>
      <c r="J69" s="94">
        <v>73</v>
      </c>
      <c r="K69">
        <v>30</v>
      </c>
      <c r="L69" s="94" t="s">
        <v>253</v>
      </c>
      <c r="M69" s="107" t="str">
        <f>VLOOKUP(K69,[7]stage_hints!$A:$C,3,FALSE)</f>
        <v>「バグ」の増やし方</v>
      </c>
      <c r="N69" s="108" t="str">
        <f>VLOOKUP(K69,[7]stage_hints!$A:$D,4,FALSE)</f>
        <v>同じユニット同士を強化で合成すると_x000D_「バグ」を増やすことができます</v>
      </c>
      <c r="O69" s="57" t="s">
        <v>204</v>
      </c>
      <c r="P69">
        <v>30</v>
      </c>
    </row>
    <row r="70" spans="1:16" x14ac:dyDescent="0.15">
      <c r="A70" s="90" t="str">
        <f t="shared" si="1"/>
        <v>30019_2_74</v>
      </c>
      <c r="B70" s="91" t="s">
        <v>249</v>
      </c>
      <c r="C70" s="92">
        <v>30019</v>
      </c>
      <c r="D70" s="93" t="s">
        <v>250</v>
      </c>
      <c r="E70" s="93" t="s">
        <v>305</v>
      </c>
      <c r="F70" s="94">
        <v>2</v>
      </c>
      <c r="G70" s="93" t="s">
        <v>252</v>
      </c>
      <c r="H70" s="93" t="s">
        <v>305</v>
      </c>
      <c r="I70" s="95">
        <v>0</v>
      </c>
      <c r="J70" s="94">
        <v>74</v>
      </c>
      <c r="K70">
        <v>31</v>
      </c>
      <c r="L70" s="94" t="s">
        <v>253</v>
      </c>
      <c r="M70" s="107" t="str">
        <f>VLOOKUP(K70,[7]stage_hints!$A:$C,3,FALSE)</f>
        <v>イベントはお知らせでチェック</v>
      </c>
      <c r="N70" s="108" t="str">
        <f>VLOOKUP(K70,[7]stage_hints!$A:$D,4,FALSE)</f>
        <v>イベント限定ユニットを取り忘れないように_x000D_お知らせをこまめにチェックしましょう</v>
      </c>
      <c r="O70" s="57" t="s">
        <v>204</v>
      </c>
      <c r="P70">
        <v>31</v>
      </c>
    </row>
    <row r="71" spans="1:16" x14ac:dyDescent="0.15">
      <c r="A71" s="90" t="str">
        <f t="shared" si="1"/>
        <v>30019_2_75</v>
      </c>
      <c r="B71" s="91" t="s">
        <v>249</v>
      </c>
      <c r="C71" s="92">
        <v>30019</v>
      </c>
      <c r="D71" s="93" t="s">
        <v>250</v>
      </c>
      <c r="E71" s="93" t="s">
        <v>306</v>
      </c>
      <c r="F71" s="94">
        <v>2</v>
      </c>
      <c r="G71" s="93" t="s">
        <v>252</v>
      </c>
      <c r="H71" s="93" t="s">
        <v>306</v>
      </c>
      <c r="I71" s="95">
        <v>0</v>
      </c>
      <c r="J71" s="94">
        <v>75</v>
      </c>
      <c r="K71">
        <v>38</v>
      </c>
      <c r="L71" s="94" t="s">
        <v>253</v>
      </c>
      <c r="M71" s="107" t="str">
        <f>VLOOKUP(K71,[7]stage_hints!$A:$C,3,FALSE)</f>
        <v>お邪魔パネルはフィーバーで</v>
      </c>
      <c r="N71" s="108" t="str">
        <f>VLOOKUP(K71,[7]stage_hints!$A:$D,4,FALSE)</f>
        <v>つなげて消せない「お邪魔パネル」は_x000D_フィーバーで下へ落としてしまいましょう</v>
      </c>
      <c r="O71" s="57" t="s">
        <v>204</v>
      </c>
      <c r="P71">
        <v>38</v>
      </c>
    </row>
    <row r="72" spans="1:16" x14ac:dyDescent="0.15">
      <c r="A72" s="90" t="str">
        <f t="shared" si="1"/>
        <v>30019_2_76</v>
      </c>
      <c r="B72" s="91" t="s">
        <v>249</v>
      </c>
      <c r="C72" s="92">
        <v>30019</v>
      </c>
      <c r="D72" s="93" t="s">
        <v>250</v>
      </c>
      <c r="E72" s="93" t="s">
        <v>307</v>
      </c>
      <c r="F72" s="94">
        <v>2</v>
      </c>
      <c r="G72" s="93" t="s">
        <v>252</v>
      </c>
      <c r="H72" s="93" t="s">
        <v>307</v>
      </c>
      <c r="I72" s="95">
        <v>0</v>
      </c>
      <c r="J72" s="94">
        <v>76</v>
      </c>
      <c r="K72">
        <v>32</v>
      </c>
      <c r="L72" s="94" t="s">
        <v>253</v>
      </c>
      <c r="M72" s="107" t="str">
        <f>VLOOKUP(K72,[7]stage_hints!$A:$C,3,FALSE)</f>
        <v>敵の連続攻撃には</v>
      </c>
      <c r="N72" s="108" t="str">
        <f>VLOOKUP(K72,[7]stage_hints!$A:$D,4,FALSE)</f>
        <v>カウンタースキルを持つユニットがいれば_x000D_ダメージ回数分の反撃ができます</v>
      </c>
      <c r="O72" s="57" t="s">
        <v>204</v>
      </c>
      <c r="P72">
        <v>32</v>
      </c>
    </row>
    <row r="73" spans="1:16" x14ac:dyDescent="0.15">
      <c r="A73" s="90" t="str">
        <f t="shared" si="1"/>
        <v>30019_2_77</v>
      </c>
      <c r="B73" s="91" t="s">
        <v>249</v>
      </c>
      <c r="C73" s="92">
        <v>30019</v>
      </c>
      <c r="D73" s="93" t="s">
        <v>250</v>
      </c>
      <c r="E73" s="93" t="s">
        <v>308</v>
      </c>
      <c r="F73" s="94">
        <v>2</v>
      </c>
      <c r="G73" s="93" t="s">
        <v>252</v>
      </c>
      <c r="H73" s="93" t="s">
        <v>308</v>
      </c>
      <c r="I73" s="95">
        <v>0</v>
      </c>
      <c r="J73" s="94">
        <v>77</v>
      </c>
      <c r="K73">
        <v>33</v>
      </c>
      <c r="L73" s="94" t="s">
        <v>253</v>
      </c>
      <c r="M73" s="107" t="str">
        <f>VLOOKUP(K73,[7]stage_hints!$A:$C,3,FALSE)</f>
        <v>敵のカウンター攻撃には</v>
      </c>
      <c r="N73" s="108" t="str">
        <f>VLOOKUP(K73,[7]stage_hints!$A:$D,4,FALSE)</f>
        <v>カウンターブレイクスキルを持っていれば_x000D_敵のカウンターを解除して攻撃ができます</v>
      </c>
      <c r="O73" s="57" t="s">
        <v>204</v>
      </c>
      <c r="P73">
        <v>33</v>
      </c>
    </row>
    <row r="74" spans="1:16" x14ac:dyDescent="0.15">
      <c r="A74" s="90" t="str">
        <f t="shared" si="1"/>
        <v>30019_2_78</v>
      </c>
      <c r="B74" s="91" t="s">
        <v>249</v>
      </c>
      <c r="C74" s="92">
        <v>30019</v>
      </c>
      <c r="D74" s="93" t="s">
        <v>250</v>
      </c>
      <c r="E74" s="93" t="s">
        <v>309</v>
      </c>
      <c r="F74" s="94">
        <v>2</v>
      </c>
      <c r="G74" s="93" t="s">
        <v>252</v>
      </c>
      <c r="H74" s="93" t="s">
        <v>309</v>
      </c>
      <c r="I74" s="95">
        <v>0</v>
      </c>
      <c r="J74" s="94">
        <v>78</v>
      </c>
      <c r="K74">
        <v>34</v>
      </c>
      <c r="L74" s="94" t="s">
        <v>253</v>
      </c>
      <c r="M74" s="107" t="str">
        <f>VLOOKUP(K74,[7]stage_hints!$A:$C,3,FALSE)</f>
        <v>ステータスをスキルで下げられたら</v>
      </c>
      <c r="N74" s="108" t="str">
        <f>VLOOKUP(K74,[7]stage_hints!$A:$D,4,FALSE)</f>
        <v>ステータスダウンのスキルを受けたら_x000D_ステータスアップスキルで上書きしましょう</v>
      </c>
      <c r="O74" s="57" t="s">
        <v>204</v>
      </c>
      <c r="P74">
        <v>34</v>
      </c>
    </row>
    <row r="75" spans="1:16" x14ac:dyDescent="0.15">
      <c r="A75" s="90" t="str">
        <f t="shared" si="1"/>
        <v>30019_2_79</v>
      </c>
      <c r="B75" s="91" t="s">
        <v>249</v>
      </c>
      <c r="C75" s="92">
        <v>30019</v>
      </c>
      <c r="D75" s="93" t="s">
        <v>250</v>
      </c>
      <c r="E75" s="93" t="s">
        <v>310</v>
      </c>
      <c r="F75" s="94">
        <v>2</v>
      </c>
      <c r="G75" s="93" t="s">
        <v>252</v>
      </c>
      <c r="H75" s="93" t="s">
        <v>310</v>
      </c>
      <c r="I75" s="95">
        <v>0</v>
      </c>
      <c r="J75" s="94">
        <v>79</v>
      </c>
      <c r="K75">
        <v>35</v>
      </c>
      <c r="L75" s="94" t="s">
        <v>253</v>
      </c>
      <c r="M75" s="107" t="str">
        <f>VLOOKUP(K75,[7]stage_hints!$A:$C,3,FALSE)</f>
        <v>敵のステータスがスキルで上がったら</v>
      </c>
      <c r="N75" s="108" t="str">
        <f>VLOOKUP(K75,[7]stage_hints!$A:$D,4,FALSE)</f>
        <v>敵のステータスがスキルでアップしたときは_x000D_ステータスダウンスキルで上書きしましょう</v>
      </c>
      <c r="O75" s="57" t="s">
        <v>204</v>
      </c>
      <c r="P75">
        <v>35</v>
      </c>
    </row>
    <row r="76" spans="1:16" x14ac:dyDescent="0.15">
      <c r="A76" s="90" t="str">
        <f t="shared" si="1"/>
        <v>30019_2_80</v>
      </c>
      <c r="B76" s="91" t="s">
        <v>249</v>
      </c>
      <c r="C76" s="92">
        <v>30019</v>
      </c>
      <c r="D76" s="93" t="s">
        <v>250</v>
      </c>
      <c r="E76" s="93" t="s">
        <v>311</v>
      </c>
      <c r="F76" s="94">
        <v>2</v>
      </c>
      <c r="G76" s="93" t="s">
        <v>252</v>
      </c>
      <c r="H76" s="93" t="s">
        <v>311</v>
      </c>
      <c r="I76" s="95">
        <v>0</v>
      </c>
      <c r="J76" s="94">
        <v>80</v>
      </c>
      <c r="K76">
        <v>36</v>
      </c>
      <c r="L76" s="94" t="s">
        <v>253</v>
      </c>
      <c r="M76" s="107" t="str">
        <f>VLOOKUP(K76,[7]stage_hints!$A:$C,3,FALSE)</f>
        <v>タワーオブザクイーンのボス</v>
      </c>
      <c r="N76" s="108" t="str">
        <f>VLOOKUP(K76,[7]stage_hints!$A:$D,4,FALSE)</f>
        <v>「タワーオブザクイーン」最上階のボスは_x000D_15階の初回クリア報酬で獲得できるほか_x000D_その階にて低確率でドロップもします</v>
      </c>
      <c r="O76" s="57" t="s">
        <v>204</v>
      </c>
      <c r="P76">
        <v>36</v>
      </c>
    </row>
    <row r="77" spans="1:16" x14ac:dyDescent="0.15">
      <c r="A77" s="90" t="str">
        <f t="shared" si="1"/>
        <v>30019_2_81</v>
      </c>
      <c r="B77" s="91" t="s">
        <v>249</v>
      </c>
      <c r="C77" s="92">
        <v>30019</v>
      </c>
      <c r="D77" s="93" t="s">
        <v>250</v>
      </c>
      <c r="E77" s="93" t="s">
        <v>312</v>
      </c>
      <c r="F77" s="94">
        <v>2</v>
      </c>
      <c r="G77" s="93" t="s">
        <v>252</v>
      </c>
      <c r="H77" s="93" t="s">
        <v>312</v>
      </c>
      <c r="I77" s="95">
        <v>0</v>
      </c>
      <c r="J77" s="94">
        <v>81</v>
      </c>
      <c r="K77">
        <v>37</v>
      </c>
      <c r="L77" s="94" t="s">
        <v>253</v>
      </c>
      <c r="M77" s="107" t="str">
        <f>VLOOKUP(K77,[7]stage_hints!$A:$C,3,FALSE)</f>
        <v>限界突破値の引き継ぎ</v>
      </c>
      <c r="N77" s="108" t="str">
        <f>VLOOKUP(K77,[7]stage_hints!$A:$D,4,FALSE)</f>
        <v>同じユニットを強化で合成すると_x000D_限界突破値を引き継げます（覚醒前後も可）</v>
      </c>
      <c r="O77" s="57" t="s">
        <v>204</v>
      </c>
      <c r="P77">
        <v>37</v>
      </c>
    </row>
  </sheetData>
  <phoneticPr fontId="5"/>
  <dataValidations count="1">
    <dataValidation type="list" allowBlank="1" showInputMessage="1" showErrorMessage="1" sqref="B2:B7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stage_hints_failue</vt:lpstr>
      <vt:lpstr>stage_hints_complete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2017-03-08T05:29:06Z</dcterms:modified>
</cp:coreProperties>
</file>