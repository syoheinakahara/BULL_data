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8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o_takigawa/BULL_data/master_excel/"/>
    </mc:Choice>
  </mc:AlternateContent>
  <bookViews>
    <workbookView xWindow="460" yWindow="500" windowWidth="25040" windowHeight="15500" tabRatio="749" activeTab="9"/>
  </bookViews>
  <sheets>
    <sheet name="output" sheetId="7" r:id="rId1"/>
    <sheet name="floors" sheetId="2" r:id="rId2"/>
    <sheet name="enemy_habitats" sheetId="1" r:id="rId3"/>
    <sheet name="enemy_habitat_S" sheetId="8" r:id="rId4"/>
    <sheet name="調整用" sheetId="12" r:id="rId5"/>
    <sheet name="enemy_skill_sets" sheetId="9" r:id="rId6"/>
    <sheet name="enemy_skills" sheetId="10" r:id="rId7"/>
    <sheet name="enemy_skill_triggers" sheetId="11" r:id="rId8"/>
    <sheet name="bugbonuses" sheetId="13" r:id="rId9"/>
    <sheet name="stage_hints" sheetId="14" r:id="rId10"/>
  </sheets>
  <externalReferences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3" hidden="1">enemy_habitat_S!$B$1:$Y$2</definedName>
    <definedName name="_xlnm._FilterDatabase" localSheetId="2" hidden="1">enemy_habitats!$B$1:$AH$1</definedName>
    <definedName name="_xlnm._FilterDatabase" localSheetId="5" hidden="1">enemy_skill_sets!$A$1:$S$1</definedName>
    <definedName name="_xlnm._FilterDatabase" localSheetId="7" hidden="1">enemy_skill_triggers!$A$1:$G$1</definedName>
    <definedName name="_xlnm._FilterDatabase" localSheetId="6" hidden="1">enemy_skills!$A$1:$I$1</definedName>
    <definedName name="_xlnm._FilterDatabase" localSheetId="9" hidden="1">stage_hints!$C$1:$N$2</definedName>
    <definedName name="Excel_BuiltIn__FilterDatabase_6_1" localSheetId="5">[1]unit_skills!#REF!</definedName>
    <definedName name="Excel_BuiltIn__FilterDatabase_6_1" localSheetId="7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" i="14" l="1"/>
  <c r="N7" i="14"/>
  <c r="N9" i="14"/>
  <c r="N10" i="14"/>
  <c r="M10" i="14"/>
  <c r="N13" i="14"/>
  <c r="N15" i="14"/>
  <c r="N17" i="14"/>
  <c r="P17" i="14"/>
  <c r="M13" i="14"/>
  <c r="M15" i="14"/>
  <c r="M17" i="14"/>
  <c r="J17" i="14"/>
  <c r="K17" i="14"/>
  <c r="H17" i="14"/>
  <c r="G17" i="14"/>
  <c r="E17" i="14"/>
  <c r="D17" i="14"/>
  <c r="A17" i="14"/>
  <c r="N12" i="14"/>
  <c r="N14" i="14"/>
  <c r="N16" i="14"/>
  <c r="P16" i="14"/>
  <c r="M12" i="14"/>
  <c r="M14" i="14"/>
  <c r="M16" i="14"/>
  <c r="J16" i="14"/>
  <c r="K16" i="14"/>
  <c r="H16" i="14"/>
  <c r="G16" i="14"/>
  <c r="E16" i="14"/>
  <c r="D16" i="14"/>
  <c r="A16" i="14"/>
  <c r="P15" i="14"/>
  <c r="J15" i="14"/>
  <c r="K15" i="14"/>
  <c r="H15" i="14"/>
  <c r="G15" i="14"/>
  <c r="E15" i="14"/>
  <c r="D15" i="14"/>
  <c r="A15" i="14"/>
  <c r="P14" i="14"/>
  <c r="J14" i="14"/>
  <c r="K14" i="14"/>
  <c r="H14" i="14"/>
  <c r="G14" i="14"/>
  <c r="E14" i="14"/>
  <c r="D14" i="14"/>
  <c r="A14" i="14"/>
  <c r="P13" i="14"/>
  <c r="J13" i="14"/>
  <c r="K13" i="14"/>
  <c r="H13" i="14"/>
  <c r="G13" i="14"/>
  <c r="E13" i="14"/>
  <c r="D13" i="14"/>
  <c r="A13" i="14"/>
  <c r="P12" i="14"/>
  <c r="J12" i="14"/>
  <c r="K12" i="14"/>
  <c r="H12" i="14"/>
  <c r="G12" i="14"/>
  <c r="E12" i="14"/>
  <c r="D12" i="14"/>
  <c r="A12" i="14"/>
  <c r="P11" i="14"/>
  <c r="J11" i="14"/>
  <c r="K11" i="14"/>
  <c r="H11" i="14"/>
  <c r="G11" i="14"/>
  <c r="E11" i="14"/>
  <c r="D11" i="14"/>
  <c r="A11" i="14"/>
  <c r="P10" i="14"/>
  <c r="J10" i="14"/>
  <c r="K10" i="14"/>
  <c r="H10" i="14"/>
  <c r="G10" i="14"/>
  <c r="E10" i="14"/>
  <c r="D10" i="14"/>
  <c r="A10" i="14"/>
  <c r="R9" i="13"/>
  <c r="Q9" i="13"/>
  <c r="P9" i="13"/>
  <c r="O9" i="13"/>
  <c r="N9" i="13"/>
  <c r="M9" i="13"/>
  <c r="L9" i="13"/>
  <c r="K9" i="13"/>
  <c r="J9" i="13"/>
  <c r="I9" i="13"/>
  <c r="H9" i="13"/>
  <c r="G3" i="13"/>
  <c r="G4" i="13"/>
  <c r="G5" i="13"/>
  <c r="G9" i="13"/>
  <c r="F9" i="13"/>
  <c r="E9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AM66" i="1"/>
  <c r="AL66" i="1"/>
  <c r="AK66" i="1"/>
  <c r="AJ66" i="1"/>
  <c r="AI66" i="1"/>
  <c r="AH66" i="1"/>
  <c r="AB14" i="1"/>
  <c r="AD14" i="1"/>
  <c r="AG14" i="1"/>
  <c r="AG66" i="1"/>
  <c r="AF66" i="1"/>
  <c r="AM65" i="1"/>
  <c r="AL65" i="1"/>
  <c r="AK65" i="1"/>
  <c r="AJ65" i="1"/>
  <c r="AI65" i="1"/>
  <c r="AH65" i="1"/>
  <c r="AB13" i="1"/>
  <c r="AD13" i="1"/>
  <c r="AG13" i="1"/>
  <c r="AG65" i="1"/>
  <c r="AF65" i="1"/>
  <c r="AM64" i="1"/>
  <c r="AL64" i="1"/>
  <c r="AK64" i="1"/>
  <c r="AJ64" i="1"/>
  <c r="AI64" i="1"/>
  <c r="AH64" i="1"/>
  <c r="AB12" i="1"/>
  <c r="AD12" i="1"/>
  <c r="AG12" i="1"/>
  <c r="AG64" i="1"/>
  <c r="AF64" i="1"/>
  <c r="AM63" i="1"/>
  <c r="AL63" i="1"/>
  <c r="AK63" i="1"/>
  <c r="AJ63" i="1"/>
  <c r="AI63" i="1"/>
  <c r="AH63" i="1"/>
  <c r="AB11" i="1"/>
  <c r="AD11" i="1"/>
  <c r="AG11" i="1"/>
  <c r="AG63" i="1"/>
  <c r="AF63" i="1"/>
  <c r="AM62" i="1"/>
  <c r="AL62" i="1"/>
  <c r="AK62" i="1"/>
  <c r="AJ62" i="1"/>
  <c r="AI62" i="1"/>
  <c r="AH62" i="1"/>
  <c r="AB10" i="1"/>
  <c r="AD10" i="1"/>
  <c r="AG10" i="1"/>
  <c r="AG62" i="1"/>
  <c r="AF62" i="1"/>
  <c r="AM61" i="1"/>
  <c r="AL61" i="1"/>
  <c r="AK61" i="1"/>
  <c r="AJ61" i="1"/>
  <c r="AI61" i="1"/>
  <c r="AH61" i="1"/>
  <c r="AB9" i="1"/>
  <c r="AD9" i="1"/>
  <c r="AG9" i="1"/>
  <c r="AG61" i="1"/>
  <c r="AF61" i="1"/>
  <c r="AM60" i="1"/>
  <c r="AL60" i="1"/>
  <c r="AK60" i="1"/>
  <c r="AJ60" i="1"/>
  <c r="AI60" i="1"/>
  <c r="AH60" i="1"/>
  <c r="AB8" i="1"/>
  <c r="AD8" i="1"/>
  <c r="AG8" i="1"/>
  <c r="AG60" i="1"/>
  <c r="AF60" i="1"/>
  <c r="AM59" i="1"/>
  <c r="AL59" i="1"/>
  <c r="AK59" i="1"/>
  <c r="AJ59" i="1"/>
  <c r="AI59" i="1"/>
  <c r="AH59" i="1"/>
  <c r="AB7" i="1"/>
  <c r="AD7" i="1"/>
  <c r="AG7" i="1"/>
  <c r="AG59" i="1"/>
  <c r="AF59" i="1"/>
  <c r="AM58" i="1"/>
  <c r="AL58" i="1"/>
  <c r="AK58" i="1"/>
  <c r="AJ58" i="1"/>
  <c r="AI58" i="1"/>
  <c r="AH58" i="1"/>
  <c r="AB6" i="1"/>
  <c r="AD6" i="1"/>
  <c r="AG6" i="1"/>
  <c r="AG58" i="1"/>
  <c r="AF58" i="1"/>
  <c r="AM57" i="1"/>
  <c r="AL57" i="1"/>
  <c r="AK57" i="1"/>
  <c r="AJ57" i="1"/>
  <c r="AI57" i="1"/>
  <c r="AH57" i="1"/>
  <c r="AB5" i="1"/>
  <c r="AD5" i="1"/>
  <c r="AG5" i="1"/>
  <c r="AG57" i="1"/>
  <c r="AF57" i="1"/>
  <c r="AM56" i="1"/>
  <c r="AL56" i="1"/>
  <c r="AK56" i="1"/>
  <c r="AJ56" i="1"/>
  <c r="AI56" i="1"/>
  <c r="AH56" i="1"/>
  <c r="AB4" i="1"/>
  <c r="AD4" i="1"/>
  <c r="AG4" i="1"/>
  <c r="AG56" i="1"/>
  <c r="AF56" i="1"/>
  <c r="AM55" i="1"/>
  <c r="AL55" i="1"/>
  <c r="AK55" i="1"/>
  <c r="AJ55" i="1"/>
  <c r="AI55" i="1"/>
  <c r="AH55" i="1"/>
  <c r="AB3" i="1"/>
  <c r="AD3" i="1"/>
  <c r="AG3" i="1"/>
  <c r="AG55" i="1"/>
  <c r="AF55" i="1"/>
  <c r="AM54" i="1"/>
  <c r="AL54" i="1"/>
  <c r="AK54" i="1"/>
  <c r="AJ54" i="1"/>
  <c r="AI54" i="1"/>
  <c r="AH54" i="1"/>
  <c r="AB2" i="1"/>
  <c r="AD2" i="1"/>
  <c r="AG2" i="1"/>
  <c r="AG54" i="1"/>
  <c r="AF54" i="1"/>
  <c r="AA66" i="1"/>
  <c r="Z66" i="1"/>
  <c r="Y66" i="1"/>
  <c r="X66" i="1"/>
  <c r="W66" i="1"/>
  <c r="AA65" i="1"/>
  <c r="Z65" i="1"/>
  <c r="Y65" i="1"/>
  <c r="X65" i="1"/>
  <c r="W13" i="1"/>
  <c r="W65" i="1"/>
  <c r="AA64" i="1"/>
  <c r="Z64" i="1"/>
  <c r="Y64" i="1"/>
  <c r="X64" i="1"/>
  <c r="W12" i="1"/>
  <c r="W64" i="1"/>
  <c r="AA63" i="1"/>
  <c r="Z63" i="1"/>
  <c r="Y63" i="1"/>
  <c r="X63" i="1"/>
  <c r="W11" i="1"/>
  <c r="W63" i="1"/>
  <c r="AA62" i="1"/>
  <c r="Z62" i="1"/>
  <c r="Y62" i="1"/>
  <c r="X62" i="1"/>
  <c r="W62" i="1"/>
  <c r="AA61" i="1"/>
  <c r="Z61" i="1"/>
  <c r="Y61" i="1"/>
  <c r="X61" i="1"/>
  <c r="W9" i="1"/>
  <c r="W61" i="1"/>
  <c r="AA60" i="1"/>
  <c r="Z60" i="1"/>
  <c r="Y60" i="1"/>
  <c r="X60" i="1"/>
  <c r="W8" i="1"/>
  <c r="W60" i="1"/>
  <c r="AA59" i="1"/>
  <c r="Z59" i="1"/>
  <c r="Y59" i="1"/>
  <c r="X59" i="1"/>
  <c r="W7" i="1"/>
  <c r="W59" i="1"/>
  <c r="AA58" i="1"/>
  <c r="Z58" i="1"/>
  <c r="Y58" i="1"/>
  <c r="X58" i="1"/>
  <c r="W6" i="1"/>
  <c r="W58" i="1"/>
  <c r="AA57" i="1"/>
  <c r="Z57" i="1"/>
  <c r="Y57" i="1"/>
  <c r="X57" i="1"/>
  <c r="W57" i="1"/>
  <c r="AA56" i="1"/>
  <c r="Z56" i="1"/>
  <c r="Y56" i="1"/>
  <c r="X56" i="1"/>
  <c r="W4" i="1"/>
  <c r="W56" i="1"/>
  <c r="AA55" i="1"/>
  <c r="Z55" i="1"/>
  <c r="Y55" i="1"/>
  <c r="X55" i="1"/>
  <c r="W3" i="1"/>
  <c r="W55" i="1"/>
  <c r="AA54" i="1"/>
  <c r="Z54" i="1"/>
  <c r="Y54" i="1"/>
  <c r="X54" i="1"/>
  <c r="W2" i="1"/>
  <c r="W54" i="1"/>
  <c r="U66" i="1"/>
  <c r="T66" i="1"/>
  <c r="S66" i="1"/>
  <c r="R66" i="1"/>
  <c r="U65" i="1"/>
  <c r="T65" i="1"/>
  <c r="S65" i="1"/>
  <c r="R65" i="1"/>
  <c r="U64" i="1"/>
  <c r="T64" i="1"/>
  <c r="S64" i="1"/>
  <c r="R64" i="1"/>
  <c r="U63" i="1"/>
  <c r="T63" i="1"/>
  <c r="S63" i="1"/>
  <c r="R63" i="1"/>
  <c r="U62" i="1"/>
  <c r="T62" i="1"/>
  <c r="S62" i="1"/>
  <c r="R62" i="1"/>
  <c r="U61" i="1"/>
  <c r="T61" i="1"/>
  <c r="S61" i="1"/>
  <c r="R61" i="1"/>
  <c r="U60" i="1"/>
  <c r="T60" i="1"/>
  <c r="S60" i="1"/>
  <c r="R60" i="1"/>
  <c r="U59" i="1"/>
  <c r="T59" i="1"/>
  <c r="S59" i="1"/>
  <c r="R59" i="1"/>
  <c r="U58" i="1"/>
  <c r="T58" i="1"/>
  <c r="S58" i="1"/>
  <c r="R58" i="1"/>
  <c r="U57" i="1"/>
  <c r="T57" i="1"/>
  <c r="S57" i="1"/>
  <c r="R57" i="1"/>
  <c r="U56" i="1"/>
  <c r="T56" i="1"/>
  <c r="S56" i="1"/>
  <c r="R56" i="1"/>
  <c r="U55" i="1"/>
  <c r="T55" i="1"/>
  <c r="S55" i="1"/>
  <c r="R55" i="1"/>
  <c r="U54" i="1"/>
  <c r="T54" i="1"/>
  <c r="S54" i="1"/>
  <c r="R54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AM79" i="1"/>
  <c r="AM92" i="1"/>
  <c r="AM105" i="1"/>
  <c r="AL79" i="1"/>
  <c r="AL92" i="1"/>
  <c r="AL105" i="1"/>
  <c r="AK79" i="1"/>
  <c r="AK92" i="1"/>
  <c r="AK105" i="1"/>
  <c r="AJ79" i="1"/>
  <c r="AJ92" i="1"/>
  <c r="AJ105" i="1"/>
  <c r="AI79" i="1"/>
  <c r="AI92" i="1"/>
  <c r="AI105" i="1"/>
  <c r="AH79" i="1"/>
  <c r="AH92" i="1"/>
  <c r="AH105" i="1"/>
  <c r="L79" i="1"/>
  <c r="L92" i="1"/>
  <c r="L105" i="1"/>
  <c r="AB105" i="1"/>
  <c r="AD105" i="1"/>
  <c r="AG105" i="1"/>
  <c r="AF79" i="1"/>
  <c r="AF92" i="1"/>
  <c r="AF105" i="1"/>
  <c r="AE105" i="1"/>
  <c r="AC105" i="1"/>
  <c r="AA79" i="1"/>
  <c r="AA92" i="1"/>
  <c r="AA105" i="1"/>
  <c r="Z79" i="1"/>
  <c r="Z92" i="1"/>
  <c r="Z105" i="1"/>
  <c r="Y79" i="1"/>
  <c r="Y92" i="1"/>
  <c r="Y105" i="1"/>
  <c r="X79" i="1"/>
  <c r="X92" i="1"/>
  <c r="X105" i="1"/>
  <c r="W79" i="1"/>
  <c r="W92" i="1"/>
  <c r="W105" i="1"/>
  <c r="E6" i="9"/>
  <c r="V105" i="1"/>
  <c r="U79" i="1"/>
  <c r="U92" i="1"/>
  <c r="U105" i="1"/>
  <c r="T79" i="1"/>
  <c r="T92" i="1"/>
  <c r="T105" i="1"/>
  <c r="S79" i="1"/>
  <c r="S92" i="1"/>
  <c r="S105" i="1"/>
  <c r="R79" i="1"/>
  <c r="R92" i="1"/>
  <c r="R105" i="1"/>
  <c r="Q105" i="1"/>
  <c r="P105" i="1"/>
  <c r="O105" i="1"/>
  <c r="N105" i="1"/>
  <c r="M105" i="1"/>
  <c r="C67" i="1"/>
  <c r="C80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H105" i="1"/>
  <c r="G2" i="2"/>
  <c r="I12" i="2"/>
  <c r="I7" i="2"/>
  <c r="I2" i="2"/>
  <c r="A2" i="2"/>
  <c r="G3" i="2"/>
  <c r="I13" i="2"/>
  <c r="I8" i="2"/>
  <c r="I3" i="2"/>
  <c r="A3" i="2"/>
  <c r="G4" i="2"/>
  <c r="I14" i="2"/>
  <c r="I9" i="2"/>
  <c r="I4" i="2"/>
  <c r="A4" i="2"/>
  <c r="G5" i="2"/>
  <c r="I15" i="2"/>
  <c r="I10" i="2"/>
  <c r="I5" i="2"/>
  <c r="A5" i="2"/>
  <c r="G6" i="2"/>
  <c r="I16" i="2"/>
  <c r="I11" i="2"/>
  <c r="I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G18" i="2"/>
  <c r="A18" i="2"/>
  <c r="G19" i="2"/>
  <c r="A19" i="2"/>
  <c r="G20" i="2"/>
  <c r="A20" i="2"/>
  <c r="G21" i="2"/>
  <c r="A21" i="2"/>
  <c r="G22" i="2"/>
  <c r="I37" i="2"/>
  <c r="I32" i="2"/>
  <c r="I27" i="2"/>
  <c r="I22" i="2"/>
  <c r="A22" i="2"/>
  <c r="G23" i="2"/>
  <c r="I38" i="2"/>
  <c r="I33" i="2"/>
  <c r="I28" i="2"/>
  <c r="I23" i="2"/>
  <c r="A23" i="2"/>
  <c r="G24" i="2"/>
  <c r="I39" i="2"/>
  <c r="I34" i="2"/>
  <c r="I29" i="2"/>
  <c r="I24" i="2"/>
  <c r="A24" i="2"/>
  <c r="G25" i="2"/>
  <c r="I40" i="2"/>
  <c r="I35" i="2"/>
  <c r="I30" i="2"/>
  <c r="I25" i="2"/>
  <c r="A25" i="2"/>
  <c r="G26" i="2"/>
  <c r="I41" i="2"/>
  <c r="I36" i="2"/>
  <c r="I31" i="2"/>
  <c r="I26" i="2"/>
  <c r="A26" i="2"/>
  <c r="G27" i="2"/>
  <c r="A27" i="2"/>
  <c r="G28" i="2"/>
  <c r="A28" i="2"/>
  <c r="G29" i="2"/>
  <c r="A29" i="2"/>
  <c r="G30" i="2"/>
  <c r="A30" i="2"/>
  <c r="G31" i="2"/>
  <c r="A31" i="2"/>
  <c r="G32" i="2"/>
  <c r="A32" i="2"/>
  <c r="G33" i="2"/>
  <c r="A33" i="2"/>
  <c r="G34" i="2"/>
  <c r="A34" i="2"/>
  <c r="G35" i="2"/>
  <c r="A35" i="2"/>
  <c r="G36" i="2"/>
  <c r="A36" i="2"/>
  <c r="G37" i="2"/>
  <c r="A37" i="2"/>
  <c r="G38" i="2"/>
  <c r="A38" i="2"/>
  <c r="G39" i="2"/>
  <c r="A39" i="2"/>
  <c r="G40" i="2"/>
  <c r="A40" i="2"/>
  <c r="G41" i="2"/>
  <c r="A41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C15" i="1"/>
  <c r="H15" i="1"/>
  <c r="C16" i="1"/>
  <c r="H16" i="1"/>
  <c r="C17" i="1"/>
  <c r="H17" i="1"/>
  <c r="C18" i="1"/>
  <c r="H18" i="1"/>
  <c r="C19" i="1"/>
  <c r="H19" i="1"/>
  <c r="C20" i="1"/>
  <c r="H20" i="1"/>
  <c r="C21" i="1"/>
  <c r="H21" i="1"/>
  <c r="C22" i="1"/>
  <c r="H22" i="1"/>
  <c r="C23" i="1"/>
  <c r="H23" i="1"/>
  <c r="C24" i="1"/>
  <c r="H24" i="1"/>
  <c r="C25" i="1"/>
  <c r="H25" i="1"/>
  <c r="C26" i="1"/>
  <c r="H26" i="1"/>
  <c r="C27" i="1"/>
  <c r="H27" i="1"/>
  <c r="C28" i="1"/>
  <c r="H28" i="1"/>
  <c r="C29" i="1"/>
  <c r="H29" i="1"/>
  <c r="C30" i="1"/>
  <c r="H30" i="1"/>
  <c r="C31" i="1"/>
  <c r="H31" i="1"/>
  <c r="C32" i="1"/>
  <c r="H32" i="1"/>
  <c r="C33" i="1"/>
  <c r="H33" i="1"/>
  <c r="C34" i="1"/>
  <c r="H34" i="1"/>
  <c r="C35" i="1"/>
  <c r="H35" i="1"/>
  <c r="C36" i="1"/>
  <c r="H36" i="1"/>
  <c r="C37" i="1"/>
  <c r="H37" i="1"/>
  <c r="C38" i="1"/>
  <c r="H38" i="1"/>
  <c r="C39" i="1"/>
  <c r="H39" i="1"/>
  <c r="C40" i="1"/>
  <c r="H40" i="1"/>
  <c r="C41" i="1"/>
  <c r="H41" i="1"/>
  <c r="C42" i="1"/>
  <c r="H42" i="1"/>
  <c r="C43" i="1"/>
  <c r="H43" i="1"/>
  <c r="C44" i="1"/>
  <c r="H44" i="1"/>
  <c r="C45" i="1"/>
  <c r="H45" i="1"/>
  <c r="C46" i="1"/>
  <c r="H46" i="1"/>
  <c r="C47" i="1"/>
  <c r="H47" i="1"/>
  <c r="C48" i="1"/>
  <c r="H48" i="1"/>
  <c r="C49" i="1"/>
  <c r="H49" i="1"/>
  <c r="C50" i="1"/>
  <c r="H50" i="1"/>
  <c r="C51" i="1"/>
  <c r="H51" i="1"/>
  <c r="C52" i="1"/>
  <c r="H52" i="1"/>
  <c r="C53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C68" i="1"/>
  <c r="H68" i="1"/>
  <c r="C69" i="1"/>
  <c r="H69" i="1"/>
  <c r="C70" i="1"/>
  <c r="H70" i="1"/>
  <c r="C71" i="1"/>
  <c r="H71" i="1"/>
  <c r="C72" i="1"/>
  <c r="H72" i="1"/>
  <c r="C73" i="1"/>
  <c r="H73" i="1"/>
  <c r="C74" i="1"/>
  <c r="H74" i="1"/>
  <c r="C75" i="1"/>
  <c r="H75" i="1"/>
  <c r="C76" i="1"/>
  <c r="H76" i="1"/>
  <c r="C77" i="1"/>
  <c r="H77" i="1"/>
  <c r="C78" i="1"/>
  <c r="H78" i="1"/>
  <c r="C79" i="1"/>
  <c r="H79" i="1"/>
  <c r="H80" i="1"/>
  <c r="C81" i="1"/>
  <c r="H81" i="1"/>
  <c r="C82" i="1"/>
  <c r="H82" i="1"/>
  <c r="C83" i="1"/>
  <c r="H83" i="1"/>
  <c r="C84" i="1"/>
  <c r="H84" i="1"/>
  <c r="C85" i="1"/>
  <c r="H85" i="1"/>
  <c r="C86" i="1"/>
  <c r="H86" i="1"/>
  <c r="C87" i="1"/>
  <c r="H87" i="1"/>
  <c r="C88" i="1"/>
  <c r="H88" i="1"/>
  <c r="C89" i="1"/>
  <c r="H89" i="1"/>
  <c r="C90" i="1"/>
  <c r="H90" i="1"/>
  <c r="C91" i="1"/>
  <c r="H91" i="1"/>
  <c r="C92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B2" i="2"/>
  <c r="D2" i="2"/>
  <c r="E2" i="2"/>
  <c r="H2" i="2"/>
  <c r="J12" i="2"/>
  <c r="J7" i="2"/>
  <c r="J2" i="2"/>
  <c r="K12" i="2"/>
  <c r="K7" i="2"/>
  <c r="K2" i="2"/>
  <c r="B3" i="2"/>
  <c r="D3" i="2"/>
  <c r="E3" i="2"/>
  <c r="H3" i="2"/>
  <c r="J13" i="2"/>
  <c r="J8" i="2"/>
  <c r="J3" i="2"/>
  <c r="K13" i="2"/>
  <c r="K8" i="2"/>
  <c r="K3" i="2"/>
  <c r="B4" i="2"/>
  <c r="D4" i="2"/>
  <c r="E4" i="2"/>
  <c r="H4" i="2"/>
  <c r="J14" i="2"/>
  <c r="J9" i="2"/>
  <c r="J4" i="2"/>
  <c r="K14" i="2"/>
  <c r="K9" i="2"/>
  <c r="K4" i="2"/>
  <c r="B5" i="2"/>
  <c r="D5" i="2"/>
  <c r="E5" i="2"/>
  <c r="H5" i="2"/>
  <c r="J15" i="2"/>
  <c r="J10" i="2"/>
  <c r="J5" i="2"/>
  <c r="K15" i="2"/>
  <c r="K10" i="2"/>
  <c r="K5" i="2"/>
  <c r="B6" i="2"/>
  <c r="D6" i="2"/>
  <c r="E6" i="2"/>
  <c r="H6" i="2"/>
  <c r="J16" i="2"/>
  <c r="J11" i="2"/>
  <c r="J6" i="2"/>
  <c r="K16" i="2"/>
  <c r="K11" i="2"/>
  <c r="K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B11" i="2"/>
  <c r="D11" i="2"/>
  <c r="E11" i="2"/>
  <c r="H11" i="2"/>
  <c r="B12" i="2"/>
  <c r="D12" i="2"/>
  <c r="E12" i="2"/>
  <c r="H12" i="2"/>
  <c r="B13" i="2"/>
  <c r="D13" i="2"/>
  <c r="E13" i="2"/>
  <c r="H13" i="2"/>
  <c r="B14" i="2"/>
  <c r="D14" i="2"/>
  <c r="E14" i="2"/>
  <c r="H14" i="2"/>
  <c r="B15" i="2"/>
  <c r="D15" i="2"/>
  <c r="E15" i="2"/>
  <c r="H15" i="2"/>
  <c r="B16" i="2"/>
  <c r="D16" i="2"/>
  <c r="E16" i="2"/>
  <c r="H16" i="2"/>
  <c r="B17" i="2"/>
  <c r="D17" i="2"/>
  <c r="E17" i="2"/>
  <c r="H17" i="2"/>
  <c r="B18" i="2"/>
  <c r="D18" i="2"/>
  <c r="E18" i="2"/>
  <c r="H18" i="2"/>
  <c r="B19" i="2"/>
  <c r="D19" i="2"/>
  <c r="E19" i="2"/>
  <c r="H19" i="2"/>
  <c r="B20" i="2"/>
  <c r="D20" i="2"/>
  <c r="E20" i="2"/>
  <c r="H20" i="2"/>
  <c r="B21" i="2"/>
  <c r="D21" i="2"/>
  <c r="E21" i="2"/>
  <c r="H21" i="2"/>
  <c r="B22" i="2"/>
  <c r="D22" i="2"/>
  <c r="E22" i="2"/>
  <c r="H22" i="2"/>
  <c r="J37" i="2"/>
  <c r="J32" i="2"/>
  <c r="J27" i="2"/>
  <c r="J22" i="2"/>
  <c r="K37" i="2"/>
  <c r="K32" i="2"/>
  <c r="K27" i="2"/>
  <c r="K22" i="2"/>
  <c r="B23" i="2"/>
  <c r="D23" i="2"/>
  <c r="E23" i="2"/>
  <c r="H23" i="2"/>
  <c r="J38" i="2"/>
  <c r="J33" i="2"/>
  <c r="J28" i="2"/>
  <c r="J23" i="2"/>
  <c r="K38" i="2"/>
  <c r="K33" i="2"/>
  <c r="K28" i="2"/>
  <c r="K23" i="2"/>
  <c r="B24" i="2"/>
  <c r="D24" i="2"/>
  <c r="E24" i="2"/>
  <c r="H24" i="2"/>
  <c r="J39" i="2"/>
  <c r="J34" i="2"/>
  <c r="J29" i="2"/>
  <c r="J24" i="2"/>
  <c r="K39" i="2"/>
  <c r="K34" i="2"/>
  <c r="K29" i="2"/>
  <c r="K24" i="2"/>
  <c r="B25" i="2"/>
  <c r="D25" i="2"/>
  <c r="E25" i="2"/>
  <c r="H25" i="2"/>
  <c r="J40" i="2"/>
  <c r="J35" i="2"/>
  <c r="J30" i="2"/>
  <c r="J25" i="2"/>
  <c r="K40" i="2"/>
  <c r="K35" i="2"/>
  <c r="K30" i="2"/>
  <c r="K25" i="2"/>
  <c r="B26" i="2"/>
  <c r="D26" i="2"/>
  <c r="E26" i="2"/>
  <c r="H26" i="2"/>
  <c r="J41" i="2"/>
  <c r="J36" i="2"/>
  <c r="J31" i="2"/>
  <c r="J26" i="2"/>
  <c r="K41" i="2"/>
  <c r="K36" i="2"/>
  <c r="K31" i="2"/>
  <c r="K26" i="2"/>
  <c r="B27" i="2"/>
  <c r="D27" i="2"/>
  <c r="E27" i="2"/>
  <c r="H27" i="2"/>
  <c r="B28" i="2"/>
  <c r="D28" i="2"/>
  <c r="E28" i="2"/>
  <c r="H28" i="2"/>
  <c r="B29" i="2"/>
  <c r="D29" i="2"/>
  <c r="E29" i="2"/>
  <c r="H29" i="2"/>
  <c r="B30" i="2"/>
  <c r="D30" i="2"/>
  <c r="E30" i="2"/>
  <c r="H30" i="2"/>
  <c r="B31" i="2"/>
  <c r="D31" i="2"/>
  <c r="E31" i="2"/>
  <c r="H31" i="2"/>
  <c r="B32" i="2"/>
  <c r="D32" i="2"/>
  <c r="E32" i="2"/>
  <c r="H32" i="2"/>
  <c r="B33" i="2"/>
  <c r="D33" i="2"/>
  <c r="E33" i="2"/>
  <c r="H33" i="2"/>
  <c r="B34" i="2"/>
  <c r="D34" i="2"/>
  <c r="E34" i="2"/>
  <c r="H34" i="2"/>
  <c r="B35" i="2"/>
  <c r="D35" i="2"/>
  <c r="E35" i="2"/>
  <c r="H35" i="2"/>
  <c r="B36" i="2"/>
  <c r="D36" i="2"/>
  <c r="E36" i="2"/>
  <c r="H36" i="2"/>
  <c r="B37" i="2"/>
  <c r="D37" i="2"/>
  <c r="E37" i="2"/>
  <c r="H37" i="2"/>
  <c r="B38" i="2"/>
  <c r="D38" i="2"/>
  <c r="E38" i="2"/>
  <c r="H38" i="2"/>
  <c r="B39" i="2"/>
  <c r="D39" i="2"/>
  <c r="E39" i="2"/>
  <c r="H39" i="2"/>
  <c r="B40" i="2"/>
  <c r="D40" i="2"/>
  <c r="E40" i="2"/>
  <c r="H40" i="2"/>
  <c r="B41" i="2"/>
  <c r="D41" i="2"/>
  <c r="E41" i="2"/>
  <c r="H41" i="2"/>
  <c r="J105" i="1"/>
  <c r="I105" i="1"/>
  <c r="D105" i="1"/>
  <c r="F105" i="1"/>
  <c r="E105" i="1"/>
  <c r="A105" i="1"/>
  <c r="AM78" i="1"/>
  <c r="AM91" i="1"/>
  <c r="AM104" i="1"/>
  <c r="AL78" i="1"/>
  <c r="AL91" i="1"/>
  <c r="AL104" i="1"/>
  <c r="AK78" i="1"/>
  <c r="AK91" i="1"/>
  <c r="AK104" i="1"/>
  <c r="AJ78" i="1"/>
  <c r="AJ91" i="1"/>
  <c r="AJ104" i="1"/>
  <c r="AI78" i="1"/>
  <c r="AI91" i="1"/>
  <c r="AI104" i="1"/>
  <c r="AH78" i="1"/>
  <c r="AH91" i="1"/>
  <c r="AH104" i="1"/>
  <c r="L78" i="1"/>
  <c r="L91" i="1"/>
  <c r="L104" i="1"/>
  <c r="AB104" i="1"/>
  <c r="AD104" i="1"/>
  <c r="AG104" i="1"/>
  <c r="AF78" i="1"/>
  <c r="AF91" i="1"/>
  <c r="AF104" i="1"/>
  <c r="AE104" i="1"/>
  <c r="AC104" i="1"/>
  <c r="AA78" i="1"/>
  <c r="AA91" i="1"/>
  <c r="AA104" i="1"/>
  <c r="Z78" i="1"/>
  <c r="Z91" i="1"/>
  <c r="Z104" i="1"/>
  <c r="Y78" i="1"/>
  <c r="Y91" i="1"/>
  <c r="Y104" i="1"/>
  <c r="X78" i="1"/>
  <c r="X91" i="1"/>
  <c r="X104" i="1"/>
  <c r="W78" i="1"/>
  <c r="W91" i="1"/>
  <c r="W104" i="1"/>
  <c r="V104" i="1"/>
  <c r="U78" i="1"/>
  <c r="U91" i="1"/>
  <c r="U104" i="1"/>
  <c r="T78" i="1"/>
  <c r="T91" i="1"/>
  <c r="T104" i="1"/>
  <c r="S78" i="1"/>
  <c r="S91" i="1"/>
  <c r="S104" i="1"/>
  <c r="R78" i="1"/>
  <c r="R91" i="1"/>
  <c r="R104" i="1"/>
  <c r="Q104" i="1"/>
  <c r="P104" i="1"/>
  <c r="O104" i="1"/>
  <c r="N104" i="1"/>
  <c r="M104" i="1"/>
  <c r="J104" i="1"/>
  <c r="I104" i="1"/>
  <c r="D104" i="1"/>
  <c r="F104" i="1"/>
  <c r="E104" i="1"/>
  <c r="A104" i="1"/>
  <c r="AM77" i="1"/>
  <c r="AM90" i="1"/>
  <c r="AM103" i="1"/>
  <c r="AL77" i="1"/>
  <c r="AL90" i="1"/>
  <c r="AL103" i="1"/>
  <c r="AK77" i="1"/>
  <c r="AK90" i="1"/>
  <c r="AK103" i="1"/>
  <c r="AJ77" i="1"/>
  <c r="AJ90" i="1"/>
  <c r="AJ103" i="1"/>
  <c r="AI77" i="1"/>
  <c r="AI90" i="1"/>
  <c r="AI103" i="1"/>
  <c r="AH77" i="1"/>
  <c r="AH90" i="1"/>
  <c r="AH103" i="1"/>
  <c r="L77" i="1"/>
  <c r="L90" i="1"/>
  <c r="L103" i="1"/>
  <c r="AB103" i="1"/>
  <c r="AD103" i="1"/>
  <c r="AG103" i="1"/>
  <c r="AF77" i="1"/>
  <c r="AF90" i="1"/>
  <c r="AF103" i="1"/>
  <c r="AE103" i="1"/>
  <c r="AC103" i="1"/>
  <c r="AA77" i="1"/>
  <c r="AA90" i="1"/>
  <c r="AA103" i="1"/>
  <c r="Z77" i="1"/>
  <c r="Z90" i="1"/>
  <c r="Z103" i="1"/>
  <c r="Y77" i="1"/>
  <c r="Y90" i="1"/>
  <c r="Y103" i="1"/>
  <c r="X77" i="1"/>
  <c r="X90" i="1"/>
  <c r="X103" i="1"/>
  <c r="W77" i="1"/>
  <c r="W90" i="1"/>
  <c r="W103" i="1"/>
  <c r="V103" i="1"/>
  <c r="U77" i="1"/>
  <c r="U90" i="1"/>
  <c r="U103" i="1"/>
  <c r="T77" i="1"/>
  <c r="T90" i="1"/>
  <c r="T103" i="1"/>
  <c r="S77" i="1"/>
  <c r="S90" i="1"/>
  <c r="S103" i="1"/>
  <c r="R77" i="1"/>
  <c r="R90" i="1"/>
  <c r="R103" i="1"/>
  <c r="Q103" i="1"/>
  <c r="P103" i="1"/>
  <c r="O103" i="1"/>
  <c r="N103" i="1"/>
  <c r="M103" i="1"/>
  <c r="J103" i="1"/>
  <c r="I103" i="1"/>
  <c r="D103" i="1"/>
  <c r="F103" i="1"/>
  <c r="E103" i="1"/>
  <c r="A103" i="1"/>
  <c r="AM76" i="1"/>
  <c r="AM89" i="1"/>
  <c r="AM102" i="1"/>
  <c r="AL76" i="1"/>
  <c r="AL89" i="1"/>
  <c r="AL102" i="1"/>
  <c r="AK76" i="1"/>
  <c r="AK89" i="1"/>
  <c r="AK102" i="1"/>
  <c r="AJ76" i="1"/>
  <c r="AJ89" i="1"/>
  <c r="AJ102" i="1"/>
  <c r="AI76" i="1"/>
  <c r="AI89" i="1"/>
  <c r="AI102" i="1"/>
  <c r="AH76" i="1"/>
  <c r="AH89" i="1"/>
  <c r="AH102" i="1"/>
  <c r="L76" i="1"/>
  <c r="L89" i="1"/>
  <c r="L102" i="1"/>
  <c r="AB102" i="1"/>
  <c r="AD102" i="1"/>
  <c r="AG102" i="1"/>
  <c r="AF76" i="1"/>
  <c r="AF89" i="1"/>
  <c r="AF102" i="1"/>
  <c r="AE102" i="1"/>
  <c r="AC102" i="1"/>
  <c r="AA76" i="1"/>
  <c r="AA89" i="1"/>
  <c r="AA102" i="1"/>
  <c r="Z76" i="1"/>
  <c r="Z89" i="1"/>
  <c r="Z102" i="1"/>
  <c r="Y76" i="1"/>
  <c r="Y89" i="1"/>
  <c r="Y102" i="1"/>
  <c r="X76" i="1"/>
  <c r="X89" i="1"/>
  <c r="X102" i="1"/>
  <c r="W76" i="1"/>
  <c r="W89" i="1"/>
  <c r="W102" i="1"/>
  <c r="V102" i="1"/>
  <c r="U76" i="1"/>
  <c r="U89" i="1"/>
  <c r="U102" i="1"/>
  <c r="T76" i="1"/>
  <c r="T89" i="1"/>
  <c r="T102" i="1"/>
  <c r="S76" i="1"/>
  <c r="S89" i="1"/>
  <c r="S102" i="1"/>
  <c r="R76" i="1"/>
  <c r="R89" i="1"/>
  <c r="R102" i="1"/>
  <c r="Q102" i="1"/>
  <c r="P102" i="1"/>
  <c r="O102" i="1"/>
  <c r="N102" i="1"/>
  <c r="M102" i="1"/>
  <c r="J102" i="1"/>
  <c r="I102" i="1"/>
  <c r="D102" i="1"/>
  <c r="F102" i="1"/>
  <c r="E102" i="1"/>
  <c r="A102" i="1"/>
  <c r="AM75" i="1"/>
  <c r="AM88" i="1"/>
  <c r="AM101" i="1"/>
  <c r="AL75" i="1"/>
  <c r="AL88" i="1"/>
  <c r="AL101" i="1"/>
  <c r="AK75" i="1"/>
  <c r="AK88" i="1"/>
  <c r="AK101" i="1"/>
  <c r="AJ75" i="1"/>
  <c r="AJ88" i="1"/>
  <c r="AJ101" i="1"/>
  <c r="AI75" i="1"/>
  <c r="AI88" i="1"/>
  <c r="AI101" i="1"/>
  <c r="AH75" i="1"/>
  <c r="AH88" i="1"/>
  <c r="AH101" i="1"/>
  <c r="L75" i="1"/>
  <c r="L88" i="1"/>
  <c r="L101" i="1"/>
  <c r="AB101" i="1"/>
  <c r="AD101" i="1"/>
  <c r="AG101" i="1"/>
  <c r="AF75" i="1"/>
  <c r="AF88" i="1"/>
  <c r="AF101" i="1"/>
  <c r="AE101" i="1"/>
  <c r="AC101" i="1"/>
  <c r="AA75" i="1"/>
  <c r="AA88" i="1"/>
  <c r="AA101" i="1"/>
  <c r="Z75" i="1"/>
  <c r="Z88" i="1"/>
  <c r="Z101" i="1"/>
  <c r="Y75" i="1"/>
  <c r="Y88" i="1"/>
  <c r="Y101" i="1"/>
  <c r="X75" i="1"/>
  <c r="X88" i="1"/>
  <c r="X101" i="1"/>
  <c r="W75" i="1"/>
  <c r="W88" i="1"/>
  <c r="W101" i="1"/>
  <c r="E5" i="9"/>
  <c r="V101" i="1"/>
  <c r="U75" i="1"/>
  <c r="U88" i="1"/>
  <c r="U101" i="1"/>
  <c r="T75" i="1"/>
  <c r="T88" i="1"/>
  <c r="T101" i="1"/>
  <c r="S75" i="1"/>
  <c r="S88" i="1"/>
  <c r="S101" i="1"/>
  <c r="R75" i="1"/>
  <c r="R88" i="1"/>
  <c r="R101" i="1"/>
  <c r="Q101" i="1"/>
  <c r="P101" i="1"/>
  <c r="O101" i="1"/>
  <c r="N101" i="1"/>
  <c r="M101" i="1"/>
  <c r="J101" i="1"/>
  <c r="I101" i="1"/>
  <c r="D101" i="1"/>
  <c r="F101" i="1"/>
  <c r="E101" i="1"/>
  <c r="A101" i="1"/>
  <c r="AM74" i="1"/>
  <c r="AM87" i="1"/>
  <c r="AM100" i="1"/>
  <c r="AL74" i="1"/>
  <c r="AL87" i="1"/>
  <c r="AL100" i="1"/>
  <c r="AK74" i="1"/>
  <c r="AK87" i="1"/>
  <c r="AK100" i="1"/>
  <c r="AJ74" i="1"/>
  <c r="AJ87" i="1"/>
  <c r="AJ100" i="1"/>
  <c r="AI74" i="1"/>
  <c r="AI87" i="1"/>
  <c r="AI100" i="1"/>
  <c r="AH74" i="1"/>
  <c r="AH87" i="1"/>
  <c r="AH100" i="1"/>
  <c r="L74" i="1"/>
  <c r="L87" i="1"/>
  <c r="L100" i="1"/>
  <c r="AB100" i="1"/>
  <c r="AD100" i="1"/>
  <c r="AG100" i="1"/>
  <c r="AF74" i="1"/>
  <c r="AF87" i="1"/>
  <c r="AF100" i="1"/>
  <c r="AE100" i="1"/>
  <c r="AC100" i="1"/>
  <c r="AA74" i="1"/>
  <c r="AA87" i="1"/>
  <c r="AA100" i="1"/>
  <c r="Z74" i="1"/>
  <c r="Z87" i="1"/>
  <c r="Z100" i="1"/>
  <c r="Y74" i="1"/>
  <c r="Y87" i="1"/>
  <c r="Y100" i="1"/>
  <c r="X74" i="1"/>
  <c r="X87" i="1"/>
  <c r="X100" i="1"/>
  <c r="W74" i="1"/>
  <c r="W87" i="1"/>
  <c r="W100" i="1"/>
  <c r="V100" i="1"/>
  <c r="U74" i="1"/>
  <c r="U87" i="1"/>
  <c r="U100" i="1"/>
  <c r="T74" i="1"/>
  <c r="T87" i="1"/>
  <c r="T100" i="1"/>
  <c r="S74" i="1"/>
  <c r="S87" i="1"/>
  <c r="S100" i="1"/>
  <c r="R74" i="1"/>
  <c r="R87" i="1"/>
  <c r="R100" i="1"/>
  <c r="Q100" i="1"/>
  <c r="P100" i="1"/>
  <c r="O100" i="1"/>
  <c r="N100" i="1"/>
  <c r="M100" i="1"/>
  <c r="J100" i="1"/>
  <c r="I100" i="1"/>
  <c r="D100" i="1"/>
  <c r="F100" i="1"/>
  <c r="E100" i="1"/>
  <c r="A100" i="1"/>
  <c r="AM73" i="1"/>
  <c r="AM86" i="1"/>
  <c r="AM99" i="1"/>
  <c r="AL73" i="1"/>
  <c r="AL86" i="1"/>
  <c r="AL99" i="1"/>
  <c r="AK73" i="1"/>
  <c r="AK86" i="1"/>
  <c r="AK99" i="1"/>
  <c r="AJ73" i="1"/>
  <c r="AJ86" i="1"/>
  <c r="AJ99" i="1"/>
  <c r="AI73" i="1"/>
  <c r="AI86" i="1"/>
  <c r="AI99" i="1"/>
  <c r="AH73" i="1"/>
  <c r="AH86" i="1"/>
  <c r="AH99" i="1"/>
  <c r="L73" i="1"/>
  <c r="L86" i="1"/>
  <c r="L99" i="1"/>
  <c r="AB99" i="1"/>
  <c r="AD99" i="1"/>
  <c r="AG99" i="1"/>
  <c r="AF73" i="1"/>
  <c r="AF86" i="1"/>
  <c r="AF99" i="1"/>
  <c r="AE99" i="1"/>
  <c r="AC99" i="1"/>
  <c r="AA73" i="1"/>
  <c r="AA86" i="1"/>
  <c r="AA99" i="1"/>
  <c r="Z73" i="1"/>
  <c r="Z86" i="1"/>
  <c r="Z99" i="1"/>
  <c r="Y73" i="1"/>
  <c r="Y86" i="1"/>
  <c r="Y99" i="1"/>
  <c r="X73" i="1"/>
  <c r="X86" i="1"/>
  <c r="X99" i="1"/>
  <c r="W73" i="1"/>
  <c r="W86" i="1"/>
  <c r="W99" i="1"/>
  <c r="V99" i="1"/>
  <c r="U73" i="1"/>
  <c r="U86" i="1"/>
  <c r="U99" i="1"/>
  <c r="T73" i="1"/>
  <c r="T86" i="1"/>
  <c r="T99" i="1"/>
  <c r="S73" i="1"/>
  <c r="S86" i="1"/>
  <c r="S99" i="1"/>
  <c r="R73" i="1"/>
  <c r="R86" i="1"/>
  <c r="R99" i="1"/>
  <c r="Q99" i="1"/>
  <c r="P99" i="1"/>
  <c r="O99" i="1"/>
  <c r="N99" i="1"/>
  <c r="M99" i="1"/>
  <c r="J99" i="1"/>
  <c r="I99" i="1"/>
  <c r="D99" i="1"/>
  <c r="F99" i="1"/>
  <c r="E99" i="1"/>
  <c r="A99" i="1"/>
  <c r="AM72" i="1"/>
  <c r="AM85" i="1"/>
  <c r="AM98" i="1"/>
  <c r="AL72" i="1"/>
  <c r="AL85" i="1"/>
  <c r="AL98" i="1"/>
  <c r="AK72" i="1"/>
  <c r="AK85" i="1"/>
  <c r="AK98" i="1"/>
  <c r="AJ72" i="1"/>
  <c r="AJ85" i="1"/>
  <c r="AJ98" i="1"/>
  <c r="AI72" i="1"/>
  <c r="AI85" i="1"/>
  <c r="AI98" i="1"/>
  <c r="AH72" i="1"/>
  <c r="AH85" i="1"/>
  <c r="AH98" i="1"/>
  <c r="L72" i="1"/>
  <c r="L85" i="1"/>
  <c r="L98" i="1"/>
  <c r="AB98" i="1"/>
  <c r="AD98" i="1"/>
  <c r="AG98" i="1"/>
  <c r="AF72" i="1"/>
  <c r="AF85" i="1"/>
  <c r="AF98" i="1"/>
  <c r="AE98" i="1"/>
  <c r="AC98" i="1"/>
  <c r="AA72" i="1"/>
  <c r="AA85" i="1"/>
  <c r="AA98" i="1"/>
  <c r="Z72" i="1"/>
  <c r="Z85" i="1"/>
  <c r="Z98" i="1"/>
  <c r="Y72" i="1"/>
  <c r="Y85" i="1"/>
  <c r="Y98" i="1"/>
  <c r="X72" i="1"/>
  <c r="X85" i="1"/>
  <c r="X98" i="1"/>
  <c r="W72" i="1"/>
  <c r="W85" i="1"/>
  <c r="W98" i="1"/>
  <c r="V98" i="1"/>
  <c r="U72" i="1"/>
  <c r="U85" i="1"/>
  <c r="U98" i="1"/>
  <c r="T72" i="1"/>
  <c r="T85" i="1"/>
  <c r="T98" i="1"/>
  <c r="S72" i="1"/>
  <c r="S85" i="1"/>
  <c r="S98" i="1"/>
  <c r="R72" i="1"/>
  <c r="R85" i="1"/>
  <c r="R98" i="1"/>
  <c r="Q98" i="1"/>
  <c r="P98" i="1"/>
  <c r="O98" i="1"/>
  <c r="N98" i="1"/>
  <c r="M98" i="1"/>
  <c r="J98" i="1"/>
  <c r="I98" i="1"/>
  <c r="D98" i="1"/>
  <c r="F98" i="1"/>
  <c r="E98" i="1"/>
  <c r="A98" i="1"/>
  <c r="AM71" i="1"/>
  <c r="AM84" i="1"/>
  <c r="AM97" i="1"/>
  <c r="AL71" i="1"/>
  <c r="AL84" i="1"/>
  <c r="AL97" i="1"/>
  <c r="AK71" i="1"/>
  <c r="AK84" i="1"/>
  <c r="AK97" i="1"/>
  <c r="AJ71" i="1"/>
  <c r="AJ84" i="1"/>
  <c r="AJ97" i="1"/>
  <c r="AI71" i="1"/>
  <c r="AI84" i="1"/>
  <c r="AI97" i="1"/>
  <c r="AH71" i="1"/>
  <c r="AH84" i="1"/>
  <c r="AH97" i="1"/>
  <c r="L71" i="1"/>
  <c r="L84" i="1"/>
  <c r="L97" i="1"/>
  <c r="AB97" i="1"/>
  <c r="AD97" i="1"/>
  <c r="AG97" i="1"/>
  <c r="AF71" i="1"/>
  <c r="AF84" i="1"/>
  <c r="AF97" i="1"/>
  <c r="AE97" i="1"/>
  <c r="AC97" i="1"/>
  <c r="AA71" i="1"/>
  <c r="AA84" i="1"/>
  <c r="AA97" i="1"/>
  <c r="Z71" i="1"/>
  <c r="Z84" i="1"/>
  <c r="Z97" i="1"/>
  <c r="Y71" i="1"/>
  <c r="Y84" i="1"/>
  <c r="Y97" i="1"/>
  <c r="X71" i="1"/>
  <c r="X84" i="1"/>
  <c r="X97" i="1"/>
  <c r="W71" i="1"/>
  <c r="W84" i="1"/>
  <c r="W97" i="1"/>
  <c r="V97" i="1"/>
  <c r="U71" i="1"/>
  <c r="U84" i="1"/>
  <c r="U97" i="1"/>
  <c r="T71" i="1"/>
  <c r="T84" i="1"/>
  <c r="T97" i="1"/>
  <c r="S71" i="1"/>
  <c r="S84" i="1"/>
  <c r="S97" i="1"/>
  <c r="R71" i="1"/>
  <c r="R84" i="1"/>
  <c r="R97" i="1"/>
  <c r="Q97" i="1"/>
  <c r="P97" i="1"/>
  <c r="O97" i="1"/>
  <c r="N97" i="1"/>
  <c r="M97" i="1"/>
  <c r="J97" i="1"/>
  <c r="I97" i="1"/>
  <c r="D97" i="1"/>
  <c r="F97" i="1"/>
  <c r="E97" i="1"/>
  <c r="A97" i="1"/>
  <c r="AM70" i="1"/>
  <c r="AM83" i="1"/>
  <c r="AM96" i="1"/>
  <c r="AL70" i="1"/>
  <c r="AL83" i="1"/>
  <c r="AL96" i="1"/>
  <c r="AK70" i="1"/>
  <c r="AK83" i="1"/>
  <c r="AK96" i="1"/>
  <c r="AJ70" i="1"/>
  <c r="AJ83" i="1"/>
  <c r="AJ96" i="1"/>
  <c r="AI70" i="1"/>
  <c r="AI83" i="1"/>
  <c r="AI96" i="1"/>
  <c r="AH70" i="1"/>
  <c r="AH83" i="1"/>
  <c r="AH96" i="1"/>
  <c r="L70" i="1"/>
  <c r="L83" i="1"/>
  <c r="L96" i="1"/>
  <c r="AB96" i="1"/>
  <c r="AD96" i="1"/>
  <c r="AG96" i="1"/>
  <c r="AF70" i="1"/>
  <c r="AF83" i="1"/>
  <c r="AF96" i="1"/>
  <c r="AE96" i="1"/>
  <c r="AC96" i="1"/>
  <c r="AA70" i="1"/>
  <c r="AA83" i="1"/>
  <c r="AA96" i="1"/>
  <c r="Z70" i="1"/>
  <c r="Z83" i="1"/>
  <c r="Z96" i="1"/>
  <c r="Y70" i="1"/>
  <c r="Y83" i="1"/>
  <c r="Y96" i="1"/>
  <c r="X70" i="1"/>
  <c r="X83" i="1"/>
  <c r="X96" i="1"/>
  <c r="W70" i="1"/>
  <c r="W83" i="1"/>
  <c r="W96" i="1"/>
  <c r="E4" i="9"/>
  <c r="V96" i="1"/>
  <c r="U70" i="1"/>
  <c r="U83" i="1"/>
  <c r="U96" i="1"/>
  <c r="T70" i="1"/>
  <c r="T83" i="1"/>
  <c r="T96" i="1"/>
  <c r="S70" i="1"/>
  <c r="S83" i="1"/>
  <c r="S96" i="1"/>
  <c r="R70" i="1"/>
  <c r="R83" i="1"/>
  <c r="R96" i="1"/>
  <c r="Q96" i="1"/>
  <c r="P96" i="1"/>
  <c r="O96" i="1"/>
  <c r="N96" i="1"/>
  <c r="M96" i="1"/>
  <c r="J96" i="1"/>
  <c r="I96" i="1"/>
  <c r="D96" i="1"/>
  <c r="F96" i="1"/>
  <c r="E96" i="1"/>
  <c r="A96" i="1"/>
  <c r="AM69" i="1"/>
  <c r="AM82" i="1"/>
  <c r="AM95" i="1"/>
  <c r="AL69" i="1"/>
  <c r="AL82" i="1"/>
  <c r="AL95" i="1"/>
  <c r="AK69" i="1"/>
  <c r="AK82" i="1"/>
  <c r="AK95" i="1"/>
  <c r="AJ69" i="1"/>
  <c r="AJ82" i="1"/>
  <c r="AJ95" i="1"/>
  <c r="AI69" i="1"/>
  <c r="AI82" i="1"/>
  <c r="AI95" i="1"/>
  <c r="AH69" i="1"/>
  <c r="AH82" i="1"/>
  <c r="AH95" i="1"/>
  <c r="L69" i="1"/>
  <c r="L82" i="1"/>
  <c r="L95" i="1"/>
  <c r="AB95" i="1"/>
  <c r="AD95" i="1"/>
  <c r="AG95" i="1"/>
  <c r="AF69" i="1"/>
  <c r="AF82" i="1"/>
  <c r="AF95" i="1"/>
  <c r="AE95" i="1"/>
  <c r="AC95" i="1"/>
  <c r="AA69" i="1"/>
  <c r="AA82" i="1"/>
  <c r="AA95" i="1"/>
  <c r="Z69" i="1"/>
  <c r="Z82" i="1"/>
  <c r="Z95" i="1"/>
  <c r="Y69" i="1"/>
  <c r="Y82" i="1"/>
  <c r="Y95" i="1"/>
  <c r="X69" i="1"/>
  <c r="X82" i="1"/>
  <c r="X95" i="1"/>
  <c r="W69" i="1"/>
  <c r="W82" i="1"/>
  <c r="W95" i="1"/>
  <c r="V95" i="1"/>
  <c r="U69" i="1"/>
  <c r="U82" i="1"/>
  <c r="U95" i="1"/>
  <c r="T69" i="1"/>
  <c r="T82" i="1"/>
  <c r="T95" i="1"/>
  <c r="S69" i="1"/>
  <c r="S82" i="1"/>
  <c r="S95" i="1"/>
  <c r="R69" i="1"/>
  <c r="R82" i="1"/>
  <c r="R95" i="1"/>
  <c r="Q95" i="1"/>
  <c r="P95" i="1"/>
  <c r="O95" i="1"/>
  <c r="N95" i="1"/>
  <c r="M95" i="1"/>
  <c r="J95" i="1"/>
  <c r="I95" i="1"/>
  <c r="D95" i="1"/>
  <c r="F95" i="1"/>
  <c r="E95" i="1"/>
  <c r="A95" i="1"/>
  <c r="AM68" i="1"/>
  <c r="AM81" i="1"/>
  <c r="AM94" i="1"/>
  <c r="AL68" i="1"/>
  <c r="AL81" i="1"/>
  <c r="AL94" i="1"/>
  <c r="AK68" i="1"/>
  <c r="AK81" i="1"/>
  <c r="AK94" i="1"/>
  <c r="AJ68" i="1"/>
  <c r="AJ81" i="1"/>
  <c r="AJ94" i="1"/>
  <c r="AI68" i="1"/>
  <c r="AI81" i="1"/>
  <c r="AI94" i="1"/>
  <c r="AH68" i="1"/>
  <c r="AH81" i="1"/>
  <c r="AH94" i="1"/>
  <c r="L68" i="1"/>
  <c r="L81" i="1"/>
  <c r="L94" i="1"/>
  <c r="AB94" i="1"/>
  <c r="AD94" i="1"/>
  <c r="AG94" i="1"/>
  <c r="AF68" i="1"/>
  <c r="AF81" i="1"/>
  <c r="AF94" i="1"/>
  <c r="AE94" i="1"/>
  <c r="AC94" i="1"/>
  <c r="AA68" i="1"/>
  <c r="AA81" i="1"/>
  <c r="AA94" i="1"/>
  <c r="Z68" i="1"/>
  <c r="Z81" i="1"/>
  <c r="Z94" i="1"/>
  <c r="Y68" i="1"/>
  <c r="Y81" i="1"/>
  <c r="Y94" i="1"/>
  <c r="X68" i="1"/>
  <c r="X81" i="1"/>
  <c r="X94" i="1"/>
  <c r="W68" i="1"/>
  <c r="W81" i="1"/>
  <c r="W94" i="1"/>
  <c r="V94" i="1"/>
  <c r="U68" i="1"/>
  <c r="U81" i="1"/>
  <c r="U94" i="1"/>
  <c r="T68" i="1"/>
  <c r="T81" i="1"/>
  <c r="T94" i="1"/>
  <c r="S68" i="1"/>
  <c r="S81" i="1"/>
  <c r="S94" i="1"/>
  <c r="R68" i="1"/>
  <c r="R81" i="1"/>
  <c r="R94" i="1"/>
  <c r="Q94" i="1"/>
  <c r="P94" i="1"/>
  <c r="O94" i="1"/>
  <c r="N94" i="1"/>
  <c r="M94" i="1"/>
  <c r="J94" i="1"/>
  <c r="I94" i="1"/>
  <c r="D94" i="1"/>
  <c r="F94" i="1"/>
  <c r="E94" i="1"/>
  <c r="A94" i="1"/>
  <c r="AM67" i="1"/>
  <c r="AM80" i="1"/>
  <c r="AM93" i="1"/>
  <c r="AL67" i="1"/>
  <c r="AL80" i="1"/>
  <c r="AL93" i="1"/>
  <c r="AK67" i="1"/>
  <c r="AK80" i="1"/>
  <c r="AK93" i="1"/>
  <c r="AJ67" i="1"/>
  <c r="AJ80" i="1"/>
  <c r="AJ93" i="1"/>
  <c r="AI67" i="1"/>
  <c r="AI80" i="1"/>
  <c r="AI93" i="1"/>
  <c r="AH67" i="1"/>
  <c r="AH80" i="1"/>
  <c r="AH93" i="1"/>
  <c r="L67" i="1"/>
  <c r="L80" i="1"/>
  <c r="L93" i="1"/>
  <c r="AB93" i="1"/>
  <c r="AD93" i="1"/>
  <c r="AG93" i="1"/>
  <c r="AF67" i="1"/>
  <c r="AF80" i="1"/>
  <c r="AF93" i="1"/>
  <c r="AE93" i="1"/>
  <c r="AC93" i="1"/>
  <c r="AA67" i="1"/>
  <c r="AA80" i="1"/>
  <c r="AA93" i="1"/>
  <c r="Z67" i="1"/>
  <c r="Z80" i="1"/>
  <c r="Z93" i="1"/>
  <c r="Y67" i="1"/>
  <c r="Y80" i="1"/>
  <c r="Y93" i="1"/>
  <c r="X67" i="1"/>
  <c r="X80" i="1"/>
  <c r="X93" i="1"/>
  <c r="W67" i="1"/>
  <c r="W80" i="1"/>
  <c r="W93" i="1"/>
  <c r="V93" i="1"/>
  <c r="U67" i="1"/>
  <c r="U80" i="1"/>
  <c r="U93" i="1"/>
  <c r="T67" i="1"/>
  <c r="T80" i="1"/>
  <c r="T93" i="1"/>
  <c r="S67" i="1"/>
  <c r="S80" i="1"/>
  <c r="S93" i="1"/>
  <c r="R67" i="1"/>
  <c r="R80" i="1"/>
  <c r="R93" i="1"/>
  <c r="Q93" i="1"/>
  <c r="P93" i="1"/>
  <c r="O93" i="1"/>
  <c r="N93" i="1"/>
  <c r="M93" i="1"/>
  <c r="J93" i="1"/>
  <c r="I93" i="1"/>
  <c r="D93" i="1"/>
  <c r="F93" i="1"/>
  <c r="E93" i="1"/>
  <c r="A93" i="1"/>
  <c r="AB92" i="1"/>
  <c r="AD92" i="1"/>
  <c r="AG92" i="1"/>
  <c r="AE92" i="1"/>
  <c r="AC92" i="1"/>
  <c r="V92" i="1"/>
  <c r="Q92" i="1"/>
  <c r="P92" i="1"/>
  <c r="O92" i="1"/>
  <c r="N92" i="1"/>
  <c r="M92" i="1"/>
  <c r="J92" i="1"/>
  <c r="I92" i="1"/>
  <c r="D92" i="1"/>
  <c r="F92" i="1"/>
  <c r="E92" i="1"/>
  <c r="A92" i="1"/>
  <c r="AB91" i="1"/>
  <c r="AD91" i="1"/>
  <c r="AG91" i="1"/>
  <c r="AE91" i="1"/>
  <c r="AC91" i="1"/>
  <c r="V91" i="1"/>
  <c r="Q91" i="1"/>
  <c r="P91" i="1"/>
  <c r="O91" i="1"/>
  <c r="N91" i="1"/>
  <c r="M91" i="1"/>
  <c r="J91" i="1"/>
  <c r="I91" i="1"/>
  <c r="D91" i="1"/>
  <c r="F91" i="1"/>
  <c r="E91" i="1"/>
  <c r="A91" i="1"/>
  <c r="AB90" i="1"/>
  <c r="AD90" i="1"/>
  <c r="AG90" i="1"/>
  <c r="AE90" i="1"/>
  <c r="AC90" i="1"/>
  <c r="V90" i="1"/>
  <c r="Q90" i="1"/>
  <c r="P90" i="1"/>
  <c r="O90" i="1"/>
  <c r="N90" i="1"/>
  <c r="M90" i="1"/>
  <c r="J90" i="1"/>
  <c r="I90" i="1"/>
  <c r="D90" i="1"/>
  <c r="F90" i="1"/>
  <c r="E90" i="1"/>
  <c r="A90" i="1"/>
  <c r="AB89" i="1"/>
  <c r="AD89" i="1"/>
  <c r="AG89" i="1"/>
  <c r="AE89" i="1"/>
  <c r="AC89" i="1"/>
  <c r="V89" i="1"/>
  <c r="Q89" i="1"/>
  <c r="P89" i="1"/>
  <c r="O89" i="1"/>
  <c r="N89" i="1"/>
  <c r="M89" i="1"/>
  <c r="J89" i="1"/>
  <c r="I89" i="1"/>
  <c r="D89" i="1"/>
  <c r="F89" i="1"/>
  <c r="E89" i="1"/>
  <c r="A89" i="1"/>
  <c r="AB88" i="1"/>
  <c r="AD88" i="1"/>
  <c r="AG88" i="1"/>
  <c r="AE88" i="1"/>
  <c r="AC88" i="1"/>
  <c r="V88" i="1"/>
  <c r="Q88" i="1"/>
  <c r="P88" i="1"/>
  <c r="O88" i="1"/>
  <c r="N88" i="1"/>
  <c r="M88" i="1"/>
  <c r="J88" i="1"/>
  <c r="I88" i="1"/>
  <c r="D88" i="1"/>
  <c r="F88" i="1"/>
  <c r="E88" i="1"/>
  <c r="A88" i="1"/>
  <c r="AB87" i="1"/>
  <c r="AD87" i="1"/>
  <c r="AG87" i="1"/>
  <c r="AE87" i="1"/>
  <c r="AC87" i="1"/>
  <c r="V87" i="1"/>
  <c r="Q87" i="1"/>
  <c r="P87" i="1"/>
  <c r="O87" i="1"/>
  <c r="N87" i="1"/>
  <c r="M87" i="1"/>
  <c r="J87" i="1"/>
  <c r="I87" i="1"/>
  <c r="D87" i="1"/>
  <c r="F87" i="1"/>
  <c r="E87" i="1"/>
  <c r="A87" i="1"/>
  <c r="AB86" i="1"/>
  <c r="AD86" i="1"/>
  <c r="AG86" i="1"/>
  <c r="AE86" i="1"/>
  <c r="AC86" i="1"/>
  <c r="V86" i="1"/>
  <c r="Q86" i="1"/>
  <c r="P86" i="1"/>
  <c r="O86" i="1"/>
  <c r="N86" i="1"/>
  <c r="M86" i="1"/>
  <c r="J86" i="1"/>
  <c r="I86" i="1"/>
  <c r="D86" i="1"/>
  <c r="F86" i="1"/>
  <c r="E86" i="1"/>
  <c r="A86" i="1"/>
  <c r="AB85" i="1"/>
  <c r="AD85" i="1"/>
  <c r="AG85" i="1"/>
  <c r="AE85" i="1"/>
  <c r="AC85" i="1"/>
  <c r="V85" i="1"/>
  <c r="Q85" i="1"/>
  <c r="P85" i="1"/>
  <c r="O85" i="1"/>
  <c r="N85" i="1"/>
  <c r="M85" i="1"/>
  <c r="J85" i="1"/>
  <c r="I85" i="1"/>
  <c r="D85" i="1"/>
  <c r="F85" i="1"/>
  <c r="E85" i="1"/>
  <c r="A85" i="1"/>
  <c r="AB84" i="1"/>
  <c r="AD84" i="1"/>
  <c r="AG84" i="1"/>
  <c r="AE84" i="1"/>
  <c r="AC84" i="1"/>
  <c r="V84" i="1"/>
  <c r="Q84" i="1"/>
  <c r="P84" i="1"/>
  <c r="O84" i="1"/>
  <c r="N84" i="1"/>
  <c r="M84" i="1"/>
  <c r="J84" i="1"/>
  <c r="I84" i="1"/>
  <c r="D84" i="1"/>
  <c r="F84" i="1"/>
  <c r="E84" i="1"/>
  <c r="A84" i="1"/>
  <c r="AB83" i="1"/>
  <c r="AD83" i="1"/>
  <c r="AG83" i="1"/>
  <c r="AE83" i="1"/>
  <c r="AC83" i="1"/>
  <c r="V83" i="1"/>
  <c r="Q83" i="1"/>
  <c r="P83" i="1"/>
  <c r="O83" i="1"/>
  <c r="N83" i="1"/>
  <c r="M83" i="1"/>
  <c r="J83" i="1"/>
  <c r="I83" i="1"/>
  <c r="D83" i="1"/>
  <c r="F83" i="1"/>
  <c r="E83" i="1"/>
  <c r="A83" i="1"/>
  <c r="AB82" i="1"/>
  <c r="AD82" i="1"/>
  <c r="AG82" i="1"/>
  <c r="AE82" i="1"/>
  <c r="AC82" i="1"/>
  <c r="V82" i="1"/>
  <c r="Q82" i="1"/>
  <c r="P82" i="1"/>
  <c r="O82" i="1"/>
  <c r="N82" i="1"/>
  <c r="M82" i="1"/>
  <c r="J82" i="1"/>
  <c r="I82" i="1"/>
  <c r="D82" i="1"/>
  <c r="F82" i="1"/>
  <c r="E82" i="1"/>
  <c r="A82" i="1"/>
  <c r="AB81" i="1"/>
  <c r="AD81" i="1"/>
  <c r="AG81" i="1"/>
  <c r="AE81" i="1"/>
  <c r="AC81" i="1"/>
  <c r="V81" i="1"/>
  <c r="Q81" i="1"/>
  <c r="P81" i="1"/>
  <c r="O81" i="1"/>
  <c r="N81" i="1"/>
  <c r="M81" i="1"/>
  <c r="J81" i="1"/>
  <c r="I81" i="1"/>
  <c r="D81" i="1"/>
  <c r="F81" i="1"/>
  <c r="E81" i="1"/>
  <c r="A81" i="1"/>
  <c r="AB80" i="1"/>
  <c r="AD80" i="1"/>
  <c r="AG80" i="1"/>
  <c r="AE80" i="1"/>
  <c r="AC80" i="1"/>
  <c r="V80" i="1"/>
  <c r="Q80" i="1"/>
  <c r="P80" i="1"/>
  <c r="O80" i="1"/>
  <c r="N80" i="1"/>
  <c r="M80" i="1"/>
  <c r="J80" i="1"/>
  <c r="I80" i="1"/>
  <c r="D80" i="1"/>
  <c r="F80" i="1"/>
  <c r="E80" i="1"/>
  <c r="A80" i="1"/>
  <c r="AB79" i="1"/>
  <c r="AD79" i="1"/>
  <c r="AG79" i="1"/>
  <c r="AE79" i="1"/>
  <c r="AC79" i="1"/>
  <c r="V79" i="1"/>
  <c r="Q79" i="1"/>
  <c r="P79" i="1"/>
  <c r="O79" i="1"/>
  <c r="N79" i="1"/>
  <c r="M79" i="1"/>
  <c r="J79" i="1"/>
  <c r="I79" i="1"/>
  <c r="D79" i="1"/>
  <c r="F79" i="1"/>
  <c r="E79" i="1"/>
  <c r="A79" i="1"/>
  <c r="AB78" i="1"/>
  <c r="AD78" i="1"/>
  <c r="AG78" i="1"/>
  <c r="AE78" i="1"/>
  <c r="AC78" i="1"/>
  <c r="V78" i="1"/>
  <c r="Q78" i="1"/>
  <c r="P78" i="1"/>
  <c r="O78" i="1"/>
  <c r="N78" i="1"/>
  <c r="M78" i="1"/>
  <c r="J78" i="1"/>
  <c r="I78" i="1"/>
  <c r="D78" i="1"/>
  <c r="F78" i="1"/>
  <c r="E78" i="1"/>
  <c r="A78" i="1"/>
  <c r="AB77" i="1"/>
  <c r="AD77" i="1"/>
  <c r="AG77" i="1"/>
  <c r="AE77" i="1"/>
  <c r="AC77" i="1"/>
  <c r="V77" i="1"/>
  <c r="Q77" i="1"/>
  <c r="P77" i="1"/>
  <c r="O77" i="1"/>
  <c r="N77" i="1"/>
  <c r="M77" i="1"/>
  <c r="J77" i="1"/>
  <c r="I77" i="1"/>
  <c r="D77" i="1"/>
  <c r="F77" i="1"/>
  <c r="E77" i="1"/>
  <c r="A77" i="1"/>
  <c r="AB76" i="1"/>
  <c r="AD76" i="1"/>
  <c r="AG76" i="1"/>
  <c r="AE76" i="1"/>
  <c r="AC76" i="1"/>
  <c r="V76" i="1"/>
  <c r="Q76" i="1"/>
  <c r="P76" i="1"/>
  <c r="O76" i="1"/>
  <c r="N76" i="1"/>
  <c r="M76" i="1"/>
  <c r="J76" i="1"/>
  <c r="I76" i="1"/>
  <c r="D76" i="1"/>
  <c r="F76" i="1"/>
  <c r="E76" i="1"/>
  <c r="A76" i="1"/>
  <c r="AB75" i="1"/>
  <c r="AD75" i="1"/>
  <c r="AG75" i="1"/>
  <c r="AE75" i="1"/>
  <c r="AC75" i="1"/>
  <c r="V75" i="1"/>
  <c r="Q75" i="1"/>
  <c r="P75" i="1"/>
  <c r="O75" i="1"/>
  <c r="N75" i="1"/>
  <c r="M75" i="1"/>
  <c r="J75" i="1"/>
  <c r="I75" i="1"/>
  <c r="D75" i="1"/>
  <c r="F75" i="1"/>
  <c r="E75" i="1"/>
  <c r="A75" i="1"/>
  <c r="AB74" i="1"/>
  <c r="AD74" i="1"/>
  <c r="AG74" i="1"/>
  <c r="AE74" i="1"/>
  <c r="AC74" i="1"/>
  <c r="V74" i="1"/>
  <c r="Q74" i="1"/>
  <c r="P74" i="1"/>
  <c r="O74" i="1"/>
  <c r="N74" i="1"/>
  <c r="M74" i="1"/>
  <c r="J74" i="1"/>
  <c r="I74" i="1"/>
  <c r="D74" i="1"/>
  <c r="F74" i="1"/>
  <c r="E74" i="1"/>
  <c r="A74" i="1"/>
  <c r="AB73" i="1"/>
  <c r="AD73" i="1"/>
  <c r="AG73" i="1"/>
  <c r="AE73" i="1"/>
  <c r="AC73" i="1"/>
  <c r="V73" i="1"/>
  <c r="Q73" i="1"/>
  <c r="P73" i="1"/>
  <c r="O73" i="1"/>
  <c r="N73" i="1"/>
  <c r="M73" i="1"/>
  <c r="J73" i="1"/>
  <c r="I73" i="1"/>
  <c r="D73" i="1"/>
  <c r="F73" i="1"/>
  <c r="E73" i="1"/>
  <c r="A73" i="1"/>
  <c r="AB72" i="1"/>
  <c r="AD72" i="1"/>
  <c r="AG72" i="1"/>
  <c r="AE72" i="1"/>
  <c r="AC72" i="1"/>
  <c r="V72" i="1"/>
  <c r="Q72" i="1"/>
  <c r="P72" i="1"/>
  <c r="O72" i="1"/>
  <c r="N72" i="1"/>
  <c r="M72" i="1"/>
  <c r="J72" i="1"/>
  <c r="I72" i="1"/>
  <c r="D72" i="1"/>
  <c r="F72" i="1"/>
  <c r="E72" i="1"/>
  <c r="A72" i="1"/>
  <c r="AB71" i="1"/>
  <c r="AD71" i="1"/>
  <c r="AG71" i="1"/>
  <c r="AE71" i="1"/>
  <c r="AC71" i="1"/>
  <c r="V71" i="1"/>
  <c r="Q71" i="1"/>
  <c r="P71" i="1"/>
  <c r="O71" i="1"/>
  <c r="N71" i="1"/>
  <c r="M71" i="1"/>
  <c r="J71" i="1"/>
  <c r="I71" i="1"/>
  <c r="D71" i="1"/>
  <c r="F71" i="1"/>
  <c r="E71" i="1"/>
  <c r="A71" i="1"/>
  <c r="AB70" i="1"/>
  <c r="AD70" i="1"/>
  <c r="AG70" i="1"/>
  <c r="AE70" i="1"/>
  <c r="AC70" i="1"/>
  <c r="V70" i="1"/>
  <c r="Q70" i="1"/>
  <c r="P70" i="1"/>
  <c r="O70" i="1"/>
  <c r="N70" i="1"/>
  <c r="M70" i="1"/>
  <c r="J70" i="1"/>
  <c r="I70" i="1"/>
  <c r="D70" i="1"/>
  <c r="F70" i="1"/>
  <c r="E70" i="1"/>
  <c r="A70" i="1"/>
  <c r="AB69" i="1"/>
  <c r="AD69" i="1"/>
  <c r="AG69" i="1"/>
  <c r="AE69" i="1"/>
  <c r="AC69" i="1"/>
  <c r="V69" i="1"/>
  <c r="Q69" i="1"/>
  <c r="P69" i="1"/>
  <c r="O69" i="1"/>
  <c r="N69" i="1"/>
  <c r="M69" i="1"/>
  <c r="J69" i="1"/>
  <c r="I69" i="1"/>
  <c r="D69" i="1"/>
  <c r="F69" i="1"/>
  <c r="E69" i="1"/>
  <c r="A69" i="1"/>
  <c r="AB68" i="1"/>
  <c r="AD68" i="1"/>
  <c r="AG68" i="1"/>
  <c r="AE68" i="1"/>
  <c r="AC68" i="1"/>
  <c r="V68" i="1"/>
  <c r="Q68" i="1"/>
  <c r="P68" i="1"/>
  <c r="O68" i="1"/>
  <c r="N68" i="1"/>
  <c r="M68" i="1"/>
  <c r="J68" i="1"/>
  <c r="I68" i="1"/>
  <c r="D68" i="1"/>
  <c r="F68" i="1"/>
  <c r="E68" i="1"/>
  <c r="A68" i="1"/>
  <c r="AB67" i="1"/>
  <c r="AD67" i="1"/>
  <c r="AG67" i="1"/>
  <c r="AE67" i="1"/>
  <c r="AC67" i="1"/>
  <c r="V67" i="1"/>
  <c r="Q67" i="1"/>
  <c r="P67" i="1"/>
  <c r="O67" i="1"/>
  <c r="N67" i="1"/>
  <c r="M67" i="1"/>
  <c r="J67" i="1"/>
  <c r="I67" i="1"/>
  <c r="D67" i="1"/>
  <c r="F67" i="1"/>
  <c r="E67" i="1"/>
  <c r="A67" i="1"/>
  <c r="AB66" i="1"/>
  <c r="AD66" i="1"/>
  <c r="AE66" i="1"/>
  <c r="AC66" i="1"/>
  <c r="V66" i="1"/>
  <c r="Q66" i="1"/>
  <c r="P66" i="1"/>
  <c r="O66" i="1"/>
  <c r="N66" i="1"/>
  <c r="M66" i="1"/>
  <c r="J66" i="1"/>
  <c r="I66" i="1"/>
  <c r="D66" i="1"/>
  <c r="F66" i="1"/>
  <c r="E66" i="1"/>
  <c r="A66" i="1"/>
  <c r="AB65" i="1"/>
  <c r="AD65" i="1"/>
  <c r="AE65" i="1"/>
  <c r="AC65" i="1"/>
  <c r="V65" i="1"/>
  <c r="Q65" i="1"/>
  <c r="P65" i="1"/>
  <c r="O65" i="1"/>
  <c r="N65" i="1"/>
  <c r="M65" i="1"/>
  <c r="J65" i="1"/>
  <c r="I65" i="1"/>
  <c r="D65" i="1"/>
  <c r="F65" i="1"/>
  <c r="E65" i="1"/>
  <c r="A65" i="1"/>
  <c r="AB64" i="1"/>
  <c r="AD64" i="1"/>
  <c r="AE64" i="1"/>
  <c r="AC64" i="1"/>
  <c r="V64" i="1"/>
  <c r="Q64" i="1"/>
  <c r="P64" i="1"/>
  <c r="O64" i="1"/>
  <c r="N64" i="1"/>
  <c r="M64" i="1"/>
  <c r="J64" i="1"/>
  <c r="I64" i="1"/>
  <c r="D64" i="1"/>
  <c r="F64" i="1"/>
  <c r="E64" i="1"/>
  <c r="A64" i="1"/>
  <c r="AB63" i="1"/>
  <c r="AD63" i="1"/>
  <c r="AE63" i="1"/>
  <c r="AC63" i="1"/>
  <c r="V63" i="1"/>
  <c r="Q63" i="1"/>
  <c r="P63" i="1"/>
  <c r="O63" i="1"/>
  <c r="N63" i="1"/>
  <c r="M63" i="1"/>
  <c r="J63" i="1"/>
  <c r="I63" i="1"/>
  <c r="D63" i="1"/>
  <c r="F63" i="1"/>
  <c r="E63" i="1"/>
  <c r="A63" i="1"/>
  <c r="AB62" i="1"/>
  <c r="AD62" i="1"/>
  <c r="AE62" i="1"/>
  <c r="AC62" i="1"/>
  <c r="V62" i="1"/>
  <c r="Q62" i="1"/>
  <c r="P62" i="1"/>
  <c r="O62" i="1"/>
  <c r="N62" i="1"/>
  <c r="M62" i="1"/>
  <c r="J62" i="1"/>
  <c r="I62" i="1"/>
  <c r="D62" i="1"/>
  <c r="F62" i="1"/>
  <c r="E62" i="1"/>
  <c r="A62" i="1"/>
  <c r="AB61" i="1"/>
  <c r="AD61" i="1"/>
  <c r="AE61" i="1"/>
  <c r="AC61" i="1"/>
  <c r="V61" i="1"/>
  <c r="Q61" i="1"/>
  <c r="P61" i="1"/>
  <c r="O61" i="1"/>
  <c r="N61" i="1"/>
  <c r="M61" i="1"/>
  <c r="J61" i="1"/>
  <c r="I61" i="1"/>
  <c r="D61" i="1"/>
  <c r="F61" i="1"/>
  <c r="E61" i="1"/>
  <c r="A61" i="1"/>
  <c r="AB60" i="1"/>
  <c r="AD60" i="1"/>
  <c r="AE60" i="1"/>
  <c r="AC60" i="1"/>
  <c r="V60" i="1"/>
  <c r="Q60" i="1"/>
  <c r="P60" i="1"/>
  <c r="O60" i="1"/>
  <c r="N60" i="1"/>
  <c r="M60" i="1"/>
  <c r="J60" i="1"/>
  <c r="I60" i="1"/>
  <c r="D60" i="1"/>
  <c r="F60" i="1"/>
  <c r="E60" i="1"/>
  <c r="A60" i="1"/>
  <c r="AB59" i="1"/>
  <c r="AD59" i="1"/>
  <c r="AE59" i="1"/>
  <c r="AC59" i="1"/>
  <c r="V59" i="1"/>
  <c r="Q59" i="1"/>
  <c r="P59" i="1"/>
  <c r="O59" i="1"/>
  <c r="N59" i="1"/>
  <c r="M59" i="1"/>
  <c r="J59" i="1"/>
  <c r="I59" i="1"/>
  <c r="D59" i="1"/>
  <c r="F59" i="1"/>
  <c r="E59" i="1"/>
  <c r="A59" i="1"/>
  <c r="AB58" i="1"/>
  <c r="AD58" i="1"/>
  <c r="AE58" i="1"/>
  <c r="AC58" i="1"/>
  <c r="V58" i="1"/>
  <c r="Q58" i="1"/>
  <c r="P58" i="1"/>
  <c r="O58" i="1"/>
  <c r="N58" i="1"/>
  <c r="M58" i="1"/>
  <c r="J58" i="1"/>
  <c r="I58" i="1"/>
  <c r="D58" i="1"/>
  <c r="F58" i="1"/>
  <c r="E58" i="1"/>
  <c r="A58" i="1"/>
  <c r="AB57" i="1"/>
  <c r="AD57" i="1"/>
  <c r="AE57" i="1"/>
  <c r="AC57" i="1"/>
  <c r="V57" i="1"/>
  <c r="Q57" i="1"/>
  <c r="P57" i="1"/>
  <c r="O57" i="1"/>
  <c r="N57" i="1"/>
  <c r="M57" i="1"/>
  <c r="J57" i="1"/>
  <c r="I57" i="1"/>
  <c r="D57" i="1"/>
  <c r="F57" i="1"/>
  <c r="E57" i="1"/>
  <c r="A57" i="1"/>
  <c r="AB56" i="1"/>
  <c r="AD56" i="1"/>
  <c r="AE56" i="1"/>
  <c r="AC56" i="1"/>
  <c r="V56" i="1"/>
  <c r="Q56" i="1"/>
  <c r="P56" i="1"/>
  <c r="O56" i="1"/>
  <c r="N56" i="1"/>
  <c r="M56" i="1"/>
  <c r="J56" i="1"/>
  <c r="I56" i="1"/>
  <c r="D56" i="1"/>
  <c r="F56" i="1"/>
  <c r="E56" i="1"/>
  <c r="A56" i="1"/>
  <c r="AB55" i="1"/>
  <c r="AD55" i="1"/>
  <c r="AE55" i="1"/>
  <c r="AC55" i="1"/>
  <c r="V55" i="1"/>
  <c r="Q55" i="1"/>
  <c r="P55" i="1"/>
  <c r="O55" i="1"/>
  <c r="N55" i="1"/>
  <c r="M55" i="1"/>
  <c r="J55" i="1"/>
  <c r="I55" i="1"/>
  <c r="D55" i="1"/>
  <c r="F55" i="1"/>
  <c r="E55" i="1"/>
  <c r="A55" i="1"/>
  <c r="AB54" i="1"/>
  <c r="AD54" i="1"/>
  <c r="AE54" i="1"/>
  <c r="AC54" i="1"/>
  <c r="V54" i="1"/>
  <c r="Q54" i="1"/>
  <c r="P54" i="1"/>
  <c r="O54" i="1"/>
  <c r="N54" i="1"/>
  <c r="M54" i="1"/>
  <c r="J54" i="1"/>
  <c r="I54" i="1"/>
  <c r="D54" i="1"/>
  <c r="F54" i="1"/>
  <c r="E54" i="1"/>
  <c r="A54" i="1"/>
  <c r="C9" i="13"/>
  <c r="C8" i="13"/>
  <c r="C7" i="13"/>
  <c r="C6" i="13"/>
  <c r="M5" i="14"/>
  <c r="M7" i="14"/>
  <c r="M9" i="14"/>
  <c r="N4" i="14"/>
  <c r="N6" i="14"/>
  <c r="N8" i="14"/>
  <c r="M4" i="14"/>
  <c r="M6" i="14"/>
  <c r="M8" i="14"/>
  <c r="P9" i="14"/>
  <c r="J9" i="14"/>
  <c r="K9" i="14"/>
  <c r="H9" i="14"/>
  <c r="G9" i="14"/>
  <c r="E9" i="14"/>
  <c r="D9" i="14"/>
  <c r="A9" i="14"/>
  <c r="P8" i="14"/>
  <c r="J8" i="14"/>
  <c r="K8" i="14"/>
  <c r="H8" i="14"/>
  <c r="G8" i="14"/>
  <c r="E8" i="14"/>
  <c r="D8" i="14"/>
  <c r="A8" i="14"/>
  <c r="P7" i="14"/>
  <c r="J7" i="14"/>
  <c r="K7" i="14"/>
  <c r="H7" i="14"/>
  <c r="G7" i="14"/>
  <c r="E7" i="14"/>
  <c r="D7" i="14"/>
  <c r="A7" i="14"/>
  <c r="P6" i="14"/>
  <c r="J6" i="14"/>
  <c r="K6" i="14"/>
  <c r="H6" i="14"/>
  <c r="G6" i="14"/>
  <c r="E6" i="14"/>
  <c r="D6" i="14"/>
  <c r="A6" i="14"/>
  <c r="P5" i="14"/>
  <c r="J5" i="14"/>
  <c r="K5" i="14"/>
  <c r="H5" i="14"/>
  <c r="G5" i="14"/>
  <c r="E5" i="14"/>
  <c r="D5" i="14"/>
  <c r="A5" i="14"/>
  <c r="P4" i="14"/>
  <c r="J4" i="14"/>
  <c r="K4" i="14"/>
  <c r="H4" i="14"/>
  <c r="G4" i="14"/>
  <c r="E4" i="14"/>
  <c r="D4" i="14"/>
  <c r="A4" i="14"/>
  <c r="J3" i="14"/>
  <c r="P3" i="14"/>
  <c r="K3" i="14"/>
  <c r="H3" i="14"/>
  <c r="G3" i="14"/>
  <c r="E3" i="14"/>
  <c r="D3" i="14"/>
  <c r="A3" i="14"/>
  <c r="C5" i="13"/>
  <c r="D5" i="13"/>
  <c r="C4" i="13"/>
  <c r="D4" i="13"/>
  <c r="C3" i="13"/>
  <c r="D3" i="13"/>
  <c r="AM27" i="1"/>
  <c r="AM40" i="1"/>
  <c r="AM53" i="1"/>
  <c r="AL27" i="1"/>
  <c r="AL40" i="1"/>
  <c r="AL53" i="1"/>
  <c r="AK27" i="1"/>
  <c r="AK40" i="1"/>
  <c r="AK53" i="1"/>
  <c r="AJ27" i="1"/>
  <c r="AJ40" i="1"/>
  <c r="AJ53" i="1"/>
  <c r="AI27" i="1"/>
  <c r="AI40" i="1"/>
  <c r="AI53" i="1"/>
  <c r="AH27" i="1"/>
  <c r="AH40" i="1"/>
  <c r="AH53" i="1"/>
  <c r="L27" i="1"/>
  <c r="L40" i="1"/>
  <c r="L53" i="1"/>
  <c r="AB53" i="1"/>
  <c r="AD53" i="1"/>
  <c r="AG53" i="1"/>
  <c r="AF27" i="1"/>
  <c r="AF40" i="1"/>
  <c r="AF53" i="1"/>
  <c r="AE53" i="1"/>
  <c r="AC53" i="1"/>
  <c r="AA27" i="1"/>
  <c r="AA40" i="1"/>
  <c r="AA53" i="1"/>
  <c r="Z27" i="1"/>
  <c r="Z40" i="1"/>
  <c r="Z53" i="1"/>
  <c r="Y27" i="1"/>
  <c r="Y40" i="1"/>
  <c r="Y53" i="1"/>
  <c r="X27" i="1"/>
  <c r="X40" i="1"/>
  <c r="X53" i="1"/>
  <c r="W27" i="1"/>
  <c r="W40" i="1"/>
  <c r="W53" i="1"/>
  <c r="V53" i="1"/>
  <c r="U27" i="1"/>
  <c r="U40" i="1"/>
  <c r="U53" i="1"/>
  <c r="T27" i="1"/>
  <c r="T40" i="1"/>
  <c r="T53" i="1"/>
  <c r="S27" i="1"/>
  <c r="S40" i="1"/>
  <c r="S53" i="1"/>
  <c r="R27" i="1"/>
  <c r="R40" i="1"/>
  <c r="R53" i="1"/>
  <c r="Q53" i="1"/>
  <c r="P53" i="1"/>
  <c r="O53" i="1"/>
  <c r="N53" i="1"/>
  <c r="M53" i="1"/>
  <c r="J53" i="1"/>
  <c r="I53" i="1"/>
  <c r="D53" i="1"/>
  <c r="F53" i="1"/>
  <c r="E53" i="1"/>
  <c r="A53" i="1"/>
  <c r="AM26" i="1"/>
  <c r="AM39" i="1"/>
  <c r="AM52" i="1"/>
  <c r="AL26" i="1"/>
  <c r="AL39" i="1"/>
  <c r="AL52" i="1"/>
  <c r="AK26" i="1"/>
  <c r="AK39" i="1"/>
  <c r="AK52" i="1"/>
  <c r="AJ26" i="1"/>
  <c r="AJ39" i="1"/>
  <c r="AJ52" i="1"/>
  <c r="AI26" i="1"/>
  <c r="AI39" i="1"/>
  <c r="AI52" i="1"/>
  <c r="AH26" i="1"/>
  <c r="AH39" i="1"/>
  <c r="AH52" i="1"/>
  <c r="L26" i="1"/>
  <c r="L39" i="1"/>
  <c r="L52" i="1"/>
  <c r="AB52" i="1"/>
  <c r="AD52" i="1"/>
  <c r="AG52" i="1"/>
  <c r="AF26" i="1"/>
  <c r="AF39" i="1"/>
  <c r="AF52" i="1"/>
  <c r="AE52" i="1"/>
  <c r="AC52" i="1"/>
  <c r="AA26" i="1"/>
  <c r="AA39" i="1"/>
  <c r="AA52" i="1"/>
  <c r="Z26" i="1"/>
  <c r="Z39" i="1"/>
  <c r="Z52" i="1"/>
  <c r="Y26" i="1"/>
  <c r="Y39" i="1"/>
  <c r="Y52" i="1"/>
  <c r="X26" i="1"/>
  <c r="X39" i="1"/>
  <c r="X52" i="1"/>
  <c r="W26" i="1"/>
  <c r="W39" i="1"/>
  <c r="W52" i="1"/>
  <c r="V52" i="1"/>
  <c r="U26" i="1"/>
  <c r="U39" i="1"/>
  <c r="U52" i="1"/>
  <c r="T26" i="1"/>
  <c r="T39" i="1"/>
  <c r="T52" i="1"/>
  <c r="S26" i="1"/>
  <c r="S39" i="1"/>
  <c r="S52" i="1"/>
  <c r="R26" i="1"/>
  <c r="R39" i="1"/>
  <c r="R52" i="1"/>
  <c r="Q52" i="1"/>
  <c r="P52" i="1"/>
  <c r="O52" i="1"/>
  <c r="N52" i="1"/>
  <c r="M52" i="1"/>
  <c r="J52" i="1"/>
  <c r="I52" i="1"/>
  <c r="D52" i="1"/>
  <c r="F52" i="1"/>
  <c r="E52" i="1"/>
  <c r="A52" i="1"/>
  <c r="AM25" i="1"/>
  <c r="AM38" i="1"/>
  <c r="AM51" i="1"/>
  <c r="AL25" i="1"/>
  <c r="AL38" i="1"/>
  <c r="AL51" i="1"/>
  <c r="AK25" i="1"/>
  <c r="AK38" i="1"/>
  <c r="AK51" i="1"/>
  <c r="AJ25" i="1"/>
  <c r="AJ38" i="1"/>
  <c r="AJ51" i="1"/>
  <c r="AI25" i="1"/>
  <c r="AI38" i="1"/>
  <c r="AI51" i="1"/>
  <c r="AH25" i="1"/>
  <c r="AH38" i="1"/>
  <c r="AH51" i="1"/>
  <c r="L25" i="1"/>
  <c r="L38" i="1"/>
  <c r="L51" i="1"/>
  <c r="AB51" i="1"/>
  <c r="AD51" i="1"/>
  <c r="AG51" i="1"/>
  <c r="AF25" i="1"/>
  <c r="AF38" i="1"/>
  <c r="AF51" i="1"/>
  <c r="AE51" i="1"/>
  <c r="AC51" i="1"/>
  <c r="AA25" i="1"/>
  <c r="AA38" i="1"/>
  <c r="AA51" i="1"/>
  <c r="Z25" i="1"/>
  <c r="Z38" i="1"/>
  <c r="Z51" i="1"/>
  <c r="Y25" i="1"/>
  <c r="Y38" i="1"/>
  <c r="Y51" i="1"/>
  <c r="X25" i="1"/>
  <c r="X38" i="1"/>
  <c r="X51" i="1"/>
  <c r="W25" i="1"/>
  <c r="W38" i="1"/>
  <c r="W51" i="1"/>
  <c r="V51" i="1"/>
  <c r="U25" i="1"/>
  <c r="U38" i="1"/>
  <c r="U51" i="1"/>
  <c r="T25" i="1"/>
  <c r="T38" i="1"/>
  <c r="T51" i="1"/>
  <c r="S25" i="1"/>
  <c r="S38" i="1"/>
  <c r="S51" i="1"/>
  <c r="R25" i="1"/>
  <c r="R38" i="1"/>
  <c r="R51" i="1"/>
  <c r="Q51" i="1"/>
  <c r="P51" i="1"/>
  <c r="O51" i="1"/>
  <c r="N51" i="1"/>
  <c r="M51" i="1"/>
  <c r="J51" i="1"/>
  <c r="I51" i="1"/>
  <c r="D51" i="1"/>
  <c r="F51" i="1"/>
  <c r="E51" i="1"/>
  <c r="A51" i="1"/>
  <c r="AM24" i="1"/>
  <c r="AM37" i="1"/>
  <c r="AM50" i="1"/>
  <c r="AL24" i="1"/>
  <c r="AL37" i="1"/>
  <c r="AL50" i="1"/>
  <c r="AK24" i="1"/>
  <c r="AK37" i="1"/>
  <c r="AK50" i="1"/>
  <c r="AJ24" i="1"/>
  <c r="AJ37" i="1"/>
  <c r="AJ50" i="1"/>
  <c r="AI24" i="1"/>
  <c r="AI37" i="1"/>
  <c r="AI50" i="1"/>
  <c r="AH24" i="1"/>
  <c r="AH37" i="1"/>
  <c r="AH50" i="1"/>
  <c r="L24" i="1"/>
  <c r="L37" i="1"/>
  <c r="L50" i="1"/>
  <c r="AB50" i="1"/>
  <c r="AD50" i="1"/>
  <c r="AG50" i="1"/>
  <c r="AF24" i="1"/>
  <c r="AF37" i="1"/>
  <c r="AF50" i="1"/>
  <c r="AE50" i="1"/>
  <c r="AC50" i="1"/>
  <c r="AA24" i="1"/>
  <c r="AA37" i="1"/>
  <c r="AA50" i="1"/>
  <c r="Z24" i="1"/>
  <c r="Z37" i="1"/>
  <c r="Z50" i="1"/>
  <c r="Y24" i="1"/>
  <c r="Y37" i="1"/>
  <c r="Y50" i="1"/>
  <c r="X24" i="1"/>
  <c r="X37" i="1"/>
  <c r="X50" i="1"/>
  <c r="W24" i="1"/>
  <c r="W37" i="1"/>
  <c r="W50" i="1"/>
  <c r="V50" i="1"/>
  <c r="U24" i="1"/>
  <c r="U37" i="1"/>
  <c r="U50" i="1"/>
  <c r="T24" i="1"/>
  <c r="T37" i="1"/>
  <c r="T50" i="1"/>
  <c r="S24" i="1"/>
  <c r="S37" i="1"/>
  <c r="S50" i="1"/>
  <c r="R24" i="1"/>
  <c r="R37" i="1"/>
  <c r="R50" i="1"/>
  <c r="Q50" i="1"/>
  <c r="P50" i="1"/>
  <c r="O50" i="1"/>
  <c r="N50" i="1"/>
  <c r="M50" i="1"/>
  <c r="J50" i="1"/>
  <c r="I50" i="1"/>
  <c r="D50" i="1"/>
  <c r="F50" i="1"/>
  <c r="E50" i="1"/>
  <c r="A50" i="1"/>
  <c r="AM23" i="1"/>
  <c r="AM36" i="1"/>
  <c r="AM49" i="1"/>
  <c r="AL23" i="1"/>
  <c r="AL36" i="1"/>
  <c r="AL49" i="1"/>
  <c r="AK23" i="1"/>
  <c r="AK36" i="1"/>
  <c r="AK49" i="1"/>
  <c r="AJ23" i="1"/>
  <c r="AJ36" i="1"/>
  <c r="AJ49" i="1"/>
  <c r="AI23" i="1"/>
  <c r="AI36" i="1"/>
  <c r="AI49" i="1"/>
  <c r="AH23" i="1"/>
  <c r="AH36" i="1"/>
  <c r="AH49" i="1"/>
  <c r="L23" i="1"/>
  <c r="L36" i="1"/>
  <c r="L49" i="1"/>
  <c r="AB49" i="1"/>
  <c r="AD49" i="1"/>
  <c r="AG49" i="1"/>
  <c r="AF23" i="1"/>
  <c r="AF36" i="1"/>
  <c r="AF49" i="1"/>
  <c r="AE49" i="1"/>
  <c r="AC49" i="1"/>
  <c r="AA23" i="1"/>
  <c r="AA36" i="1"/>
  <c r="AA49" i="1"/>
  <c r="Z23" i="1"/>
  <c r="Z36" i="1"/>
  <c r="Z49" i="1"/>
  <c r="Y23" i="1"/>
  <c r="Y36" i="1"/>
  <c r="Y49" i="1"/>
  <c r="X23" i="1"/>
  <c r="X36" i="1"/>
  <c r="X49" i="1"/>
  <c r="W23" i="1"/>
  <c r="W36" i="1"/>
  <c r="W49" i="1"/>
  <c r="V49" i="1"/>
  <c r="U23" i="1"/>
  <c r="U36" i="1"/>
  <c r="U49" i="1"/>
  <c r="T23" i="1"/>
  <c r="T36" i="1"/>
  <c r="T49" i="1"/>
  <c r="S23" i="1"/>
  <c r="S36" i="1"/>
  <c r="S49" i="1"/>
  <c r="R23" i="1"/>
  <c r="R36" i="1"/>
  <c r="R49" i="1"/>
  <c r="Q49" i="1"/>
  <c r="P49" i="1"/>
  <c r="O49" i="1"/>
  <c r="N49" i="1"/>
  <c r="M49" i="1"/>
  <c r="J49" i="1"/>
  <c r="I49" i="1"/>
  <c r="D49" i="1"/>
  <c r="F49" i="1"/>
  <c r="E49" i="1"/>
  <c r="A49" i="1"/>
  <c r="AM22" i="1"/>
  <c r="AM35" i="1"/>
  <c r="AM48" i="1"/>
  <c r="AL22" i="1"/>
  <c r="AL35" i="1"/>
  <c r="AL48" i="1"/>
  <c r="AK22" i="1"/>
  <c r="AK35" i="1"/>
  <c r="AK48" i="1"/>
  <c r="AJ22" i="1"/>
  <c r="AJ35" i="1"/>
  <c r="AJ48" i="1"/>
  <c r="AI22" i="1"/>
  <c r="AI35" i="1"/>
  <c r="AI48" i="1"/>
  <c r="AH22" i="1"/>
  <c r="AH35" i="1"/>
  <c r="AH48" i="1"/>
  <c r="L22" i="1"/>
  <c r="L35" i="1"/>
  <c r="L48" i="1"/>
  <c r="AB48" i="1"/>
  <c r="AD48" i="1"/>
  <c r="AG48" i="1"/>
  <c r="AF22" i="1"/>
  <c r="AF35" i="1"/>
  <c r="AF48" i="1"/>
  <c r="AE48" i="1"/>
  <c r="AC48" i="1"/>
  <c r="AA22" i="1"/>
  <c r="AA35" i="1"/>
  <c r="AA48" i="1"/>
  <c r="Z22" i="1"/>
  <c r="Z35" i="1"/>
  <c r="Z48" i="1"/>
  <c r="Y22" i="1"/>
  <c r="Y35" i="1"/>
  <c r="Y48" i="1"/>
  <c r="X22" i="1"/>
  <c r="X35" i="1"/>
  <c r="X48" i="1"/>
  <c r="W22" i="1"/>
  <c r="W35" i="1"/>
  <c r="W48" i="1"/>
  <c r="V48" i="1"/>
  <c r="U22" i="1"/>
  <c r="U35" i="1"/>
  <c r="U48" i="1"/>
  <c r="T22" i="1"/>
  <c r="T35" i="1"/>
  <c r="T48" i="1"/>
  <c r="S22" i="1"/>
  <c r="S35" i="1"/>
  <c r="S48" i="1"/>
  <c r="R22" i="1"/>
  <c r="R35" i="1"/>
  <c r="R48" i="1"/>
  <c r="Q48" i="1"/>
  <c r="P48" i="1"/>
  <c r="O48" i="1"/>
  <c r="N48" i="1"/>
  <c r="M48" i="1"/>
  <c r="J48" i="1"/>
  <c r="I48" i="1"/>
  <c r="D48" i="1"/>
  <c r="F48" i="1"/>
  <c r="E48" i="1"/>
  <c r="A48" i="1"/>
  <c r="AM21" i="1"/>
  <c r="AM34" i="1"/>
  <c r="AM47" i="1"/>
  <c r="AL21" i="1"/>
  <c r="AL34" i="1"/>
  <c r="AL47" i="1"/>
  <c r="AK21" i="1"/>
  <c r="AK34" i="1"/>
  <c r="AK47" i="1"/>
  <c r="AJ21" i="1"/>
  <c r="AJ34" i="1"/>
  <c r="AJ47" i="1"/>
  <c r="AI21" i="1"/>
  <c r="AI34" i="1"/>
  <c r="AI47" i="1"/>
  <c r="AH21" i="1"/>
  <c r="AH34" i="1"/>
  <c r="AH47" i="1"/>
  <c r="L21" i="1"/>
  <c r="L34" i="1"/>
  <c r="L47" i="1"/>
  <c r="AB47" i="1"/>
  <c r="AD47" i="1"/>
  <c r="AG47" i="1"/>
  <c r="AF21" i="1"/>
  <c r="AF34" i="1"/>
  <c r="AF47" i="1"/>
  <c r="AE47" i="1"/>
  <c r="AC47" i="1"/>
  <c r="AA21" i="1"/>
  <c r="AA34" i="1"/>
  <c r="AA47" i="1"/>
  <c r="Z21" i="1"/>
  <c r="Z34" i="1"/>
  <c r="Z47" i="1"/>
  <c r="Y21" i="1"/>
  <c r="Y34" i="1"/>
  <c r="Y47" i="1"/>
  <c r="X21" i="1"/>
  <c r="X34" i="1"/>
  <c r="X47" i="1"/>
  <c r="W21" i="1"/>
  <c r="W34" i="1"/>
  <c r="W47" i="1"/>
  <c r="V47" i="1"/>
  <c r="U21" i="1"/>
  <c r="U34" i="1"/>
  <c r="U47" i="1"/>
  <c r="T21" i="1"/>
  <c r="T34" i="1"/>
  <c r="T47" i="1"/>
  <c r="S21" i="1"/>
  <c r="S34" i="1"/>
  <c r="S47" i="1"/>
  <c r="R21" i="1"/>
  <c r="R34" i="1"/>
  <c r="R47" i="1"/>
  <c r="Q47" i="1"/>
  <c r="P47" i="1"/>
  <c r="O47" i="1"/>
  <c r="N47" i="1"/>
  <c r="M47" i="1"/>
  <c r="J47" i="1"/>
  <c r="I47" i="1"/>
  <c r="D47" i="1"/>
  <c r="F47" i="1"/>
  <c r="E47" i="1"/>
  <c r="A47" i="1"/>
  <c r="AM20" i="1"/>
  <c r="AM33" i="1"/>
  <c r="AM46" i="1"/>
  <c r="AL20" i="1"/>
  <c r="AL33" i="1"/>
  <c r="AL46" i="1"/>
  <c r="AK20" i="1"/>
  <c r="AK33" i="1"/>
  <c r="AK46" i="1"/>
  <c r="AJ20" i="1"/>
  <c r="AJ33" i="1"/>
  <c r="AJ46" i="1"/>
  <c r="AI20" i="1"/>
  <c r="AI33" i="1"/>
  <c r="AI46" i="1"/>
  <c r="AH20" i="1"/>
  <c r="AH33" i="1"/>
  <c r="AH46" i="1"/>
  <c r="L20" i="1"/>
  <c r="L33" i="1"/>
  <c r="L46" i="1"/>
  <c r="AB46" i="1"/>
  <c r="AD46" i="1"/>
  <c r="AG46" i="1"/>
  <c r="AF20" i="1"/>
  <c r="AF33" i="1"/>
  <c r="AF46" i="1"/>
  <c r="AE46" i="1"/>
  <c r="AC46" i="1"/>
  <c r="AA20" i="1"/>
  <c r="AA33" i="1"/>
  <c r="AA46" i="1"/>
  <c r="Z20" i="1"/>
  <c r="Z33" i="1"/>
  <c r="Z46" i="1"/>
  <c r="Y20" i="1"/>
  <c r="Y33" i="1"/>
  <c r="Y46" i="1"/>
  <c r="X20" i="1"/>
  <c r="X33" i="1"/>
  <c r="X46" i="1"/>
  <c r="W20" i="1"/>
  <c r="W33" i="1"/>
  <c r="W46" i="1"/>
  <c r="V46" i="1"/>
  <c r="U20" i="1"/>
  <c r="U33" i="1"/>
  <c r="U46" i="1"/>
  <c r="T20" i="1"/>
  <c r="T33" i="1"/>
  <c r="T46" i="1"/>
  <c r="S20" i="1"/>
  <c r="S33" i="1"/>
  <c r="S46" i="1"/>
  <c r="R20" i="1"/>
  <c r="R33" i="1"/>
  <c r="R46" i="1"/>
  <c r="Q46" i="1"/>
  <c r="P46" i="1"/>
  <c r="O46" i="1"/>
  <c r="N46" i="1"/>
  <c r="M46" i="1"/>
  <c r="J46" i="1"/>
  <c r="I46" i="1"/>
  <c r="D46" i="1"/>
  <c r="F46" i="1"/>
  <c r="E46" i="1"/>
  <c r="A46" i="1"/>
  <c r="AM19" i="1"/>
  <c r="AM32" i="1"/>
  <c r="AM45" i="1"/>
  <c r="AL19" i="1"/>
  <c r="AL32" i="1"/>
  <c r="AL45" i="1"/>
  <c r="AK19" i="1"/>
  <c r="AK32" i="1"/>
  <c r="AK45" i="1"/>
  <c r="AJ19" i="1"/>
  <c r="AJ32" i="1"/>
  <c r="AJ45" i="1"/>
  <c r="AI19" i="1"/>
  <c r="AI32" i="1"/>
  <c r="AI45" i="1"/>
  <c r="AH19" i="1"/>
  <c r="AH32" i="1"/>
  <c r="AH45" i="1"/>
  <c r="L19" i="1"/>
  <c r="L32" i="1"/>
  <c r="L45" i="1"/>
  <c r="AB45" i="1"/>
  <c r="AD45" i="1"/>
  <c r="AG45" i="1"/>
  <c r="AF19" i="1"/>
  <c r="AF32" i="1"/>
  <c r="AF45" i="1"/>
  <c r="AE45" i="1"/>
  <c r="AC45" i="1"/>
  <c r="AA19" i="1"/>
  <c r="AA32" i="1"/>
  <c r="AA45" i="1"/>
  <c r="Z19" i="1"/>
  <c r="Z32" i="1"/>
  <c r="Z45" i="1"/>
  <c r="Y19" i="1"/>
  <c r="Y32" i="1"/>
  <c r="Y45" i="1"/>
  <c r="X19" i="1"/>
  <c r="X32" i="1"/>
  <c r="X45" i="1"/>
  <c r="W19" i="1"/>
  <c r="W32" i="1"/>
  <c r="W45" i="1"/>
  <c r="V45" i="1"/>
  <c r="U19" i="1"/>
  <c r="U32" i="1"/>
  <c r="U45" i="1"/>
  <c r="T19" i="1"/>
  <c r="T32" i="1"/>
  <c r="T45" i="1"/>
  <c r="S19" i="1"/>
  <c r="S32" i="1"/>
  <c r="S45" i="1"/>
  <c r="R19" i="1"/>
  <c r="R32" i="1"/>
  <c r="R45" i="1"/>
  <c r="Q45" i="1"/>
  <c r="P45" i="1"/>
  <c r="O45" i="1"/>
  <c r="N45" i="1"/>
  <c r="M45" i="1"/>
  <c r="J45" i="1"/>
  <c r="I45" i="1"/>
  <c r="D45" i="1"/>
  <c r="F45" i="1"/>
  <c r="E45" i="1"/>
  <c r="A45" i="1"/>
  <c r="AM18" i="1"/>
  <c r="AM31" i="1"/>
  <c r="AM44" i="1"/>
  <c r="AL18" i="1"/>
  <c r="AL31" i="1"/>
  <c r="AL44" i="1"/>
  <c r="AK18" i="1"/>
  <c r="AK31" i="1"/>
  <c r="AK44" i="1"/>
  <c r="AJ18" i="1"/>
  <c r="AJ31" i="1"/>
  <c r="AJ44" i="1"/>
  <c r="AI18" i="1"/>
  <c r="AI31" i="1"/>
  <c r="AI44" i="1"/>
  <c r="AH18" i="1"/>
  <c r="AH31" i="1"/>
  <c r="AH44" i="1"/>
  <c r="L18" i="1"/>
  <c r="L31" i="1"/>
  <c r="L44" i="1"/>
  <c r="AB44" i="1"/>
  <c r="AD44" i="1"/>
  <c r="AG44" i="1"/>
  <c r="AF18" i="1"/>
  <c r="AF31" i="1"/>
  <c r="AF44" i="1"/>
  <c r="AE44" i="1"/>
  <c r="AC44" i="1"/>
  <c r="AA18" i="1"/>
  <c r="AA31" i="1"/>
  <c r="AA44" i="1"/>
  <c r="Z18" i="1"/>
  <c r="Z31" i="1"/>
  <c r="Z44" i="1"/>
  <c r="Y18" i="1"/>
  <c r="Y31" i="1"/>
  <c r="Y44" i="1"/>
  <c r="X18" i="1"/>
  <c r="X31" i="1"/>
  <c r="X44" i="1"/>
  <c r="W18" i="1"/>
  <c r="W31" i="1"/>
  <c r="W44" i="1"/>
  <c r="V44" i="1"/>
  <c r="U18" i="1"/>
  <c r="U31" i="1"/>
  <c r="U44" i="1"/>
  <c r="T18" i="1"/>
  <c r="T31" i="1"/>
  <c r="T44" i="1"/>
  <c r="S18" i="1"/>
  <c r="S31" i="1"/>
  <c r="S44" i="1"/>
  <c r="R18" i="1"/>
  <c r="R31" i="1"/>
  <c r="R44" i="1"/>
  <c r="Q44" i="1"/>
  <c r="P44" i="1"/>
  <c r="O44" i="1"/>
  <c r="N44" i="1"/>
  <c r="M44" i="1"/>
  <c r="J44" i="1"/>
  <c r="I44" i="1"/>
  <c r="D44" i="1"/>
  <c r="F44" i="1"/>
  <c r="E44" i="1"/>
  <c r="A44" i="1"/>
  <c r="AM17" i="1"/>
  <c r="AM30" i="1"/>
  <c r="AM43" i="1"/>
  <c r="AL17" i="1"/>
  <c r="AL30" i="1"/>
  <c r="AL43" i="1"/>
  <c r="AK17" i="1"/>
  <c r="AK30" i="1"/>
  <c r="AK43" i="1"/>
  <c r="AJ17" i="1"/>
  <c r="AJ30" i="1"/>
  <c r="AJ43" i="1"/>
  <c r="AI17" i="1"/>
  <c r="AI30" i="1"/>
  <c r="AI43" i="1"/>
  <c r="AH17" i="1"/>
  <c r="AH30" i="1"/>
  <c r="AH43" i="1"/>
  <c r="L17" i="1"/>
  <c r="L30" i="1"/>
  <c r="L43" i="1"/>
  <c r="AB43" i="1"/>
  <c r="AD43" i="1"/>
  <c r="AG43" i="1"/>
  <c r="AF17" i="1"/>
  <c r="AF30" i="1"/>
  <c r="AF43" i="1"/>
  <c r="AE43" i="1"/>
  <c r="AC43" i="1"/>
  <c r="AA17" i="1"/>
  <c r="AA30" i="1"/>
  <c r="AA43" i="1"/>
  <c r="Z17" i="1"/>
  <c r="Z30" i="1"/>
  <c r="Z43" i="1"/>
  <c r="Y17" i="1"/>
  <c r="Y30" i="1"/>
  <c r="Y43" i="1"/>
  <c r="X17" i="1"/>
  <c r="X30" i="1"/>
  <c r="X43" i="1"/>
  <c r="W17" i="1"/>
  <c r="W30" i="1"/>
  <c r="W43" i="1"/>
  <c r="V43" i="1"/>
  <c r="U17" i="1"/>
  <c r="U30" i="1"/>
  <c r="U43" i="1"/>
  <c r="T17" i="1"/>
  <c r="T30" i="1"/>
  <c r="T43" i="1"/>
  <c r="S17" i="1"/>
  <c r="S30" i="1"/>
  <c r="S43" i="1"/>
  <c r="R17" i="1"/>
  <c r="R30" i="1"/>
  <c r="R43" i="1"/>
  <c r="Q43" i="1"/>
  <c r="P43" i="1"/>
  <c r="O43" i="1"/>
  <c r="N43" i="1"/>
  <c r="M43" i="1"/>
  <c r="J43" i="1"/>
  <c r="I43" i="1"/>
  <c r="D43" i="1"/>
  <c r="F43" i="1"/>
  <c r="E43" i="1"/>
  <c r="A43" i="1"/>
  <c r="AM16" i="1"/>
  <c r="AM29" i="1"/>
  <c r="AM42" i="1"/>
  <c r="AL16" i="1"/>
  <c r="AL29" i="1"/>
  <c r="AL42" i="1"/>
  <c r="AK16" i="1"/>
  <c r="AK29" i="1"/>
  <c r="AK42" i="1"/>
  <c r="AJ16" i="1"/>
  <c r="AJ29" i="1"/>
  <c r="AJ42" i="1"/>
  <c r="AI16" i="1"/>
  <c r="AI29" i="1"/>
  <c r="AI42" i="1"/>
  <c r="AH16" i="1"/>
  <c r="AH29" i="1"/>
  <c r="AH42" i="1"/>
  <c r="L16" i="1"/>
  <c r="L29" i="1"/>
  <c r="L42" i="1"/>
  <c r="AB42" i="1"/>
  <c r="AD42" i="1"/>
  <c r="AG42" i="1"/>
  <c r="AF16" i="1"/>
  <c r="AF29" i="1"/>
  <c r="AF42" i="1"/>
  <c r="AE42" i="1"/>
  <c r="AC42" i="1"/>
  <c r="AA16" i="1"/>
  <c r="AA29" i="1"/>
  <c r="AA42" i="1"/>
  <c r="Z16" i="1"/>
  <c r="Z29" i="1"/>
  <c r="Z42" i="1"/>
  <c r="Y16" i="1"/>
  <c r="Y29" i="1"/>
  <c r="Y42" i="1"/>
  <c r="X16" i="1"/>
  <c r="X29" i="1"/>
  <c r="X42" i="1"/>
  <c r="W16" i="1"/>
  <c r="W29" i="1"/>
  <c r="W42" i="1"/>
  <c r="V42" i="1"/>
  <c r="U16" i="1"/>
  <c r="U29" i="1"/>
  <c r="U42" i="1"/>
  <c r="T16" i="1"/>
  <c r="T29" i="1"/>
  <c r="T42" i="1"/>
  <c r="S16" i="1"/>
  <c r="S29" i="1"/>
  <c r="S42" i="1"/>
  <c r="R16" i="1"/>
  <c r="R29" i="1"/>
  <c r="R42" i="1"/>
  <c r="Q42" i="1"/>
  <c r="P42" i="1"/>
  <c r="O42" i="1"/>
  <c r="N42" i="1"/>
  <c r="M42" i="1"/>
  <c r="J42" i="1"/>
  <c r="I42" i="1"/>
  <c r="D42" i="1"/>
  <c r="F42" i="1"/>
  <c r="E42" i="1"/>
  <c r="A42" i="1"/>
  <c r="AM15" i="1"/>
  <c r="AM28" i="1"/>
  <c r="AM41" i="1"/>
  <c r="AL15" i="1"/>
  <c r="AL28" i="1"/>
  <c r="AL41" i="1"/>
  <c r="AK15" i="1"/>
  <c r="AK28" i="1"/>
  <c r="AK41" i="1"/>
  <c r="AJ15" i="1"/>
  <c r="AJ28" i="1"/>
  <c r="AJ41" i="1"/>
  <c r="AI15" i="1"/>
  <c r="AI28" i="1"/>
  <c r="AI41" i="1"/>
  <c r="AH15" i="1"/>
  <c r="AH28" i="1"/>
  <c r="AH41" i="1"/>
  <c r="L15" i="1"/>
  <c r="L28" i="1"/>
  <c r="L41" i="1"/>
  <c r="AB41" i="1"/>
  <c r="AD41" i="1"/>
  <c r="AG41" i="1"/>
  <c r="AF15" i="1"/>
  <c r="AF28" i="1"/>
  <c r="AF41" i="1"/>
  <c r="AE41" i="1"/>
  <c r="AC41" i="1"/>
  <c r="AA15" i="1"/>
  <c r="AA28" i="1"/>
  <c r="AA41" i="1"/>
  <c r="Z15" i="1"/>
  <c r="Z28" i="1"/>
  <c r="Z41" i="1"/>
  <c r="Y15" i="1"/>
  <c r="Y28" i="1"/>
  <c r="Y41" i="1"/>
  <c r="X15" i="1"/>
  <c r="X28" i="1"/>
  <c r="X41" i="1"/>
  <c r="W15" i="1"/>
  <c r="W28" i="1"/>
  <c r="W41" i="1"/>
  <c r="V41" i="1"/>
  <c r="U15" i="1"/>
  <c r="U28" i="1"/>
  <c r="U41" i="1"/>
  <c r="T15" i="1"/>
  <c r="T28" i="1"/>
  <c r="T41" i="1"/>
  <c r="S15" i="1"/>
  <c r="S28" i="1"/>
  <c r="S41" i="1"/>
  <c r="R15" i="1"/>
  <c r="R28" i="1"/>
  <c r="R41" i="1"/>
  <c r="Q41" i="1"/>
  <c r="P41" i="1"/>
  <c r="O41" i="1"/>
  <c r="N41" i="1"/>
  <c r="M41" i="1"/>
  <c r="J41" i="1"/>
  <c r="I41" i="1"/>
  <c r="D41" i="1"/>
  <c r="F41" i="1"/>
  <c r="E41" i="1"/>
  <c r="A41" i="1"/>
  <c r="AB40" i="1"/>
  <c r="AD40" i="1"/>
  <c r="AG40" i="1"/>
  <c r="AE40" i="1"/>
  <c r="AC40" i="1"/>
  <c r="V40" i="1"/>
  <c r="Q40" i="1"/>
  <c r="P40" i="1"/>
  <c r="O40" i="1"/>
  <c r="N40" i="1"/>
  <c r="M40" i="1"/>
  <c r="J40" i="1"/>
  <c r="I40" i="1"/>
  <c r="D40" i="1"/>
  <c r="F40" i="1"/>
  <c r="E40" i="1"/>
  <c r="A40" i="1"/>
  <c r="AB39" i="1"/>
  <c r="AD39" i="1"/>
  <c r="AG39" i="1"/>
  <c r="AE39" i="1"/>
  <c r="AC39" i="1"/>
  <c r="V39" i="1"/>
  <c r="Q39" i="1"/>
  <c r="P39" i="1"/>
  <c r="O39" i="1"/>
  <c r="N39" i="1"/>
  <c r="M39" i="1"/>
  <c r="J39" i="1"/>
  <c r="I39" i="1"/>
  <c r="D39" i="1"/>
  <c r="F39" i="1"/>
  <c r="E39" i="1"/>
  <c r="A39" i="1"/>
  <c r="AB38" i="1"/>
  <c r="AD38" i="1"/>
  <c r="AG38" i="1"/>
  <c r="AE38" i="1"/>
  <c r="AC38" i="1"/>
  <c r="V38" i="1"/>
  <c r="Q38" i="1"/>
  <c r="P38" i="1"/>
  <c r="O38" i="1"/>
  <c r="N38" i="1"/>
  <c r="M38" i="1"/>
  <c r="J38" i="1"/>
  <c r="I38" i="1"/>
  <c r="D38" i="1"/>
  <c r="F38" i="1"/>
  <c r="E38" i="1"/>
  <c r="A38" i="1"/>
  <c r="AB37" i="1"/>
  <c r="AD37" i="1"/>
  <c r="AG37" i="1"/>
  <c r="AE37" i="1"/>
  <c r="AC37" i="1"/>
  <c r="V37" i="1"/>
  <c r="Q37" i="1"/>
  <c r="P37" i="1"/>
  <c r="O37" i="1"/>
  <c r="N37" i="1"/>
  <c r="M37" i="1"/>
  <c r="J37" i="1"/>
  <c r="I37" i="1"/>
  <c r="D37" i="1"/>
  <c r="F37" i="1"/>
  <c r="E37" i="1"/>
  <c r="A37" i="1"/>
  <c r="AB36" i="1"/>
  <c r="AD36" i="1"/>
  <c r="AG36" i="1"/>
  <c r="AE36" i="1"/>
  <c r="AC36" i="1"/>
  <c r="V36" i="1"/>
  <c r="Q36" i="1"/>
  <c r="P36" i="1"/>
  <c r="O36" i="1"/>
  <c r="N36" i="1"/>
  <c r="M36" i="1"/>
  <c r="J36" i="1"/>
  <c r="I36" i="1"/>
  <c r="D36" i="1"/>
  <c r="F36" i="1"/>
  <c r="E36" i="1"/>
  <c r="A36" i="1"/>
  <c r="AB35" i="1"/>
  <c r="AD35" i="1"/>
  <c r="AG35" i="1"/>
  <c r="AE35" i="1"/>
  <c r="AC35" i="1"/>
  <c r="V35" i="1"/>
  <c r="Q35" i="1"/>
  <c r="P35" i="1"/>
  <c r="O35" i="1"/>
  <c r="N35" i="1"/>
  <c r="M35" i="1"/>
  <c r="J35" i="1"/>
  <c r="I35" i="1"/>
  <c r="D35" i="1"/>
  <c r="F35" i="1"/>
  <c r="E35" i="1"/>
  <c r="A35" i="1"/>
  <c r="AB34" i="1"/>
  <c r="AD34" i="1"/>
  <c r="AG34" i="1"/>
  <c r="AE34" i="1"/>
  <c r="AC34" i="1"/>
  <c r="V34" i="1"/>
  <c r="Q34" i="1"/>
  <c r="P34" i="1"/>
  <c r="O34" i="1"/>
  <c r="N34" i="1"/>
  <c r="M34" i="1"/>
  <c r="J34" i="1"/>
  <c r="I34" i="1"/>
  <c r="D34" i="1"/>
  <c r="F34" i="1"/>
  <c r="E34" i="1"/>
  <c r="A34" i="1"/>
  <c r="AB33" i="1"/>
  <c r="AD33" i="1"/>
  <c r="AG33" i="1"/>
  <c r="AE33" i="1"/>
  <c r="AC33" i="1"/>
  <c r="V33" i="1"/>
  <c r="Q33" i="1"/>
  <c r="P33" i="1"/>
  <c r="O33" i="1"/>
  <c r="N33" i="1"/>
  <c r="M33" i="1"/>
  <c r="J33" i="1"/>
  <c r="I33" i="1"/>
  <c r="D33" i="1"/>
  <c r="F33" i="1"/>
  <c r="E33" i="1"/>
  <c r="A33" i="1"/>
  <c r="AB32" i="1"/>
  <c r="AD32" i="1"/>
  <c r="AG32" i="1"/>
  <c r="AE32" i="1"/>
  <c r="AC32" i="1"/>
  <c r="V32" i="1"/>
  <c r="Q32" i="1"/>
  <c r="P32" i="1"/>
  <c r="O32" i="1"/>
  <c r="N32" i="1"/>
  <c r="M32" i="1"/>
  <c r="J32" i="1"/>
  <c r="I32" i="1"/>
  <c r="D32" i="1"/>
  <c r="F32" i="1"/>
  <c r="E32" i="1"/>
  <c r="A32" i="1"/>
  <c r="AB31" i="1"/>
  <c r="AD31" i="1"/>
  <c r="AG31" i="1"/>
  <c r="AE31" i="1"/>
  <c r="AC31" i="1"/>
  <c r="V31" i="1"/>
  <c r="Q31" i="1"/>
  <c r="P31" i="1"/>
  <c r="O31" i="1"/>
  <c r="N31" i="1"/>
  <c r="M31" i="1"/>
  <c r="J31" i="1"/>
  <c r="I31" i="1"/>
  <c r="D31" i="1"/>
  <c r="F31" i="1"/>
  <c r="E31" i="1"/>
  <c r="A31" i="1"/>
  <c r="AB30" i="1"/>
  <c r="AD30" i="1"/>
  <c r="AG30" i="1"/>
  <c r="AE30" i="1"/>
  <c r="AC30" i="1"/>
  <c r="V30" i="1"/>
  <c r="Q30" i="1"/>
  <c r="P30" i="1"/>
  <c r="O30" i="1"/>
  <c r="N30" i="1"/>
  <c r="M30" i="1"/>
  <c r="J30" i="1"/>
  <c r="I30" i="1"/>
  <c r="D30" i="1"/>
  <c r="F30" i="1"/>
  <c r="E30" i="1"/>
  <c r="A30" i="1"/>
  <c r="AB29" i="1"/>
  <c r="AD29" i="1"/>
  <c r="AG29" i="1"/>
  <c r="AE29" i="1"/>
  <c r="AC29" i="1"/>
  <c r="V29" i="1"/>
  <c r="Q29" i="1"/>
  <c r="P29" i="1"/>
  <c r="O29" i="1"/>
  <c r="N29" i="1"/>
  <c r="M29" i="1"/>
  <c r="J29" i="1"/>
  <c r="I29" i="1"/>
  <c r="D29" i="1"/>
  <c r="F29" i="1"/>
  <c r="E29" i="1"/>
  <c r="A29" i="1"/>
  <c r="AB28" i="1"/>
  <c r="AD28" i="1"/>
  <c r="AG28" i="1"/>
  <c r="AE28" i="1"/>
  <c r="AC28" i="1"/>
  <c r="V28" i="1"/>
  <c r="Q28" i="1"/>
  <c r="P28" i="1"/>
  <c r="O28" i="1"/>
  <c r="N28" i="1"/>
  <c r="M28" i="1"/>
  <c r="J28" i="1"/>
  <c r="I28" i="1"/>
  <c r="D28" i="1"/>
  <c r="F28" i="1"/>
  <c r="E28" i="1"/>
  <c r="A28" i="1"/>
  <c r="AB27" i="1"/>
  <c r="AD27" i="1"/>
  <c r="AG27" i="1"/>
  <c r="AE27" i="1"/>
  <c r="AC27" i="1"/>
  <c r="V27" i="1"/>
  <c r="Q27" i="1"/>
  <c r="P27" i="1"/>
  <c r="O27" i="1"/>
  <c r="N27" i="1"/>
  <c r="M27" i="1"/>
  <c r="J27" i="1"/>
  <c r="I27" i="1"/>
  <c r="D27" i="1"/>
  <c r="F27" i="1"/>
  <c r="E27" i="1"/>
  <c r="A27" i="1"/>
  <c r="AB26" i="1"/>
  <c r="AD26" i="1"/>
  <c r="AG26" i="1"/>
  <c r="AE26" i="1"/>
  <c r="AC26" i="1"/>
  <c r="V26" i="1"/>
  <c r="Q26" i="1"/>
  <c r="P26" i="1"/>
  <c r="O26" i="1"/>
  <c r="N26" i="1"/>
  <c r="M26" i="1"/>
  <c r="J26" i="1"/>
  <c r="I26" i="1"/>
  <c r="D26" i="1"/>
  <c r="F26" i="1"/>
  <c r="E26" i="1"/>
  <c r="A26" i="1"/>
  <c r="AB25" i="1"/>
  <c r="AD25" i="1"/>
  <c r="AG25" i="1"/>
  <c r="AE25" i="1"/>
  <c r="AC25" i="1"/>
  <c r="V25" i="1"/>
  <c r="Q25" i="1"/>
  <c r="P25" i="1"/>
  <c r="O25" i="1"/>
  <c r="N25" i="1"/>
  <c r="M25" i="1"/>
  <c r="J25" i="1"/>
  <c r="I25" i="1"/>
  <c r="D25" i="1"/>
  <c r="F25" i="1"/>
  <c r="E25" i="1"/>
  <c r="A25" i="1"/>
  <c r="AB24" i="1"/>
  <c r="AD24" i="1"/>
  <c r="AG24" i="1"/>
  <c r="AE24" i="1"/>
  <c r="AC24" i="1"/>
  <c r="V24" i="1"/>
  <c r="Q24" i="1"/>
  <c r="P24" i="1"/>
  <c r="O24" i="1"/>
  <c r="N24" i="1"/>
  <c r="M24" i="1"/>
  <c r="J24" i="1"/>
  <c r="I24" i="1"/>
  <c r="D24" i="1"/>
  <c r="F24" i="1"/>
  <c r="E24" i="1"/>
  <c r="A24" i="1"/>
  <c r="AB23" i="1"/>
  <c r="AD23" i="1"/>
  <c r="AG23" i="1"/>
  <c r="AE23" i="1"/>
  <c r="AC23" i="1"/>
  <c r="V23" i="1"/>
  <c r="Q23" i="1"/>
  <c r="P23" i="1"/>
  <c r="O23" i="1"/>
  <c r="N23" i="1"/>
  <c r="M23" i="1"/>
  <c r="J23" i="1"/>
  <c r="I23" i="1"/>
  <c r="D23" i="1"/>
  <c r="F23" i="1"/>
  <c r="E23" i="1"/>
  <c r="A23" i="1"/>
  <c r="AB22" i="1"/>
  <c r="AD22" i="1"/>
  <c r="AG22" i="1"/>
  <c r="AE22" i="1"/>
  <c r="AC22" i="1"/>
  <c r="V22" i="1"/>
  <c r="Q22" i="1"/>
  <c r="P22" i="1"/>
  <c r="O22" i="1"/>
  <c r="N22" i="1"/>
  <c r="M22" i="1"/>
  <c r="J22" i="1"/>
  <c r="I22" i="1"/>
  <c r="D22" i="1"/>
  <c r="F22" i="1"/>
  <c r="E22" i="1"/>
  <c r="A22" i="1"/>
  <c r="AB21" i="1"/>
  <c r="AD21" i="1"/>
  <c r="AG21" i="1"/>
  <c r="AE21" i="1"/>
  <c r="AC21" i="1"/>
  <c r="V21" i="1"/>
  <c r="Q21" i="1"/>
  <c r="P21" i="1"/>
  <c r="O21" i="1"/>
  <c r="N21" i="1"/>
  <c r="M21" i="1"/>
  <c r="J21" i="1"/>
  <c r="I21" i="1"/>
  <c r="D21" i="1"/>
  <c r="F21" i="1"/>
  <c r="E21" i="1"/>
  <c r="A21" i="1"/>
  <c r="AB20" i="1"/>
  <c r="AD20" i="1"/>
  <c r="AG20" i="1"/>
  <c r="AE20" i="1"/>
  <c r="AC20" i="1"/>
  <c r="V20" i="1"/>
  <c r="Q20" i="1"/>
  <c r="P20" i="1"/>
  <c r="O20" i="1"/>
  <c r="N20" i="1"/>
  <c r="M20" i="1"/>
  <c r="J20" i="1"/>
  <c r="I20" i="1"/>
  <c r="D20" i="1"/>
  <c r="F20" i="1"/>
  <c r="E20" i="1"/>
  <c r="A20" i="1"/>
  <c r="AB19" i="1"/>
  <c r="AD19" i="1"/>
  <c r="AG19" i="1"/>
  <c r="AE19" i="1"/>
  <c r="AC19" i="1"/>
  <c r="V19" i="1"/>
  <c r="Q19" i="1"/>
  <c r="P19" i="1"/>
  <c r="O19" i="1"/>
  <c r="N19" i="1"/>
  <c r="M19" i="1"/>
  <c r="J19" i="1"/>
  <c r="I19" i="1"/>
  <c r="D19" i="1"/>
  <c r="F19" i="1"/>
  <c r="E19" i="1"/>
  <c r="A19" i="1"/>
  <c r="AB18" i="1"/>
  <c r="AD18" i="1"/>
  <c r="AG18" i="1"/>
  <c r="AE18" i="1"/>
  <c r="AC18" i="1"/>
  <c r="V18" i="1"/>
  <c r="Q18" i="1"/>
  <c r="P18" i="1"/>
  <c r="O18" i="1"/>
  <c r="N18" i="1"/>
  <c r="M18" i="1"/>
  <c r="J18" i="1"/>
  <c r="I18" i="1"/>
  <c r="D18" i="1"/>
  <c r="F18" i="1"/>
  <c r="E18" i="1"/>
  <c r="A18" i="1"/>
  <c r="AB17" i="1"/>
  <c r="AD17" i="1"/>
  <c r="AG17" i="1"/>
  <c r="AE17" i="1"/>
  <c r="AC17" i="1"/>
  <c r="V17" i="1"/>
  <c r="Q17" i="1"/>
  <c r="P17" i="1"/>
  <c r="O17" i="1"/>
  <c r="N17" i="1"/>
  <c r="M17" i="1"/>
  <c r="J17" i="1"/>
  <c r="I17" i="1"/>
  <c r="D17" i="1"/>
  <c r="F17" i="1"/>
  <c r="E17" i="1"/>
  <c r="A17" i="1"/>
  <c r="AB16" i="1"/>
  <c r="AD16" i="1"/>
  <c r="AG16" i="1"/>
  <c r="AE16" i="1"/>
  <c r="AC16" i="1"/>
  <c r="V16" i="1"/>
  <c r="Q16" i="1"/>
  <c r="P16" i="1"/>
  <c r="O16" i="1"/>
  <c r="N16" i="1"/>
  <c r="M16" i="1"/>
  <c r="J16" i="1"/>
  <c r="I16" i="1"/>
  <c r="D16" i="1"/>
  <c r="F16" i="1"/>
  <c r="E16" i="1"/>
  <c r="A16" i="1"/>
  <c r="AB15" i="1"/>
  <c r="AD15" i="1"/>
  <c r="AG15" i="1"/>
  <c r="AE15" i="1"/>
  <c r="AC15" i="1"/>
  <c r="V15" i="1"/>
  <c r="Q15" i="1"/>
  <c r="P15" i="1"/>
  <c r="O15" i="1"/>
  <c r="N15" i="1"/>
  <c r="M15" i="1"/>
  <c r="J15" i="1"/>
  <c r="I15" i="1"/>
  <c r="D15" i="1"/>
  <c r="F15" i="1"/>
  <c r="E15" i="1"/>
  <c r="A15" i="1"/>
  <c r="V4" i="1"/>
  <c r="V3" i="1"/>
  <c r="E2" i="9"/>
  <c r="E3" i="9"/>
  <c r="K2" i="11"/>
  <c r="P3" i="9"/>
  <c r="J2" i="11"/>
  <c r="O3" i="9"/>
  <c r="N3" i="9"/>
  <c r="M3" i="9"/>
  <c r="L3" i="9"/>
  <c r="K3" i="9"/>
  <c r="J3" i="9"/>
  <c r="I3" i="9"/>
  <c r="H3" i="9"/>
  <c r="G3" i="9"/>
  <c r="D3" i="9"/>
  <c r="A3" i="9"/>
  <c r="P4" i="9"/>
  <c r="O4" i="9"/>
  <c r="N4" i="9"/>
  <c r="M4" i="9"/>
  <c r="L4" i="9"/>
  <c r="K4" i="9"/>
  <c r="J4" i="9"/>
  <c r="I4" i="9"/>
  <c r="H4" i="9"/>
  <c r="G4" i="9"/>
  <c r="D4" i="9"/>
  <c r="A4" i="9"/>
  <c r="V14" i="1"/>
  <c r="V10" i="1"/>
  <c r="P6" i="9"/>
  <c r="O6" i="9"/>
  <c r="N6" i="9"/>
  <c r="M6" i="9"/>
  <c r="L6" i="9"/>
  <c r="K6" i="9"/>
  <c r="J6" i="9"/>
  <c r="I6" i="9"/>
  <c r="H6" i="9"/>
  <c r="G6" i="9"/>
  <c r="D6" i="9"/>
  <c r="A6" i="9"/>
  <c r="P5" i="9"/>
  <c r="O5" i="9"/>
  <c r="N5" i="9"/>
  <c r="M5" i="9"/>
  <c r="L5" i="9"/>
  <c r="K5" i="9"/>
  <c r="J5" i="9"/>
  <c r="I5" i="9"/>
  <c r="H5" i="9"/>
  <c r="G5" i="9"/>
  <c r="D5" i="9"/>
  <c r="A5" i="9"/>
  <c r="V6" i="1"/>
  <c r="V5" i="1"/>
  <c r="AE5" i="1"/>
  <c r="AC5" i="1"/>
  <c r="Q5" i="1"/>
  <c r="P5" i="1"/>
  <c r="O5" i="1"/>
  <c r="N5" i="1"/>
  <c r="M5" i="1"/>
  <c r="J5" i="1"/>
  <c r="I5" i="1"/>
  <c r="D5" i="1"/>
  <c r="F5" i="1"/>
  <c r="E5" i="1"/>
  <c r="A5" i="1"/>
  <c r="AE3" i="1"/>
  <c r="AC3" i="1"/>
  <c r="Q3" i="1"/>
  <c r="P3" i="1"/>
  <c r="O3" i="1"/>
  <c r="N3" i="1"/>
  <c r="M3" i="1"/>
  <c r="J3" i="1"/>
  <c r="I3" i="1"/>
  <c r="D3" i="1"/>
  <c r="F3" i="1"/>
  <c r="E3" i="1"/>
  <c r="A3" i="1"/>
  <c r="AE4" i="1"/>
  <c r="AC4" i="1"/>
  <c r="Q4" i="1"/>
  <c r="P4" i="1"/>
  <c r="O4" i="1"/>
  <c r="N4" i="1"/>
  <c r="M4" i="1"/>
  <c r="J4" i="1"/>
  <c r="I4" i="1"/>
  <c r="D4" i="1"/>
  <c r="F4" i="1"/>
  <c r="E4" i="1"/>
  <c r="A4" i="1"/>
  <c r="N5" i="12"/>
  <c r="N4" i="12"/>
  <c r="N3" i="12"/>
  <c r="N2" i="12"/>
  <c r="M5" i="12"/>
  <c r="M4" i="12"/>
  <c r="M3" i="12"/>
  <c r="M2" i="12"/>
  <c r="K4" i="12"/>
  <c r="K5" i="12"/>
  <c r="AE12" i="1"/>
  <c r="AC12" i="1"/>
  <c r="V12" i="1"/>
  <c r="Q12" i="1"/>
  <c r="P12" i="1"/>
  <c r="O12" i="1"/>
  <c r="N12" i="1"/>
  <c r="M12" i="1"/>
  <c r="J12" i="1"/>
  <c r="I12" i="1"/>
  <c r="D12" i="1"/>
  <c r="F12" i="1"/>
  <c r="E12" i="1"/>
  <c r="A12" i="1"/>
  <c r="V7" i="1"/>
  <c r="V8" i="1"/>
  <c r="V9" i="1"/>
  <c r="AE11" i="1"/>
  <c r="AC11" i="1"/>
  <c r="V11" i="1"/>
  <c r="Q11" i="1"/>
  <c r="P11" i="1"/>
  <c r="O11" i="1"/>
  <c r="N11" i="1"/>
  <c r="M11" i="1"/>
  <c r="J11" i="1"/>
  <c r="I11" i="1"/>
  <c r="D11" i="1"/>
  <c r="F11" i="1"/>
  <c r="E11" i="1"/>
  <c r="A11" i="1"/>
  <c r="V13" i="1"/>
  <c r="AE13" i="1"/>
  <c r="AC13" i="1"/>
  <c r="Q13" i="1"/>
  <c r="P13" i="1"/>
  <c r="O13" i="1"/>
  <c r="N13" i="1"/>
  <c r="M13" i="1"/>
  <c r="J13" i="1"/>
  <c r="I13" i="1"/>
  <c r="D13" i="1"/>
  <c r="F13" i="1"/>
  <c r="E13" i="1"/>
  <c r="A13" i="1"/>
  <c r="AE6" i="1"/>
  <c r="AC6" i="1"/>
  <c r="Q6" i="1"/>
  <c r="P6" i="1"/>
  <c r="O6" i="1"/>
  <c r="N6" i="1"/>
  <c r="M6" i="1"/>
  <c r="J6" i="1"/>
  <c r="I6" i="1"/>
  <c r="D6" i="1"/>
  <c r="F6" i="1"/>
  <c r="E6" i="1"/>
  <c r="A6" i="1"/>
  <c r="C11" i="7"/>
  <c r="E11" i="7"/>
  <c r="C10" i="7"/>
  <c r="E10" i="7"/>
  <c r="C9" i="7"/>
  <c r="E9" i="7"/>
  <c r="P2" i="14"/>
  <c r="J2" i="14"/>
  <c r="K2" i="14"/>
  <c r="H2" i="14"/>
  <c r="G2" i="14"/>
  <c r="E2" i="14"/>
  <c r="D2" i="14"/>
  <c r="A2" i="14"/>
  <c r="C2" i="13"/>
  <c r="D2" i="13"/>
  <c r="C3" i="7"/>
  <c r="C4" i="7"/>
  <c r="C5" i="7"/>
  <c r="C6" i="7"/>
  <c r="C7" i="7"/>
  <c r="C8" i="7"/>
  <c r="O5" i="12"/>
  <c r="O4" i="12"/>
  <c r="O3" i="12"/>
  <c r="O2" i="12"/>
  <c r="Y5" i="8"/>
  <c r="X5" i="8"/>
  <c r="R5" i="8"/>
  <c r="Q5" i="8"/>
  <c r="P5" i="8"/>
  <c r="O5" i="8"/>
  <c r="N5" i="8"/>
  <c r="H5" i="8"/>
  <c r="J5" i="8"/>
  <c r="I5" i="8"/>
  <c r="D5" i="8"/>
  <c r="F5" i="8"/>
  <c r="E5" i="8"/>
  <c r="A5" i="8"/>
  <c r="O2" i="9"/>
  <c r="P2" i="9"/>
  <c r="N2" i="9"/>
  <c r="M2" i="9"/>
  <c r="L2" i="9"/>
  <c r="K2" i="9"/>
  <c r="J2" i="9"/>
  <c r="I2" i="9"/>
  <c r="H2" i="9"/>
  <c r="G2" i="9"/>
  <c r="D2" i="9"/>
  <c r="X4" i="8"/>
  <c r="X3" i="8"/>
  <c r="X2" i="8"/>
  <c r="R4" i="8"/>
  <c r="Q4" i="8"/>
  <c r="P4" i="8"/>
  <c r="O4" i="8"/>
  <c r="N4" i="8"/>
  <c r="H4" i="8"/>
  <c r="J4" i="8"/>
  <c r="I4" i="8"/>
  <c r="D4" i="8"/>
  <c r="F4" i="8"/>
  <c r="E4" i="8"/>
  <c r="A4" i="8"/>
  <c r="R3" i="8"/>
  <c r="Q3" i="8"/>
  <c r="P3" i="8"/>
  <c r="O3" i="8"/>
  <c r="N3" i="8"/>
  <c r="H3" i="8"/>
  <c r="J3" i="8"/>
  <c r="I3" i="8"/>
  <c r="D3" i="8"/>
  <c r="F3" i="8"/>
  <c r="E3" i="8"/>
  <c r="A3" i="8"/>
  <c r="AE8" i="1"/>
  <c r="AC8" i="1"/>
  <c r="Q8" i="1"/>
  <c r="P8" i="1"/>
  <c r="O8" i="1"/>
  <c r="N8" i="1"/>
  <c r="M8" i="1"/>
  <c r="J8" i="1"/>
  <c r="I8" i="1"/>
  <c r="D8" i="1"/>
  <c r="F8" i="1"/>
  <c r="E8" i="1"/>
  <c r="A8" i="1"/>
  <c r="AE9" i="1"/>
  <c r="AC9" i="1"/>
  <c r="Q9" i="1"/>
  <c r="P9" i="1"/>
  <c r="O9" i="1"/>
  <c r="N9" i="1"/>
  <c r="M9" i="1"/>
  <c r="J9" i="1"/>
  <c r="I9" i="1"/>
  <c r="D9" i="1"/>
  <c r="F9" i="1"/>
  <c r="E9" i="1"/>
  <c r="A9" i="1"/>
  <c r="AE14" i="1"/>
  <c r="AC14" i="1"/>
  <c r="Q14" i="1"/>
  <c r="P14" i="1"/>
  <c r="O14" i="1"/>
  <c r="N14" i="1"/>
  <c r="M14" i="1"/>
  <c r="J14" i="1"/>
  <c r="I14" i="1"/>
  <c r="D14" i="1"/>
  <c r="F14" i="1"/>
  <c r="E14" i="1"/>
  <c r="A14" i="1"/>
  <c r="AE10" i="1"/>
  <c r="AC10" i="1"/>
  <c r="Q10" i="1"/>
  <c r="P10" i="1"/>
  <c r="O10" i="1"/>
  <c r="N10" i="1"/>
  <c r="M10" i="1"/>
  <c r="J10" i="1"/>
  <c r="I10" i="1"/>
  <c r="D10" i="1"/>
  <c r="F10" i="1"/>
  <c r="E10" i="1"/>
  <c r="A10" i="1"/>
  <c r="AE2" i="1"/>
  <c r="AC2" i="1"/>
  <c r="Q2" i="1"/>
  <c r="P2" i="1"/>
  <c r="O2" i="1"/>
  <c r="N2" i="1"/>
  <c r="M2" i="1"/>
  <c r="J2" i="1"/>
  <c r="I2" i="1"/>
  <c r="D2" i="1"/>
  <c r="F2" i="1"/>
  <c r="E2" i="1"/>
  <c r="A2" i="1"/>
  <c r="AE7" i="1"/>
  <c r="AC7" i="1"/>
  <c r="Q7" i="1"/>
  <c r="P7" i="1"/>
  <c r="O7" i="1"/>
  <c r="N7" i="1"/>
  <c r="M7" i="1"/>
  <c r="J7" i="1"/>
  <c r="I7" i="1"/>
  <c r="D7" i="1"/>
  <c r="F7" i="1"/>
  <c r="E7" i="1"/>
  <c r="A7" i="1"/>
  <c r="H2" i="8"/>
  <c r="J2" i="8"/>
  <c r="I2" i="8"/>
  <c r="E2" i="8"/>
  <c r="D2" i="8"/>
  <c r="F2" i="8"/>
  <c r="P2" i="8"/>
  <c r="R2" i="8"/>
  <c r="Q2" i="8"/>
  <c r="O2" i="8"/>
  <c r="N2" i="8"/>
  <c r="A2" i="9"/>
  <c r="A2" i="8"/>
  <c r="E8" i="7"/>
  <c r="E7" i="7"/>
  <c r="E6" i="7"/>
  <c r="E5" i="7"/>
  <c r="E4" i="7"/>
  <c r="E3" i="7"/>
  <c r="E2" i="7"/>
  <c r="V2" i="1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P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K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<sst xmlns="http://schemas.openxmlformats.org/spreadsheetml/2006/main" count="504" uniqueCount="231">
  <si>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</si>
  <si>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</si>
  <si>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</si>
  <si>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</si>
  <si>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</si>
  <si>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</si>
  <si>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</si>
  <si>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</si>
  <si>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</si>
  <si>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</si>
  <si>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</si>
  <si>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</si>
  <si>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</si>
  <si>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</si>
  <si>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</si>
  <si>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</si>
  <si>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</si>
  <si>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</si>
  <si>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</si>
  <si>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</si>
  <si>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</si>
  <si>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</si>
  <si>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</si>
  <si>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</si>
  <si>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</si>
  <si>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</si>
  <si>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</si>
  <si>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</si>
  <si>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</si>
  <si>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</si>
  <si>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</si>
  <si>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</si>
  <si>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</si>
  <si>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</si>
  <si>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</si>
  <si>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</si>
  <si>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</si>
  <si>
    <t>hp_plus</t>
    <phoneticPr fontId="4"/>
  </si>
  <si>
    <t>attack_plus</t>
  </si>
  <si>
    <t>attack_plus</t>
    <phoneticPr fontId="4"/>
  </si>
  <si>
    <t>defense_plus</t>
  </si>
  <si>
    <t>defense_plus</t>
    <phoneticPr fontId="4"/>
  </si>
  <si>
    <t>heal_plus</t>
  </si>
  <si>
    <t>heal_plus</t>
    <phoneticPr fontId="4"/>
  </si>
  <si>
    <t>bug</t>
  </si>
  <si>
    <t>bug</t>
    <phoneticPr fontId="4"/>
  </si>
  <si>
    <t>drop_label</t>
    <phoneticPr fontId="4"/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</si>
  <si>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</si>
  <si>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</si>
  <si>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</si>
  <si>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</si>
  <si>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</si>
  <si>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</si>
  <si>
    <t>出力flg</t>
    <rPh sb="0" eb="2">
      <t>シュツリョク</t>
    </rPh>
    <phoneticPr fontId="4"/>
  </si>
  <si>
    <t>接頭語</t>
    <rPh sb="0" eb="3">
      <t>セットウゴ</t>
    </rPh>
    <phoneticPr fontId="4"/>
  </si>
  <si>
    <t>識別子</t>
    <rPh sb="0" eb="3">
      <t>シキベツシ</t>
    </rPh>
    <phoneticPr fontId="4"/>
  </si>
  <si>
    <t>形式</t>
    <rPh sb="0" eb="2">
      <t>ケイシキ</t>
    </rPh>
    <phoneticPr fontId="4"/>
  </si>
  <si>
    <t>出力ファイル名</t>
    <rPh sb="0" eb="2">
      <t>シュツリョク</t>
    </rPh>
    <rPh sb="6" eb="7">
      <t>メイ</t>
    </rPh>
    <phoneticPr fontId="4"/>
  </si>
  <si>
    <t>入力シート名</t>
    <rPh sb="0" eb="2">
      <t>ニュウリョク</t>
    </rPh>
    <rPh sb="5" eb="6">
      <t>メイ</t>
    </rPh>
    <phoneticPr fontId="4"/>
  </si>
  <si>
    <t>出力データ</t>
    <rPh sb="0" eb="2">
      <t>シュツリョク</t>
    </rPh>
    <phoneticPr fontId="4"/>
  </si>
  <si>
    <t>floors_</t>
    <phoneticPr fontId="4"/>
  </si>
  <si>
    <t>.tmp</t>
    <phoneticPr fontId="4"/>
  </si>
  <si>
    <t>floors</t>
    <phoneticPr fontId="4"/>
  </si>
  <si>
    <t>enemy_habitats_</t>
    <phoneticPr fontId="4"/>
  </si>
  <si>
    <t>enemy_habitats</t>
    <phoneticPr fontId="4"/>
  </si>
  <si>
    <t>seq_no</t>
    <phoneticPr fontId="4"/>
  </si>
  <si>
    <t>enemy_habitat_S_</t>
    <phoneticPr fontId="4"/>
  </si>
  <si>
    <t>enemy_habitat_S</t>
    <phoneticPr fontId="4"/>
  </si>
  <si>
    <t>state_no</t>
    <phoneticPr fontId="4"/>
  </si>
  <si>
    <t>character_id</t>
    <phoneticPr fontId="4"/>
  </si>
  <si>
    <t>level</t>
    <phoneticPr fontId="4"/>
  </si>
  <si>
    <t>speed</t>
    <phoneticPr fontId="4"/>
  </si>
  <si>
    <t>skill_set_id</t>
    <phoneticPr fontId="4"/>
  </si>
  <si>
    <t>enemy_skill_sets_</t>
    <phoneticPr fontId="4"/>
  </si>
  <si>
    <t>.tmp</t>
    <phoneticPr fontId="4"/>
  </si>
  <si>
    <t>enemy_skill_sets</t>
    <phoneticPr fontId="4"/>
  </si>
  <si>
    <t>skill_id</t>
  </si>
  <si>
    <t>skill_trigger_id</t>
  </si>
  <si>
    <t>enemy_skills_tmp_</t>
    <phoneticPr fontId="4"/>
  </si>
  <si>
    <t>.tmp</t>
    <phoneticPr fontId="4"/>
  </si>
  <si>
    <t>enemy_skills</t>
    <phoneticPr fontId="4"/>
  </si>
  <si>
    <t>enemy_skill_id</t>
  </si>
  <si>
    <t>effect_param</t>
    <phoneticPr fontId="4"/>
  </si>
  <si>
    <t>valid_flg</t>
  </si>
  <si>
    <t>enemy_skills_i18n_</t>
    <phoneticPr fontId="4"/>
  </si>
  <si>
    <t>.tmp</t>
    <phoneticPr fontId="4"/>
  </si>
  <si>
    <t>enemy_skills</t>
    <phoneticPr fontId="4"/>
  </si>
  <si>
    <t>language</t>
  </si>
  <si>
    <t>name</t>
  </si>
  <si>
    <t>comment</t>
  </si>
  <si>
    <t>enemy_skill_triggers_</t>
    <phoneticPr fontId="4"/>
  </si>
  <si>
    <t>.tmp</t>
    <phoneticPr fontId="4"/>
  </si>
  <si>
    <t>enemy_skill_triggers</t>
    <phoneticPr fontId="4"/>
  </si>
  <si>
    <t>first_time</t>
  </si>
  <si>
    <t>invoke_rate</t>
  </si>
  <si>
    <t>hp_threshold</t>
  </si>
  <si>
    <t>hp_termination</t>
    <phoneticPr fontId="4"/>
  </si>
  <si>
    <t>invoke_times</t>
  </si>
  <si>
    <t>invoke_weight</t>
    <phoneticPr fontId="4"/>
  </si>
  <si>
    <t>every_time_count</t>
    <phoneticPr fontId="4"/>
  </si>
  <si>
    <t>neighbor_dead_id</t>
    <phoneticPr fontId="4"/>
  </si>
  <si>
    <t>priority</t>
    <phoneticPr fontId="4"/>
  </si>
  <si>
    <t>temp_habitats</t>
    <phoneticPr fontId="4"/>
  </si>
  <si>
    <t>temp_stage</t>
    <phoneticPr fontId="4"/>
  </si>
  <si>
    <t>name</t>
    <phoneticPr fontId="4"/>
  </si>
  <si>
    <t>name</t>
    <phoneticPr fontId="4"/>
  </si>
  <si>
    <t>floor_id</t>
    <phoneticPr fontId="4"/>
  </si>
  <si>
    <t>temp_floor</t>
    <phoneticPr fontId="4"/>
  </si>
  <si>
    <t>seq_no</t>
    <phoneticPr fontId="4"/>
  </si>
  <si>
    <t>state_no</t>
    <phoneticPr fontId="4"/>
  </si>
  <si>
    <t>color</t>
    <phoneticPr fontId="4"/>
  </si>
  <si>
    <t>drop_label</t>
    <phoneticPr fontId="4"/>
  </si>
  <si>
    <t>character_main_tribe_id</t>
    <phoneticPr fontId="4"/>
  </si>
  <si>
    <t>temp_id</t>
    <phoneticPr fontId="4"/>
  </si>
  <si>
    <t>skill_set_id</t>
    <phoneticPr fontId="6"/>
  </si>
  <si>
    <t>skill_id</t>
    <phoneticPr fontId="6"/>
  </si>
  <si>
    <t>name</t>
    <phoneticPr fontId="6"/>
  </si>
  <si>
    <t>comment</t>
    <phoneticPr fontId="6"/>
  </si>
  <si>
    <t>skill_trigger_id</t>
    <phoneticPr fontId="6"/>
  </si>
  <si>
    <t>first_time</t>
    <phoneticPr fontId="4"/>
  </si>
  <si>
    <t>invoke_rate</t>
    <phoneticPr fontId="4"/>
  </si>
  <si>
    <t>hp_threshold</t>
    <phoneticPr fontId="4"/>
  </si>
  <si>
    <t>hp_termination</t>
    <phoneticPr fontId="4"/>
  </si>
  <si>
    <t>invoke_times</t>
    <phoneticPr fontId="4"/>
  </si>
  <si>
    <t>every_time_count</t>
    <phoneticPr fontId="4"/>
  </si>
  <si>
    <t>neighbor_dead_id</t>
    <phoneticPr fontId="4"/>
  </si>
  <si>
    <t>invoke_weight</t>
    <phoneticPr fontId="4"/>
  </si>
  <si>
    <t>作成者</t>
    <rPh sb="0" eb="3">
      <t>サクセイシャ</t>
    </rPh>
    <phoneticPr fontId="4"/>
  </si>
  <si>
    <t>更新日</t>
    <rPh sb="0" eb="3">
      <t>コウシンニチジ</t>
    </rPh>
    <phoneticPr fontId="4"/>
  </si>
  <si>
    <t>備考（使用箇所）</t>
    <rPh sb="0" eb="2">
      <t>ビコウ</t>
    </rPh>
    <rPh sb="3" eb="7">
      <t>シヨウカショ</t>
    </rPh>
    <phoneticPr fontId="4"/>
  </si>
  <si>
    <t>effect_param</t>
    <phoneticPr fontId="4"/>
  </si>
  <si>
    <t>language</t>
    <phoneticPr fontId="4"/>
  </si>
  <si>
    <t>name</t>
    <phoneticPr fontId="6"/>
  </si>
  <si>
    <t>comment</t>
    <phoneticPr fontId="6"/>
  </si>
  <si>
    <t>ja</t>
    <phoneticPr fontId="4"/>
  </si>
  <si>
    <t>skill_trigger_id</t>
    <phoneticPr fontId="6"/>
  </si>
  <si>
    <t>first_time</t>
    <phoneticPr fontId="4"/>
  </si>
  <si>
    <t>hp_threshold</t>
    <phoneticPr fontId="4"/>
  </si>
  <si>
    <t>hp_termination</t>
    <phoneticPr fontId="4"/>
  </si>
  <si>
    <t>invoke_times</t>
    <phoneticPr fontId="4"/>
  </si>
  <si>
    <t>every_time_count</t>
    <phoneticPr fontId="4"/>
  </si>
  <si>
    <t>invoke_weight</t>
    <phoneticPr fontId="4"/>
  </si>
  <si>
    <t>null</t>
    <phoneticPr fontId="4"/>
  </si>
  <si>
    <t>seq_no</t>
    <phoneticPr fontId="4"/>
  </si>
  <si>
    <t>null</t>
    <phoneticPr fontId="4"/>
  </si>
  <si>
    <t>吉澤</t>
    <rPh sb="0" eb="2">
      <t>ヨシザワ</t>
    </rPh>
    <phoneticPr fontId="4"/>
  </si>
  <si>
    <t>name</t>
    <phoneticPr fontId="4"/>
  </si>
  <si>
    <t>ピヨピヨ</t>
    <phoneticPr fontId="4"/>
  </si>
  <si>
    <t>チック</t>
    <phoneticPr fontId="4"/>
  </si>
  <si>
    <t>ダック</t>
    <phoneticPr fontId="4"/>
  </si>
  <si>
    <t>ジェントル</t>
    <phoneticPr fontId="4"/>
  </si>
  <si>
    <t>Lv.</t>
    <phoneticPr fontId="4"/>
  </si>
  <si>
    <t>HP</t>
    <phoneticPr fontId="4"/>
  </si>
  <si>
    <t>Attack</t>
    <phoneticPr fontId="4"/>
  </si>
  <si>
    <t>Defense</t>
    <phoneticPr fontId="4"/>
  </si>
  <si>
    <t>Speed</t>
    <phoneticPr fontId="4"/>
  </si>
  <si>
    <t>quest_id</t>
    <phoneticPr fontId="4"/>
  </si>
  <si>
    <t>stage_id</t>
    <phoneticPr fontId="4"/>
  </si>
  <si>
    <t>temp_stage</t>
    <phoneticPr fontId="6"/>
  </si>
  <si>
    <t>stage_target</t>
    <phoneticPr fontId="4"/>
  </si>
  <si>
    <t>bonus_id</t>
    <phoneticPr fontId="4"/>
  </si>
  <si>
    <t>bonus_type</t>
    <phoneticPr fontId="4"/>
  </si>
  <si>
    <t>bonus_value</t>
    <phoneticPr fontId="4"/>
  </si>
  <si>
    <t>bonus_count</t>
    <phoneticPr fontId="4"/>
  </si>
  <si>
    <t>skill_level</t>
    <phoneticPr fontId="4"/>
  </si>
  <si>
    <t>weight</t>
    <phoneticPr fontId="4"/>
  </si>
  <si>
    <t>definite_start_date</t>
    <phoneticPr fontId="4"/>
  </si>
  <si>
    <t>definite_end_date</t>
    <phoneticPr fontId="4"/>
  </si>
  <si>
    <t>unit</t>
  </si>
  <si>
    <t>2015-03-27 00:00:00</t>
  </si>
  <si>
    <t>2970-01-01 09:00:00</t>
  </si>
  <si>
    <t>temp_id</t>
    <phoneticPr fontId="4"/>
  </si>
  <si>
    <t>hint_type</t>
    <phoneticPr fontId="4"/>
  </si>
  <si>
    <t>quest_id</t>
    <phoneticPr fontId="4"/>
  </si>
  <si>
    <t>name</t>
    <phoneticPr fontId="4"/>
  </si>
  <si>
    <t>stage_id</t>
    <phoneticPr fontId="4"/>
  </si>
  <si>
    <t>name</t>
    <phoneticPr fontId="4"/>
  </si>
  <si>
    <t>floor_id</t>
    <phoneticPr fontId="4"/>
  </si>
  <si>
    <t>tmp_hint_id</t>
    <phoneticPr fontId="4"/>
  </si>
  <si>
    <t>hint_id</t>
    <phoneticPr fontId="4"/>
  </si>
  <si>
    <t>language</t>
    <phoneticPr fontId="4"/>
  </si>
  <si>
    <t>title</t>
    <phoneticPr fontId="4"/>
  </si>
  <si>
    <t>hint</t>
    <phoneticPr fontId="4"/>
  </si>
  <si>
    <t>filename</t>
    <phoneticPr fontId="4"/>
  </si>
  <si>
    <t>complete</t>
  </si>
  <si>
    <t>ja</t>
    <phoneticPr fontId="4"/>
  </si>
  <si>
    <t>NULL</t>
    <phoneticPr fontId="4"/>
  </si>
  <si>
    <t>stage_bug_bonuses_</t>
    <phoneticPr fontId="4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</si>
  <si>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4"/>
  </si>
  <si>
    <t>bugbonuses</t>
    <phoneticPr fontId="4"/>
  </si>
  <si>
    <t>stage_id</t>
    <phoneticPr fontId="4"/>
  </si>
  <si>
    <t>stage_target</t>
    <phoneticPr fontId="4"/>
  </si>
  <si>
    <t>bonus_id</t>
    <phoneticPr fontId="4"/>
  </si>
  <si>
    <t>bonus_type</t>
    <phoneticPr fontId="4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</si>
  <si>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4"/>
  </si>
  <si>
    <t>stage_hints</t>
  </si>
  <si>
    <t>hint_id</t>
    <phoneticPr fontId="4"/>
  </si>
  <si>
    <t>floor_id</t>
    <phoneticPr fontId="4"/>
  </si>
  <si>
    <t>hint_type</t>
    <phoneticPr fontId="4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</si>
  <si>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4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</si>
  <si>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4"/>
  </si>
  <si>
    <t>hint_id</t>
    <phoneticPr fontId="4"/>
  </si>
  <si>
    <t>language</t>
    <phoneticPr fontId="4"/>
  </si>
  <si>
    <t>hint</t>
    <phoneticPr fontId="4"/>
  </si>
  <si>
    <t>filename</t>
  </si>
  <si>
    <t>title</t>
    <phoneticPr fontId="4"/>
  </si>
  <si>
    <t>old</t>
    <phoneticPr fontId="4"/>
  </si>
  <si>
    <t>skip</t>
    <phoneticPr fontId="4"/>
  </si>
  <si>
    <t>lockexp</t>
    <phoneticPr fontId="4"/>
  </si>
  <si>
    <t>[effect:nothing]</t>
    <phoneticPr fontId="4"/>
  </si>
  <si>
    <t>出番 間違えたグヮ！？</t>
    <rPh sb="0" eb="2">
      <t>デバン</t>
    </rPh>
    <rPh sb="3" eb="5">
      <t>マチガ</t>
    </rPh>
    <phoneticPr fontId="4"/>
  </si>
  <si>
    <t>なんと ジェントルがあらわれた！</t>
    <phoneticPr fontId="4"/>
  </si>
  <si>
    <t>null</t>
    <phoneticPr fontId="4"/>
  </si>
  <si>
    <t>出番 早すぎたグヮ！？</t>
    <rPh sb="0" eb="2">
      <t>デバン</t>
    </rPh>
    <rPh sb="3" eb="4">
      <t>ハヤ</t>
    </rPh>
    <phoneticPr fontId="4"/>
  </si>
  <si>
    <t>メタルファミリーが あらわれた！</t>
    <phoneticPr fontId="4"/>
  </si>
  <si>
    <t>いらっしゃいませ！</t>
    <phoneticPr fontId="4"/>
  </si>
  <si>
    <t>チックが お出迎えした！</t>
    <rPh sb="6" eb="8">
      <t>デムカ</t>
    </rPh>
    <phoneticPr fontId="4"/>
  </si>
  <si>
    <t>ゆっくりしていくクヮ</t>
    <phoneticPr fontId="4"/>
  </si>
  <si>
    <t>ダックが お出迎えした！</t>
    <rPh sb="6" eb="8">
      <t>デムカ</t>
    </rPh>
    <phoneticPr fontId="4"/>
  </si>
  <si>
    <t>よく来たグワッ！</t>
    <rPh sb="2" eb="3">
      <t>キ</t>
    </rPh>
    <phoneticPr fontId="4"/>
  </si>
  <si>
    <t>ja</t>
    <phoneticPr fontId="4"/>
  </si>
  <si>
    <t>NULL</t>
    <phoneticPr fontId="4"/>
  </si>
  <si>
    <t>１２３４５６７８９０１２３４５６７８９０</t>
    <phoneticPr fontId="4"/>
  </si>
  <si>
    <t>１２３４５６７８９０１２３４５６７８９０</t>
    <phoneticPr fontId="4"/>
  </si>
  <si>
    <t>あわてんぼうの紳士</t>
    <rPh sb="7" eb="9">
      <t>シンシ</t>
    </rPh>
    <phoneticPr fontId="4"/>
  </si>
  <si>
    <t>ステージの最後に待ち構える
ファミリーの長 ジェントルは
たまに出番を間違えます</t>
    <rPh sb="5" eb="7">
      <t>サイゴ</t>
    </rPh>
    <rPh sb="8" eb="9">
      <t>マ</t>
    </rPh>
    <rPh sb="10" eb="11">
      <t>カマ</t>
    </rPh>
    <rPh sb="20" eb="21">
      <t>オサ</t>
    </rPh>
    <rPh sb="32" eb="34">
      <t>デバン</t>
    </rPh>
    <rPh sb="35" eb="37">
      <t>マチガ</t>
    </rPh>
    <phoneticPr fontId="4"/>
  </si>
  <si>
    <t>ソロプレイのロッククエスト</t>
    <phoneticPr fontId="4"/>
  </si>
  <si>
    <t>LINEマルチのロッククエスト</t>
    <phoneticPr fontId="4"/>
  </si>
  <si>
    <t>multionly</t>
    <phoneticPr fontId="4"/>
  </si>
  <si>
    <t>いつでも遊べるロッククエストは
ソロの場合 1日5回プレイできます</t>
    <rPh sb="4" eb="5">
      <t>アソ</t>
    </rPh>
    <rPh sb="19" eb="21">
      <t>バアイ</t>
    </rPh>
    <rPh sb="23" eb="24">
      <t>ニチ</t>
    </rPh>
    <rPh sb="25" eb="26">
      <t>カイ</t>
    </rPh>
    <phoneticPr fontId="4"/>
  </si>
  <si>
    <t>いつでも遊べるロッククエストは
LINEマルチの場合 1日5回プレイできます
マルチプレイに参加する場合
回数制限はありません</t>
    <rPh sb="4" eb="5">
      <t>アソ</t>
    </rPh>
    <rPh sb="24" eb="26">
      <t>バアイ</t>
    </rPh>
    <rPh sb="28" eb="29">
      <t>ニチ</t>
    </rPh>
    <rPh sb="30" eb="31">
      <t>カイ</t>
    </rPh>
    <rPh sb="47" eb="49">
      <t>サンカ</t>
    </rPh>
    <rPh sb="51" eb="53">
      <t>バアイ</t>
    </rPh>
    <rPh sb="54" eb="56">
      <t>カイスウ</t>
    </rPh>
    <rPh sb="56" eb="58">
      <t>カイスウセイゲン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</si>
</sst>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0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2"/>
      <color indexed="52"/>
      <name val="ＭＳ Ｐゴシック"/>
      <family val="3"/>
      <charset val="128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indexed="2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2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2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1556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>
      <alignment vertical="center"/>
    </xf>
    <xf numFmtId="0" fontId="16" fillId="0" borderId="0"/>
    <xf numFmtId="38" fontId="17" fillId="0" borderId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0" borderId="0"/>
    <xf numFmtId="0" fontId="21" fillId="0" borderId="0">
      <alignment vertical="center"/>
    </xf>
    <xf numFmtId="0" fontId="22" fillId="12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1" fillId="0" borderId="0"/>
    <xf numFmtId="38" fontId="1" fillId="0" borderId="0" applyFont="0" applyFill="0" applyBorder="0" applyAlignment="0" applyProtection="0">
      <alignment vertical="center"/>
    </xf>
    <xf numFmtId="0" fontId="31" fillId="18" borderId="12" applyNumberFormat="0" applyAlignment="0" applyProtection="0"/>
    <xf numFmtId="0" fontId="32" fillId="19" borderId="0" applyNumberFormat="0" applyBorder="0" applyAlignment="0" applyProtection="0"/>
    <xf numFmtId="0" fontId="33" fillId="20" borderId="13" applyNumberFormat="0" applyAlignment="0" applyProtection="0"/>
    <xf numFmtId="0" fontId="34" fillId="0" borderId="0" applyNumberFormat="0" applyFill="0" applyBorder="0" applyAlignment="0" applyProtection="0"/>
    <xf numFmtId="0" fontId="35" fillId="21" borderId="0" applyNumberFormat="0" applyBorder="0" applyAlignment="0" applyProtection="0"/>
    <xf numFmtId="0" fontId="36" fillId="22" borderId="14" applyNumberFormat="0" applyAlignment="0" applyProtection="0"/>
    <xf numFmtId="0" fontId="37" fillId="0" borderId="0" applyNumberFormat="0" applyFill="0" applyBorder="0" applyAlignment="0" applyProtection="0"/>
    <xf numFmtId="0" fontId="38" fillId="0" borderId="15" applyNumberFormat="0" applyFill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0" fillId="0" borderId="0" applyNumberFormat="0" applyFill="0" applyBorder="0" applyAlignment="0" applyProtection="0"/>
    <xf numFmtId="0" fontId="41" fillId="20" borderId="0" applyNumberFormat="0" applyBorder="0" applyAlignment="0" applyProtection="0"/>
    <xf numFmtId="0" fontId="41" fillId="19" borderId="0" applyNumberFormat="0" applyBorder="0" applyAlignment="0" applyProtection="0"/>
    <xf numFmtId="0" fontId="41" fillId="23" borderId="0" applyNumberFormat="0" applyBorder="0" applyAlignment="0" applyProtection="0"/>
    <xf numFmtId="0" fontId="41" fillId="20" borderId="0" applyNumberFormat="0" applyBorder="0" applyAlignment="0" applyProtection="0"/>
    <xf numFmtId="0" fontId="41" fillId="24" borderId="0" applyNumberFormat="0" applyBorder="0" applyAlignment="0" applyProtection="0"/>
    <xf numFmtId="0" fontId="41" fillId="18" borderId="0" applyNumberFormat="0" applyBorder="0" applyAlignment="0" applyProtection="0"/>
    <xf numFmtId="0" fontId="41" fillId="20" borderId="0" applyNumberFormat="0" applyBorder="0" applyAlignment="0" applyProtection="0"/>
    <xf numFmtId="0" fontId="41" fillId="25" borderId="0" applyNumberFormat="0" applyBorder="0" applyAlignment="0" applyProtection="0"/>
    <xf numFmtId="0" fontId="41" fillId="23" borderId="0" applyNumberFormat="0" applyBorder="0" applyAlignment="0" applyProtection="0"/>
    <xf numFmtId="0" fontId="41" fillId="20" borderId="0" applyNumberFormat="0" applyBorder="0" applyAlignment="0" applyProtection="0"/>
    <xf numFmtId="0" fontId="41" fillId="26" borderId="0" applyNumberFormat="0" applyBorder="0" applyAlignment="0" applyProtection="0"/>
    <xf numFmtId="0" fontId="41" fillId="19" borderId="0" applyNumberFormat="0" applyBorder="0" applyAlignment="0" applyProtection="0"/>
    <xf numFmtId="0" fontId="42" fillId="27" borderId="0" applyNumberFormat="0" applyBorder="0" applyAlignment="0" applyProtection="0"/>
    <xf numFmtId="0" fontId="42" fillId="25" borderId="0" applyNumberFormat="0" applyBorder="0" applyAlignment="0" applyProtection="0"/>
    <xf numFmtId="0" fontId="42" fillId="23" borderId="0" applyNumberFormat="0" applyBorder="0" applyAlignment="0" applyProtection="0"/>
    <xf numFmtId="0" fontId="42" fillId="20" borderId="0" applyNumberFormat="0" applyBorder="0" applyAlignment="0" applyProtection="0"/>
    <xf numFmtId="0" fontId="42" fillId="27" borderId="0" applyNumberFormat="0" applyBorder="0" applyAlignment="0" applyProtection="0"/>
    <xf numFmtId="0" fontId="42" fillId="19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27" borderId="0" applyNumberFormat="0" applyBorder="0" applyAlignment="0" applyProtection="0"/>
    <xf numFmtId="0" fontId="42" fillId="28" borderId="0" applyNumberFormat="0" applyBorder="0" applyAlignment="0" applyProtection="0"/>
    <xf numFmtId="0" fontId="42" fillId="23" borderId="0" applyNumberFormat="0" applyBorder="0" applyAlignment="0" applyProtection="0"/>
    <xf numFmtId="0" fontId="42" fillId="29" borderId="0" applyNumberFormat="0" applyBorder="0" applyAlignment="0" applyProtection="0"/>
    <xf numFmtId="0" fontId="42" fillId="27" borderId="0" applyNumberFormat="0" applyBorder="0" applyAlignment="0" applyProtection="0"/>
    <xf numFmtId="0" fontId="42" fillId="25" borderId="0" applyNumberFormat="0" applyBorder="0" applyAlignment="0" applyProtection="0"/>
    <xf numFmtId="0" fontId="43" fillId="30" borderId="0" applyNumberFormat="0" applyBorder="0" applyAlignment="0" applyProtection="0"/>
    <xf numFmtId="0" fontId="32" fillId="19" borderId="0" applyNumberFormat="0" applyBorder="0" applyAlignment="0" applyProtection="0"/>
    <xf numFmtId="0" fontId="44" fillId="0" borderId="18" applyNumberFormat="0" applyFill="0" applyAlignment="0" applyProtection="0"/>
    <xf numFmtId="0" fontId="45" fillId="20" borderId="19" applyNumberFormat="0" applyAlignment="0" applyProtection="0"/>
    <xf numFmtId="0" fontId="45" fillId="31" borderId="19" applyNumberFormat="0" applyAlignment="0" applyProtection="0"/>
    <xf numFmtId="0" fontId="33" fillId="19" borderId="13" applyNumberFormat="0" applyAlignment="0" applyProtection="0"/>
    <xf numFmtId="0" fontId="46" fillId="0" borderId="20" applyNumberFormat="0" applyFill="0" applyAlignment="0" applyProtection="0"/>
    <xf numFmtId="0" fontId="47" fillId="31" borderId="1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21" applyNumberFormat="0" applyFill="0" applyAlignment="0" applyProtection="0"/>
    <xf numFmtId="0" fontId="1" fillId="0" borderId="0"/>
    <xf numFmtId="0" fontId="1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124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3" borderId="7" xfId="0" applyFont="1" applyFill="1" applyBorder="1" applyAlignment="1">
      <alignment horizontal="center" vertical="center"/>
    </xf>
    <xf numFmtId="0" fontId="11" fillId="7" borderId="0" xfId="0" applyFont="1" applyFill="1" applyAlignment="1">
      <alignment vertical="center"/>
    </xf>
    <xf numFmtId="0" fontId="5" fillId="4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2" borderId="7" xfId="0" applyFont="1" applyFill="1" applyBorder="1" applyAlignment="1">
      <alignment horizontal="left" vertical="center"/>
    </xf>
    <xf numFmtId="177" fontId="7" fillId="0" borderId="4" xfId="0" applyNumberFormat="1" applyFont="1" applyBorder="1" applyAlignment="1">
      <alignment vertical="center"/>
    </xf>
    <xf numFmtId="0" fontId="12" fillId="8" borderId="7" xfId="530" applyFont="1" applyFill="1" applyBorder="1" applyAlignment="1"/>
    <xf numFmtId="0" fontId="12" fillId="8" borderId="7" xfId="0" applyFont="1" applyFill="1" applyBorder="1"/>
    <xf numFmtId="0" fontId="0" fillId="8" borderId="7" xfId="0" applyFill="1" applyBorder="1"/>
    <xf numFmtId="0" fontId="14" fillId="0" borderId="7" xfId="530" applyBorder="1" applyAlignment="1"/>
    <xf numFmtId="0" fontId="0" fillId="0" borderId="7" xfId="0" applyBorder="1"/>
    <xf numFmtId="0" fontId="0" fillId="6" borderId="7" xfId="0" applyFill="1" applyBorder="1"/>
    <xf numFmtId="0" fontId="15" fillId="9" borderId="7" xfId="0" applyFont="1" applyFill="1" applyBorder="1"/>
    <xf numFmtId="0" fontId="11" fillId="7" borderId="0" xfId="0" applyFont="1" applyFill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3" fillId="3" borderId="1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7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24" fillId="6" borderId="7" xfId="0" applyFont="1" applyFill="1" applyBorder="1" applyAlignment="1">
      <alignment horizontal="center" vertical="center"/>
    </xf>
    <xf numFmtId="0" fontId="24" fillId="3" borderId="7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24" fillId="0" borderId="7" xfId="0" applyFont="1" applyFill="1" applyBorder="1" applyAlignment="1">
      <alignment vertical="center"/>
    </xf>
    <xf numFmtId="0" fontId="24" fillId="3" borderId="7" xfId="0" applyFont="1" applyFill="1" applyBorder="1" applyAlignment="1">
      <alignment vertical="center"/>
    </xf>
    <xf numFmtId="0" fontId="24" fillId="0" borderId="0" xfId="0" applyFont="1" applyFill="1" applyAlignment="1">
      <alignment vertical="center"/>
    </xf>
    <xf numFmtId="0" fontId="10" fillId="6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vertical="center"/>
    </xf>
    <xf numFmtId="0" fontId="5" fillId="0" borderId="9" xfId="0" applyFont="1" applyFill="1" applyBorder="1" applyAlignment="1">
      <alignment vertical="center"/>
    </xf>
    <xf numFmtId="0" fontId="24" fillId="13" borderId="7" xfId="0" applyFont="1" applyFill="1" applyBorder="1" applyAlignment="1">
      <alignment vertical="center"/>
    </xf>
    <xf numFmtId="0" fontId="24" fillId="13" borderId="7" xfId="0" applyFont="1" applyFill="1" applyBorder="1" applyAlignment="1">
      <alignment horizontal="left" vertical="center"/>
    </xf>
    <xf numFmtId="0" fontId="24" fillId="13" borderId="7" xfId="0" applyFont="1" applyFill="1" applyBorder="1" applyAlignment="1">
      <alignment horizontal="left" vertical="center" wrapText="1"/>
    </xf>
    <xf numFmtId="14" fontId="24" fillId="13" borderId="7" xfId="0" applyNumberFormat="1" applyFont="1" applyFill="1" applyBorder="1" applyAlignment="1">
      <alignment horizontal="left" vertical="center"/>
    </xf>
    <xf numFmtId="0" fontId="24" fillId="13" borderId="0" xfId="0" applyFont="1" applyFill="1" applyAlignment="1">
      <alignment vertical="center"/>
    </xf>
    <xf numFmtId="0" fontId="5" fillId="14" borderId="3" xfId="0" applyFont="1" applyFill="1" applyBorder="1" applyAlignment="1">
      <alignment vertical="center"/>
    </xf>
    <xf numFmtId="176" fontId="3" fillId="13" borderId="3" xfId="0" applyNumberFormat="1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24" fillId="6" borderId="7" xfId="1268" applyFont="1" applyFill="1" applyBorder="1" applyAlignment="1">
      <alignment horizontal="left"/>
    </xf>
    <xf numFmtId="0" fontId="13" fillId="7" borderId="0" xfId="1268" applyFont="1" applyFill="1" applyAlignment="1">
      <alignment horizontal="center" vertical="center"/>
    </xf>
    <xf numFmtId="0" fontId="24" fillId="3" borderId="7" xfId="1268" applyFont="1" applyFill="1" applyBorder="1" applyAlignment="1">
      <alignment horizontal="left"/>
    </xf>
    <xf numFmtId="0" fontId="0" fillId="6" borderId="7" xfId="1269" applyFont="1" applyFill="1" applyBorder="1"/>
    <xf numFmtId="0" fontId="0" fillId="3" borderId="7" xfId="0" applyFill="1" applyBorder="1"/>
    <xf numFmtId="0" fontId="0" fillId="0" borderId="7" xfId="0" applyFill="1" applyBorder="1"/>
    <xf numFmtId="0" fontId="12" fillId="7" borderId="0" xfId="0" applyFont="1" applyFill="1" applyAlignment="1">
      <alignment horizontal="center"/>
    </xf>
    <xf numFmtId="0" fontId="26" fillId="6" borderId="7" xfId="0" applyFont="1" applyFill="1" applyBorder="1" applyAlignment="1">
      <alignment horizontal="center"/>
    </xf>
    <xf numFmtId="0" fontId="24" fillId="6" borderId="7" xfId="0" applyFont="1" applyFill="1" applyBorder="1" applyAlignment="1">
      <alignment horizontal="center"/>
    </xf>
    <xf numFmtId="0" fontId="24" fillId="3" borderId="7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6" borderId="7" xfId="0" applyFont="1" applyFill="1" applyBorder="1" applyAlignment="1">
      <alignment horizontal="center"/>
    </xf>
    <xf numFmtId="0" fontId="24" fillId="17" borderId="7" xfId="0" applyFont="1" applyFill="1" applyBorder="1" applyAlignment="1">
      <alignment horizontal="center"/>
    </xf>
    <xf numFmtId="56" fontId="24" fillId="17" borderId="7" xfId="0" applyNumberFormat="1" applyFont="1" applyFill="1" applyBorder="1" applyAlignment="1">
      <alignment horizontal="center"/>
    </xf>
    <xf numFmtId="0" fontId="0" fillId="17" borderId="7" xfId="0" applyFill="1" applyBorder="1"/>
    <xf numFmtId="0" fontId="12" fillId="7" borderId="0" xfId="0" applyFont="1" applyFill="1"/>
    <xf numFmtId="0" fontId="26" fillId="0" borderId="7" xfId="0" applyFont="1" applyFill="1" applyBorder="1"/>
    <xf numFmtId="0" fontId="28" fillId="3" borderId="11" xfId="0" applyFont="1" applyFill="1" applyBorder="1" applyAlignment="1">
      <alignment vertical="center"/>
    </xf>
    <xf numFmtId="0" fontId="29" fillId="0" borderId="7" xfId="0" applyFont="1" applyFill="1" applyBorder="1"/>
    <xf numFmtId="0" fontId="28" fillId="0" borderId="11" xfId="0" applyFont="1" applyFill="1" applyBorder="1" applyAlignment="1">
      <alignment vertical="center"/>
    </xf>
    <xf numFmtId="0" fontId="29" fillId="15" borderId="7" xfId="0" applyFont="1" applyFill="1" applyBorder="1"/>
    <xf numFmtId="0" fontId="29" fillId="16" borderId="7" xfId="0" applyFont="1" applyFill="1" applyBorder="1"/>
    <xf numFmtId="0" fontId="30" fillId="0" borderId="7" xfId="0" applyFont="1" applyFill="1" applyBorder="1" applyAlignment="1">
      <alignment wrapText="1"/>
    </xf>
    <xf numFmtId="38" fontId="24" fillId="0" borderId="7" xfId="1270" applyFont="1" applyFill="1" applyBorder="1" applyAlignment="1">
      <alignment wrapText="1"/>
    </xf>
    <xf numFmtId="0" fontId="26" fillId="0" borderId="0" xfId="0" applyFont="1" applyFill="1"/>
    <xf numFmtId="0" fontId="0" fillId="0" borderId="7" xfId="1269" applyFont="1" applyBorder="1"/>
    <xf numFmtId="0" fontId="1" fillId="8" borderId="7" xfId="1269" applyFill="1" applyBorder="1"/>
    <xf numFmtId="0" fontId="1" fillId="0" borderId="7" xfId="1269" applyBorder="1"/>
    <xf numFmtId="56" fontId="24" fillId="6" borderId="7" xfId="0" applyNumberFormat="1" applyFont="1" applyFill="1" applyBorder="1" applyAlignment="1">
      <alignment horizontal="center"/>
    </xf>
    <xf numFmtId="0" fontId="1" fillId="0" borderId="0" xfId="1269"/>
    <xf numFmtId="49" fontId="0" fillId="0" borderId="7" xfId="0" applyNumberFormat="1" applyFill="1" applyBorder="1"/>
    <xf numFmtId="0" fontId="1" fillId="6" borderId="7" xfId="1269" applyFill="1" applyBorder="1"/>
    <xf numFmtId="0" fontId="7" fillId="0" borderId="22" xfId="0" applyFont="1" applyBorder="1" applyAlignment="1">
      <alignment vertical="center"/>
    </xf>
    <xf numFmtId="177" fontId="7" fillId="0" borderId="23" xfId="0" applyNumberFormat="1" applyFont="1" applyBorder="1" applyAlignment="1">
      <alignment vertical="center"/>
    </xf>
    <xf numFmtId="0" fontId="7" fillId="0" borderId="23" xfId="0" applyFont="1" applyBorder="1" applyAlignment="1">
      <alignment vertical="center"/>
    </xf>
    <xf numFmtId="0" fontId="11" fillId="7" borderId="24" xfId="0" applyFont="1" applyFill="1" applyBorder="1" applyAlignment="1">
      <alignment vertical="center"/>
    </xf>
    <xf numFmtId="176" fontId="3" fillId="32" borderId="3" xfId="0" applyNumberFormat="1" applyFont="1" applyFill="1" applyBorder="1" applyAlignment="1">
      <alignment horizontal="center" vertical="center"/>
    </xf>
    <xf numFmtId="0" fontId="3" fillId="32" borderId="1" xfId="0" applyFont="1" applyFill="1" applyBorder="1" applyAlignment="1">
      <alignment horizontal="center" vertical="center"/>
    </xf>
    <xf numFmtId="0" fontId="5" fillId="33" borderId="3" xfId="0" applyFont="1" applyFill="1" applyBorder="1" applyAlignment="1">
      <alignment vertical="center"/>
    </xf>
    <xf numFmtId="0" fontId="7" fillId="3" borderId="4" xfId="0" applyFont="1" applyFill="1" applyBorder="1" applyAlignment="1">
      <alignment vertical="center"/>
    </xf>
    <xf numFmtId="177" fontId="7" fillId="3" borderId="4" xfId="0" applyNumberFormat="1" applyFont="1" applyFill="1" applyBorder="1" applyAlignment="1">
      <alignment vertical="center"/>
    </xf>
    <xf numFmtId="0" fontId="3" fillId="3" borderId="5" xfId="0" applyFont="1" applyFill="1" applyBorder="1" applyAlignment="1">
      <alignment vertical="center"/>
    </xf>
    <xf numFmtId="0" fontId="3" fillId="6" borderId="1" xfId="0" applyFont="1" applyFill="1" applyBorder="1" applyAlignment="1">
      <alignment horizontal="center" vertical="center"/>
    </xf>
    <xf numFmtId="0" fontId="5" fillId="34" borderId="3" xfId="0" applyFont="1" applyFill="1" applyBorder="1" applyAlignment="1">
      <alignment vertical="center"/>
    </xf>
    <xf numFmtId="0" fontId="3" fillId="35" borderId="1" xfId="0" applyFont="1" applyFill="1" applyBorder="1" applyAlignment="1">
      <alignment horizontal="center" vertical="center"/>
    </xf>
    <xf numFmtId="0" fontId="5" fillId="36" borderId="3" xfId="0" applyFont="1" applyFill="1" applyBorder="1" applyAlignment="1">
      <alignment vertical="center"/>
    </xf>
    <xf numFmtId="49" fontId="30" fillId="0" borderId="7" xfId="0" applyNumberFormat="1" applyFont="1" applyFill="1" applyBorder="1" applyAlignment="1">
      <alignment wrapText="1"/>
    </xf>
    <xf numFmtId="49" fontId="0" fillId="0" borderId="0" xfId="0" applyNumberFormat="1"/>
    <xf numFmtId="0" fontId="30" fillId="16" borderId="7" xfId="0" applyFont="1" applyFill="1" applyBorder="1" applyAlignment="1">
      <alignment wrapText="1"/>
    </xf>
    <xf numFmtId="0" fontId="0" fillId="13" borderId="7" xfId="0" applyFill="1" applyBorder="1"/>
    <xf numFmtId="0" fontId="0" fillId="32" borderId="7" xfId="0" applyFill="1" applyBorder="1"/>
    <xf numFmtId="0" fontId="3" fillId="32" borderId="1" xfId="0" applyFont="1" applyFill="1" applyBorder="1" applyAlignment="1">
      <alignment vertical="center"/>
    </xf>
    <xf numFmtId="0" fontId="3" fillId="13" borderId="1" xfId="0" applyFont="1" applyFill="1" applyBorder="1" applyAlignment="1">
      <alignment vertical="center"/>
    </xf>
    <xf numFmtId="0" fontId="27" fillId="32" borderId="7" xfId="0" applyFont="1" applyFill="1" applyBorder="1"/>
    <xf numFmtId="0" fontId="27" fillId="13" borderId="7" xfId="0" applyFont="1" applyFill="1" applyBorder="1"/>
    <xf numFmtId="49" fontId="30" fillId="16" borderId="7" xfId="0" applyNumberFormat="1" applyFont="1" applyFill="1" applyBorder="1" applyAlignment="1">
      <alignment wrapText="1"/>
    </xf>
  </cellXfs>
  <cellStyles count="1556">
    <cellStyle name="20% - ANZg1" xfId="1282"/>
    <cellStyle name="20% - ANZg2" xfId="1283"/>
    <cellStyle name="20% - ANZg3" xfId="1284"/>
    <cellStyle name="20% - ANZg4" xfId="1285"/>
    <cellStyle name="20% - ANZg5" xfId="1286"/>
    <cellStyle name="20% - ANZg6" xfId="1287"/>
    <cellStyle name="40% - ANZg1" xfId="1288"/>
    <cellStyle name="40% - ANZg2" xfId="1289"/>
    <cellStyle name="40% - ANZg3" xfId="1290"/>
    <cellStyle name="40% - ANZg4" xfId="1291"/>
    <cellStyle name="40% - ANZg5" xfId="1292"/>
    <cellStyle name="40% - ANZg6" xfId="1293"/>
    <cellStyle name="60% - ANZg1" xfId="1294"/>
    <cellStyle name="60% - ANZg2" xfId="1295"/>
    <cellStyle name="60% - ANZg3" xfId="1296"/>
    <cellStyle name="60% - ANZg4" xfId="1297"/>
    <cellStyle name="60% - ANZg5" xfId="1298"/>
    <cellStyle name="60% - ANZg6" xfId="1299"/>
    <cellStyle name="Excel Built-in Normal" xfId="531"/>
    <cellStyle name="^Cg" xfId="1277"/>
    <cellStyle name="`FbN Z" xfId="1276"/>
    <cellStyle name="ANZg 1" xfId="1301"/>
    <cellStyle name="ANZg 2" xfId="1302"/>
    <cellStyle name="ANZg 3" xfId="1303"/>
    <cellStyle name="ANZg 4" xfId="1304"/>
    <cellStyle name="ANZg 5" xfId="1305"/>
    <cellStyle name="ANZg 6" xfId="1306"/>
    <cellStyle name="" xfId="1271"/>
    <cellStyle name="N Z" xfId="1309"/>
    <cellStyle name="_" xfId="1272"/>
    <cellStyle name="«¢" xfId="1275"/>
    <cellStyle name="vZ" xfId="1314"/>
    <cellStyle name="x÷" xfId="1316"/>
    <cellStyle name="x¶" xfId="1315"/>
    <cellStyle name="ýo_ 1" xfId="1317"/>
    <cellStyle name="©oµ 1" xfId="1278"/>
    <cellStyle name="©oµ 2" xfId="1279"/>
    <cellStyle name="©oµ 3" xfId="1280"/>
    <cellStyle name="©oµ 4" xfId="1281"/>
    <cellStyle name="v" xfId="1313"/>
    <cellStyle name="o_" xfId="1310"/>
    <cellStyle name="oÍ" xfId="1311"/>
    <cellStyle name="__÷" xfId="1274"/>
    <cellStyle name="à¾¶" xfId="1300"/>
    <cellStyle name="__" xfId="1273"/>
    <cellStyle name="üÍ" xfId="1312"/>
    <cellStyle name="Ê" xfId="1308"/>
    <cellStyle name="Ç¢" xfId="1307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桁区切り 2" xfId="532"/>
    <cellStyle name="桁区切り 2 2" xfId="1270"/>
    <cellStyle name="標準" xfId="0" builtinId="0"/>
    <cellStyle name="標準 2" xfId="535"/>
    <cellStyle name="標準 2 2" xfId="536"/>
    <cellStyle name="標準 3" xfId="530"/>
    <cellStyle name="標準 4" xfId="11"/>
    <cellStyle name="標準 4 2" xfId="1268"/>
    <cellStyle name="標準 5" xfId="1318"/>
    <cellStyle name="標準 5 2" xfId="1319"/>
    <cellStyle name="標準 6" xfId="1269"/>
    <cellStyle name="無題1" xfId="537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赤字強調" xfId="534"/>
    <cellStyle name="青字強調" xfId="53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13400</v>
          </cell>
        </row>
        <row r="96">
          <cell r="A96">
            <v>14001</v>
          </cell>
        </row>
        <row r="97">
          <cell r="A97">
            <v>14002</v>
          </cell>
        </row>
        <row r="98">
          <cell r="A98">
            <v>14003</v>
          </cell>
        </row>
        <row r="99">
          <cell r="A99">
            <v>14004</v>
          </cell>
        </row>
        <row r="100">
          <cell r="A100">
            <v>14005</v>
          </cell>
        </row>
        <row r="101">
          <cell r="A101">
            <v>14006</v>
          </cell>
        </row>
        <row r="102">
          <cell r="A102">
            <v>15027</v>
          </cell>
        </row>
        <row r="103">
          <cell r="A103">
            <v>15028</v>
          </cell>
        </row>
        <row r="104">
          <cell r="A104">
            <v>15029</v>
          </cell>
        </row>
        <row r="105">
          <cell r="A105">
            <v>15030</v>
          </cell>
        </row>
        <row r="106">
          <cell r="A106">
            <v>15031</v>
          </cell>
        </row>
        <row r="107">
          <cell r="A107">
            <v>20001</v>
          </cell>
        </row>
        <row r="108">
          <cell r="A108">
            <v>20002</v>
          </cell>
        </row>
        <row r="109">
          <cell r="A109">
            <v>20003</v>
          </cell>
        </row>
        <row r="110">
          <cell r="A110">
            <v>20004</v>
          </cell>
        </row>
        <row r="111">
          <cell r="A111">
            <v>20005</v>
          </cell>
        </row>
        <row r="112">
          <cell r="A112">
            <v>20006</v>
          </cell>
        </row>
        <row r="113">
          <cell r="A113">
            <v>20007</v>
          </cell>
        </row>
        <row r="114">
          <cell r="A114">
            <v>20008</v>
          </cell>
        </row>
        <row r="115">
          <cell r="A115">
            <v>20009</v>
          </cell>
        </row>
        <row r="116">
          <cell r="A116">
            <v>20010</v>
          </cell>
        </row>
        <row r="117">
          <cell r="A117">
            <v>20011</v>
          </cell>
        </row>
        <row r="118">
          <cell r="A118">
            <v>20012</v>
          </cell>
        </row>
        <row r="119">
          <cell r="A119">
            <v>20013</v>
          </cell>
        </row>
        <row r="120">
          <cell r="A120">
            <v>20014</v>
          </cell>
        </row>
        <row r="121">
          <cell r="A121">
            <v>20015</v>
          </cell>
        </row>
        <row r="122">
          <cell r="A122">
            <v>20016</v>
          </cell>
        </row>
        <row r="123">
          <cell r="A123">
            <v>20017</v>
          </cell>
        </row>
        <row r="124">
          <cell r="A124">
            <v>20018</v>
          </cell>
        </row>
        <row r="125">
          <cell r="A125">
            <v>20019</v>
          </cell>
        </row>
        <row r="126">
          <cell r="A126">
            <v>20020</v>
          </cell>
        </row>
        <row r="127">
          <cell r="A127">
            <v>20021</v>
          </cell>
        </row>
        <row r="128">
          <cell r="A128">
            <v>20022</v>
          </cell>
        </row>
        <row r="129">
          <cell r="A129">
            <v>30001</v>
          </cell>
        </row>
        <row r="130">
          <cell r="A130">
            <v>30002</v>
          </cell>
        </row>
        <row r="131">
          <cell r="A131">
            <v>30003</v>
          </cell>
        </row>
        <row r="132">
          <cell r="A132">
            <v>30004</v>
          </cell>
        </row>
        <row r="133">
          <cell r="A133">
            <v>30005</v>
          </cell>
        </row>
        <row r="134">
          <cell r="A134">
            <v>30006</v>
          </cell>
        </row>
        <row r="135">
          <cell r="A135">
            <v>30007</v>
          </cell>
        </row>
        <row r="136">
          <cell r="A136">
            <v>30008</v>
          </cell>
        </row>
        <row r="137">
          <cell r="A137">
            <v>30009</v>
          </cell>
        </row>
        <row r="138">
          <cell r="A138">
            <v>30010</v>
          </cell>
        </row>
        <row r="139">
          <cell r="A139">
            <v>30011</v>
          </cell>
        </row>
        <row r="140">
          <cell r="A140">
            <v>30012</v>
          </cell>
        </row>
        <row r="141">
          <cell r="A141">
            <v>30013</v>
          </cell>
        </row>
        <row r="142">
          <cell r="A142">
            <v>30014</v>
          </cell>
        </row>
        <row r="143">
          <cell r="A143">
            <v>30015</v>
          </cell>
        </row>
        <row r="144">
          <cell r="A144">
            <v>30016</v>
          </cell>
        </row>
        <row r="145">
          <cell r="A145">
            <v>30017</v>
          </cell>
        </row>
        <row r="146">
          <cell r="A146">
            <v>30018</v>
          </cell>
        </row>
        <row r="147">
          <cell r="A147">
            <v>30019</v>
          </cell>
        </row>
        <row r="148">
          <cell r="A148">
            <v>30020</v>
          </cell>
        </row>
        <row r="149">
          <cell r="A149">
            <v>30021</v>
          </cell>
        </row>
        <row r="150">
          <cell r="A150">
            <v>30022</v>
          </cell>
        </row>
        <row r="151">
          <cell r="A151">
            <v>30023</v>
          </cell>
        </row>
        <row r="152">
          <cell r="A152">
            <v>30024</v>
          </cell>
        </row>
        <row r="153">
          <cell r="A153">
            <v>30025</v>
          </cell>
        </row>
        <row r="154">
          <cell r="A154">
            <v>30026</v>
          </cell>
        </row>
        <row r="155">
          <cell r="A155">
            <v>30027</v>
          </cell>
        </row>
        <row r="156">
          <cell r="A156">
            <v>30028</v>
          </cell>
        </row>
        <row r="157">
          <cell r="A157">
            <v>30029</v>
          </cell>
        </row>
        <row r="158">
          <cell r="A158">
            <v>30030</v>
          </cell>
        </row>
        <row r="159">
          <cell r="A159">
            <v>30031</v>
          </cell>
        </row>
        <row r="160">
          <cell r="A160">
            <v>30032</v>
          </cell>
        </row>
        <row r="161">
          <cell r="A161">
            <v>30033</v>
          </cell>
        </row>
        <row r="162">
          <cell r="A162">
            <v>30034</v>
          </cell>
        </row>
        <row r="163">
          <cell r="A163">
            <v>30035</v>
          </cell>
        </row>
        <row r="164">
          <cell r="A164">
            <v>30036</v>
          </cell>
        </row>
        <row r="165">
          <cell r="A165">
            <v>30037</v>
          </cell>
        </row>
        <row r="166">
          <cell r="A166">
            <v>30038</v>
          </cell>
        </row>
        <row r="167">
          <cell r="A167">
            <v>30039</v>
          </cell>
        </row>
        <row r="168">
          <cell r="A168">
            <v>30040</v>
          </cell>
        </row>
        <row r="169">
          <cell r="A169">
            <v>30041</v>
          </cell>
        </row>
        <row r="170">
          <cell r="A170">
            <v>30042</v>
          </cell>
        </row>
        <row r="171">
          <cell r="A171">
            <v>30043</v>
          </cell>
        </row>
        <row r="172">
          <cell r="A172">
            <v>30044</v>
          </cell>
        </row>
        <row r="173">
          <cell r="A173">
            <v>30045</v>
          </cell>
        </row>
        <row r="174">
          <cell r="A174">
            <v>30046</v>
          </cell>
        </row>
        <row r="175">
          <cell r="A175">
            <v>30047</v>
          </cell>
        </row>
        <row r="176">
          <cell r="A176">
            <v>30048</v>
          </cell>
        </row>
        <row r="177">
          <cell r="A177">
            <v>39001</v>
          </cell>
        </row>
        <row r="178">
          <cell r="A178">
            <v>39002</v>
          </cell>
        </row>
        <row r="179">
          <cell r="A179">
            <v>39003</v>
          </cell>
        </row>
        <row r="180">
          <cell r="A180">
            <v>39004</v>
          </cell>
        </row>
        <row r="181">
          <cell r="A181">
            <v>39005</v>
          </cell>
        </row>
        <row r="182">
          <cell r="A182">
            <v>39006</v>
          </cell>
        </row>
        <row r="183">
          <cell r="A183">
            <v>39007</v>
          </cell>
        </row>
        <row r="184">
          <cell r="A184">
            <v>39008</v>
          </cell>
        </row>
        <row r="185">
          <cell r="A185">
            <v>39009</v>
          </cell>
        </row>
        <row r="186">
          <cell r="A186">
            <v>39010</v>
          </cell>
        </row>
        <row r="187">
          <cell r="A187">
            <v>39011</v>
          </cell>
        </row>
        <row r="188">
          <cell r="A188">
            <v>40001</v>
          </cell>
        </row>
        <row r="189">
          <cell r="A189">
            <v>40002</v>
          </cell>
        </row>
        <row r="190">
          <cell r="A190">
            <v>40003</v>
          </cell>
        </row>
        <row r="191">
          <cell r="A191">
            <v>40004</v>
          </cell>
        </row>
        <row r="192">
          <cell r="A192">
            <v>40005</v>
          </cell>
        </row>
        <row r="193">
          <cell r="A193">
            <v>40006</v>
          </cell>
        </row>
        <row r="194">
          <cell r="A194">
            <v>40007</v>
          </cell>
        </row>
        <row r="195">
          <cell r="A195">
            <v>40008</v>
          </cell>
        </row>
        <row r="196">
          <cell r="A196">
            <v>40009</v>
          </cell>
        </row>
        <row r="197">
          <cell r="A197">
            <v>40010</v>
          </cell>
        </row>
        <row r="198">
          <cell r="A198">
            <v>40011</v>
          </cell>
        </row>
        <row r="199">
          <cell r="A199">
            <v>40012</v>
          </cell>
        </row>
        <row r="200">
          <cell r="A200">
            <v>40013</v>
          </cell>
        </row>
        <row r="201">
          <cell r="A201">
            <v>40014</v>
          </cell>
        </row>
        <row r="202">
          <cell r="A202">
            <v>40015</v>
          </cell>
        </row>
        <row r="203">
          <cell r="A203">
            <v>40016</v>
          </cell>
        </row>
        <row r="204">
          <cell r="A204">
            <v>40017</v>
          </cell>
        </row>
        <row r="205">
          <cell r="A205">
            <v>40018</v>
          </cell>
        </row>
        <row r="206">
          <cell r="A206">
            <v>40019</v>
          </cell>
        </row>
        <row r="207">
          <cell r="A207">
            <v>40021</v>
          </cell>
        </row>
        <row r="208">
          <cell r="A208">
            <v>40022</v>
          </cell>
        </row>
        <row r="209">
          <cell r="A209">
            <v>40023</v>
          </cell>
        </row>
        <row r="210">
          <cell r="A210">
            <v>40024</v>
          </cell>
        </row>
        <row r="211">
          <cell r="A211">
            <v>40025</v>
          </cell>
        </row>
        <row r="212">
          <cell r="A212">
            <v>40026</v>
          </cell>
        </row>
        <row r="213">
          <cell r="A213">
            <v>40027</v>
          </cell>
        </row>
        <row r="214">
          <cell r="A214">
            <v>40028</v>
          </cell>
        </row>
        <row r="215">
          <cell r="A215">
            <v>40029</v>
          </cell>
        </row>
        <row r="216">
          <cell r="A216">
            <v>40030</v>
          </cell>
        </row>
        <row r="217">
          <cell r="A217">
            <v>40031</v>
          </cell>
        </row>
        <row r="218">
          <cell r="A218">
            <v>40032</v>
          </cell>
        </row>
        <row r="219">
          <cell r="A219">
            <v>40033</v>
          </cell>
        </row>
        <row r="220">
          <cell r="A220">
            <v>40034</v>
          </cell>
        </row>
        <row r="221">
          <cell r="A221">
            <v>40035</v>
          </cell>
        </row>
        <row r="222">
          <cell r="A222">
            <v>40036</v>
          </cell>
        </row>
        <row r="223">
          <cell r="A223">
            <v>40037</v>
          </cell>
        </row>
        <row r="224">
          <cell r="A224">
            <v>40038</v>
          </cell>
        </row>
        <row r="225">
          <cell r="A225">
            <v>40039</v>
          </cell>
        </row>
        <row r="226">
          <cell r="A226">
            <v>40040</v>
          </cell>
        </row>
        <row r="227">
          <cell r="A227">
            <v>40041</v>
          </cell>
        </row>
        <row r="228">
          <cell r="A228">
            <v>40042</v>
          </cell>
        </row>
        <row r="229">
          <cell r="A229">
            <v>40043</v>
          </cell>
        </row>
        <row r="230">
          <cell r="A230">
            <v>48001</v>
          </cell>
        </row>
        <row r="231">
          <cell r="A231">
            <v>48002</v>
          </cell>
        </row>
        <row r="232">
          <cell r="A232">
            <v>48003</v>
          </cell>
        </row>
        <row r="233">
          <cell r="A233">
            <v>48004</v>
          </cell>
        </row>
        <row r="234">
          <cell r="A234">
            <v>48005</v>
          </cell>
        </row>
        <row r="235">
          <cell r="A235">
            <v>48006</v>
          </cell>
        </row>
        <row r="236">
          <cell r="A236">
            <v>48007</v>
          </cell>
        </row>
        <row r="237">
          <cell r="A237">
            <v>48008</v>
          </cell>
        </row>
        <row r="238">
          <cell r="A238">
            <v>48009</v>
          </cell>
        </row>
        <row r="239">
          <cell r="A239">
            <v>48010</v>
          </cell>
        </row>
        <row r="240">
          <cell r="A240">
            <v>48011</v>
          </cell>
        </row>
        <row r="241">
          <cell r="A241">
            <v>48501</v>
          </cell>
        </row>
        <row r="242">
          <cell r="A242">
            <v>41001</v>
          </cell>
        </row>
        <row r="243">
          <cell r="A243">
            <v>41002</v>
          </cell>
        </row>
        <row r="244">
          <cell r="A244">
            <v>41003</v>
          </cell>
        </row>
        <row r="245">
          <cell r="A245">
            <v>41004</v>
          </cell>
        </row>
        <row r="246">
          <cell r="A246">
            <v>41005</v>
          </cell>
        </row>
        <row r="247">
          <cell r="A247">
            <v>41006</v>
          </cell>
        </row>
        <row r="248">
          <cell r="A248">
            <v>41007</v>
          </cell>
        </row>
        <row r="249">
          <cell r="A249">
            <v>41008</v>
          </cell>
        </row>
        <row r="250">
          <cell r="A250">
            <v>41009</v>
          </cell>
        </row>
        <row r="251">
          <cell r="A251">
            <v>41010</v>
          </cell>
        </row>
        <row r="252">
          <cell r="A252">
            <v>41011</v>
          </cell>
        </row>
        <row r="253">
          <cell r="A253">
            <v>41012</v>
          </cell>
        </row>
        <row r="254">
          <cell r="A254">
            <v>41013</v>
          </cell>
        </row>
        <row r="255">
          <cell r="A255">
            <v>41014</v>
          </cell>
        </row>
        <row r="256">
          <cell r="A256">
            <v>41015</v>
          </cell>
        </row>
        <row r="257">
          <cell r="A257">
            <v>47001</v>
          </cell>
        </row>
        <row r="258">
          <cell r="A258">
            <v>47002</v>
          </cell>
        </row>
        <row r="259">
          <cell r="A259">
            <v>47003</v>
          </cell>
        </row>
        <row r="260">
          <cell r="A260">
            <v>47004</v>
          </cell>
        </row>
        <row r="261">
          <cell r="A261">
            <v>47005</v>
          </cell>
        </row>
        <row r="262">
          <cell r="A262">
            <v>47006</v>
          </cell>
        </row>
        <row r="263">
          <cell r="A263">
            <v>47007</v>
          </cell>
        </row>
        <row r="264">
          <cell r="A264">
            <v>47008</v>
          </cell>
        </row>
        <row r="265">
          <cell r="A265">
            <v>49001</v>
          </cell>
        </row>
        <row r="266">
          <cell r="A266">
            <v>49002</v>
          </cell>
        </row>
        <row r="267">
          <cell r="A267">
            <v>49003</v>
          </cell>
        </row>
        <row r="268">
          <cell r="A268">
            <v>49004</v>
          </cell>
        </row>
        <row r="269">
          <cell r="A269">
            <v>49005</v>
          </cell>
        </row>
        <row r="270">
          <cell r="A270">
            <v>49006</v>
          </cell>
        </row>
        <row r="271">
          <cell r="A271">
            <v>49007</v>
          </cell>
        </row>
        <row r="272">
          <cell r="A272">
            <v>49008</v>
          </cell>
        </row>
        <row r="273">
          <cell r="A273">
            <v>49009</v>
          </cell>
        </row>
        <row r="274">
          <cell r="A274">
            <v>49010</v>
          </cell>
        </row>
        <row r="275">
          <cell r="A275">
            <v>49011</v>
          </cell>
        </row>
        <row r="276">
          <cell r="A276">
            <v>49012</v>
          </cell>
        </row>
        <row r="277">
          <cell r="A277">
            <v>49013</v>
          </cell>
        </row>
        <row r="278">
          <cell r="A278">
            <v>50001</v>
          </cell>
        </row>
        <row r="279">
          <cell r="A279">
            <v>50002</v>
          </cell>
        </row>
        <row r="280">
          <cell r="A280">
            <v>50003</v>
          </cell>
        </row>
        <row r="281">
          <cell r="A281">
            <v>50004</v>
          </cell>
        </row>
        <row r="282">
          <cell r="A282">
            <v>50005</v>
          </cell>
        </row>
        <row r="283">
          <cell r="A283">
            <v>50006</v>
          </cell>
        </row>
        <row r="284">
          <cell r="A284">
            <v>50007</v>
          </cell>
        </row>
        <row r="285">
          <cell r="A285">
            <v>50008</v>
          </cell>
        </row>
        <row r="286">
          <cell r="A286">
            <v>50009</v>
          </cell>
        </row>
        <row r="287">
          <cell r="A287">
            <v>50010</v>
          </cell>
        </row>
        <row r="288">
          <cell r="A288">
            <v>50011</v>
          </cell>
        </row>
        <row r="289">
          <cell r="A289">
            <v>50012</v>
          </cell>
        </row>
        <row r="290">
          <cell r="A290">
            <v>50013</v>
          </cell>
        </row>
        <row r="291">
          <cell r="A291">
            <v>50014</v>
          </cell>
        </row>
        <row r="292">
          <cell r="A292">
            <v>51001</v>
          </cell>
        </row>
        <row r="293">
          <cell r="A293">
            <v>51002</v>
          </cell>
        </row>
        <row r="294">
          <cell r="A294">
            <v>59001</v>
          </cell>
        </row>
        <row r="295">
          <cell r="A295">
            <v>60001</v>
          </cell>
        </row>
        <row r="296">
          <cell r="A296">
            <v>60002</v>
          </cell>
        </row>
        <row r="297">
          <cell r="A297">
            <v>60003</v>
          </cell>
        </row>
        <row r="298">
          <cell r="A298">
            <v>60004</v>
          </cell>
        </row>
        <row r="299">
          <cell r="A299">
            <v>60005</v>
          </cell>
        </row>
        <row r="300">
          <cell r="A300">
            <v>60006</v>
          </cell>
        </row>
        <row r="301">
          <cell r="A301">
            <v>60007</v>
          </cell>
        </row>
        <row r="302">
          <cell r="A302">
            <v>60010</v>
          </cell>
        </row>
        <row r="303">
          <cell r="A303">
            <v>60011</v>
          </cell>
        </row>
        <row r="304">
          <cell r="A304">
            <v>61011</v>
          </cell>
        </row>
        <row r="305">
          <cell r="A305">
            <v>60012</v>
          </cell>
        </row>
        <row r="306">
          <cell r="A306">
            <v>60013</v>
          </cell>
        </row>
        <row r="307">
          <cell r="A307">
            <v>60014</v>
          </cell>
        </row>
        <row r="308">
          <cell r="A308">
            <v>60015</v>
          </cell>
        </row>
        <row r="309">
          <cell r="A309">
            <v>60016</v>
          </cell>
        </row>
        <row r="310">
          <cell r="A310">
            <v>60017</v>
          </cell>
        </row>
        <row r="311">
          <cell r="A311">
            <v>60018</v>
          </cell>
        </row>
        <row r="312">
          <cell r="A312">
            <v>60019</v>
          </cell>
        </row>
        <row r="313">
          <cell r="A313">
            <v>60020</v>
          </cell>
        </row>
        <row r="314">
          <cell r="A314">
            <v>60025</v>
          </cell>
        </row>
        <row r="315">
          <cell r="A315">
            <v>60026</v>
          </cell>
        </row>
        <row r="316">
          <cell r="A316">
            <v>60027</v>
          </cell>
        </row>
        <row r="317">
          <cell r="A317">
            <v>65525</v>
          </cell>
        </row>
        <row r="318">
          <cell r="A318">
            <v>65526</v>
          </cell>
        </row>
        <row r="319">
          <cell r="A319">
            <v>65527</v>
          </cell>
        </row>
        <row r="320">
          <cell r="A320">
            <v>65528</v>
          </cell>
        </row>
        <row r="321">
          <cell r="A321">
            <v>65529</v>
          </cell>
        </row>
        <row r="322">
          <cell r="A322">
            <v>65530</v>
          </cell>
        </row>
        <row r="323">
          <cell r="A323">
            <v>65531</v>
          </cell>
        </row>
        <row r="324">
          <cell r="A324">
            <v>65532</v>
          </cell>
        </row>
        <row r="325">
          <cell r="A325">
            <v>65533</v>
          </cell>
        </row>
        <row r="326">
          <cell r="A326">
            <v>65534</v>
          </cell>
        </row>
        <row r="327">
          <cell r="A327">
            <v>65535</v>
          </cell>
        </row>
        <row r="328">
          <cell r="A328">
            <v>60021</v>
          </cell>
        </row>
        <row r="329">
          <cell r="A329">
            <v>60022</v>
          </cell>
        </row>
        <row r="330">
          <cell r="A330">
            <v>60023</v>
          </cell>
        </row>
        <row r="331">
          <cell r="A33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13400_1</v>
          </cell>
        </row>
        <row r="402">
          <cell r="A402" t="str">
            <v>13400_2</v>
          </cell>
        </row>
        <row r="403">
          <cell r="A403" t="str">
            <v>13400_3</v>
          </cell>
        </row>
        <row r="404">
          <cell r="A404" t="str">
            <v>13400_4</v>
          </cell>
        </row>
        <row r="405">
          <cell r="A405" t="str">
            <v>13400_5</v>
          </cell>
        </row>
        <row r="406">
          <cell r="A406" t="str">
            <v>13400_6</v>
          </cell>
        </row>
        <row r="407">
          <cell r="A407" t="str">
            <v>13400_7</v>
          </cell>
        </row>
        <row r="408">
          <cell r="A408" t="str">
            <v>13400_8</v>
          </cell>
        </row>
        <row r="409">
          <cell r="A409" t="str">
            <v>13400_9</v>
          </cell>
        </row>
        <row r="410">
          <cell r="A410" t="str">
            <v>13400_10</v>
          </cell>
        </row>
        <row r="411">
          <cell r="A411" t="str">
            <v>13400_11</v>
          </cell>
        </row>
        <row r="412">
          <cell r="A412" t="str">
            <v>13400_12</v>
          </cell>
        </row>
        <row r="413">
          <cell r="A413" t="str">
            <v>13400_13</v>
          </cell>
        </row>
        <row r="414">
          <cell r="A414" t="str">
            <v>13400_14</v>
          </cell>
        </row>
        <row r="415">
          <cell r="A415" t="str">
            <v>13400_15</v>
          </cell>
        </row>
        <row r="416">
          <cell r="A416" t="str">
            <v>14001_1</v>
          </cell>
        </row>
        <row r="417">
          <cell r="A417" t="str">
            <v>14001_2</v>
          </cell>
        </row>
        <row r="418">
          <cell r="A418" t="str">
            <v>14001_3</v>
          </cell>
        </row>
        <row r="419">
          <cell r="A419" t="str">
            <v>14001_4</v>
          </cell>
        </row>
        <row r="420">
          <cell r="A420" t="str">
            <v>14001_5</v>
          </cell>
        </row>
        <row r="421">
          <cell r="A421" t="str">
            <v>14001_6</v>
          </cell>
        </row>
        <row r="422">
          <cell r="A422" t="str">
            <v>14001_7</v>
          </cell>
        </row>
        <row r="423">
          <cell r="A423" t="str">
            <v>14001_8</v>
          </cell>
        </row>
        <row r="424">
          <cell r="A424" t="str">
            <v>14002_1</v>
          </cell>
        </row>
        <row r="425">
          <cell r="A425" t="str">
            <v>14002_2</v>
          </cell>
        </row>
        <row r="426">
          <cell r="A426" t="str">
            <v>14003_1</v>
          </cell>
        </row>
        <row r="427">
          <cell r="A427" t="str">
            <v>14003_2</v>
          </cell>
        </row>
        <row r="428">
          <cell r="A428" t="str">
            <v>14003_3</v>
          </cell>
        </row>
        <row r="429">
          <cell r="A429" t="str">
            <v>14003_4</v>
          </cell>
        </row>
        <row r="430">
          <cell r="A430" t="str">
            <v>14004_1</v>
          </cell>
        </row>
        <row r="431">
          <cell r="A431" t="str">
            <v>14004_2</v>
          </cell>
        </row>
        <row r="432">
          <cell r="A432" t="str">
            <v>14004_3</v>
          </cell>
        </row>
        <row r="433">
          <cell r="A433" t="str">
            <v>14004_4</v>
          </cell>
        </row>
        <row r="434">
          <cell r="A434" t="str">
            <v>14005_1</v>
          </cell>
        </row>
        <row r="435">
          <cell r="A435" t="str">
            <v>14006_1</v>
          </cell>
        </row>
        <row r="436">
          <cell r="A436" t="str">
            <v>15027_1</v>
          </cell>
        </row>
        <row r="437">
          <cell r="A437" t="str">
            <v>15027_2</v>
          </cell>
        </row>
        <row r="438">
          <cell r="A438" t="str">
            <v>15027_3</v>
          </cell>
        </row>
        <row r="439">
          <cell r="A439" t="str">
            <v>15027_4</v>
          </cell>
        </row>
        <row r="440">
          <cell r="A440" t="str">
            <v>15028_1</v>
          </cell>
        </row>
        <row r="441">
          <cell r="A441" t="str">
            <v>15028_2</v>
          </cell>
        </row>
        <row r="442">
          <cell r="A442" t="str">
            <v>15028_3</v>
          </cell>
        </row>
        <row r="443">
          <cell r="A443" t="str">
            <v>15028_4</v>
          </cell>
        </row>
        <row r="444">
          <cell r="A444" t="str">
            <v>15029_1</v>
          </cell>
        </row>
        <row r="445">
          <cell r="A445" t="str">
            <v>15029_2</v>
          </cell>
        </row>
        <row r="446">
          <cell r="A446" t="str">
            <v>15029_3</v>
          </cell>
        </row>
        <row r="447">
          <cell r="A447" t="str">
            <v>15029_4</v>
          </cell>
        </row>
        <row r="448">
          <cell r="A448" t="str">
            <v>15030_1</v>
          </cell>
        </row>
        <row r="449">
          <cell r="A449" t="str">
            <v>15030_2</v>
          </cell>
        </row>
        <row r="450">
          <cell r="A450" t="str">
            <v>15030_3</v>
          </cell>
        </row>
        <row r="451">
          <cell r="A451" t="str">
            <v>15030_4</v>
          </cell>
        </row>
        <row r="452">
          <cell r="A452" t="str">
            <v>15031_1</v>
          </cell>
        </row>
        <row r="453">
          <cell r="A453" t="str">
            <v>15031_2</v>
          </cell>
        </row>
        <row r="454">
          <cell r="A454" t="str">
            <v>15031_3</v>
          </cell>
        </row>
        <row r="455">
          <cell r="A455" t="str">
            <v>15031_4</v>
          </cell>
        </row>
        <row r="456">
          <cell r="A456" t="str">
            <v>20001_1</v>
          </cell>
        </row>
        <row r="457">
          <cell r="A457" t="str">
            <v>20001_2</v>
          </cell>
        </row>
        <row r="458">
          <cell r="A458" t="str">
            <v>20001_3</v>
          </cell>
        </row>
        <row r="459">
          <cell r="A459" t="str">
            <v>20002_1</v>
          </cell>
        </row>
        <row r="460">
          <cell r="A460" t="str">
            <v>20002_2</v>
          </cell>
        </row>
        <row r="461">
          <cell r="A461" t="str">
            <v>20002_3</v>
          </cell>
        </row>
        <row r="462">
          <cell r="A462" t="str">
            <v>20003_1</v>
          </cell>
        </row>
        <row r="463">
          <cell r="A463" t="str">
            <v>20003_2</v>
          </cell>
        </row>
        <row r="464">
          <cell r="A464" t="str">
            <v>20003_3</v>
          </cell>
        </row>
        <row r="465">
          <cell r="A465" t="str">
            <v>20004_1</v>
          </cell>
        </row>
        <row r="466">
          <cell r="A466" t="str">
            <v>20004_2</v>
          </cell>
        </row>
        <row r="467">
          <cell r="A467" t="str">
            <v>20004_3</v>
          </cell>
        </row>
        <row r="468">
          <cell r="A468" t="str">
            <v>20005_1</v>
          </cell>
        </row>
        <row r="469">
          <cell r="A469" t="str">
            <v>20005_2</v>
          </cell>
        </row>
        <row r="470">
          <cell r="A470" t="str">
            <v>20005_3</v>
          </cell>
        </row>
        <row r="471">
          <cell r="A471" t="str">
            <v>20006_1</v>
          </cell>
        </row>
        <row r="472">
          <cell r="A472" t="str">
            <v>20006_2</v>
          </cell>
        </row>
        <row r="473">
          <cell r="A473" t="str">
            <v>20006_3</v>
          </cell>
        </row>
        <row r="474">
          <cell r="A474" t="str">
            <v>20007_1</v>
          </cell>
        </row>
        <row r="475">
          <cell r="A475" t="str">
            <v>20007_2</v>
          </cell>
        </row>
        <row r="476">
          <cell r="A476" t="str">
            <v>20007_3</v>
          </cell>
        </row>
        <row r="477">
          <cell r="A477" t="str">
            <v>20008_1</v>
          </cell>
        </row>
        <row r="478">
          <cell r="A478" t="str">
            <v>20008_2</v>
          </cell>
        </row>
        <row r="479">
          <cell r="A479" t="str">
            <v>20008_3</v>
          </cell>
        </row>
        <row r="480">
          <cell r="A480" t="str">
            <v>20009_1</v>
          </cell>
        </row>
        <row r="481">
          <cell r="A481" t="str">
            <v>20009_2</v>
          </cell>
        </row>
        <row r="482">
          <cell r="A482" t="str">
            <v>20009_3</v>
          </cell>
        </row>
        <row r="483">
          <cell r="A483" t="str">
            <v>20010_1</v>
          </cell>
        </row>
        <row r="484">
          <cell r="A484" t="str">
            <v>20010_2</v>
          </cell>
        </row>
        <row r="485">
          <cell r="A485" t="str">
            <v>20010_3</v>
          </cell>
        </row>
        <row r="486">
          <cell r="A486" t="str">
            <v>20011_1</v>
          </cell>
        </row>
        <row r="487">
          <cell r="A487" t="str">
            <v>20011_2</v>
          </cell>
        </row>
        <row r="488">
          <cell r="A488" t="str">
            <v>20011_3</v>
          </cell>
        </row>
        <row r="489">
          <cell r="A489" t="str">
            <v>20012_1</v>
          </cell>
        </row>
        <row r="490">
          <cell r="A490" t="str">
            <v>20012_2</v>
          </cell>
        </row>
        <row r="491">
          <cell r="A491" t="str">
            <v>20012_3</v>
          </cell>
        </row>
        <row r="492">
          <cell r="A492" t="str">
            <v>20013_1</v>
          </cell>
        </row>
        <row r="493">
          <cell r="A493" t="str">
            <v>20013_2</v>
          </cell>
        </row>
        <row r="494">
          <cell r="A494" t="str">
            <v>20013_3</v>
          </cell>
        </row>
        <row r="495">
          <cell r="A495" t="str">
            <v>20014_1</v>
          </cell>
        </row>
        <row r="496">
          <cell r="A496" t="str">
            <v>20014_2</v>
          </cell>
        </row>
        <row r="497">
          <cell r="A497" t="str">
            <v>20014_3</v>
          </cell>
        </row>
        <row r="498">
          <cell r="A498" t="str">
            <v>20015_1</v>
          </cell>
        </row>
        <row r="499">
          <cell r="A499" t="str">
            <v>20015_2</v>
          </cell>
        </row>
        <row r="500">
          <cell r="A500" t="str">
            <v>20015_3</v>
          </cell>
        </row>
        <row r="501">
          <cell r="A501" t="str">
            <v>20016_1</v>
          </cell>
        </row>
        <row r="502">
          <cell r="A502" t="str">
            <v>20016_2</v>
          </cell>
        </row>
        <row r="503">
          <cell r="A503" t="str">
            <v>20016_3</v>
          </cell>
        </row>
        <row r="504">
          <cell r="A504" t="str">
            <v>20017_1</v>
          </cell>
        </row>
        <row r="505">
          <cell r="A505" t="str">
            <v>20017_2</v>
          </cell>
        </row>
        <row r="506">
          <cell r="A506" t="str">
            <v>20017_3</v>
          </cell>
        </row>
        <row r="507">
          <cell r="A507" t="str">
            <v>20018_1</v>
          </cell>
        </row>
        <row r="508">
          <cell r="A508" t="str">
            <v>20018_2</v>
          </cell>
        </row>
        <row r="509">
          <cell r="A509" t="str">
            <v>20018_3</v>
          </cell>
        </row>
        <row r="510">
          <cell r="A510" t="str">
            <v>20019_1</v>
          </cell>
        </row>
        <row r="511">
          <cell r="A511" t="str">
            <v>20019_2</v>
          </cell>
        </row>
        <row r="512">
          <cell r="A512" t="str">
            <v>20019_3</v>
          </cell>
        </row>
        <row r="513">
          <cell r="A513" t="str">
            <v>20020_1</v>
          </cell>
        </row>
        <row r="514">
          <cell r="A514" t="str">
            <v>20020_2</v>
          </cell>
        </row>
        <row r="515">
          <cell r="A515" t="str">
            <v>20020_3</v>
          </cell>
        </row>
        <row r="516">
          <cell r="A516" t="str">
            <v>20021_1</v>
          </cell>
        </row>
        <row r="517">
          <cell r="A517" t="str">
            <v>20021_2</v>
          </cell>
        </row>
        <row r="518">
          <cell r="A518" t="str">
            <v>20021_3</v>
          </cell>
        </row>
        <row r="519">
          <cell r="A519" t="str">
            <v>20022_1</v>
          </cell>
        </row>
        <row r="520">
          <cell r="A520" t="str">
            <v>30001_1</v>
          </cell>
        </row>
        <row r="521">
          <cell r="A521" t="str">
            <v>30001_2</v>
          </cell>
        </row>
        <row r="522">
          <cell r="A522" t="str">
            <v>30001_3</v>
          </cell>
        </row>
        <row r="523">
          <cell r="A523" t="str">
            <v>30002_1</v>
          </cell>
        </row>
        <row r="524">
          <cell r="A524" t="str">
            <v>30002_2</v>
          </cell>
        </row>
        <row r="525">
          <cell r="A525" t="str">
            <v>30002_3</v>
          </cell>
        </row>
        <row r="526">
          <cell r="A526" t="str">
            <v>30003_1</v>
          </cell>
        </row>
        <row r="527">
          <cell r="A527" t="str">
            <v>30003_2</v>
          </cell>
        </row>
        <row r="528">
          <cell r="A528" t="str">
            <v>30003_3</v>
          </cell>
        </row>
        <row r="529">
          <cell r="A529" t="str">
            <v>30004_1</v>
          </cell>
        </row>
        <row r="530">
          <cell r="A530" t="str">
            <v>30004_2</v>
          </cell>
        </row>
        <row r="531">
          <cell r="A531" t="str">
            <v>30004_3</v>
          </cell>
        </row>
        <row r="532">
          <cell r="A532" t="str">
            <v>30005_1</v>
          </cell>
        </row>
        <row r="533">
          <cell r="A533" t="str">
            <v>30005_2</v>
          </cell>
        </row>
        <row r="534">
          <cell r="A534" t="str">
            <v>30005_3</v>
          </cell>
        </row>
        <row r="535">
          <cell r="A535" t="str">
            <v>30006_1</v>
          </cell>
        </row>
        <row r="536">
          <cell r="A536" t="str">
            <v>30006_2</v>
          </cell>
        </row>
        <row r="537">
          <cell r="A537" t="str">
            <v>30006_3</v>
          </cell>
        </row>
        <row r="538">
          <cell r="A538" t="str">
            <v>30007_1</v>
          </cell>
        </row>
        <row r="539">
          <cell r="A539" t="str">
            <v>30007_2</v>
          </cell>
        </row>
        <row r="540">
          <cell r="A540" t="str">
            <v>30007_3</v>
          </cell>
        </row>
        <row r="541">
          <cell r="A541" t="str">
            <v>30008_1</v>
          </cell>
        </row>
        <row r="542">
          <cell r="A542" t="str">
            <v>30008_2</v>
          </cell>
        </row>
        <row r="543">
          <cell r="A543" t="str">
            <v>30008_3</v>
          </cell>
        </row>
        <row r="544">
          <cell r="A544" t="str">
            <v>30009_3</v>
          </cell>
        </row>
        <row r="545">
          <cell r="A545" t="str">
            <v>30009_1</v>
          </cell>
        </row>
        <row r="546">
          <cell r="A546" t="str">
            <v>30009_2</v>
          </cell>
        </row>
        <row r="547">
          <cell r="A547" t="str">
            <v>30010_1</v>
          </cell>
        </row>
        <row r="548">
          <cell r="A548" t="str">
            <v>30010_2</v>
          </cell>
        </row>
        <row r="549">
          <cell r="A549" t="str">
            <v>30010_3</v>
          </cell>
        </row>
        <row r="550">
          <cell r="A550" t="str">
            <v>30011_1</v>
          </cell>
        </row>
        <row r="551">
          <cell r="A551" t="str">
            <v>30011_2</v>
          </cell>
        </row>
        <row r="552">
          <cell r="A552" t="str">
            <v>30011_3</v>
          </cell>
        </row>
        <row r="553">
          <cell r="A553" t="str">
            <v>30012_1</v>
          </cell>
        </row>
        <row r="554">
          <cell r="A554" t="str">
            <v>30012_2</v>
          </cell>
        </row>
        <row r="555">
          <cell r="A555" t="str">
            <v>30012_3</v>
          </cell>
        </row>
        <row r="556">
          <cell r="A556" t="str">
            <v>30013_1</v>
          </cell>
        </row>
        <row r="557">
          <cell r="A557" t="str">
            <v>30013_2</v>
          </cell>
        </row>
        <row r="558">
          <cell r="A558" t="str">
            <v>30014_1</v>
          </cell>
        </row>
        <row r="559">
          <cell r="A559" t="str">
            <v>30014_2</v>
          </cell>
        </row>
        <row r="560">
          <cell r="A560" t="str">
            <v>30015_1</v>
          </cell>
        </row>
        <row r="561">
          <cell r="A561" t="str">
            <v>30015_2</v>
          </cell>
        </row>
        <row r="562">
          <cell r="A562" t="str">
            <v>30016_1</v>
          </cell>
        </row>
        <row r="563">
          <cell r="A563" t="str">
            <v>30016_2</v>
          </cell>
        </row>
        <row r="564">
          <cell r="A564" t="str">
            <v>30017_1</v>
          </cell>
        </row>
        <row r="565">
          <cell r="A565" t="str">
            <v>30017_2</v>
          </cell>
        </row>
        <row r="566">
          <cell r="A566" t="str">
            <v>30018_1</v>
          </cell>
        </row>
        <row r="567">
          <cell r="A567" t="str">
            <v>30018_2</v>
          </cell>
        </row>
        <row r="568">
          <cell r="A568" t="str">
            <v>30019_1</v>
          </cell>
        </row>
        <row r="569">
          <cell r="A569" t="str">
            <v>30019_2</v>
          </cell>
        </row>
        <row r="570">
          <cell r="A570" t="str">
            <v>30020_1</v>
          </cell>
        </row>
        <row r="571">
          <cell r="A571" t="str">
            <v>30020_2</v>
          </cell>
        </row>
        <row r="572">
          <cell r="A572" t="str">
            <v>30021_1</v>
          </cell>
        </row>
        <row r="573">
          <cell r="A573" t="str">
            <v>30021_2</v>
          </cell>
        </row>
        <row r="574">
          <cell r="A574" t="str">
            <v>30021_3</v>
          </cell>
        </row>
        <row r="575">
          <cell r="A575" t="str">
            <v>30022_1</v>
          </cell>
        </row>
        <row r="576">
          <cell r="A576" t="str">
            <v>30022_2</v>
          </cell>
        </row>
        <row r="577">
          <cell r="A577" t="str">
            <v>30023_1</v>
          </cell>
        </row>
        <row r="578">
          <cell r="A578" t="str">
            <v>30023_2</v>
          </cell>
        </row>
        <row r="579">
          <cell r="A579" t="str">
            <v>30023_3</v>
          </cell>
        </row>
        <row r="580">
          <cell r="A580" t="str">
            <v>30024_1</v>
          </cell>
        </row>
        <row r="581">
          <cell r="A581" t="str">
            <v>30024_2</v>
          </cell>
        </row>
        <row r="582">
          <cell r="A582" t="str">
            <v>30024_3</v>
          </cell>
        </row>
        <row r="583">
          <cell r="A583" t="str">
            <v>30025_1</v>
          </cell>
        </row>
        <row r="584">
          <cell r="A584" t="str">
            <v>30025_2</v>
          </cell>
        </row>
        <row r="585">
          <cell r="A585" t="str">
            <v>30025_3</v>
          </cell>
        </row>
        <row r="586">
          <cell r="A586" t="str">
            <v>30026_1</v>
          </cell>
        </row>
        <row r="587">
          <cell r="A587" t="str">
            <v>30026_2</v>
          </cell>
        </row>
        <row r="588">
          <cell r="A588" t="str">
            <v>30026_3</v>
          </cell>
        </row>
        <row r="589">
          <cell r="A589" t="str">
            <v>30027_1</v>
          </cell>
        </row>
        <row r="590">
          <cell r="A590" t="str">
            <v>30027_2</v>
          </cell>
        </row>
        <row r="591">
          <cell r="A591" t="str">
            <v>30027_3</v>
          </cell>
        </row>
        <row r="592">
          <cell r="A592" t="str">
            <v>30028_1</v>
          </cell>
        </row>
        <row r="593">
          <cell r="A593" t="str">
            <v>30028_2</v>
          </cell>
        </row>
        <row r="594">
          <cell r="A594" t="str">
            <v>30028_3</v>
          </cell>
        </row>
        <row r="595">
          <cell r="A595" t="str">
            <v>30029_1</v>
          </cell>
        </row>
        <row r="596">
          <cell r="A596" t="str">
            <v>30029_2</v>
          </cell>
        </row>
        <row r="597">
          <cell r="A597" t="str">
            <v>30029_3</v>
          </cell>
        </row>
        <row r="598">
          <cell r="A598" t="str">
            <v>30030_1</v>
          </cell>
        </row>
        <row r="599">
          <cell r="A599" t="str">
            <v>30030_2</v>
          </cell>
        </row>
        <row r="600">
          <cell r="A600" t="str">
            <v>30030_3</v>
          </cell>
        </row>
        <row r="601">
          <cell r="A601" t="str">
            <v>30031_1</v>
          </cell>
        </row>
        <row r="602">
          <cell r="A602" t="str">
            <v>30031_2</v>
          </cell>
        </row>
        <row r="603">
          <cell r="A603" t="str">
            <v>30031_3</v>
          </cell>
        </row>
        <row r="604">
          <cell r="A604" t="str">
            <v>30032_1</v>
          </cell>
        </row>
        <row r="605">
          <cell r="A605" t="str">
            <v>30032_2</v>
          </cell>
        </row>
        <row r="606">
          <cell r="A606" t="str">
            <v>30032_3</v>
          </cell>
        </row>
        <row r="607">
          <cell r="A607" t="str">
            <v>30033_1</v>
          </cell>
        </row>
        <row r="608">
          <cell r="A608" t="str">
            <v>30033_2</v>
          </cell>
        </row>
        <row r="609">
          <cell r="A609" t="str">
            <v>30033_3</v>
          </cell>
        </row>
        <row r="610">
          <cell r="A610" t="str">
            <v>30034_1</v>
          </cell>
        </row>
        <row r="611">
          <cell r="A611" t="str">
            <v>30034_2</v>
          </cell>
        </row>
        <row r="612">
          <cell r="A612" t="str">
            <v>30034_3</v>
          </cell>
        </row>
        <row r="613">
          <cell r="A613" t="str">
            <v>30035_1</v>
          </cell>
        </row>
        <row r="614">
          <cell r="A614" t="str">
            <v>30035_2</v>
          </cell>
        </row>
        <row r="615">
          <cell r="A615" t="str">
            <v>30035_3</v>
          </cell>
        </row>
        <row r="616">
          <cell r="A616" t="str">
            <v>30036_1</v>
          </cell>
        </row>
        <row r="617">
          <cell r="A617" t="str">
            <v>30036_2</v>
          </cell>
        </row>
        <row r="618">
          <cell r="A618" t="str">
            <v>30036_3</v>
          </cell>
        </row>
        <row r="619">
          <cell r="A619" t="str">
            <v>30037_1</v>
          </cell>
        </row>
        <row r="620">
          <cell r="A620" t="str">
            <v>30037_2</v>
          </cell>
        </row>
        <row r="621">
          <cell r="A621" t="str">
            <v>30037_3</v>
          </cell>
        </row>
        <row r="622">
          <cell r="A622" t="str">
            <v>30038_1</v>
          </cell>
        </row>
        <row r="623">
          <cell r="A623" t="str">
            <v>30038_2</v>
          </cell>
        </row>
        <row r="624">
          <cell r="A624" t="str">
            <v>30038_3</v>
          </cell>
        </row>
        <row r="625">
          <cell r="A625" t="str">
            <v>30039_1</v>
          </cell>
        </row>
        <row r="626">
          <cell r="A626" t="str">
            <v>30039_2</v>
          </cell>
        </row>
        <row r="627">
          <cell r="A627" t="str">
            <v>30039_3</v>
          </cell>
        </row>
        <row r="628">
          <cell r="A628" t="str">
            <v>30040_1</v>
          </cell>
        </row>
        <row r="629">
          <cell r="A629" t="str">
            <v>30040_2</v>
          </cell>
        </row>
        <row r="630">
          <cell r="A630" t="str">
            <v>30040_3</v>
          </cell>
        </row>
        <row r="631">
          <cell r="A631" t="str">
            <v>30041_1</v>
          </cell>
        </row>
        <row r="632">
          <cell r="A632" t="str">
            <v>30041_2</v>
          </cell>
        </row>
        <row r="633">
          <cell r="A633" t="str">
            <v>30041_3</v>
          </cell>
        </row>
        <row r="634">
          <cell r="A634" t="str">
            <v>30042_1</v>
          </cell>
        </row>
        <row r="635">
          <cell r="A635" t="str">
            <v>30042_2</v>
          </cell>
        </row>
        <row r="636">
          <cell r="A636" t="str">
            <v>30042_3</v>
          </cell>
        </row>
        <row r="637">
          <cell r="A637" t="str">
            <v>30043_1</v>
          </cell>
        </row>
        <row r="638">
          <cell r="A638" t="str">
            <v>30043_2</v>
          </cell>
        </row>
        <row r="639">
          <cell r="A639" t="str">
            <v>30043_3</v>
          </cell>
        </row>
        <row r="640">
          <cell r="A640" t="str">
            <v>30044_1</v>
          </cell>
        </row>
        <row r="641">
          <cell r="A641" t="str">
            <v>30044_2</v>
          </cell>
        </row>
        <row r="642">
          <cell r="A642" t="str">
            <v>30044_3</v>
          </cell>
        </row>
        <row r="643">
          <cell r="A643" t="str">
            <v>30045_1</v>
          </cell>
        </row>
        <row r="644">
          <cell r="A644" t="str">
            <v>30045_2</v>
          </cell>
        </row>
        <row r="645">
          <cell r="A645" t="str">
            <v>30045_3</v>
          </cell>
        </row>
        <row r="646">
          <cell r="A646" t="str">
            <v>30046_1</v>
          </cell>
        </row>
        <row r="647">
          <cell r="A647" t="str">
            <v>30046_2</v>
          </cell>
        </row>
        <row r="648">
          <cell r="A648" t="str">
            <v>30046_3</v>
          </cell>
        </row>
        <row r="649">
          <cell r="A649" t="str">
            <v>30047_1</v>
          </cell>
        </row>
        <row r="650">
          <cell r="A650" t="str">
            <v>30047_2</v>
          </cell>
        </row>
        <row r="651">
          <cell r="A651" t="str">
            <v>30047_3</v>
          </cell>
        </row>
        <row r="652">
          <cell r="A652" t="str">
            <v>30048_1</v>
          </cell>
        </row>
        <row r="653">
          <cell r="A653" t="str">
            <v>30048_2</v>
          </cell>
        </row>
        <row r="654">
          <cell r="A654" t="str">
            <v>30048_3</v>
          </cell>
        </row>
        <row r="655">
          <cell r="A655" t="str">
            <v>39001_1</v>
          </cell>
        </row>
        <row r="656">
          <cell r="A656" t="str">
            <v>39001_2</v>
          </cell>
        </row>
        <row r="657">
          <cell r="A657" t="str">
            <v>39001_3</v>
          </cell>
        </row>
        <row r="658">
          <cell r="A658" t="str">
            <v>39001_4</v>
          </cell>
        </row>
        <row r="659">
          <cell r="A659" t="str">
            <v>39001_5</v>
          </cell>
        </row>
        <row r="660">
          <cell r="A660" t="str">
            <v>39002_1</v>
          </cell>
        </row>
        <row r="661">
          <cell r="A661" t="str">
            <v>39002_2</v>
          </cell>
        </row>
        <row r="662">
          <cell r="A662" t="str">
            <v>39002_3</v>
          </cell>
        </row>
        <row r="663">
          <cell r="A663" t="str">
            <v>39002_4</v>
          </cell>
        </row>
        <row r="664">
          <cell r="A664" t="str">
            <v>39003_1</v>
          </cell>
        </row>
        <row r="665">
          <cell r="A665" t="str">
            <v>39003_2</v>
          </cell>
        </row>
        <row r="666">
          <cell r="A666" t="str">
            <v>39003_3</v>
          </cell>
        </row>
        <row r="667">
          <cell r="A667" t="str">
            <v>39003_4</v>
          </cell>
        </row>
        <row r="668">
          <cell r="A668" t="str">
            <v>39004_1</v>
          </cell>
        </row>
        <row r="669">
          <cell r="A669" t="str">
            <v>39004_2</v>
          </cell>
        </row>
        <row r="670">
          <cell r="A670" t="str">
            <v>39004_3</v>
          </cell>
        </row>
        <row r="671">
          <cell r="A671" t="str">
            <v>39004_4</v>
          </cell>
        </row>
        <row r="672">
          <cell r="A672" t="str">
            <v>39005_1</v>
          </cell>
        </row>
        <row r="673">
          <cell r="A673" t="str">
            <v>39005_2</v>
          </cell>
        </row>
        <row r="674">
          <cell r="A674" t="str">
            <v>39005_3</v>
          </cell>
        </row>
        <row r="675">
          <cell r="A675" t="str">
            <v>39005_4</v>
          </cell>
        </row>
        <row r="676">
          <cell r="A676" t="str">
            <v>39005_5</v>
          </cell>
        </row>
        <row r="677">
          <cell r="A677" t="str">
            <v>39006_1</v>
          </cell>
        </row>
        <row r="678">
          <cell r="A678" t="str">
            <v>39006_2</v>
          </cell>
        </row>
        <row r="679">
          <cell r="A679" t="str">
            <v>39006_3</v>
          </cell>
        </row>
        <row r="680">
          <cell r="A680" t="str">
            <v>39006_4</v>
          </cell>
        </row>
        <row r="681">
          <cell r="A681" t="str">
            <v>39007_1</v>
          </cell>
        </row>
        <row r="682">
          <cell r="A682" t="str">
            <v>39007_2</v>
          </cell>
        </row>
        <row r="683">
          <cell r="A683" t="str">
            <v>39007_3</v>
          </cell>
        </row>
        <row r="684">
          <cell r="A684" t="str">
            <v>39007_4</v>
          </cell>
        </row>
        <row r="685">
          <cell r="A685" t="str">
            <v>39008_1</v>
          </cell>
        </row>
        <row r="686">
          <cell r="A686" t="str">
            <v>39008_2</v>
          </cell>
        </row>
        <row r="687">
          <cell r="A687" t="str">
            <v>39008_3</v>
          </cell>
        </row>
        <row r="688">
          <cell r="A688" t="str">
            <v>39008_4</v>
          </cell>
        </row>
        <row r="689">
          <cell r="A689" t="str">
            <v>39008_5</v>
          </cell>
        </row>
        <row r="690">
          <cell r="A690" t="str">
            <v>39009_1</v>
          </cell>
        </row>
        <row r="691">
          <cell r="A691" t="str">
            <v>39009_2</v>
          </cell>
        </row>
        <row r="692">
          <cell r="A692" t="str">
            <v>39009_3</v>
          </cell>
        </row>
        <row r="693">
          <cell r="A693" t="str">
            <v>39009_4</v>
          </cell>
        </row>
        <row r="694">
          <cell r="A694" t="str">
            <v>39009_5</v>
          </cell>
        </row>
        <row r="695">
          <cell r="A695" t="str">
            <v>39010_1</v>
          </cell>
        </row>
        <row r="696">
          <cell r="A696" t="str">
            <v>39010_2</v>
          </cell>
        </row>
        <row r="697">
          <cell r="A697" t="str">
            <v>39010_3</v>
          </cell>
        </row>
        <row r="698">
          <cell r="A698" t="str">
            <v>39010_4</v>
          </cell>
        </row>
        <row r="699">
          <cell r="A699" t="str">
            <v>39011_1</v>
          </cell>
        </row>
        <row r="700">
          <cell r="A700" t="str">
            <v>39011_2</v>
          </cell>
        </row>
        <row r="701">
          <cell r="A701" t="str">
            <v>39011_3</v>
          </cell>
        </row>
        <row r="702">
          <cell r="A702" t="str">
            <v>39011_4</v>
          </cell>
        </row>
        <row r="703">
          <cell r="A703" t="str">
            <v>40001_1</v>
          </cell>
        </row>
        <row r="704">
          <cell r="A704" t="str">
            <v>40002_1</v>
          </cell>
        </row>
        <row r="705">
          <cell r="A705" t="str">
            <v>40002_2</v>
          </cell>
        </row>
        <row r="706">
          <cell r="A706" t="str">
            <v>40002_3</v>
          </cell>
        </row>
        <row r="707">
          <cell r="A707" t="str">
            <v>40003_1</v>
          </cell>
        </row>
        <row r="708">
          <cell r="A708" t="str">
            <v>40004_1</v>
          </cell>
        </row>
        <row r="709">
          <cell r="A709" t="str">
            <v>40005_1</v>
          </cell>
        </row>
        <row r="710">
          <cell r="A710" t="str">
            <v>40006_1</v>
          </cell>
        </row>
        <row r="711">
          <cell r="A711" t="str">
            <v>40007_1</v>
          </cell>
        </row>
        <row r="712">
          <cell r="A712" t="str">
            <v>40008_1</v>
          </cell>
        </row>
        <row r="713">
          <cell r="A713" t="str">
            <v>40009_1</v>
          </cell>
        </row>
        <row r="714">
          <cell r="A714" t="str">
            <v>40010_1</v>
          </cell>
        </row>
        <row r="715">
          <cell r="A715" t="str">
            <v>40011_1</v>
          </cell>
        </row>
        <row r="716">
          <cell r="A716" t="str">
            <v>40012_1</v>
          </cell>
        </row>
        <row r="717">
          <cell r="A717" t="str">
            <v>40013_1</v>
          </cell>
        </row>
        <row r="718">
          <cell r="A718" t="str">
            <v>40014_1</v>
          </cell>
        </row>
        <row r="719">
          <cell r="A719" t="str">
            <v>40015_1</v>
          </cell>
        </row>
        <row r="720">
          <cell r="A720" t="str">
            <v>40016_1</v>
          </cell>
        </row>
        <row r="721">
          <cell r="A721" t="str">
            <v>40016_2</v>
          </cell>
        </row>
        <row r="722">
          <cell r="A722" t="str">
            <v>40017_1</v>
          </cell>
        </row>
        <row r="723">
          <cell r="A723" t="str">
            <v>40017_2</v>
          </cell>
        </row>
        <row r="724">
          <cell r="A724" t="str">
            <v>40017_3</v>
          </cell>
        </row>
        <row r="725">
          <cell r="A725" t="str">
            <v>40018_1</v>
          </cell>
        </row>
        <row r="726">
          <cell r="A726" t="str">
            <v>40018_2</v>
          </cell>
        </row>
        <row r="727">
          <cell r="A727" t="str">
            <v>40018_3</v>
          </cell>
        </row>
        <row r="728">
          <cell r="A728" t="str">
            <v>40019_1</v>
          </cell>
        </row>
        <row r="729">
          <cell r="A729" t="str">
            <v>40019_2</v>
          </cell>
        </row>
        <row r="730">
          <cell r="A730" t="str">
            <v>40019_3</v>
          </cell>
        </row>
        <row r="731">
          <cell r="A731" t="str">
            <v>40021_1</v>
          </cell>
        </row>
        <row r="732">
          <cell r="A732" t="str">
            <v>40021_2</v>
          </cell>
        </row>
        <row r="733">
          <cell r="A733" t="str">
            <v>40022_1</v>
          </cell>
        </row>
        <row r="734">
          <cell r="A734" t="str">
            <v>40022_2</v>
          </cell>
        </row>
        <row r="735">
          <cell r="A735" t="str">
            <v>40023_1</v>
          </cell>
        </row>
        <row r="736">
          <cell r="A736" t="str">
            <v>40023_2</v>
          </cell>
        </row>
        <row r="737">
          <cell r="A737" t="str">
            <v>40024_1</v>
          </cell>
        </row>
        <row r="738">
          <cell r="A738" t="str">
            <v>40024_2</v>
          </cell>
        </row>
        <row r="739">
          <cell r="A739" t="str">
            <v>40025_1</v>
          </cell>
        </row>
        <row r="740">
          <cell r="A740" t="str">
            <v>40025_2</v>
          </cell>
        </row>
        <row r="741">
          <cell r="A741" t="str">
            <v>40026_1</v>
          </cell>
        </row>
        <row r="742">
          <cell r="A742" t="str">
            <v>40026_2</v>
          </cell>
        </row>
        <row r="743">
          <cell r="A743" t="str">
            <v>40027_1</v>
          </cell>
        </row>
        <row r="744">
          <cell r="A744" t="str">
            <v>40027_2</v>
          </cell>
        </row>
        <row r="745">
          <cell r="A745" t="str">
            <v>40028_1</v>
          </cell>
        </row>
        <row r="746">
          <cell r="A746" t="str">
            <v>40028_2</v>
          </cell>
        </row>
        <row r="747">
          <cell r="A747" t="str">
            <v>40029_1</v>
          </cell>
        </row>
        <row r="748">
          <cell r="A748" t="str">
            <v>40029_2</v>
          </cell>
        </row>
        <row r="749">
          <cell r="A749" t="str">
            <v>40030_1</v>
          </cell>
        </row>
        <row r="750">
          <cell r="A750" t="str">
            <v>40030_2</v>
          </cell>
        </row>
        <row r="751">
          <cell r="A751" t="str">
            <v>40031_1</v>
          </cell>
        </row>
        <row r="752">
          <cell r="A752" t="str">
            <v>40031_2</v>
          </cell>
        </row>
        <row r="753">
          <cell r="A753" t="str">
            <v>40032_1</v>
          </cell>
        </row>
        <row r="754">
          <cell r="A754" t="str">
            <v>40032_2</v>
          </cell>
        </row>
        <row r="755">
          <cell r="A755" t="str">
            <v>40033_1</v>
          </cell>
        </row>
        <row r="756">
          <cell r="A756" t="str">
            <v>40033_2</v>
          </cell>
        </row>
        <row r="757">
          <cell r="A757" t="str">
            <v>40034_1</v>
          </cell>
        </row>
        <row r="758">
          <cell r="A758" t="str">
            <v>40034_2</v>
          </cell>
        </row>
        <row r="759">
          <cell r="A759" t="str">
            <v>40035_1</v>
          </cell>
        </row>
        <row r="760">
          <cell r="A760" t="str">
            <v>40035_2</v>
          </cell>
        </row>
        <row r="761">
          <cell r="A761" t="str">
            <v>40036_1</v>
          </cell>
        </row>
        <row r="762">
          <cell r="A762" t="str">
            <v>40036_2</v>
          </cell>
        </row>
        <row r="763">
          <cell r="A763" t="str">
            <v>40037_1</v>
          </cell>
        </row>
        <row r="764">
          <cell r="A764" t="str">
            <v>40037_2</v>
          </cell>
        </row>
        <row r="765">
          <cell r="A765" t="str">
            <v>40038_1</v>
          </cell>
        </row>
        <row r="766">
          <cell r="A766" t="str">
            <v>40038_2</v>
          </cell>
        </row>
        <row r="767">
          <cell r="A767" t="str">
            <v>40039_1</v>
          </cell>
        </row>
        <row r="768">
          <cell r="A768" t="str">
            <v>40039_2</v>
          </cell>
        </row>
        <row r="769">
          <cell r="A769" t="str">
            <v>40040_1</v>
          </cell>
        </row>
        <row r="770">
          <cell r="A770" t="str">
            <v>40040_2</v>
          </cell>
        </row>
        <row r="771">
          <cell r="A771" t="str">
            <v>40041_1</v>
          </cell>
        </row>
        <row r="772">
          <cell r="A772" t="str">
            <v>40041_2</v>
          </cell>
        </row>
        <row r="773">
          <cell r="A773" t="str">
            <v>40042_1</v>
          </cell>
        </row>
        <row r="774">
          <cell r="A774" t="str">
            <v>40042_2</v>
          </cell>
        </row>
        <row r="775">
          <cell r="A775" t="str">
            <v>40043_1</v>
          </cell>
        </row>
        <row r="776">
          <cell r="A776" t="str">
            <v>40043_2</v>
          </cell>
        </row>
        <row r="777">
          <cell r="A777" t="str">
            <v>41001_1</v>
          </cell>
        </row>
        <row r="778">
          <cell r="A778" t="str">
            <v>41001_2</v>
          </cell>
        </row>
        <row r="779">
          <cell r="A779" t="str">
            <v>41001_3</v>
          </cell>
        </row>
        <row r="780">
          <cell r="A780" t="str">
            <v>41002_1</v>
          </cell>
        </row>
        <row r="781">
          <cell r="A781" t="str">
            <v>41002_2</v>
          </cell>
        </row>
        <row r="782">
          <cell r="A782" t="str">
            <v>41002_3</v>
          </cell>
        </row>
        <row r="783">
          <cell r="A783" t="str">
            <v>41003_1</v>
          </cell>
        </row>
        <row r="784">
          <cell r="A784" t="str">
            <v>41003_2</v>
          </cell>
        </row>
        <row r="785">
          <cell r="A785" t="str">
            <v>41003_3</v>
          </cell>
        </row>
        <row r="786">
          <cell r="A786" t="str">
            <v>41004_1</v>
          </cell>
        </row>
        <row r="787">
          <cell r="A787" t="str">
            <v>41004_2</v>
          </cell>
        </row>
        <row r="788">
          <cell r="A788" t="str">
            <v>41004_3</v>
          </cell>
        </row>
        <row r="789">
          <cell r="A789" t="str">
            <v>41005_1</v>
          </cell>
        </row>
        <row r="790">
          <cell r="A790" t="str">
            <v>41005_2</v>
          </cell>
        </row>
        <row r="791">
          <cell r="A791" t="str">
            <v>41005_3</v>
          </cell>
        </row>
        <row r="792">
          <cell r="A792" t="str">
            <v>41006_1</v>
          </cell>
        </row>
        <row r="793">
          <cell r="A793" t="str">
            <v>41006_2</v>
          </cell>
        </row>
        <row r="794">
          <cell r="A794" t="str">
            <v>41006_3</v>
          </cell>
        </row>
        <row r="795">
          <cell r="A795" t="str">
            <v>41007_1</v>
          </cell>
        </row>
        <row r="796">
          <cell r="A796" t="str">
            <v>41007_2</v>
          </cell>
        </row>
        <row r="797">
          <cell r="A797" t="str">
            <v>41007_3</v>
          </cell>
        </row>
        <row r="798">
          <cell r="A798" t="str">
            <v>41008_1</v>
          </cell>
        </row>
        <row r="799">
          <cell r="A799" t="str">
            <v>41008_2</v>
          </cell>
        </row>
        <row r="800">
          <cell r="A800" t="str">
            <v>41008_3</v>
          </cell>
        </row>
        <row r="801">
          <cell r="A801" t="str">
            <v>41009_1</v>
          </cell>
        </row>
        <row r="802">
          <cell r="A802" t="str">
            <v>41009_2</v>
          </cell>
        </row>
        <row r="803">
          <cell r="A803" t="str">
            <v>41009_3</v>
          </cell>
        </row>
        <row r="804">
          <cell r="A804" t="str">
            <v>41010_1</v>
          </cell>
        </row>
        <row r="805">
          <cell r="A805" t="str">
            <v>41010_2</v>
          </cell>
        </row>
        <row r="806">
          <cell r="A806" t="str">
            <v>41010_3</v>
          </cell>
        </row>
        <row r="807">
          <cell r="A807" t="str">
            <v>41011_1</v>
          </cell>
        </row>
        <row r="808">
          <cell r="A808" t="str">
            <v>41011_2</v>
          </cell>
        </row>
        <row r="809">
          <cell r="A809" t="str">
            <v>41012_1</v>
          </cell>
        </row>
        <row r="810">
          <cell r="A810" t="str">
            <v>41012_2</v>
          </cell>
        </row>
        <row r="811">
          <cell r="A811" t="str">
            <v>41013_1</v>
          </cell>
        </row>
        <row r="812">
          <cell r="A812" t="str">
            <v>41013_2</v>
          </cell>
        </row>
        <row r="813">
          <cell r="A813" t="str">
            <v>41014_1</v>
          </cell>
        </row>
        <row r="814">
          <cell r="A814" t="str">
            <v>41014_2</v>
          </cell>
        </row>
        <row r="815">
          <cell r="A815" t="str">
            <v>41015_1</v>
          </cell>
        </row>
        <row r="816">
          <cell r="A816" t="str">
            <v>41015_2</v>
          </cell>
        </row>
        <row r="817">
          <cell r="A817" t="str">
            <v>47001_1</v>
          </cell>
        </row>
        <row r="818">
          <cell r="A818" t="str">
            <v>47001_2</v>
          </cell>
        </row>
        <row r="819">
          <cell r="A819" t="str">
            <v>47002_1</v>
          </cell>
        </row>
        <row r="820">
          <cell r="A820" t="str">
            <v>47002_2</v>
          </cell>
        </row>
        <row r="821">
          <cell r="A821" t="str">
            <v>47003_1</v>
          </cell>
        </row>
        <row r="822">
          <cell r="A822" t="str">
            <v>47003_2</v>
          </cell>
        </row>
        <row r="823">
          <cell r="A823" t="str">
            <v>47003_3</v>
          </cell>
        </row>
        <row r="824">
          <cell r="A824" t="str">
            <v>47003_4</v>
          </cell>
        </row>
        <row r="825">
          <cell r="A825" t="str">
            <v>47004_1</v>
          </cell>
        </row>
        <row r="826">
          <cell r="A826" t="str">
            <v>47004_2</v>
          </cell>
        </row>
        <row r="827">
          <cell r="A827" t="str">
            <v>47004_3</v>
          </cell>
        </row>
        <row r="828">
          <cell r="A828" t="str">
            <v>47004_4</v>
          </cell>
        </row>
        <row r="829">
          <cell r="A829" t="str">
            <v>47005_1</v>
          </cell>
        </row>
        <row r="830">
          <cell r="A830" t="str">
            <v>47006_1</v>
          </cell>
        </row>
        <row r="831">
          <cell r="A831" t="str">
            <v>47006_2</v>
          </cell>
        </row>
        <row r="832">
          <cell r="A832" t="str">
            <v>47007_1</v>
          </cell>
        </row>
        <row r="833">
          <cell r="A833" t="str">
            <v>47007_2</v>
          </cell>
        </row>
        <row r="834">
          <cell r="A834" t="str">
            <v>47008_1</v>
          </cell>
        </row>
        <row r="835">
          <cell r="A835" t="str">
            <v>47008_2</v>
          </cell>
        </row>
        <row r="836">
          <cell r="A836" t="str">
            <v>48001_1</v>
          </cell>
        </row>
        <row r="837">
          <cell r="A837" t="str">
            <v>48002_1</v>
          </cell>
        </row>
        <row r="838">
          <cell r="A838" t="str">
            <v>48002_2</v>
          </cell>
        </row>
        <row r="839">
          <cell r="A839" t="str">
            <v>48002_3</v>
          </cell>
        </row>
        <row r="840">
          <cell r="A840" t="str">
            <v>48003_1</v>
          </cell>
        </row>
        <row r="841">
          <cell r="A841" t="str">
            <v>48003_2</v>
          </cell>
        </row>
        <row r="842">
          <cell r="A842" t="str">
            <v>48004_1</v>
          </cell>
        </row>
        <row r="843">
          <cell r="A843" t="str">
            <v>48004_2</v>
          </cell>
        </row>
        <row r="844">
          <cell r="A844" t="str">
            <v>48005_1</v>
          </cell>
        </row>
        <row r="845">
          <cell r="A845" t="str">
            <v>48005_2</v>
          </cell>
        </row>
        <row r="846">
          <cell r="A846" t="str">
            <v>48006_1</v>
          </cell>
        </row>
        <row r="847">
          <cell r="A847" t="str">
            <v>48006_2</v>
          </cell>
        </row>
        <row r="848">
          <cell r="A848" t="str">
            <v>48007_1</v>
          </cell>
        </row>
        <row r="849">
          <cell r="A849" t="str">
            <v>48007_2</v>
          </cell>
        </row>
        <row r="850">
          <cell r="A850" t="str">
            <v>48008_1</v>
          </cell>
        </row>
        <row r="851">
          <cell r="A851" t="str">
            <v>48008_2</v>
          </cell>
        </row>
        <row r="852">
          <cell r="A852" t="str">
            <v>48009_1</v>
          </cell>
        </row>
        <row r="853">
          <cell r="A853" t="str">
            <v>48009_2</v>
          </cell>
        </row>
        <row r="854">
          <cell r="A854" t="str">
            <v>48010_1</v>
          </cell>
        </row>
        <row r="855">
          <cell r="A855" t="str">
            <v>48011_1</v>
          </cell>
        </row>
        <row r="856">
          <cell r="A856" t="str">
            <v>48011_2</v>
          </cell>
        </row>
        <row r="857">
          <cell r="A857" t="str">
            <v>48501_1</v>
          </cell>
        </row>
        <row r="858">
          <cell r="A858" t="str">
            <v>48501_2</v>
          </cell>
        </row>
        <row r="859">
          <cell r="A859" t="str">
            <v>49001_1</v>
          </cell>
        </row>
        <row r="860">
          <cell r="A860" t="str">
            <v>49002_1</v>
          </cell>
        </row>
        <row r="861">
          <cell r="A861" t="str">
            <v>49002_2</v>
          </cell>
        </row>
        <row r="862">
          <cell r="A862" t="str">
            <v>49003_1</v>
          </cell>
        </row>
        <row r="863">
          <cell r="A863" t="str">
            <v>49003_2</v>
          </cell>
        </row>
        <row r="864">
          <cell r="A864" t="str">
            <v>49004_1</v>
          </cell>
        </row>
        <row r="865">
          <cell r="A865" t="str">
            <v>49004_2</v>
          </cell>
        </row>
        <row r="866">
          <cell r="A866" t="str">
            <v>49004_3</v>
          </cell>
        </row>
        <row r="867">
          <cell r="A867" t="str">
            <v>49005_1</v>
          </cell>
        </row>
        <row r="868">
          <cell r="A868" t="str">
            <v>49006_1</v>
          </cell>
        </row>
        <row r="869">
          <cell r="A869" t="str">
            <v>49006_2</v>
          </cell>
        </row>
        <row r="870">
          <cell r="A870" t="str">
            <v>49007_1</v>
          </cell>
        </row>
        <row r="871">
          <cell r="A871" t="str">
            <v>49007_2</v>
          </cell>
        </row>
        <row r="872">
          <cell r="A872" t="str">
            <v>49007_3</v>
          </cell>
        </row>
        <row r="873">
          <cell r="A873" t="str">
            <v>49008_1</v>
          </cell>
        </row>
        <row r="874">
          <cell r="A874" t="str">
            <v>49009_1</v>
          </cell>
        </row>
        <row r="875">
          <cell r="A875" t="str">
            <v>49010_1</v>
          </cell>
        </row>
        <row r="876">
          <cell r="A876" t="str">
            <v>49011_1</v>
          </cell>
        </row>
        <row r="877">
          <cell r="A877" t="str">
            <v>49012_1</v>
          </cell>
        </row>
        <row r="878">
          <cell r="A878" t="str">
            <v>49013_1</v>
          </cell>
        </row>
        <row r="879">
          <cell r="A879" t="str">
            <v>50001_1</v>
          </cell>
        </row>
        <row r="880">
          <cell r="A880" t="str">
            <v>50002_1</v>
          </cell>
        </row>
        <row r="881">
          <cell r="A881" t="str">
            <v>50003_1</v>
          </cell>
        </row>
        <row r="882">
          <cell r="A882" t="str">
            <v>50004_1</v>
          </cell>
        </row>
        <row r="883">
          <cell r="A883" t="str">
            <v>50005_1</v>
          </cell>
        </row>
        <row r="884">
          <cell r="A884" t="str">
            <v>50006_1</v>
          </cell>
        </row>
        <row r="885">
          <cell r="A885" t="str">
            <v>50007_1</v>
          </cell>
        </row>
        <row r="886">
          <cell r="A886" t="str">
            <v>50008_1</v>
          </cell>
        </row>
        <row r="887">
          <cell r="A887" t="str">
            <v>50009_1</v>
          </cell>
        </row>
        <row r="888">
          <cell r="A888" t="str">
            <v>50010_1</v>
          </cell>
        </row>
        <row r="889">
          <cell r="A889" t="str">
            <v>50011_1</v>
          </cell>
        </row>
        <row r="890">
          <cell r="A890" t="str">
            <v>50012_1</v>
          </cell>
        </row>
        <row r="891">
          <cell r="A891" t="str">
            <v>50013_1</v>
          </cell>
        </row>
        <row r="892">
          <cell r="A892" t="str">
            <v>50014_1</v>
          </cell>
        </row>
        <row r="893">
          <cell r="A893" t="str">
            <v>51001_1</v>
          </cell>
        </row>
        <row r="894">
          <cell r="A894" t="str">
            <v>51002_1</v>
          </cell>
        </row>
        <row r="895">
          <cell r="A895" t="str">
            <v>59001_1</v>
          </cell>
        </row>
        <row r="896">
          <cell r="A896" t="str">
            <v>60001_1</v>
          </cell>
        </row>
        <row r="897">
          <cell r="A897" t="str">
            <v>60002_1</v>
          </cell>
        </row>
        <row r="898">
          <cell r="A898" t="str">
            <v>60002_2</v>
          </cell>
        </row>
        <row r="899">
          <cell r="A899" t="str">
            <v>60003_1</v>
          </cell>
        </row>
        <row r="900">
          <cell r="A900" t="str">
            <v>60003_2</v>
          </cell>
        </row>
        <row r="901">
          <cell r="A901" t="str">
            <v>60003_3</v>
          </cell>
        </row>
        <row r="902">
          <cell r="A902" t="str">
            <v>60004_1</v>
          </cell>
        </row>
        <row r="903">
          <cell r="A903" t="str">
            <v>60005_1</v>
          </cell>
        </row>
        <row r="904">
          <cell r="A904" t="str">
            <v>60006_1</v>
          </cell>
        </row>
        <row r="905">
          <cell r="A905" t="str">
            <v>60006_2</v>
          </cell>
        </row>
        <row r="906">
          <cell r="A906" t="str">
            <v>60006_3</v>
          </cell>
        </row>
        <row r="907">
          <cell r="A907" t="str">
            <v>60007_1</v>
          </cell>
        </row>
        <row r="908">
          <cell r="A908" t="str">
            <v>60007_2</v>
          </cell>
        </row>
        <row r="909">
          <cell r="A909" t="str">
            <v>60007_3</v>
          </cell>
        </row>
        <row r="910">
          <cell r="A910" t="str">
            <v>60010_1</v>
          </cell>
        </row>
        <row r="911">
          <cell r="A911" t="str">
            <v>60011_1</v>
          </cell>
        </row>
        <row r="912">
          <cell r="A912" t="str">
            <v>60011_2</v>
          </cell>
        </row>
        <row r="913">
          <cell r="A913" t="str">
            <v>60012_1</v>
          </cell>
        </row>
        <row r="914">
          <cell r="A914" t="str">
            <v>60013_1</v>
          </cell>
        </row>
        <row r="915">
          <cell r="A915" t="str">
            <v>60013_2</v>
          </cell>
        </row>
        <row r="916">
          <cell r="A916" t="str">
            <v>60013_3</v>
          </cell>
        </row>
        <row r="917">
          <cell r="A917" t="str">
            <v>60014_1</v>
          </cell>
        </row>
        <row r="918">
          <cell r="A918" t="str">
            <v>60015_1</v>
          </cell>
        </row>
        <row r="919">
          <cell r="A919" t="str">
            <v>60016_1</v>
          </cell>
        </row>
        <row r="920">
          <cell r="A920" t="str">
            <v>60017_1</v>
          </cell>
        </row>
        <row r="921">
          <cell r="A921" t="str">
            <v>60018_1</v>
          </cell>
        </row>
        <row r="922">
          <cell r="A922" t="str">
            <v>60019_1</v>
          </cell>
        </row>
        <row r="923">
          <cell r="A923" t="str">
            <v>60020_1</v>
          </cell>
        </row>
        <row r="924">
          <cell r="A924" t="str">
            <v>60021_3</v>
          </cell>
        </row>
        <row r="925">
          <cell r="A925" t="str">
            <v>60022_3</v>
          </cell>
        </row>
        <row r="926">
          <cell r="A926" t="str">
            <v>60023_3</v>
          </cell>
        </row>
        <row r="927">
          <cell r="A927" t="str">
            <v>60024_3</v>
          </cell>
        </row>
        <row r="928">
          <cell r="A928" t="str">
            <v>60025_1</v>
          </cell>
        </row>
        <row r="929">
          <cell r="A929" t="str">
            <v>60026_1</v>
          </cell>
        </row>
        <row r="930">
          <cell r="A930" t="str">
            <v>61011_1</v>
          </cell>
        </row>
        <row r="931">
          <cell r="A931" t="str">
            <v>60027_1</v>
          </cell>
        </row>
        <row r="932">
          <cell r="A932" t="str">
            <v>65525_1</v>
          </cell>
        </row>
        <row r="933">
          <cell r="A933" t="str">
            <v>65526_1</v>
          </cell>
        </row>
        <row r="934">
          <cell r="A934" t="str">
            <v>65526_2</v>
          </cell>
        </row>
        <row r="935">
          <cell r="A935" t="str">
            <v>65527_1</v>
          </cell>
        </row>
        <row r="936">
          <cell r="A936" t="str">
            <v>65528_1</v>
          </cell>
        </row>
        <row r="937">
          <cell r="A937" t="str">
            <v>65529_1</v>
          </cell>
        </row>
        <row r="938">
          <cell r="A938" t="str">
            <v>65530_1</v>
          </cell>
        </row>
        <row r="939">
          <cell r="A939" t="str">
            <v>65531_1</v>
          </cell>
        </row>
        <row r="940">
          <cell r="A940" t="str">
            <v>65531_2</v>
          </cell>
        </row>
        <row r="941">
          <cell r="A941" t="str">
            <v>65532_1</v>
          </cell>
        </row>
        <row r="942">
          <cell r="A942" t="str">
            <v>65532_2</v>
          </cell>
        </row>
        <row r="943">
          <cell r="A943" t="str">
            <v>65533_1</v>
          </cell>
        </row>
        <row r="944">
          <cell r="A944" t="str">
            <v>65533_2</v>
          </cell>
        </row>
        <row r="945">
          <cell r="A945" t="str">
            <v>65534_1</v>
          </cell>
        </row>
        <row r="946">
          <cell r="A946" t="str">
            <v>65535_1</v>
          </cell>
        </row>
        <row r="947">
          <cell r="A947" t="str">
            <v>65535_2</v>
          </cell>
        </row>
        <row r="948">
          <cell r="A948" t="str">
            <v>65535_3</v>
          </cell>
        </row>
        <row r="949">
          <cell r="A949" t="str">
            <v>65535_4</v>
          </cell>
        </row>
        <row r="950">
          <cell r="A950" t="str">
            <v>65535_5</v>
          </cell>
        </row>
        <row r="951">
          <cell r="A951" t="str">
            <v>65535_6</v>
          </cell>
        </row>
        <row r="952">
          <cell r="A952" t="str">
            <v>65535_7</v>
          </cell>
        </row>
        <row r="953">
          <cell r="A953" t="str">
            <v>65535_8</v>
          </cell>
        </row>
        <row r="954">
          <cell r="A954" t="str">
            <v>65535_9</v>
          </cell>
        </row>
        <row r="955">
          <cell r="A95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</row>
        <row r="329">
          <cell r="A329">
            <v>328</v>
          </cell>
          <cell r="B329" t="str">
            <v>麒麟クエストアイコンシルエット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</row>
        <row r="330">
          <cell r="A330">
            <v>329</v>
          </cell>
          <cell r="B330" t="str">
            <v>麒麟クエストアイコンシルエット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</row>
        <row r="332">
          <cell r="A332">
            <v>331</v>
          </cell>
          <cell r="B332" t="str">
            <v>オーディンクエストアイコンシルエット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</row>
        <row r="349">
          <cell r="A349">
            <v>348</v>
          </cell>
          <cell r="B349" t="str">
            <v>炎のケロケロ</v>
          </cell>
          <cell r="C349">
            <v>2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</row>
        <row r="350">
          <cell r="A350">
            <v>349</v>
          </cell>
          <cell r="B350" t="str">
            <v>炎のメタルフロッグ</v>
          </cell>
          <cell r="C350">
            <v>4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</row>
        <row r="351">
          <cell r="A351">
            <v>350</v>
          </cell>
          <cell r="B351" t="str">
            <v>森のケロケロ</v>
          </cell>
          <cell r="C351">
            <v>2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</row>
        <row r="352">
          <cell r="A352">
            <v>351</v>
          </cell>
          <cell r="B352" t="str">
            <v>森のメタルフロッグ</v>
          </cell>
          <cell r="C352">
            <v>4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</row>
        <row r="353">
          <cell r="A353">
            <v>352</v>
          </cell>
          <cell r="B353" t="str">
            <v>水のケロケロ</v>
          </cell>
          <cell r="C353">
            <v>2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</row>
        <row r="354">
          <cell r="A354">
            <v>353</v>
          </cell>
          <cell r="B354" t="str">
            <v>水のメタルフロッグ</v>
          </cell>
          <cell r="C354">
            <v>4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</row>
        <row r="355">
          <cell r="A355">
            <v>354</v>
          </cell>
          <cell r="B355" t="str">
            <v>雷のケロケロ</v>
          </cell>
          <cell r="C355">
            <v>2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</row>
        <row r="356">
          <cell r="A356">
            <v>355</v>
          </cell>
          <cell r="B356" t="str">
            <v>雷のメタルフロッグ</v>
          </cell>
          <cell r="C356">
            <v>4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</row>
        <row r="429">
          <cell r="A429">
            <v>428</v>
          </cell>
          <cell r="B429" t="str">
            <v>レッドダムディ</v>
          </cell>
          <cell r="C429">
            <v>5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</row>
        <row r="430">
          <cell r="A430">
            <v>429</v>
          </cell>
          <cell r="B430" t="str">
            <v>ブルーダムディ</v>
          </cell>
          <cell r="C430">
            <v>5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</row>
        <row r="431">
          <cell r="A431">
            <v>430</v>
          </cell>
          <cell r="B431" t="str">
            <v>グリーンダムディ</v>
          </cell>
          <cell r="C431">
            <v>5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</row>
        <row r="432">
          <cell r="A432">
            <v>431</v>
          </cell>
          <cell r="B432" t="str">
            <v>イエローダムディ</v>
          </cell>
          <cell r="C432">
            <v>5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</row>
        <row r="449">
          <cell r="A449">
            <v>448</v>
          </cell>
          <cell r="B449" t="str">
            <v>未定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</row>
        <row r="565">
          <cell r="A565">
            <v>564</v>
          </cell>
          <cell r="B565" t="str">
            <v>赤ずきん</v>
          </cell>
          <cell r="C565">
            <v>5</v>
          </cell>
          <cell r="D565" t="str">
            <v>red</v>
          </cell>
          <cell r="E565">
            <v>1</v>
          </cell>
          <cell r="F565">
            <v>1.02</v>
          </cell>
          <cell r="G565">
            <v>1</v>
          </cell>
          <cell r="H565" t="str">
            <v>balance</v>
          </cell>
          <cell r="I565" t="str">
            <v>バランスタイプ</v>
          </cell>
          <cell r="J565">
            <v>1</v>
          </cell>
          <cell r="K565">
            <v>1</v>
          </cell>
          <cell r="L565">
            <v>1</v>
          </cell>
          <cell r="M565" t="str">
            <v>human</v>
          </cell>
          <cell r="N565" t="str">
            <v>ヒューマン</v>
          </cell>
          <cell r="O565">
            <v>0.94</v>
          </cell>
          <cell r="P565">
            <v>0.99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</row>
        <row r="566">
          <cell r="A566">
            <v>565</v>
          </cell>
          <cell r="B566" t="str">
            <v>かぐや</v>
          </cell>
          <cell r="C566">
            <v>5</v>
          </cell>
          <cell r="D566" t="str">
            <v>green</v>
          </cell>
          <cell r="E566">
            <v>1.02</v>
          </cell>
          <cell r="F566">
            <v>0.98</v>
          </cell>
          <cell r="G566">
            <v>1</v>
          </cell>
          <cell r="H566" t="str">
            <v>hp</v>
          </cell>
          <cell r="I566" t="str">
            <v>体力タイプ</v>
          </cell>
          <cell r="J566">
            <v>1.45</v>
          </cell>
          <cell r="K566">
            <v>0.85</v>
          </cell>
          <cell r="L566">
            <v>1</v>
          </cell>
          <cell r="M566" t="str">
            <v>human</v>
          </cell>
          <cell r="N566" t="str">
            <v>ヒューマン</v>
          </cell>
          <cell r="O566">
            <v>0.94</v>
          </cell>
          <cell r="P566">
            <v>0.99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</row>
        <row r="569">
          <cell r="A569">
            <v>568</v>
          </cell>
          <cell r="B569" t="str">
            <v>空駆ける電能師 テスラ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</row>
        <row r="570">
          <cell r="A570">
            <v>569</v>
          </cell>
          <cell r="B570" t="str">
            <v>ハッピー102</v>
          </cell>
          <cell r="C570">
            <v>5</v>
          </cell>
          <cell r="D570" t="str">
            <v>green</v>
          </cell>
          <cell r="E570">
            <v>1.02</v>
          </cell>
          <cell r="F570">
            <v>0.98</v>
          </cell>
          <cell r="G570">
            <v>1</v>
          </cell>
          <cell r="H570" t="str">
            <v>heal</v>
          </cell>
          <cell r="I570" t="str">
            <v>回復タイプ</v>
          </cell>
          <cell r="J570">
            <v>0.8</v>
          </cell>
          <cell r="K570">
            <v>0.78</v>
          </cell>
          <cell r="L570">
            <v>1</v>
          </cell>
          <cell r="M570" t="str">
            <v>unknown</v>
          </cell>
          <cell r="N570" t="str">
            <v>Unknown</v>
          </cell>
          <cell r="O570">
            <v>1</v>
          </cell>
          <cell r="P570">
            <v>1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</row>
        <row r="571">
          <cell r="A571">
            <v>570</v>
          </cell>
          <cell r="B571" t="str">
            <v>幸響の電心 ハッピー</v>
          </cell>
          <cell r="C571">
            <v>6</v>
          </cell>
          <cell r="D571" t="str">
            <v>green</v>
          </cell>
          <cell r="E571">
            <v>1.02</v>
          </cell>
          <cell r="F571">
            <v>0.98</v>
          </cell>
          <cell r="G571">
            <v>1</v>
          </cell>
          <cell r="H571" t="str">
            <v>heal</v>
          </cell>
          <cell r="I571" t="str">
            <v>回復タイプ</v>
          </cell>
          <cell r="J571">
            <v>0.8</v>
          </cell>
          <cell r="K571">
            <v>0.78</v>
          </cell>
          <cell r="L571">
            <v>1</v>
          </cell>
          <cell r="M571" t="str">
            <v>unknown</v>
          </cell>
          <cell r="N571" t="str">
            <v>Unknown</v>
          </cell>
          <cell r="O571">
            <v>1</v>
          </cell>
          <cell r="P571">
            <v>1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</row>
        <row r="586">
          <cell r="A586">
            <v>585</v>
          </cell>
          <cell r="B586" t="str">
            <v>未定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</row>
        <row r="628">
          <cell r="A628">
            <v>627</v>
          </cell>
          <cell r="B628" t="str">
            <v>メガラニカ</v>
          </cell>
          <cell r="C628">
            <v>5</v>
          </cell>
          <cell r="D628" t="str">
            <v>green</v>
          </cell>
          <cell r="E628">
            <v>1.02</v>
          </cell>
          <cell r="F628">
            <v>0.98</v>
          </cell>
          <cell r="G628">
            <v>1</v>
          </cell>
          <cell r="H628" t="str">
            <v>balance</v>
          </cell>
          <cell r="I628" t="str">
            <v>バランスタイプ</v>
          </cell>
          <cell r="J628">
            <v>1</v>
          </cell>
          <cell r="K628">
            <v>1</v>
          </cell>
          <cell r="L628">
            <v>1</v>
          </cell>
          <cell r="M628" t="str">
            <v>animal</v>
          </cell>
          <cell r="N628" t="str">
            <v>アニマル</v>
          </cell>
          <cell r="O628">
            <v>1</v>
          </cell>
          <cell r="P628">
            <v>1.1000000000000001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</row>
        <row r="629">
          <cell r="A629">
            <v>628</v>
          </cell>
          <cell r="B629" t="str">
            <v>玄装の指南隊 メガラニカ</v>
          </cell>
          <cell r="C629">
            <v>6</v>
          </cell>
          <cell r="D629" t="str">
            <v>green</v>
          </cell>
          <cell r="E629">
            <v>1.02</v>
          </cell>
          <cell r="F629">
            <v>0.98</v>
          </cell>
          <cell r="G629">
            <v>1</v>
          </cell>
          <cell r="H629" t="str">
            <v>balance</v>
          </cell>
          <cell r="I629" t="str">
            <v>バランスタイプ</v>
          </cell>
          <cell r="J629">
            <v>1</v>
          </cell>
          <cell r="K629">
            <v>1</v>
          </cell>
          <cell r="L629">
            <v>1</v>
          </cell>
          <cell r="M629" t="str">
            <v>animal</v>
          </cell>
          <cell r="N629" t="str">
            <v>アニマル</v>
          </cell>
          <cell r="O629">
            <v>1</v>
          </cell>
          <cell r="P629">
            <v>1.1000000000000001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</row>
        <row r="630">
          <cell r="A630">
            <v>629</v>
          </cell>
          <cell r="B630" t="str">
            <v>チャリオット</v>
          </cell>
          <cell r="C630">
            <v>5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hp</v>
          </cell>
          <cell r="I630" t="str">
            <v>体力タイプ</v>
          </cell>
          <cell r="J630">
            <v>1.45</v>
          </cell>
          <cell r="K630">
            <v>0.85</v>
          </cell>
          <cell r="L630">
            <v>1</v>
          </cell>
          <cell r="M630" t="str">
            <v>god</v>
          </cell>
          <cell r="N630" t="str">
            <v>ゴッド</v>
          </cell>
          <cell r="O630">
            <v>0.96</v>
          </cell>
          <cell r="P630">
            <v>1.02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</row>
        <row r="631">
          <cell r="A631">
            <v>630</v>
          </cell>
          <cell r="B631" t="str">
            <v>明快の突戦車 チャリオット</v>
          </cell>
          <cell r="C631">
            <v>6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hp</v>
          </cell>
          <cell r="I631" t="str">
            <v>体力タイプ</v>
          </cell>
          <cell r="J631">
            <v>1.45</v>
          </cell>
          <cell r="K631">
            <v>0.85</v>
          </cell>
          <cell r="L631">
            <v>1</v>
          </cell>
          <cell r="M631" t="str">
            <v>god</v>
          </cell>
          <cell r="N631" t="str">
            <v>ゴッド</v>
          </cell>
          <cell r="O631">
            <v>0.96</v>
          </cell>
          <cell r="P631">
            <v>1.02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</row>
        <row r="632">
          <cell r="A632">
            <v>631</v>
          </cell>
          <cell r="B632" t="str">
            <v>赤アニマル</v>
          </cell>
          <cell r="C632">
            <v>4</v>
          </cell>
          <cell r="D632" t="str">
            <v>red</v>
          </cell>
          <cell r="E632">
            <v>1</v>
          </cell>
          <cell r="F632">
            <v>1.02</v>
          </cell>
          <cell r="G632">
            <v>1</v>
          </cell>
          <cell r="H632" t="str">
            <v>attack</v>
          </cell>
          <cell r="I632" t="str">
            <v>攻撃タイプ</v>
          </cell>
          <cell r="J632">
            <v>1</v>
          </cell>
          <cell r="K632">
            <v>1.33</v>
          </cell>
          <cell r="L632">
            <v>1</v>
          </cell>
          <cell r="M632" t="str">
            <v>animal</v>
          </cell>
          <cell r="N632" t="str">
            <v>アニマル</v>
          </cell>
          <cell r="O632">
            <v>1</v>
          </cell>
          <cell r="P632">
            <v>1.1000000000000001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</row>
        <row r="633">
          <cell r="A633">
            <v>632</v>
          </cell>
          <cell r="B633" t="str">
            <v>赤アニマル</v>
          </cell>
          <cell r="C633">
            <v>5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attack</v>
          </cell>
          <cell r="I633" t="str">
            <v>攻撃タイプ</v>
          </cell>
          <cell r="J633">
            <v>1</v>
          </cell>
          <cell r="K633">
            <v>1.33</v>
          </cell>
          <cell r="L633">
            <v>1</v>
          </cell>
          <cell r="M633" t="str">
            <v>animal</v>
          </cell>
          <cell r="N633" t="str">
            <v>アニマル</v>
          </cell>
          <cell r="O633">
            <v>1</v>
          </cell>
          <cell r="P633">
            <v>1.1000000000000001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</row>
        <row r="634">
          <cell r="A634">
            <v>633</v>
          </cell>
          <cell r="B634" t="str">
            <v>赤ドラゴン</v>
          </cell>
          <cell r="C634">
            <v>3</v>
          </cell>
          <cell r="D634" t="str">
            <v>red</v>
          </cell>
          <cell r="E634">
            <v>1</v>
          </cell>
          <cell r="F634">
            <v>1.02</v>
          </cell>
          <cell r="G634">
            <v>1</v>
          </cell>
          <cell r="H634" t="str">
            <v>attack</v>
          </cell>
          <cell r="I634" t="str">
            <v>攻撃タイプ</v>
          </cell>
          <cell r="J634">
            <v>1</v>
          </cell>
          <cell r="K634">
            <v>1.33</v>
          </cell>
          <cell r="L634">
            <v>1</v>
          </cell>
          <cell r="M634" t="str">
            <v>dragon</v>
          </cell>
          <cell r="N634" t="str">
            <v>ドラゴン</v>
          </cell>
          <cell r="O634">
            <v>1.1499999999999999</v>
          </cell>
          <cell r="P634">
            <v>1.1000000000000001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</row>
        <row r="639">
          <cell r="A639">
            <v>638</v>
          </cell>
          <cell r="B639" t="str">
            <v>コードレッド</v>
          </cell>
          <cell r="C639">
            <v>5</v>
          </cell>
          <cell r="D639" t="str">
            <v>red</v>
          </cell>
          <cell r="E639">
            <v>1</v>
          </cell>
          <cell r="F639">
            <v>1.02</v>
          </cell>
          <cell r="G639">
            <v>1</v>
          </cell>
          <cell r="H639" t="str">
            <v>attack</v>
          </cell>
          <cell r="I639" t="str">
            <v>攻撃タイプ</v>
          </cell>
          <cell r="J639">
            <v>1</v>
          </cell>
          <cell r="K639">
            <v>1.33</v>
          </cell>
          <cell r="L639">
            <v>1</v>
          </cell>
          <cell r="M639" t="str">
            <v>unknown</v>
          </cell>
          <cell r="N639" t="str">
            <v>Unknown</v>
          </cell>
          <cell r="O639">
            <v>1</v>
          </cell>
          <cell r="P639">
            <v>1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</row>
        <row r="640">
          <cell r="A640">
            <v>639</v>
          </cell>
          <cell r="B640" t="str">
            <v>ライオネル</v>
          </cell>
          <cell r="C640">
            <v>3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attack</v>
          </cell>
          <cell r="I640" t="str">
            <v>攻撃タイプ</v>
          </cell>
          <cell r="J640">
            <v>1</v>
          </cell>
          <cell r="K640">
            <v>1.33</v>
          </cell>
          <cell r="L640">
            <v>1</v>
          </cell>
          <cell r="M640" t="str">
            <v>animal</v>
          </cell>
          <cell r="N640" t="str">
            <v>アニマル</v>
          </cell>
          <cell r="O640">
            <v>1</v>
          </cell>
          <cell r="P640">
            <v>1.1000000000000001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</row>
        <row r="641">
          <cell r="A641">
            <v>640</v>
          </cell>
          <cell r="B641" t="str">
            <v>ライオネル</v>
          </cell>
          <cell r="C641">
            <v>4</v>
          </cell>
          <cell r="D641" t="str">
            <v>red</v>
          </cell>
          <cell r="E641">
            <v>1</v>
          </cell>
          <cell r="F641">
            <v>1.02</v>
          </cell>
          <cell r="G641">
            <v>1</v>
          </cell>
          <cell r="H641" t="str">
            <v>attack</v>
          </cell>
          <cell r="I641" t="str">
            <v>攻撃タイプ</v>
          </cell>
          <cell r="J641">
            <v>1</v>
          </cell>
          <cell r="K641">
            <v>1.33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</row>
        <row r="642">
          <cell r="A642">
            <v>641</v>
          </cell>
          <cell r="B642" t="str">
            <v>ライオネル</v>
          </cell>
          <cell r="C642">
            <v>5</v>
          </cell>
          <cell r="D642" t="str">
            <v>red</v>
          </cell>
          <cell r="E642">
            <v>1</v>
          </cell>
          <cell r="F642">
            <v>1.02</v>
          </cell>
          <cell r="G642">
            <v>1</v>
          </cell>
          <cell r="H642" t="str">
            <v>attack</v>
          </cell>
          <cell r="I642" t="str">
            <v>攻撃タイプ</v>
          </cell>
          <cell r="J642">
            <v>1</v>
          </cell>
          <cell r="K642">
            <v>1.33</v>
          </cell>
          <cell r="L642">
            <v>1</v>
          </cell>
          <cell r="M642" t="str">
            <v>animal</v>
          </cell>
          <cell r="N642" t="str">
            <v>アニマル</v>
          </cell>
          <cell r="O642">
            <v>1</v>
          </cell>
          <cell r="P642">
            <v>1.1000000000000001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</row>
        <row r="680">
          <cell r="A680">
            <v>679</v>
          </cell>
          <cell r="B680" t="str">
            <v>孤高の王子　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</row>
        <row r="693">
          <cell r="A693">
            <v>692</v>
          </cell>
          <cell r="B693" t="str">
            <v>暗躍する偽帝　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</row>
        <row r="695">
          <cell r="A695">
            <v>694</v>
          </cell>
          <cell r="B695" t="str">
            <v>黄巾賊の将軍　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</row>
        <row r="697">
          <cell r="A697">
            <v>696</v>
          </cell>
          <cell r="B697" t="str">
            <v>生きる都市伝説　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</row>
        <row r="698">
          <cell r="A698">
            <v>697</v>
          </cell>
          <cell r="B698" t="str">
            <v>黒影の首なしライダー　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</row>
        <row r="704">
          <cell r="A704">
            <v>703</v>
          </cell>
          <cell r="B704" t="str">
            <v>豪腕静穏な寿司屋　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</row>
        <row r="708">
          <cell r="A708">
            <v>707</v>
          </cell>
          <cell r="B708" t="str">
            <v>愛月撤灯の闇医者　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</row>
        <row r="718">
          <cell r="A718">
            <v>717</v>
          </cell>
          <cell r="B718" t="str">
            <v>池袋最強の暴走　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</row>
        <row r="720">
          <cell r="A720">
            <v>719</v>
          </cell>
          <cell r="B720" t="str">
            <v>聡明な戦狂女　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</row>
        <row r="783">
          <cell r="A783">
            <v>782</v>
          </cell>
          <cell r="B783" t="str">
            <v>機甲雷天使 ミカエル・グロリアス</v>
          </cell>
          <cell r="C783">
            <v>6</v>
          </cell>
          <cell r="D783" t="str">
            <v>yellow</v>
          </cell>
          <cell r="E783">
            <v>0.98</v>
          </cell>
          <cell r="F783">
            <v>1.01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machine</v>
          </cell>
          <cell r="N783" t="str">
            <v>マシン</v>
          </cell>
          <cell r="O783">
            <v>1</v>
          </cell>
          <cell r="P783">
            <v>1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</row>
        <row r="784">
          <cell r="A784">
            <v>783</v>
          </cell>
          <cell r="B784" t="str">
            <v>モールス</v>
          </cell>
          <cell r="C784">
            <v>5</v>
          </cell>
          <cell r="D784" t="str">
            <v>red</v>
          </cell>
          <cell r="E784">
            <v>1</v>
          </cell>
          <cell r="F784">
            <v>1.02</v>
          </cell>
          <cell r="G784">
            <v>1</v>
          </cell>
          <cell r="H784" t="str">
            <v>technical</v>
          </cell>
          <cell r="I784" t="str">
            <v>テクニカルタイプ</v>
          </cell>
          <cell r="J784">
            <v>0.9</v>
          </cell>
          <cell r="K784">
            <v>0.9</v>
          </cell>
          <cell r="L784">
            <v>1</v>
          </cell>
          <cell r="M784" t="str">
            <v>academia</v>
          </cell>
          <cell r="N784" t="str">
            <v>アカデミア</v>
          </cell>
          <cell r="O784">
            <v>1</v>
          </cell>
          <cell r="P784">
            <v>1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</row>
        <row r="785">
          <cell r="A785">
            <v>784</v>
          </cell>
          <cell r="B785" t="str">
            <v>想心の恋鎖 モールス</v>
          </cell>
          <cell r="C785">
            <v>6</v>
          </cell>
          <cell r="D785" t="str">
            <v>red</v>
          </cell>
          <cell r="E785">
            <v>1</v>
          </cell>
          <cell r="F785">
            <v>1.02</v>
          </cell>
          <cell r="G785">
            <v>1</v>
          </cell>
          <cell r="H785" t="str">
            <v>technical</v>
          </cell>
          <cell r="I785" t="str">
            <v>テクニカルタイプ</v>
          </cell>
          <cell r="J785">
            <v>0.9</v>
          </cell>
          <cell r="K785">
            <v>0.9</v>
          </cell>
          <cell r="L785">
            <v>1</v>
          </cell>
          <cell r="M785" t="str">
            <v>academia</v>
          </cell>
          <cell r="N785" t="str">
            <v>アカデミア</v>
          </cell>
          <cell r="O785">
            <v>1</v>
          </cell>
          <cell r="P785">
            <v>1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</row>
        <row r="786">
          <cell r="A786">
            <v>785</v>
          </cell>
          <cell r="B786" t="str">
            <v>あけおめダック2017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coin</v>
          </cell>
          <cell r="I786" t="str">
            <v>コインタイプ</v>
          </cell>
          <cell r="J786">
            <v>0.1</v>
          </cell>
          <cell r="K786">
            <v>0.05</v>
          </cell>
          <cell r="L786">
            <v>1</v>
          </cell>
          <cell r="M786" t="str">
            <v>unknown</v>
          </cell>
          <cell r="N786" t="str">
            <v>Unknown</v>
          </cell>
          <cell r="O786">
            <v>1</v>
          </cell>
          <cell r="P786">
            <v>1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</row>
        <row r="883">
          <cell r="A883">
            <v>882</v>
          </cell>
          <cell r="B883" t="str">
            <v>歪極する星壊 シュヴァルツシルト</v>
          </cell>
          <cell r="C883">
            <v>6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</row>
        <row r="889">
          <cell r="A889">
            <v>888</v>
          </cell>
          <cell r="B889" t="str">
            <v>禍根の暴送者 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</row>
        <row r="895">
          <cell r="A895">
            <v>894</v>
          </cell>
          <cell r="B895" t="str">
            <v>聖澄の戦慧神 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</row>
        <row r="896">
          <cell r="A896">
            <v>895</v>
          </cell>
          <cell r="B896" t="str">
            <v>未定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</row>
        <row r="899">
          <cell r="A899">
            <v>898</v>
          </cell>
          <cell r="B899" t="str">
            <v>未定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academia</v>
          </cell>
          <cell r="N946" t="str">
            <v>アカデミア</v>
          </cell>
          <cell r="O946">
            <v>1</v>
          </cell>
          <cell r="P946">
            <v>1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academia</v>
          </cell>
          <cell r="N947" t="str">
            <v>アカデミア</v>
          </cell>
          <cell r="O947">
            <v>1</v>
          </cell>
          <cell r="P947">
            <v>1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technical</v>
          </cell>
          <cell r="I956" t="str">
            <v>テクニカルタイプ</v>
          </cell>
          <cell r="J956">
            <v>0.9</v>
          </cell>
          <cell r="K956">
            <v>0.9</v>
          </cell>
          <cell r="L956">
            <v>1</v>
          </cell>
          <cell r="M956" t="str">
            <v>academia</v>
          </cell>
          <cell r="N956" t="str">
            <v>アカデミア</v>
          </cell>
          <cell r="O956">
            <v>1</v>
          </cell>
          <cell r="P956">
            <v>1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</row>
        <row r="957">
          <cell r="A957">
            <v>956</v>
          </cell>
          <cell r="B957" t="str">
            <v>導環の崇論 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technical</v>
          </cell>
          <cell r="I957" t="str">
            <v>テクニカルタイプ</v>
          </cell>
          <cell r="J957">
            <v>0.9</v>
          </cell>
          <cell r="K957">
            <v>0.9</v>
          </cell>
          <cell r="L957">
            <v>1</v>
          </cell>
          <cell r="M957" t="str">
            <v>academia</v>
          </cell>
          <cell r="N957" t="str">
            <v>アカデミア</v>
          </cell>
          <cell r="O957">
            <v>1</v>
          </cell>
          <cell r="P957">
            <v>1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</row>
        <row r="958">
          <cell r="A958">
            <v>957</v>
          </cell>
          <cell r="B958" t="str">
            <v>浮環の流律論 マクローリン</v>
          </cell>
          <cell r="C958">
            <v>6</v>
          </cell>
          <cell r="D958" t="str">
            <v>red</v>
          </cell>
          <cell r="E958">
            <v>1</v>
          </cell>
          <cell r="F958">
            <v>1.02</v>
          </cell>
          <cell r="G958">
            <v>1</v>
          </cell>
          <cell r="H958" t="str">
            <v>hp</v>
          </cell>
          <cell r="I958" t="str">
            <v>体力タイプ</v>
          </cell>
          <cell r="J958">
            <v>1.45</v>
          </cell>
          <cell r="K958">
            <v>0.85</v>
          </cell>
          <cell r="L958">
            <v>1</v>
          </cell>
          <cell r="M958" t="str">
            <v>academia</v>
          </cell>
          <cell r="N958" t="str">
            <v>アカデミア</v>
          </cell>
          <cell r="O958">
            <v>1</v>
          </cell>
          <cell r="P958">
            <v>1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</row>
        <row r="964">
          <cell r="A964">
            <v>963</v>
          </cell>
          <cell r="B964" t="str">
            <v>天蛇の閃皇貴魔 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god</v>
          </cell>
          <cell r="N964" t="str">
            <v>ゴッド</v>
          </cell>
          <cell r="O964">
            <v>0.96</v>
          </cell>
          <cell r="P964">
            <v>1.02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</row>
        <row r="967">
          <cell r="A967">
            <v>966</v>
          </cell>
          <cell r="B967" t="str">
            <v>麗嵐の颯愛志士 土方歳三</v>
          </cell>
          <cell r="C967">
            <v>6</v>
          </cell>
          <cell r="D967" t="str">
            <v>green</v>
          </cell>
          <cell r="E967">
            <v>1.02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</row>
        <row r="968">
          <cell r="A968">
            <v>967</v>
          </cell>
          <cell r="B968" t="str">
            <v>討滅の凶妖志士 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</row>
        <row r="969">
          <cell r="A969">
            <v>968</v>
          </cell>
          <cell r="B969" t="str">
            <v>夢謀の愚幻者 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</row>
        <row r="970">
          <cell r="A970">
            <v>969</v>
          </cell>
          <cell r="B970" t="str">
            <v>超排撃の焔砲巨神 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</row>
        <row r="972">
          <cell r="A972">
            <v>971</v>
          </cell>
          <cell r="B972" t="str">
            <v>機獅蛮勇 ブレイブリー・ライオン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animal</v>
          </cell>
          <cell r="N1046" t="str">
            <v>アニマル</v>
          </cell>
          <cell r="O1046">
            <v>1</v>
          </cell>
          <cell r="P1046">
            <v>1.1000000000000001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human</v>
          </cell>
          <cell r="N1048" t="str">
            <v>ヒューマン</v>
          </cell>
          <cell r="O1048">
            <v>0.94</v>
          </cell>
          <cell r="P1048">
            <v>0.99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human</v>
          </cell>
          <cell r="N1050" t="str">
            <v>ヒューマン</v>
          </cell>
          <cell r="O1050">
            <v>0.94</v>
          </cell>
          <cell r="P1050">
            <v>0.99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human</v>
          </cell>
          <cell r="N1052" t="str">
            <v>ヒューマン</v>
          </cell>
          <cell r="O1052">
            <v>0.94</v>
          </cell>
          <cell r="P1052">
            <v>0.99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</row>
        <row r="1078">
          <cell r="A1078">
            <v>1077</v>
          </cell>
          <cell r="B1078" t="str">
            <v>彩適な幸詠隊 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technical</v>
          </cell>
          <cell r="I1084" t="str">
            <v>テクニカルタイプ</v>
          </cell>
          <cell r="J1084">
            <v>0.9</v>
          </cell>
          <cell r="K1084">
            <v>0.9</v>
          </cell>
          <cell r="L1084">
            <v>1</v>
          </cell>
          <cell r="M1084" t="str">
            <v>god</v>
          </cell>
          <cell r="N1084" t="str">
            <v>ゴッド</v>
          </cell>
          <cell r="O1084">
            <v>0.96</v>
          </cell>
          <cell r="P1084">
            <v>1.02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</row>
        <row r="1085">
          <cell r="A1085">
            <v>1084</v>
          </cell>
          <cell r="B1085" t="str">
            <v>驚創する術想師  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technical</v>
          </cell>
          <cell r="I1085" t="str">
            <v>テクニカルタイプ</v>
          </cell>
          <cell r="J1085">
            <v>0.9</v>
          </cell>
          <cell r="K1085">
            <v>0.9</v>
          </cell>
          <cell r="L1085">
            <v>1</v>
          </cell>
          <cell r="M1085" t="str">
            <v>god</v>
          </cell>
          <cell r="N1085" t="str">
            <v>ゴッド</v>
          </cell>
          <cell r="O1085">
            <v>0.96</v>
          </cell>
          <cell r="P1085">
            <v>1.02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</row>
        <row r="1086">
          <cell r="A1086">
            <v>1085</v>
          </cell>
          <cell r="B1086" t="str">
            <v>ルメートル</v>
          </cell>
          <cell r="C1086">
            <v>5</v>
          </cell>
          <cell r="D1086" t="str">
            <v>green</v>
          </cell>
          <cell r="E1086">
            <v>1.02</v>
          </cell>
          <cell r="F1086">
            <v>0.98</v>
          </cell>
          <cell r="G1086">
            <v>1</v>
          </cell>
          <cell r="H1086" t="str">
            <v>technical</v>
          </cell>
          <cell r="I1086" t="str">
            <v>テクニカルタイプ</v>
          </cell>
          <cell r="J1086">
            <v>0.9</v>
          </cell>
          <cell r="K1086">
            <v>0.9</v>
          </cell>
          <cell r="L1086">
            <v>1</v>
          </cell>
          <cell r="M1086" t="str">
            <v>academia</v>
          </cell>
          <cell r="N1086" t="str">
            <v>アカデミア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</row>
        <row r="1087">
          <cell r="A1087">
            <v>1086</v>
          </cell>
          <cell r="B1087" t="str">
            <v>宇宙の線術家 ルメートル</v>
          </cell>
          <cell r="C1087">
            <v>6</v>
          </cell>
          <cell r="D1087" t="str">
            <v>green</v>
          </cell>
          <cell r="E1087">
            <v>1.02</v>
          </cell>
          <cell r="F1087">
            <v>0.98</v>
          </cell>
          <cell r="G1087">
            <v>1</v>
          </cell>
          <cell r="H1087" t="str">
            <v>technical</v>
          </cell>
          <cell r="I1087" t="str">
            <v>テクニカルタイプ</v>
          </cell>
          <cell r="J1087">
            <v>0.9</v>
          </cell>
          <cell r="K1087">
            <v>0.9</v>
          </cell>
          <cell r="L1087">
            <v>1</v>
          </cell>
          <cell r="M1087" t="str">
            <v>academia</v>
          </cell>
          <cell r="N1087" t="str">
            <v>アカデミア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</row>
        <row r="1088">
          <cell r="A1088">
            <v>1087</v>
          </cell>
          <cell r="B1088" t="str">
            <v>宇宙線の神業師 ルメートル</v>
          </cell>
          <cell r="C1088">
            <v>6</v>
          </cell>
          <cell r="D1088" t="str">
            <v>green</v>
          </cell>
          <cell r="E1088">
            <v>1.02</v>
          </cell>
          <cell r="F1088">
            <v>0.98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academia</v>
          </cell>
          <cell r="N1088" t="str">
            <v>アカデミア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</row>
        <row r="1091">
          <cell r="A1091">
            <v>1090</v>
          </cell>
          <cell r="B1091" t="str">
            <v>ラプラス</v>
          </cell>
          <cell r="C1091">
            <v>5</v>
          </cell>
          <cell r="D1091" t="str">
            <v>yellow</v>
          </cell>
          <cell r="E1091">
            <v>0.98</v>
          </cell>
          <cell r="F1091">
            <v>1.01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academia</v>
          </cell>
          <cell r="N1091" t="str">
            <v>アカデミア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</row>
        <row r="1092">
          <cell r="A1092">
            <v>1091</v>
          </cell>
          <cell r="B1092" t="str">
            <v>予眼する魔姫 ラプラス</v>
          </cell>
          <cell r="C1092">
            <v>6</v>
          </cell>
          <cell r="D1092" t="str">
            <v>yellow</v>
          </cell>
          <cell r="E1092">
            <v>0.98</v>
          </cell>
          <cell r="F1092">
            <v>1.01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academia</v>
          </cell>
          <cell r="N1092" t="str">
            <v>アカデミア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</row>
        <row r="1093">
          <cell r="A1093">
            <v>1092</v>
          </cell>
          <cell r="B1093" t="str">
            <v>未定</v>
          </cell>
          <cell r="C1093">
            <v>5</v>
          </cell>
          <cell r="D1093" t="str">
            <v>yellow</v>
          </cell>
          <cell r="E1093">
            <v>0.98</v>
          </cell>
          <cell r="F1093">
            <v>1.01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unknown</v>
          </cell>
          <cell r="N1093" t="str">
            <v>Unknown</v>
          </cell>
          <cell r="O1093">
            <v>1</v>
          </cell>
          <cell r="P1093">
            <v>1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</row>
        <row r="1109">
          <cell r="A1109">
            <v>1108</v>
          </cell>
          <cell r="B1109" t="str">
            <v>交鏡の光波 フレネル</v>
          </cell>
          <cell r="C1109">
            <v>6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attack</v>
          </cell>
          <cell r="I1109" t="str">
            <v>攻撃タイプ</v>
          </cell>
          <cell r="J1109">
            <v>1</v>
          </cell>
          <cell r="K1109">
            <v>1.33</v>
          </cell>
          <cell r="L1109">
            <v>1</v>
          </cell>
          <cell r="M1109" t="str">
            <v>academia</v>
          </cell>
          <cell r="N1109" t="str">
            <v>アカデミア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technical</v>
          </cell>
          <cell r="I1110" t="str">
            <v>テクニカルタイプ</v>
          </cell>
          <cell r="J1110">
            <v>0.9</v>
          </cell>
          <cell r="K1110">
            <v>0.9</v>
          </cell>
          <cell r="L1110">
            <v>1</v>
          </cell>
          <cell r="M1110" t="str">
            <v>academia</v>
          </cell>
          <cell r="N1110" t="str">
            <v>アカデミア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</row>
        <row r="1111">
          <cell r="A1111">
            <v>1110</v>
          </cell>
          <cell r="B1111" t="str">
            <v>天竄の炎斬式 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technical</v>
          </cell>
          <cell r="I1111" t="str">
            <v>テクニカルタイプ</v>
          </cell>
          <cell r="J1111">
            <v>0.9</v>
          </cell>
          <cell r="K1111">
            <v>0.9</v>
          </cell>
          <cell r="L1111">
            <v>1</v>
          </cell>
          <cell r="M1111" t="str">
            <v>academia</v>
          </cell>
          <cell r="N1111" t="str">
            <v>アカデミア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</row>
        <row r="1115">
          <cell r="A1115">
            <v>1114</v>
          </cell>
          <cell r="B1115" t="str">
            <v>ボナンザ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</row>
        <row r="1116">
          <cell r="A1116">
            <v>1115</v>
          </cell>
          <cell r="B1116" t="str">
            <v>アヴァルシアの女王 ボナンザ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attack</v>
          </cell>
          <cell r="I1121" t="str">
            <v>攻撃タイプ</v>
          </cell>
          <cell r="J1121">
            <v>1</v>
          </cell>
          <cell r="K1121">
            <v>1.33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</row>
        <row r="1124">
          <cell r="A1124">
            <v>1123</v>
          </cell>
          <cell r="B1124" t="str">
            <v>舞降りし綺鏡羽 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</row>
        <row r="1126">
          <cell r="A1126">
            <v>1125</v>
          </cell>
          <cell r="B1126" t="str">
            <v>累々たる世解 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technical</v>
          </cell>
          <cell r="I1126" t="str">
            <v>テクニカルタイプ</v>
          </cell>
          <cell r="J1126">
            <v>0.9</v>
          </cell>
          <cell r="K1126">
            <v>0.9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</row>
        <row r="1127">
          <cell r="A1127">
            <v>1126</v>
          </cell>
          <cell r="B1127" t="str">
            <v>最終焉算の鋼砲 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hp</v>
          </cell>
          <cell r="I1127" t="str">
            <v>体力タイプ</v>
          </cell>
          <cell r="J1127">
            <v>1.45</v>
          </cell>
          <cell r="K1127">
            <v>0.85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</row>
        <row r="1128">
          <cell r="A1128">
            <v>1127</v>
          </cell>
          <cell r="B1128" t="str">
            <v>真蒼導く対偶 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attack</v>
          </cell>
          <cell r="I1128" t="str">
            <v>攻撃タイプ</v>
          </cell>
          <cell r="J1128">
            <v>1</v>
          </cell>
          <cell r="K1128">
            <v>1.33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</row>
        <row r="1129">
          <cell r="A1129">
            <v>1128</v>
          </cell>
          <cell r="B1129" t="str">
            <v>宇宙天紡の星明 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technical</v>
          </cell>
          <cell r="I1129" t="str">
            <v>テクニカルタイプ</v>
          </cell>
          <cell r="J1129">
            <v>0.9</v>
          </cell>
          <cell r="K1129">
            <v>0.9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</row>
        <row r="1130">
          <cell r="A1130">
            <v>1129</v>
          </cell>
          <cell r="B1130" t="str">
            <v>赤兎馬</v>
          </cell>
          <cell r="C1130">
            <v>5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balance</v>
          </cell>
          <cell r="I1130" t="str">
            <v>バランスタイプ</v>
          </cell>
          <cell r="J1130">
            <v>1</v>
          </cell>
          <cell r="K1130">
            <v>1</v>
          </cell>
          <cell r="L1130">
            <v>1</v>
          </cell>
          <cell r="M1130" t="str">
            <v>animal</v>
          </cell>
          <cell r="N1130" t="str">
            <v>アニマル</v>
          </cell>
          <cell r="O1130">
            <v>1</v>
          </cell>
          <cell r="P1130">
            <v>1.1000000000000001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</row>
        <row r="1131">
          <cell r="A1131">
            <v>1130</v>
          </cell>
          <cell r="B1131" t="str">
            <v>紅鋼の疾躁獣 赤兎馬</v>
          </cell>
          <cell r="C1131">
            <v>5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balance</v>
          </cell>
          <cell r="I1131" t="str">
            <v>バランスタイプ</v>
          </cell>
          <cell r="J1131">
            <v>1</v>
          </cell>
          <cell r="K1131">
            <v>1</v>
          </cell>
          <cell r="L1131">
            <v>1</v>
          </cell>
          <cell r="M1131" t="str">
            <v>animal</v>
          </cell>
          <cell r="N1131" t="str">
            <v>アニマル</v>
          </cell>
          <cell r="O1131">
            <v>1</v>
          </cell>
          <cell r="P1131">
            <v>1.1000000000000001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</row>
        <row r="1132">
          <cell r="A1132">
            <v>1131</v>
          </cell>
          <cell r="B1132" t="str">
            <v>董卓</v>
          </cell>
          <cell r="C1132">
            <v>5</v>
          </cell>
          <cell r="D1132" t="str">
            <v>green</v>
          </cell>
          <cell r="E1132">
            <v>1.02</v>
          </cell>
          <cell r="F1132">
            <v>0.98</v>
          </cell>
          <cell r="G1132">
            <v>1</v>
          </cell>
          <cell r="H1132" t="str">
            <v>technical</v>
          </cell>
          <cell r="I1132" t="str">
            <v>テクニカルタイプ</v>
          </cell>
          <cell r="J1132">
            <v>0.9</v>
          </cell>
          <cell r="K1132">
            <v>0.9</v>
          </cell>
          <cell r="L1132">
            <v>1</v>
          </cell>
          <cell r="M1132" t="str">
            <v>samurai</v>
          </cell>
          <cell r="N1132" t="str">
            <v>サムライ</v>
          </cell>
          <cell r="O1132">
            <v>1</v>
          </cell>
          <cell r="P1132">
            <v>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</row>
        <row r="1133">
          <cell r="A1133">
            <v>1132</v>
          </cell>
          <cell r="B1133" t="str">
            <v>偏執なる狂騒君 董卓</v>
          </cell>
          <cell r="C1133">
            <v>6</v>
          </cell>
          <cell r="D1133" t="str">
            <v>green</v>
          </cell>
          <cell r="E1133">
            <v>1.02</v>
          </cell>
          <cell r="F1133">
            <v>0.98</v>
          </cell>
          <cell r="G1133">
            <v>1</v>
          </cell>
          <cell r="H1133" t="str">
            <v>technical</v>
          </cell>
          <cell r="I1133" t="str">
            <v>テクニカルタイプ</v>
          </cell>
          <cell r="J1133">
            <v>0.9</v>
          </cell>
          <cell r="K1133">
            <v>0.9</v>
          </cell>
          <cell r="L1133">
            <v>1</v>
          </cell>
          <cell r="M1133" t="str">
            <v>samurai</v>
          </cell>
          <cell r="N1133" t="str">
            <v>サムライ</v>
          </cell>
          <cell r="O1133">
            <v>1</v>
          </cell>
          <cell r="P1133">
            <v>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</row>
        <row r="1134">
          <cell r="A1134">
            <v>1133</v>
          </cell>
          <cell r="B1134" t="str">
            <v>貂蝉</v>
          </cell>
          <cell r="C1134">
            <v>5</v>
          </cell>
          <cell r="D1134" t="str">
            <v>yellow</v>
          </cell>
          <cell r="E1134">
            <v>0.98</v>
          </cell>
          <cell r="F1134">
            <v>1.01</v>
          </cell>
          <cell r="G1134">
            <v>1</v>
          </cell>
          <cell r="H1134" t="str">
            <v>attack</v>
          </cell>
          <cell r="I1134" t="str">
            <v>攻撃タイプ</v>
          </cell>
          <cell r="J1134">
            <v>1</v>
          </cell>
          <cell r="K1134">
            <v>1.33</v>
          </cell>
          <cell r="L1134">
            <v>1</v>
          </cell>
          <cell r="M1134" t="str">
            <v>human</v>
          </cell>
          <cell r="N1134" t="str">
            <v>ヒューマン</v>
          </cell>
          <cell r="O1134">
            <v>0.94</v>
          </cell>
          <cell r="P1134">
            <v>0.99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</row>
        <row r="1135">
          <cell r="A1135">
            <v>1134</v>
          </cell>
          <cell r="B1135" t="str">
            <v>月隠れの美麗酔 貂蝉</v>
          </cell>
          <cell r="C1135">
            <v>6</v>
          </cell>
          <cell r="D1135" t="str">
            <v>yellow</v>
          </cell>
          <cell r="E1135">
            <v>0.98</v>
          </cell>
          <cell r="F1135">
            <v>1.01</v>
          </cell>
          <cell r="G1135">
            <v>1</v>
          </cell>
          <cell r="H1135" t="str">
            <v>attack</v>
          </cell>
          <cell r="I1135" t="str">
            <v>攻撃タイプ</v>
          </cell>
          <cell r="J1135">
            <v>1</v>
          </cell>
          <cell r="K1135">
            <v>1.33</v>
          </cell>
          <cell r="L1135">
            <v>1</v>
          </cell>
          <cell r="M1135" t="str">
            <v>human</v>
          </cell>
          <cell r="N1135" t="str">
            <v>ヒューマン</v>
          </cell>
          <cell r="O1135">
            <v>0.94</v>
          </cell>
          <cell r="P1135">
            <v>0.99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</row>
        <row r="1136">
          <cell r="A1136">
            <v>1135</v>
          </cell>
          <cell r="B1136" t="str">
            <v>呂布</v>
          </cell>
          <cell r="C1136">
            <v>5</v>
          </cell>
          <cell r="D1136" t="str">
            <v>green</v>
          </cell>
          <cell r="E1136">
            <v>1.02</v>
          </cell>
          <cell r="F1136">
            <v>0.98</v>
          </cell>
          <cell r="G1136">
            <v>1</v>
          </cell>
          <cell r="H1136" t="str">
            <v>attack</v>
          </cell>
          <cell r="I1136" t="str">
            <v>攻撃タイプ</v>
          </cell>
          <cell r="J1136">
            <v>1</v>
          </cell>
          <cell r="K1136">
            <v>1.33</v>
          </cell>
          <cell r="L1136">
            <v>1</v>
          </cell>
          <cell r="M1136" t="str">
            <v>samurai</v>
          </cell>
          <cell r="N1136" t="str">
            <v>サムライ</v>
          </cell>
          <cell r="O1136">
            <v>1</v>
          </cell>
          <cell r="P1136">
            <v>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</row>
        <row r="1137">
          <cell r="A1137">
            <v>1136</v>
          </cell>
          <cell r="B1137" t="str">
            <v>豪拳烈創の激将 呂布</v>
          </cell>
          <cell r="C1137">
            <v>6</v>
          </cell>
          <cell r="D1137" t="str">
            <v>green</v>
          </cell>
          <cell r="E1137">
            <v>1.02</v>
          </cell>
          <cell r="F1137">
            <v>0.98</v>
          </cell>
          <cell r="G1137">
            <v>1</v>
          </cell>
          <cell r="H1137" t="str">
            <v>attack</v>
          </cell>
          <cell r="I1137" t="str">
            <v>攻撃タイプ</v>
          </cell>
          <cell r="J1137">
            <v>1</v>
          </cell>
          <cell r="K1137">
            <v>1.33</v>
          </cell>
          <cell r="L1137">
            <v>1</v>
          </cell>
          <cell r="M1137" t="str">
            <v>samurai</v>
          </cell>
          <cell r="N1137" t="str">
            <v>サムライ</v>
          </cell>
          <cell r="O1137">
            <v>1</v>
          </cell>
          <cell r="P1137">
            <v>1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</row>
        <row r="1138">
          <cell r="A1138">
            <v>1137</v>
          </cell>
          <cell r="B1138" t="str">
            <v>諸葛亮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technical</v>
          </cell>
          <cell r="I1138" t="str">
            <v>テクニカルタイプ</v>
          </cell>
          <cell r="J1138">
            <v>0.9</v>
          </cell>
          <cell r="K1138">
            <v>0.9</v>
          </cell>
          <cell r="L1138">
            <v>1</v>
          </cell>
          <cell r="M1138" t="str">
            <v>samurai</v>
          </cell>
          <cell r="N1138" t="str">
            <v>サムライ</v>
          </cell>
          <cell r="O1138">
            <v>1</v>
          </cell>
          <cell r="P1138">
            <v>1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</row>
        <row r="1139">
          <cell r="A1139">
            <v>1138</v>
          </cell>
          <cell r="B1139" t="str">
            <v>神算鬼謀の宰相 諸葛亮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technical</v>
          </cell>
          <cell r="I1139" t="str">
            <v>テクニカルタイプ</v>
          </cell>
          <cell r="J1139">
            <v>0.9</v>
          </cell>
          <cell r="K1139">
            <v>0.9</v>
          </cell>
          <cell r="L1139">
            <v>1</v>
          </cell>
          <cell r="M1139" t="str">
            <v>samurai</v>
          </cell>
          <cell r="N1139" t="str">
            <v>サムライ</v>
          </cell>
          <cell r="O1139">
            <v>1</v>
          </cell>
          <cell r="P1139">
            <v>1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</row>
        <row r="1140">
          <cell r="A1140">
            <v>1139</v>
          </cell>
          <cell r="B1140" t="str">
            <v>趙雲</v>
          </cell>
          <cell r="C1140">
            <v>5</v>
          </cell>
          <cell r="D1140" t="str">
            <v>green</v>
          </cell>
          <cell r="E1140">
            <v>1.02</v>
          </cell>
          <cell r="F1140">
            <v>0.98</v>
          </cell>
          <cell r="G1140">
            <v>1</v>
          </cell>
          <cell r="H1140" t="str">
            <v>balance</v>
          </cell>
          <cell r="I1140" t="str">
            <v>バランスタイプ</v>
          </cell>
          <cell r="J1140">
            <v>1</v>
          </cell>
          <cell r="K1140">
            <v>1</v>
          </cell>
          <cell r="L1140">
            <v>1</v>
          </cell>
          <cell r="M1140" t="str">
            <v>samurai</v>
          </cell>
          <cell r="N1140" t="str">
            <v>サムライ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</row>
        <row r="1141">
          <cell r="A1141">
            <v>1140</v>
          </cell>
          <cell r="B1141" t="str">
            <v>綱紀粛正の傑璧 趙雲</v>
          </cell>
          <cell r="C1141">
            <v>6</v>
          </cell>
          <cell r="D1141" t="str">
            <v>green</v>
          </cell>
          <cell r="E1141">
            <v>1.02</v>
          </cell>
          <cell r="F1141">
            <v>0.98</v>
          </cell>
          <cell r="G1141">
            <v>1</v>
          </cell>
          <cell r="H1141" t="str">
            <v>balance</v>
          </cell>
          <cell r="I1141" t="str">
            <v>バランスタイプ</v>
          </cell>
          <cell r="J1141">
            <v>1</v>
          </cell>
          <cell r="K1141">
            <v>1</v>
          </cell>
          <cell r="L1141">
            <v>1</v>
          </cell>
          <cell r="M1141" t="str">
            <v>samurai</v>
          </cell>
          <cell r="N1141" t="str">
            <v>サムライ</v>
          </cell>
          <cell r="O1141">
            <v>1</v>
          </cell>
          <cell r="P1141">
            <v>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</row>
        <row r="1142">
          <cell r="A1142">
            <v>1141</v>
          </cell>
          <cell r="B1142" t="str">
            <v>月英</v>
          </cell>
          <cell r="C1142">
            <v>5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balance</v>
          </cell>
          <cell r="I1142" t="str">
            <v>バランスタイプ</v>
          </cell>
          <cell r="J1142">
            <v>1</v>
          </cell>
          <cell r="K1142">
            <v>1</v>
          </cell>
          <cell r="L1142">
            <v>1</v>
          </cell>
          <cell r="M1142" t="str">
            <v>human</v>
          </cell>
          <cell r="N1142" t="str">
            <v>ヒューマン</v>
          </cell>
          <cell r="O1142">
            <v>0.94</v>
          </cell>
          <cell r="P1142">
            <v>0.99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</row>
        <row r="1143">
          <cell r="A1143">
            <v>1142</v>
          </cell>
          <cell r="B1143" t="str">
            <v>蒼明な機鋼士 月英</v>
          </cell>
          <cell r="C1143">
            <v>6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balance</v>
          </cell>
          <cell r="I1143" t="str">
            <v>バランスタイプ</v>
          </cell>
          <cell r="J1143">
            <v>1</v>
          </cell>
          <cell r="K1143">
            <v>1</v>
          </cell>
          <cell r="L1143">
            <v>1</v>
          </cell>
          <cell r="M1143" t="str">
            <v>human</v>
          </cell>
          <cell r="N1143" t="str">
            <v>ヒューマン</v>
          </cell>
          <cell r="O1143">
            <v>0.94</v>
          </cell>
          <cell r="P1143">
            <v>0.99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</row>
        <row r="1144">
          <cell r="A1144">
            <v>1143</v>
          </cell>
          <cell r="B1144" t="str">
            <v>黄忠</v>
          </cell>
          <cell r="C1144">
            <v>4</v>
          </cell>
          <cell r="D1144" t="str">
            <v>yellow</v>
          </cell>
          <cell r="E1144">
            <v>0.98</v>
          </cell>
          <cell r="F1144">
            <v>1.01</v>
          </cell>
          <cell r="G1144">
            <v>1</v>
          </cell>
          <cell r="H1144" t="str">
            <v>technical</v>
          </cell>
          <cell r="I1144" t="str">
            <v>テクニカルタイプ</v>
          </cell>
          <cell r="J1144">
            <v>0.9</v>
          </cell>
          <cell r="K1144">
            <v>0.9</v>
          </cell>
          <cell r="L1144">
            <v>1</v>
          </cell>
          <cell r="M1144" t="str">
            <v>samurai</v>
          </cell>
          <cell r="N1144" t="str">
            <v>サムライ</v>
          </cell>
          <cell r="O1144">
            <v>1</v>
          </cell>
          <cell r="P1144">
            <v>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</row>
        <row r="1145">
          <cell r="A1145">
            <v>1144</v>
          </cell>
          <cell r="B1145" t="str">
            <v>白星を射る老将 黄忠</v>
          </cell>
          <cell r="C1145">
            <v>5</v>
          </cell>
          <cell r="D1145" t="str">
            <v>yellow</v>
          </cell>
          <cell r="E1145">
            <v>0.98</v>
          </cell>
          <cell r="F1145">
            <v>1.01</v>
          </cell>
          <cell r="G1145">
            <v>1</v>
          </cell>
          <cell r="H1145" t="str">
            <v>technical</v>
          </cell>
          <cell r="I1145" t="str">
            <v>テクニカルタイプ</v>
          </cell>
          <cell r="J1145">
            <v>0.9</v>
          </cell>
          <cell r="K1145">
            <v>0.9</v>
          </cell>
          <cell r="L1145">
            <v>1</v>
          </cell>
          <cell r="M1145" t="str">
            <v>samurai</v>
          </cell>
          <cell r="N1145" t="str">
            <v>サムライ</v>
          </cell>
          <cell r="O1145">
            <v>1</v>
          </cell>
          <cell r="P1145">
            <v>1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</row>
        <row r="1146">
          <cell r="A1146">
            <v>1145</v>
          </cell>
          <cell r="B1146" t="str">
            <v>ヴリトラ</v>
          </cell>
          <cell r="C1146">
            <v>4</v>
          </cell>
          <cell r="D1146" t="str">
            <v>yellow</v>
          </cell>
          <cell r="E1146">
            <v>0.98</v>
          </cell>
          <cell r="F1146">
            <v>1.01</v>
          </cell>
          <cell r="G1146">
            <v>1</v>
          </cell>
          <cell r="H1146" t="str">
            <v>hp</v>
          </cell>
          <cell r="I1146" t="str">
            <v>体力タイプ</v>
          </cell>
          <cell r="J1146">
            <v>1.45</v>
          </cell>
          <cell r="K1146">
            <v>0.85</v>
          </cell>
          <cell r="L1146">
            <v>1</v>
          </cell>
          <cell r="M1146" t="str">
            <v>dragon</v>
          </cell>
          <cell r="N1146" t="str">
            <v>ドラゴン</v>
          </cell>
          <cell r="O1146">
            <v>1.1499999999999999</v>
          </cell>
          <cell r="P1146">
            <v>1.1000000000000001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</row>
        <row r="1147">
          <cell r="A1147">
            <v>1146</v>
          </cell>
          <cell r="B1147" t="str">
            <v>宙覆す破魃竜 ヴリトラ</v>
          </cell>
          <cell r="C1147">
            <v>5</v>
          </cell>
          <cell r="D1147" t="str">
            <v>yellow</v>
          </cell>
          <cell r="E1147">
            <v>0.98</v>
          </cell>
          <cell r="F1147">
            <v>1.01</v>
          </cell>
          <cell r="G1147">
            <v>1</v>
          </cell>
          <cell r="H1147" t="str">
            <v>hp</v>
          </cell>
          <cell r="I1147" t="str">
            <v>体力タイプ</v>
          </cell>
          <cell r="J1147">
            <v>1.45</v>
          </cell>
          <cell r="K1147">
            <v>0.85</v>
          </cell>
          <cell r="L1147">
            <v>1</v>
          </cell>
          <cell r="M1147" t="str">
            <v>dragon</v>
          </cell>
          <cell r="N1147" t="str">
            <v>ドラゴン</v>
          </cell>
          <cell r="O1147">
            <v>1.1499999999999999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</row>
        <row r="1148">
          <cell r="A1148">
            <v>1147</v>
          </cell>
          <cell r="B1148" t="str">
            <v>カーリー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technical</v>
          </cell>
          <cell r="I1148" t="str">
            <v>テクニカルタイプ</v>
          </cell>
          <cell r="J1148">
            <v>0.9</v>
          </cell>
          <cell r="K1148">
            <v>0.9</v>
          </cell>
          <cell r="L1148">
            <v>1</v>
          </cell>
          <cell r="M1148" t="str">
            <v>god</v>
          </cell>
          <cell r="N1148" t="str">
            <v>ゴッド</v>
          </cell>
          <cell r="O1148">
            <v>0.96</v>
          </cell>
          <cell r="P1148">
            <v>1.02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</row>
        <row r="1149">
          <cell r="A1149">
            <v>1148</v>
          </cell>
          <cell r="B1149" t="str">
            <v>嫉神の黎き滅意 カーリー</v>
          </cell>
          <cell r="C1149">
            <v>6</v>
          </cell>
          <cell r="D1149" t="str">
            <v>red</v>
          </cell>
          <cell r="E1149">
            <v>1</v>
          </cell>
          <cell r="F1149">
            <v>1.02</v>
          </cell>
          <cell r="G1149">
            <v>1</v>
          </cell>
          <cell r="H1149" t="str">
            <v>technical</v>
          </cell>
          <cell r="I1149" t="str">
            <v>テクニカルタイプ</v>
          </cell>
          <cell r="J1149">
            <v>0.9</v>
          </cell>
          <cell r="K1149">
            <v>0.9</v>
          </cell>
          <cell r="L1149">
            <v>1</v>
          </cell>
          <cell r="M1149" t="str">
            <v>god</v>
          </cell>
          <cell r="N1149" t="str">
            <v>ゴッド</v>
          </cell>
          <cell r="O1149">
            <v>0.96</v>
          </cell>
          <cell r="P1149">
            <v>1.02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</row>
        <row r="1150">
          <cell r="A1150">
            <v>1149</v>
          </cell>
          <cell r="B1150" t="str">
            <v>ブラフマー</v>
          </cell>
          <cell r="C1150">
            <v>5</v>
          </cell>
          <cell r="D1150" t="str">
            <v>blue</v>
          </cell>
          <cell r="E1150">
            <v>1</v>
          </cell>
          <cell r="F1150">
            <v>0.98</v>
          </cell>
          <cell r="G1150">
            <v>1</v>
          </cell>
          <cell r="H1150" t="str">
            <v>technical</v>
          </cell>
          <cell r="I1150" t="str">
            <v>テクニカルタイプ</v>
          </cell>
          <cell r="J1150">
            <v>0.9</v>
          </cell>
          <cell r="K1150">
            <v>0.9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</row>
        <row r="1151">
          <cell r="A1151">
            <v>1150</v>
          </cell>
          <cell r="B1151" t="str">
            <v>封智の元創神 ブラフマー</v>
          </cell>
          <cell r="C1151">
            <v>6</v>
          </cell>
          <cell r="D1151" t="str">
            <v>blue</v>
          </cell>
          <cell r="E1151">
            <v>1</v>
          </cell>
          <cell r="F1151">
            <v>0.98</v>
          </cell>
          <cell r="G1151">
            <v>1</v>
          </cell>
          <cell r="H1151" t="str">
            <v>technical</v>
          </cell>
          <cell r="I1151" t="str">
            <v>テクニカルタイプ</v>
          </cell>
          <cell r="J1151">
            <v>0.9</v>
          </cell>
          <cell r="K1151">
            <v>0.9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</row>
        <row r="1152">
          <cell r="A1152">
            <v>1151</v>
          </cell>
          <cell r="B1152" t="str">
            <v>ガネーシャ</v>
          </cell>
          <cell r="C1152">
            <v>4</v>
          </cell>
          <cell r="D1152" t="str">
            <v>red</v>
          </cell>
          <cell r="E1152">
            <v>1</v>
          </cell>
          <cell r="F1152">
            <v>1.02</v>
          </cell>
          <cell r="G1152">
            <v>1</v>
          </cell>
          <cell r="H1152" t="str">
            <v>heal</v>
          </cell>
          <cell r="I1152" t="str">
            <v>回復タイプ</v>
          </cell>
          <cell r="J1152">
            <v>0.8</v>
          </cell>
          <cell r="K1152">
            <v>0.78</v>
          </cell>
          <cell r="L1152">
            <v>1</v>
          </cell>
          <cell r="M1152" t="str">
            <v>god</v>
          </cell>
          <cell r="N1152" t="str">
            <v>ゴッド</v>
          </cell>
          <cell r="O1152">
            <v>0.96</v>
          </cell>
          <cell r="P1152">
            <v>1.02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</row>
        <row r="1153">
          <cell r="A1153">
            <v>1152</v>
          </cell>
          <cell r="B1153" t="str">
            <v>衆知の富益神 ガネーシャ</v>
          </cell>
          <cell r="C1153">
            <v>5</v>
          </cell>
          <cell r="D1153" t="str">
            <v>red</v>
          </cell>
          <cell r="E1153">
            <v>1</v>
          </cell>
          <cell r="F1153">
            <v>1.02</v>
          </cell>
          <cell r="G1153">
            <v>1</v>
          </cell>
          <cell r="H1153" t="str">
            <v>heal</v>
          </cell>
          <cell r="I1153" t="str">
            <v>回復タイプ</v>
          </cell>
          <cell r="J1153">
            <v>0.8</v>
          </cell>
          <cell r="K1153">
            <v>0.78</v>
          </cell>
          <cell r="L1153">
            <v>1</v>
          </cell>
          <cell r="M1153" t="str">
            <v>god</v>
          </cell>
          <cell r="N1153" t="str">
            <v>ゴッド</v>
          </cell>
          <cell r="O1153">
            <v>0.96</v>
          </cell>
          <cell r="P1153">
            <v>1.02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</row>
        <row r="1154">
          <cell r="A1154">
            <v>1153</v>
          </cell>
          <cell r="B1154" t="str">
            <v>ラクシュミー</v>
          </cell>
          <cell r="C1154">
            <v>5</v>
          </cell>
          <cell r="D1154" t="str">
            <v>green</v>
          </cell>
          <cell r="E1154">
            <v>1.02</v>
          </cell>
          <cell r="F1154">
            <v>0.98</v>
          </cell>
          <cell r="G1154">
            <v>1</v>
          </cell>
          <cell r="H1154" t="str">
            <v>hp</v>
          </cell>
          <cell r="I1154" t="str">
            <v>体力タイプ</v>
          </cell>
          <cell r="J1154">
            <v>1.45</v>
          </cell>
          <cell r="K1154">
            <v>0.85</v>
          </cell>
          <cell r="L1154">
            <v>1</v>
          </cell>
          <cell r="M1154" t="str">
            <v>god</v>
          </cell>
          <cell r="N1154" t="str">
            <v>ゴッド</v>
          </cell>
          <cell r="O1154">
            <v>0.96</v>
          </cell>
          <cell r="P1154">
            <v>1.02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</row>
        <row r="1155">
          <cell r="A1155">
            <v>1154</v>
          </cell>
          <cell r="B1155" t="str">
            <v>幸吹の蓮華粧 ラクシュミー</v>
          </cell>
          <cell r="C1155">
            <v>6</v>
          </cell>
          <cell r="D1155" t="str">
            <v>green</v>
          </cell>
          <cell r="E1155">
            <v>1.02</v>
          </cell>
          <cell r="F1155">
            <v>0.98</v>
          </cell>
          <cell r="G1155">
            <v>1</v>
          </cell>
          <cell r="H1155" t="str">
            <v>hp</v>
          </cell>
          <cell r="I1155" t="str">
            <v>体力タイプ</v>
          </cell>
          <cell r="J1155">
            <v>1.45</v>
          </cell>
          <cell r="K1155">
            <v>0.85</v>
          </cell>
          <cell r="L1155">
            <v>1</v>
          </cell>
          <cell r="M1155" t="str">
            <v>god</v>
          </cell>
          <cell r="N1155" t="str">
            <v>ゴッド</v>
          </cell>
          <cell r="O1155">
            <v>0.96</v>
          </cell>
          <cell r="P1155">
            <v>1.02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</row>
        <row r="1156">
          <cell r="A1156">
            <v>1155</v>
          </cell>
          <cell r="B1156" t="str">
            <v>ドゥルガー</v>
          </cell>
          <cell r="C1156">
            <v>5</v>
          </cell>
          <cell r="D1156" t="str">
            <v>blue</v>
          </cell>
          <cell r="E1156">
            <v>1</v>
          </cell>
          <cell r="F1156">
            <v>0.98</v>
          </cell>
          <cell r="G1156">
            <v>1</v>
          </cell>
          <cell r="H1156" t="str">
            <v>balance</v>
          </cell>
          <cell r="I1156" t="str">
            <v>バランスタイプ</v>
          </cell>
          <cell r="J1156">
            <v>1</v>
          </cell>
          <cell r="K1156">
            <v>1</v>
          </cell>
          <cell r="L1156">
            <v>1</v>
          </cell>
          <cell r="M1156" t="str">
            <v>god</v>
          </cell>
          <cell r="N1156" t="str">
            <v>ゴッド</v>
          </cell>
          <cell r="O1156">
            <v>0.96</v>
          </cell>
          <cell r="P1156">
            <v>1.02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</row>
        <row r="1157">
          <cell r="A1157">
            <v>1156</v>
          </cell>
          <cell r="B1157" t="str">
            <v>麗逆の武操神 ドゥルガー</v>
          </cell>
          <cell r="C1157">
            <v>6</v>
          </cell>
          <cell r="D1157" t="str">
            <v>blue</v>
          </cell>
          <cell r="E1157">
            <v>1</v>
          </cell>
          <cell r="F1157">
            <v>0.98</v>
          </cell>
          <cell r="G1157">
            <v>1</v>
          </cell>
          <cell r="H1157" t="str">
            <v>balance</v>
          </cell>
          <cell r="I1157" t="str">
            <v>バランスタイプ</v>
          </cell>
          <cell r="J1157">
            <v>1</v>
          </cell>
          <cell r="K1157">
            <v>1</v>
          </cell>
          <cell r="L1157">
            <v>1</v>
          </cell>
          <cell r="M1157" t="str">
            <v>god</v>
          </cell>
          <cell r="N1157" t="str">
            <v>ゴッド</v>
          </cell>
          <cell r="O1157">
            <v>0.96</v>
          </cell>
          <cell r="P1157">
            <v>1.02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</row>
        <row r="1158">
          <cell r="A1158">
            <v>1157</v>
          </cell>
          <cell r="B1158" t="str">
            <v>インドラ</v>
          </cell>
          <cell r="C1158">
            <v>5</v>
          </cell>
          <cell r="D1158" t="str">
            <v>yellow</v>
          </cell>
          <cell r="E1158">
            <v>0.98</v>
          </cell>
          <cell r="F1158">
            <v>1.01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</row>
        <row r="1159">
          <cell r="A1159">
            <v>1158</v>
          </cell>
          <cell r="B1159" t="str">
            <v>天英の雷霆神 インドラ</v>
          </cell>
          <cell r="C1159">
            <v>6</v>
          </cell>
          <cell r="D1159" t="str">
            <v>yellow</v>
          </cell>
          <cell r="E1159">
            <v>0.98</v>
          </cell>
          <cell r="F1159">
            <v>1.01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</row>
        <row r="1160">
          <cell r="A1160">
            <v>1159</v>
          </cell>
          <cell r="B1160" t="str">
            <v>ガロア</v>
          </cell>
          <cell r="C1160">
            <v>5</v>
          </cell>
          <cell r="D1160" t="str">
            <v>green</v>
          </cell>
          <cell r="E1160">
            <v>1.02</v>
          </cell>
          <cell r="F1160">
            <v>0.98</v>
          </cell>
          <cell r="G1160">
            <v>1</v>
          </cell>
          <cell r="H1160" t="str">
            <v>attack</v>
          </cell>
          <cell r="I1160" t="str">
            <v>攻撃タイプ</v>
          </cell>
          <cell r="J1160">
            <v>1</v>
          </cell>
          <cell r="K1160">
            <v>1.33</v>
          </cell>
          <cell r="L1160">
            <v>1</v>
          </cell>
          <cell r="M1160" t="str">
            <v>academia</v>
          </cell>
          <cell r="N1160" t="str">
            <v>アカデミア</v>
          </cell>
          <cell r="O1160">
            <v>1</v>
          </cell>
          <cell r="P1160">
            <v>1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</row>
        <row r="1161">
          <cell r="A1161">
            <v>1160</v>
          </cell>
          <cell r="B1161" t="str">
            <v>拡命の大群論 ガロア</v>
          </cell>
          <cell r="C1161">
            <v>6</v>
          </cell>
          <cell r="D1161" t="str">
            <v>green</v>
          </cell>
          <cell r="E1161">
            <v>1.02</v>
          </cell>
          <cell r="F1161">
            <v>0.98</v>
          </cell>
          <cell r="G1161">
            <v>1</v>
          </cell>
          <cell r="H1161" t="str">
            <v>attack</v>
          </cell>
          <cell r="I1161" t="str">
            <v>攻撃タイプ</v>
          </cell>
          <cell r="J1161">
            <v>1</v>
          </cell>
          <cell r="K1161">
            <v>1.33</v>
          </cell>
          <cell r="L1161">
            <v>1</v>
          </cell>
          <cell r="M1161" t="str">
            <v>academia</v>
          </cell>
          <cell r="N1161" t="str">
            <v>アカデミア</v>
          </cell>
          <cell r="O1161">
            <v>1</v>
          </cell>
          <cell r="P1161">
            <v>1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</row>
        <row r="1162">
          <cell r="A1162">
            <v>1161</v>
          </cell>
          <cell r="B1162" t="str">
            <v>ヒルベルト</v>
          </cell>
          <cell r="C1162">
            <v>5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attack</v>
          </cell>
          <cell r="I1162" t="str">
            <v>攻撃タイプ</v>
          </cell>
          <cell r="J1162">
            <v>1</v>
          </cell>
          <cell r="K1162">
            <v>1.33</v>
          </cell>
          <cell r="L1162">
            <v>1</v>
          </cell>
          <cell r="M1162" t="str">
            <v>academia</v>
          </cell>
          <cell r="N1162" t="str">
            <v>アカデミア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</row>
        <row r="1163">
          <cell r="A1163">
            <v>1162</v>
          </cell>
          <cell r="B1163" t="str">
            <v>夢験次元の抽唱 ヒルベルト</v>
          </cell>
          <cell r="C1163">
            <v>6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attack</v>
          </cell>
          <cell r="I1163" t="str">
            <v>攻撃タイプ</v>
          </cell>
          <cell r="J1163">
            <v>1</v>
          </cell>
          <cell r="K1163">
            <v>1.33</v>
          </cell>
          <cell r="L1163">
            <v>1</v>
          </cell>
          <cell r="M1163" t="str">
            <v>academia</v>
          </cell>
          <cell r="N1163" t="str">
            <v>アカデミア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</row>
        <row r="1164">
          <cell r="A1164">
            <v>1163</v>
          </cell>
          <cell r="B1164" t="str">
            <v>命題唱鳴計画 ヒルベルト</v>
          </cell>
          <cell r="C1164">
            <v>6</v>
          </cell>
          <cell r="D1164" t="str">
            <v>yellow</v>
          </cell>
          <cell r="E1164">
            <v>0.98</v>
          </cell>
          <cell r="F1164">
            <v>1.01</v>
          </cell>
          <cell r="G1164">
            <v>1</v>
          </cell>
          <cell r="H1164" t="str">
            <v>attack</v>
          </cell>
          <cell r="I1164" t="str">
            <v>攻撃タイプ</v>
          </cell>
          <cell r="J1164">
            <v>1</v>
          </cell>
          <cell r="K1164">
            <v>1.33</v>
          </cell>
          <cell r="L1164">
            <v>1</v>
          </cell>
          <cell r="M1164" t="str">
            <v>academia</v>
          </cell>
          <cell r="N1164" t="str">
            <v>アカデミア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</row>
        <row r="1165">
          <cell r="A1165">
            <v>1164</v>
          </cell>
          <cell r="B1165" t="str">
            <v>ガンバンテイン</v>
          </cell>
          <cell r="C1165">
            <v>5</v>
          </cell>
          <cell r="D1165" t="str">
            <v>red</v>
          </cell>
          <cell r="E1165">
            <v>1</v>
          </cell>
          <cell r="F1165">
            <v>1.02</v>
          </cell>
          <cell r="G1165">
            <v>1</v>
          </cell>
          <cell r="H1165" t="str">
            <v>heal</v>
          </cell>
          <cell r="I1165" t="str">
            <v>回復タイプ</v>
          </cell>
          <cell r="J1165">
            <v>0.8</v>
          </cell>
          <cell r="K1165">
            <v>0.78</v>
          </cell>
          <cell r="L1165">
            <v>1</v>
          </cell>
          <cell r="M1165" t="str">
            <v>weapon</v>
          </cell>
          <cell r="N1165" t="str">
            <v>ウェポン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</row>
        <row r="1166">
          <cell r="A1166">
            <v>1165</v>
          </cell>
          <cell r="B1166" t="str">
            <v>夢香華の耀杖 ガンバンテイン</v>
          </cell>
          <cell r="C1166">
            <v>6</v>
          </cell>
          <cell r="D1166" t="str">
            <v>red</v>
          </cell>
          <cell r="E1166">
            <v>1</v>
          </cell>
          <cell r="F1166">
            <v>1.02</v>
          </cell>
          <cell r="G1166">
            <v>1</v>
          </cell>
          <cell r="H1166" t="str">
            <v>heal</v>
          </cell>
          <cell r="I1166" t="str">
            <v>回復タイプ</v>
          </cell>
          <cell r="J1166">
            <v>0.8</v>
          </cell>
          <cell r="K1166">
            <v>0.78</v>
          </cell>
          <cell r="L1166">
            <v>1</v>
          </cell>
          <cell r="M1166" t="str">
            <v>weapon</v>
          </cell>
          <cell r="N1166" t="str">
            <v>ウェポン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</row>
        <row r="1167">
          <cell r="A1167">
            <v>1166</v>
          </cell>
          <cell r="B1167" t="str">
            <v>降魔宝杖</v>
          </cell>
          <cell r="C1167">
            <v>5</v>
          </cell>
          <cell r="D1167" t="str">
            <v>blue</v>
          </cell>
          <cell r="E1167">
            <v>1</v>
          </cell>
          <cell r="F1167">
            <v>0.98</v>
          </cell>
          <cell r="G1167">
            <v>1</v>
          </cell>
          <cell r="H1167" t="str">
            <v>attack</v>
          </cell>
          <cell r="I1167" t="str">
            <v>攻撃タイプ</v>
          </cell>
          <cell r="J1167">
            <v>1</v>
          </cell>
          <cell r="K1167">
            <v>1.33</v>
          </cell>
          <cell r="L1167">
            <v>1</v>
          </cell>
          <cell r="M1167" t="str">
            <v>weapon</v>
          </cell>
          <cell r="N1167" t="str">
            <v>ウェポン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</row>
        <row r="1168">
          <cell r="A1168">
            <v>1167</v>
          </cell>
          <cell r="B1168" t="str">
            <v>月河の黄金器 降魔宝杖</v>
          </cell>
          <cell r="C1168">
            <v>6</v>
          </cell>
          <cell r="D1168" t="str">
            <v>blue</v>
          </cell>
          <cell r="E1168">
            <v>1</v>
          </cell>
          <cell r="F1168">
            <v>0.98</v>
          </cell>
          <cell r="G1168">
            <v>1</v>
          </cell>
          <cell r="H1168" t="str">
            <v>attack</v>
          </cell>
          <cell r="I1168" t="str">
            <v>攻撃タイプ</v>
          </cell>
          <cell r="J1168">
            <v>1</v>
          </cell>
          <cell r="K1168">
            <v>1.33</v>
          </cell>
          <cell r="L1168">
            <v>1</v>
          </cell>
          <cell r="M1168" t="str">
            <v>weapon</v>
          </cell>
          <cell r="N1168" t="str">
            <v>ウェポン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</row>
        <row r="1169">
          <cell r="A1169">
            <v>1168</v>
          </cell>
          <cell r="B1169" t="str">
            <v>カドゥケウス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technical</v>
          </cell>
          <cell r="I1169" t="str">
            <v>テクニカルタイプ</v>
          </cell>
          <cell r="J1169">
            <v>0.9</v>
          </cell>
          <cell r="K1169">
            <v>0.9</v>
          </cell>
          <cell r="L1169">
            <v>1</v>
          </cell>
          <cell r="M1169" t="str">
            <v>weapon</v>
          </cell>
          <cell r="N1169" t="str">
            <v>ウェポン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</row>
        <row r="1170">
          <cell r="A1170">
            <v>1169</v>
          </cell>
          <cell r="B1170" t="str">
            <v>睡醒の令杖 カドゥケウス</v>
          </cell>
          <cell r="C1170">
            <v>6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technical</v>
          </cell>
          <cell r="I1170" t="str">
            <v>テクニカルタイプ</v>
          </cell>
          <cell r="J1170">
            <v>0.9</v>
          </cell>
          <cell r="K1170">
            <v>0.9</v>
          </cell>
          <cell r="L1170">
            <v>1</v>
          </cell>
          <cell r="M1170" t="str">
            <v>weapon</v>
          </cell>
          <cell r="N1170" t="str">
            <v>ウェポン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</row>
        <row r="1171">
          <cell r="A1171">
            <v>1170</v>
          </cell>
          <cell r="B1171" t="str">
            <v>極彩龍筆 ヘイウェイ</v>
          </cell>
          <cell r="C1171">
            <v>6</v>
          </cell>
          <cell r="D1171" t="str">
            <v>red</v>
          </cell>
          <cell r="E1171">
            <v>1</v>
          </cell>
          <cell r="F1171">
            <v>1.02</v>
          </cell>
          <cell r="G1171">
            <v>1</v>
          </cell>
          <cell r="H1171" t="str">
            <v>technical</v>
          </cell>
          <cell r="I1171" t="str">
            <v>テクニカルタイプ</v>
          </cell>
          <cell r="J1171">
            <v>0.9</v>
          </cell>
          <cell r="K1171">
            <v>0.9</v>
          </cell>
          <cell r="L1171">
            <v>1</v>
          </cell>
          <cell r="M1171" t="str">
            <v>dragon</v>
          </cell>
          <cell r="N1171" t="str">
            <v>ドラゴン</v>
          </cell>
          <cell r="O1171">
            <v>1.1499999999999999</v>
          </cell>
          <cell r="P1171">
            <v>1.1000000000000001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</row>
        <row r="1172">
          <cell r="A1172">
            <v>1171</v>
          </cell>
          <cell r="B1172" t="str">
            <v>解匣する交率 ポアソン</v>
          </cell>
          <cell r="C1172">
            <v>6</v>
          </cell>
          <cell r="D1172" t="str">
            <v>green</v>
          </cell>
          <cell r="E1172">
            <v>1.02</v>
          </cell>
          <cell r="F1172">
            <v>0.98</v>
          </cell>
          <cell r="G1172">
            <v>1</v>
          </cell>
          <cell r="H1172" t="str">
            <v>balance</v>
          </cell>
          <cell r="I1172" t="str">
            <v>バランスタイプ</v>
          </cell>
          <cell r="J1172">
            <v>1</v>
          </cell>
          <cell r="K1172">
            <v>1</v>
          </cell>
          <cell r="L1172">
            <v>1</v>
          </cell>
          <cell r="M1172" t="str">
            <v>academia</v>
          </cell>
          <cell r="N1172" t="str">
            <v>アカデミア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</row>
        <row r="1173">
          <cell r="A1173">
            <v>1172</v>
          </cell>
          <cell r="B1173" t="str">
            <v>極限解析の讃嬢 クロネッカー</v>
          </cell>
          <cell r="C1173">
            <v>6</v>
          </cell>
          <cell r="D1173" t="str">
            <v>yellow</v>
          </cell>
          <cell r="E1173">
            <v>0.98</v>
          </cell>
          <cell r="F1173">
            <v>1.01</v>
          </cell>
          <cell r="G1173">
            <v>1</v>
          </cell>
          <cell r="H1173" t="str">
            <v>balance</v>
          </cell>
          <cell r="I1173" t="str">
            <v>バランスタイプ</v>
          </cell>
          <cell r="J1173">
            <v>1</v>
          </cell>
          <cell r="K1173">
            <v>1</v>
          </cell>
          <cell r="L1173">
            <v>1</v>
          </cell>
          <cell r="M1173" t="str">
            <v>academia</v>
          </cell>
          <cell r="N1173" t="str">
            <v>アカデミア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</row>
        <row r="1174">
          <cell r="A1174">
            <v>1173</v>
          </cell>
          <cell r="B1174" t="str">
            <v>愛を咲かせる春羽妖精 ファータ</v>
          </cell>
          <cell r="C1174">
            <v>6</v>
          </cell>
          <cell r="D1174" t="str">
            <v>green</v>
          </cell>
          <cell r="E1174">
            <v>1.02</v>
          </cell>
          <cell r="F1174">
            <v>0.98</v>
          </cell>
          <cell r="G1174">
            <v>1</v>
          </cell>
          <cell r="H1174" t="str">
            <v>heal</v>
          </cell>
          <cell r="I1174" t="str">
            <v>回復タイプ</v>
          </cell>
          <cell r="J1174">
            <v>0.8</v>
          </cell>
          <cell r="K1174">
            <v>0.78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</row>
        <row r="1175">
          <cell r="A1175">
            <v>1174</v>
          </cell>
          <cell r="B1175" t="str">
            <v>護翼の望詠光 バルドル</v>
          </cell>
          <cell r="C1175">
            <v>6</v>
          </cell>
          <cell r="D1175" t="str">
            <v>yellow</v>
          </cell>
          <cell r="E1175">
            <v>0.98</v>
          </cell>
          <cell r="F1175">
            <v>1.01</v>
          </cell>
          <cell r="G1175">
            <v>1</v>
          </cell>
          <cell r="H1175" t="str">
            <v>heal</v>
          </cell>
          <cell r="I1175" t="str">
            <v>回復タイプ</v>
          </cell>
          <cell r="J1175">
            <v>0.8</v>
          </cell>
          <cell r="K1175">
            <v>0.78</v>
          </cell>
          <cell r="L1175">
            <v>1</v>
          </cell>
          <cell r="M1175" t="str">
            <v>god</v>
          </cell>
          <cell r="N1175" t="str">
            <v>ゴッド</v>
          </cell>
          <cell r="O1175">
            <v>0.96</v>
          </cell>
          <cell r="P1175">
            <v>1.02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</row>
        <row r="1176">
          <cell r="A1176">
            <v>1175</v>
          </cell>
          <cell r="B1176" t="str">
            <v>蘇尊の誓聖義 アーサー</v>
          </cell>
          <cell r="C1176">
            <v>6</v>
          </cell>
          <cell r="D1176" t="str">
            <v>red</v>
          </cell>
          <cell r="E1176">
            <v>1</v>
          </cell>
          <cell r="F1176">
            <v>1.02</v>
          </cell>
          <cell r="G1176">
            <v>1</v>
          </cell>
          <cell r="H1176" t="str">
            <v>balance</v>
          </cell>
          <cell r="I1176" t="str">
            <v>バランスタイプ</v>
          </cell>
          <cell r="J1176">
            <v>1</v>
          </cell>
          <cell r="K1176">
            <v>1</v>
          </cell>
          <cell r="L1176">
            <v>1</v>
          </cell>
          <cell r="M1176" t="str">
            <v>human</v>
          </cell>
          <cell r="N1176" t="str">
            <v>ヒューマン</v>
          </cell>
          <cell r="O1176">
            <v>0.94</v>
          </cell>
          <cell r="P1176">
            <v>0.99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</row>
        <row r="1177">
          <cell r="A1177">
            <v>1176</v>
          </cell>
          <cell r="B1177" t="str">
            <v>夢二夢斬の遊猟 フロイト</v>
          </cell>
          <cell r="C1177">
            <v>6</v>
          </cell>
          <cell r="D1177" t="str">
            <v>red</v>
          </cell>
          <cell r="E1177">
            <v>1</v>
          </cell>
          <cell r="F1177">
            <v>1.02</v>
          </cell>
          <cell r="G1177">
            <v>1</v>
          </cell>
          <cell r="H1177" t="str">
            <v>balance</v>
          </cell>
          <cell r="I1177" t="str">
            <v>バランスタイプ</v>
          </cell>
          <cell r="J1177">
            <v>1</v>
          </cell>
          <cell r="K1177">
            <v>1</v>
          </cell>
          <cell r="L1177">
            <v>1</v>
          </cell>
          <cell r="M1177" t="str">
            <v>academia</v>
          </cell>
          <cell r="N1177" t="str">
            <v>アカデミア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</row>
        <row r="1178">
          <cell r="A1178">
            <v>1177</v>
          </cell>
          <cell r="B1178" t="str">
            <v>虚閃を弄する豪輪 オズ</v>
          </cell>
          <cell r="C1178">
            <v>6</v>
          </cell>
          <cell r="D1178" t="str">
            <v>green</v>
          </cell>
          <cell r="E1178">
            <v>1.02</v>
          </cell>
          <cell r="F1178">
            <v>0.98</v>
          </cell>
          <cell r="G1178">
            <v>1</v>
          </cell>
          <cell r="H1178" t="str">
            <v>balance</v>
          </cell>
          <cell r="I1178" t="str">
            <v>バランスタイプ</v>
          </cell>
          <cell r="J1178">
            <v>1</v>
          </cell>
          <cell r="K1178">
            <v>1</v>
          </cell>
          <cell r="L1178">
            <v>1</v>
          </cell>
          <cell r="M1178" t="str">
            <v>human</v>
          </cell>
          <cell r="N1178" t="str">
            <v>ヒューマン</v>
          </cell>
          <cell r="O1178">
            <v>0.94</v>
          </cell>
          <cell r="P1178">
            <v>0.99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</row>
        <row r="1179">
          <cell r="A1179">
            <v>1178</v>
          </cell>
          <cell r="B1179" t="str">
            <v>グリム_超覚醒</v>
          </cell>
          <cell r="C1179">
            <v>6</v>
          </cell>
          <cell r="D1179" t="str">
            <v>green</v>
          </cell>
          <cell r="E1179">
            <v>1.02</v>
          </cell>
          <cell r="F1179">
            <v>0.98</v>
          </cell>
          <cell r="G1179">
            <v>1</v>
          </cell>
          <cell r="H1179" t="str">
            <v>hp</v>
          </cell>
          <cell r="I1179" t="str">
            <v>体力タイプ</v>
          </cell>
          <cell r="J1179">
            <v>1.45</v>
          </cell>
          <cell r="K1179">
            <v>0.85</v>
          </cell>
          <cell r="L1179">
            <v>1</v>
          </cell>
          <cell r="M1179" t="str">
            <v>human</v>
          </cell>
          <cell r="N1179" t="str">
            <v>ヒューマン</v>
          </cell>
          <cell r="O1179">
            <v>0.94</v>
          </cell>
          <cell r="P1179">
            <v>0.99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</row>
        <row r="1180">
          <cell r="A1180">
            <v>1179</v>
          </cell>
          <cell r="B1180" t="str">
            <v>厳核なる巨大炉 ハイゼンベルク</v>
          </cell>
          <cell r="C1180">
            <v>6</v>
          </cell>
          <cell r="D1180" t="str">
            <v>green</v>
          </cell>
          <cell r="E1180">
            <v>1.02</v>
          </cell>
          <cell r="F1180">
            <v>0.98</v>
          </cell>
          <cell r="G1180">
            <v>1</v>
          </cell>
          <cell r="H1180" t="str">
            <v>attack</v>
          </cell>
          <cell r="I1180" t="str">
            <v>攻撃タイプ</v>
          </cell>
          <cell r="J1180">
            <v>1</v>
          </cell>
          <cell r="K1180">
            <v>1.33</v>
          </cell>
          <cell r="L1180">
            <v>1</v>
          </cell>
          <cell r="M1180" t="str">
            <v>academia</v>
          </cell>
          <cell r="N1180" t="str">
            <v>アカデミア</v>
          </cell>
          <cell r="O1180">
            <v>1</v>
          </cell>
          <cell r="P1180">
            <v>1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</row>
        <row r="1181">
          <cell r="A1181">
            <v>1180</v>
          </cell>
          <cell r="B1181" t="str">
            <v>オーディン_超覚醒</v>
          </cell>
          <cell r="C1181">
            <v>6</v>
          </cell>
          <cell r="D1181" t="str">
            <v>blue</v>
          </cell>
          <cell r="E1181">
            <v>1</v>
          </cell>
          <cell r="F1181">
            <v>0.98</v>
          </cell>
          <cell r="G1181">
            <v>1</v>
          </cell>
          <cell r="H1181" t="str">
            <v>attack</v>
          </cell>
          <cell r="I1181" t="str">
            <v>攻撃タイプ</v>
          </cell>
          <cell r="J1181">
            <v>1</v>
          </cell>
          <cell r="K1181">
            <v>1.33</v>
          </cell>
          <cell r="L1181">
            <v>1</v>
          </cell>
          <cell r="M1181" t="str">
            <v>academia</v>
          </cell>
          <cell r="N1181" t="str">
            <v>アカデミア</v>
          </cell>
          <cell r="O1181">
            <v>1</v>
          </cell>
          <cell r="P1181">
            <v>1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</row>
        <row r="1182">
          <cell r="A1182">
            <v>1181</v>
          </cell>
          <cell r="B1182" t="str">
            <v>永存の究極論 ユークリッド</v>
          </cell>
          <cell r="C1182">
            <v>6</v>
          </cell>
          <cell r="D1182" t="str">
            <v>blue</v>
          </cell>
          <cell r="E1182">
            <v>1</v>
          </cell>
          <cell r="F1182">
            <v>0.98</v>
          </cell>
          <cell r="G1182">
            <v>1</v>
          </cell>
          <cell r="H1182" t="str">
            <v>balance</v>
          </cell>
          <cell r="I1182" t="str">
            <v>バランスタイプ</v>
          </cell>
          <cell r="J1182">
            <v>1</v>
          </cell>
          <cell r="K1182">
            <v>1</v>
          </cell>
          <cell r="L1182">
            <v>1</v>
          </cell>
          <cell r="M1182" t="str">
            <v>academia</v>
          </cell>
          <cell r="N1182" t="str">
            <v>アカデミア</v>
          </cell>
          <cell r="O1182">
            <v>1</v>
          </cell>
          <cell r="P1182">
            <v>1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</row>
        <row r="1183">
          <cell r="A1183">
            <v>1182</v>
          </cell>
          <cell r="B1183" t="str">
            <v>黄金螺旋の閃鋼機 フィボナッチ</v>
          </cell>
          <cell r="C1183">
            <v>6</v>
          </cell>
          <cell r="D1183" t="str">
            <v>blue</v>
          </cell>
          <cell r="E1183">
            <v>1</v>
          </cell>
          <cell r="F1183">
            <v>0.98</v>
          </cell>
          <cell r="G1183">
            <v>1</v>
          </cell>
          <cell r="H1183" t="str">
            <v>balance</v>
          </cell>
          <cell r="I1183" t="str">
            <v>バランスタイプ</v>
          </cell>
          <cell r="J1183">
            <v>1</v>
          </cell>
          <cell r="K1183">
            <v>1</v>
          </cell>
          <cell r="L1183">
            <v>1</v>
          </cell>
          <cell r="M1183" t="str">
            <v>academia</v>
          </cell>
          <cell r="N1183" t="str">
            <v>アカデミア</v>
          </cell>
          <cell r="O1183">
            <v>1</v>
          </cell>
          <cell r="P1183">
            <v>1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</row>
        <row r="1184">
          <cell r="A1184">
            <v>1183</v>
          </cell>
          <cell r="B1184" t="str">
            <v>Gスターチルドレン(旧子供)_超覚醒</v>
          </cell>
          <cell r="C1184">
            <v>6</v>
          </cell>
          <cell r="D1184" t="str">
            <v>yellow</v>
          </cell>
          <cell r="E1184">
            <v>0.98</v>
          </cell>
          <cell r="F1184">
            <v>1.01</v>
          </cell>
          <cell r="G1184">
            <v>1</v>
          </cell>
          <cell r="H1184" t="str">
            <v>technical</v>
          </cell>
          <cell r="I1184" t="str">
            <v>テクニカルタイプ</v>
          </cell>
          <cell r="J1184">
            <v>0.9</v>
          </cell>
          <cell r="K1184">
            <v>0.9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</row>
        <row r="1185">
          <cell r="A1185">
            <v>1184</v>
          </cell>
          <cell r="B1185" t="str">
            <v>電装の烙雷芯 ファラデー</v>
          </cell>
          <cell r="C1185">
            <v>6</v>
          </cell>
          <cell r="D1185" t="str">
            <v>yellow</v>
          </cell>
          <cell r="E1185">
            <v>0.98</v>
          </cell>
          <cell r="F1185">
            <v>1.01</v>
          </cell>
          <cell r="G1185">
            <v>1</v>
          </cell>
          <cell r="H1185" t="str">
            <v>attack</v>
          </cell>
          <cell r="I1185" t="str">
            <v>攻撃タイプ</v>
          </cell>
          <cell r="J1185">
            <v>1</v>
          </cell>
          <cell r="K1185">
            <v>1.33</v>
          </cell>
          <cell r="L1185">
            <v>1</v>
          </cell>
          <cell r="M1185" t="str">
            <v>academia</v>
          </cell>
          <cell r="N1185" t="str">
            <v>アカデミア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</row>
        <row r="1186">
          <cell r="A1186">
            <v>1185</v>
          </cell>
          <cell r="B1186" t="str">
            <v>兆銀河団の星観者 ハーシェル</v>
          </cell>
          <cell r="C1186">
            <v>6</v>
          </cell>
          <cell r="D1186" t="str">
            <v>yellow</v>
          </cell>
          <cell r="E1186">
            <v>0.98</v>
          </cell>
          <cell r="F1186">
            <v>1.01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academia</v>
          </cell>
          <cell r="N1186" t="str">
            <v>アカデミア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</row>
        <row r="1187">
          <cell r="A1187">
            <v>1186</v>
          </cell>
          <cell r="B1187" t="str">
            <v>超疾の最理者 フェルマー</v>
          </cell>
          <cell r="C1187">
            <v>6</v>
          </cell>
          <cell r="D1187" t="str">
            <v>yellow</v>
          </cell>
          <cell r="E1187">
            <v>0.98</v>
          </cell>
          <cell r="F1187">
            <v>1.01</v>
          </cell>
          <cell r="G1187">
            <v>1</v>
          </cell>
          <cell r="H1187" t="str">
            <v>balance</v>
          </cell>
          <cell r="I1187" t="str">
            <v>バランスタイプ</v>
          </cell>
          <cell r="J1187">
            <v>1</v>
          </cell>
          <cell r="K1187">
            <v>1</v>
          </cell>
          <cell r="L1187">
            <v>1</v>
          </cell>
          <cell r="M1187" t="str">
            <v>academia</v>
          </cell>
          <cell r="N1187" t="str">
            <v>アカデミア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</row>
        <row r="1188">
          <cell r="A1188">
            <v>1187</v>
          </cell>
          <cell r="B1188" t="str">
            <v>ハッピーハロウィン ポチ</v>
          </cell>
          <cell r="C1188">
            <v>1</v>
          </cell>
          <cell r="D1188" t="str">
            <v>red</v>
          </cell>
          <cell r="E1188">
            <v>1</v>
          </cell>
          <cell r="F1188">
            <v>1.02</v>
          </cell>
          <cell r="G1188">
            <v>1</v>
          </cell>
          <cell r="H1188" t="str">
            <v>attack</v>
          </cell>
          <cell r="I1188" t="str">
            <v>攻撃タイプ</v>
          </cell>
          <cell r="J1188">
            <v>1</v>
          </cell>
          <cell r="K1188">
            <v>1.33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</row>
        <row r="1189">
          <cell r="A1189">
            <v>1188</v>
          </cell>
          <cell r="B1189" t="str">
            <v>ハッピーハロウィン ジョー</v>
          </cell>
          <cell r="C1189">
            <v>1</v>
          </cell>
          <cell r="D1189" t="str">
            <v>green</v>
          </cell>
          <cell r="E1189">
            <v>1.02</v>
          </cell>
          <cell r="F1189">
            <v>0.98</v>
          </cell>
          <cell r="G1189">
            <v>1</v>
          </cell>
          <cell r="H1189" t="str">
            <v>balance</v>
          </cell>
          <cell r="I1189" t="str">
            <v>バランスタイプ</v>
          </cell>
          <cell r="J1189">
            <v>1</v>
          </cell>
          <cell r="K1189">
            <v>1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</row>
        <row r="1190">
          <cell r="A1190">
            <v>1189</v>
          </cell>
          <cell r="B1190" t="str">
            <v>ハッピーハロウィン ジェリー</v>
          </cell>
          <cell r="C1190">
            <v>1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</row>
        <row r="1191">
          <cell r="A1191">
            <v>1190</v>
          </cell>
          <cell r="B1191" t="str">
            <v>ハッピーハロウィン エレキポット</v>
          </cell>
          <cell r="C1191">
            <v>1</v>
          </cell>
          <cell r="D1191" t="str">
            <v>yellow</v>
          </cell>
          <cell r="E1191">
            <v>0.98</v>
          </cell>
          <cell r="F1191">
            <v>1.01</v>
          </cell>
          <cell r="G1191">
            <v>1</v>
          </cell>
          <cell r="H1191" t="str">
            <v>attack</v>
          </cell>
          <cell r="I1191" t="str">
            <v>攻撃タイプ</v>
          </cell>
          <cell r="J1191">
            <v>1</v>
          </cell>
          <cell r="K1191">
            <v>1.33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</row>
        <row r="1192">
          <cell r="A1192">
            <v>1191</v>
          </cell>
          <cell r="B1192" t="str">
            <v>ドルチェ</v>
          </cell>
          <cell r="C1192">
            <v>5</v>
          </cell>
          <cell r="D1192" t="str">
            <v>yellow</v>
          </cell>
          <cell r="E1192">
            <v>0.98</v>
          </cell>
          <cell r="F1192">
            <v>1.01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0.9</v>
          </cell>
          <cell r="K1192">
            <v>0.9</v>
          </cell>
          <cell r="L1192">
            <v>1</v>
          </cell>
          <cell r="M1192" t="str">
            <v>unknown</v>
          </cell>
          <cell r="N1192" t="str">
            <v>Unknown</v>
          </cell>
          <cell r="O1192">
            <v>1</v>
          </cell>
          <cell r="P1192">
            <v>1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</row>
        <row r="1193">
          <cell r="A1193">
            <v>1192</v>
          </cell>
          <cell r="B1193" t="str">
            <v>徹宵悪戯の甘美魔 ドルチェ</v>
          </cell>
          <cell r="C1193">
            <v>6</v>
          </cell>
          <cell r="D1193" t="str">
            <v>yellow</v>
          </cell>
          <cell r="E1193">
            <v>0.98</v>
          </cell>
          <cell r="F1193">
            <v>1.01</v>
          </cell>
          <cell r="G1193">
            <v>1</v>
          </cell>
          <cell r="H1193" t="str">
            <v>balance</v>
          </cell>
          <cell r="I1193" t="str">
            <v>バランスタイプ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unknown</v>
          </cell>
          <cell r="N1193" t="str">
            <v>Unknown</v>
          </cell>
          <cell r="O1193">
            <v>1</v>
          </cell>
          <cell r="P1193">
            <v>1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</row>
        <row r="1194">
          <cell r="A1194">
            <v>1193</v>
          </cell>
          <cell r="B1194" t="str">
            <v>血飢なる夜想卿 ランスロット</v>
          </cell>
          <cell r="C1194">
            <v>6</v>
          </cell>
          <cell r="D1194" t="str">
            <v>red</v>
          </cell>
          <cell r="E1194">
            <v>1</v>
          </cell>
          <cell r="F1194">
            <v>1.02</v>
          </cell>
          <cell r="G1194">
            <v>1</v>
          </cell>
          <cell r="H1194" t="str">
            <v>attack</v>
          </cell>
          <cell r="I1194" t="str">
            <v>攻撃タイプ</v>
          </cell>
          <cell r="J1194">
            <v>1</v>
          </cell>
          <cell r="K1194">
            <v>1.33</v>
          </cell>
          <cell r="L1194">
            <v>1</v>
          </cell>
          <cell r="M1194" t="str">
            <v>human</v>
          </cell>
          <cell r="N1194" t="str">
            <v>ヒューマン</v>
          </cell>
          <cell r="O1194">
            <v>0.94</v>
          </cell>
          <cell r="P1194">
            <v>0.99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</row>
        <row r="1195">
          <cell r="A1195">
            <v>1194</v>
          </cell>
          <cell r="B1195" t="str">
            <v>ハーヴェスト</v>
          </cell>
          <cell r="C1195">
            <v>5</v>
          </cell>
          <cell r="D1195" t="str">
            <v>green</v>
          </cell>
          <cell r="E1195">
            <v>1.02</v>
          </cell>
          <cell r="F1195">
            <v>0.98</v>
          </cell>
          <cell r="G1195">
            <v>1</v>
          </cell>
          <cell r="H1195" t="str">
            <v>balance</v>
          </cell>
          <cell r="I1195" t="str">
            <v>バランスタイプ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</row>
        <row r="1196">
          <cell r="A1196">
            <v>1195</v>
          </cell>
          <cell r="B1196" t="str">
            <v>賑夜の幼魔 ハーヴェスト</v>
          </cell>
          <cell r="C1196">
            <v>6</v>
          </cell>
          <cell r="D1196" t="str">
            <v>green</v>
          </cell>
          <cell r="E1196">
            <v>1.02</v>
          </cell>
          <cell r="F1196">
            <v>0.98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</row>
        <row r="1197">
          <cell r="A1197">
            <v>1196</v>
          </cell>
          <cell r="B1197" t="str">
            <v>華装の闇鋏 ラプンツェル</v>
          </cell>
          <cell r="C1197">
            <v>6</v>
          </cell>
          <cell r="D1197" t="str">
            <v>green</v>
          </cell>
          <cell r="E1197">
            <v>1.02</v>
          </cell>
          <cell r="F1197">
            <v>0.98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human</v>
          </cell>
          <cell r="N1197" t="str">
            <v>ヒューマン</v>
          </cell>
          <cell r="O1197">
            <v>0.94</v>
          </cell>
          <cell r="P1197">
            <v>0.99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</row>
        <row r="1198">
          <cell r="A1198">
            <v>1197</v>
          </cell>
          <cell r="B1198" t="str">
            <v>冥装の闇黒魔 バフォメット</v>
          </cell>
          <cell r="C1198">
            <v>5</v>
          </cell>
          <cell r="D1198" t="str">
            <v>green</v>
          </cell>
          <cell r="E1198">
            <v>1.02</v>
          </cell>
          <cell r="F1198">
            <v>0.98</v>
          </cell>
          <cell r="G1198">
            <v>1</v>
          </cell>
          <cell r="H1198" t="str">
            <v>balance</v>
          </cell>
          <cell r="I1198" t="str">
            <v>バランスタイプ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demon</v>
          </cell>
          <cell r="N1198" t="str">
            <v>デーモン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</row>
        <row r="1199">
          <cell r="A1199">
            <v>1198</v>
          </cell>
          <cell r="B1199" t="str">
            <v>幽縛の霊線 ピノキオ</v>
          </cell>
          <cell r="C1199">
            <v>5</v>
          </cell>
          <cell r="D1199" t="str">
            <v>blue</v>
          </cell>
          <cell r="E1199">
            <v>1</v>
          </cell>
          <cell r="F1199">
            <v>0.98</v>
          </cell>
          <cell r="G1199">
            <v>1</v>
          </cell>
          <cell r="H1199" t="str">
            <v>attack</v>
          </cell>
          <cell r="I1199" t="str">
            <v>攻撃タイプ</v>
          </cell>
          <cell r="J1199">
            <v>1</v>
          </cell>
          <cell r="K1199">
            <v>1.33</v>
          </cell>
          <cell r="L1199">
            <v>1</v>
          </cell>
          <cell r="M1199" t="str">
            <v>machine</v>
          </cell>
          <cell r="N1199" t="str">
            <v>マシン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</row>
        <row r="1200">
          <cell r="A1200">
            <v>1199</v>
          </cell>
          <cell r="B1200" t="str">
            <v>看装の巡回者 ケルベロス</v>
          </cell>
          <cell r="C1200">
            <v>5</v>
          </cell>
          <cell r="D1200" t="str">
            <v>yellow</v>
          </cell>
          <cell r="E1200">
            <v>0.98</v>
          </cell>
          <cell r="F1200">
            <v>1.01</v>
          </cell>
          <cell r="G1200">
            <v>1</v>
          </cell>
          <cell r="H1200" t="str">
            <v>heal</v>
          </cell>
          <cell r="I1200" t="str">
            <v>回復タイプ</v>
          </cell>
          <cell r="J1200">
            <v>0.8</v>
          </cell>
          <cell r="K1200">
            <v>0.78</v>
          </cell>
          <cell r="L1200">
            <v>1</v>
          </cell>
          <cell r="M1200" t="str">
            <v>animal</v>
          </cell>
          <cell r="N1200" t="str">
            <v>アニマル</v>
          </cell>
          <cell r="O1200">
            <v>1</v>
          </cell>
          <cell r="P1200">
            <v>1.1000000000000001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</row>
        <row r="1201">
          <cell r="A1201">
            <v>1200</v>
          </cell>
          <cell r="B1201" t="str">
            <v>サイクロプス</v>
          </cell>
          <cell r="C1201">
            <v>4</v>
          </cell>
          <cell r="D1201" t="str">
            <v>blue</v>
          </cell>
          <cell r="E1201">
            <v>1</v>
          </cell>
          <cell r="F1201">
            <v>0.98</v>
          </cell>
          <cell r="G1201">
            <v>1</v>
          </cell>
          <cell r="H1201" t="str">
            <v>technical</v>
          </cell>
          <cell r="I1201" t="str">
            <v>テクニカルタイプ</v>
          </cell>
          <cell r="J1201">
            <v>0.9</v>
          </cell>
          <cell r="K1201">
            <v>0.9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</row>
        <row r="1202">
          <cell r="A1202">
            <v>1201</v>
          </cell>
          <cell r="B1202" t="str">
            <v>器装の眼囚徒 サイクロプス</v>
          </cell>
          <cell r="C1202">
            <v>5</v>
          </cell>
          <cell r="D1202" t="str">
            <v>blue</v>
          </cell>
          <cell r="E1202">
            <v>1</v>
          </cell>
          <cell r="F1202">
            <v>0.98</v>
          </cell>
          <cell r="G1202">
            <v>1</v>
          </cell>
          <cell r="H1202" t="str">
            <v>technical</v>
          </cell>
          <cell r="I1202" t="str">
            <v>テクニカルタイプ</v>
          </cell>
          <cell r="J1202">
            <v>0.9</v>
          </cell>
          <cell r="K1202">
            <v>0.9</v>
          </cell>
          <cell r="L1202">
            <v>1</v>
          </cell>
          <cell r="M1202" t="str">
            <v>unknown</v>
          </cell>
          <cell r="N1202" t="str">
            <v>Unknown</v>
          </cell>
          <cell r="O1202">
            <v>1</v>
          </cell>
          <cell r="P1202">
            <v>1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</row>
        <row r="1203">
          <cell r="A1203">
            <v>1202</v>
          </cell>
          <cell r="B1203" t="str">
            <v>ウラヌス</v>
          </cell>
          <cell r="C1203">
            <v>5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technical</v>
          </cell>
          <cell r="I1203" t="str">
            <v>テクニカルタイプ</v>
          </cell>
          <cell r="J1203">
            <v>0.9</v>
          </cell>
          <cell r="K1203">
            <v>0.9</v>
          </cell>
          <cell r="L1203">
            <v>1</v>
          </cell>
          <cell r="M1203" t="str">
            <v>god</v>
          </cell>
          <cell r="N1203" t="str">
            <v>ゴッド</v>
          </cell>
          <cell r="O1203">
            <v>0.96</v>
          </cell>
          <cell r="P1203">
            <v>1.02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</row>
        <row r="1204">
          <cell r="A1204">
            <v>1203</v>
          </cell>
          <cell r="B1204" t="str">
            <v>掌星の原天神 ウラヌス</v>
          </cell>
          <cell r="C1204">
            <v>6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technical</v>
          </cell>
          <cell r="I1204" t="str">
            <v>テクニカルタイプ</v>
          </cell>
          <cell r="J1204">
            <v>0.9</v>
          </cell>
          <cell r="K1204">
            <v>0.9</v>
          </cell>
          <cell r="L1204">
            <v>1</v>
          </cell>
          <cell r="M1204" t="str">
            <v>god</v>
          </cell>
          <cell r="N1204" t="str">
            <v>ゴッド</v>
          </cell>
          <cell r="O1204">
            <v>0.96</v>
          </cell>
          <cell r="P1204">
            <v>1.02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</row>
        <row r="1205">
          <cell r="A1205">
            <v>1204</v>
          </cell>
          <cell r="B1205" t="str">
            <v>デルピュネー</v>
          </cell>
          <cell r="C1205">
            <v>5</v>
          </cell>
          <cell r="D1205" t="str">
            <v>green</v>
          </cell>
          <cell r="E1205">
            <v>1.02</v>
          </cell>
          <cell r="F1205">
            <v>0.98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1.33</v>
          </cell>
          <cell r="L1205">
            <v>1</v>
          </cell>
          <cell r="M1205" t="str">
            <v>god</v>
          </cell>
          <cell r="N1205" t="str">
            <v>ゴッド</v>
          </cell>
          <cell r="O1205">
            <v>0.96</v>
          </cell>
          <cell r="P1205">
            <v>1.02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</row>
        <row r="1206">
          <cell r="A1206">
            <v>1205</v>
          </cell>
          <cell r="B1206" t="str">
            <v>襲奪の竜鱗姫 デルピュネー</v>
          </cell>
          <cell r="C1206">
            <v>6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attack</v>
          </cell>
          <cell r="I1206" t="str">
            <v>攻撃タイプ</v>
          </cell>
          <cell r="J1206">
            <v>1</v>
          </cell>
          <cell r="K1206">
            <v>1.33</v>
          </cell>
          <cell r="L1206">
            <v>1</v>
          </cell>
          <cell r="M1206" t="str">
            <v>god</v>
          </cell>
          <cell r="N1206" t="str">
            <v>ゴッド</v>
          </cell>
          <cell r="O1206">
            <v>0.96</v>
          </cell>
          <cell r="P1206">
            <v>1.02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</row>
        <row r="1207">
          <cell r="A1207">
            <v>1206</v>
          </cell>
          <cell r="B1207" t="str">
            <v>ヘラ</v>
          </cell>
          <cell r="C1207">
            <v>5</v>
          </cell>
          <cell r="D1207" t="str">
            <v>yellow</v>
          </cell>
          <cell r="E1207">
            <v>0.98</v>
          </cell>
          <cell r="F1207">
            <v>1.01</v>
          </cell>
          <cell r="G1207">
            <v>1</v>
          </cell>
          <cell r="H1207" t="str">
            <v>technical</v>
          </cell>
          <cell r="I1207" t="str">
            <v>テクニカルタイプ</v>
          </cell>
          <cell r="J1207">
            <v>0.9</v>
          </cell>
          <cell r="K1207">
            <v>0.9</v>
          </cell>
          <cell r="L1207">
            <v>1</v>
          </cell>
          <cell r="M1207" t="str">
            <v>god</v>
          </cell>
          <cell r="N1207" t="str">
            <v>ゴッド</v>
          </cell>
          <cell r="O1207">
            <v>0.96</v>
          </cell>
          <cell r="P1207">
            <v>1.02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</row>
        <row r="1208">
          <cell r="A1208">
            <v>1207</v>
          </cell>
          <cell r="B1208" t="str">
            <v>典麗なる悋気神 ヘラ</v>
          </cell>
          <cell r="C1208">
            <v>6</v>
          </cell>
          <cell r="D1208" t="str">
            <v>yellow</v>
          </cell>
          <cell r="E1208">
            <v>0.98</v>
          </cell>
          <cell r="F1208">
            <v>1.01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0.9</v>
          </cell>
          <cell r="K1208">
            <v>0.9</v>
          </cell>
          <cell r="L1208">
            <v>1</v>
          </cell>
          <cell r="M1208" t="str">
            <v>god</v>
          </cell>
          <cell r="N1208" t="str">
            <v>ゴッド</v>
          </cell>
          <cell r="O1208">
            <v>0.96</v>
          </cell>
          <cell r="P1208">
            <v>1.02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</row>
        <row r="1209">
          <cell r="A1209">
            <v>1208</v>
          </cell>
          <cell r="B1209" t="str">
            <v>ネメシス</v>
          </cell>
          <cell r="C1209">
            <v>5</v>
          </cell>
          <cell r="D1209" t="str">
            <v>red</v>
          </cell>
          <cell r="E1209">
            <v>1</v>
          </cell>
          <cell r="F1209">
            <v>1.02</v>
          </cell>
          <cell r="G1209">
            <v>1</v>
          </cell>
          <cell r="H1209" t="str">
            <v>hp</v>
          </cell>
          <cell r="I1209" t="str">
            <v>体力タイプ</v>
          </cell>
          <cell r="J1209">
            <v>1.45</v>
          </cell>
          <cell r="K1209">
            <v>0.85</v>
          </cell>
          <cell r="L1209">
            <v>1</v>
          </cell>
          <cell r="M1209" t="str">
            <v>god</v>
          </cell>
          <cell r="N1209" t="str">
            <v>ゴッド</v>
          </cell>
          <cell r="O1209">
            <v>0.96</v>
          </cell>
          <cell r="P1209">
            <v>1.02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</row>
        <row r="1210">
          <cell r="A1210">
            <v>1209</v>
          </cell>
          <cell r="B1210" t="str">
            <v>刹那の過罰神 ネメシス</v>
          </cell>
          <cell r="C1210">
            <v>6</v>
          </cell>
          <cell r="D1210" t="str">
            <v>red</v>
          </cell>
          <cell r="E1210">
            <v>1</v>
          </cell>
          <cell r="F1210">
            <v>1.02</v>
          </cell>
          <cell r="G1210">
            <v>1</v>
          </cell>
          <cell r="H1210" t="str">
            <v>hp</v>
          </cell>
          <cell r="I1210" t="str">
            <v>体力タイプ</v>
          </cell>
          <cell r="J1210">
            <v>1.45</v>
          </cell>
          <cell r="K1210">
            <v>0.85</v>
          </cell>
          <cell r="L1210">
            <v>1</v>
          </cell>
          <cell r="M1210" t="str">
            <v>god</v>
          </cell>
          <cell r="N1210" t="str">
            <v>ゴッド</v>
          </cell>
          <cell r="O1210">
            <v>0.96</v>
          </cell>
          <cell r="P1210">
            <v>1.02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</row>
        <row r="1211">
          <cell r="A1211">
            <v>1210</v>
          </cell>
          <cell r="B1211" t="str">
            <v>ケンタウロス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attack</v>
          </cell>
          <cell r="I1211" t="str">
            <v>攻撃タイプ</v>
          </cell>
          <cell r="J1211">
            <v>1</v>
          </cell>
          <cell r="K1211">
            <v>1.33</v>
          </cell>
          <cell r="L1211">
            <v>1</v>
          </cell>
          <cell r="M1211" t="str">
            <v>god</v>
          </cell>
          <cell r="N1211" t="str">
            <v>ゴッド</v>
          </cell>
          <cell r="O1211">
            <v>0.96</v>
          </cell>
          <cell r="P1211">
            <v>1.02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</row>
        <row r="1212">
          <cell r="A1212">
            <v>1211</v>
          </cell>
          <cell r="B1212" t="str">
            <v>奏駆の翻騎 ケンタウロス</v>
          </cell>
          <cell r="C1212">
            <v>5</v>
          </cell>
          <cell r="D1212" t="str">
            <v>green</v>
          </cell>
          <cell r="E1212">
            <v>1.02</v>
          </cell>
          <cell r="F1212">
            <v>0.98</v>
          </cell>
          <cell r="G1212">
            <v>1</v>
          </cell>
          <cell r="H1212" t="str">
            <v>attack</v>
          </cell>
          <cell r="I1212" t="str">
            <v>攻撃タイプ</v>
          </cell>
          <cell r="J1212">
            <v>1</v>
          </cell>
          <cell r="K1212">
            <v>1.33</v>
          </cell>
          <cell r="L1212">
            <v>1</v>
          </cell>
          <cell r="M1212" t="str">
            <v>god</v>
          </cell>
          <cell r="N1212" t="str">
            <v>ゴッド</v>
          </cell>
          <cell r="O1212">
            <v>0.96</v>
          </cell>
          <cell r="P1212">
            <v>1.02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</row>
        <row r="1213">
          <cell r="A1213">
            <v>1212</v>
          </cell>
          <cell r="B1213" t="str">
            <v>クロノス</v>
          </cell>
          <cell r="C1213">
            <v>5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technical</v>
          </cell>
          <cell r="I1213" t="str">
            <v>テクニカルタイプ</v>
          </cell>
          <cell r="J1213">
            <v>0.9</v>
          </cell>
          <cell r="K1213">
            <v>0.9</v>
          </cell>
          <cell r="L1213">
            <v>1</v>
          </cell>
          <cell r="M1213" t="str">
            <v>god</v>
          </cell>
          <cell r="N1213" t="str">
            <v>ゴッド</v>
          </cell>
          <cell r="O1213">
            <v>0.96</v>
          </cell>
          <cell r="P1213">
            <v>1.02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</row>
        <row r="1214">
          <cell r="A1214">
            <v>1213</v>
          </cell>
          <cell r="B1214" t="str">
            <v>能洪の永地神 クロノス</v>
          </cell>
          <cell r="C1214">
            <v>6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0.9</v>
          </cell>
          <cell r="K1214">
            <v>0.9</v>
          </cell>
          <cell r="L1214">
            <v>1</v>
          </cell>
          <cell r="M1214" t="str">
            <v>god</v>
          </cell>
          <cell r="N1214" t="str">
            <v>ゴッド</v>
          </cell>
          <cell r="O1214">
            <v>0.96</v>
          </cell>
          <cell r="P1214">
            <v>1.02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</row>
        <row r="1215">
          <cell r="A1215">
            <v>1214</v>
          </cell>
          <cell r="B1215" t="str">
            <v>アルテミス</v>
          </cell>
          <cell r="C1215">
            <v>5</v>
          </cell>
          <cell r="D1215" t="str">
            <v>yellow</v>
          </cell>
          <cell r="E1215">
            <v>0.98</v>
          </cell>
          <cell r="F1215">
            <v>1.01</v>
          </cell>
          <cell r="G1215">
            <v>1</v>
          </cell>
          <cell r="H1215" t="str">
            <v>balance</v>
          </cell>
          <cell r="I1215" t="str">
            <v>バランスタイプ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god</v>
          </cell>
          <cell r="N1215" t="str">
            <v>ゴッド</v>
          </cell>
          <cell r="O1215">
            <v>0.96</v>
          </cell>
          <cell r="P1215">
            <v>1.02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</row>
        <row r="1216">
          <cell r="A1216">
            <v>1215</v>
          </cell>
          <cell r="B1216" t="str">
            <v>穿潮の雷月神 アルテミス</v>
          </cell>
          <cell r="C1216">
            <v>6</v>
          </cell>
          <cell r="D1216" t="str">
            <v>yellow</v>
          </cell>
          <cell r="E1216">
            <v>0.98</v>
          </cell>
          <cell r="F1216">
            <v>1.01</v>
          </cell>
          <cell r="G1216">
            <v>1</v>
          </cell>
          <cell r="H1216" t="str">
            <v>balance</v>
          </cell>
          <cell r="I1216" t="str">
            <v>バランスタイプ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god</v>
          </cell>
          <cell r="N1216" t="str">
            <v>ゴッド</v>
          </cell>
          <cell r="O1216">
            <v>0.96</v>
          </cell>
          <cell r="P1216">
            <v>1.02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</row>
        <row r="1217">
          <cell r="A1217">
            <v>1216</v>
          </cell>
          <cell r="B1217" t="str">
            <v>梶井基次郎</v>
          </cell>
          <cell r="C1217">
            <v>4</v>
          </cell>
          <cell r="D1217" t="str">
            <v>green</v>
          </cell>
          <cell r="E1217">
            <v>1.02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1.33</v>
          </cell>
          <cell r="L1217">
            <v>1</v>
          </cell>
          <cell r="M1217" t="str">
            <v>human</v>
          </cell>
          <cell r="N1217" t="str">
            <v>ヒューマン</v>
          </cell>
          <cell r="O1217">
            <v>0.94</v>
          </cell>
          <cell r="P1217">
            <v>0.99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</row>
        <row r="1218">
          <cell r="A1218">
            <v>1217</v>
          </cell>
          <cell r="B1218" t="str">
            <v>鮮彩の鬱情 梶井基次郎</v>
          </cell>
          <cell r="C1218">
            <v>5</v>
          </cell>
          <cell r="D1218" t="str">
            <v>green</v>
          </cell>
          <cell r="E1218">
            <v>1.02</v>
          </cell>
          <cell r="F1218">
            <v>0.98</v>
          </cell>
          <cell r="G1218">
            <v>1</v>
          </cell>
          <cell r="H1218" t="str">
            <v>attack</v>
          </cell>
          <cell r="I1218" t="str">
            <v>攻撃タイプ</v>
          </cell>
          <cell r="J1218">
            <v>1</v>
          </cell>
          <cell r="K1218">
            <v>1.33</v>
          </cell>
          <cell r="L1218">
            <v>1</v>
          </cell>
          <cell r="M1218" t="str">
            <v>human</v>
          </cell>
          <cell r="N1218" t="str">
            <v>ヒューマン</v>
          </cell>
          <cell r="O1218">
            <v>0.94</v>
          </cell>
          <cell r="P1218">
            <v>0.99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</row>
        <row r="1219">
          <cell r="A1219">
            <v>1218</v>
          </cell>
          <cell r="B1219" t="str">
            <v>太宰治</v>
          </cell>
          <cell r="C1219">
            <v>5</v>
          </cell>
          <cell r="D1219" t="str">
            <v>blue</v>
          </cell>
          <cell r="E1219">
            <v>1</v>
          </cell>
          <cell r="F1219">
            <v>0.98</v>
          </cell>
          <cell r="G1219">
            <v>1</v>
          </cell>
          <cell r="H1219" t="str">
            <v>hp</v>
          </cell>
          <cell r="I1219" t="str">
            <v>体力タイプ</v>
          </cell>
          <cell r="J1219">
            <v>1.45</v>
          </cell>
          <cell r="K1219">
            <v>0.85</v>
          </cell>
          <cell r="L1219">
            <v>1</v>
          </cell>
          <cell r="M1219" t="str">
            <v>human</v>
          </cell>
          <cell r="N1219" t="str">
            <v>ヒューマン</v>
          </cell>
          <cell r="O1219">
            <v>0.94</v>
          </cell>
          <cell r="P1219">
            <v>0.99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</row>
        <row r="1220">
          <cell r="A1220">
            <v>1219</v>
          </cell>
          <cell r="B1220" t="str">
            <v>世絶の失格者 太宰治</v>
          </cell>
          <cell r="C1220">
            <v>6</v>
          </cell>
          <cell r="D1220" t="str">
            <v>blue</v>
          </cell>
          <cell r="E1220">
            <v>1</v>
          </cell>
          <cell r="F1220">
            <v>0.98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1.45</v>
          </cell>
          <cell r="K1220">
            <v>0.85</v>
          </cell>
          <cell r="L1220">
            <v>1</v>
          </cell>
          <cell r="M1220" t="str">
            <v>human</v>
          </cell>
          <cell r="N1220" t="str">
            <v>ヒューマン</v>
          </cell>
          <cell r="O1220">
            <v>0.94</v>
          </cell>
          <cell r="P1220">
            <v>0.99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</row>
        <row r="1221">
          <cell r="A1221">
            <v>1220</v>
          </cell>
          <cell r="B1221" t="str">
            <v>シェイクスピア</v>
          </cell>
          <cell r="C1221">
            <v>5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balance</v>
          </cell>
          <cell r="I1221" t="str">
            <v>バランスタイプ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human</v>
          </cell>
          <cell r="N1221" t="str">
            <v>ヒューマン</v>
          </cell>
          <cell r="O1221">
            <v>0.94</v>
          </cell>
          <cell r="P1221">
            <v>0.99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</row>
        <row r="1222">
          <cell r="A1222">
            <v>1221</v>
          </cell>
          <cell r="B1222" t="str">
            <v>命愛の恋劇家 シェイクスピア</v>
          </cell>
          <cell r="C1222">
            <v>6</v>
          </cell>
          <cell r="D1222" t="str">
            <v>yellow</v>
          </cell>
          <cell r="E1222">
            <v>0.98</v>
          </cell>
          <cell r="F1222">
            <v>1.01</v>
          </cell>
          <cell r="G1222">
            <v>1</v>
          </cell>
          <cell r="H1222" t="str">
            <v>balance</v>
          </cell>
          <cell r="I1222" t="str">
            <v>バランスタイプ</v>
          </cell>
          <cell r="J1222">
            <v>1</v>
          </cell>
          <cell r="K1222">
            <v>1</v>
          </cell>
          <cell r="L1222">
            <v>1</v>
          </cell>
          <cell r="M1222" t="str">
            <v>human</v>
          </cell>
          <cell r="N1222" t="str">
            <v>ヒューマン</v>
          </cell>
          <cell r="O1222">
            <v>0.94</v>
          </cell>
          <cell r="P1222">
            <v>0.99</v>
          </cell>
          <cell r="Q1222">
            <v>1</v>
          </cell>
          <cell r="R1222" t="str">
            <v>Boss</v>
          </cell>
          <cell r="S1222">
            <v>5</v>
          </cell>
          <cell r="T1222">
            <v>1.3</v>
          </cell>
          <cell r="U1222">
            <v>0.8</v>
          </cell>
          <cell r="V1222">
            <v>3</v>
          </cell>
        </row>
        <row r="1223">
          <cell r="A1223">
            <v>1222</v>
          </cell>
          <cell r="B1223" t="str">
            <v>カフカ</v>
          </cell>
          <cell r="C1223">
            <v>5</v>
          </cell>
          <cell r="D1223" t="str">
            <v>blue</v>
          </cell>
          <cell r="E1223">
            <v>1</v>
          </cell>
          <cell r="F1223">
            <v>0.98</v>
          </cell>
          <cell r="G1223">
            <v>1</v>
          </cell>
          <cell r="H1223" t="str">
            <v>technical</v>
          </cell>
          <cell r="I1223" t="str">
            <v>テクニカルタイプ</v>
          </cell>
          <cell r="J1223">
            <v>0.9</v>
          </cell>
          <cell r="K1223">
            <v>0.9</v>
          </cell>
          <cell r="L1223">
            <v>1</v>
          </cell>
          <cell r="M1223" t="str">
            <v>human</v>
          </cell>
          <cell r="N1223" t="str">
            <v>ヒューマン</v>
          </cell>
          <cell r="O1223">
            <v>0.94</v>
          </cell>
          <cell r="P1223">
            <v>0.99</v>
          </cell>
          <cell r="Q1223">
            <v>1</v>
          </cell>
          <cell r="R1223" t="str">
            <v>Boss</v>
          </cell>
          <cell r="S1223">
            <v>5</v>
          </cell>
          <cell r="T1223">
            <v>1.3</v>
          </cell>
          <cell r="U1223">
            <v>0.8</v>
          </cell>
          <cell r="V1223">
            <v>3</v>
          </cell>
        </row>
        <row r="1224">
          <cell r="A1224">
            <v>1223</v>
          </cell>
          <cell r="B1224" t="str">
            <v>凌蛾の変身 カフカ</v>
          </cell>
          <cell r="C1224">
            <v>6</v>
          </cell>
          <cell r="D1224" t="str">
            <v>blue</v>
          </cell>
          <cell r="E1224">
            <v>1</v>
          </cell>
          <cell r="F1224">
            <v>0.98</v>
          </cell>
          <cell r="G1224">
            <v>1</v>
          </cell>
          <cell r="H1224" t="str">
            <v>technical</v>
          </cell>
          <cell r="I1224" t="str">
            <v>テクニカルタイプ</v>
          </cell>
          <cell r="J1224">
            <v>0.9</v>
          </cell>
          <cell r="K1224">
            <v>0.9</v>
          </cell>
          <cell r="L1224">
            <v>1</v>
          </cell>
          <cell r="M1224" t="str">
            <v>human</v>
          </cell>
          <cell r="N1224" t="str">
            <v>ヒューマン</v>
          </cell>
          <cell r="O1224">
            <v>0.94</v>
          </cell>
          <cell r="P1224">
            <v>0.99</v>
          </cell>
          <cell r="Q1224">
            <v>1</v>
          </cell>
          <cell r="R1224" t="str">
            <v>Boss</v>
          </cell>
          <cell r="S1224">
            <v>5</v>
          </cell>
          <cell r="T1224">
            <v>1.3</v>
          </cell>
          <cell r="U1224">
            <v>0.8</v>
          </cell>
          <cell r="V1224">
            <v>3</v>
          </cell>
        </row>
        <row r="1225">
          <cell r="A1225">
            <v>1224</v>
          </cell>
          <cell r="B1225" t="str">
            <v>セルバンテス</v>
          </cell>
          <cell r="C1225">
            <v>4</v>
          </cell>
          <cell r="D1225" t="str">
            <v>red</v>
          </cell>
          <cell r="E1225">
            <v>1</v>
          </cell>
          <cell r="F1225">
            <v>1.02</v>
          </cell>
          <cell r="G1225">
            <v>1</v>
          </cell>
          <cell r="H1225" t="str">
            <v>attack</v>
          </cell>
          <cell r="I1225" t="str">
            <v>攻撃タイプ</v>
          </cell>
          <cell r="J1225">
            <v>1</v>
          </cell>
          <cell r="K1225">
            <v>1.33</v>
          </cell>
          <cell r="L1225">
            <v>1</v>
          </cell>
          <cell r="M1225" t="str">
            <v>human</v>
          </cell>
          <cell r="N1225" t="str">
            <v>ヒューマン</v>
          </cell>
          <cell r="O1225">
            <v>0.94</v>
          </cell>
          <cell r="P1225">
            <v>0.99</v>
          </cell>
          <cell r="Q1225">
            <v>1</v>
          </cell>
          <cell r="R1225" t="str">
            <v>Boss</v>
          </cell>
          <cell r="S1225">
            <v>5</v>
          </cell>
          <cell r="T1225">
            <v>1.3</v>
          </cell>
          <cell r="U1225">
            <v>0.8</v>
          </cell>
          <cell r="V1225">
            <v>3</v>
          </cell>
        </row>
        <row r="1226">
          <cell r="A1226">
            <v>1225</v>
          </cell>
          <cell r="B1226" t="str">
            <v>優柔なる風断者 セルバンテス</v>
          </cell>
          <cell r="C1226">
            <v>5</v>
          </cell>
          <cell r="D1226" t="str">
            <v>red</v>
          </cell>
          <cell r="E1226">
            <v>1</v>
          </cell>
          <cell r="F1226">
            <v>1.02</v>
          </cell>
          <cell r="G1226">
            <v>1</v>
          </cell>
          <cell r="H1226" t="str">
            <v>attack</v>
          </cell>
          <cell r="I1226" t="str">
            <v>攻撃タイプ</v>
          </cell>
          <cell r="J1226">
            <v>1</v>
          </cell>
          <cell r="K1226">
            <v>1.33</v>
          </cell>
          <cell r="L1226">
            <v>1</v>
          </cell>
          <cell r="M1226" t="str">
            <v>human</v>
          </cell>
          <cell r="N1226" t="str">
            <v>ヒューマン</v>
          </cell>
          <cell r="O1226">
            <v>0.94</v>
          </cell>
          <cell r="P1226">
            <v>0.99</v>
          </cell>
          <cell r="Q1226">
            <v>1</v>
          </cell>
          <cell r="R1226" t="str">
            <v>Boss</v>
          </cell>
          <cell r="S1226">
            <v>5</v>
          </cell>
          <cell r="T1226">
            <v>1.3</v>
          </cell>
          <cell r="U1226">
            <v>0.8</v>
          </cell>
          <cell r="V1226">
            <v>3</v>
          </cell>
        </row>
        <row r="1227">
          <cell r="A1227">
            <v>1226</v>
          </cell>
          <cell r="B1227" t="str">
            <v>トルストイ</v>
          </cell>
          <cell r="C1227">
            <v>5</v>
          </cell>
          <cell r="D1227" t="str">
            <v>green</v>
          </cell>
          <cell r="E1227">
            <v>1.02</v>
          </cell>
          <cell r="F1227">
            <v>0.98</v>
          </cell>
          <cell r="G1227">
            <v>1</v>
          </cell>
          <cell r="H1227" t="str">
            <v>attack</v>
          </cell>
          <cell r="I1227" t="str">
            <v>攻撃タイプ</v>
          </cell>
          <cell r="J1227">
            <v>1</v>
          </cell>
          <cell r="K1227">
            <v>1.33</v>
          </cell>
          <cell r="L1227">
            <v>1</v>
          </cell>
          <cell r="M1227" t="str">
            <v>human</v>
          </cell>
          <cell r="N1227" t="str">
            <v>ヒューマン</v>
          </cell>
          <cell r="O1227">
            <v>0.94</v>
          </cell>
          <cell r="P1227">
            <v>0.99</v>
          </cell>
          <cell r="Q1227">
            <v>1</v>
          </cell>
          <cell r="R1227" t="str">
            <v>Boss</v>
          </cell>
          <cell r="S1227">
            <v>5</v>
          </cell>
          <cell r="T1227">
            <v>1.3</v>
          </cell>
          <cell r="U1227">
            <v>0.8</v>
          </cell>
          <cell r="V1227">
            <v>3</v>
          </cell>
        </row>
        <row r="1228">
          <cell r="A1228">
            <v>1227</v>
          </cell>
          <cell r="B1228" t="str">
            <v>欲望の占猟者 トルストイ</v>
          </cell>
          <cell r="C1228">
            <v>6</v>
          </cell>
          <cell r="D1228" t="str">
            <v>green</v>
          </cell>
          <cell r="E1228">
            <v>1.02</v>
          </cell>
          <cell r="F1228">
            <v>0.98</v>
          </cell>
          <cell r="G1228">
            <v>1</v>
          </cell>
          <cell r="H1228" t="str">
            <v>attack</v>
          </cell>
          <cell r="I1228" t="str">
            <v>攻撃タイプ</v>
          </cell>
          <cell r="J1228">
            <v>1</v>
          </cell>
          <cell r="K1228">
            <v>1.33</v>
          </cell>
          <cell r="L1228">
            <v>1</v>
          </cell>
          <cell r="M1228" t="str">
            <v>human</v>
          </cell>
          <cell r="N1228" t="str">
            <v>ヒューマン</v>
          </cell>
          <cell r="O1228">
            <v>0.94</v>
          </cell>
          <cell r="P1228">
            <v>0.99</v>
          </cell>
          <cell r="Q1228">
            <v>1</v>
          </cell>
          <cell r="R1228" t="str">
            <v>Boss</v>
          </cell>
          <cell r="S1228">
            <v>5</v>
          </cell>
          <cell r="T1228">
            <v>1.3</v>
          </cell>
          <cell r="U1228">
            <v>0.8</v>
          </cell>
          <cell r="V1228">
            <v>3</v>
          </cell>
        </row>
        <row r="1229">
          <cell r="A1229">
            <v>1228</v>
          </cell>
          <cell r="B1229" t="str">
            <v>芥川龍之介</v>
          </cell>
          <cell r="C1229">
            <v>5</v>
          </cell>
          <cell r="D1229" t="str">
            <v>blue</v>
          </cell>
          <cell r="E1229">
            <v>1</v>
          </cell>
          <cell r="F1229">
            <v>0.98</v>
          </cell>
          <cell r="G1229">
            <v>1</v>
          </cell>
          <cell r="H1229" t="str">
            <v>attack</v>
          </cell>
          <cell r="I1229" t="str">
            <v>攻撃タイプ</v>
          </cell>
          <cell r="J1229">
            <v>1</v>
          </cell>
          <cell r="K1229">
            <v>1.33</v>
          </cell>
          <cell r="L1229">
            <v>1</v>
          </cell>
          <cell r="M1229" t="str">
            <v>human</v>
          </cell>
          <cell r="N1229" t="str">
            <v>ヒューマン</v>
          </cell>
          <cell r="O1229">
            <v>0.94</v>
          </cell>
          <cell r="P1229">
            <v>0.99</v>
          </cell>
          <cell r="Q1229">
            <v>1</v>
          </cell>
          <cell r="R1229" t="str">
            <v>Boss</v>
          </cell>
          <cell r="S1229">
            <v>5</v>
          </cell>
          <cell r="T1229">
            <v>1.3</v>
          </cell>
          <cell r="U1229">
            <v>0.8</v>
          </cell>
          <cell r="V1229">
            <v>3</v>
          </cell>
        </row>
        <row r="1230">
          <cell r="A1230">
            <v>1229</v>
          </cell>
          <cell r="B1230" t="str">
            <v>羅生の鬼我 芥川龍之介</v>
          </cell>
          <cell r="C1230">
            <v>6</v>
          </cell>
          <cell r="D1230" t="str">
            <v>blue</v>
          </cell>
          <cell r="E1230">
            <v>1</v>
          </cell>
          <cell r="F1230">
            <v>0.98</v>
          </cell>
          <cell r="G1230">
            <v>1</v>
          </cell>
          <cell r="H1230" t="str">
            <v>attack</v>
          </cell>
          <cell r="I1230" t="str">
            <v>攻撃タイプ</v>
          </cell>
          <cell r="J1230">
            <v>1</v>
          </cell>
          <cell r="K1230">
            <v>1.33</v>
          </cell>
          <cell r="L1230">
            <v>1</v>
          </cell>
          <cell r="M1230" t="str">
            <v>human</v>
          </cell>
          <cell r="N1230" t="str">
            <v>ヒューマン</v>
          </cell>
          <cell r="O1230">
            <v>0.94</v>
          </cell>
          <cell r="P1230">
            <v>0.99</v>
          </cell>
          <cell r="Q1230">
            <v>1</v>
          </cell>
          <cell r="R1230" t="str">
            <v>Boss</v>
          </cell>
          <cell r="S1230">
            <v>5</v>
          </cell>
          <cell r="T1230">
            <v>1.3</v>
          </cell>
          <cell r="U1230">
            <v>0.8</v>
          </cell>
          <cell r="V1230">
            <v>3</v>
          </cell>
        </row>
        <row r="1231">
          <cell r="A1231">
            <v>1230</v>
          </cell>
          <cell r="B1231" t="str">
            <v>夏目漱石</v>
          </cell>
          <cell r="C1231">
            <v>5</v>
          </cell>
          <cell r="D1231" t="str">
            <v>yellow</v>
          </cell>
          <cell r="E1231">
            <v>0.98</v>
          </cell>
          <cell r="F1231">
            <v>1.01</v>
          </cell>
          <cell r="G1231">
            <v>1</v>
          </cell>
          <cell r="H1231" t="str">
            <v>heal</v>
          </cell>
          <cell r="I1231" t="str">
            <v>回復タイプ</v>
          </cell>
          <cell r="J1231">
            <v>0.8</v>
          </cell>
          <cell r="K1231">
            <v>0.78</v>
          </cell>
          <cell r="L1231">
            <v>1</v>
          </cell>
          <cell r="M1231" t="str">
            <v>animal</v>
          </cell>
          <cell r="N1231" t="str">
            <v>アニマル</v>
          </cell>
          <cell r="O1231">
            <v>1</v>
          </cell>
          <cell r="P1231">
            <v>1.1000000000000001</v>
          </cell>
          <cell r="Q1231">
            <v>1</v>
          </cell>
          <cell r="R1231" t="str">
            <v>Boss</v>
          </cell>
          <cell r="S1231">
            <v>5</v>
          </cell>
          <cell r="T1231">
            <v>1.3</v>
          </cell>
          <cell r="U1231">
            <v>0.8</v>
          </cell>
          <cell r="V1231">
            <v>3</v>
          </cell>
        </row>
        <row r="1232">
          <cell r="A1232">
            <v>1231</v>
          </cell>
          <cell r="B1232" t="str">
            <v>思索する愛猫 夏目漱石</v>
          </cell>
          <cell r="C1232">
            <v>6</v>
          </cell>
          <cell r="D1232" t="str">
            <v>yellow</v>
          </cell>
          <cell r="E1232">
            <v>0.98</v>
          </cell>
          <cell r="F1232">
            <v>1.01</v>
          </cell>
          <cell r="G1232">
            <v>1</v>
          </cell>
          <cell r="H1232" t="str">
            <v>heal</v>
          </cell>
          <cell r="I1232" t="str">
            <v>回復タイプ</v>
          </cell>
          <cell r="J1232">
            <v>0.8</v>
          </cell>
          <cell r="K1232">
            <v>0.78</v>
          </cell>
          <cell r="L1232">
            <v>1</v>
          </cell>
          <cell r="M1232" t="str">
            <v>animal</v>
          </cell>
          <cell r="N1232" t="str">
            <v>アニマル</v>
          </cell>
          <cell r="O1232">
            <v>1</v>
          </cell>
          <cell r="P1232">
            <v>1.1000000000000001</v>
          </cell>
          <cell r="Q1232">
            <v>1</v>
          </cell>
          <cell r="R1232" t="str">
            <v>Boss</v>
          </cell>
          <cell r="S1232">
            <v>5</v>
          </cell>
          <cell r="T1232">
            <v>1.3</v>
          </cell>
          <cell r="U1232">
            <v>0.8</v>
          </cell>
          <cell r="V1232">
            <v>3</v>
          </cell>
        </row>
        <row r="1233">
          <cell r="A1233">
            <v>1232</v>
          </cell>
          <cell r="B1233" t="str">
            <v>ケプラー</v>
          </cell>
          <cell r="C1233">
            <v>5</v>
          </cell>
          <cell r="D1233" t="str">
            <v>yellow</v>
          </cell>
          <cell r="E1233">
            <v>0.98</v>
          </cell>
          <cell r="F1233">
            <v>1.01</v>
          </cell>
          <cell r="G1233">
            <v>1</v>
          </cell>
          <cell r="H1233" t="str">
            <v>attack</v>
          </cell>
          <cell r="I1233" t="str">
            <v>攻撃タイプ</v>
          </cell>
          <cell r="J1233">
            <v>1</v>
          </cell>
          <cell r="K1233">
            <v>1.33</v>
          </cell>
          <cell r="L1233">
            <v>1</v>
          </cell>
          <cell r="M1233" t="str">
            <v>academia</v>
          </cell>
          <cell r="N1233" t="str">
            <v>アカデミア</v>
          </cell>
          <cell r="O1233">
            <v>1</v>
          </cell>
          <cell r="P1233">
            <v>1</v>
          </cell>
          <cell r="Q1233">
            <v>1</v>
          </cell>
          <cell r="R1233" t="str">
            <v>Boss</v>
          </cell>
          <cell r="S1233">
            <v>5</v>
          </cell>
          <cell r="T1233">
            <v>1.3</v>
          </cell>
          <cell r="U1233">
            <v>0.8</v>
          </cell>
          <cell r="V1233">
            <v>3</v>
          </cell>
        </row>
        <row r="1234">
          <cell r="A1234">
            <v>1233</v>
          </cell>
          <cell r="B1234" t="str">
            <v>天体の大砲速 ケプラー</v>
          </cell>
          <cell r="C1234">
            <v>6</v>
          </cell>
          <cell r="D1234" t="str">
            <v>yellow</v>
          </cell>
          <cell r="E1234">
            <v>0.98</v>
          </cell>
          <cell r="F1234">
            <v>1.01</v>
          </cell>
          <cell r="G1234">
            <v>1</v>
          </cell>
          <cell r="H1234" t="str">
            <v>attack</v>
          </cell>
          <cell r="I1234" t="str">
            <v>攻撃タイプ</v>
          </cell>
          <cell r="J1234">
            <v>1</v>
          </cell>
          <cell r="K1234">
            <v>1.33</v>
          </cell>
          <cell r="L1234">
            <v>1</v>
          </cell>
          <cell r="M1234" t="str">
            <v>academia</v>
          </cell>
          <cell r="N1234" t="str">
            <v>アカデミア</v>
          </cell>
          <cell r="O1234">
            <v>1</v>
          </cell>
          <cell r="P1234">
            <v>1</v>
          </cell>
          <cell r="Q1234">
            <v>1</v>
          </cell>
          <cell r="R1234" t="str">
            <v>Boss</v>
          </cell>
          <cell r="S1234">
            <v>5</v>
          </cell>
          <cell r="T1234">
            <v>1.3</v>
          </cell>
          <cell r="U1234">
            <v>0.8</v>
          </cell>
          <cell r="V1234">
            <v>3</v>
          </cell>
        </row>
        <row r="1235">
          <cell r="A1235">
            <v>1234</v>
          </cell>
          <cell r="B1235" t="str">
            <v>ボーア</v>
          </cell>
          <cell r="C1235">
            <v>5</v>
          </cell>
          <cell r="D1235" t="str">
            <v>red</v>
          </cell>
          <cell r="E1235">
            <v>1</v>
          </cell>
          <cell r="F1235">
            <v>1.02</v>
          </cell>
          <cell r="G1235">
            <v>1</v>
          </cell>
          <cell r="H1235" t="str">
            <v>attack</v>
          </cell>
          <cell r="I1235" t="str">
            <v>攻撃タイプ</v>
          </cell>
          <cell r="J1235">
            <v>1</v>
          </cell>
          <cell r="K1235">
            <v>1.33</v>
          </cell>
          <cell r="L1235">
            <v>1</v>
          </cell>
          <cell r="M1235" t="str">
            <v>academia</v>
          </cell>
          <cell r="N1235" t="str">
            <v>アカデミア</v>
          </cell>
          <cell r="O1235">
            <v>1</v>
          </cell>
          <cell r="P1235">
            <v>1</v>
          </cell>
          <cell r="Q1235">
            <v>1</v>
          </cell>
          <cell r="R1235" t="str">
            <v>Boss</v>
          </cell>
          <cell r="S1235">
            <v>5</v>
          </cell>
          <cell r="T1235">
            <v>1.3</v>
          </cell>
          <cell r="U1235">
            <v>0.8</v>
          </cell>
          <cell r="V1235">
            <v>3</v>
          </cell>
        </row>
        <row r="1236">
          <cell r="A1236">
            <v>1235</v>
          </cell>
          <cell r="B1236" t="str">
            <v>哲壁の育護者 ボーア</v>
          </cell>
          <cell r="C1236">
            <v>6</v>
          </cell>
          <cell r="D1236" t="str">
            <v>red</v>
          </cell>
          <cell r="E1236">
            <v>1</v>
          </cell>
          <cell r="F1236">
            <v>1.02</v>
          </cell>
          <cell r="G1236">
            <v>1</v>
          </cell>
          <cell r="H1236" t="str">
            <v>attack</v>
          </cell>
          <cell r="I1236" t="str">
            <v>攻撃タイプ</v>
          </cell>
          <cell r="J1236">
            <v>1</v>
          </cell>
          <cell r="K1236">
            <v>1.33</v>
          </cell>
          <cell r="L1236">
            <v>1</v>
          </cell>
          <cell r="M1236" t="str">
            <v>academia</v>
          </cell>
          <cell r="N1236" t="str">
            <v>アカデミア</v>
          </cell>
          <cell r="O1236">
            <v>1</v>
          </cell>
          <cell r="P1236">
            <v>1</v>
          </cell>
          <cell r="Q1236">
            <v>1</v>
          </cell>
          <cell r="R1236" t="str">
            <v>Boss</v>
          </cell>
          <cell r="S1236">
            <v>5</v>
          </cell>
          <cell r="T1236">
            <v>1.3</v>
          </cell>
          <cell r="U1236">
            <v>0.8</v>
          </cell>
          <cell r="V1236">
            <v>3</v>
          </cell>
        </row>
        <row r="1237">
          <cell r="A1237">
            <v>1236</v>
          </cell>
          <cell r="B1237" t="str">
            <v>千利休</v>
          </cell>
          <cell r="C1237">
            <v>4</v>
          </cell>
          <cell r="D1237" t="str">
            <v>yellow</v>
          </cell>
          <cell r="E1237">
            <v>0.98</v>
          </cell>
          <cell r="F1237">
            <v>1.01</v>
          </cell>
          <cell r="G1237">
            <v>1</v>
          </cell>
          <cell r="H1237" t="str">
            <v>balance</v>
          </cell>
          <cell r="I1237" t="str">
            <v>バランスタイプ</v>
          </cell>
          <cell r="J1237">
            <v>1</v>
          </cell>
          <cell r="K1237">
            <v>1</v>
          </cell>
          <cell r="L1237">
            <v>1</v>
          </cell>
          <cell r="M1237" t="str">
            <v>unknown</v>
          </cell>
          <cell r="N1237" t="str">
            <v>Unknown</v>
          </cell>
          <cell r="O1237">
            <v>1</v>
          </cell>
          <cell r="P1237">
            <v>1</v>
          </cell>
          <cell r="Q1237">
            <v>1</v>
          </cell>
          <cell r="R1237" t="str">
            <v>Boss</v>
          </cell>
          <cell r="S1237">
            <v>5</v>
          </cell>
          <cell r="T1237">
            <v>1.3</v>
          </cell>
          <cell r="U1237">
            <v>0.8</v>
          </cell>
          <cell r="V1237">
            <v>3</v>
          </cell>
        </row>
        <row r="1238">
          <cell r="A1238">
            <v>1237</v>
          </cell>
          <cell r="B1238" t="str">
            <v>夢茶の目付役 千利休</v>
          </cell>
          <cell r="C1238">
            <v>5</v>
          </cell>
          <cell r="D1238" t="str">
            <v>yellow</v>
          </cell>
          <cell r="E1238">
            <v>0.98</v>
          </cell>
          <cell r="F1238">
            <v>1.01</v>
          </cell>
          <cell r="G1238">
            <v>1</v>
          </cell>
          <cell r="H1238" t="str">
            <v>balance</v>
          </cell>
          <cell r="I1238" t="str">
            <v>バランスタイプ</v>
          </cell>
          <cell r="J1238">
            <v>1</v>
          </cell>
          <cell r="K1238">
            <v>1</v>
          </cell>
          <cell r="L1238">
            <v>1</v>
          </cell>
          <cell r="M1238" t="str">
            <v>unknown</v>
          </cell>
          <cell r="N1238" t="str">
            <v>Unknown</v>
          </cell>
          <cell r="O1238">
            <v>1</v>
          </cell>
          <cell r="P1238">
            <v>1</v>
          </cell>
          <cell r="Q1238">
            <v>1</v>
          </cell>
          <cell r="R1238" t="str">
            <v>Boss</v>
          </cell>
          <cell r="S1238">
            <v>5</v>
          </cell>
          <cell r="T1238">
            <v>1.3</v>
          </cell>
          <cell r="U1238">
            <v>0.8</v>
          </cell>
          <cell r="V1238">
            <v>3</v>
          </cell>
        </row>
        <row r="1239">
          <cell r="A1239">
            <v>1238</v>
          </cell>
          <cell r="B1239" t="str">
            <v>服部半蔵</v>
          </cell>
          <cell r="C1239">
            <v>5</v>
          </cell>
          <cell r="D1239" t="str">
            <v>green</v>
          </cell>
          <cell r="E1239">
            <v>1.02</v>
          </cell>
          <cell r="F1239">
            <v>0.98</v>
          </cell>
          <cell r="G1239">
            <v>1</v>
          </cell>
          <cell r="H1239" t="str">
            <v>hp</v>
          </cell>
          <cell r="I1239" t="str">
            <v>体力タイプ</v>
          </cell>
          <cell r="J1239">
            <v>1.45</v>
          </cell>
          <cell r="K1239">
            <v>0.85</v>
          </cell>
          <cell r="L1239">
            <v>1</v>
          </cell>
          <cell r="M1239" t="str">
            <v>human</v>
          </cell>
          <cell r="N1239" t="str">
            <v>ヒューマン</v>
          </cell>
          <cell r="O1239">
            <v>0.94</v>
          </cell>
          <cell r="P1239">
            <v>0.99</v>
          </cell>
          <cell r="Q1239">
            <v>1</v>
          </cell>
          <cell r="R1239" t="str">
            <v>Boss</v>
          </cell>
          <cell r="S1239">
            <v>5</v>
          </cell>
          <cell r="T1239">
            <v>1.3</v>
          </cell>
          <cell r="U1239">
            <v>0.8</v>
          </cell>
          <cell r="V1239">
            <v>3</v>
          </cell>
        </row>
        <row r="1240">
          <cell r="A1240">
            <v>1239</v>
          </cell>
          <cell r="B1240" t="str">
            <v>音無の機密忍 服部半蔵</v>
          </cell>
          <cell r="C1240">
            <v>6</v>
          </cell>
          <cell r="D1240" t="str">
            <v>green</v>
          </cell>
          <cell r="E1240">
            <v>1.02</v>
          </cell>
          <cell r="F1240">
            <v>0.98</v>
          </cell>
          <cell r="G1240">
            <v>1</v>
          </cell>
          <cell r="H1240" t="str">
            <v>hp</v>
          </cell>
          <cell r="I1240" t="str">
            <v>体力タイプ</v>
          </cell>
          <cell r="J1240">
            <v>1.45</v>
          </cell>
          <cell r="K1240">
            <v>0.85</v>
          </cell>
          <cell r="L1240">
            <v>1</v>
          </cell>
          <cell r="M1240" t="str">
            <v>human</v>
          </cell>
          <cell r="N1240" t="str">
            <v>ヒューマン</v>
          </cell>
          <cell r="O1240">
            <v>0.94</v>
          </cell>
          <cell r="P1240">
            <v>0.99</v>
          </cell>
          <cell r="Q1240">
            <v>1</v>
          </cell>
          <cell r="R1240" t="str">
            <v>Boss</v>
          </cell>
          <cell r="S1240">
            <v>5</v>
          </cell>
          <cell r="T1240">
            <v>1.3</v>
          </cell>
          <cell r="U1240">
            <v>0.8</v>
          </cell>
          <cell r="V1240">
            <v>3</v>
          </cell>
        </row>
        <row r="1241">
          <cell r="A1241">
            <v>1240</v>
          </cell>
          <cell r="B1241" t="str">
            <v>竹中半兵衛</v>
          </cell>
          <cell r="C1241">
            <v>5</v>
          </cell>
          <cell r="D1241" t="str">
            <v>blue</v>
          </cell>
          <cell r="E1241">
            <v>1</v>
          </cell>
          <cell r="F1241">
            <v>0.98</v>
          </cell>
          <cell r="G1241">
            <v>1</v>
          </cell>
          <cell r="H1241" t="str">
            <v>hp</v>
          </cell>
          <cell r="I1241" t="str">
            <v>体力タイプ</v>
          </cell>
          <cell r="J1241">
            <v>1.45</v>
          </cell>
          <cell r="K1241">
            <v>0.85</v>
          </cell>
          <cell r="L1241">
            <v>1</v>
          </cell>
          <cell r="M1241" t="str">
            <v>human</v>
          </cell>
          <cell r="N1241" t="str">
            <v>ヒューマン</v>
          </cell>
          <cell r="O1241">
            <v>0.94</v>
          </cell>
          <cell r="P1241">
            <v>0.99</v>
          </cell>
          <cell r="Q1241">
            <v>1</v>
          </cell>
          <cell r="R1241" t="str">
            <v>Boss</v>
          </cell>
          <cell r="S1241">
            <v>5</v>
          </cell>
          <cell r="T1241">
            <v>1.3</v>
          </cell>
          <cell r="U1241">
            <v>0.8</v>
          </cell>
          <cell r="V1241">
            <v>3</v>
          </cell>
        </row>
        <row r="1242">
          <cell r="A1242">
            <v>1241</v>
          </cell>
          <cell r="B1242" t="str">
            <v>巧妙なる嬢舌 竹中半兵衛</v>
          </cell>
          <cell r="C1242">
            <v>6</v>
          </cell>
          <cell r="D1242" t="str">
            <v>blue</v>
          </cell>
          <cell r="E1242">
            <v>1</v>
          </cell>
          <cell r="F1242">
            <v>0.98</v>
          </cell>
          <cell r="G1242">
            <v>1</v>
          </cell>
          <cell r="H1242" t="str">
            <v>hp</v>
          </cell>
          <cell r="I1242" t="str">
            <v>体力タイプ</v>
          </cell>
          <cell r="J1242">
            <v>1.45</v>
          </cell>
          <cell r="K1242">
            <v>0.85</v>
          </cell>
          <cell r="L1242">
            <v>1</v>
          </cell>
          <cell r="M1242" t="str">
            <v>human</v>
          </cell>
          <cell r="N1242" t="str">
            <v>ヒューマン</v>
          </cell>
          <cell r="O1242">
            <v>0.94</v>
          </cell>
          <cell r="P1242">
            <v>0.99</v>
          </cell>
          <cell r="Q1242">
            <v>1</v>
          </cell>
          <cell r="R1242" t="str">
            <v>Boss</v>
          </cell>
          <cell r="S1242">
            <v>5</v>
          </cell>
          <cell r="T1242">
            <v>1.3</v>
          </cell>
          <cell r="U1242">
            <v>0.8</v>
          </cell>
          <cell r="V1242">
            <v>3</v>
          </cell>
        </row>
        <row r="1243">
          <cell r="A1243">
            <v>1242</v>
          </cell>
          <cell r="B1243" t="str">
            <v>豊臣秀吉</v>
          </cell>
          <cell r="C1243">
            <v>5</v>
          </cell>
          <cell r="D1243" t="str">
            <v>red</v>
          </cell>
          <cell r="E1243">
            <v>1</v>
          </cell>
          <cell r="F1243">
            <v>1.02</v>
          </cell>
          <cell r="G1243">
            <v>1</v>
          </cell>
          <cell r="H1243" t="str">
            <v>balance</v>
          </cell>
          <cell r="I1243" t="str">
            <v>バランスタイプ</v>
          </cell>
          <cell r="J1243">
            <v>1</v>
          </cell>
          <cell r="K1243">
            <v>1</v>
          </cell>
          <cell r="L1243">
            <v>1</v>
          </cell>
          <cell r="M1243" t="str">
            <v>human</v>
          </cell>
          <cell r="N1243" t="str">
            <v>ヒューマン</v>
          </cell>
          <cell r="O1243">
            <v>0.94</v>
          </cell>
          <cell r="P1243">
            <v>0.99</v>
          </cell>
          <cell r="Q1243">
            <v>1</v>
          </cell>
          <cell r="R1243" t="str">
            <v>Boss</v>
          </cell>
          <cell r="S1243">
            <v>5</v>
          </cell>
          <cell r="T1243">
            <v>1.3</v>
          </cell>
          <cell r="U1243">
            <v>0.8</v>
          </cell>
          <cell r="V1243">
            <v>3</v>
          </cell>
        </row>
        <row r="1244">
          <cell r="A1244">
            <v>1243</v>
          </cell>
          <cell r="B1244" t="str">
            <v>新世覇の昇竜 豊臣秀吉</v>
          </cell>
          <cell r="C1244">
            <v>6</v>
          </cell>
          <cell r="D1244" t="str">
            <v>red</v>
          </cell>
          <cell r="E1244">
            <v>1</v>
          </cell>
          <cell r="F1244">
            <v>1.02</v>
          </cell>
          <cell r="G1244">
            <v>1</v>
          </cell>
          <cell r="H1244" t="str">
            <v>balance</v>
          </cell>
          <cell r="I1244" t="str">
            <v>バランスタイプ</v>
          </cell>
          <cell r="J1244">
            <v>1</v>
          </cell>
          <cell r="K1244">
            <v>1</v>
          </cell>
          <cell r="L1244">
            <v>1</v>
          </cell>
          <cell r="M1244" t="str">
            <v>human</v>
          </cell>
          <cell r="N1244" t="str">
            <v>ヒューマン</v>
          </cell>
          <cell r="O1244">
            <v>0.94</v>
          </cell>
          <cell r="P1244">
            <v>0.99</v>
          </cell>
          <cell r="Q1244">
            <v>1</v>
          </cell>
          <cell r="R1244" t="str">
            <v>Boss</v>
          </cell>
          <cell r="S1244">
            <v>5</v>
          </cell>
          <cell r="T1244">
            <v>1.3</v>
          </cell>
          <cell r="U1244">
            <v>0.8</v>
          </cell>
          <cell r="V1244">
            <v>3</v>
          </cell>
        </row>
        <row r="1245">
          <cell r="A1245">
            <v>1244</v>
          </cell>
          <cell r="B1245" t="str">
            <v>猿飛佐助</v>
          </cell>
          <cell r="C1245">
            <v>5</v>
          </cell>
          <cell r="D1245" t="str">
            <v>red</v>
          </cell>
          <cell r="E1245">
            <v>1</v>
          </cell>
          <cell r="F1245">
            <v>1.02</v>
          </cell>
          <cell r="G1245">
            <v>1</v>
          </cell>
          <cell r="H1245" t="str">
            <v>attack</v>
          </cell>
          <cell r="I1245" t="str">
            <v>攻撃タイプ</v>
          </cell>
          <cell r="J1245">
            <v>1</v>
          </cell>
          <cell r="K1245">
            <v>1.33</v>
          </cell>
          <cell r="L1245">
            <v>1</v>
          </cell>
          <cell r="M1245" t="str">
            <v>human</v>
          </cell>
          <cell r="N1245" t="str">
            <v>ヒューマン</v>
          </cell>
          <cell r="O1245">
            <v>0.94</v>
          </cell>
          <cell r="P1245">
            <v>0.99</v>
          </cell>
          <cell r="Q1245">
            <v>1</v>
          </cell>
          <cell r="R1245" t="str">
            <v>Boss</v>
          </cell>
          <cell r="S1245">
            <v>5</v>
          </cell>
          <cell r="T1245">
            <v>1.3</v>
          </cell>
          <cell r="U1245">
            <v>0.8</v>
          </cell>
          <cell r="V1245">
            <v>3</v>
          </cell>
        </row>
        <row r="1246">
          <cell r="A1246">
            <v>1245</v>
          </cell>
          <cell r="B1246" t="str">
            <v>甲火の特殊忍 猿飛佐助</v>
          </cell>
          <cell r="C1246">
            <v>6</v>
          </cell>
          <cell r="D1246" t="str">
            <v>red</v>
          </cell>
          <cell r="E1246">
            <v>1</v>
          </cell>
          <cell r="F1246">
            <v>1.02</v>
          </cell>
          <cell r="G1246">
            <v>1</v>
          </cell>
          <cell r="H1246" t="str">
            <v>attack</v>
          </cell>
          <cell r="I1246" t="str">
            <v>攻撃タイプ</v>
          </cell>
          <cell r="J1246">
            <v>1</v>
          </cell>
          <cell r="K1246">
            <v>1.33</v>
          </cell>
          <cell r="L1246">
            <v>1</v>
          </cell>
          <cell r="M1246" t="str">
            <v>human</v>
          </cell>
          <cell r="N1246" t="str">
            <v>ヒューマン</v>
          </cell>
          <cell r="O1246">
            <v>0.94</v>
          </cell>
          <cell r="P1246">
            <v>0.99</v>
          </cell>
          <cell r="Q1246">
            <v>1</v>
          </cell>
          <cell r="R1246" t="str">
            <v>Boss</v>
          </cell>
          <cell r="S1246">
            <v>5</v>
          </cell>
          <cell r="T1246">
            <v>1.3</v>
          </cell>
          <cell r="U1246">
            <v>0.8</v>
          </cell>
          <cell r="V1246">
            <v>3</v>
          </cell>
        </row>
        <row r="1247">
          <cell r="A1247">
            <v>1246</v>
          </cell>
          <cell r="B1247" t="str">
            <v>望月千代女</v>
          </cell>
          <cell r="C1247">
            <v>5</v>
          </cell>
          <cell r="D1247" t="str">
            <v>green</v>
          </cell>
          <cell r="E1247">
            <v>1.02</v>
          </cell>
          <cell r="F1247">
            <v>0.98</v>
          </cell>
          <cell r="G1247">
            <v>1</v>
          </cell>
          <cell r="H1247" t="str">
            <v>heal</v>
          </cell>
          <cell r="I1247" t="str">
            <v>回復タイプ</v>
          </cell>
          <cell r="J1247">
            <v>0.8</v>
          </cell>
          <cell r="K1247">
            <v>0.78</v>
          </cell>
          <cell r="L1247">
            <v>1</v>
          </cell>
          <cell r="M1247" t="str">
            <v>human</v>
          </cell>
          <cell r="N1247" t="str">
            <v>ヒューマン</v>
          </cell>
          <cell r="O1247">
            <v>0.94</v>
          </cell>
          <cell r="P1247">
            <v>0.99</v>
          </cell>
          <cell r="Q1247">
            <v>1</v>
          </cell>
          <cell r="R1247" t="str">
            <v>Boss</v>
          </cell>
          <cell r="S1247">
            <v>5</v>
          </cell>
          <cell r="T1247">
            <v>1.3</v>
          </cell>
          <cell r="U1247">
            <v>0.8</v>
          </cell>
          <cell r="V1247">
            <v>3</v>
          </cell>
        </row>
        <row r="1248">
          <cell r="A1248">
            <v>1247</v>
          </cell>
          <cell r="B1248" t="str">
            <v>潜情のくノ一 望月千代女</v>
          </cell>
          <cell r="C1248">
            <v>6</v>
          </cell>
          <cell r="D1248" t="str">
            <v>green</v>
          </cell>
          <cell r="E1248">
            <v>1.02</v>
          </cell>
          <cell r="F1248">
            <v>0.98</v>
          </cell>
          <cell r="G1248">
            <v>1</v>
          </cell>
          <cell r="H1248" t="str">
            <v>heal</v>
          </cell>
          <cell r="I1248" t="str">
            <v>回復タイプ</v>
          </cell>
          <cell r="J1248">
            <v>0.8</v>
          </cell>
          <cell r="K1248">
            <v>0.78</v>
          </cell>
          <cell r="L1248">
            <v>1</v>
          </cell>
          <cell r="M1248" t="str">
            <v>human</v>
          </cell>
          <cell r="N1248" t="str">
            <v>ヒューマン</v>
          </cell>
          <cell r="O1248">
            <v>0.94</v>
          </cell>
          <cell r="P1248">
            <v>0.99</v>
          </cell>
          <cell r="Q1248">
            <v>1</v>
          </cell>
          <cell r="R1248" t="str">
            <v>Boss</v>
          </cell>
          <cell r="S1248">
            <v>5</v>
          </cell>
          <cell r="T1248">
            <v>1.3</v>
          </cell>
          <cell r="U1248">
            <v>0.8</v>
          </cell>
          <cell r="V1248">
            <v>3</v>
          </cell>
        </row>
        <row r="1249">
          <cell r="A1249">
            <v>1248</v>
          </cell>
          <cell r="B1249" t="str">
            <v>寧々</v>
          </cell>
          <cell r="C1249">
            <v>4</v>
          </cell>
          <cell r="D1249" t="str">
            <v>blue</v>
          </cell>
          <cell r="E1249">
            <v>1</v>
          </cell>
          <cell r="F1249">
            <v>0.98</v>
          </cell>
          <cell r="G1249">
            <v>1</v>
          </cell>
          <cell r="H1249" t="str">
            <v>heal</v>
          </cell>
          <cell r="I1249" t="str">
            <v>回復タイプ</v>
          </cell>
          <cell r="J1249">
            <v>0.8</v>
          </cell>
          <cell r="K1249">
            <v>0.78</v>
          </cell>
          <cell r="L1249">
            <v>1</v>
          </cell>
          <cell r="M1249" t="str">
            <v>human</v>
          </cell>
          <cell r="N1249" t="str">
            <v>ヒューマン</v>
          </cell>
          <cell r="O1249">
            <v>0.94</v>
          </cell>
          <cell r="P1249">
            <v>0.99</v>
          </cell>
          <cell r="Q1249">
            <v>1</v>
          </cell>
          <cell r="R1249" t="str">
            <v>Boss</v>
          </cell>
          <cell r="S1249">
            <v>5</v>
          </cell>
          <cell r="T1249">
            <v>1.3</v>
          </cell>
          <cell r="U1249">
            <v>0.8</v>
          </cell>
          <cell r="V1249">
            <v>3</v>
          </cell>
        </row>
        <row r="1250">
          <cell r="A1250">
            <v>1249</v>
          </cell>
          <cell r="B1250" t="str">
            <v>君臨する姐御様 寧々</v>
          </cell>
          <cell r="C1250">
            <v>5</v>
          </cell>
          <cell r="D1250" t="str">
            <v>blue</v>
          </cell>
          <cell r="E1250">
            <v>1</v>
          </cell>
          <cell r="F1250">
            <v>0.98</v>
          </cell>
          <cell r="G1250">
            <v>1</v>
          </cell>
          <cell r="H1250" t="str">
            <v>heal</v>
          </cell>
          <cell r="I1250" t="str">
            <v>回復タイプ</v>
          </cell>
          <cell r="J1250">
            <v>0.8</v>
          </cell>
          <cell r="K1250">
            <v>0.78</v>
          </cell>
          <cell r="L1250">
            <v>1</v>
          </cell>
          <cell r="M1250" t="str">
            <v>human</v>
          </cell>
          <cell r="N1250" t="str">
            <v>ヒューマン</v>
          </cell>
          <cell r="O1250">
            <v>0.94</v>
          </cell>
          <cell r="P1250">
            <v>0.99</v>
          </cell>
          <cell r="Q1250">
            <v>1</v>
          </cell>
          <cell r="R1250" t="str">
            <v>Boss</v>
          </cell>
          <cell r="S1250">
            <v>5</v>
          </cell>
          <cell r="T1250">
            <v>1.3</v>
          </cell>
          <cell r="U1250">
            <v>0.8</v>
          </cell>
          <cell r="V1250">
            <v>3</v>
          </cell>
        </row>
        <row r="1251">
          <cell r="A1251">
            <v>1250</v>
          </cell>
          <cell r="B1251" t="str">
            <v>真田幸村</v>
          </cell>
          <cell r="C1251">
            <v>5</v>
          </cell>
          <cell r="D1251" t="str">
            <v>yellow</v>
          </cell>
          <cell r="E1251">
            <v>0.98</v>
          </cell>
          <cell r="F1251">
            <v>1.01</v>
          </cell>
          <cell r="G1251">
            <v>1</v>
          </cell>
          <cell r="H1251" t="str">
            <v>attack</v>
          </cell>
          <cell r="I1251" t="str">
            <v>攻撃タイプ</v>
          </cell>
          <cell r="J1251">
            <v>1</v>
          </cell>
          <cell r="K1251">
            <v>1.33</v>
          </cell>
          <cell r="L1251">
            <v>1</v>
          </cell>
          <cell r="M1251" t="str">
            <v>human</v>
          </cell>
          <cell r="N1251" t="str">
            <v>ヒューマン</v>
          </cell>
          <cell r="O1251">
            <v>0.94</v>
          </cell>
          <cell r="P1251">
            <v>0.99</v>
          </cell>
          <cell r="Q1251">
            <v>1</v>
          </cell>
          <cell r="R1251" t="str">
            <v>Boss</v>
          </cell>
          <cell r="S1251">
            <v>5</v>
          </cell>
          <cell r="T1251">
            <v>1.3</v>
          </cell>
          <cell r="U1251">
            <v>0.8</v>
          </cell>
          <cell r="V1251">
            <v>3</v>
          </cell>
        </row>
        <row r="1252">
          <cell r="A1252">
            <v>1251</v>
          </cell>
          <cell r="B1252" t="str">
            <v>錯槍の英勇 真田幸村</v>
          </cell>
          <cell r="C1252">
            <v>6</v>
          </cell>
          <cell r="D1252" t="str">
            <v>yellow</v>
          </cell>
          <cell r="E1252">
            <v>0.98</v>
          </cell>
          <cell r="F1252">
            <v>1.01</v>
          </cell>
          <cell r="G1252">
            <v>1</v>
          </cell>
          <cell r="H1252" t="str">
            <v>attack</v>
          </cell>
          <cell r="I1252" t="str">
            <v>攻撃タイプ</v>
          </cell>
          <cell r="J1252">
            <v>1</v>
          </cell>
          <cell r="K1252">
            <v>1.33</v>
          </cell>
          <cell r="L1252">
            <v>1</v>
          </cell>
          <cell r="M1252" t="str">
            <v>human</v>
          </cell>
          <cell r="N1252" t="str">
            <v>ヒューマン</v>
          </cell>
          <cell r="O1252">
            <v>0.94</v>
          </cell>
          <cell r="P1252">
            <v>0.99</v>
          </cell>
          <cell r="Q1252">
            <v>1</v>
          </cell>
          <cell r="R1252" t="str">
            <v>Boss</v>
          </cell>
          <cell r="S1252">
            <v>5</v>
          </cell>
          <cell r="T1252">
            <v>1.3</v>
          </cell>
          <cell r="U1252">
            <v>0.8</v>
          </cell>
          <cell r="V1252">
            <v>3</v>
          </cell>
        </row>
        <row r="1253">
          <cell r="A1253">
            <v>1252</v>
          </cell>
          <cell r="B1253" t="str">
            <v>ギャラルホルン</v>
          </cell>
          <cell r="C1253">
            <v>4</v>
          </cell>
          <cell r="D1253" t="str">
            <v>blue</v>
          </cell>
          <cell r="E1253">
            <v>1</v>
          </cell>
          <cell r="F1253">
            <v>0.98</v>
          </cell>
          <cell r="G1253">
            <v>1</v>
          </cell>
          <cell r="H1253" t="str">
            <v>attack</v>
          </cell>
          <cell r="I1253" t="str">
            <v>攻撃タイプ</v>
          </cell>
          <cell r="J1253">
            <v>1</v>
          </cell>
          <cell r="K1253">
            <v>1.33</v>
          </cell>
          <cell r="L1253">
            <v>1</v>
          </cell>
          <cell r="M1253" t="str">
            <v>god</v>
          </cell>
          <cell r="N1253" t="str">
            <v>ゴッド</v>
          </cell>
          <cell r="O1253">
            <v>0.96</v>
          </cell>
          <cell r="P1253">
            <v>1.02</v>
          </cell>
          <cell r="Q1253">
            <v>1</v>
          </cell>
          <cell r="R1253" t="str">
            <v>Boss</v>
          </cell>
          <cell r="S1253">
            <v>5</v>
          </cell>
          <cell r="T1253">
            <v>1.3</v>
          </cell>
          <cell r="U1253">
            <v>0.8</v>
          </cell>
          <cell r="V1253">
            <v>3</v>
          </cell>
        </row>
        <row r="1254">
          <cell r="A1254">
            <v>1253</v>
          </cell>
          <cell r="B1254" t="str">
            <v>吹聴する廃徊者 ギャラルホルン</v>
          </cell>
          <cell r="C1254">
            <v>5</v>
          </cell>
          <cell r="D1254" t="str">
            <v>blue</v>
          </cell>
          <cell r="E1254">
            <v>1</v>
          </cell>
          <cell r="F1254">
            <v>0.98</v>
          </cell>
          <cell r="G1254">
            <v>1</v>
          </cell>
          <cell r="H1254" t="str">
            <v>attack</v>
          </cell>
          <cell r="I1254" t="str">
            <v>攻撃タイプ</v>
          </cell>
          <cell r="J1254">
            <v>1</v>
          </cell>
          <cell r="K1254">
            <v>1.33</v>
          </cell>
          <cell r="L1254">
            <v>1</v>
          </cell>
          <cell r="M1254" t="str">
            <v>god</v>
          </cell>
          <cell r="N1254" t="str">
            <v>ゴッド</v>
          </cell>
          <cell r="O1254">
            <v>0.96</v>
          </cell>
          <cell r="P1254">
            <v>1.02</v>
          </cell>
          <cell r="Q1254">
            <v>1</v>
          </cell>
          <cell r="R1254" t="str">
            <v>Boss</v>
          </cell>
          <cell r="S1254">
            <v>5</v>
          </cell>
          <cell r="T1254">
            <v>1.3</v>
          </cell>
          <cell r="U1254">
            <v>0.8</v>
          </cell>
          <cell r="V1254">
            <v>3</v>
          </cell>
        </row>
        <row r="1255">
          <cell r="A1255">
            <v>1254</v>
          </cell>
          <cell r="B1255" t="str">
            <v>スリュム</v>
          </cell>
          <cell r="C1255">
            <v>5</v>
          </cell>
          <cell r="D1255" t="str">
            <v>green</v>
          </cell>
          <cell r="E1255">
            <v>1.02</v>
          </cell>
          <cell r="F1255">
            <v>0.98</v>
          </cell>
          <cell r="G1255">
            <v>1</v>
          </cell>
          <cell r="H1255" t="str">
            <v>attack</v>
          </cell>
          <cell r="I1255" t="str">
            <v>攻撃タイプ</v>
          </cell>
          <cell r="J1255">
            <v>1</v>
          </cell>
          <cell r="K1255">
            <v>1.33</v>
          </cell>
          <cell r="L1255">
            <v>1</v>
          </cell>
          <cell r="M1255" t="str">
            <v>god</v>
          </cell>
          <cell r="N1255" t="str">
            <v>ゴッド</v>
          </cell>
          <cell r="O1255">
            <v>0.96</v>
          </cell>
          <cell r="P1255">
            <v>1.02</v>
          </cell>
          <cell r="Q1255">
            <v>1</v>
          </cell>
          <cell r="R1255" t="str">
            <v>Boss</v>
          </cell>
          <cell r="S1255">
            <v>5</v>
          </cell>
          <cell r="T1255">
            <v>1.3</v>
          </cell>
          <cell r="U1255">
            <v>0.8</v>
          </cell>
          <cell r="V1255">
            <v>3</v>
          </cell>
        </row>
        <row r="1256">
          <cell r="A1256">
            <v>1255</v>
          </cell>
          <cell r="B1256" t="str">
            <v>驕奢の神犯 スリュム</v>
          </cell>
          <cell r="C1256">
            <v>6</v>
          </cell>
          <cell r="D1256" t="str">
            <v>green</v>
          </cell>
          <cell r="E1256">
            <v>1.02</v>
          </cell>
          <cell r="F1256">
            <v>0.98</v>
          </cell>
          <cell r="G1256">
            <v>1</v>
          </cell>
          <cell r="H1256" t="str">
            <v>attack</v>
          </cell>
          <cell r="I1256" t="str">
            <v>攻撃タイプ</v>
          </cell>
          <cell r="J1256">
            <v>1</v>
          </cell>
          <cell r="K1256">
            <v>1.33</v>
          </cell>
          <cell r="L1256">
            <v>1</v>
          </cell>
          <cell r="M1256" t="str">
            <v>god</v>
          </cell>
          <cell r="N1256" t="str">
            <v>ゴッド</v>
          </cell>
          <cell r="O1256">
            <v>0.96</v>
          </cell>
          <cell r="P1256">
            <v>1.02</v>
          </cell>
          <cell r="Q1256">
            <v>1</v>
          </cell>
          <cell r="R1256" t="str">
            <v>Boss</v>
          </cell>
          <cell r="S1256">
            <v>5</v>
          </cell>
          <cell r="T1256">
            <v>1.3</v>
          </cell>
          <cell r="U1256">
            <v>0.8</v>
          </cell>
          <cell r="V1256">
            <v>3</v>
          </cell>
        </row>
        <row r="1257">
          <cell r="A1257">
            <v>1256</v>
          </cell>
          <cell r="B1257" t="str">
            <v>ヘル</v>
          </cell>
          <cell r="C1257">
            <v>5</v>
          </cell>
          <cell r="D1257" t="str">
            <v>yellow</v>
          </cell>
          <cell r="E1257">
            <v>0.98</v>
          </cell>
          <cell r="F1257">
            <v>1.01</v>
          </cell>
          <cell r="G1257">
            <v>1</v>
          </cell>
          <cell r="H1257" t="str">
            <v>attack</v>
          </cell>
          <cell r="I1257" t="str">
            <v>攻撃タイプ</v>
          </cell>
          <cell r="J1257">
            <v>1</v>
          </cell>
          <cell r="K1257">
            <v>1.33</v>
          </cell>
          <cell r="L1257">
            <v>1</v>
          </cell>
          <cell r="M1257" t="str">
            <v>god</v>
          </cell>
          <cell r="N1257" t="str">
            <v>ゴッド</v>
          </cell>
          <cell r="O1257">
            <v>0.96</v>
          </cell>
          <cell r="P1257">
            <v>1.02</v>
          </cell>
          <cell r="Q1257">
            <v>1</v>
          </cell>
          <cell r="R1257" t="str">
            <v>Boss</v>
          </cell>
          <cell r="S1257">
            <v>5</v>
          </cell>
          <cell r="T1257">
            <v>1.3</v>
          </cell>
          <cell r="U1257">
            <v>0.8</v>
          </cell>
          <cell r="V1257">
            <v>3</v>
          </cell>
        </row>
        <row r="1258">
          <cell r="A1258">
            <v>1257</v>
          </cell>
          <cell r="B1258" t="str">
            <v>危能の幼魔神 ヘル</v>
          </cell>
          <cell r="C1258">
            <v>6</v>
          </cell>
          <cell r="D1258" t="str">
            <v>yellow</v>
          </cell>
          <cell r="E1258">
            <v>0.98</v>
          </cell>
          <cell r="F1258">
            <v>1.01</v>
          </cell>
          <cell r="G1258">
            <v>1</v>
          </cell>
          <cell r="H1258" t="str">
            <v>attack</v>
          </cell>
          <cell r="I1258" t="str">
            <v>攻撃タイプ</v>
          </cell>
          <cell r="J1258">
            <v>1</v>
          </cell>
          <cell r="K1258">
            <v>1.33</v>
          </cell>
          <cell r="L1258">
            <v>1</v>
          </cell>
          <cell r="M1258" t="str">
            <v>god</v>
          </cell>
          <cell r="N1258" t="str">
            <v>ゴッド</v>
          </cell>
          <cell r="O1258">
            <v>0.96</v>
          </cell>
          <cell r="P1258">
            <v>1.02</v>
          </cell>
          <cell r="Q1258">
            <v>1</v>
          </cell>
          <cell r="R1258" t="str">
            <v>Boss</v>
          </cell>
          <cell r="S1258">
            <v>5</v>
          </cell>
          <cell r="T1258">
            <v>1.3</v>
          </cell>
          <cell r="U1258">
            <v>0.8</v>
          </cell>
          <cell r="V1258">
            <v>3</v>
          </cell>
        </row>
        <row r="1259">
          <cell r="A1259">
            <v>1258</v>
          </cell>
          <cell r="B1259" t="str">
            <v>ロキ</v>
          </cell>
          <cell r="C1259">
            <v>5</v>
          </cell>
          <cell r="D1259" t="str">
            <v>green</v>
          </cell>
          <cell r="E1259">
            <v>1.02</v>
          </cell>
          <cell r="F1259">
            <v>0.98</v>
          </cell>
          <cell r="G1259">
            <v>1</v>
          </cell>
          <cell r="H1259" t="str">
            <v>attack</v>
          </cell>
          <cell r="I1259" t="str">
            <v>攻撃タイプ</v>
          </cell>
          <cell r="J1259">
            <v>1</v>
          </cell>
          <cell r="K1259">
            <v>1.33</v>
          </cell>
          <cell r="L1259">
            <v>1</v>
          </cell>
          <cell r="M1259" t="str">
            <v>god</v>
          </cell>
          <cell r="N1259" t="str">
            <v>ゴッド</v>
          </cell>
          <cell r="O1259">
            <v>0.96</v>
          </cell>
          <cell r="P1259">
            <v>1.02</v>
          </cell>
          <cell r="Q1259">
            <v>1</v>
          </cell>
          <cell r="R1259" t="str">
            <v>Boss</v>
          </cell>
          <cell r="S1259">
            <v>5</v>
          </cell>
          <cell r="T1259">
            <v>1.3</v>
          </cell>
          <cell r="U1259">
            <v>0.8</v>
          </cell>
          <cell r="V1259">
            <v>3</v>
          </cell>
        </row>
        <row r="1260">
          <cell r="A1260">
            <v>1259</v>
          </cell>
          <cell r="B1260" t="str">
            <v>崩世を叫ぶ悪戯 ロキ</v>
          </cell>
          <cell r="C1260">
            <v>6</v>
          </cell>
          <cell r="D1260" t="str">
            <v>green</v>
          </cell>
          <cell r="E1260">
            <v>1.02</v>
          </cell>
          <cell r="F1260">
            <v>0.98</v>
          </cell>
          <cell r="G1260">
            <v>1</v>
          </cell>
          <cell r="H1260" t="str">
            <v>attack</v>
          </cell>
          <cell r="I1260" t="str">
            <v>攻撃タイプ</v>
          </cell>
          <cell r="J1260">
            <v>1</v>
          </cell>
          <cell r="K1260">
            <v>1.33</v>
          </cell>
          <cell r="L1260">
            <v>1</v>
          </cell>
          <cell r="M1260" t="str">
            <v>god</v>
          </cell>
          <cell r="N1260" t="str">
            <v>ゴッド</v>
          </cell>
          <cell r="O1260">
            <v>0.96</v>
          </cell>
          <cell r="P1260">
            <v>1.02</v>
          </cell>
          <cell r="Q1260">
            <v>1</v>
          </cell>
          <cell r="R1260" t="str">
            <v>Boss</v>
          </cell>
          <cell r="S1260">
            <v>5</v>
          </cell>
          <cell r="T1260">
            <v>1.3</v>
          </cell>
          <cell r="U1260">
            <v>0.8</v>
          </cell>
          <cell r="V1260">
            <v>3</v>
          </cell>
        </row>
        <row r="1261">
          <cell r="A1261">
            <v>1260</v>
          </cell>
          <cell r="B1261" t="str">
            <v>トール</v>
          </cell>
          <cell r="C1261">
            <v>5</v>
          </cell>
          <cell r="D1261" t="str">
            <v>red</v>
          </cell>
          <cell r="E1261">
            <v>1</v>
          </cell>
          <cell r="F1261">
            <v>1.02</v>
          </cell>
          <cell r="G1261">
            <v>1</v>
          </cell>
          <cell r="H1261" t="str">
            <v>attack</v>
          </cell>
          <cell r="I1261" t="str">
            <v>攻撃タイプ</v>
          </cell>
          <cell r="J1261">
            <v>1</v>
          </cell>
          <cell r="K1261">
            <v>1.33</v>
          </cell>
          <cell r="L1261">
            <v>1</v>
          </cell>
          <cell r="M1261" t="str">
            <v>god</v>
          </cell>
          <cell r="N1261" t="str">
            <v>ゴッド</v>
          </cell>
          <cell r="O1261">
            <v>0.96</v>
          </cell>
          <cell r="P1261">
            <v>1.02</v>
          </cell>
          <cell r="Q1261">
            <v>1</v>
          </cell>
          <cell r="R1261" t="str">
            <v>Boss</v>
          </cell>
          <cell r="S1261">
            <v>5</v>
          </cell>
          <cell r="T1261">
            <v>1.3</v>
          </cell>
          <cell r="U1261">
            <v>0.8</v>
          </cell>
          <cell r="V1261">
            <v>3</v>
          </cell>
        </row>
        <row r="1262">
          <cell r="A1262">
            <v>1261</v>
          </cell>
          <cell r="B1262" t="str">
            <v>燃雷の鎚撃 トール</v>
          </cell>
          <cell r="C1262">
            <v>6</v>
          </cell>
          <cell r="D1262" t="str">
            <v>red</v>
          </cell>
          <cell r="E1262">
            <v>1</v>
          </cell>
          <cell r="F1262">
            <v>1.02</v>
          </cell>
          <cell r="G1262">
            <v>1</v>
          </cell>
          <cell r="H1262" t="str">
            <v>attack</v>
          </cell>
          <cell r="I1262" t="str">
            <v>攻撃タイプ</v>
          </cell>
          <cell r="J1262">
            <v>1</v>
          </cell>
          <cell r="K1262">
            <v>1.33</v>
          </cell>
          <cell r="L1262">
            <v>1</v>
          </cell>
          <cell r="M1262" t="str">
            <v>god</v>
          </cell>
          <cell r="N1262" t="str">
            <v>ゴッド</v>
          </cell>
          <cell r="O1262">
            <v>0.96</v>
          </cell>
          <cell r="P1262">
            <v>1.02</v>
          </cell>
          <cell r="Q1262">
            <v>1</v>
          </cell>
          <cell r="R1262" t="str">
            <v>Boss</v>
          </cell>
          <cell r="S1262">
            <v>5</v>
          </cell>
          <cell r="T1262">
            <v>1.3</v>
          </cell>
          <cell r="U1262">
            <v>0.8</v>
          </cell>
          <cell r="V1262">
            <v>3</v>
          </cell>
        </row>
        <row r="1263">
          <cell r="A1263">
            <v>1262</v>
          </cell>
          <cell r="B1263" t="str">
            <v>イズン</v>
          </cell>
          <cell r="C1263">
            <v>5</v>
          </cell>
          <cell r="D1263" t="str">
            <v>green</v>
          </cell>
          <cell r="E1263">
            <v>1.02</v>
          </cell>
          <cell r="F1263">
            <v>0.98</v>
          </cell>
          <cell r="G1263">
            <v>1</v>
          </cell>
          <cell r="H1263" t="str">
            <v>attack</v>
          </cell>
          <cell r="I1263" t="str">
            <v>攻撃タイプ</v>
          </cell>
          <cell r="J1263">
            <v>1</v>
          </cell>
          <cell r="K1263">
            <v>1.33</v>
          </cell>
          <cell r="L1263">
            <v>1</v>
          </cell>
          <cell r="M1263" t="str">
            <v>god</v>
          </cell>
          <cell r="N1263" t="str">
            <v>ゴッド</v>
          </cell>
          <cell r="O1263">
            <v>0.96</v>
          </cell>
          <cell r="P1263">
            <v>1.02</v>
          </cell>
          <cell r="Q1263">
            <v>1</v>
          </cell>
          <cell r="R1263" t="str">
            <v>Boss</v>
          </cell>
          <cell r="S1263">
            <v>5</v>
          </cell>
          <cell r="T1263">
            <v>1.3</v>
          </cell>
          <cell r="U1263">
            <v>0.8</v>
          </cell>
          <cell r="V1263">
            <v>3</v>
          </cell>
        </row>
        <row r="1264">
          <cell r="A1264">
            <v>1263</v>
          </cell>
          <cell r="B1264" t="str">
            <v>純朴なる檻理人 イズン</v>
          </cell>
          <cell r="C1264">
            <v>6</v>
          </cell>
          <cell r="D1264" t="str">
            <v>green</v>
          </cell>
          <cell r="E1264">
            <v>1.02</v>
          </cell>
          <cell r="F1264">
            <v>0.98</v>
          </cell>
          <cell r="G1264">
            <v>1</v>
          </cell>
          <cell r="H1264" t="str">
            <v>attack</v>
          </cell>
          <cell r="I1264" t="str">
            <v>攻撃タイプ</v>
          </cell>
          <cell r="J1264">
            <v>1</v>
          </cell>
          <cell r="K1264">
            <v>1.33</v>
          </cell>
          <cell r="L1264">
            <v>1</v>
          </cell>
          <cell r="M1264" t="str">
            <v>god</v>
          </cell>
          <cell r="N1264" t="str">
            <v>ゴッド</v>
          </cell>
          <cell r="O1264">
            <v>0.96</v>
          </cell>
          <cell r="P1264">
            <v>1.02</v>
          </cell>
          <cell r="Q1264">
            <v>1</v>
          </cell>
          <cell r="R1264" t="str">
            <v>Boss</v>
          </cell>
          <cell r="S1264">
            <v>5</v>
          </cell>
          <cell r="T1264">
            <v>1.3</v>
          </cell>
          <cell r="U1264">
            <v>0.8</v>
          </cell>
          <cell r="V1264">
            <v>3</v>
          </cell>
        </row>
        <row r="1265">
          <cell r="A1265">
            <v>1264</v>
          </cell>
          <cell r="B1265" t="str">
            <v>ウルズ</v>
          </cell>
          <cell r="C1265">
            <v>5</v>
          </cell>
          <cell r="D1265" t="str">
            <v>blue</v>
          </cell>
          <cell r="E1265">
            <v>1</v>
          </cell>
          <cell r="F1265">
            <v>0.98</v>
          </cell>
          <cell r="G1265">
            <v>1</v>
          </cell>
          <cell r="H1265" t="str">
            <v>attack</v>
          </cell>
          <cell r="I1265" t="str">
            <v>攻撃タイプ</v>
          </cell>
          <cell r="J1265">
            <v>1</v>
          </cell>
          <cell r="K1265">
            <v>1.33</v>
          </cell>
          <cell r="L1265">
            <v>1</v>
          </cell>
          <cell r="M1265" t="str">
            <v>god</v>
          </cell>
          <cell r="N1265" t="str">
            <v>ゴッド</v>
          </cell>
          <cell r="O1265">
            <v>0.96</v>
          </cell>
          <cell r="P1265">
            <v>1.02</v>
          </cell>
          <cell r="Q1265">
            <v>1</v>
          </cell>
          <cell r="R1265" t="str">
            <v>Boss</v>
          </cell>
          <cell r="S1265">
            <v>5</v>
          </cell>
          <cell r="T1265">
            <v>1.3</v>
          </cell>
          <cell r="U1265">
            <v>0.8</v>
          </cell>
          <cell r="V1265">
            <v>3</v>
          </cell>
        </row>
        <row r="1266">
          <cell r="A1266">
            <v>1265</v>
          </cell>
          <cell r="B1266" t="str">
            <v>静観する世限者 ウルズ</v>
          </cell>
          <cell r="C1266">
            <v>6</v>
          </cell>
          <cell r="D1266" t="str">
            <v>blue</v>
          </cell>
          <cell r="E1266">
            <v>1</v>
          </cell>
          <cell r="F1266">
            <v>0.98</v>
          </cell>
          <cell r="G1266">
            <v>1</v>
          </cell>
          <cell r="H1266" t="str">
            <v>attack</v>
          </cell>
          <cell r="I1266" t="str">
            <v>攻撃タイプ</v>
          </cell>
          <cell r="J1266">
            <v>1</v>
          </cell>
          <cell r="K1266">
            <v>1.33</v>
          </cell>
          <cell r="L1266">
            <v>1</v>
          </cell>
          <cell r="M1266" t="str">
            <v>god</v>
          </cell>
          <cell r="N1266" t="str">
            <v>ゴッド</v>
          </cell>
          <cell r="O1266">
            <v>0.96</v>
          </cell>
          <cell r="P1266">
            <v>1.02</v>
          </cell>
          <cell r="Q1266">
            <v>1</v>
          </cell>
          <cell r="R1266" t="str">
            <v>Boss</v>
          </cell>
          <cell r="S1266">
            <v>5</v>
          </cell>
          <cell r="T1266">
            <v>1.3</v>
          </cell>
          <cell r="U1266">
            <v>0.8</v>
          </cell>
          <cell r="V1266">
            <v>3</v>
          </cell>
        </row>
        <row r="1267">
          <cell r="A1267">
            <v>1266</v>
          </cell>
          <cell r="B1267" t="str">
            <v>ガルム</v>
          </cell>
          <cell r="C1267">
            <v>4</v>
          </cell>
          <cell r="D1267" t="str">
            <v>yellow</v>
          </cell>
          <cell r="E1267">
            <v>0.98</v>
          </cell>
          <cell r="F1267">
            <v>1.01</v>
          </cell>
          <cell r="G1267">
            <v>1</v>
          </cell>
          <cell r="H1267" t="str">
            <v>attack</v>
          </cell>
          <cell r="I1267" t="str">
            <v>攻撃タイプ</v>
          </cell>
          <cell r="J1267">
            <v>1</v>
          </cell>
          <cell r="K1267">
            <v>1.33</v>
          </cell>
          <cell r="L1267">
            <v>1</v>
          </cell>
          <cell r="M1267" t="str">
            <v>god</v>
          </cell>
          <cell r="N1267" t="str">
            <v>ゴッド</v>
          </cell>
          <cell r="O1267">
            <v>0.96</v>
          </cell>
          <cell r="P1267">
            <v>1.02</v>
          </cell>
          <cell r="Q1267">
            <v>1</v>
          </cell>
          <cell r="R1267" t="str">
            <v>Boss</v>
          </cell>
          <cell r="S1267">
            <v>5</v>
          </cell>
          <cell r="T1267">
            <v>1.3</v>
          </cell>
          <cell r="U1267">
            <v>0.8</v>
          </cell>
          <cell r="V1267">
            <v>3</v>
          </cell>
        </row>
        <row r="1268">
          <cell r="A1268">
            <v>1267</v>
          </cell>
          <cell r="B1268" t="str">
            <v>不遜の冥番犬 ガルム</v>
          </cell>
          <cell r="C1268">
            <v>5</v>
          </cell>
          <cell r="D1268" t="str">
            <v>yellow</v>
          </cell>
          <cell r="E1268">
            <v>0.98</v>
          </cell>
          <cell r="F1268">
            <v>1.01</v>
          </cell>
          <cell r="G1268">
            <v>1</v>
          </cell>
          <cell r="H1268" t="str">
            <v>attack</v>
          </cell>
          <cell r="I1268" t="str">
            <v>攻撃タイプ</v>
          </cell>
          <cell r="J1268">
            <v>1</v>
          </cell>
          <cell r="K1268">
            <v>1.33</v>
          </cell>
          <cell r="L1268">
            <v>1</v>
          </cell>
          <cell r="M1268" t="str">
            <v>god</v>
          </cell>
          <cell r="N1268" t="str">
            <v>ゴッド</v>
          </cell>
          <cell r="O1268">
            <v>0.96</v>
          </cell>
          <cell r="P1268">
            <v>1.02</v>
          </cell>
          <cell r="Q1268">
            <v>1</v>
          </cell>
          <cell r="R1268" t="str">
            <v>Boss</v>
          </cell>
          <cell r="S1268">
            <v>5</v>
          </cell>
          <cell r="T1268">
            <v>1.3</v>
          </cell>
          <cell r="U1268">
            <v>0.8</v>
          </cell>
          <cell r="V1268">
            <v>3</v>
          </cell>
        </row>
        <row r="1269">
          <cell r="A1269">
            <v>1268</v>
          </cell>
          <cell r="B1269" t="str">
            <v>コードレッド</v>
          </cell>
          <cell r="C1269">
            <v>6</v>
          </cell>
          <cell r="D1269" t="str">
            <v>red</v>
          </cell>
          <cell r="E1269">
            <v>1</v>
          </cell>
          <cell r="F1269">
            <v>1.02</v>
          </cell>
          <cell r="G1269">
            <v>1</v>
          </cell>
          <cell r="H1269" t="str">
            <v>attack</v>
          </cell>
          <cell r="I1269" t="str">
            <v>攻撃タイプ</v>
          </cell>
          <cell r="J1269">
            <v>1</v>
          </cell>
          <cell r="K1269">
            <v>1.33</v>
          </cell>
          <cell r="L1269">
            <v>1</v>
          </cell>
          <cell r="M1269" t="str">
            <v>queen</v>
          </cell>
          <cell r="N1269" t="str">
            <v>QUEEN</v>
          </cell>
          <cell r="O1269">
            <v>1</v>
          </cell>
          <cell r="P1269">
            <v>1</v>
          </cell>
          <cell r="Q1269">
            <v>1</v>
          </cell>
          <cell r="R1269" t="str">
            <v>Boss</v>
          </cell>
          <cell r="S1269">
            <v>5</v>
          </cell>
          <cell r="T1269">
            <v>1.3</v>
          </cell>
          <cell r="U1269">
            <v>0.8</v>
          </cell>
          <cell r="V1269">
            <v>3</v>
          </cell>
        </row>
        <row r="1270">
          <cell r="A1270">
            <v>1269</v>
          </cell>
          <cell r="B1270" t="str">
            <v>コードレッド</v>
          </cell>
          <cell r="C1270">
            <v>6</v>
          </cell>
          <cell r="D1270" t="str">
            <v>red</v>
          </cell>
          <cell r="E1270">
            <v>1</v>
          </cell>
          <cell r="F1270">
            <v>1.02</v>
          </cell>
          <cell r="G1270">
            <v>1</v>
          </cell>
          <cell r="H1270" t="str">
            <v>attack</v>
          </cell>
          <cell r="I1270" t="str">
            <v>攻撃タイプ</v>
          </cell>
          <cell r="J1270">
            <v>1</v>
          </cell>
          <cell r="K1270">
            <v>1.33</v>
          </cell>
          <cell r="L1270">
            <v>1</v>
          </cell>
          <cell r="M1270" t="str">
            <v>queen</v>
          </cell>
          <cell r="N1270" t="str">
            <v>QUEEN</v>
          </cell>
          <cell r="O1270">
            <v>1</v>
          </cell>
          <cell r="P1270">
            <v>1</v>
          </cell>
          <cell r="Q1270">
            <v>1</v>
          </cell>
          <cell r="R1270" t="str">
            <v>Boss</v>
          </cell>
          <cell r="S1270">
            <v>5</v>
          </cell>
          <cell r="T1270">
            <v>1.3</v>
          </cell>
          <cell r="U1270">
            <v>0.8</v>
          </cell>
          <cell r="V1270">
            <v>3</v>
          </cell>
        </row>
        <row r="1271">
          <cell r="A1271">
            <v>1270</v>
          </cell>
          <cell r="B1271" t="str">
            <v>コードレッド超覚醒</v>
          </cell>
          <cell r="C1271">
            <v>6</v>
          </cell>
          <cell r="D1271" t="str">
            <v>red</v>
          </cell>
          <cell r="E1271">
            <v>1</v>
          </cell>
          <cell r="F1271">
            <v>1.02</v>
          </cell>
          <cell r="G1271">
            <v>1</v>
          </cell>
          <cell r="H1271" t="str">
            <v>attack</v>
          </cell>
          <cell r="I1271" t="str">
            <v>攻撃タイプ</v>
          </cell>
          <cell r="J1271">
            <v>1</v>
          </cell>
          <cell r="K1271">
            <v>1.33</v>
          </cell>
          <cell r="L1271">
            <v>1</v>
          </cell>
          <cell r="M1271" t="str">
            <v>queen</v>
          </cell>
          <cell r="N1271" t="str">
            <v>QUEEN</v>
          </cell>
          <cell r="O1271">
            <v>1</v>
          </cell>
          <cell r="P1271">
            <v>1</v>
          </cell>
          <cell r="Q1271">
            <v>1</v>
          </cell>
          <cell r="R1271" t="str">
            <v>Boss</v>
          </cell>
          <cell r="S1271">
            <v>5</v>
          </cell>
          <cell r="T1271">
            <v>1.3</v>
          </cell>
          <cell r="U1271">
            <v>0.8</v>
          </cell>
          <cell r="V1271">
            <v>3</v>
          </cell>
        </row>
        <row r="1272">
          <cell r="A1272">
            <v>1271</v>
          </cell>
          <cell r="B1272" t="str">
            <v>沖田</v>
          </cell>
          <cell r="C1272">
            <v>6</v>
          </cell>
          <cell r="D1272" t="str">
            <v>blue</v>
          </cell>
          <cell r="E1272">
            <v>1</v>
          </cell>
          <cell r="F1272">
            <v>0.98</v>
          </cell>
          <cell r="G1272">
            <v>1</v>
          </cell>
          <cell r="H1272" t="str">
            <v>attack</v>
          </cell>
          <cell r="I1272" t="str">
            <v>攻撃タイプ</v>
          </cell>
          <cell r="J1272">
            <v>1</v>
          </cell>
          <cell r="K1272">
            <v>1.33</v>
          </cell>
          <cell r="L1272">
            <v>1</v>
          </cell>
          <cell r="M1272" t="str">
            <v>human</v>
          </cell>
          <cell r="N1272" t="str">
            <v>ヒューマン</v>
          </cell>
          <cell r="O1272">
            <v>0.94</v>
          </cell>
          <cell r="P1272">
            <v>0.99</v>
          </cell>
          <cell r="Q1272">
            <v>1</v>
          </cell>
          <cell r="R1272" t="str">
            <v>Boss</v>
          </cell>
          <cell r="S1272">
            <v>5</v>
          </cell>
          <cell r="T1272">
            <v>1.3</v>
          </cell>
          <cell r="U1272">
            <v>0.8</v>
          </cell>
          <cell r="V1272">
            <v>3</v>
          </cell>
        </row>
        <row r="1273">
          <cell r="A1273">
            <v>1272</v>
          </cell>
          <cell r="B1273" t="str">
            <v>親指</v>
          </cell>
          <cell r="C1273">
            <v>6</v>
          </cell>
          <cell r="D1273" t="str">
            <v>red</v>
          </cell>
          <cell r="E1273">
            <v>1</v>
          </cell>
          <cell r="F1273">
            <v>1.02</v>
          </cell>
          <cell r="G1273">
            <v>1</v>
          </cell>
          <cell r="H1273" t="str">
            <v>attack</v>
          </cell>
          <cell r="I1273" t="str">
            <v>攻撃タイプ</v>
          </cell>
          <cell r="J1273">
            <v>1</v>
          </cell>
          <cell r="K1273">
            <v>1.33</v>
          </cell>
          <cell r="L1273">
            <v>1</v>
          </cell>
          <cell r="M1273" t="str">
            <v>human</v>
          </cell>
          <cell r="N1273" t="str">
            <v>ヒューマン</v>
          </cell>
          <cell r="O1273">
            <v>0.94</v>
          </cell>
          <cell r="P1273">
            <v>0.99</v>
          </cell>
          <cell r="Q1273">
            <v>1</v>
          </cell>
          <cell r="R1273" t="str">
            <v>Boss</v>
          </cell>
          <cell r="S1273">
            <v>5</v>
          </cell>
          <cell r="T1273">
            <v>1.3</v>
          </cell>
          <cell r="U1273">
            <v>0.8</v>
          </cell>
          <cell r="V1273">
            <v>3</v>
          </cell>
        </row>
        <row r="1274">
          <cell r="A1274">
            <v>1273</v>
          </cell>
          <cell r="B1274" t="str">
            <v>信長</v>
          </cell>
          <cell r="C1274">
            <v>6</v>
          </cell>
          <cell r="D1274" t="str">
            <v>red</v>
          </cell>
          <cell r="E1274">
            <v>1</v>
          </cell>
          <cell r="F1274">
            <v>1.02</v>
          </cell>
          <cell r="G1274">
            <v>1</v>
          </cell>
          <cell r="H1274" t="str">
            <v>attack</v>
          </cell>
          <cell r="I1274" t="str">
            <v>攻撃タイプ</v>
          </cell>
          <cell r="J1274">
            <v>1</v>
          </cell>
          <cell r="K1274">
            <v>1.33</v>
          </cell>
          <cell r="L1274">
            <v>1</v>
          </cell>
          <cell r="M1274" t="str">
            <v>human</v>
          </cell>
          <cell r="N1274" t="str">
            <v>ヒューマン</v>
          </cell>
          <cell r="O1274">
            <v>0.94</v>
          </cell>
          <cell r="P1274">
            <v>0.99</v>
          </cell>
          <cell r="Q1274">
            <v>1</v>
          </cell>
          <cell r="R1274" t="str">
            <v>Boss</v>
          </cell>
          <cell r="S1274">
            <v>5</v>
          </cell>
          <cell r="T1274">
            <v>1.3</v>
          </cell>
          <cell r="U1274">
            <v>0.8</v>
          </cell>
          <cell r="V1274">
            <v>3</v>
          </cell>
        </row>
        <row r="1275">
          <cell r="A1275">
            <v>1274</v>
          </cell>
          <cell r="B1275" t="str">
            <v>神雪と戯れる聖母 マリア</v>
          </cell>
          <cell r="C1275">
            <v>6</v>
          </cell>
          <cell r="D1275" t="str">
            <v>blue</v>
          </cell>
          <cell r="E1275">
            <v>1</v>
          </cell>
          <cell r="F1275">
            <v>0.98</v>
          </cell>
          <cell r="G1275">
            <v>1</v>
          </cell>
          <cell r="H1275" t="str">
            <v>heal</v>
          </cell>
          <cell r="I1275" t="str">
            <v>回復タイプ</v>
          </cell>
          <cell r="J1275">
            <v>0.8</v>
          </cell>
          <cell r="K1275">
            <v>0.78</v>
          </cell>
          <cell r="L1275">
            <v>1</v>
          </cell>
          <cell r="M1275" t="str">
            <v>human</v>
          </cell>
          <cell r="N1275" t="str">
            <v>ヒューマン</v>
          </cell>
          <cell r="O1275">
            <v>0.94</v>
          </cell>
          <cell r="P1275">
            <v>0.99</v>
          </cell>
          <cell r="Q1275">
            <v>1</v>
          </cell>
          <cell r="R1275" t="str">
            <v>Boss</v>
          </cell>
          <cell r="S1275">
            <v>5</v>
          </cell>
          <cell r="T1275">
            <v>1.3</v>
          </cell>
          <cell r="U1275">
            <v>0.8</v>
          </cell>
          <cell r="V1275">
            <v>3</v>
          </cell>
        </row>
        <row r="1276">
          <cell r="A1276">
            <v>1275</v>
          </cell>
          <cell r="B1276" t="str">
            <v>聖進の贈炎 クリスマス・ベリアル</v>
          </cell>
          <cell r="C1276">
            <v>6</v>
          </cell>
          <cell r="D1276" t="str">
            <v>red</v>
          </cell>
          <cell r="E1276">
            <v>1</v>
          </cell>
          <cell r="F1276">
            <v>1.02</v>
          </cell>
          <cell r="G1276">
            <v>1</v>
          </cell>
          <cell r="H1276" t="str">
            <v>attack</v>
          </cell>
          <cell r="I1276" t="str">
            <v>攻撃タイプ</v>
          </cell>
          <cell r="J1276">
            <v>1</v>
          </cell>
          <cell r="K1276">
            <v>1.33</v>
          </cell>
          <cell r="L1276">
            <v>1</v>
          </cell>
          <cell r="M1276" t="str">
            <v>god</v>
          </cell>
          <cell r="N1276" t="str">
            <v>ゴッド</v>
          </cell>
          <cell r="O1276">
            <v>0.96</v>
          </cell>
          <cell r="P1276">
            <v>1.02</v>
          </cell>
          <cell r="Q1276">
            <v>1</v>
          </cell>
          <cell r="R1276" t="str">
            <v>Boss</v>
          </cell>
          <cell r="S1276">
            <v>5</v>
          </cell>
          <cell r="T1276">
            <v>1.3</v>
          </cell>
          <cell r="U1276">
            <v>0.8</v>
          </cell>
          <cell r="V1276">
            <v>3</v>
          </cell>
        </row>
        <row r="1277">
          <cell r="A1277">
            <v>1276</v>
          </cell>
          <cell r="B1277" t="str">
            <v>聖宴の主彩 サンタクロース・オセ</v>
          </cell>
          <cell r="C1277">
            <v>6</v>
          </cell>
          <cell r="D1277" t="str">
            <v>green</v>
          </cell>
          <cell r="E1277">
            <v>1.02</v>
          </cell>
          <cell r="F1277">
            <v>0.98</v>
          </cell>
          <cell r="G1277">
            <v>1</v>
          </cell>
          <cell r="H1277" t="str">
            <v>attack</v>
          </cell>
          <cell r="I1277" t="str">
            <v>攻撃タイプ</v>
          </cell>
          <cell r="J1277">
            <v>1</v>
          </cell>
          <cell r="K1277">
            <v>1.33</v>
          </cell>
          <cell r="L1277">
            <v>1</v>
          </cell>
          <cell r="M1277" t="str">
            <v>god</v>
          </cell>
          <cell r="N1277" t="str">
            <v>ゴッド</v>
          </cell>
          <cell r="O1277">
            <v>0.96</v>
          </cell>
          <cell r="P1277">
            <v>1.02</v>
          </cell>
          <cell r="Q1277">
            <v>1</v>
          </cell>
          <cell r="R1277" t="str">
            <v>Boss</v>
          </cell>
          <cell r="S1277">
            <v>5</v>
          </cell>
          <cell r="T1277">
            <v>1.3</v>
          </cell>
          <cell r="U1277">
            <v>0.8</v>
          </cell>
          <cell r="V1277">
            <v>3</v>
          </cell>
        </row>
        <row r="1278">
          <cell r="A1278">
            <v>1277</v>
          </cell>
          <cell r="B1278" t="str">
            <v>彩鈴鳴らす聖天使 ミカエル・イヴ</v>
          </cell>
          <cell r="C1278">
            <v>6</v>
          </cell>
          <cell r="D1278" t="str">
            <v>yellow</v>
          </cell>
          <cell r="E1278">
            <v>0.98</v>
          </cell>
          <cell r="F1278">
            <v>1.01</v>
          </cell>
          <cell r="G1278">
            <v>1</v>
          </cell>
          <cell r="H1278" t="str">
            <v>attack</v>
          </cell>
          <cell r="I1278" t="str">
            <v>攻撃タイプ</v>
          </cell>
          <cell r="J1278">
            <v>1</v>
          </cell>
          <cell r="K1278">
            <v>1.33</v>
          </cell>
          <cell r="L1278">
            <v>1</v>
          </cell>
          <cell r="M1278" t="str">
            <v>god</v>
          </cell>
          <cell r="N1278" t="str">
            <v>ゴッド</v>
          </cell>
          <cell r="O1278">
            <v>0.96</v>
          </cell>
          <cell r="P1278">
            <v>1.02</v>
          </cell>
          <cell r="Q1278">
            <v>1</v>
          </cell>
          <cell r="R1278" t="str">
            <v>Boss</v>
          </cell>
          <cell r="S1278">
            <v>5</v>
          </cell>
          <cell r="T1278">
            <v>1.3</v>
          </cell>
          <cell r="U1278">
            <v>0.8</v>
          </cell>
          <cell r="V1278">
            <v>3</v>
          </cell>
        </row>
        <row r="1279">
          <cell r="A1279">
            <v>1278</v>
          </cell>
          <cell r="B1279" t="str">
            <v>ラチカ</v>
          </cell>
          <cell r="C1279">
            <v>5</v>
          </cell>
          <cell r="D1279" t="str">
            <v>yellow</v>
          </cell>
          <cell r="E1279">
            <v>0.98</v>
          </cell>
          <cell r="F1279">
            <v>1.01</v>
          </cell>
          <cell r="G1279">
            <v>1</v>
          </cell>
          <cell r="H1279" t="str">
            <v>hp</v>
          </cell>
          <cell r="I1279" t="str">
            <v>体力タイプ</v>
          </cell>
          <cell r="J1279">
            <v>1.45</v>
          </cell>
          <cell r="K1279">
            <v>0.85</v>
          </cell>
          <cell r="L1279">
            <v>1</v>
          </cell>
          <cell r="M1279" t="str">
            <v>unknown</v>
          </cell>
          <cell r="N1279" t="str">
            <v>Unknown</v>
          </cell>
          <cell r="O1279">
            <v>1</v>
          </cell>
          <cell r="P1279">
            <v>1</v>
          </cell>
          <cell r="Q1279">
            <v>1</v>
          </cell>
          <cell r="R1279" t="str">
            <v>Boss</v>
          </cell>
          <cell r="S1279">
            <v>5</v>
          </cell>
          <cell r="T1279">
            <v>1.3</v>
          </cell>
          <cell r="U1279">
            <v>0.8</v>
          </cell>
          <cell r="V1279">
            <v>3</v>
          </cell>
        </row>
        <row r="1280">
          <cell r="A1280">
            <v>1279</v>
          </cell>
          <cell r="B1280" t="str">
            <v>霜聖の雪姫 ラチカ</v>
          </cell>
          <cell r="C1280">
            <v>6</v>
          </cell>
          <cell r="D1280" t="str">
            <v>yellow</v>
          </cell>
          <cell r="E1280">
            <v>0.98</v>
          </cell>
          <cell r="F1280">
            <v>1.01</v>
          </cell>
          <cell r="G1280">
            <v>1</v>
          </cell>
          <cell r="H1280" t="str">
            <v>hp</v>
          </cell>
          <cell r="I1280" t="str">
            <v>体力タイプ</v>
          </cell>
          <cell r="J1280">
            <v>1.45</v>
          </cell>
          <cell r="K1280">
            <v>0.85</v>
          </cell>
          <cell r="L1280">
            <v>1</v>
          </cell>
          <cell r="M1280" t="str">
            <v>unknown</v>
          </cell>
          <cell r="N1280" t="str">
            <v>Unknown</v>
          </cell>
          <cell r="O1280">
            <v>1</v>
          </cell>
          <cell r="P1280">
            <v>1</v>
          </cell>
          <cell r="Q1280">
            <v>1</v>
          </cell>
          <cell r="R1280" t="str">
            <v>Boss</v>
          </cell>
          <cell r="S1280">
            <v>5</v>
          </cell>
          <cell r="T1280">
            <v>1.3</v>
          </cell>
          <cell r="U1280">
            <v>0.8</v>
          </cell>
          <cell r="V1280">
            <v>3</v>
          </cell>
        </row>
        <row r="1281">
          <cell r="A1281">
            <v>1280</v>
          </cell>
          <cell r="B1281" t="str">
            <v>聖装の始祖帝 クリスマス卑弥呼</v>
          </cell>
          <cell r="C1281">
            <v>5</v>
          </cell>
          <cell r="D1281" t="str">
            <v>blue</v>
          </cell>
          <cell r="E1281">
            <v>1</v>
          </cell>
          <cell r="F1281">
            <v>0.98</v>
          </cell>
          <cell r="G1281">
            <v>1</v>
          </cell>
          <cell r="H1281" t="str">
            <v>balance</v>
          </cell>
          <cell r="I1281" t="str">
            <v>バランスタイプ</v>
          </cell>
          <cell r="J1281">
            <v>1</v>
          </cell>
          <cell r="K1281">
            <v>1</v>
          </cell>
          <cell r="L1281">
            <v>1</v>
          </cell>
          <cell r="M1281" t="str">
            <v>human</v>
          </cell>
          <cell r="N1281" t="str">
            <v>ヒューマン</v>
          </cell>
          <cell r="O1281">
            <v>0.94</v>
          </cell>
          <cell r="P1281">
            <v>0.99</v>
          </cell>
          <cell r="Q1281">
            <v>1</v>
          </cell>
          <cell r="R1281" t="str">
            <v>Boss</v>
          </cell>
          <cell r="S1281">
            <v>5</v>
          </cell>
          <cell r="T1281">
            <v>1.3</v>
          </cell>
          <cell r="U1281">
            <v>0.8</v>
          </cell>
          <cell r="V1281">
            <v>3</v>
          </cell>
        </row>
        <row r="1282">
          <cell r="A1282">
            <v>1281</v>
          </cell>
          <cell r="B1282" t="str">
            <v>愛贈の白魔 ノエル・エスタブ</v>
          </cell>
          <cell r="C1282">
            <v>5</v>
          </cell>
          <cell r="D1282" t="str">
            <v>green</v>
          </cell>
          <cell r="E1282">
            <v>1.02</v>
          </cell>
          <cell r="F1282">
            <v>0.98</v>
          </cell>
          <cell r="G1282">
            <v>1</v>
          </cell>
          <cell r="H1282" t="str">
            <v>attack</v>
          </cell>
          <cell r="I1282" t="str">
            <v>攻撃タイプ</v>
          </cell>
          <cell r="J1282">
            <v>1</v>
          </cell>
          <cell r="K1282">
            <v>1.33</v>
          </cell>
          <cell r="L1282">
            <v>1</v>
          </cell>
          <cell r="M1282" t="str">
            <v>human</v>
          </cell>
          <cell r="N1282" t="str">
            <v>ヒューマン</v>
          </cell>
          <cell r="O1282">
            <v>0.94</v>
          </cell>
          <cell r="P1282">
            <v>0.99</v>
          </cell>
          <cell r="Q1282">
            <v>1</v>
          </cell>
          <cell r="R1282" t="str">
            <v>Boss</v>
          </cell>
          <cell r="S1282">
            <v>5</v>
          </cell>
          <cell r="T1282">
            <v>1.3</v>
          </cell>
          <cell r="U1282">
            <v>0.8</v>
          </cell>
          <cell r="V1282">
            <v>3</v>
          </cell>
        </row>
        <row r="1283">
          <cell r="A1283">
            <v>1282</v>
          </cell>
          <cell r="B1283" t="str">
            <v>ポーラとダニー</v>
          </cell>
          <cell r="C1283">
            <v>5</v>
          </cell>
          <cell r="D1283" t="str">
            <v>red</v>
          </cell>
          <cell r="E1283">
            <v>1</v>
          </cell>
          <cell r="F1283">
            <v>1.02</v>
          </cell>
          <cell r="G1283">
            <v>1</v>
          </cell>
          <cell r="H1283" t="str">
            <v>technical</v>
          </cell>
          <cell r="I1283" t="str">
            <v>テクニカルタイプ</v>
          </cell>
          <cell r="J1283">
            <v>0.9</v>
          </cell>
          <cell r="K1283">
            <v>0.9</v>
          </cell>
          <cell r="L1283">
            <v>1</v>
          </cell>
          <cell r="M1283" t="str">
            <v>unknown</v>
          </cell>
          <cell r="N1283" t="str">
            <v>Unknown</v>
          </cell>
          <cell r="O1283">
            <v>1</v>
          </cell>
          <cell r="P1283">
            <v>1</v>
          </cell>
          <cell r="Q1283">
            <v>1</v>
          </cell>
          <cell r="R1283" t="str">
            <v>Boss</v>
          </cell>
          <cell r="S1283">
            <v>5</v>
          </cell>
          <cell r="T1283">
            <v>1.3</v>
          </cell>
          <cell r="U1283">
            <v>0.8</v>
          </cell>
          <cell r="V1283">
            <v>3</v>
          </cell>
        </row>
        <row r="1284">
          <cell r="A1284">
            <v>1283</v>
          </cell>
          <cell r="B1284" t="str">
            <v>連極の機関砲 ポーラとダニー</v>
          </cell>
          <cell r="C1284">
            <v>6</v>
          </cell>
          <cell r="D1284" t="str">
            <v>red</v>
          </cell>
          <cell r="E1284">
            <v>1</v>
          </cell>
          <cell r="F1284">
            <v>1.02</v>
          </cell>
          <cell r="G1284">
            <v>1</v>
          </cell>
          <cell r="H1284" t="str">
            <v>technical</v>
          </cell>
          <cell r="I1284" t="str">
            <v>テクニカルタイプ</v>
          </cell>
          <cell r="J1284">
            <v>0.9</v>
          </cell>
          <cell r="K1284">
            <v>0.9</v>
          </cell>
          <cell r="L1284">
            <v>1</v>
          </cell>
          <cell r="M1284" t="str">
            <v>unknown</v>
          </cell>
          <cell r="N1284" t="str">
            <v>Unknown</v>
          </cell>
          <cell r="O1284">
            <v>1</v>
          </cell>
          <cell r="P1284">
            <v>1</v>
          </cell>
          <cell r="Q1284">
            <v>1</v>
          </cell>
          <cell r="R1284" t="str">
            <v>Boss</v>
          </cell>
          <cell r="S1284">
            <v>5</v>
          </cell>
          <cell r="T1284">
            <v>1.3</v>
          </cell>
          <cell r="U1284">
            <v>0.8</v>
          </cell>
          <cell r="V1284">
            <v>3</v>
          </cell>
        </row>
        <row r="1285">
          <cell r="A1285">
            <v>1284</v>
          </cell>
          <cell r="B1285" t="str">
            <v>マシン・シュプール</v>
          </cell>
          <cell r="C1285">
            <v>5</v>
          </cell>
          <cell r="D1285" t="str">
            <v>blue</v>
          </cell>
          <cell r="E1285">
            <v>1</v>
          </cell>
          <cell r="F1285">
            <v>0.98</v>
          </cell>
          <cell r="G1285">
            <v>1</v>
          </cell>
          <cell r="H1285" t="str">
            <v>hp</v>
          </cell>
          <cell r="I1285" t="str">
            <v>体力タイプ</v>
          </cell>
          <cell r="J1285">
            <v>1.45</v>
          </cell>
          <cell r="K1285">
            <v>0.85</v>
          </cell>
          <cell r="L1285">
            <v>1</v>
          </cell>
          <cell r="M1285" t="str">
            <v>unknown</v>
          </cell>
          <cell r="N1285" t="str">
            <v>Unknown</v>
          </cell>
          <cell r="O1285">
            <v>1</v>
          </cell>
          <cell r="P1285">
            <v>1</v>
          </cell>
          <cell r="Q1285">
            <v>1</v>
          </cell>
          <cell r="R1285" t="str">
            <v>Boss</v>
          </cell>
          <cell r="S1285">
            <v>5</v>
          </cell>
          <cell r="T1285">
            <v>1.3</v>
          </cell>
          <cell r="U1285">
            <v>0.8</v>
          </cell>
          <cell r="V1285">
            <v>3</v>
          </cell>
        </row>
        <row r="1286">
          <cell r="A1286">
            <v>1285</v>
          </cell>
          <cell r="B1286" t="str">
            <v>災氷の魔導 シュプール</v>
          </cell>
          <cell r="C1286">
            <v>6</v>
          </cell>
          <cell r="D1286" t="str">
            <v>blue</v>
          </cell>
          <cell r="E1286">
            <v>1</v>
          </cell>
          <cell r="F1286">
            <v>0.98</v>
          </cell>
          <cell r="G1286">
            <v>1</v>
          </cell>
          <cell r="H1286" t="str">
            <v>hp</v>
          </cell>
          <cell r="I1286" t="str">
            <v>体力タイプ</v>
          </cell>
          <cell r="J1286">
            <v>1.45</v>
          </cell>
          <cell r="K1286">
            <v>0.85</v>
          </cell>
          <cell r="L1286">
            <v>1</v>
          </cell>
          <cell r="M1286" t="str">
            <v>unknown</v>
          </cell>
          <cell r="N1286" t="str">
            <v>Unknown</v>
          </cell>
          <cell r="O1286">
            <v>1</v>
          </cell>
          <cell r="P1286">
            <v>1</v>
          </cell>
          <cell r="Q1286">
            <v>1</v>
          </cell>
          <cell r="R1286" t="str">
            <v>Boss</v>
          </cell>
          <cell r="S1286">
            <v>5</v>
          </cell>
          <cell r="T1286">
            <v>1.3</v>
          </cell>
          <cell r="U1286">
            <v>0.8</v>
          </cell>
          <cell r="V1286">
            <v>3</v>
          </cell>
        </row>
        <row r="1287">
          <cell r="A1287">
            <v>1286</v>
          </cell>
          <cell r="B1287" t="str">
            <v>ニコラ</v>
          </cell>
          <cell r="C1287">
            <v>5</v>
          </cell>
          <cell r="D1287" t="str">
            <v>yellow</v>
          </cell>
          <cell r="E1287">
            <v>0.98</v>
          </cell>
          <cell r="F1287">
            <v>1.01</v>
          </cell>
          <cell r="G1287">
            <v>1</v>
          </cell>
          <cell r="H1287" t="str">
            <v>hp</v>
          </cell>
          <cell r="I1287" t="str">
            <v>体力タイプ</v>
          </cell>
          <cell r="J1287">
            <v>1.45</v>
          </cell>
          <cell r="K1287">
            <v>0.85</v>
          </cell>
          <cell r="L1287">
            <v>1</v>
          </cell>
          <cell r="M1287" t="str">
            <v>human</v>
          </cell>
          <cell r="N1287" t="str">
            <v>ヒューマン</v>
          </cell>
          <cell r="O1287">
            <v>0.94</v>
          </cell>
          <cell r="P1287">
            <v>0.99</v>
          </cell>
          <cell r="Q1287">
            <v>1</v>
          </cell>
          <cell r="R1287" t="str">
            <v>Boss</v>
          </cell>
          <cell r="S1287">
            <v>5</v>
          </cell>
          <cell r="T1287">
            <v>1.3</v>
          </cell>
          <cell r="U1287">
            <v>0.8</v>
          </cell>
          <cell r="V1287">
            <v>3</v>
          </cell>
        </row>
        <row r="1288">
          <cell r="A1288">
            <v>1287</v>
          </cell>
          <cell r="B1288" t="str">
            <v>奇蹟呼ぶ聖砲 ニコラ</v>
          </cell>
          <cell r="C1288">
            <v>6</v>
          </cell>
          <cell r="D1288" t="str">
            <v>yellow</v>
          </cell>
          <cell r="E1288">
            <v>0.98</v>
          </cell>
          <cell r="F1288">
            <v>1.01</v>
          </cell>
          <cell r="G1288">
            <v>1</v>
          </cell>
          <cell r="H1288" t="str">
            <v>hp</v>
          </cell>
          <cell r="I1288" t="str">
            <v>体力タイプ</v>
          </cell>
          <cell r="J1288">
            <v>1.45</v>
          </cell>
          <cell r="K1288">
            <v>0.85</v>
          </cell>
          <cell r="L1288">
            <v>1</v>
          </cell>
          <cell r="M1288" t="str">
            <v>human</v>
          </cell>
          <cell r="N1288" t="str">
            <v>ヒューマン</v>
          </cell>
          <cell r="O1288">
            <v>0.94</v>
          </cell>
          <cell r="P1288">
            <v>0.99</v>
          </cell>
          <cell r="Q1288">
            <v>1</v>
          </cell>
          <cell r="R1288" t="str">
            <v>Boss</v>
          </cell>
          <cell r="S1288">
            <v>5</v>
          </cell>
          <cell r="T1288">
            <v>1.3</v>
          </cell>
          <cell r="U1288">
            <v>0.8</v>
          </cell>
          <cell r="V1288">
            <v>3</v>
          </cell>
        </row>
        <row r="1289">
          <cell r="A1289">
            <v>1288</v>
          </cell>
          <cell r="B1289" t="str">
            <v>聖伝の大主教 セント・ニコラ</v>
          </cell>
          <cell r="C1289">
            <v>6</v>
          </cell>
          <cell r="D1289" t="str">
            <v>yellow</v>
          </cell>
          <cell r="E1289">
            <v>0.98</v>
          </cell>
          <cell r="F1289">
            <v>1.01</v>
          </cell>
          <cell r="G1289">
            <v>1</v>
          </cell>
          <cell r="H1289" t="str">
            <v>hp</v>
          </cell>
          <cell r="I1289" t="str">
            <v>体力タイプ</v>
          </cell>
          <cell r="J1289">
            <v>1.45</v>
          </cell>
          <cell r="K1289">
            <v>0.85</v>
          </cell>
          <cell r="L1289">
            <v>1</v>
          </cell>
          <cell r="M1289" t="str">
            <v>human</v>
          </cell>
          <cell r="N1289" t="str">
            <v>ヒューマン</v>
          </cell>
          <cell r="O1289">
            <v>0.94</v>
          </cell>
          <cell r="P1289">
            <v>0.99</v>
          </cell>
          <cell r="Q1289">
            <v>1</v>
          </cell>
          <cell r="R1289" t="str">
            <v>Boss</v>
          </cell>
          <cell r="S1289">
            <v>5</v>
          </cell>
          <cell r="T1289">
            <v>1.3</v>
          </cell>
          <cell r="U1289">
            <v>0.8</v>
          </cell>
          <cell r="V1289">
            <v>3</v>
          </cell>
        </row>
        <row r="1290">
          <cell r="A1290">
            <v>1289</v>
          </cell>
          <cell r="B1290" t="str">
            <v>聖封の褒装 ベルベット</v>
          </cell>
          <cell r="C1290">
            <v>6</v>
          </cell>
          <cell r="D1290" t="str">
            <v>blue</v>
          </cell>
          <cell r="E1290">
            <v>1</v>
          </cell>
          <cell r="F1290">
            <v>0.98</v>
          </cell>
          <cell r="G1290">
            <v>1</v>
          </cell>
          <cell r="H1290" t="str">
            <v>heal</v>
          </cell>
          <cell r="I1290" t="str">
            <v>回復タイプ</v>
          </cell>
          <cell r="J1290">
            <v>0.8</v>
          </cell>
          <cell r="K1290">
            <v>0.78</v>
          </cell>
          <cell r="L1290">
            <v>1</v>
          </cell>
          <cell r="M1290" t="str">
            <v>unknown</v>
          </cell>
          <cell r="N1290" t="str">
            <v>Unknown</v>
          </cell>
          <cell r="O1290">
            <v>1</v>
          </cell>
          <cell r="P1290">
            <v>1</v>
          </cell>
          <cell r="Q1290">
            <v>1</v>
          </cell>
          <cell r="R1290" t="str">
            <v>Boss</v>
          </cell>
          <cell r="S1290">
            <v>5</v>
          </cell>
          <cell r="T1290">
            <v>1.3</v>
          </cell>
          <cell r="U1290">
            <v>0.8</v>
          </cell>
          <cell r="V1290">
            <v>3</v>
          </cell>
        </row>
        <row r="1291">
          <cell r="A1291">
            <v>1290</v>
          </cell>
          <cell r="B1291" t="str">
            <v>想飾の響鐘 リンジー</v>
          </cell>
          <cell r="C1291">
            <v>6</v>
          </cell>
          <cell r="D1291" t="str">
            <v>blue</v>
          </cell>
          <cell r="E1291">
            <v>1</v>
          </cell>
          <cell r="F1291">
            <v>0.98</v>
          </cell>
          <cell r="G1291">
            <v>1</v>
          </cell>
          <cell r="H1291" t="str">
            <v>hp</v>
          </cell>
          <cell r="I1291" t="str">
            <v>体力タイプ</v>
          </cell>
          <cell r="J1291">
            <v>1.45</v>
          </cell>
          <cell r="K1291">
            <v>0.85</v>
          </cell>
          <cell r="L1291">
            <v>1</v>
          </cell>
          <cell r="M1291" t="str">
            <v>unknown</v>
          </cell>
          <cell r="N1291" t="str">
            <v>Unknown</v>
          </cell>
          <cell r="O1291">
            <v>1</v>
          </cell>
          <cell r="P1291">
            <v>1</v>
          </cell>
          <cell r="Q1291">
            <v>1</v>
          </cell>
          <cell r="R1291" t="str">
            <v>Boss</v>
          </cell>
          <cell r="S1291">
            <v>5</v>
          </cell>
          <cell r="T1291">
            <v>1.3</v>
          </cell>
          <cell r="U1291">
            <v>0.8</v>
          </cell>
          <cell r="V1291">
            <v>3</v>
          </cell>
        </row>
        <row r="1292">
          <cell r="A1292">
            <v>1291</v>
          </cell>
          <cell r="B1292" t="str">
            <v>望雅の煌明鹿剣 勘兵衛</v>
          </cell>
          <cell r="C1292">
            <v>5</v>
          </cell>
          <cell r="D1292" t="str">
            <v>yellow</v>
          </cell>
          <cell r="E1292">
            <v>0.98</v>
          </cell>
          <cell r="F1292">
            <v>1.01</v>
          </cell>
          <cell r="G1292">
            <v>1</v>
          </cell>
          <cell r="H1292" t="str">
            <v>technical</v>
          </cell>
          <cell r="I1292" t="str">
            <v>テクニカルタイプ</v>
          </cell>
          <cell r="J1292">
            <v>0.9</v>
          </cell>
          <cell r="K1292">
            <v>0.9</v>
          </cell>
          <cell r="L1292">
            <v>1</v>
          </cell>
          <cell r="M1292" t="str">
            <v>animal</v>
          </cell>
          <cell r="N1292" t="str">
            <v>アニマル</v>
          </cell>
          <cell r="O1292">
            <v>1</v>
          </cell>
          <cell r="P1292">
            <v>1.1000000000000001</v>
          </cell>
          <cell r="Q1292">
            <v>1</v>
          </cell>
          <cell r="R1292" t="str">
            <v>Boss</v>
          </cell>
          <cell r="S1292">
            <v>5</v>
          </cell>
          <cell r="T1292">
            <v>1.3</v>
          </cell>
          <cell r="U1292">
            <v>0.8</v>
          </cell>
          <cell r="V1292">
            <v>3</v>
          </cell>
        </row>
        <row r="1293">
          <cell r="A1293">
            <v>1292</v>
          </cell>
          <cell r="B1293" t="str">
            <v>風光明媚の雅鹿剣 勘兵衛</v>
          </cell>
          <cell r="C1293">
            <v>6</v>
          </cell>
          <cell r="D1293" t="str">
            <v>yellow</v>
          </cell>
          <cell r="E1293">
            <v>0.98</v>
          </cell>
          <cell r="F1293">
            <v>1.01</v>
          </cell>
          <cell r="G1293">
            <v>1</v>
          </cell>
          <cell r="H1293" t="str">
            <v>technical</v>
          </cell>
          <cell r="I1293" t="str">
            <v>テクニカルタイプ</v>
          </cell>
          <cell r="J1293">
            <v>0.9</v>
          </cell>
          <cell r="K1293">
            <v>0.9</v>
          </cell>
          <cell r="L1293">
            <v>1</v>
          </cell>
          <cell r="M1293" t="str">
            <v>animal</v>
          </cell>
          <cell r="N1293" t="str">
            <v>アニマル</v>
          </cell>
          <cell r="O1293">
            <v>1</v>
          </cell>
          <cell r="P1293">
            <v>1.1000000000000001</v>
          </cell>
          <cell r="Q1293">
            <v>1</v>
          </cell>
          <cell r="R1293" t="str">
            <v>Boss</v>
          </cell>
          <cell r="S1293">
            <v>5</v>
          </cell>
          <cell r="T1293">
            <v>1.3</v>
          </cell>
          <cell r="U1293">
            <v>0.8</v>
          </cell>
          <cell r="V1293">
            <v>3</v>
          </cell>
        </row>
        <row r="1294">
          <cell r="A1294">
            <v>1293</v>
          </cell>
          <cell r="B1294" t="str">
            <v>トトリ</v>
          </cell>
          <cell r="C1294">
            <v>5</v>
          </cell>
          <cell r="D1294" t="str">
            <v>red</v>
          </cell>
          <cell r="E1294">
            <v>1</v>
          </cell>
          <cell r="F1294">
            <v>1.02</v>
          </cell>
          <cell r="G1294">
            <v>1</v>
          </cell>
          <cell r="H1294" t="str">
            <v>attack</v>
          </cell>
          <cell r="I1294" t="str">
            <v>攻撃タイプ</v>
          </cell>
          <cell r="J1294">
            <v>1</v>
          </cell>
          <cell r="K1294">
            <v>1.33</v>
          </cell>
          <cell r="L1294">
            <v>1</v>
          </cell>
          <cell r="M1294" t="str">
            <v>human</v>
          </cell>
          <cell r="N1294" t="str">
            <v>ヒューマン</v>
          </cell>
          <cell r="O1294">
            <v>0.94</v>
          </cell>
          <cell r="P1294">
            <v>0.99</v>
          </cell>
          <cell r="Q1294">
            <v>1</v>
          </cell>
          <cell r="R1294" t="str">
            <v>Boss</v>
          </cell>
          <cell r="S1294">
            <v>5</v>
          </cell>
          <cell r="T1294">
            <v>1.3</v>
          </cell>
          <cell r="U1294">
            <v>0.8</v>
          </cell>
          <cell r="V1294">
            <v>3</v>
          </cell>
        </row>
        <row r="1295">
          <cell r="A1295">
            <v>1294</v>
          </cell>
          <cell r="B1295" t="str">
            <v>酉賀なる初飛翔 トトリ</v>
          </cell>
          <cell r="C1295">
            <v>6</v>
          </cell>
          <cell r="D1295" t="str">
            <v>red</v>
          </cell>
          <cell r="E1295">
            <v>1</v>
          </cell>
          <cell r="F1295">
            <v>1.02</v>
          </cell>
          <cell r="G1295">
            <v>1</v>
          </cell>
          <cell r="H1295" t="str">
            <v>attack</v>
          </cell>
          <cell r="I1295" t="str">
            <v>攻撃タイプ</v>
          </cell>
          <cell r="J1295">
            <v>1</v>
          </cell>
          <cell r="K1295">
            <v>1.33</v>
          </cell>
          <cell r="L1295">
            <v>1</v>
          </cell>
          <cell r="M1295" t="str">
            <v>human</v>
          </cell>
          <cell r="N1295" t="str">
            <v>ヒューマン</v>
          </cell>
          <cell r="O1295">
            <v>0.94</v>
          </cell>
          <cell r="P1295">
            <v>0.99</v>
          </cell>
          <cell r="Q1295">
            <v>1</v>
          </cell>
          <cell r="R1295" t="str">
            <v>Boss</v>
          </cell>
          <cell r="S1295">
            <v>5</v>
          </cell>
          <cell r="T1295">
            <v>1.3</v>
          </cell>
          <cell r="U1295">
            <v>0.8</v>
          </cell>
          <cell r="V1295">
            <v>3</v>
          </cell>
        </row>
        <row r="1296">
          <cell r="A1296">
            <v>1297</v>
          </cell>
          <cell r="B1296" t="str">
            <v>雪ミク2017</v>
          </cell>
          <cell r="C1296">
            <v>5</v>
          </cell>
          <cell r="D1296" t="str">
            <v>green</v>
          </cell>
          <cell r="E1296">
            <v>1.02</v>
          </cell>
          <cell r="F1296">
            <v>0.98</v>
          </cell>
          <cell r="G1296">
            <v>1</v>
          </cell>
          <cell r="H1296" t="str">
            <v>heal</v>
          </cell>
          <cell r="I1296" t="str">
            <v>回復タイプ</v>
          </cell>
          <cell r="J1296">
            <v>0.8</v>
          </cell>
          <cell r="K1296">
            <v>0.78</v>
          </cell>
          <cell r="L1296">
            <v>1</v>
          </cell>
          <cell r="M1296" t="str">
            <v>unknown</v>
          </cell>
          <cell r="N1296" t="str">
            <v>Unknown</v>
          </cell>
          <cell r="O1296">
            <v>1</v>
          </cell>
          <cell r="P1296">
            <v>1</v>
          </cell>
          <cell r="Q1296">
            <v>1</v>
          </cell>
          <cell r="R1296" t="str">
            <v>Boss</v>
          </cell>
          <cell r="S1296">
            <v>5</v>
          </cell>
          <cell r="T1296">
            <v>1.3</v>
          </cell>
          <cell r="U1296">
            <v>0.8</v>
          </cell>
          <cell r="V1296">
            <v>3</v>
          </cell>
        </row>
        <row r="1297">
          <cell r="A1297">
            <v>1298</v>
          </cell>
          <cell r="B1297" t="str">
            <v>星空の歌姫 雪ミク2017</v>
          </cell>
          <cell r="C1297">
            <v>6</v>
          </cell>
          <cell r="D1297" t="str">
            <v>green</v>
          </cell>
          <cell r="E1297">
            <v>1.02</v>
          </cell>
          <cell r="F1297">
            <v>0.98</v>
          </cell>
          <cell r="G1297">
            <v>1</v>
          </cell>
          <cell r="H1297" t="str">
            <v>heal</v>
          </cell>
          <cell r="I1297" t="str">
            <v>回復タイプ</v>
          </cell>
          <cell r="J1297">
            <v>0.8</v>
          </cell>
          <cell r="K1297">
            <v>0.78</v>
          </cell>
          <cell r="L1297">
            <v>1</v>
          </cell>
          <cell r="M1297" t="str">
            <v>unknown</v>
          </cell>
          <cell r="N1297" t="str">
            <v>Unknown</v>
          </cell>
          <cell r="O1297">
            <v>1</v>
          </cell>
          <cell r="P1297">
            <v>1</v>
          </cell>
          <cell r="Q1297">
            <v>1</v>
          </cell>
          <cell r="R1297" t="str">
            <v>Boss</v>
          </cell>
          <cell r="S1297">
            <v>5</v>
          </cell>
          <cell r="T1297">
            <v>1.3</v>
          </cell>
          <cell r="U1297">
            <v>0.8</v>
          </cell>
          <cell r="V1297">
            <v>3</v>
          </cell>
        </row>
        <row r="1298">
          <cell r="A1298">
            <v>1299</v>
          </cell>
          <cell r="B1298" t="str">
            <v>覚世の楽聖姫 初音ミクV3</v>
          </cell>
          <cell r="C1298">
            <v>6</v>
          </cell>
          <cell r="D1298" t="str">
            <v>yellow</v>
          </cell>
          <cell r="E1298">
            <v>0.98</v>
          </cell>
          <cell r="F1298">
            <v>1.01</v>
          </cell>
          <cell r="G1298">
            <v>1</v>
          </cell>
          <cell r="H1298" t="str">
            <v>balance</v>
          </cell>
          <cell r="I1298" t="str">
            <v>バランスタイプ</v>
          </cell>
          <cell r="J1298">
            <v>1</v>
          </cell>
          <cell r="K1298">
            <v>1</v>
          </cell>
          <cell r="L1298">
            <v>1</v>
          </cell>
          <cell r="M1298" t="str">
            <v>unknown</v>
          </cell>
          <cell r="N1298" t="str">
            <v>Unknown</v>
          </cell>
          <cell r="O1298">
            <v>1</v>
          </cell>
          <cell r="P1298">
            <v>1</v>
          </cell>
          <cell r="Q1298">
            <v>1</v>
          </cell>
          <cell r="R1298" t="str">
            <v>Boss</v>
          </cell>
          <cell r="S1298">
            <v>5</v>
          </cell>
          <cell r="T1298">
            <v>1.3</v>
          </cell>
          <cell r="U1298">
            <v>0.8</v>
          </cell>
          <cell r="V1298">
            <v>3</v>
          </cell>
        </row>
        <row r="1299">
          <cell r="A1299">
            <v>1300</v>
          </cell>
          <cell r="B1299" t="str">
            <v>歌装の彩唱 紫式部</v>
          </cell>
          <cell r="C1299">
            <v>5</v>
          </cell>
          <cell r="D1299" t="str">
            <v>green</v>
          </cell>
          <cell r="E1299">
            <v>1.02</v>
          </cell>
          <cell r="F1299">
            <v>0.98</v>
          </cell>
          <cell r="G1299">
            <v>1</v>
          </cell>
          <cell r="H1299" t="str">
            <v>technical</v>
          </cell>
          <cell r="I1299" t="str">
            <v>テクニカルタイプ</v>
          </cell>
          <cell r="J1299">
            <v>0.9</v>
          </cell>
          <cell r="K1299">
            <v>0.9</v>
          </cell>
          <cell r="L1299">
            <v>1</v>
          </cell>
          <cell r="M1299" t="str">
            <v>unknown</v>
          </cell>
          <cell r="N1299" t="str">
            <v>Unknown</v>
          </cell>
          <cell r="O1299">
            <v>1</v>
          </cell>
          <cell r="P1299">
            <v>1</v>
          </cell>
          <cell r="Q1299">
            <v>1</v>
          </cell>
          <cell r="R1299" t="str">
            <v>Boss</v>
          </cell>
          <cell r="S1299">
            <v>5</v>
          </cell>
          <cell r="T1299">
            <v>1.3</v>
          </cell>
          <cell r="U1299">
            <v>0.8</v>
          </cell>
          <cell r="V1299">
            <v>3</v>
          </cell>
        </row>
        <row r="1300">
          <cell r="A1300">
            <v>1301</v>
          </cell>
          <cell r="B1300" t="str">
            <v>歌装の萌響女 紫式部</v>
          </cell>
          <cell r="C1300">
            <v>6</v>
          </cell>
          <cell r="D1300" t="str">
            <v>green</v>
          </cell>
          <cell r="E1300">
            <v>1.02</v>
          </cell>
          <cell r="F1300">
            <v>0.98</v>
          </cell>
          <cell r="G1300">
            <v>1</v>
          </cell>
          <cell r="H1300" t="str">
            <v>technical</v>
          </cell>
          <cell r="I1300" t="str">
            <v>テクニカルタイプ</v>
          </cell>
          <cell r="J1300">
            <v>0.9</v>
          </cell>
          <cell r="K1300">
            <v>0.9</v>
          </cell>
          <cell r="L1300">
            <v>1</v>
          </cell>
          <cell r="M1300" t="str">
            <v>unknown</v>
          </cell>
          <cell r="N1300" t="str">
            <v>Unknown</v>
          </cell>
          <cell r="O1300">
            <v>1</v>
          </cell>
          <cell r="P1300">
            <v>1</v>
          </cell>
          <cell r="Q1300">
            <v>1</v>
          </cell>
          <cell r="R1300" t="str">
            <v>Boss</v>
          </cell>
          <cell r="S1300">
            <v>5</v>
          </cell>
          <cell r="T1300">
            <v>1.3</v>
          </cell>
          <cell r="U1300">
            <v>0.8</v>
          </cell>
          <cell r="V1300">
            <v>3</v>
          </cell>
        </row>
        <row r="1301">
          <cell r="A1301">
            <v>1302</v>
          </cell>
          <cell r="B1301" t="str">
            <v>超天突符 イナバ</v>
          </cell>
          <cell r="C1301">
            <v>5</v>
          </cell>
          <cell r="D1301" t="str">
            <v>yellow</v>
          </cell>
          <cell r="E1301">
            <v>0.98</v>
          </cell>
          <cell r="F1301">
            <v>1.01</v>
          </cell>
          <cell r="G1301">
            <v>1</v>
          </cell>
          <cell r="H1301" t="str">
            <v>balance</v>
          </cell>
          <cell r="I1301" t="str">
            <v>バランスタイプ</v>
          </cell>
          <cell r="J1301">
            <v>1</v>
          </cell>
          <cell r="K1301">
            <v>1</v>
          </cell>
          <cell r="L1301">
            <v>1</v>
          </cell>
          <cell r="M1301" t="str">
            <v>unknown</v>
          </cell>
          <cell r="N1301" t="str">
            <v>Unknown</v>
          </cell>
          <cell r="O1301">
            <v>1</v>
          </cell>
          <cell r="P1301">
            <v>1</v>
          </cell>
          <cell r="Q1301">
            <v>1</v>
          </cell>
          <cell r="R1301" t="str">
            <v>Boss</v>
          </cell>
          <cell r="S1301">
            <v>5</v>
          </cell>
          <cell r="T1301">
            <v>1.3</v>
          </cell>
          <cell r="U1301">
            <v>0.8</v>
          </cell>
          <cell r="V1301">
            <v>3</v>
          </cell>
        </row>
        <row r="1302">
          <cell r="A1302">
            <v>1303</v>
          </cell>
          <cell r="B1302" t="str">
            <v>転調･超天突符 イナバ</v>
          </cell>
          <cell r="C1302">
            <v>6</v>
          </cell>
          <cell r="D1302" t="str">
            <v>yellow</v>
          </cell>
          <cell r="E1302">
            <v>0.98</v>
          </cell>
          <cell r="F1302">
            <v>1.01</v>
          </cell>
          <cell r="G1302">
            <v>1</v>
          </cell>
          <cell r="H1302" t="str">
            <v>balance</v>
          </cell>
          <cell r="I1302" t="str">
            <v>バランスタイプ</v>
          </cell>
          <cell r="J1302">
            <v>1</v>
          </cell>
          <cell r="K1302">
            <v>1</v>
          </cell>
          <cell r="L1302">
            <v>1</v>
          </cell>
          <cell r="M1302" t="str">
            <v>unknown</v>
          </cell>
          <cell r="N1302" t="str">
            <v>Unknown</v>
          </cell>
          <cell r="O1302">
            <v>1</v>
          </cell>
          <cell r="P1302">
            <v>1</v>
          </cell>
          <cell r="Q1302">
            <v>1</v>
          </cell>
          <cell r="R1302" t="str">
            <v>Boss</v>
          </cell>
          <cell r="S1302">
            <v>5</v>
          </cell>
          <cell r="T1302">
            <v>1.3</v>
          </cell>
          <cell r="U1302">
            <v>0.8</v>
          </cell>
          <cell r="V1302">
            <v>3</v>
          </cell>
        </row>
        <row r="1303">
          <cell r="A1303">
            <v>1304</v>
          </cell>
          <cell r="B1303" t="str">
            <v>演鼠の響笛音 ハーメルン</v>
          </cell>
          <cell r="C1303">
            <v>5</v>
          </cell>
          <cell r="D1303" t="str">
            <v>blue</v>
          </cell>
          <cell r="E1303">
            <v>1</v>
          </cell>
          <cell r="F1303">
            <v>0.98</v>
          </cell>
          <cell r="G1303">
            <v>1</v>
          </cell>
          <cell r="H1303" t="str">
            <v>technical</v>
          </cell>
          <cell r="I1303" t="str">
            <v>テクニカルタイプ</v>
          </cell>
          <cell r="J1303">
            <v>0.9</v>
          </cell>
          <cell r="K1303">
            <v>0.9</v>
          </cell>
          <cell r="L1303">
            <v>1</v>
          </cell>
          <cell r="M1303" t="str">
            <v>unknown</v>
          </cell>
          <cell r="N1303" t="str">
            <v>Unknown</v>
          </cell>
          <cell r="O1303">
            <v>1</v>
          </cell>
          <cell r="P1303">
            <v>1</v>
          </cell>
          <cell r="Q1303">
            <v>1</v>
          </cell>
          <cell r="R1303" t="str">
            <v>Boss</v>
          </cell>
          <cell r="S1303">
            <v>5</v>
          </cell>
          <cell r="T1303">
            <v>1.3</v>
          </cell>
          <cell r="U1303">
            <v>0.8</v>
          </cell>
          <cell r="V1303">
            <v>3</v>
          </cell>
        </row>
        <row r="1304">
          <cell r="A1304">
            <v>1305</v>
          </cell>
          <cell r="B1304" t="str">
            <v>響界廻る睡鼠楽 ハーメルン</v>
          </cell>
          <cell r="C1304">
            <v>6</v>
          </cell>
          <cell r="D1304" t="str">
            <v>blue</v>
          </cell>
          <cell r="E1304">
            <v>1</v>
          </cell>
          <cell r="F1304">
            <v>0.98</v>
          </cell>
          <cell r="G1304">
            <v>1</v>
          </cell>
          <cell r="H1304" t="str">
            <v>technical</v>
          </cell>
          <cell r="I1304" t="str">
            <v>テクニカルタイプ</v>
          </cell>
          <cell r="J1304">
            <v>0.9</v>
          </cell>
          <cell r="K1304">
            <v>0.9</v>
          </cell>
          <cell r="L1304">
            <v>1</v>
          </cell>
          <cell r="M1304" t="str">
            <v>unknown</v>
          </cell>
          <cell r="N1304" t="str">
            <v>Unknown</v>
          </cell>
          <cell r="O1304">
            <v>1</v>
          </cell>
          <cell r="P1304">
            <v>1</v>
          </cell>
          <cell r="Q1304">
            <v>1</v>
          </cell>
          <cell r="R1304" t="str">
            <v>Boss</v>
          </cell>
          <cell r="S1304">
            <v>5</v>
          </cell>
          <cell r="T1304">
            <v>1.3</v>
          </cell>
          <cell r="U1304">
            <v>0.8</v>
          </cell>
          <cell r="V1304">
            <v>3</v>
          </cell>
        </row>
        <row r="1305">
          <cell r="A1305">
            <v>1306</v>
          </cell>
          <cell r="B1305" t="str">
            <v>玉響の唱天 ルシファー</v>
          </cell>
          <cell r="C1305">
            <v>5</v>
          </cell>
          <cell r="D1305" t="str">
            <v>yellow</v>
          </cell>
          <cell r="E1305">
            <v>0.98</v>
          </cell>
          <cell r="F1305">
            <v>1.01</v>
          </cell>
          <cell r="G1305">
            <v>1</v>
          </cell>
          <cell r="H1305" t="str">
            <v>attack</v>
          </cell>
          <cell r="I1305" t="str">
            <v>攻撃タイプ</v>
          </cell>
          <cell r="J1305">
            <v>1</v>
          </cell>
          <cell r="K1305">
            <v>1.33</v>
          </cell>
          <cell r="L1305">
            <v>1</v>
          </cell>
          <cell r="M1305" t="str">
            <v>unknown</v>
          </cell>
          <cell r="N1305" t="str">
            <v>Unknown</v>
          </cell>
          <cell r="O1305">
            <v>1</v>
          </cell>
          <cell r="P1305">
            <v>1</v>
          </cell>
          <cell r="Q1305">
            <v>1</v>
          </cell>
          <cell r="R1305" t="str">
            <v>Boss</v>
          </cell>
          <cell r="S1305">
            <v>5</v>
          </cell>
          <cell r="T1305">
            <v>1.3</v>
          </cell>
          <cell r="U1305">
            <v>0.8</v>
          </cell>
          <cell r="V1305">
            <v>3</v>
          </cell>
        </row>
        <row r="1306">
          <cell r="A1306">
            <v>1307</v>
          </cell>
          <cell r="B1306" t="str">
            <v>彩翼の唱天史 ルシファー</v>
          </cell>
          <cell r="C1306">
            <v>6</v>
          </cell>
          <cell r="D1306" t="str">
            <v>yellow</v>
          </cell>
          <cell r="E1306">
            <v>0.98</v>
          </cell>
          <cell r="F1306">
            <v>1.01</v>
          </cell>
          <cell r="G1306">
            <v>1</v>
          </cell>
          <cell r="H1306" t="str">
            <v>attack</v>
          </cell>
          <cell r="I1306" t="str">
            <v>攻撃タイプ</v>
          </cell>
          <cell r="J1306">
            <v>1</v>
          </cell>
          <cell r="K1306">
            <v>1.33</v>
          </cell>
          <cell r="L1306">
            <v>1</v>
          </cell>
          <cell r="M1306" t="str">
            <v>unknown</v>
          </cell>
          <cell r="N1306" t="str">
            <v>Unknown</v>
          </cell>
          <cell r="O1306">
            <v>1</v>
          </cell>
          <cell r="P1306">
            <v>1</v>
          </cell>
          <cell r="Q1306">
            <v>1</v>
          </cell>
          <cell r="R1306" t="str">
            <v>Boss</v>
          </cell>
          <cell r="S1306">
            <v>5</v>
          </cell>
          <cell r="T1306">
            <v>1.3</v>
          </cell>
          <cell r="U1306">
            <v>0.8</v>
          </cell>
          <cell r="V1306">
            <v>3</v>
          </cell>
        </row>
        <row r="1307">
          <cell r="A1307">
            <v>1324</v>
          </cell>
          <cell r="B1307" t="str">
            <v>アウリ</v>
          </cell>
          <cell r="C1307">
            <v>4</v>
          </cell>
          <cell r="D1307" t="str">
            <v>green</v>
          </cell>
          <cell r="E1307">
            <v>1.02</v>
          </cell>
          <cell r="F1307">
            <v>0.98</v>
          </cell>
          <cell r="G1307">
            <v>1</v>
          </cell>
          <cell r="H1307" t="str">
            <v>balance</v>
          </cell>
          <cell r="I1307" t="str">
            <v>バランスタイプ</v>
          </cell>
          <cell r="J1307">
            <v>1</v>
          </cell>
          <cell r="K1307">
            <v>1</v>
          </cell>
          <cell r="L1307">
            <v>1</v>
          </cell>
          <cell r="M1307" t="str">
            <v>animal</v>
          </cell>
          <cell r="N1307" t="str">
            <v>アニマル</v>
          </cell>
          <cell r="O1307">
            <v>1</v>
          </cell>
          <cell r="P1307">
            <v>1.1000000000000001</v>
          </cell>
          <cell r="Q1307">
            <v>1</v>
          </cell>
          <cell r="R1307" t="str">
            <v>Boss</v>
          </cell>
          <cell r="S1307">
            <v>5</v>
          </cell>
          <cell r="T1307">
            <v>1.3</v>
          </cell>
          <cell r="U1307">
            <v>0.8</v>
          </cell>
          <cell r="V1307">
            <v>3</v>
          </cell>
        </row>
        <row r="1308">
          <cell r="A1308">
            <v>1325</v>
          </cell>
          <cell r="B1308" t="str">
            <v>阿吽の神護犬 アウリ</v>
          </cell>
          <cell r="C1308">
            <v>5</v>
          </cell>
          <cell r="D1308" t="str">
            <v>green</v>
          </cell>
          <cell r="E1308">
            <v>1.02</v>
          </cell>
          <cell r="F1308">
            <v>0.98</v>
          </cell>
          <cell r="G1308">
            <v>1</v>
          </cell>
          <cell r="H1308" t="str">
            <v>balance</v>
          </cell>
          <cell r="I1308" t="str">
            <v>バランスタイプ</v>
          </cell>
          <cell r="J1308">
            <v>1</v>
          </cell>
          <cell r="K1308">
            <v>1</v>
          </cell>
          <cell r="L1308">
            <v>1</v>
          </cell>
          <cell r="M1308" t="str">
            <v>animal</v>
          </cell>
          <cell r="N1308" t="str">
            <v>アニマル</v>
          </cell>
          <cell r="O1308">
            <v>1</v>
          </cell>
          <cell r="P1308">
            <v>1.1000000000000001</v>
          </cell>
          <cell r="Q1308">
            <v>1</v>
          </cell>
          <cell r="R1308" t="str">
            <v>Boss</v>
          </cell>
          <cell r="S1308">
            <v>5</v>
          </cell>
          <cell r="T1308">
            <v>1.3</v>
          </cell>
          <cell r="U1308">
            <v>0.8</v>
          </cell>
          <cell r="V1308">
            <v>3</v>
          </cell>
        </row>
        <row r="1309">
          <cell r="A1309">
            <v>1326</v>
          </cell>
          <cell r="B1309" t="str">
            <v>ワカヒルメ</v>
          </cell>
          <cell r="C1309">
            <v>5</v>
          </cell>
          <cell r="D1309" t="str">
            <v>green</v>
          </cell>
          <cell r="E1309">
            <v>1.02</v>
          </cell>
          <cell r="F1309">
            <v>0.98</v>
          </cell>
          <cell r="G1309">
            <v>1</v>
          </cell>
          <cell r="H1309" t="str">
            <v>heal</v>
          </cell>
          <cell r="I1309" t="str">
            <v>回復タイプ</v>
          </cell>
          <cell r="J1309">
            <v>0.8</v>
          </cell>
          <cell r="K1309">
            <v>0.78</v>
          </cell>
          <cell r="L1309">
            <v>1</v>
          </cell>
          <cell r="M1309" t="str">
            <v>god</v>
          </cell>
          <cell r="N1309" t="str">
            <v>ゴッド</v>
          </cell>
          <cell r="O1309">
            <v>0.96</v>
          </cell>
          <cell r="P1309">
            <v>1.02</v>
          </cell>
          <cell r="Q1309">
            <v>1</v>
          </cell>
          <cell r="R1309" t="str">
            <v>Boss</v>
          </cell>
          <cell r="S1309">
            <v>5</v>
          </cell>
          <cell r="T1309">
            <v>1.3</v>
          </cell>
          <cell r="U1309">
            <v>0.8</v>
          </cell>
          <cell r="V1309">
            <v>3</v>
          </cell>
        </row>
        <row r="1310">
          <cell r="A1310">
            <v>1327</v>
          </cell>
          <cell r="B1310" t="str">
            <v>織神衣の幼神 ワカヒルメ</v>
          </cell>
          <cell r="C1310">
            <v>6</v>
          </cell>
          <cell r="D1310" t="str">
            <v>green</v>
          </cell>
          <cell r="E1310">
            <v>1.02</v>
          </cell>
          <cell r="F1310">
            <v>0.98</v>
          </cell>
          <cell r="G1310">
            <v>1</v>
          </cell>
          <cell r="H1310" t="str">
            <v>heal</v>
          </cell>
          <cell r="I1310" t="str">
            <v>回復タイプ</v>
          </cell>
          <cell r="J1310">
            <v>0.8</v>
          </cell>
          <cell r="K1310">
            <v>0.78</v>
          </cell>
          <cell r="L1310">
            <v>1</v>
          </cell>
          <cell r="M1310" t="str">
            <v>god</v>
          </cell>
          <cell r="N1310" t="str">
            <v>ゴッド</v>
          </cell>
          <cell r="O1310">
            <v>0.96</v>
          </cell>
          <cell r="P1310">
            <v>1.02</v>
          </cell>
          <cell r="Q1310">
            <v>1</v>
          </cell>
          <cell r="R1310" t="str">
            <v>Boss</v>
          </cell>
          <cell r="S1310">
            <v>5</v>
          </cell>
          <cell r="T1310">
            <v>1.3</v>
          </cell>
          <cell r="U1310">
            <v>0.8</v>
          </cell>
          <cell r="V1310">
            <v>3</v>
          </cell>
        </row>
        <row r="1311">
          <cell r="A1311">
            <v>1328</v>
          </cell>
          <cell r="B1311" t="str">
            <v>ヒノカグツチ</v>
          </cell>
          <cell r="C1311">
            <v>5</v>
          </cell>
          <cell r="D1311" t="str">
            <v>red</v>
          </cell>
          <cell r="E1311">
            <v>1</v>
          </cell>
          <cell r="F1311">
            <v>1.02</v>
          </cell>
          <cell r="G1311">
            <v>1</v>
          </cell>
          <cell r="H1311" t="str">
            <v>attack</v>
          </cell>
          <cell r="I1311" t="str">
            <v>攻撃タイプ</v>
          </cell>
          <cell r="J1311">
            <v>1</v>
          </cell>
          <cell r="K1311">
            <v>1.33</v>
          </cell>
          <cell r="L1311">
            <v>1</v>
          </cell>
          <cell r="M1311" t="str">
            <v>god</v>
          </cell>
          <cell r="N1311" t="str">
            <v>ゴッド</v>
          </cell>
          <cell r="O1311">
            <v>0.96</v>
          </cell>
          <cell r="P1311">
            <v>1.02</v>
          </cell>
          <cell r="Q1311">
            <v>1</v>
          </cell>
          <cell r="R1311" t="str">
            <v>Boss</v>
          </cell>
          <cell r="S1311">
            <v>5</v>
          </cell>
          <cell r="T1311">
            <v>1.3</v>
          </cell>
          <cell r="U1311">
            <v>0.8</v>
          </cell>
          <cell r="V1311">
            <v>3</v>
          </cell>
        </row>
        <row r="1312">
          <cell r="A1312">
            <v>1329</v>
          </cell>
          <cell r="B1312" t="str">
            <v>神抗の火産霊 ヒノカグツチ</v>
          </cell>
          <cell r="C1312">
            <v>6</v>
          </cell>
          <cell r="D1312" t="str">
            <v>red</v>
          </cell>
          <cell r="E1312">
            <v>1</v>
          </cell>
          <cell r="F1312">
            <v>1.02</v>
          </cell>
          <cell r="G1312">
            <v>1</v>
          </cell>
          <cell r="H1312" t="str">
            <v>attack</v>
          </cell>
          <cell r="I1312" t="str">
            <v>攻撃タイプ</v>
          </cell>
          <cell r="J1312">
            <v>1</v>
          </cell>
          <cell r="K1312">
            <v>1.33</v>
          </cell>
          <cell r="L1312">
            <v>1</v>
          </cell>
          <cell r="M1312" t="str">
            <v>god</v>
          </cell>
          <cell r="N1312" t="str">
            <v>ゴッド</v>
          </cell>
          <cell r="O1312">
            <v>0.96</v>
          </cell>
          <cell r="P1312">
            <v>1.02</v>
          </cell>
          <cell r="Q1312">
            <v>1</v>
          </cell>
          <cell r="R1312" t="str">
            <v>Boss</v>
          </cell>
          <cell r="S1312">
            <v>5</v>
          </cell>
          <cell r="T1312">
            <v>1.3</v>
          </cell>
          <cell r="U1312">
            <v>0.8</v>
          </cell>
          <cell r="V1312">
            <v>3</v>
          </cell>
        </row>
        <row r="1313">
          <cell r="A1313">
            <v>1330</v>
          </cell>
          <cell r="B1313" t="str">
            <v>スサノオ</v>
          </cell>
          <cell r="C1313">
            <v>5</v>
          </cell>
          <cell r="D1313" t="str">
            <v>yellow</v>
          </cell>
          <cell r="E1313">
            <v>0.98</v>
          </cell>
          <cell r="F1313">
            <v>1.01</v>
          </cell>
          <cell r="G1313">
            <v>1</v>
          </cell>
          <cell r="H1313" t="str">
            <v>attack</v>
          </cell>
          <cell r="I1313" t="str">
            <v>攻撃タイプ</v>
          </cell>
          <cell r="J1313">
            <v>1</v>
          </cell>
          <cell r="K1313">
            <v>1.33</v>
          </cell>
          <cell r="L1313">
            <v>1</v>
          </cell>
          <cell r="M1313" t="str">
            <v>hero</v>
          </cell>
          <cell r="N1313" t="str">
            <v>ヒーロー</v>
          </cell>
          <cell r="O1313">
            <v>1</v>
          </cell>
          <cell r="P1313">
            <v>1</v>
          </cell>
          <cell r="Q1313">
            <v>1</v>
          </cell>
          <cell r="R1313" t="str">
            <v>Boss</v>
          </cell>
          <cell r="S1313">
            <v>5</v>
          </cell>
          <cell r="T1313">
            <v>1.3</v>
          </cell>
          <cell r="U1313">
            <v>0.8</v>
          </cell>
          <cell r="V1313">
            <v>3</v>
          </cell>
        </row>
        <row r="1314">
          <cell r="A1314">
            <v>1331</v>
          </cell>
          <cell r="B1314" t="str">
            <v>傑戦の大強神 スサノオ</v>
          </cell>
          <cell r="C1314">
            <v>6</v>
          </cell>
          <cell r="D1314" t="str">
            <v>yellow</v>
          </cell>
          <cell r="E1314">
            <v>0.98</v>
          </cell>
          <cell r="F1314">
            <v>1.01</v>
          </cell>
          <cell r="G1314">
            <v>1</v>
          </cell>
          <cell r="H1314" t="str">
            <v>attack</v>
          </cell>
          <cell r="I1314" t="str">
            <v>攻撃タイプ</v>
          </cell>
          <cell r="J1314">
            <v>1</v>
          </cell>
          <cell r="K1314">
            <v>1.33</v>
          </cell>
          <cell r="L1314">
            <v>1</v>
          </cell>
          <cell r="M1314" t="str">
            <v>hero</v>
          </cell>
          <cell r="N1314" t="str">
            <v>ヒーロー</v>
          </cell>
          <cell r="O1314">
            <v>1</v>
          </cell>
          <cell r="P1314">
            <v>1</v>
          </cell>
          <cell r="Q1314">
            <v>1</v>
          </cell>
          <cell r="R1314" t="str">
            <v>Boss</v>
          </cell>
          <cell r="S1314">
            <v>5</v>
          </cell>
          <cell r="T1314">
            <v>1.3</v>
          </cell>
          <cell r="U1314">
            <v>0.8</v>
          </cell>
          <cell r="V1314">
            <v>3</v>
          </cell>
        </row>
        <row r="1315">
          <cell r="A1315">
            <v>1332</v>
          </cell>
          <cell r="B1315" t="str">
            <v>タマヨリヒメ</v>
          </cell>
          <cell r="C1315">
            <v>4</v>
          </cell>
          <cell r="D1315" t="str">
            <v>green</v>
          </cell>
          <cell r="E1315">
            <v>1.02</v>
          </cell>
          <cell r="F1315">
            <v>0.98</v>
          </cell>
          <cell r="G1315">
            <v>1</v>
          </cell>
          <cell r="H1315" t="str">
            <v>heal</v>
          </cell>
          <cell r="I1315" t="str">
            <v>回復タイプ</v>
          </cell>
          <cell r="J1315">
            <v>0.8</v>
          </cell>
          <cell r="K1315">
            <v>0.78</v>
          </cell>
          <cell r="L1315">
            <v>1</v>
          </cell>
          <cell r="M1315" t="str">
            <v>god</v>
          </cell>
          <cell r="N1315" t="str">
            <v>ゴッド</v>
          </cell>
          <cell r="O1315">
            <v>0.96</v>
          </cell>
          <cell r="P1315">
            <v>1.02</v>
          </cell>
          <cell r="Q1315">
            <v>1</v>
          </cell>
          <cell r="R1315" t="str">
            <v>Boss</v>
          </cell>
          <cell r="S1315">
            <v>5</v>
          </cell>
          <cell r="T1315">
            <v>1.3</v>
          </cell>
          <cell r="U1315">
            <v>0.8</v>
          </cell>
          <cell r="V1315">
            <v>3</v>
          </cell>
        </row>
        <row r="1316">
          <cell r="A1316">
            <v>1333</v>
          </cell>
          <cell r="B1316" t="str">
            <v>霊司の神憑 タマヨリヒメ</v>
          </cell>
          <cell r="C1316">
            <v>5</v>
          </cell>
          <cell r="D1316" t="str">
            <v>green</v>
          </cell>
          <cell r="E1316">
            <v>1.02</v>
          </cell>
          <cell r="F1316">
            <v>0.98</v>
          </cell>
          <cell r="G1316">
            <v>1</v>
          </cell>
          <cell r="H1316" t="str">
            <v>heal</v>
          </cell>
          <cell r="I1316" t="str">
            <v>回復タイプ</v>
          </cell>
          <cell r="J1316">
            <v>0.8</v>
          </cell>
          <cell r="K1316">
            <v>0.78</v>
          </cell>
          <cell r="L1316">
            <v>1</v>
          </cell>
          <cell r="M1316" t="str">
            <v>god</v>
          </cell>
          <cell r="N1316" t="str">
            <v>ゴッド</v>
          </cell>
          <cell r="O1316">
            <v>0.96</v>
          </cell>
          <cell r="P1316">
            <v>1.02</v>
          </cell>
          <cell r="Q1316">
            <v>1</v>
          </cell>
          <cell r="R1316" t="str">
            <v>Boss</v>
          </cell>
          <cell r="S1316">
            <v>5</v>
          </cell>
          <cell r="T1316">
            <v>1.3</v>
          </cell>
          <cell r="U1316">
            <v>0.8</v>
          </cell>
          <cell r="V1316">
            <v>3</v>
          </cell>
        </row>
        <row r="1317">
          <cell r="A1317">
            <v>1334</v>
          </cell>
          <cell r="B1317" t="str">
            <v>クシナダヒメ</v>
          </cell>
          <cell r="C1317">
            <v>5</v>
          </cell>
          <cell r="D1317" t="str">
            <v>red</v>
          </cell>
          <cell r="E1317">
            <v>1</v>
          </cell>
          <cell r="F1317">
            <v>1.02</v>
          </cell>
          <cell r="G1317">
            <v>1</v>
          </cell>
          <cell r="H1317" t="str">
            <v>hp</v>
          </cell>
          <cell r="I1317" t="str">
            <v>体力タイプ</v>
          </cell>
          <cell r="J1317">
            <v>1.45</v>
          </cell>
          <cell r="K1317">
            <v>0.85</v>
          </cell>
          <cell r="L1317">
            <v>1</v>
          </cell>
          <cell r="M1317" t="str">
            <v>god</v>
          </cell>
          <cell r="N1317" t="str">
            <v>ゴッド</v>
          </cell>
          <cell r="O1317">
            <v>0.96</v>
          </cell>
          <cell r="P1317">
            <v>1.02</v>
          </cell>
          <cell r="Q1317">
            <v>1</v>
          </cell>
          <cell r="R1317" t="str">
            <v>Boss</v>
          </cell>
          <cell r="S1317">
            <v>5</v>
          </cell>
          <cell r="T1317">
            <v>1.3</v>
          </cell>
          <cell r="U1317">
            <v>0.8</v>
          </cell>
          <cell r="V1317">
            <v>3</v>
          </cell>
        </row>
        <row r="1318">
          <cell r="A1318">
            <v>1335</v>
          </cell>
          <cell r="B1318" t="str">
            <v>神心を射る穂神 クシナダヒメ</v>
          </cell>
          <cell r="C1318">
            <v>6</v>
          </cell>
          <cell r="D1318" t="str">
            <v>red</v>
          </cell>
          <cell r="E1318">
            <v>1</v>
          </cell>
          <cell r="F1318">
            <v>1.02</v>
          </cell>
          <cell r="G1318">
            <v>1</v>
          </cell>
          <cell r="H1318" t="str">
            <v>hp</v>
          </cell>
          <cell r="I1318" t="str">
            <v>体力タイプ</v>
          </cell>
          <cell r="J1318">
            <v>1.45</v>
          </cell>
          <cell r="K1318">
            <v>0.85</v>
          </cell>
          <cell r="L1318">
            <v>1</v>
          </cell>
          <cell r="M1318" t="str">
            <v>god</v>
          </cell>
          <cell r="N1318" t="str">
            <v>ゴッド</v>
          </cell>
          <cell r="O1318">
            <v>0.96</v>
          </cell>
          <cell r="P1318">
            <v>1.02</v>
          </cell>
          <cell r="Q1318">
            <v>1</v>
          </cell>
          <cell r="R1318" t="str">
            <v>Boss</v>
          </cell>
          <cell r="S1318">
            <v>5</v>
          </cell>
          <cell r="T1318">
            <v>1.3</v>
          </cell>
          <cell r="U1318">
            <v>0.8</v>
          </cell>
          <cell r="V1318">
            <v>3</v>
          </cell>
        </row>
        <row r="1319">
          <cell r="A1319">
            <v>1336</v>
          </cell>
          <cell r="B1319" t="str">
            <v>イザナギ</v>
          </cell>
          <cell r="C1319">
            <v>5</v>
          </cell>
          <cell r="D1319" t="str">
            <v>blue</v>
          </cell>
          <cell r="E1319">
            <v>1</v>
          </cell>
          <cell r="F1319">
            <v>0.98</v>
          </cell>
          <cell r="G1319">
            <v>1</v>
          </cell>
          <cell r="H1319" t="str">
            <v>technical</v>
          </cell>
          <cell r="I1319" t="str">
            <v>テクニカルタイプ</v>
          </cell>
          <cell r="J1319">
            <v>0.9</v>
          </cell>
          <cell r="K1319">
            <v>0.9</v>
          </cell>
          <cell r="L1319">
            <v>1</v>
          </cell>
          <cell r="M1319" t="str">
            <v>god</v>
          </cell>
          <cell r="N1319" t="str">
            <v>ゴッド</v>
          </cell>
          <cell r="O1319">
            <v>0.96</v>
          </cell>
          <cell r="P1319">
            <v>1.02</v>
          </cell>
          <cell r="Q1319">
            <v>1</v>
          </cell>
          <cell r="R1319" t="str">
            <v>Boss</v>
          </cell>
          <cell r="S1319">
            <v>5</v>
          </cell>
          <cell r="T1319">
            <v>1.3</v>
          </cell>
          <cell r="U1319">
            <v>0.8</v>
          </cell>
          <cell r="V1319">
            <v>3</v>
          </cell>
        </row>
        <row r="1320">
          <cell r="A1320">
            <v>1337</v>
          </cell>
          <cell r="B1320" t="str">
            <v>成命の綜父神 イザナギ</v>
          </cell>
          <cell r="C1320">
            <v>6</v>
          </cell>
          <cell r="D1320" t="str">
            <v>blue</v>
          </cell>
          <cell r="E1320">
            <v>1</v>
          </cell>
          <cell r="F1320">
            <v>0.98</v>
          </cell>
          <cell r="G1320">
            <v>1</v>
          </cell>
          <cell r="H1320" t="str">
            <v>technical</v>
          </cell>
          <cell r="I1320" t="str">
            <v>テクニカルタイプ</v>
          </cell>
          <cell r="J1320">
            <v>0.9</v>
          </cell>
          <cell r="K1320">
            <v>0.9</v>
          </cell>
          <cell r="L1320">
            <v>1</v>
          </cell>
          <cell r="M1320" t="str">
            <v>god</v>
          </cell>
          <cell r="N1320" t="str">
            <v>ゴッド</v>
          </cell>
          <cell r="O1320">
            <v>0.96</v>
          </cell>
          <cell r="P1320">
            <v>1.02</v>
          </cell>
          <cell r="Q1320">
            <v>1</v>
          </cell>
          <cell r="R1320" t="str">
            <v>Boss</v>
          </cell>
          <cell r="S1320">
            <v>5</v>
          </cell>
          <cell r="T1320">
            <v>1.3</v>
          </cell>
          <cell r="U1320">
            <v>0.8</v>
          </cell>
          <cell r="V1320">
            <v>3</v>
          </cell>
        </row>
        <row r="1321">
          <cell r="A1321">
            <v>1338</v>
          </cell>
          <cell r="B1321" t="str">
            <v>アメノウズメ</v>
          </cell>
          <cell r="C1321">
            <v>5</v>
          </cell>
          <cell r="D1321" t="str">
            <v>yellow</v>
          </cell>
          <cell r="E1321">
            <v>0.98</v>
          </cell>
          <cell r="F1321">
            <v>1.01</v>
          </cell>
          <cell r="G1321">
            <v>1</v>
          </cell>
          <cell r="H1321" t="str">
            <v>attack</v>
          </cell>
          <cell r="I1321" t="str">
            <v>攻撃タイプ</v>
          </cell>
          <cell r="J1321">
            <v>1</v>
          </cell>
          <cell r="K1321">
            <v>1.33</v>
          </cell>
          <cell r="L1321">
            <v>1</v>
          </cell>
          <cell r="M1321" t="str">
            <v>human</v>
          </cell>
          <cell r="N1321" t="str">
            <v>ヒューマン</v>
          </cell>
          <cell r="O1321">
            <v>0.94</v>
          </cell>
          <cell r="P1321">
            <v>0.99</v>
          </cell>
          <cell r="Q1321">
            <v>1</v>
          </cell>
          <cell r="R1321" t="str">
            <v>Boss</v>
          </cell>
          <cell r="S1321">
            <v>5</v>
          </cell>
          <cell r="T1321">
            <v>1.3</v>
          </cell>
          <cell r="U1321">
            <v>0.8</v>
          </cell>
          <cell r="V1321">
            <v>3</v>
          </cell>
        </row>
        <row r="1322">
          <cell r="A1322">
            <v>1339</v>
          </cell>
          <cell r="B1322" t="str">
            <v>復古の舞芸神 アメノウズメ</v>
          </cell>
          <cell r="C1322">
            <v>6</v>
          </cell>
          <cell r="D1322" t="str">
            <v>yellow</v>
          </cell>
          <cell r="E1322">
            <v>0.98</v>
          </cell>
          <cell r="F1322">
            <v>1.01</v>
          </cell>
          <cell r="G1322">
            <v>1</v>
          </cell>
          <cell r="H1322" t="str">
            <v>attack</v>
          </cell>
          <cell r="I1322" t="str">
            <v>攻撃タイプ</v>
          </cell>
          <cell r="J1322">
            <v>1</v>
          </cell>
          <cell r="K1322">
            <v>1.33</v>
          </cell>
          <cell r="L1322">
            <v>1</v>
          </cell>
          <cell r="M1322" t="str">
            <v>human</v>
          </cell>
          <cell r="N1322" t="str">
            <v>ヒューマン</v>
          </cell>
          <cell r="O1322">
            <v>0.94</v>
          </cell>
          <cell r="P1322">
            <v>0.99</v>
          </cell>
          <cell r="Q1322">
            <v>1</v>
          </cell>
          <cell r="R1322" t="str">
            <v>Boss</v>
          </cell>
          <cell r="S1322">
            <v>5</v>
          </cell>
          <cell r="T1322">
            <v>1.3</v>
          </cell>
          <cell r="U1322">
            <v>0.8</v>
          </cell>
          <cell r="V1322">
            <v>3</v>
          </cell>
        </row>
        <row r="1323">
          <cell r="A1323">
            <v>1351</v>
          </cell>
          <cell r="B1323" t="str">
            <v>ブラウニーR6</v>
          </cell>
          <cell r="C1323">
            <v>6</v>
          </cell>
          <cell r="D1323" t="str">
            <v>red</v>
          </cell>
          <cell r="E1323">
            <v>1</v>
          </cell>
          <cell r="F1323">
            <v>1.02</v>
          </cell>
          <cell r="G1323">
            <v>1</v>
          </cell>
          <cell r="H1323" t="str">
            <v>attack</v>
          </cell>
          <cell r="I1323" t="str">
            <v>攻撃タイプ</v>
          </cell>
          <cell r="J1323">
            <v>1</v>
          </cell>
          <cell r="K1323">
            <v>1.33</v>
          </cell>
          <cell r="L1323">
            <v>1</v>
          </cell>
          <cell r="M1323" t="str">
            <v>human</v>
          </cell>
          <cell r="N1323" t="str">
            <v>ヒューマン</v>
          </cell>
          <cell r="O1323">
            <v>0.94</v>
          </cell>
          <cell r="P1323">
            <v>0.99</v>
          </cell>
          <cell r="Q1323">
            <v>1</v>
          </cell>
          <cell r="R1323" t="str">
            <v>Boss</v>
          </cell>
          <cell r="S1323">
            <v>5</v>
          </cell>
          <cell r="T1323">
            <v>1.3</v>
          </cell>
          <cell r="U1323">
            <v>0.8</v>
          </cell>
          <cell r="V1323">
            <v>3</v>
          </cell>
        </row>
        <row r="1324">
          <cell r="A1324">
            <v>1352</v>
          </cell>
          <cell r="B1324" t="str">
            <v>モカR5</v>
          </cell>
          <cell r="C1324">
            <v>5</v>
          </cell>
          <cell r="D1324" t="str">
            <v>blue</v>
          </cell>
          <cell r="E1324">
            <v>1</v>
          </cell>
          <cell r="F1324">
            <v>0.98</v>
          </cell>
          <cell r="G1324">
            <v>1</v>
          </cell>
          <cell r="H1324" t="str">
            <v>technical</v>
          </cell>
          <cell r="I1324" t="str">
            <v>テクニカルタイプ</v>
          </cell>
          <cell r="J1324">
            <v>0.9</v>
          </cell>
          <cell r="K1324">
            <v>0.9</v>
          </cell>
          <cell r="L1324">
            <v>1</v>
          </cell>
          <cell r="M1324" t="str">
            <v>human</v>
          </cell>
          <cell r="N1324" t="str">
            <v>ヒューマン</v>
          </cell>
          <cell r="O1324">
            <v>0.94</v>
          </cell>
          <cell r="P1324">
            <v>0.99</v>
          </cell>
          <cell r="Q1324">
            <v>1</v>
          </cell>
          <cell r="R1324" t="str">
            <v>Boss</v>
          </cell>
          <cell r="S1324">
            <v>5</v>
          </cell>
          <cell r="T1324">
            <v>1.3</v>
          </cell>
          <cell r="U1324">
            <v>0.8</v>
          </cell>
          <cell r="V1324">
            <v>3</v>
          </cell>
        </row>
        <row r="1325">
          <cell r="A1325">
            <v>1353</v>
          </cell>
          <cell r="B1325" t="str">
            <v>モカR6</v>
          </cell>
          <cell r="C1325">
            <v>6</v>
          </cell>
          <cell r="D1325" t="str">
            <v>blue</v>
          </cell>
          <cell r="E1325">
            <v>1</v>
          </cell>
          <cell r="F1325">
            <v>0.98</v>
          </cell>
          <cell r="G1325">
            <v>1</v>
          </cell>
          <cell r="H1325" t="str">
            <v>technical</v>
          </cell>
          <cell r="I1325" t="str">
            <v>テクニカルタイプ</v>
          </cell>
          <cell r="J1325">
            <v>0.9</v>
          </cell>
          <cell r="K1325">
            <v>0.9</v>
          </cell>
          <cell r="L1325">
            <v>1</v>
          </cell>
          <cell r="M1325" t="str">
            <v>human</v>
          </cell>
          <cell r="N1325" t="str">
            <v>ヒューマン</v>
          </cell>
          <cell r="O1325">
            <v>0.94</v>
          </cell>
          <cell r="P1325">
            <v>0.99</v>
          </cell>
          <cell r="Q1325">
            <v>1</v>
          </cell>
          <cell r="R1325" t="str">
            <v>Boss</v>
          </cell>
          <cell r="S1325">
            <v>5</v>
          </cell>
          <cell r="T1325">
            <v>1.3</v>
          </cell>
          <cell r="U1325">
            <v>0.8</v>
          </cell>
          <cell r="V1325">
            <v>3</v>
          </cell>
        </row>
        <row r="1326">
          <cell r="A1326">
            <v>1354</v>
          </cell>
          <cell r="B1326" t="str">
            <v>フレイヤ</v>
          </cell>
          <cell r="C1326">
            <v>6</v>
          </cell>
          <cell r="D1326" t="str">
            <v>green</v>
          </cell>
          <cell r="E1326">
            <v>1.02</v>
          </cell>
          <cell r="F1326">
            <v>0.98</v>
          </cell>
          <cell r="G1326">
            <v>1</v>
          </cell>
          <cell r="H1326" t="str">
            <v>heal</v>
          </cell>
          <cell r="I1326" t="str">
            <v>回復タイプ</v>
          </cell>
          <cell r="J1326">
            <v>0.8</v>
          </cell>
          <cell r="K1326">
            <v>0.78</v>
          </cell>
          <cell r="L1326">
            <v>1</v>
          </cell>
          <cell r="M1326" t="str">
            <v>animal</v>
          </cell>
          <cell r="N1326" t="str">
            <v>アニマル</v>
          </cell>
          <cell r="O1326">
            <v>1</v>
          </cell>
          <cell r="P1326">
            <v>1.1000000000000001</v>
          </cell>
          <cell r="Q1326">
            <v>1</v>
          </cell>
          <cell r="R1326" t="str">
            <v>Boss</v>
          </cell>
          <cell r="S1326">
            <v>5</v>
          </cell>
          <cell r="T1326">
            <v>1.3</v>
          </cell>
          <cell r="U1326">
            <v>0.8</v>
          </cell>
          <cell r="V1326">
            <v>3</v>
          </cell>
        </row>
        <row r="1327">
          <cell r="A1327">
            <v>1355</v>
          </cell>
          <cell r="B1327" t="str">
            <v>メタトロン</v>
          </cell>
          <cell r="C1327">
            <v>6</v>
          </cell>
          <cell r="D1327" t="str">
            <v>yellow</v>
          </cell>
          <cell r="E1327">
            <v>0.98</v>
          </cell>
          <cell r="F1327">
            <v>1.01</v>
          </cell>
          <cell r="G1327">
            <v>1</v>
          </cell>
          <cell r="H1327" t="str">
            <v>balance</v>
          </cell>
          <cell r="I1327" t="str">
            <v>バランスタイプ</v>
          </cell>
          <cell r="J1327">
            <v>1</v>
          </cell>
          <cell r="K1327">
            <v>1</v>
          </cell>
          <cell r="L1327">
            <v>1</v>
          </cell>
          <cell r="M1327" t="str">
            <v>god</v>
          </cell>
          <cell r="N1327" t="str">
            <v>ゴッド</v>
          </cell>
          <cell r="O1327">
            <v>0.96</v>
          </cell>
          <cell r="P1327">
            <v>1.02</v>
          </cell>
          <cell r="Q1327">
            <v>1</v>
          </cell>
          <cell r="R1327" t="str">
            <v>Boss</v>
          </cell>
          <cell r="S1327">
            <v>5</v>
          </cell>
          <cell r="T1327">
            <v>1.3</v>
          </cell>
          <cell r="U1327">
            <v>0.8</v>
          </cell>
          <cell r="V1327">
            <v>3</v>
          </cell>
        </row>
        <row r="1328">
          <cell r="A1328">
            <v>1356</v>
          </cell>
          <cell r="B1328" t="str">
            <v>タマモ</v>
          </cell>
          <cell r="C1328">
            <v>5</v>
          </cell>
          <cell r="D1328" t="str">
            <v>red</v>
          </cell>
          <cell r="E1328">
            <v>1</v>
          </cell>
          <cell r="F1328">
            <v>1.02</v>
          </cell>
          <cell r="G1328">
            <v>1</v>
          </cell>
          <cell r="H1328" t="str">
            <v>balance</v>
          </cell>
          <cell r="I1328" t="str">
            <v>バランスタイプ</v>
          </cell>
          <cell r="J1328">
            <v>1</v>
          </cell>
          <cell r="K1328">
            <v>1</v>
          </cell>
          <cell r="L1328">
            <v>1</v>
          </cell>
          <cell r="M1328" t="str">
            <v>animal</v>
          </cell>
          <cell r="N1328" t="str">
            <v>アニマル</v>
          </cell>
          <cell r="O1328">
            <v>1</v>
          </cell>
          <cell r="P1328">
            <v>1.1000000000000001</v>
          </cell>
          <cell r="Q1328">
            <v>1</v>
          </cell>
          <cell r="R1328" t="str">
            <v>Boss</v>
          </cell>
          <cell r="S1328">
            <v>5</v>
          </cell>
          <cell r="T1328">
            <v>1.3</v>
          </cell>
          <cell r="U1328">
            <v>0.8</v>
          </cell>
          <cell r="V1328">
            <v>3</v>
          </cell>
        </row>
        <row r="1329">
          <cell r="A1329">
            <v>1357</v>
          </cell>
          <cell r="B1329" t="str">
            <v>アズラエル</v>
          </cell>
          <cell r="C1329">
            <v>5</v>
          </cell>
          <cell r="D1329" t="str">
            <v>blue</v>
          </cell>
          <cell r="E1329">
            <v>1</v>
          </cell>
          <cell r="F1329">
            <v>0.98</v>
          </cell>
          <cell r="G1329">
            <v>1</v>
          </cell>
          <cell r="H1329" t="str">
            <v>balance</v>
          </cell>
          <cell r="I1329" t="str">
            <v>バランスタイプ</v>
          </cell>
          <cell r="J1329">
            <v>1</v>
          </cell>
          <cell r="K1329">
            <v>1</v>
          </cell>
          <cell r="L1329">
            <v>1</v>
          </cell>
          <cell r="M1329" t="str">
            <v>god</v>
          </cell>
          <cell r="N1329" t="str">
            <v>ゴッド</v>
          </cell>
          <cell r="O1329">
            <v>0.96</v>
          </cell>
          <cell r="P1329">
            <v>1.02</v>
          </cell>
          <cell r="Q1329">
            <v>1</v>
          </cell>
          <cell r="R1329" t="str">
            <v>Boss</v>
          </cell>
          <cell r="S1329">
            <v>5</v>
          </cell>
          <cell r="T1329">
            <v>1.3</v>
          </cell>
          <cell r="U1329">
            <v>0.8</v>
          </cell>
          <cell r="V1329">
            <v>3</v>
          </cell>
        </row>
        <row r="1330">
          <cell r="A1330">
            <v>1358</v>
          </cell>
          <cell r="B1330" t="str">
            <v>バハムート</v>
          </cell>
          <cell r="C1330">
            <v>5</v>
          </cell>
          <cell r="D1330" t="str">
            <v>yellow</v>
          </cell>
          <cell r="E1330">
            <v>0.98</v>
          </cell>
          <cell r="F1330">
            <v>1.01</v>
          </cell>
          <cell r="G1330">
            <v>1</v>
          </cell>
          <cell r="H1330" t="str">
            <v>heal</v>
          </cell>
          <cell r="I1330" t="str">
            <v>回復タイプ</v>
          </cell>
          <cell r="J1330">
            <v>0.8</v>
          </cell>
          <cell r="K1330">
            <v>0.78</v>
          </cell>
          <cell r="L1330">
            <v>1</v>
          </cell>
          <cell r="M1330" t="str">
            <v>dragon</v>
          </cell>
          <cell r="N1330" t="str">
            <v>ドラゴン</v>
          </cell>
          <cell r="O1330">
            <v>1.1499999999999999</v>
          </cell>
          <cell r="P1330">
            <v>1.1000000000000001</v>
          </cell>
          <cell r="Q1330">
            <v>1</v>
          </cell>
          <cell r="R1330" t="str">
            <v>Boss</v>
          </cell>
          <cell r="S1330">
            <v>5</v>
          </cell>
          <cell r="T1330">
            <v>1.3</v>
          </cell>
          <cell r="U1330">
            <v>0.8</v>
          </cell>
          <cell r="V1330">
            <v>3</v>
          </cell>
        </row>
        <row r="1331">
          <cell r="A1331">
            <v>1359</v>
          </cell>
          <cell r="B1331" t="str">
            <v>ショコラR5</v>
          </cell>
          <cell r="C1331">
            <v>5</v>
          </cell>
          <cell r="D1331" t="str">
            <v>red</v>
          </cell>
          <cell r="E1331">
            <v>1</v>
          </cell>
          <cell r="F1331">
            <v>1.02</v>
          </cell>
          <cell r="G1331">
            <v>1</v>
          </cell>
          <cell r="H1331" t="str">
            <v>heal</v>
          </cell>
          <cell r="I1331" t="str">
            <v>回復タイプ</v>
          </cell>
          <cell r="J1331">
            <v>0.8</v>
          </cell>
          <cell r="K1331">
            <v>0.78</v>
          </cell>
          <cell r="L1331">
            <v>1</v>
          </cell>
          <cell r="M1331" t="str">
            <v>human</v>
          </cell>
          <cell r="N1331" t="str">
            <v>ヒューマン</v>
          </cell>
          <cell r="O1331">
            <v>0.94</v>
          </cell>
          <cell r="P1331">
            <v>0.99</v>
          </cell>
          <cell r="Q1331">
            <v>1</v>
          </cell>
          <cell r="R1331" t="str">
            <v>Boss</v>
          </cell>
          <cell r="S1331">
            <v>5</v>
          </cell>
          <cell r="T1331">
            <v>1.3</v>
          </cell>
          <cell r="U1331">
            <v>0.8</v>
          </cell>
          <cell r="V1331">
            <v>3</v>
          </cell>
        </row>
        <row r="1332">
          <cell r="A1332">
            <v>1360</v>
          </cell>
          <cell r="B1332" t="str">
            <v>ショコラR6</v>
          </cell>
          <cell r="C1332">
            <v>6</v>
          </cell>
          <cell r="D1332" t="str">
            <v>red</v>
          </cell>
          <cell r="E1332">
            <v>1</v>
          </cell>
          <cell r="F1332">
            <v>1.02</v>
          </cell>
          <cell r="G1332">
            <v>1</v>
          </cell>
          <cell r="H1332" t="str">
            <v>heal</v>
          </cell>
          <cell r="I1332" t="str">
            <v>回復タイプ</v>
          </cell>
          <cell r="J1332">
            <v>0.8</v>
          </cell>
          <cell r="K1332">
            <v>0.78</v>
          </cell>
          <cell r="L1332">
            <v>1</v>
          </cell>
          <cell r="M1332" t="str">
            <v>human</v>
          </cell>
          <cell r="N1332" t="str">
            <v>ヒューマン</v>
          </cell>
          <cell r="O1332">
            <v>0.94</v>
          </cell>
          <cell r="P1332">
            <v>0.99</v>
          </cell>
          <cell r="Q1332">
            <v>1</v>
          </cell>
          <cell r="R1332" t="str">
            <v>Boss</v>
          </cell>
          <cell r="S1332">
            <v>5</v>
          </cell>
          <cell r="T1332">
            <v>1.3</v>
          </cell>
          <cell r="U1332">
            <v>0.8</v>
          </cell>
          <cell r="V1332">
            <v>3</v>
          </cell>
        </row>
        <row r="1333">
          <cell r="A1333">
            <v>1362</v>
          </cell>
          <cell r="B1333" t="str">
            <v>フォンデュ</v>
          </cell>
          <cell r="C1333">
            <v>6</v>
          </cell>
          <cell r="D1333" t="str">
            <v>red</v>
          </cell>
          <cell r="E1333">
            <v>1</v>
          </cell>
          <cell r="F1333">
            <v>1.02</v>
          </cell>
          <cell r="G1333">
            <v>1</v>
          </cell>
          <cell r="H1333" t="str">
            <v>balance</v>
          </cell>
          <cell r="I1333" t="str">
            <v>バランスタイプ</v>
          </cell>
          <cell r="J1333">
            <v>1</v>
          </cell>
          <cell r="K1333">
            <v>1</v>
          </cell>
          <cell r="L1333">
            <v>1</v>
          </cell>
          <cell r="M1333" t="str">
            <v>human</v>
          </cell>
          <cell r="N1333" t="str">
            <v>ヒューマン</v>
          </cell>
          <cell r="O1333">
            <v>0.94</v>
          </cell>
          <cell r="P1333">
            <v>0.99</v>
          </cell>
          <cell r="Q1333">
            <v>1</v>
          </cell>
          <cell r="R1333" t="str">
            <v>Boss</v>
          </cell>
          <cell r="S1333">
            <v>5</v>
          </cell>
          <cell r="T1333">
            <v>1.3</v>
          </cell>
          <cell r="U1333">
            <v>0.8</v>
          </cell>
          <cell r="V1333">
            <v>3</v>
          </cell>
        </row>
        <row r="1334">
          <cell r="A1334">
            <v>1363</v>
          </cell>
          <cell r="B1334" t="str">
            <v>ヴァニラ</v>
          </cell>
          <cell r="C1334">
            <v>6</v>
          </cell>
          <cell r="D1334" t="str">
            <v>blue</v>
          </cell>
          <cell r="E1334">
            <v>1</v>
          </cell>
          <cell r="F1334">
            <v>0.98</v>
          </cell>
          <cell r="G1334">
            <v>1</v>
          </cell>
          <cell r="H1334" t="str">
            <v>attack</v>
          </cell>
          <cell r="I1334" t="str">
            <v>攻撃タイプ</v>
          </cell>
          <cell r="J1334">
            <v>1</v>
          </cell>
          <cell r="K1334">
            <v>1.33</v>
          </cell>
          <cell r="L1334">
            <v>1</v>
          </cell>
          <cell r="M1334" t="str">
            <v>human</v>
          </cell>
          <cell r="N1334" t="str">
            <v>ヒューマン</v>
          </cell>
          <cell r="O1334">
            <v>0.94</v>
          </cell>
          <cell r="P1334">
            <v>0.99</v>
          </cell>
          <cell r="Q1334">
            <v>1</v>
          </cell>
          <cell r="R1334" t="str">
            <v>Boss</v>
          </cell>
          <cell r="S1334">
            <v>5</v>
          </cell>
          <cell r="T1334">
            <v>1.3</v>
          </cell>
          <cell r="U1334">
            <v>0.8</v>
          </cell>
          <cell r="V1334">
            <v>3</v>
          </cell>
        </row>
        <row r="1335">
          <cell r="A1335">
            <v>1364</v>
          </cell>
          <cell r="B1335" t="str">
            <v>ビター</v>
          </cell>
          <cell r="C1335">
            <v>6</v>
          </cell>
          <cell r="D1335" t="str">
            <v>green</v>
          </cell>
          <cell r="E1335">
            <v>1.02</v>
          </cell>
          <cell r="F1335">
            <v>0.98</v>
          </cell>
          <cell r="G1335">
            <v>1</v>
          </cell>
          <cell r="H1335" t="str">
            <v>attack</v>
          </cell>
          <cell r="I1335" t="str">
            <v>攻撃タイプ</v>
          </cell>
          <cell r="J1335">
            <v>1</v>
          </cell>
          <cell r="K1335">
            <v>1.33</v>
          </cell>
          <cell r="L1335">
            <v>1</v>
          </cell>
          <cell r="M1335" t="str">
            <v>human</v>
          </cell>
          <cell r="N1335" t="str">
            <v>ヒューマン</v>
          </cell>
          <cell r="O1335">
            <v>0.94</v>
          </cell>
          <cell r="P1335">
            <v>0.99</v>
          </cell>
          <cell r="Q1335">
            <v>1</v>
          </cell>
          <cell r="R1335" t="str">
            <v>Boss</v>
          </cell>
          <cell r="S1335">
            <v>5</v>
          </cell>
          <cell r="T1335">
            <v>1.3</v>
          </cell>
          <cell r="U1335">
            <v>0.8</v>
          </cell>
          <cell r="V1335">
            <v>3</v>
          </cell>
        </row>
        <row r="1336">
          <cell r="A1336">
            <v>5001</v>
          </cell>
          <cell r="B1336" t="str">
            <v>ガルーダ</v>
          </cell>
          <cell r="C1336">
            <v>5</v>
          </cell>
          <cell r="D1336" t="str">
            <v>red</v>
          </cell>
          <cell r="E1336">
            <v>1</v>
          </cell>
          <cell r="F1336">
            <v>1.02</v>
          </cell>
          <cell r="G1336">
            <v>1</v>
          </cell>
          <cell r="H1336" t="str">
            <v>attack</v>
          </cell>
          <cell r="I1336" t="str">
            <v>攻撃タイプ</v>
          </cell>
          <cell r="J1336">
            <v>1</v>
          </cell>
          <cell r="K1336">
            <v>1.33</v>
          </cell>
          <cell r="L1336">
            <v>1</v>
          </cell>
          <cell r="M1336" t="str">
            <v>god</v>
          </cell>
          <cell r="N1336" t="str">
            <v>ゴッド</v>
          </cell>
          <cell r="O1336">
            <v>0.96</v>
          </cell>
          <cell r="P1336">
            <v>1.02</v>
          </cell>
          <cell r="Q1336">
            <v>1</v>
          </cell>
          <cell r="R1336" t="str">
            <v>Boss</v>
          </cell>
          <cell r="S1336">
            <v>5</v>
          </cell>
          <cell r="T1336">
            <v>1.3</v>
          </cell>
          <cell r="U1336">
            <v>0.8</v>
          </cell>
          <cell r="V1336">
            <v>3</v>
          </cell>
        </row>
        <row r="1337">
          <cell r="A1337">
            <v>5002</v>
          </cell>
          <cell r="B1337" t="str">
            <v>ガルーダ★６</v>
          </cell>
          <cell r="C1337">
            <v>6</v>
          </cell>
          <cell r="D1337" t="str">
            <v>red</v>
          </cell>
          <cell r="E1337">
            <v>1</v>
          </cell>
          <cell r="F1337">
            <v>1.02</v>
          </cell>
          <cell r="G1337">
            <v>1</v>
          </cell>
          <cell r="H1337" t="str">
            <v>attack</v>
          </cell>
          <cell r="I1337" t="str">
            <v>攻撃タイプ</v>
          </cell>
          <cell r="J1337">
            <v>1</v>
          </cell>
          <cell r="K1337">
            <v>1.33</v>
          </cell>
          <cell r="L1337">
            <v>1</v>
          </cell>
          <cell r="M1337" t="str">
            <v>god</v>
          </cell>
          <cell r="N1337" t="str">
            <v>ゴッド</v>
          </cell>
          <cell r="O1337">
            <v>0.96</v>
          </cell>
          <cell r="P1337">
            <v>1.02</v>
          </cell>
          <cell r="Q1337">
            <v>1</v>
          </cell>
          <cell r="R1337" t="str">
            <v>Boss</v>
          </cell>
          <cell r="S1337">
            <v>5</v>
          </cell>
          <cell r="T1337">
            <v>1.3</v>
          </cell>
          <cell r="U1337">
            <v>0.8</v>
          </cell>
          <cell r="V1337">
            <v>3</v>
          </cell>
        </row>
        <row r="1338">
          <cell r="A1338">
            <v>5003</v>
          </cell>
          <cell r="B1338" t="str">
            <v>ナーガ</v>
          </cell>
          <cell r="C1338">
            <v>5</v>
          </cell>
          <cell r="D1338" t="str">
            <v>green</v>
          </cell>
          <cell r="E1338">
            <v>1.02</v>
          </cell>
          <cell r="F1338">
            <v>0.98</v>
          </cell>
          <cell r="G1338">
            <v>1</v>
          </cell>
          <cell r="H1338" t="str">
            <v>technical</v>
          </cell>
          <cell r="I1338" t="str">
            <v>テクニカルタイプ</v>
          </cell>
          <cell r="J1338">
            <v>0.9</v>
          </cell>
          <cell r="K1338">
            <v>0.9</v>
          </cell>
          <cell r="L1338">
            <v>1</v>
          </cell>
          <cell r="M1338" t="str">
            <v>animal</v>
          </cell>
          <cell r="N1338" t="str">
            <v>アニマル</v>
          </cell>
          <cell r="O1338">
            <v>1</v>
          </cell>
          <cell r="P1338">
            <v>1.1000000000000001</v>
          </cell>
          <cell r="Q1338">
            <v>1</v>
          </cell>
          <cell r="R1338" t="str">
            <v>Boss</v>
          </cell>
          <cell r="S1338">
            <v>5</v>
          </cell>
          <cell r="T1338">
            <v>1.3</v>
          </cell>
          <cell r="U1338">
            <v>0.8</v>
          </cell>
          <cell r="V1338">
            <v>3</v>
          </cell>
        </row>
        <row r="1339">
          <cell r="A1339">
            <v>5004</v>
          </cell>
          <cell r="B1339" t="str">
            <v>ナーガ★６</v>
          </cell>
          <cell r="C1339">
            <v>6</v>
          </cell>
          <cell r="D1339" t="str">
            <v>green</v>
          </cell>
          <cell r="E1339">
            <v>1.02</v>
          </cell>
          <cell r="F1339">
            <v>0.98</v>
          </cell>
          <cell r="G1339">
            <v>1</v>
          </cell>
          <cell r="H1339" t="str">
            <v>technical</v>
          </cell>
          <cell r="I1339" t="str">
            <v>テクニカルタイプ</v>
          </cell>
          <cell r="J1339">
            <v>0.9</v>
          </cell>
          <cell r="K1339">
            <v>0.9</v>
          </cell>
          <cell r="L1339">
            <v>1</v>
          </cell>
          <cell r="M1339" t="str">
            <v>animal</v>
          </cell>
          <cell r="N1339" t="str">
            <v>アニマル</v>
          </cell>
          <cell r="O1339">
            <v>1</v>
          </cell>
          <cell r="P1339">
            <v>1.1000000000000001</v>
          </cell>
          <cell r="Q1339">
            <v>1</v>
          </cell>
          <cell r="R1339" t="str">
            <v>Boss</v>
          </cell>
          <cell r="S1339">
            <v>5</v>
          </cell>
          <cell r="T1339">
            <v>1.3</v>
          </cell>
          <cell r="U1339">
            <v>0.8</v>
          </cell>
          <cell r="V1339">
            <v>3</v>
          </cell>
        </row>
        <row r="1340">
          <cell r="A1340">
            <v>6001</v>
          </cell>
          <cell r="B1340" t="str">
            <v>ジェリー</v>
          </cell>
          <cell r="C1340">
            <v>1</v>
          </cell>
          <cell r="D1340" t="str">
            <v>red</v>
          </cell>
          <cell r="E1340">
            <v>1</v>
          </cell>
          <cell r="F1340">
            <v>1.02</v>
          </cell>
          <cell r="G1340">
            <v>1</v>
          </cell>
          <cell r="H1340" t="str">
            <v>ra</v>
          </cell>
          <cell r="I1340" t="str">
            <v>ラグランジュチャレンジ</v>
          </cell>
          <cell r="J1340">
            <v>1</v>
          </cell>
          <cell r="K1340">
            <v>1</v>
          </cell>
          <cell r="L1340">
            <v>1</v>
          </cell>
          <cell r="M1340" t="str">
            <v>unknown</v>
          </cell>
          <cell r="N1340" t="str">
            <v>Unknown</v>
          </cell>
          <cell r="O1340">
            <v>1</v>
          </cell>
          <cell r="P1340">
            <v>1</v>
          </cell>
          <cell r="Q1340">
            <v>1</v>
          </cell>
          <cell r="R1340" t="str">
            <v>Boss</v>
          </cell>
          <cell r="S1340">
            <v>5</v>
          </cell>
          <cell r="T1340">
            <v>1.3</v>
          </cell>
          <cell r="U1340">
            <v>0.8</v>
          </cell>
          <cell r="V1340">
            <v>3</v>
          </cell>
        </row>
        <row r="1341">
          <cell r="A1341">
            <v>6002</v>
          </cell>
          <cell r="B1341" t="str">
            <v>ヨシタカ</v>
          </cell>
          <cell r="C1341">
            <v>2</v>
          </cell>
          <cell r="D1341" t="str">
            <v>red</v>
          </cell>
          <cell r="E1341">
            <v>1</v>
          </cell>
          <cell r="F1341">
            <v>1.02</v>
          </cell>
          <cell r="G1341">
            <v>1</v>
          </cell>
          <cell r="H1341" t="str">
            <v>ra</v>
          </cell>
          <cell r="I1341" t="str">
            <v>ラグランジュチャレンジ</v>
          </cell>
          <cell r="J1341">
            <v>1</v>
          </cell>
          <cell r="K1341">
            <v>1</v>
          </cell>
          <cell r="L1341">
            <v>1</v>
          </cell>
          <cell r="M1341" t="str">
            <v>human</v>
          </cell>
          <cell r="N1341" t="str">
            <v>ヒューマン</v>
          </cell>
          <cell r="O1341">
            <v>0.94</v>
          </cell>
          <cell r="P1341">
            <v>0.99</v>
          </cell>
          <cell r="Q1341">
            <v>1</v>
          </cell>
          <cell r="R1341" t="str">
            <v>Boss</v>
          </cell>
          <cell r="S1341">
            <v>5</v>
          </cell>
          <cell r="T1341">
            <v>1.3</v>
          </cell>
          <cell r="U1341">
            <v>0.8</v>
          </cell>
          <cell r="V1341">
            <v>3</v>
          </cell>
        </row>
        <row r="1342">
          <cell r="A1342">
            <v>6003</v>
          </cell>
          <cell r="B1342" t="str">
            <v>朱雀</v>
          </cell>
          <cell r="C1342">
            <v>3</v>
          </cell>
          <cell r="D1342" t="str">
            <v>red</v>
          </cell>
          <cell r="E1342">
            <v>1</v>
          </cell>
          <cell r="F1342">
            <v>1.02</v>
          </cell>
          <cell r="G1342">
            <v>1</v>
          </cell>
          <cell r="H1342" t="str">
            <v>ra</v>
          </cell>
          <cell r="I1342" t="str">
            <v>ラグランジュチャレンジ</v>
          </cell>
          <cell r="J1342">
            <v>1</v>
          </cell>
          <cell r="K1342">
            <v>1</v>
          </cell>
          <cell r="L1342">
            <v>1</v>
          </cell>
          <cell r="M1342" t="str">
            <v>animal</v>
          </cell>
          <cell r="N1342" t="str">
            <v>アニマル</v>
          </cell>
          <cell r="O1342">
            <v>1</v>
          </cell>
          <cell r="P1342">
            <v>1.1000000000000001</v>
          </cell>
          <cell r="Q1342">
            <v>1</v>
          </cell>
          <cell r="R1342" t="str">
            <v>Boss</v>
          </cell>
          <cell r="S1342">
            <v>5</v>
          </cell>
          <cell r="T1342">
            <v>1.3</v>
          </cell>
          <cell r="U1342">
            <v>0.8</v>
          </cell>
          <cell r="V1342">
            <v>3</v>
          </cell>
        </row>
        <row r="1343">
          <cell r="A1343">
            <v>6004</v>
          </cell>
          <cell r="B1343" t="str">
            <v>ブレット</v>
          </cell>
          <cell r="C1343">
            <v>1</v>
          </cell>
          <cell r="D1343" t="str">
            <v>red</v>
          </cell>
          <cell r="E1343">
            <v>1</v>
          </cell>
          <cell r="F1343">
            <v>1.02</v>
          </cell>
          <cell r="G1343">
            <v>1</v>
          </cell>
          <cell r="H1343" t="str">
            <v>ra</v>
          </cell>
          <cell r="I1343" t="str">
            <v>ラグランジュチャレンジ</v>
          </cell>
          <cell r="J1343">
            <v>1</v>
          </cell>
          <cell r="K1343">
            <v>1</v>
          </cell>
          <cell r="L1343">
            <v>1</v>
          </cell>
          <cell r="M1343" t="str">
            <v>animal</v>
          </cell>
          <cell r="N1343" t="str">
            <v>アニマル</v>
          </cell>
          <cell r="O1343">
            <v>1</v>
          </cell>
          <cell r="P1343">
            <v>1.1000000000000001</v>
          </cell>
          <cell r="Q1343">
            <v>1</v>
          </cell>
          <cell r="R1343" t="str">
            <v>Boss</v>
          </cell>
          <cell r="S1343">
            <v>5</v>
          </cell>
          <cell r="T1343">
            <v>1.3</v>
          </cell>
          <cell r="U1343">
            <v>0.8</v>
          </cell>
          <cell r="V1343">
            <v>3</v>
          </cell>
        </row>
        <row r="1344">
          <cell r="A1344">
            <v>6005</v>
          </cell>
          <cell r="B1344" t="str">
            <v>孤神 テティス</v>
          </cell>
          <cell r="C1344">
            <v>4</v>
          </cell>
          <cell r="D1344" t="str">
            <v>blue</v>
          </cell>
          <cell r="E1344">
            <v>1</v>
          </cell>
          <cell r="F1344">
            <v>0.98</v>
          </cell>
          <cell r="G1344">
            <v>1</v>
          </cell>
          <cell r="H1344" t="str">
            <v>ra</v>
          </cell>
          <cell r="I1344" t="str">
            <v>ラグランジュチャレンジ</v>
          </cell>
          <cell r="J1344">
            <v>1</v>
          </cell>
          <cell r="K1344">
            <v>1</v>
          </cell>
          <cell r="L1344">
            <v>1</v>
          </cell>
          <cell r="M1344" t="str">
            <v>god</v>
          </cell>
          <cell r="N1344" t="str">
            <v>ゴッド</v>
          </cell>
          <cell r="O1344">
            <v>0.96</v>
          </cell>
          <cell r="P1344">
            <v>1.02</v>
          </cell>
          <cell r="Q1344">
            <v>1</v>
          </cell>
          <cell r="R1344" t="str">
            <v>Boss</v>
          </cell>
          <cell r="S1344">
            <v>5</v>
          </cell>
          <cell r="T1344">
            <v>1.3</v>
          </cell>
          <cell r="U1344">
            <v>0.8</v>
          </cell>
          <cell r="V1344">
            <v>3</v>
          </cell>
        </row>
        <row r="1345">
          <cell r="A1345">
            <v>6006</v>
          </cell>
          <cell r="B1345" t="str">
            <v>海底の孤高神 テティス</v>
          </cell>
          <cell r="C1345">
            <v>5</v>
          </cell>
          <cell r="D1345" t="str">
            <v>blue</v>
          </cell>
          <cell r="E1345">
            <v>1</v>
          </cell>
          <cell r="F1345">
            <v>0.98</v>
          </cell>
          <cell r="G1345">
            <v>1</v>
          </cell>
          <cell r="H1345" t="str">
            <v>ra</v>
          </cell>
          <cell r="I1345" t="str">
            <v>ラグランジュチャレンジ</v>
          </cell>
          <cell r="J1345">
            <v>1</v>
          </cell>
          <cell r="K1345">
            <v>1</v>
          </cell>
          <cell r="L1345">
            <v>1</v>
          </cell>
          <cell r="M1345" t="str">
            <v>god</v>
          </cell>
          <cell r="N1345" t="str">
            <v>ゴッド</v>
          </cell>
          <cell r="O1345">
            <v>0.96</v>
          </cell>
          <cell r="P1345">
            <v>1.02</v>
          </cell>
          <cell r="Q1345">
            <v>1</v>
          </cell>
          <cell r="R1345" t="str">
            <v>Boss</v>
          </cell>
          <cell r="S1345">
            <v>5</v>
          </cell>
          <cell r="T1345">
            <v>1.3</v>
          </cell>
          <cell r="U1345">
            <v>0.8</v>
          </cell>
          <cell r="V1345">
            <v>3</v>
          </cell>
        </row>
        <row r="1346">
          <cell r="A1346">
            <v>6007</v>
          </cell>
          <cell r="B1346" t="str">
            <v>番犬 ケルベロス</v>
          </cell>
          <cell r="C1346">
            <v>4</v>
          </cell>
          <cell r="D1346" t="str">
            <v>red</v>
          </cell>
          <cell r="E1346">
            <v>1</v>
          </cell>
          <cell r="F1346">
            <v>1.02</v>
          </cell>
          <cell r="G1346">
            <v>1</v>
          </cell>
          <cell r="H1346" t="str">
            <v>ra</v>
          </cell>
          <cell r="I1346" t="str">
            <v>ラグランジュチャレンジ</v>
          </cell>
          <cell r="J1346">
            <v>1</v>
          </cell>
          <cell r="K1346">
            <v>1</v>
          </cell>
          <cell r="L1346">
            <v>1</v>
          </cell>
          <cell r="M1346" t="str">
            <v>animal</v>
          </cell>
          <cell r="N1346" t="str">
            <v>アニマル</v>
          </cell>
          <cell r="O1346">
            <v>1</v>
          </cell>
          <cell r="P1346">
            <v>1.1000000000000001</v>
          </cell>
          <cell r="Q1346">
            <v>1</v>
          </cell>
          <cell r="R1346" t="str">
            <v>Boss</v>
          </cell>
          <cell r="S1346">
            <v>5</v>
          </cell>
          <cell r="T1346">
            <v>1.3</v>
          </cell>
          <cell r="U1346">
            <v>0.8</v>
          </cell>
          <cell r="V1346">
            <v>3</v>
          </cell>
        </row>
        <row r="1347">
          <cell r="A1347">
            <v>6008</v>
          </cell>
          <cell r="B1347" t="str">
            <v>焔神 プロメテウス</v>
          </cell>
          <cell r="C1347">
            <v>4</v>
          </cell>
          <cell r="D1347" t="str">
            <v>red</v>
          </cell>
          <cell r="E1347">
            <v>1</v>
          </cell>
          <cell r="F1347">
            <v>1.02</v>
          </cell>
          <cell r="G1347">
            <v>1</v>
          </cell>
          <cell r="H1347" t="str">
            <v>ra</v>
          </cell>
          <cell r="I1347" t="str">
            <v>ラグランジュチャレンジ</v>
          </cell>
          <cell r="J1347">
            <v>1</v>
          </cell>
          <cell r="K1347">
            <v>1</v>
          </cell>
          <cell r="L1347">
            <v>1</v>
          </cell>
          <cell r="M1347" t="str">
            <v>god</v>
          </cell>
          <cell r="N1347" t="str">
            <v>ゴッド</v>
          </cell>
          <cell r="O1347">
            <v>0.96</v>
          </cell>
          <cell r="P1347">
            <v>1.02</v>
          </cell>
          <cell r="Q1347">
            <v>1</v>
          </cell>
          <cell r="R1347" t="str">
            <v>Boss</v>
          </cell>
          <cell r="S1347">
            <v>5</v>
          </cell>
          <cell r="T1347">
            <v>1.3</v>
          </cell>
          <cell r="U1347">
            <v>0.8</v>
          </cell>
          <cell r="V1347">
            <v>3</v>
          </cell>
        </row>
        <row r="1348">
          <cell r="A1348">
            <v>6009</v>
          </cell>
          <cell r="B1348" t="str">
            <v>超越自我 ラグランジュ</v>
          </cell>
          <cell r="C1348">
            <v>5</v>
          </cell>
          <cell r="D1348" t="str">
            <v>red</v>
          </cell>
          <cell r="E1348">
            <v>1</v>
          </cell>
          <cell r="F1348">
            <v>1.02</v>
          </cell>
          <cell r="G1348">
            <v>1</v>
          </cell>
          <cell r="H1348" t="str">
            <v>ra</v>
          </cell>
          <cell r="I1348" t="str">
            <v>ラグランジュチャレンジ</v>
          </cell>
          <cell r="J1348">
            <v>1</v>
          </cell>
          <cell r="K1348">
            <v>1</v>
          </cell>
          <cell r="L1348">
            <v>1</v>
          </cell>
          <cell r="M1348" t="str">
            <v>human</v>
          </cell>
          <cell r="N1348" t="str">
            <v>ヒューマン</v>
          </cell>
          <cell r="O1348">
            <v>0.94</v>
          </cell>
          <cell r="P1348">
            <v>0.99</v>
          </cell>
          <cell r="Q1348">
            <v>1</v>
          </cell>
          <cell r="R1348" t="str">
            <v>Boss</v>
          </cell>
          <cell r="S1348">
            <v>5</v>
          </cell>
          <cell r="T1348">
            <v>1.3</v>
          </cell>
          <cell r="U1348">
            <v>0.8</v>
          </cell>
          <cell r="V1348">
            <v>3</v>
          </cell>
        </row>
        <row r="1349">
          <cell r="A1349">
            <v>6010</v>
          </cell>
          <cell r="B1349" t="str">
            <v>超越凌駕 ラグランジュ</v>
          </cell>
          <cell r="C1349">
            <v>6</v>
          </cell>
          <cell r="D1349" t="str">
            <v>red</v>
          </cell>
          <cell r="E1349">
            <v>1</v>
          </cell>
          <cell r="F1349">
            <v>1.02</v>
          </cell>
          <cell r="G1349">
            <v>1</v>
          </cell>
          <cell r="H1349" t="str">
            <v>ra</v>
          </cell>
          <cell r="I1349" t="str">
            <v>ラグランジュチャレンジ</v>
          </cell>
          <cell r="J1349">
            <v>1</v>
          </cell>
          <cell r="K1349">
            <v>1</v>
          </cell>
          <cell r="L1349">
            <v>1</v>
          </cell>
          <cell r="M1349" t="str">
            <v>human</v>
          </cell>
          <cell r="N1349" t="str">
            <v>ヒューマン</v>
          </cell>
          <cell r="O1349">
            <v>0.94</v>
          </cell>
          <cell r="P1349">
            <v>0.99</v>
          </cell>
          <cell r="Q1349">
            <v>1</v>
          </cell>
          <cell r="R1349" t="str">
            <v>Boss</v>
          </cell>
          <cell r="S1349">
            <v>5</v>
          </cell>
          <cell r="T1349">
            <v>1.3</v>
          </cell>
          <cell r="U1349">
            <v>0.8</v>
          </cell>
          <cell r="V1349">
            <v>3</v>
          </cell>
        </row>
        <row r="1350">
          <cell r="A1350">
            <v>6011</v>
          </cell>
          <cell r="B1350" t="str">
            <v>パトドッグリーダー ポチ</v>
          </cell>
          <cell r="C1350">
            <v>2</v>
          </cell>
          <cell r="D1350" t="str">
            <v>blue</v>
          </cell>
          <cell r="E1350">
            <v>1</v>
          </cell>
          <cell r="F1350">
            <v>0.98</v>
          </cell>
          <cell r="G1350">
            <v>1</v>
          </cell>
          <cell r="H1350" t="str">
            <v>ra002</v>
          </cell>
          <cell r="I1350" t="str">
            <v>ユークリッドチャレンジ</v>
          </cell>
          <cell r="J1350">
            <v>1</v>
          </cell>
          <cell r="K1350">
            <v>1</v>
          </cell>
          <cell r="L1350">
            <v>1</v>
          </cell>
          <cell r="M1350" t="str">
            <v>unknown</v>
          </cell>
          <cell r="N1350" t="str">
            <v>Unknown</v>
          </cell>
          <cell r="O1350">
            <v>1</v>
          </cell>
          <cell r="P1350">
            <v>1</v>
          </cell>
          <cell r="Q1350">
            <v>1</v>
          </cell>
          <cell r="R1350" t="str">
            <v>Boss</v>
          </cell>
          <cell r="S1350">
            <v>5</v>
          </cell>
          <cell r="T1350">
            <v>1.3</v>
          </cell>
          <cell r="U1350">
            <v>0.8</v>
          </cell>
          <cell r="V1350">
            <v>3</v>
          </cell>
        </row>
        <row r="1351">
          <cell r="A1351">
            <v>6012</v>
          </cell>
          <cell r="B1351" t="str">
            <v>ミミ</v>
          </cell>
          <cell r="C1351">
            <v>1</v>
          </cell>
          <cell r="D1351" t="str">
            <v>yellow</v>
          </cell>
          <cell r="E1351">
            <v>0.98</v>
          </cell>
          <cell r="F1351">
            <v>1.01</v>
          </cell>
          <cell r="G1351">
            <v>1</v>
          </cell>
          <cell r="H1351" t="str">
            <v>ra002</v>
          </cell>
          <cell r="I1351" t="str">
            <v>ユークリッドチャレンジ</v>
          </cell>
          <cell r="J1351">
            <v>1</v>
          </cell>
          <cell r="K1351">
            <v>1</v>
          </cell>
          <cell r="L1351">
            <v>1</v>
          </cell>
          <cell r="M1351" t="str">
            <v>animal</v>
          </cell>
          <cell r="N1351" t="str">
            <v>アニマル</v>
          </cell>
          <cell r="O1351">
            <v>1</v>
          </cell>
          <cell r="P1351">
            <v>1.1000000000000001</v>
          </cell>
          <cell r="Q1351">
            <v>1</v>
          </cell>
          <cell r="R1351" t="str">
            <v>Boss</v>
          </cell>
          <cell r="S1351">
            <v>5</v>
          </cell>
          <cell r="T1351">
            <v>1.3</v>
          </cell>
          <cell r="U1351">
            <v>0.8</v>
          </cell>
          <cell r="V1351">
            <v>3</v>
          </cell>
        </row>
        <row r="1352">
          <cell r="A1352">
            <v>6013</v>
          </cell>
          <cell r="B1352" t="str">
            <v>護衛機人 スケアクロウ</v>
          </cell>
          <cell r="C1352">
            <v>2</v>
          </cell>
          <cell r="D1352" t="str">
            <v>blue</v>
          </cell>
          <cell r="E1352">
            <v>1</v>
          </cell>
          <cell r="F1352">
            <v>0.98</v>
          </cell>
          <cell r="G1352">
            <v>1</v>
          </cell>
          <cell r="H1352" t="str">
            <v>ra002</v>
          </cell>
          <cell r="I1352" t="str">
            <v>ユークリッドチャレンジ</v>
          </cell>
          <cell r="J1352">
            <v>1</v>
          </cell>
          <cell r="K1352">
            <v>1</v>
          </cell>
          <cell r="L1352">
            <v>1</v>
          </cell>
          <cell r="M1352" t="str">
            <v>machine</v>
          </cell>
          <cell r="N1352" t="str">
            <v>マシン</v>
          </cell>
          <cell r="O1352">
            <v>1</v>
          </cell>
          <cell r="P1352">
            <v>1</v>
          </cell>
          <cell r="Q1352">
            <v>1</v>
          </cell>
          <cell r="R1352" t="str">
            <v>Boss</v>
          </cell>
          <cell r="S1352">
            <v>5</v>
          </cell>
          <cell r="T1352">
            <v>1.3</v>
          </cell>
          <cell r="U1352">
            <v>0.8</v>
          </cell>
          <cell r="V1352">
            <v>3</v>
          </cell>
        </row>
        <row r="1353">
          <cell r="A1353">
            <v>6014</v>
          </cell>
          <cell r="B1353" t="str">
            <v>月下の人狼 ローレンス</v>
          </cell>
          <cell r="C1353">
            <v>4</v>
          </cell>
          <cell r="D1353" t="str">
            <v>blue</v>
          </cell>
          <cell r="E1353">
            <v>1</v>
          </cell>
          <cell r="F1353">
            <v>0.98</v>
          </cell>
          <cell r="G1353">
            <v>1</v>
          </cell>
          <cell r="H1353" t="str">
            <v>ra002</v>
          </cell>
          <cell r="I1353" t="str">
            <v>ユークリッドチャレンジ</v>
          </cell>
          <cell r="J1353">
            <v>1</v>
          </cell>
          <cell r="K1353">
            <v>1</v>
          </cell>
          <cell r="L1353">
            <v>1</v>
          </cell>
          <cell r="M1353" t="str">
            <v>animal</v>
          </cell>
          <cell r="N1353" t="str">
            <v>アニマル</v>
          </cell>
          <cell r="O1353">
            <v>1</v>
          </cell>
          <cell r="P1353">
            <v>1.1000000000000001</v>
          </cell>
          <cell r="Q1353">
            <v>1</v>
          </cell>
          <cell r="R1353" t="str">
            <v>Boss</v>
          </cell>
          <cell r="S1353">
            <v>5</v>
          </cell>
          <cell r="T1353">
            <v>1.3</v>
          </cell>
          <cell r="U1353">
            <v>0.8</v>
          </cell>
          <cell r="V1353">
            <v>3</v>
          </cell>
        </row>
        <row r="1354">
          <cell r="A1354">
            <v>6015</v>
          </cell>
          <cell r="B1354" t="str">
            <v>フレイヤ</v>
          </cell>
          <cell r="C1354">
            <v>4</v>
          </cell>
          <cell r="D1354" t="str">
            <v>blue</v>
          </cell>
          <cell r="E1354">
            <v>1</v>
          </cell>
          <cell r="F1354">
            <v>0.98</v>
          </cell>
          <cell r="G1354">
            <v>1</v>
          </cell>
          <cell r="H1354" t="str">
            <v>ra002</v>
          </cell>
          <cell r="I1354" t="str">
            <v>ユークリッドチャレンジ</v>
          </cell>
          <cell r="J1354">
            <v>1</v>
          </cell>
          <cell r="K1354">
            <v>1</v>
          </cell>
          <cell r="L1354">
            <v>1</v>
          </cell>
          <cell r="M1354" t="str">
            <v>animal</v>
          </cell>
          <cell r="N1354" t="str">
            <v>アニマル</v>
          </cell>
          <cell r="O1354">
            <v>1</v>
          </cell>
          <cell r="P1354">
            <v>1.1000000000000001</v>
          </cell>
          <cell r="Q1354">
            <v>1</v>
          </cell>
          <cell r="R1354" t="str">
            <v>Boss</v>
          </cell>
          <cell r="S1354">
            <v>5</v>
          </cell>
          <cell r="T1354">
            <v>1.3</v>
          </cell>
          <cell r="U1354">
            <v>0.8</v>
          </cell>
          <cell r="V1354">
            <v>3</v>
          </cell>
        </row>
        <row r="1355">
          <cell r="A1355">
            <v>6016</v>
          </cell>
          <cell r="B1355" t="str">
            <v>根原論理 ユークリッド</v>
          </cell>
          <cell r="C1355">
            <v>5</v>
          </cell>
          <cell r="D1355" t="str">
            <v>blue</v>
          </cell>
          <cell r="E1355">
            <v>1</v>
          </cell>
          <cell r="F1355">
            <v>0.98</v>
          </cell>
          <cell r="G1355">
            <v>1</v>
          </cell>
          <cell r="H1355" t="str">
            <v>ra002</v>
          </cell>
          <cell r="I1355" t="str">
            <v>ユークリッドチャレンジ</v>
          </cell>
          <cell r="J1355">
            <v>1</v>
          </cell>
          <cell r="K1355">
            <v>1</v>
          </cell>
          <cell r="L1355">
            <v>1</v>
          </cell>
          <cell r="M1355" t="str">
            <v>human</v>
          </cell>
          <cell r="N1355" t="str">
            <v>ヒューマン</v>
          </cell>
          <cell r="O1355">
            <v>0.94</v>
          </cell>
          <cell r="P1355">
            <v>0.99</v>
          </cell>
          <cell r="Q1355">
            <v>1</v>
          </cell>
          <cell r="R1355" t="str">
            <v>Boss</v>
          </cell>
          <cell r="S1355">
            <v>5</v>
          </cell>
          <cell r="T1355">
            <v>1.3</v>
          </cell>
          <cell r="U1355">
            <v>0.8</v>
          </cell>
          <cell r="V1355">
            <v>3</v>
          </cell>
        </row>
        <row r="1356">
          <cell r="A1356">
            <v>6017</v>
          </cell>
          <cell r="B1356" t="str">
            <v>不朽の極論 ユークリッド</v>
          </cell>
          <cell r="C1356">
            <v>6</v>
          </cell>
          <cell r="D1356" t="str">
            <v>blue</v>
          </cell>
          <cell r="E1356">
            <v>1</v>
          </cell>
          <cell r="F1356">
            <v>0.98</v>
          </cell>
          <cell r="G1356">
            <v>1</v>
          </cell>
          <cell r="H1356" t="str">
            <v>ra002</v>
          </cell>
          <cell r="I1356" t="str">
            <v>ユークリッドチャレンジ</v>
          </cell>
          <cell r="J1356">
            <v>1</v>
          </cell>
          <cell r="K1356">
            <v>1</v>
          </cell>
          <cell r="L1356">
            <v>1</v>
          </cell>
          <cell r="M1356" t="str">
            <v>human</v>
          </cell>
          <cell r="N1356" t="str">
            <v>ヒューマン</v>
          </cell>
          <cell r="O1356">
            <v>0.94</v>
          </cell>
          <cell r="P1356">
            <v>0.99</v>
          </cell>
          <cell r="Q1356">
            <v>1</v>
          </cell>
          <cell r="R1356" t="str">
            <v>Boss</v>
          </cell>
          <cell r="S1356">
            <v>5</v>
          </cell>
          <cell r="T1356">
            <v>1.3</v>
          </cell>
          <cell r="U1356">
            <v>0.8</v>
          </cell>
          <cell r="V1356">
            <v>3</v>
          </cell>
        </row>
        <row r="1357">
          <cell r="A1357">
            <v>6018</v>
          </cell>
          <cell r="B1357" t="str">
            <v>ハヅル</v>
          </cell>
          <cell r="C1357">
            <v>4</v>
          </cell>
          <cell r="D1357" t="str">
            <v>red</v>
          </cell>
          <cell r="E1357">
            <v>1</v>
          </cell>
          <cell r="F1357">
            <v>1.02</v>
          </cell>
          <cell r="G1357">
            <v>1</v>
          </cell>
          <cell r="H1357" t="str">
            <v>ra002</v>
          </cell>
          <cell r="I1357" t="str">
            <v>ユークリッドチャレンジ</v>
          </cell>
          <cell r="J1357">
            <v>1</v>
          </cell>
          <cell r="K1357">
            <v>1</v>
          </cell>
          <cell r="L1357">
            <v>1</v>
          </cell>
          <cell r="M1357" t="str">
            <v>animal</v>
          </cell>
          <cell r="N1357" t="str">
            <v>アニマル</v>
          </cell>
          <cell r="O1357">
            <v>1</v>
          </cell>
          <cell r="P1357">
            <v>1.1000000000000001</v>
          </cell>
          <cell r="Q1357">
            <v>1</v>
          </cell>
          <cell r="R1357" t="str">
            <v>Boss</v>
          </cell>
          <cell r="S1357">
            <v>5</v>
          </cell>
          <cell r="T1357">
            <v>1.3</v>
          </cell>
          <cell r="U1357">
            <v>0.8</v>
          </cell>
          <cell r="V1357">
            <v>3</v>
          </cell>
        </row>
        <row r="1358">
          <cell r="A1358">
            <v>6019</v>
          </cell>
          <cell r="B1358" t="str">
            <v>天織羽鶴 ハヅル</v>
          </cell>
          <cell r="C1358">
            <v>5</v>
          </cell>
          <cell r="D1358" t="str">
            <v>red</v>
          </cell>
          <cell r="E1358">
            <v>1</v>
          </cell>
          <cell r="F1358">
            <v>1.02</v>
          </cell>
          <cell r="G1358">
            <v>1</v>
          </cell>
          <cell r="H1358" t="str">
            <v>ra002</v>
          </cell>
          <cell r="I1358" t="str">
            <v>ユークリッドチャレンジ</v>
          </cell>
          <cell r="J1358">
            <v>1</v>
          </cell>
          <cell r="K1358">
            <v>1</v>
          </cell>
          <cell r="L1358">
            <v>1</v>
          </cell>
          <cell r="M1358" t="str">
            <v>animal</v>
          </cell>
          <cell r="N1358" t="str">
            <v>アニマル</v>
          </cell>
          <cell r="O1358">
            <v>1</v>
          </cell>
          <cell r="P1358">
            <v>1.1000000000000001</v>
          </cell>
          <cell r="Q1358">
            <v>1</v>
          </cell>
          <cell r="R1358" t="str">
            <v>Boss</v>
          </cell>
          <cell r="S1358">
            <v>5</v>
          </cell>
          <cell r="T1358">
            <v>1.3</v>
          </cell>
          <cell r="U1358">
            <v>0.8</v>
          </cell>
          <cell r="V1358">
            <v>3</v>
          </cell>
        </row>
        <row r="1359">
          <cell r="A1359">
            <v>6020</v>
          </cell>
          <cell r="B1359" t="str">
            <v>ミズチ</v>
          </cell>
          <cell r="C1359">
            <v>4</v>
          </cell>
          <cell r="D1359" t="str">
            <v>blue</v>
          </cell>
          <cell r="E1359">
            <v>1</v>
          </cell>
          <cell r="F1359">
            <v>0.98</v>
          </cell>
          <cell r="G1359">
            <v>1</v>
          </cell>
          <cell r="H1359" t="str">
            <v>ra002</v>
          </cell>
          <cell r="I1359" t="str">
            <v>ユークリッドチャレンジ</v>
          </cell>
          <cell r="J1359">
            <v>1</v>
          </cell>
          <cell r="K1359">
            <v>1</v>
          </cell>
          <cell r="L1359">
            <v>1</v>
          </cell>
          <cell r="M1359" t="str">
            <v>dragon</v>
          </cell>
          <cell r="N1359" t="str">
            <v>ドラゴン</v>
          </cell>
          <cell r="O1359">
            <v>1.1499999999999999</v>
          </cell>
          <cell r="P1359">
            <v>1.1000000000000001</v>
          </cell>
          <cell r="Q1359">
            <v>1</v>
          </cell>
          <cell r="R1359" t="str">
            <v>Boss</v>
          </cell>
          <cell r="S1359">
            <v>5</v>
          </cell>
          <cell r="T1359">
            <v>1.3</v>
          </cell>
          <cell r="U1359">
            <v>0.8</v>
          </cell>
          <cell r="V1359">
            <v>3</v>
          </cell>
        </row>
        <row r="1360">
          <cell r="A1360">
            <v>8001</v>
          </cell>
          <cell r="B1360" t="str">
            <v>媽祖</v>
          </cell>
          <cell r="C1360">
            <v>5</v>
          </cell>
          <cell r="D1360" t="str">
            <v>yellow</v>
          </cell>
          <cell r="E1360">
            <v>0.98</v>
          </cell>
          <cell r="F1360">
            <v>1.01</v>
          </cell>
          <cell r="G1360">
            <v>1</v>
          </cell>
          <cell r="H1360" t="str">
            <v>attack</v>
          </cell>
          <cell r="I1360" t="str">
            <v>攻撃タイプ</v>
          </cell>
          <cell r="J1360">
            <v>1</v>
          </cell>
          <cell r="K1360">
            <v>1.33</v>
          </cell>
          <cell r="L1360">
            <v>1</v>
          </cell>
          <cell r="M1360" t="str">
            <v>god</v>
          </cell>
          <cell r="N1360" t="str">
            <v>ゴッド</v>
          </cell>
          <cell r="O1360">
            <v>0.96</v>
          </cell>
          <cell r="P1360">
            <v>1.02</v>
          </cell>
          <cell r="Q1360">
            <v>1</v>
          </cell>
          <cell r="R1360" t="str">
            <v>Boss</v>
          </cell>
          <cell r="S1360">
            <v>5</v>
          </cell>
          <cell r="T1360">
            <v>1.3</v>
          </cell>
          <cell r="U1360">
            <v>0.8</v>
          </cell>
          <cell r="V1360">
            <v>3</v>
          </cell>
        </row>
        <row r="1361">
          <cell r="A1361">
            <v>8002</v>
          </cell>
          <cell r="B1361" t="str">
            <v>宣導する天海妃 媽祖</v>
          </cell>
          <cell r="C1361">
            <v>6</v>
          </cell>
          <cell r="D1361" t="str">
            <v>yellow</v>
          </cell>
          <cell r="E1361">
            <v>0.98</v>
          </cell>
          <cell r="F1361">
            <v>1.01</v>
          </cell>
          <cell r="G1361">
            <v>1</v>
          </cell>
          <cell r="H1361" t="str">
            <v>attack</v>
          </cell>
          <cell r="I1361" t="str">
            <v>攻撃タイプ</v>
          </cell>
          <cell r="J1361">
            <v>1</v>
          </cell>
          <cell r="K1361">
            <v>1.33</v>
          </cell>
          <cell r="L1361">
            <v>1</v>
          </cell>
          <cell r="M1361" t="str">
            <v>god</v>
          </cell>
          <cell r="N1361" t="str">
            <v>ゴッド</v>
          </cell>
          <cell r="O1361">
            <v>0.96</v>
          </cell>
          <cell r="P1361">
            <v>1.02</v>
          </cell>
          <cell r="Q1361">
            <v>1</v>
          </cell>
          <cell r="R1361" t="str">
            <v>Boss</v>
          </cell>
          <cell r="S1361">
            <v>5</v>
          </cell>
          <cell r="T1361">
            <v>1.3</v>
          </cell>
          <cell r="U1361">
            <v>0.8</v>
          </cell>
          <cell r="V1361">
            <v>3</v>
          </cell>
        </row>
        <row r="1362">
          <cell r="A1362">
            <v>8003</v>
          </cell>
          <cell r="B1362" t="str">
            <v>蛟龍</v>
          </cell>
          <cell r="C1362">
            <v>5</v>
          </cell>
          <cell r="D1362" t="str">
            <v>blue</v>
          </cell>
          <cell r="E1362">
            <v>1</v>
          </cell>
          <cell r="F1362">
            <v>0.98</v>
          </cell>
          <cell r="G1362">
            <v>1</v>
          </cell>
          <cell r="H1362" t="str">
            <v>hp</v>
          </cell>
          <cell r="I1362" t="str">
            <v>体力タイプ</v>
          </cell>
          <cell r="J1362">
            <v>1.45</v>
          </cell>
          <cell r="K1362">
            <v>0.85</v>
          </cell>
          <cell r="L1362">
            <v>1</v>
          </cell>
          <cell r="M1362" t="str">
            <v>dragon</v>
          </cell>
          <cell r="N1362" t="str">
            <v>ドラゴン</v>
          </cell>
          <cell r="O1362">
            <v>1.1499999999999999</v>
          </cell>
          <cell r="P1362">
            <v>1.1000000000000001</v>
          </cell>
          <cell r="Q1362">
            <v>1</v>
          </cell>
          <cell r="R1362" t="str">
            <v>Boss</v>
          </cell>
          <cell r="S1362">
            <v>5</v>
          </cell>
          <cell r="T1362">
            <v>1.3</v>
          </cell>
          <cell r="U1362">
            <v>0.8</v>
          </cell>
          <cell r="V1362">
            <v>3</v>
          </cell>
        </row>
        <row r="1363">
          <cell r="A1363">
            <v>8004</v>
          </cell>
          <cell r="B1363" t="str">
            <v>呼嵐の蒼棲龍 蛟龍</v>
          </cell>
          <cell r="C1363">
            <v>6</v>
          </cell>
          <cell r="D1363" t="str">
            <v>blue</v>
          </cell>
          <cell r="E1363">
            <v>1</v>
          </cell>
          <cell r="F1363">
            <v>0.98</v>
          </cell>
          <cell r="G1363">
            <v>1</v>
          </cell>
          <cell r="H1363" t="str">
            <v>hp</v>
          </cell>
          <cell r="I1363" t="str">
            <v>体力タイプ</v>
          </cell>
          <cell r="J1363">
            <v>1.45</v>
          </cell>
          <cell r="K1363">
            <v>0.85</v>
          </cell>
          <cell r="L1363">
            <v>1</v>
          </cell>
          <cell r="M1363" t="str">
            <v>dragon</v>
          </cell>
          <cell r="N1363" t="str">
            <v>ドラゴン</v>
          </cell>
          <cell r="O1363">
            <v>1.1499999999999999</v>
          </cell>
          <cell r="P1363">
            <v>1.1000000000000001</v>
          </cell>
          <cell r="Q1363">
            <v>1</v>
          </cell>
          <cell r="R1363" t="str">
            <v>Boss</v>
          </cell>
          <cell r="S1363">
            <v>5</v>
          </cell>
          <cell r="T1363">
            <v>1.3</v>
          </cell>
          <cell r="U1363">
            <v>0.8</v>
          </cell>
          <cell r="V1363">
            <v>3</v>
          </cell>
        </row>
        <row r="1364">
          <cell r="A1364">
            <v>8005</v>
          </cell>
          <cell r="B1364" t="str">
            <v>三蔵法師</v>
          </cell>
          <cell r="C1364">
            <v>5</v>
          </cell>
          <cell r="D1364" t="str">
            <v>blue</v>
          </cell>
          <cell r="E1364">
            <v>1</v>
          </cell>
          <cell r="F1364">
            <v>0.98</v>
          </cell>
          <cell r="G1364">
            <v>1</v>
          </cell>
          <cell r="H1364" t="str">
            <v>balance</v>
          </cell>
          <cell r="I1364" t="str">
            <v>バランスタイプ</v>
          </cell>
          <cell r="J1364">
            <v>1</v>
          </cell>
          <cell r="K1364">
            <v>1</v>
          </cell>
          <cell r="L1364">
            <v>1</v>
          </cell>
          <cell r="M1364" t="str">
            <v>human</v>
          </cell>
          <cell r="N1364" t="str">
            <v>ヒューマン</v>
          </cell>
          <cell r="O1364">
            <v>0.94</v>
          </cell>
          <cell r="P1364">
            <v>0.99</v>
          </cell>
          <cell r="Q1364">
            <v>1</v>
          </cell>
          <cell r="R1364" t="str">
            <v>Boss</v>
          </cell>
          <cell r="S1364">
            <v>5</v>
          </cell>
          <cell r="T1364">
            <v>1.3</v>
          </cell>
          <cell r="U1364">
            <v>0.8</v>
          </cell>
          <cell r="V1364">
            <v>3</v>
          </cell>
        </row>
        <row r="1365">
          <cell r="A1365">
            <v>8006</v>
          </cell>
          <cell r="B1365" t="str">
            <v>慈戒の呪封使 三蔵法師</v>
          </cell>
          <cell r="C1365">
            <v>6</v>
          </cell>
          <cell r="D1365" t="str">
            <v>blue</v>
          </cell>
          <cell r="E1365">
            <v>1</v>
          </cell>
          <cell r="F1365">
            <v>0.98</v>
          </cell>
          <cell r="G1365">
            <v>1</v>
          </cell>
          <cell r="H1365" t="str">
            <v>balance</v>
          </cell>
          <cell r="I1365" t="str">
            <v>バランスタイプ</v>
          </cell>
          <cell r="J1365">
            <v>1</v>
          </cell>
          <cell r="K1365">
            <v>1</v>
          </cell>
          <cell r="L1365">
            <v>1</v>
          </cell>
          <cell r="M1365" t="str">
            <v>human</v>
          </cell>
          <cell r="N1365" t="str">
            <v>ヒューマン</v>
          </cell>
          <cell r="O1365">
            <v>0.94</v>
          </cell>
          <cell r="P1365">
            <v>0.99</v>
          </cell>
          <cell r="Q1365">
            <v>1</v>
          </cell>
          <cell r="R1365" t="str">
            <v>Boss</v>
          </cell>
          <cell r="S1365">
            <v>5</v>
          </cell>
          <cell r="T1365">
            <v>1.3</v>
          </cell>
          <cell r="U1365">
            <v>0.8</v>
          </cell>
          <cell r="V1365">
            <v>3</v>
          </cell>
        </row>
        <row r="1366">
          <cell r="A1366">
            <v>8007</v>
          </cell>
          <cell r="B1366" t="str">
            <v>孫悟空</v>
          </cell>
          <cell r="C1366">
            <v>5</v>
          </cell>
          <cell r="D1366" t="str">
            <v>red</v>
          </cell>
          <cell r="E1366">
            <v>1</v>
          </cell>
          <cell r="F1366">
            <v>1.02</v>
          </cell>
          <cell r="G1366">
            <v>1</v>
          </cell>
          <cell r="H1366" t="str">
            <v>attack</v>
          </cell>
          <cell r="I1366" t="str">
            <v>攻撃タイプ</v>
          </cell>
          <cell r="J1366">
            <v>1</v>
          </cell>
          <cell r="K1366">
            <v>1.33</v>
          </cell>
          <cell r="L1366">
            <v>1</v>
          </cell>
          <cell r="M1366" t="str">
            <v>animal</v>
          </cell>
          <cell r="N1366" t="str">
            <v>アニマル</v>
          </cell>
          <cell r="O1366">
            <v>1</v>
          </cell>
          <cell r="P1366">
            <v>1.1000000000000001</v>
          </cell>
          <cell r="Q1366">
            <v>1</v>
          </cell>
          <cell r="R1366" t="str">
            <v>Boss</v>
          </cell>
          <cell r="S1366">
            <v>5</v>
          </cell>
          <cell r="T1366">
            <v>1.3</v>
          </cell>
          <cell r="U1366">
            <v>0.8</v>
          </cell>
          <cell r="V1366">
            <v>3</v>
          </cell>
        </row>
        <row r="1367">
          <cell r="A1367">
            <v>8008</v>
          </cell>
          <cell r="B1367" t="str">
            <v>花果の天猿仙人 孫悟空</v>
          </cell>
          <cell r="C1367">
            <v>6</v>
          </cell>
          <cell r="D1367" t="str">
            <v>red</v>
          </cell>
          <cell r="E1367">
            <v>1</v>
          </cell>
          <cell r="F1367">
            <v>1.02</v>
          </cell>
          <cell r="G1367">
            <v>1</v>
          </cell>
          <cell r="H1367" t="str">
            <v>attack</v>
          </cell>
          <cell r="I1367" t="str">
            <v>攻撃タイプ</v>
          </cell>
          <cell r="J1367">
            <v>1</v>
          </cell>
          <cell r="K1367">
            <v>1.33</v>
          </cell>
          <cell r="L1367">
            <v>1</v>
          </cell>
          <cell r="M1367" t="str">
            <v>animal</v>
          </cell>
          <cell r="N1367" t="str">
            <v>アニマル</v>
          </cell>
          <cell r="O1367">
            <v>1</v>
          </cell>
          <cell r="P1367">
            <v>1.1000000000000001</v>
          </cell>
          <cell r="Q1367">
            <v>1</v>
          </cell>
          <cell r="R1367" t="str">
            <v>Boss</v>
          </cell>
          <cell r="S1367">
            <v>5</v>
          </cell>
          <cell r="T1367">
            <v>1.3</v>
          </cell>
          <cell r="U1367">
            <v>0.8</v>
          </cell>
          <cell r="V1367">
            <v>3</v>
          </cell>
        </row>
        <row r="1368">
          <cell r="A1368">
            <v>8009</v>
          </cell>
          <cell r="B1368" t="str">
            <v>西王娘娘</v>
          </cell>
          <cell r="C1368">
            <v>5</v>
          </cell>
          <cell r="D1368" t="str">
            <v>green</v>
          </cell>
          <cell r="E1368">
            <v>1.02</v>
          </cell>
          <cell r="F1368">
            <v>0.98</v>
          </cell>
          <cell r="G1368">
            <v>1</v>
          </cell>
          <cell r="H1368" t="str">
            <v>attack</v>
          </cell>
          <cell r="I1368" t="str">
            <v>攻撃タイプ</v>
          </cell>
          <cell r="J1368">
            <v>1</v>
          </cell>
          <cell r="K1368">
            <v>1.33</v>
          </cell>
          <cell r="L1368">
            <v>1</v>
          </cell>
          <cell r="M1368" t="str">
            <v>god</v>
          </cell>
          <cell r="N1368" t="str">
            <v>ゴッド</v>
          </cell>
          <cell r="O1368">
            <v>0.96</v>
          </cell>
          <cell r="P1368">
            <v>1.02</v>
          </cell>
          <cell r="Q1368">
            <v>1</v>
          </cell>
          <cell r="R1368" t="str">
            <v>Boss</v>
          </cell>
          <cell r="S1368">
            <v>5</v>
          </cell>
          <cell r="T1368">
            <v>1.3</v>
          </cell>
          <cell r="U1368">
            <v>0.8</v>
          </cell>
          <cell r="V1368">
            <v>3</v>
          </cell>
        </row>
        <row r="1369">
          <cell r="A1369">
            <v>8010</v>
          </cell>
          <cell r="B1369" t="str">
            <v>極楽瑶池の聖母 西王娘娘</v>
          </cell>
          <cell r="C1369">
            <v>6</v>
          </cell>
          <cell r="D1369" t="str">
            <v>green</v>
          </cell>
          <cell r="E1369">
            <v>1.02</v>
          </cell>
          <cell r="F1369">
            <v>0.98</v>
          </cell>
          <cell r="G1369">
            <v>1</v>
          </cell>
          <cell r="H1369" t="str">
            <v>attack</v>
          </cell>
          <cell r="I1369" t="str">
            <v>攻撃タイプ</v>
          </cell>
          <cell r="J1369">
            <v>1</v>
          </cell>
          <cell r="K1369">
            <v>1.33</v>
          </cell>
          <cell r="L1369">
            <v>1</v>
          </cell>
          <cell r="M1369" t="str">
            <v>god</v>
          </cell>
          <cell r="N1369" t="str">
            <v>ゴッド</v>
          </cell>
          <cell r="O1369">
            <v>0.96</v>
          </cell>
          <cell r="P1369">
            <v>1.02</v>
          </cell>
          <cell r="Q1369">
            <v>1</v>
          </cell>
          <cell r="R1369" t="str">
            <v>Boss</v>
          </cell>
          <cell r="S1369">
            <v>5</v>
          </cell>
          <cell r="T1369">
            <v>1.3</v>
          </cell>
          <cell r="U1369">
            <v>0.8</v>
          </cell>
          <cell r="V1369">
            <v>3</v>
          </cell>
        </row>
        <row r="1370">
          <cell r="A1370">
            <v>8011</v>
          </cell>
          <cell r="B1370" t="str">
            <v>月下老人</v>
          </cell>
          <cell r="C1370">
            <v>5</v>
          </cell>
          <cell r="D1370" t="str">
            <v>yellow</v>
          </cell>
          <cell r="E1370">
            <v>0.98</v>
          </cell>
          <cell r="F1370">
            <v>1.01</v>
          </cell>
          <cell r="G1370">
            <v>1</v>
          </cell>
          <cell r="H1370" t="str">
            <v>balance</v>
          </cell>
          <cell r="I1370" t="str">
            <v>バランスタイプ</v>
          </cell>
          <cell r="J1370">
            <v>1</v>
          </cell>
          <cell r="K1370">
            <v>1</v>
          </cell>
          <cell r="L1370">
            <v>1</v>
          </cell>
          <cell r="M1370" t="str">
            <v>god</v>
          </cell>
          <cell r="N1370" t="str">
            <v>ゴッド</v>
          </cell>
          <cell r="O1370">
            <v>0.96</v>
          </cell>
          <cell r="P1370">
            <v>1.02</v>
          </cell>
          <cell r="Q1370">
            <v>1</v>
          </cell>
          <cell r="R1370" t="str">
            <v>Boss</v>
          </cell>
          <cell r="S1370">
            <v>5</v>
          </cell>
          <cell r="T1370">
            <v>1.3</v>
          </cell>
          <cell r="U1370">
            <v>0.8</v>
          </cell>
          <cell r="V1370">
            <v>3</v>
          </cell>
        </row>
        <row r="1371">
          <cell r="A1371">
            <v>8012</v>
          </cell>
          <cell r="B1371" t="str">
            <v>破戀斬る縁剣 月下老人</v>
          </cell>
          <cell r="C1371">
            <v>6</v>
          </cell>
          <cell r="D1371" t="str">
            <v>yellow</v>
          </cell>
          <cell r="E1371">
            <v>0.98</v>
          </cell>
          <cell r="F1371">
            <v>1.01</v>
          </cell>
          <cell r="G1371">
            <v>1</v>
          </cell>
          <cell r="H1371" t="str">
            <v>balance</v>
          </cell>
          <cell r="I1371" t="str">
            <v>バランスタイプ</v>
          </cell>
          <cell r="J1371">
            <v>1</v>
          </cell>
          <cell r="K1371">
            <v>1</v>
          </cell>
          <cell r="L1371">
            <v>1</v>
          </cell>
          <cell r="M1371" t="str">
            <v>god</v>
          </cell>
          <cell r="N1371" t="str">
            <v>ゴッド</v>
          </cell>
          <cell r="O1371">
            <v>0.96</v>
          </cell>
          <cell r="P1371">
            <v>1.02</v>
          </cell>
          <cell r="Q1371">
            <v>1</v>
          </cell>
          <cell r="R1371" t="str">
            <v>Boss</v>
          </cell>
          <cell r="S1371">
            <v>5</v>
          </cell>
          <cell r="T1371">
            <v>1.3</v>
          </cell>
          <cell r="U1371">
            <v>0.8</v>
          </cell>
          <cell r="V1371">
            <v>3</v>
          </cell>
        </row>
        <row r="1372">
          <cell r="A1372">
            <v>8013</v>
          </cell>
          <cell r="B1372" t="str">
            <v>初音ミクV3</v>
          </cell>
          <cell r="C1372">
            <v>4</v>
          </cell>
          <cell r="D1372" t="str">
            <v>yellow</v>
          </cell>
          <cell r="E1372">
            <v>0.98</v>
          </cell>
          <cell r="F1372">
            <v>1.01</v>
          </cell>
          <cell r="G1372">
            <v>1</v>
          </cell>
          <cell r="H1372" t="str">
            <v>balance</v>
          </cell>
          <cell r="I1372" t="str">
            <v>バランスタイプ</v>
          </cell>
          <cell r="J1372">
            <v>1</v>
          </cell>
          <cell r="K1372">
            <v>1</v>
          </cell>
          <cell r="L1372">
            <v>1</v>
          </cell>
          <cell r="M1372" t="str">
            <v>unknown</v>
          </cell>
          <cell r="N1372" t="str">
            <v>Unknown</v>
          </cell>
          <cell r="O1372">
            <v>1</v>
          </cell>
          <cell r="P1372">
            <v>1</v>
          </cell>
          <cell r="Q1372">
            <v>1</v>
          </cell>
          <cell r="R1372" t="str">
            <v>Boss</v>
          </cell>
          <cell r="S1372">
            <v>5</v>
          </cell>
          <cell r="T1372">
            <v>1.3</v>
          </cell>
          <cell r="U1372">
            <v>0.8</v>
          </cell>
          <cell r="V1372">
            <v>3</v>
          </cell>
        </row>
        <row r="1373">
          <cell r="A1373">
            <v>8014</v>
          </cell>
          <cell r="B1373" t="str">
            <v>初音ミクV3</v>
          </cell>
          <cell r="C1373">
            <v>5</v>
          </cell>
          <cell r="D1373" t="str">
            <v>yellow</v>
          </cell>
          <cell r="E1373">
            <v>0.98</v>
          </cell>
          <cell r="F1373">
            <v>1.01</v>
          </cell>
          <cell r="G1373">
            <v>1</v>
          </cell>
          <cell r="H1373" t="str">
            <v>balance</v>
          </cell>
          <cell r="I1373" t="str">
            <v>バランスタイプ</v>
          </cell>
          <cell r="J1373">
            <v>1</v>
          </cell>
          <cell r="K1373">
            <v>1</v>
          </cell>
          <cell r="L1373">
            <v>1</v>
          </cell>
          <cell r="M1373" t="str">
            <v>unknown</v>
          </cell>
          <cell r="N1373" t="str">
            <v>Unknown</v>
          </cell>
          <cell r="O1373">
            <v>1</v>
          </cell>
          <cell r="P1373">
            <v>1</v>
          </cell>
          <cell r="Q1373">
            <v>1</v>
          </cell>
          <cell r="R1373" t="str">
            <v>Boss</v>
          </cell>
          <cell r="S1373">
            <v>5</v>
          </cell>
          <cell r="T1373">
            <v>1.3</v>
          </cell>
          <cell r="U1373">
            <v>0.8</v>
          </cell>
          <cell r="V1373">
            <v>3</v>
          </cell>
        </row>
        <row r="1374">
          <cell r="A1374">
            <v>8015</v>
          </cell>
          <cell r="B1374" t="str">
            <v>初音ミク・アペンド</v>
          </cell>
          <cell r="C1374">
            <v>4</v>
          </cell>
          <cell r="D1374" t="str">
            <v>green</v>
          </cell>
          <cell r="E1374">
            <v>1.02</v>
          </cell>
          <cell r="F1374">
            <v>0.98</v>
          </cell>
          <cell r="G1374">
            <v>1</v>
          </cell>
          <cell r="H1374" t="str">
            <v>technical</v>
          </cell>
          <cell r="I1374" t="str">
            <v>テクニカルタイプ</v>
          </cell>
          <cell r="J1374">
            <v>0.9</v>
          </cell>
          <cell r="K1374">
            <v>0.9</v>
          </cell>
          <cell r="L1374">
            <v>1</v>
          </cell>
          <cell r="M1374" t="str">
            <v>unknown</v>
          </cell>
          <cell r="N1374" t="str">
            <v>Unknown</v>
          </cell>
          <cell r="O1374">
            <v>1</v>
          </cell>
          <cell r="P1374">
            <v>1</v>
          </cell>
          <cell r="Q1374">
            <v>1</v>
          </cell>
          <cell r="R1374" t="str">
            <v>Boss</v>
          </cell>
          <cell r="S1374">
            <v>5</v>
          </cell>
          <cell r="T1374">
            <v>1.3</v>
          </cell>
          <cell r="U1374">
            <v>0.8</v>
          </cell>
          <cell r="V1374">
            <v>3</v>
          </cell>
        </row>
        <row r="1375">
          <cell r="A1375">
            <v>8016</v>
          </cell>
          <cell r="B1375" t="str">
            <v>初音ミク・アペンド</v>
          </cell>
          <cell r="C1375">
            <v>5</v>
          </cell>
          <cell r="D1375" t="str">
            <v>green</v>
          </cell>
          <cell r="E1375">
            <v>1.02</v>
          </cell>
          <cell r="F1375">
            <v>0.98</v>
          </cell>
          <cell r="G1375">
            <v>1</v>
          </cell>
          <cell r="H1375" t="str">
            <v>technical</v>
          </cell>
          <cell r="I1375" t="str">
            <v>テクニカルタイプ</v>
          </cell>
          <cell r="J1375">
            <v>0.9</v>
          </cell>
          <cell r="K1375">
            <v>0.9</v>
          </cell>
          <cell r="L1375">
            <v>1</v>
          </cell>
          <cell r="M1375" t="str">
            <v>unknown</v>
          </cell>
          <cell r="N1375" t="str">
            <v>Unknown</v>
          </cell>
          <cell r="O1375">
            <v>1</v>
          </cell>
          <cell r="P1375">
            <v>1</v>
          </cell>
          <cell r="Q1375">
            <v>1</v>
          </cell>
          <cell r="R1375" t="str">
            <v>Boss</v>
          </cell>
          <cell r="S1375">
            <v>5</v>
          </cell>
          <cell r="T1375">
            <v>1.3</v>
          </cell>
          <cell r="U1375">
            <v>0.8</v>
          </cell>
          <cell r="V1375">
            <v>3</v>
          </cell>
        </row>
        <row r="1376">
          <cell r="A1376">
            <v>8017</v>
          </cell>
          <cell r="B1376" t="str">
            <v>初音ミク</v>
          </cell>
          <cell r="C1376">
            <v>4</v>
          </cell>
          <cell r="D1376" t="str">
            <v>green</v>
          </cell>
          <cell r="E1376">
            <v>1.02</v>
          </cell>
          <cell r="F1376">
            <v>0.98</v>
          </cell>
          <cell r="G1376">
            <v>1</v>
          </cell>
          <cell r="H1376" t="str">
            <v>balance</v>
          </cell>
          <cell r="I1376" t="str">
            <v>バランスタイプ</v>
          </cell>
          <cell r="J1376">
            <v>1</v>
          </cell>
          <cell r="K1376">
            <v>1</v>
          </cell>
          <cell r="L1376">
            <v>1</v>
          </cell>
          <cell r="M1376" t="str">
            <v>unknown</v>
          </cell>
          <cell r="N1376" t="str">
            <v>Unknown</v>
          </cell>
          <cell r="O1376">
            <v>1</v>
          </cell>
          <cell r="P1376">
            <v>1</v>
          </cell>
          <cell r="Q1376">
            <v>1</v>
          </cell>
          <cell r="R1376" t="str">
            <v>Boss</v>
          </cell>
          <cell r="S1376">
            <v>5</v>
          </cell>
          <cell r="T1376">
            <v>1.3</v>
          </cell>
          <cell r="U1376">
            <v>0.8</v>
          </cell>
          <cell r="V1376">
            <v>3</v>
          </cell>
        </row>
        <row r="1377">
          <cell r="A1377">
            <v>8018</v>
          </cell>
          <cell r="B1377" t="str">
            <v>初音ミク</v>
          </cell>
          <cell r="C1377">
            <v>5</v>
          </cell>
          <cell r="D1377" t="str">
            <v>green</v>
          </cell>
          <cell r="E1377">
            <v>1.02</v>
          </cell>
          <cell r="F1377">
            <v>0.98</v>
          </cell>
          <cell r="G1377">
            <v>1</v>
          </cell>
          <cell r="H1377" t="str">
            <v>balance</v>
          </cell>
          <cell r="I1377" t="str">
            <v>バランスタイプ</v>
          </cell>
          <cell r="J1377">
            <v>1</v>
          </cell>
          <cell r="K1377">
            <v>1</v>
          </cell>
          <cell r="L1377">
            <v>1</v>
          </cell>
          <cell r="M1377" t="str">
            <v>unknown</v>
          </cell>
          <cell r="N1377" t="str">
            <v>Unknown</v>
          </cell>
          <cell r="O1377">
            <v>1</v>
          </cell>
          <cell r="P1377">
            <v>1</v>
          </cell>
          <cell r="Q1377">
            <v>1</v>
          </cell>
          <cell r="R1377" t="str">
            <v>Boss</v>
          </cell>
          <cell r="S1377">
            <v>5</v>
          </cell>
          <cell r="T1377">
            <v>1.3</v>
          </cell>
          <cell r="U1377">
            <v>0.8</v>
          </cell>
          <cell r="V1377">
            <v>3</v>
          </cell>
        </row>
        <row r="1378">
          <cell r="A1378">
            <v>8019</v>
          </cell>
          <cell r="B1378" t="str">
            <v>鏡音リン</v>
          </cell>
          <cell r="C1378">
            <v>4</v>
          </cell>
          <cell r="D1378" t="str">
            <v>yellow</v>
          </cell>
          <cell r="E1378">
            <v>0.98</v>
          </cell>
          <cell r="F1378">
            <v>1.01</v>
          </cell>
          <cell r="G1378">
            <v>1</v>
          </cell>
          <cell r="H1378" t="str">
            <v>balance</v>
          </cell>
          <cell r="I1378" t="str">
            <v>バランスタイプ</v>
          </cell>
          <cell r="J1378">
            <v>1</v>
          </cell>
          <cell r="K1378">
            <v>1</v>
          </cell>
          <cell r="L1378">
            <v>1</v>
          </cell>
          <cell r="M1378" t="str">
            <v>unknown</v>
          </cell>
          <cell r="N1378" t="str">
            <v>Unknown</v>
          </cell>
          <cell r="O1378">
            <v>1</v>
          </cell>
          <cell r="P1378">
            <v>1</v>
          </cell>
          <cell r="Q1378">
            <v>1</v>
          </cell>
          <cell r="R1378" t="str">
            <v>Boss</v>
          </cell>
          <cell r="S1378">
            <v>5</v>
          </cell>
          <cell r="T1378">
            <v>1.3</v>
          </cell>
          <cell r="U1378">
            <v>0.8</v>
          </cell>
          <cell r="V1378">
            <v>3</v>
          </cell>
        </row>
        <row r="1379">
          <cell r="A1379">
            <v>8020</v>
          </cell>
          <cell r="B1379" t="str">
            <v>鏡音リン</v>
          </cell>
          <cell r="C1379">
            <v>5</v>
          </cell>
          <cell r="D1379" t="str">
            <v>yellow</v>
          </cell>
          <cell r="E1379">
            <v>0.98</v>
          </cell>
          <cell r="F1379">
            <v>1.01</v>
          </cell>
          <cell r="G1379">
            <v>1</v>
          </cell>
          <cell r="H1379" t="str">
            <v>balance</v>
          </cell>
          <cell r="I1379" t="str">
            <v>バランスタイプ</v>
          </cell>
          <cell r="J1379">
            <v>1</v>
          </cell>
          <cell r="K1379">
            <v>1</v>
          </cell>
          <cell r="L1379">
            <v>1</v>
          </cell>
          <cell r="M1379" t="str">
            <v>unknown</v>
          </cell>
          <cell r="N1379" t="str">
            <v>Unknown</v>
          </cell>
          <cell r="O1379">
            <v>1</v>
          </cell>
          <cell r="P1379">
            <v>1</v>
          </cell>
          <cell r="Q1379">
            <v>1</v>
          </cell>
          <cell r="R1379" t="str">
            <v>Boss</v>
          </cell>
          <cell r="S1379">
            <v>5</v>
          </cell>
          <cell r="T1379">
            <v>1.3</v>
          </cell>
          <cell r="U1379">
            <v>0.8</v>
          </cell>
          <cell r="V1379">
            <v>3</v>
          </cell>
        </row>
        <row r="1380">
          <cell r="A1380">
            <v>8021</v>
          </cell>
          <cell r="B1380" t="str">
            <v>鏡音レン</v>
          </cell>
          <cell r="C1380">
            <v>4</v>
          </cell>
          <cell r="D1380" t="str">
            <v>yellow</v>
          </cell>
          <cell r="E1380">
            <v>0.98</v>
          </cell>
          <cell r="F1380">
            <v>1.01</v>
          </cell>
          <cell r="G1380">
            <v>1</v>
          </cell>
          <cell r="H1380" t="str">
            <v>heal</v>
          </cell>
          <cell r="I1380" t="str">
            <v>回復タイプ</v>
          </cell>
          <cell r="J1380">
            <v>0.8</v>
          </cell>
          <cell r="K1380">
            <v>0.78</v>
          </cell>
          <cell r="L1380">
            <v>1</v>
          </cell>
          <cell r="M1380" t="str">
            <v>unknown</v>
          </cell>
          <cell r="N1380" t="str">
            <v>Unknown</v>
          </cell>
          <cell r="O1380">
            <v>1</v>
          </cell>
          <cell r="P1380">
            <v>1</v>
          </cell>
          <cell r="Q1380">
            <v>1</v>
          </cell>
          <cell r="R1380" t="str">
            <v>Boss</v>
          </cell>
          <cell r="S1380">
            <v>5</v>
          </cell>
          <cell r="T1380">
            <v>1.3</v>
          </cell>
          <cell r="U1380">
            <v>0.8</v>
          </cell>
          <cell r="V1380">
            <v>3</v>
          </cell>
        </row>
        <row r="1381">
          <cell r="A1381">
            <v>8022</v>
          </cell>
          <cell r="B1381" t="str">
            <v>鏡音レン</v>
          </cell>
          <cell r="C1381">
            <v>5</v>
          </cell>
          <cell r="D1381" t="str">
            <v>yellow</v>
          </cell>
          <cell r="E1381">
            <v>0.98</v>
          </cell>
          <cell r="F1381">
            <v>1.01</v>
          </cell>
          <cell r="G1381">
            <v>1</v>
          </cell>
          <cell r="H1381" t="str">
            <v>heal</v>
          </cell>
          <cell r="I1381" t="str">
            <v>回復タイプ</v>
          </cell>
          <cell r="J1381">
            <v>0.8</v>
          </cell>
          <cell r="K1381">
            <v>0.78</v>
          </cell>
          <cell r="L1381">
            <v>1</v>
          </cell>
          <cell r="M1381" t="str">
            <v>unknown</v>
          </cell>
          <cell r="N1381" t="str">
            <v>Unknown</v>
          </cell>
          <cell r="O1381">
            <v>1</v>
          </cell>
          <cell r="P1381">
            <v>1</v>
          </cell>
          <cell r="Q1381">
            <v>1</v>
          </cell>
          <cell r="R1381" t="str">
            <v>Boss</v>
          </cell>
          <cell r="S1381">
            <v>5</v>
          </cell>
          <cell r="T1381">
            <v>1.3</v>
          </cell>
          <cell r="U1381">
            <v>0.8</v>
          </cell>
          <cell r="V1381">
            <v>3</v>
          </cell>
        </row>
        <row r="1382">
          <cell r="A1382">
            <v>8023</v>
          </cell>
          <cell r="B1382" t="str">
            <v>巡音ルカ</v>
          </cell>
          <cell r="C1382">
            <v>3</v>
          </cell>
          <cell r="D1382" t="str">
            <v>red</v>
          </cell>
          <cell r="E1382">
            <v>1</v>
          </cell>
          <cell r="F1382">
            <v>1.02</v>
          </cell>
          <cell r="G1382">
            <v>1</v>
          </cell>
          <cell r="H1382" t="str">
            <v>attack</v>
          </cell>
          <cell r="I1382" t="str">
            <v>攻撃タイプ</v>
          </cell>
          <cell r="J1382">
            <v>1</v>
          </cell>
          <cell r="K1382">
            <v>1.33</v>
          </cell>
          <cell r="L1382">
            <v>1</v>
          </cell>
          <cell r="M1382" t="str">
            <v>unknown</v>
          </cell>
          <cell r="N1382" t="str">
            <v>Unknown</v>
          </cell>
          <cell r="O1382">
            <v>1</v>
          </cell>
          <cell r="P1382">
            <v>1</v>
          </cell>
          <cell r="Q1382">
            <v>1</v>
          </cell>
          <cell r="R1382" t="str">
            <v>Boss</v>
          </cell>
          <cell r="S1382">
            <v>5</v>
          </cell>
          <cell r="T1382">
            <v>1.3</v>
          </cell>
          <cell r="U1382">
            <v>0.8</v>
          </cell>
          <cell r="V1382">
            <v>3</v>
          </cell>
        </row>
        <row r="1383">
          <cell r="A1383">
            <v>8024</v>
          </cell>
          <cell r="B1383" t="str">
            <v>巡音ルカ</v>
          </cell>
          <cell r="C1383">
            <v>4</v>
          </cell>
          <cell r="D1383" t="str">
            <v>red</v>
          </cell>
          <cell r="E1383">
            <v>1</v>
          </cell>
          <cell r="F1383">
            <v>1.02</v>
          </cell>
          <cell r="G1383">
            <v>1</v>
          </cell>
          <cell r="H1383" t="str">
            <v>attack</v>
          </cell>
          <cell r="I1383" t="str">
            <v>攻撃タイプ</v>
          </cell>
          <cell r="J1383">
            <v>1</v>
          </cell>
          <cell r="K1383">
            <v>1.33</v>
          </cell>
          <cell r="L1383">
            <v>1</v>
          </cell>
          <cell r="M1383" t="str">
            <v>unknown</v>
          </cell>
          <cell r="N1383" t="str">
            <v>Unknown</v>
          </cell>
          <cell r="O1383">
            <v>1</v>
          </cell>
          <cell r="P1383">
            <v>1</v>
          </cell>
          <cell r="Q1383">
            <v>1</v>
          </cell>
          <cell r="R1383" t="str">
            <v>Boss</v>
          </cell>
          <cell r="S1383">
            <v>5</v>
          </cell>
          <cell r="T1383">
            <v>1.3</v>
          </cell>
          <cell r="U1383">
            <v>0.8</v>
          </cell>
          <cell r="V1383">
            <v>3</v>
          </cell>
        </row>
        <row r="1384">
          <cell r="A1384">
            <v>8025</v>
          </cell>
          <cell r="B1384" t="str">
            <v>MEIKO</v>
          </cell>
          <cell r="C1384">
            <v>3</v>
          </cell>
          <cell r="D1384" t="str">
            <v>red</v>
          </cell>
          <cell r="E1384">
            <v>1</v>
          </cell>
          <cell r="F1384">
            <v>1.02</v>
          </cell>
          <cell r="G1384">
            <v>1</v>
          </cell>
          <cell r="H1384" t="str">
            <v>hp</v>
          </cell>
          <cell r="I1384" t="str">
            <v>体力タイプ</v>
          </cell>
          <cell r="J1384">
            <v>1.45</v>
          </cell>
          <cell r="K1384">
            <v>0.85</v>
          </cell>
          <cell r="L1384">
            <v>1</v>
          </cell>
          <cell r="M1384" t="str">
            <v>unknown</v>
          </cell>
          <cell r="N1384" t="str">
            <v>Unknown</v>
          </cell>
          <cell r="O1384">
            <v>1</v>
          </cell>
          <cell r="P1384">
            <v>1</v>
          </cell>
          <cell r="Q1384">
            <v>1</v>
          </cell>
          <cell r="R1384" t="str">
            <v>Boss</v>
          </cell>
          <cell r="S1384">
            <v>5</v>
          </cell>
          <cell r="T1384">
            <v>1.3</v>
          </cell>
          <cell r="U1384">
            <v>0.8</v>
          </cell>
          <cell r="V1384">
            <v>3</v>
          </cell>
        </row>
        <row r="1385">
          <cell r="A1385">
            <v>8026</v>
          </cell>
          <cell r="B1385" t="str">
            <v>MEIKO</v>
          </cell>
          <cell r="C1385">
            <v>4</v>
          </cell>
          <cell r="D1385" t="str">
            <v>red</v>
          </cell>
          <cell r="E1385">
            <v>1</v>
          </cell>
          <cell r="F1385">
            <v>1.02</v>
          </cell>
          <cell r="G1385">
            <v>1</v>
          </cell>
          <cell r="H1385" t="str">
            <v>hp</v>
          </cell>
          <cell r="I1385" t="str">
            <v>体力タイプ</v>
          </cell>
          <cell r="J1385">
            <v>1.45</v>
          </cell>
          <cell r="K1385">
            <v>0.85</v>
          </cell>
          <cell r="L1385">
            <v>1</v>
          </cell>
          <cell r="M1385" t="str">
            <v>unknown</v>
          </cell>
          <cell r="N1385" t="str">
            <v>Unknown</v>
          </cell>
          <cell r="O1385">
            <v>1</v>
          </cell>
          <cell r="P1385">
            <v>1</v>
          </cell>
          <cell r="Q1385">
            <v>1</v>
          </cell>
          <cell r="R1385" t="str">
            <v>Boss</v>
          </cell>
          <cell r="S1385">
            <v>5</v>
          </cell>
          <cell r="T1385">
            <v>1.3</v>
          </cell>
          <cell r="U1385">
            <v>0.8</v>
          </cell>
          <cell r="V1385">
            <v>3</v>
          </cell>
        </row>
        <row r="1386">
          <cell r="A1386">
            <v>8027</v>
          </cell>
          <cell r="B1386" t="str">
            <v>KAITO</v>
          </cell>
          <cell r="C1386">
            <v>3</v>
          </cell>
          <cell r="D1386" t="str">
            <v>blue</v>
          </cell>
          <cell r="E1386">
            <v>1</v>
          </cell>
          <cell r="F1386">
            <v>0.98</v>
          </cell>
          <cell r="G1386">
            <v>1</v>
          </cell>
          <cell r="H1386" t="str">
            <v>technical</v>
          </cell>
          <cell r="I1386" t="str">
            <v>テクニカルタイプ</v>
          </cell>
          <cell r="J1386">
            <v>0.9</v>
          </cell>
          <cell r="K1386">
            <v>0.9</v>
          </cell>
          <cell r="L1386">
            <v>1</v>
          </cell>
          <cell r="M1386" t="str">
            <v>unknown</v>
          </cell>
          <cell r="N1386" t="str">
            <v>Unknown</v>
          </cell>
          <cell r="O1386">
            <v>1</v>
          </cell>
          <cell r="P1386">
            <v>1</v>
          </cell>
          <cell r="Q1386">
            <v>1</v>
          </cell>
          <cell r="R1386" t="str">
            <v>Boss</v>
          </cell>
          <cell r="S1386">
            <v>5</v>
          </cell>
          <cell r="T1386">
            <v>1.3</v>
          </cell>
          <cell r="U1386">
            <v>0.8</v>
          </cell>
          <cell r="V1386">
            <v>3</v>
          </cell>
        </row>
        <row r="1387">
          <cell r="A1387">
            <v>8028</v>
          </cell>
          <cell r="B1387" t="str">
            <v>KAITO</v>
          </cell>
          <cell r="C1387">
            <v>4</v>
          </cell>
          <cell r="D1387" t="str">
            <v>blue</v>
          </cell>
          <cell r="E1387">
            <v>1</v>
          </cell>
          <cell r="F1387">
            <v>0.98</v>
          </cell>
          <cell r="G1387">
            <v>1</v>
          </cell>
          <cell r="H1387" t="str">
            <v>technical</v>
          </cell>
          <cell r="I1387" t="str">
            <v>テクニカルタイプ</v>
          </cell>
          <cell r="J1387">
            <v>0.9</v>
          </cell>
          <cell r="K1387">
            <v>0.9</v>
          </cell>
          <cell r="L1387">
            <v>1</v>
          </cell>
          <cell r="M1387" t="str">
            <v>unknown</v>
          </cell>
          <cell r="N1387" t="str">
            <v>Unknown</v>
          </cell>
          <cell r="O1387">
            <v>1</v>
          </cell>
          <cell r="P1387">
            <v>1</v>
          </cell>
          <cell r="Q1387">
            <v>1</v>
          </cell>
          <cell r="R1387" t="str">
            <v>Boss</v>
          </cell>
          <cell r="S1387">
            <v>5</v>
          </cell>
          <cell r="T1387">
            <v>1.3</v>
          </cell>
          <cell r="U1387">
            <v>0.8</v>
          </cell>
          <cell r="V1387">
            <v>3</v>
          </cell>
        </row>
        <row r="1388">
          <cell r="A1388">
            <v>8029</v>
          </cell>
          <cell r="B1388" t="str">
            <v>Expoミク</v>
          </cell>
          <cell r="C1388">
            <v>4</v>
          </cell>
          <cell r="D1388" t="str">
            <v>blue</v>
          </cell>
          <cell r="E1388">
            <v>1</v>
          </cell>
          <cell r="F1388">
            <v>0.98</v>
          </cell>
          <cell r="G1388">
            <v>1</v>
          </cell>
          <cell r="H1388" t="str">
            <v>heal</v>
          </cell>
          <cell r="I1388" t="str">
            <v>回復タイプ</v>
          </cell>
          <cell r="J1388">
            <v>0.8</v>
          </cell>
          <cell r="K1388">
            <v>0.78</v>
          </cell>
          <cell r="L1388">
            <v>1</v>
          </cell>
          <cell r="M1388" t="str">
            <v>unknown</v>
          </cell>
          <cell r="N1388" t="str">
            <v>Unknown</v>
          </cell>
          <cell r="O1388">
            <v>1</v>
          </cell>
          <cell r="P1388">
            <v>1</v>
          </cell>
          <cell r="Q1388">
            <v>1</v>
          </cell>
          <cell r="R1388" t="str">
            <v>Boss</v>
          </cell>
          <cell r="S1388">
            <v>5</v>
          </cell>
          <cell r="T1388">
            <v>1.3</v>
          </cell>
          <cell r="U1388">
            <v>0.8</v>
          </cell>
          <cell r="V1388">
            <v>3</v>
          </cell>
        </row>
        <row r="1389">
          <cell r="A1389">
            <v>8030</v>
          </cell>
          <cell r="B1389" t="str">
            <v>Expoミク</v>
          </cell>
          <cell r="C1389">
            <v>5</v>
          </cell>
          <cell r="D1389" t="str">
            <v>blue</v>
          </cell>
          <cell r="E1389">
            <v>1</v>
          </cell>
          <cell r="F1389">
            <v>0.98</v>
          </cell>
          <cell r="G1389">
            <v>1</v>
          </cell>
          <cell r="H1389" t="str">
            <v>heal</v>
          </cell>
          <cell r="I1389" t="str">
            <v>回復タイプ</v>
          </cell>
          <cell r="J1389">
            <v>0.8</v>
          </cell>
          <cell r="K1389">
            <v>0.78</v>
          </cell>
          <cell r="L1389">
            <v>1</v>
          </cell>
          <cell r="M1389" t="str">
            <v>unknown</v>
          </cell>
          <cell r="N1389" t="str">
            <v>Unknown</v>
          </cell>
          <cell r="O1389">
            <v>1</v>
          </cell>
          <cell r="P1389">
            <v>1</v>
          </cell>
          <cell r="Q1389">
            <v>1</v>
          </cell>
          <cell r="R1389" t="str">
            <v>Boss</v>
          </cell>
          <cell r="S1389">
            <v>5</v>
          </cell>
          <cell r="T1389">
            <v>1.3</v>
          </cell>
          <cell r="U1389">
            <v>0.8</v>
          </cell>
          <cell r="V1389">
            <v>3</v>
          </cell>
        </row>
        <row r="1390">
          <cell r="A1390">
            <v>8031</v>
          </cell>
          <cell r="B1390" t="str">
            <v>閻羅王</v>
          </cell>
          <cell r="C1390">
            <v>5</v>
          </cell>
          <cell r="D1390" t="str">
            <v>red</v>
          </cell>
          <cell r="E1390">
            <v>1</v>
          </cell>
          <cell r="F1390">
            <v>1.02</v>
          </cell>
          <cell r="G1390">
            <v>1</v>
          </cell>
          <cell r="H1390" t="str">
            <v>balance</v>
          </cell>
          <cell r="I1390" t="str">
            <v>バランスタイプ</v>
          </cell>
          <cell r="J1390">
            <v>1</v>
          </cell>
          <cell r="K1390">
            <v>1</v>
          </cell>
          <cell r="L1390">
            <v>1</v>
          </cell>
          <cell r="M1390" t="str">
            <v>god</v>
          </cell>
          <cell r="N1390" t="str">
            <v>ゴッド</v>
          </cell>
          <cell r="O1390">
            <v>0.96</v>
          </cell>
          <cell r="P1390">
            <v>1.02</v>
          </cell>
          <cell r="Q1390">
            <v>1</v>
          </cell>
          <cell r="R1390" t="str">
            <v>Boss</v>
          </cell>
          <cell r="S1390">
            <v>5</v>
          </cell>
          <cell r="T1390">
            <v>1.3</v>
          </cell>
          <cell r="U1390">
            <v>0.8</v>
          </cell>
          <cell r="V1390">
            <v>3</v>
          </cell>
        </row>
        <row r="1391">
          <cell r="A1391">
            <v>8032</v>
          </cell>
          <cell r="B1391" t="str">
            <v>六道輪廻の絶獄 閻羅王</v>
          </cell>
          <cell r="C1391">
            <v>6</v>
          </cell>
          <cell r="D1391" t="str">
            <v>red</v>
          </cell>
          <cell r="E1391">
            <v>1</v>
          </cell>
          <cell r="F1391">
            <v>1.02</v>
          </cell>
          <cell r="G1391">
            <v>1</v>
          </cell>
          <cell r="H1391" t="str">
            <v>balance</v>
          </cell>
          <cell r="I1391" t="str">
            <v>バランスタイプ</v>
          </cell>
          <cell r="J1391">
            <v>1</v>
          </cell>
          <cell r="K1391">
            <v>1</v>
          </cell>
          <cell r="L1391">
            <v>1</v>
          </cell>
          <cell r="M1391" t="str">
            <v>god</v>
          </cell>
          <cell r="N1391" t="str">
            <v>ゴッド</v>
          </cell>
          <cell r="O1391">
            <v>0.96</v>
          </cell>
          <cell r="P1391">
            <v>1.02</v>
          </cell>
          <cell r="Q1391">
            <v>1</v>
          </cell>
          <cell r="R1391" t="str">
            <v>Boss</v>
          </cell>
          <cell r="S1391">
            <v>5</v>
          </cell>
          <cell r="T1391">
            <v>1.3</v>
          </cell>
          <cell r="U1391">
            <v>0.8</v>
          </cell>
          <cell r="V1391">
            <v>3</v>
          </cell>
        </row>
        <row r="1392">
          <cell r="A1392">
            <v>8033</v>
          </cell>
          <cell r="B1392" t="str">
            <v>牛頭馬面</v>
          </cell>
          <cell r="C1392">
            <v>5</v>
          </cell>
          <cell r="D1392" t="str">
            <v>green</v>
          </cell>
          <cell r="E1392">
            <v>1.02</v>
          </cell>
          <cell r="F1392">
            <v>0.98</v>
          </cell>
          <cell r="G1392">
            <v>1</v>
          </cell>
          <cell r="H1392" t="str">
            <v>attack</v>
          </cell>
          <cell r="I1392" t="str">
            <v>攻撃タイプ</v>
          </cell>
          <cell r="J1392">
            <v>1</v>
          </cell>
          <cell r="K1392">
            <v>1.33</v>
          </cell>
          <cell r="L1392">
            <v>1</v>
          </cell>
          <cell r="M1392" t="str">
            <v>god</v>
          </cell>
          <cell r="N1392" t="str">
            <v>ゴッド</v>
          </cell>
          <cell r="O1392">
            <v>0.96</v>
          </cell>
          <cell r="P1392">
            <v>1.02</v>
          </cell>
          <cell r="Q1392">
            <v>1</v>
          </cell>
          <cell r="R1392" t="str">
            <v>Boss</v>
          </cell>
          <cell r="S1392">
            <v>5</v>
          </cell>
          <cell r="T1392">
            <v>1.3</v>
          </cell>
          <cell r="U1392">
            <v>0.8</v>
          </cell>
          <cell r="V1392">
            <v>3</v>
          </cell>
        </row>
        <row r="1393">
          <cell r="A1393">
            <v>8034</v>
          </cell>
          <cell r="B1393" t="str">
            <v>冥府狩る魂使 牛頭馬面</v>
          </cell>
          <cell r="C1393">
            <v>6</v>
          </cell>
          <cell r="D1393" t="str">
            <v>green</v>
          </cell>
          <cell r="E1393">
            <v>1.02</v>
          </cell>
          <cell r="F1393">
            <v>0.98</v>
          </cell>
          <cell r="G1393">
            <v>1</v>
          </cell>
          <cell r="H1393" t="str">
            <v>attack</v>
          </cell>
          <cell r="I1393" t="str">
            <v>攻撃タイプ</v>
          </cell>
          <cell r="J1393">
            <v>1</v>
          </cell>
          <cell r="K1393">
            <v>1.33</v>
          </cell>
          <cell r="L1393">
            <v>1</v>
          </cell>
          <cell r="M1393" t="str">
            <v>god</v>
          </cell>
          <cell r="N1393" t="str">
            <v>ゴッド</v>
          </cell>
          <cell r="O1393">
            <v>0.96</v>
          </cell>
          <cell r="P1393">
            <v>1.02</v>
          </cell>
          <cell r="Q1393">
            <v>1</v>
          </cell>
          <cell r="R1393" t="str">
            <v>Boss</v>
          </cell>
          <cell r="S1393">
            <v>5</v>
          </cell>
          <cell r="T1393">
            <v>1.3</v>
          </cell>
          <cell r="U1393">
            <v>0.8</v>
          </cell>
          <cell r="V1393">
            <v>3</v>
          </cell>
        </row>
        <row r="1394">
          <cell r="A1394">
            <v>8035</v>
          </cell>
          <cell r="B1394" t="str">
            <v>飛衛</v>
          </cell>
          <cell r="C1394">
            <v>5</v>
          </cell>
          <cell r="D1394" t="str">
            <v>blue</v>
          </cell>
          <cell r="E1394">
            <v>1</v>
          </cell>
          <cell r="F1394">
            <v>0.98</v>
          </cell>
          <cell r="G1394">
            <v>1</v>
          </cell>
          <cell r="H1394" t="str">
            <v>heal</v>
          </cell>
          <cell r="I1394" t="str">
            <v>回復タイプ</v>
          </cell>
          <cell r="J1394">
            <v>0.8</v>
          </cell>
          <cell r="K1394">
            <v>0.78</v>
          </cell>
          <cell r="L1394">
            <v>1</v>
          </cell>
          <cell r="M1394" t="str">
            <v>human</v>
          </cell>
          <cell r="N1394" t="str">
            <v>ヒューマン</v>
          </cell>
          <cell r="O1394">
            <v>0.94</v>
          </cell>
          <cell r="P1394">
            <v>0.99</v>
          </cell>
          <cell r="Q1394">
            <v>1</v>
          </cell>
          <cell r="R1394" t="str">
            <v>Boss</v>
          </cell>
          <cell r="S1394">
            <v>5</v>
          </cell>
          <cell r="T1394">
            <v>1.3</v>
          </cell>
          <cell r="U1394">
            <v>0.8</v>
          </cell>
          <cell r="V1394">
            <v>3</v>
          </cell>
        </row>
        <row r="1395">
          <cell r="A1395">
            <v>8036</v>
          </cell>
          <cell r="B1395" t="str">
            <v>レア６飛衛</v>
          </cell>
          <cell r="C1395">
            <v>6</v>
          </cell>
          <cell r="D1395" t="str">
            <v>blue</v>
          </cell>
          <cell r="E1395">
            <v>1</v>
          </cell>
          <cell r="F1395">
            <v>0.98</v>
          </cell>
          <cell r="G1395">
            <v>1</v>
          </cell>
          <cell r="H1395" t="str">
            <v>heal</v>
          </cell>
          <cell r="I1395" t="str">
            <v>回復タイプ</v>
          </cell>
          <cell r="J1395">
            <v>0.8</v>
          </cell>
          <cell r="K1395">
            <v>0.78</v>
          </cell>
          <cell r="L1395">
            <v>1</v>
          </cell>
          <cell r="M1395" t="str">
            <v>human</v>
          </cell>
          <cell r="N1395" t="str">
            <v>ヒューマン</v>
          </cell>
          <cell r="O1395">
            <v>0.94</v>
          </cell>
          <cell r="P1395">
            <v>0.99</v>
          </cell>
          <cell r="Q1395">
            <v>1</v>
          </cell>
          <cell r="R1395" t="str">
            <v>Boss</v>
          </cell>
          <cell r="S1395">
            <v>5</v>
          </cell>
          <cell r="T1395">
            <v>1.3</v>
          </cell>
          <cell r="U1395">
            <v>0.8</v>
          </cell>
          <cell r="V1395">
            <v>3</v>
          </cell>
        </row>
        <row r="1396">
          <cell r="A1396">
            <v>8037</v>
          </cell>
          <cell r="B1396" t="str">
            <v>紀昌</v>
          </cell>
          <cell r="C1396">
            <v>5</v>
          </cell>
          <cell r="D1396" t="str">
            <v>red</v>
          </cell>
          <cell r="E1396">
            <v>1</v>
          </cell>
          <cell r="F1396">
            <v>1.02</v>
          </cell>
          <cell r="G1396">
            <v>1</v>
          </cell>
          <cell r="H1396" t="str">
            <v>attack</v>
          </cell>
          <cell r="I1396" t="str">
            <v>攻撃タイプ</v>
          </cell>
          <cell r="J1396">
            <v>1</v>
          </cell>
          <cell r="K1396">
            <v>1.33</v>
          </cell>
          <cell r="L1396">
            <v>1</v>
          </cell>
          <cell r="M1396" t="str">
            <v>human</v>
          </cell>
          <cell r="N1396" t="str">
            <v>ヒューマン</v>
          </cell>
          <cell r="O1396">
            <v>0.94</v>
          </cell>
          <cell r="P1396">
            <v>0.99</v>
          </cell>
          <cell r="Q1396">
            <v>1</v>
          </cell>
          <cell r="R1396" t="str">
            <v>Boss</v>
          </cell>
          <cell r="S1396">
            <v>5</v>
          </cell>
          <cell r="T1396">
            <v>1.3</v>
          </cell>
          <cell r="U1396">
            <v>0.8</v>
          </cell>
          <cell r="V1396">
            <v>3</v>
          </cell>
        </row>
        <row r="1397">
          <cell r="A1397">
            <v>8038</v>
          </cell>
          <cell r="B1397" t="str">
            <v>レア６紀昌</v>
          </cell>
          <cell r="C1397">
            <v>6</v>
          </cell>
          <cell r="D1397" t="str">
            <v>red</v>
          </cell>
          <cell r="E1397">
            <v>1</v>
          </cell>
          <cell r="F1397">
            <v>1.02</v>
          </cell>
          <cell r="G1397">
            <v>1</v>
          </cell>
          <cell r="H1397" t="str">
            <v>attack</v>
          </cell>
          <cell r="I1397" t="str">
            <v>攻撃タイプ</v>
          </cell>
          <cell r="J1397">
            <v>1</v>
          </cell>
          <cell r="K1397">
            <v>1.33</v>
          </cell>
          <cell r="L1397">
            <v>1</v>
          </cell>
          <cell r="M1397" t="str">
            <v>human</v>
          </cell>
          <cell r="N1397" t="str">
            <v>ヒューマン</v>
          </cell>
          <cell r="O1397">
            <v>0.94</v>
          </cell>
          <cell r="P1397">
            <v>0.99</v>
          </cell>
          <cell r="Q1397">
            <v>1</v>
          </cell>
          <cell r="R1397" t="str">
            <v>Boss</v>
          </cell>
          <cell r="S1397">
            <v>5</v>
          </cell>
          <cell r="T1397">
            <v>1.3</v>
          </cell>
          <cell r="U1397">
            <v>0.8</v>
          </cell>
          <cell r="V1397">
            <v>3</v>
          </cell>
        </row>
        <row r="1398">
          <cell r="A1398">
            <v>8039</v>
          </cell>
          <cell r="B1398" t="str">
            <v>何仙姑</v>
          </cell>
          <cell r="C1398">
            <v>5</v>
          </cell>
          <cell r="D1398" t="str">
            <v>yellow</v>
          </cell>
          <cell r="E1398">
            <v>0.98</v>
          </cell>
          <cell r="F1398">
            <v>1.01</v>
          </cell>
          <cell r="G1398">
            <v>1</v>
          </cell>
          <cell r="H1398" t="str">
            <v>hp</v>
          </cell>
          <cell r="I1398" t="str">
            <v>体力タイプ</v>
          </cell>
          <cell r="J1398">
            <v>1.45</v>
          </cell>
          <cell r="K1398">
            <v>0.85</v>
          </cell>
          <cell r="L1398">
            <v>1</v>
          </cell>
          <cell r="M1398" t="str">
            <v>god</v>
          </cell>
          <cell r="N1398" t="str">
            <v>ゴッド</v>
          </cell>
          <cell r="O1398">
            <v>0.96</v>
          </cell>
          <cell r="P1398">
            <v>1.02</v>
          </cell>
          <cell r="Q1398">
            <v>1</v>
          </cell>
          <cell r="R1398" t="str">
            <v>Boss</v>
          </cell>
          <cell r="S1398">
            <v>5</v>
          </cell>
          <cell r="T1398">
            <v>1.3</v>
          </cell>
          <cell r="U1398">
            <v>0.8</v>
          </cell>
          <cell r="V1398">
            <v>3</v>
          </cell>
        </row>
        <row r="1399">
          <cell r="A1399">
            <v>8040</v>
          </cell>
          <cell r="B1399" t="str">
            <v>レア６何仙姑</v>
          </cell>
          <cell r="C1399">
            <v>6</v>
          </cell>
          <cell r="D1399" t="str">
            <v>yellow</v>
          </cell>
          <cell r="E1399">
            <v>0.98</v>
          </cell>
          <cell r="F1399">
            <v>1.01</v>
          </cell>
          <cell r="G1399">
            <v>1</v>
          </cell>
          <cell r="H1399" t="str">
            <v>hp</v>
          </cell>
          <cell r="I1399" t="str">
            <v>体力タイプ</v>
          </cell>
          <cell r="J1399">
            <v>1.45</v>
          </cell>
          <cell r="K1399">
            <v>0.85</v>
          </cell>
          <cell r="L1399">
            <v>1</v>
          </cell>
          <cell r="M1399" t="str">
            <v>god</v>
          </cell>
          <cell r="N1399" t="str">
            <v>ゴッド</v>
          </cell>
          <cell r="O1399">
            <v>0.96</v>
          </cell>
          <cell r="P1399">
            <v>1.02</v>
          </cell>
          <cell r="Q1399">
            <v>1</v>
          </cell>
          <cell r="R1399" t="str">
            <v>Boss</v>
          </cell>
          <cell r="S1399">
            <v>5</v>
          </cell>
          <cell r="T1399">
            <v>1.3</v>
          </cell>
          <cell r="U1399">
            <v>0.8</v>
          </cell>
          <cell r="V1399">
            <v>3</v>
          </cell>
        </row>
        <row r="1400">
          <cell r="A1400">
            <v>8041</v>
          </cell>
          <cell r="B1400" t="str">
            <v>藍采和</v>
          </cell>
          <cell r="C1400">
            <v>5</v>
          </cell>
          <cell r="D1400" t="str">
            <v>blue</v>
          </cell>
          <cell r="E1400">
            <v>1</v>
          </cell>
          <cell r="F1400">
            <v>0.98</v>
          </cell>
          <cell r="G1400">
            <v>1</v>
          </cell>
          <cell r="H1400" t="str">
            <v>balance</v>
          </cell>
          <cell r="I1400" t="str">
            <v>バランスタイプ</v>
          </cell>
          <cell r="J1400">
            <v>1</v>
          </cell>
          <cell r="K1400">
            <v>1</v>
          </cell>
          <cell r="L1400">
            <v>1</v>
          </cell>
          <cell r="M1400" t="str">
            <v>god</v>
          </cell>
          <cell r="N1400" t="str">
            <v>ゴッド</v>
          </cell>
          <cell r="O1400">
            <v>0.96</v>
          </cell>
          <cell r="P1400">
            <v>1.02</v>
          </cell>
          <cell r="Q1400">
            <v>1</v>
          </cell>
          <cell r="R1400" t="str">
            <v>Boss</v>
          </cell>
          <cell r="S1400">
            <v>5</v>
          </cell>
          <cell r="T1400">
            <v>1.3</v>
          </cell>
          <cell r="U1400">
            <v>0.8</v>
          </cell>
          <cell r="V1400">
            <v>3</v>
          </cell>
        </row>
        <row r="1401">
          <cell r="A1401">
            <v>8042</v>
          </cell>
          <cell r="B1401" t="str">
            <v>レア６藍采和</v>
          </cell>
          <cell r="C1401">
            <v>6</v>
          </cell>
          <cell r="D1401" t="str">
            <v>blue</v>
          </cell>
          <cell r="E1401">
            <v>1</v>
          </cell>
          <cell r="F1401">
            <v>0.98</v>
          </cell>
          <cell r="G1401">
            <v>1</v>
          </cell>
          <cell r="H1401" t="str">
            <v>balance</v>
          </cell>
          <cell r="I1401" t="str">
            <v>バランスタイプ</v>
          </cell>
          <cell r="J1401">
            <v>1</v>
          </cell>
          <cell r="K1401">
            <v>1</v>
          </cell>
          <cell r="L1401">
            <v>1</v>
          </cell>
          <cell r="M1401" t="str">
            <v>god</v>
          </cell>
          <cell r="N1401" t="str">
            <v>ゴッド</v>
          </cell>
          <cell r="O1401">
            <v>0.96</v>
          </cell>
          <cell r="P1401">
            <v>1.02</v>
          </cell>
          <cell r="Q1401">
            <v>1</v>
          </cell>
          <cell r="R1401" t="str">
            <v>Boss</v>
          </cell>
          <cell r="S1401">
            <v>5</v>
          </cell>
          <cell r="T1401">
            <v>1.3</v>
          </cell>
          <cell r="U1401">
            <v>0.8</v>
          </cell>
          <cell r="V1401">
            <v>3</v>
          </cell>
        </row>
        <row r="1402">
          <cell r="A1402">
            <v>8043</v>
          </cell>
          <cell r="B1402" t="str">
            <v>サンリオキャラ大集合+アザゼル</v>
          </cell>
          <cell r="C1402">
            <v>5</v>
          </cell>
          <cell r="D1402" t="str">
            <v>green</v>
          </cell>
          <cell r="E1402">
            <v>1.02</v>
          </cell>
          <cell r="F1402">
            <v>0.98</v>
          </cell>
          <cell r="G1402">
            <v>1</v>
          </cell>
          <cell r="H1402" t="str">
            <v>technical</v>
          </cell>
          <cell r="I1402" t="str">
            <v>テクニカルタイプ</v>
          </cell>
          <cell r="J1402">
            <v>1</v>
          </cell>
          <cell r="K1402">
            <v>1</v>
          </cell>
          <cell r="L1402">
            <v>1</v>
          </cell>
          <cell r="M1402" t="str">
            <v>god</v>
          </cell>
          <cell r="N1402" t="str">
            <v>ゴッド</v>
          </cell>
          <cell r="O1402">
            <v>0.96</v>
          </cell>
          <cell r="P1402">
            <v>1.02</v>
          </cell>
          <cell r="Q1402">
            <v>1</v>
          </cell>
          <cell r="R1402" t="str">
            <v>Boss</v>
          </cell>
          <cell r="S1402">
            <v>5</v>
          </cell>
          <cell r="T1402">
            <v>1.3</v>
          </cell>
          <cell r="U1402">
            <v>0.8</v>
          </cell>
          <cell r="V1402">
            <v>3</v>
          </cell>
        </row>
        <row r="1403">
          <cell r="A1403">
            <v>8044</v>
          </cell>
          <cell r="B1403" t="str">
            <v>サンリオキャラ大集合+アザゼル</v>
          </cell>
          <cell r="C1403">
            <v>6</v>
          </cell>
          <cell r="D1403" t="str">
            <v>green</v>
          </cell>
          <cell r="E1403">
            <v>1.02</v>
          </cell>
          <cell r="F1403">
            <v>0.98</v>
          </cell>
          <cell r="G1403">
            <v>1</v>
          </cell>
          <cell r="H1403" t="str">
            <v>technical</v>
          </cell>
          <cell r="I1403" t="str">
            <v>テクニカルタイプ</v>
          </cell>
          <cell r="J1403">
            <v>1</v>
          </cell>
          <cell r="K1403">
            <v>1</v>
          </cell>
          <cell r="L1403">
            <v>1</v>
          </cell>
          <cell r="M1403" t="str">
            <v>god</v>
          </cell>
          <cell r="N1403" t="str">
            <v>ゴッド</v>
          </cell>
          <cell r="O1403">
            <v>0.96</v>
          </cell>
          <cell r="P1403">
            <v>1.02</v>
          </cell>
          <cell r="Q1403">
            <v>1</v>
          </cell>
          <cell r="R1403" t="str">
            <v>Boss</v>
          </cell>
          <cell r="S1403">
            <v>5</v>
          </cell>
          <cell r="T1403">
            <v>1.3</v>
          </cell>
          <cell r="U1403">
            <v>0.8</v>
          </cell>
          <cell r="V1403">
            <v>3</v>
          </cell>
        </row>
        <row r="1404">
          <cell r="A1404">
            <v>8045</v>
          </cell>
          <cell r="B1404" t="str">
            <v>ニムダ_サンリオキャラ混じり</v>
          </cell>
          <cell r="C1404">
            <v>4</v>
          </cell>
          <cell r="D1404" t="str">
            <v>yellow</v>
          </cell>
          <cell r="E1404">
            <v>0.98</v>
          </cell>
          <cell r="F1404">
            <v>1.01</v>
          </cell>
          <cell r="G1404">
            <v>1</v>
          </cell>
          <cell r="H1404" t="str">
            <v>technical</v>
          </cell>
          <cell r="I1404" t="str">
            <v>テクニカルタイプ</v>
          </cell>
          <cell r="J1404">
            <v>1</v>
          </cell>
          <cell r="K1404">
            <v>1</v>
          </cell>
          <cell r="L1404">
            <v>1</v>
          </cell>
          <cell r="M1404" t="str">
            <v>unknown</v>
          </cell>
          <cell r="N1404" t="str">
            <v>Unknown</v>
          </cell>
          <cell r="O1404">
            <v>1</v>
          </cell>
          <cell r="P1404">
            <v>1</v>
          </cell>
          <cell r="Q1404">
            <v>1</v>
          </cell>
          <cell r="R1404" t="str">
            <v>Boss</v>
          </cell>
          <cell r="S1404">
            <v>5</v>
          </cell>
          <cell r="T1404">
            <v>1.3</v>
          </cell>
          <cell r="U1404">
            <v>0.8</v>
          </cell>
          <cell r="V1404">
            <v>3</v>
          </cell>
        </row>
        <row r="1405">
          <cell r="A1405">
            <v>8046</v>
          </cell>
          <cell r="B1405" t="str">
            <v>ニムダ_サンリオキャラ混じり</v>
          </cell>
          <cell r="C1405">
            <v>5</v>
          </cell>
          <cell r="D1405" t="str">
            <v>yellow</v>
          </cell>
          <cell r="E1405">
            <v>0.98</v>
          </cell>
          <cell r="F1405">
            <v>1.01</v>
          </cell>
          <cell r="G1405">
            <v>1</v>
          </cell>
          <cell r="H1405" t="str">
            <v>technical</v>
          </cell>
          <cell r="I1405" t="str">
            <v>テクニカルタイプ</v>
          </cell>
          <cell r="J1405">
            <v>1</v>
          </cell>
          <cell r="K1405">
            <v>1</v>
          </cell>
          <cell r="L1405">
            <v>1</v>
          </cell>
          <cell r="M1405" t="str">
            <v>unknown</v>
          </cell>
          <cell r="N1405" t="str">
            <v>Unknown</v>
          </cell>
          <cell r="O1405">
            <v>1</v>
          </cell>
          <cell r="P1405">
            <v>1</v>
          </cell>
          <cell r="Q1405">
            <v>1</v>
          </cell>
          <cell r="R1405" t="str">
            <v>Boss</v>
          </cell>
          <cell r="S1405">
            <v>5</v>
          </cell>
          <cell r="T1405">
            <v>1.3</v>
          </cell>
          <cell r="U1405">
            <v>0.8</v>
          </cell>
          <cell r="V1405">
            <v>3</v>
          </cell>
        </row>
        <row r="1406">
          <cell r="A1406">
            <v>8047</v>
          </cell>
          <cell r="B1406" t="str">
            <v>ハローキティ</v>
          </cell>
          <cell r="C1406">
            <v>4</v>
          </cell>
          <cell r="D1406" t="str">
            <v>red</v>
          </cell>
          <cell r="E1406">
            <v>1</v>
          </cell>
          <cell r="F1406">
            <v>1.02</v>
          </cell>
          <cell r="G1406">
            <v>1</v>
          </cell>
          <cell r="H1406" t="str">
            <v>balance</v>
          </cell>
          <cell r="I1406" t="str">
            <v>バランスタイプ</v>
          </cell>
          <cell r="J1406">
            <v>1</v>
          </cell>
          <cell r="K1406">
            <v>1</v>
          </cell>
          <cell r="L1406">
            <v>1</v>
          </cell>
          <cell r="M1406" t="str">
            <v>unknown</v>
          </cell>
          <cell r="N1406" t="str">
            <v>Unknown</v>
          </cell>
          <cell r="O1406">
            <v>1</v>
          </cell>
          <cell r="P1406">
            <v>1</v>
          </cell>
          <cell r="Q1406">
            <v>1</v>
          </cell>
          <cell r="R1406" t="str">
            <v>Boss</v>
          </cell>
          <cell r="S1406">
            <v>5</v>
          </cell>
          <cell r="T1406">
            <v>1.3</v>
          </cell>
          <cell r="U1406">
            <v>0.8</v>
          </cell>
          <cell r="V1406">
            <v>3</v>
          </cell>
        </row>
        <row r="1407">
          <cell r="A1407">
            <v>8048</v>
          </cell>
          <cell r="B1407" t="str">
            <v>ハローキティ</v>
          </cell>
          <cell r="C1407">
            <v>5</v>
          </cell>
          <cell r="D1407" t="str">
            <v>red</v>
          </cell>
          <cell r="E1407">
            <v>1</v>
          </cell>
          <cell r="F1407">
            <v>1.02</v>
          </cell>
          <cell r="G1407">
            <v>1</v>
          </cell>
          <cell r="H1407" t="str">
            <v>balance</v>
          </cell>
          <cell r="I1407" t="str">
            <v>バランスタイプ</v>
          </cell>
          <cell r="J1407">
            <v>1</v>
          </cell>
          <cell r="K1407">
            <v>1</v>
          </cell>
          <cell r="L1407">
            <v>1</v>
          </cell>
          <cell r="M1407" t="str">
            <v>unknown</v>
          </cell>
          <cell r="N1407" t="str">
            <v>Unknown</v>
          </cell>
          <cell r="O1407">
            <v>1</v>
          </cell>
          <cell r="P1407">
            <v>1</v>
          </cell>
          <cell r="Q1407">
            <v>1</v>
          </cell>
          <cell r="R1407" t="str">
            <v>Boss</v>
          </cell>
          <cell r="S1407">
            <v>5</v>
          </cell>
          <cell r="T1407">
            <v>1.3</v>
          </cell>
          <cell r="U1407">
            <v>0.8</v>
          </cell>
          <cell r="V1407">
            <v>3</v>
          </cell>
        </row>
        <row r="1408">
          <cell r="A1408">
            <v>8049</v>
          </cell>
          <cell r="B1408" t="str">
            <v>KIRIMIちゃん</v>
          </cell>
          <cell r="C1408">
            <v>4</v>
          </cell>
          <cell r="D1408" t="str">
            <v>red</v>
          </cell>
          <cell r="E1408">
            <v>1</v>
          </cell>
          <cell r="F1408">
            <v>1.02</v>
          </cell>
          <cell r="G1408">
            <v>1</v>
          </cell>
          <cell r="H1408" t="str">
            <v>hp</v>
          </cell>
          <cell r="I1408" t="str">
            <v>体力タイプ</v>
          </cell>
          <cell r="J1408">
            <v>1</v>
          </cell>
          <cell r="K1408">
            <v>1</v>
          </cell>
          <cell r="L1408">
            <v>1</v>
          </cell>
          <cell r="M1408" t="str">
            <v>unknown</v>
          </cell>
          <cell r="N1408" t="str">
            <v>Unknown</v>
          </cell>
          <cell r="O1408">
            <v>1</v>
          </cell>
          <cell r="P1408">
            <v>1</v>
          </cell>
          <cell r="Q1408">
            <v>1</v>
          </cell>
          <cell r="R1408" t="str">
            <v>Boss</v>
          </cell>
          <cell r="S1408">
            <v>5</v>
          </cell>
          <cell r="T1408">
            <v>1.3</v>
          </cell>
          <cell r="U1408">
            <v>0.8</v>
          </cell>
          <cell r="V1408">
            <v>3</v>
          </cell>
        </row>
        <row r="1409">
          <cell r="A1409">
            <v>8050</v>
          </cell>
          <cell r="B1409" t="str">
            <v>KIRIMIちゃん</v>
          </cell>
          <cell r="C1409">
            <v>5</v>
          </cell>
          <cell r="D1409" t="str">
            <v>red</v>
          </cell>
          <cell r="E1409">
            <v>1</v>
          </cell>
          <cell r="F1409">
            <v>1.02</v>
          </cell>
          <cell r="G1409">
            <v>1</v>
          </cell>
          <cell r="H1409" t="str">
            <v>hp</v>
          </cell>
          <cell r="I1409" t="str">
            <v>体力タイプ</v>
          </cell>
          <cell r="J1409">
            <v>1</v>
          </cell>
          <cell r="K1409">
            <v>1</v>
          </cell>
          <cell r="L1409">
            <v>1</v>
          </cell>
          <cell r="M1409" t="str">
            <v>unknown</v>
          </cell>
          <cell r="N1409" t="str">
            <v>Unknown</v>
          </cell>
          <cell r="O1409">
            <v>1</v>
          </cell>
          <cell r="P1409">
            <v>1</v>
          </cell>
          <cell r="Q1409">
            <v>1</v>
          </cell>
          <cell r="R1409" t="str">
            <v>Boss</v>
          </cell>
          <cell r="S1409">
            <v>5</v>
          </cell>
          <cell r="T1409">
            <v>1.3</v>
          </cell>
          <cell r="U1409">
            <v>0.8</v>
          </cell>
          <cell r="V1409">
            <v>3</v>
          </cell>
        </row>
        <row r="1410">
          <cell r="A1410">
            <v>8051</v>
          </cell>
          <cell r="B1410" t="str">
            <v>ハローキティのリボン</v>
          </cell>
          <cell r="C1410">
            <v>5</v>
          </cell>
          <cell r="D1410" t="str">
            <v>red</v>
          </cell>
          <cell r="E1410">
            <v>1</v>
          </cell>
          <cell r="F1410">
            <v>1.02</v>
          </cell>
          <cell r="G1410">
            <v>1</v>
          </cell>
          <cell r="H1410" t="str">
            <v>evolution</v>
          </cell>
          <cell r="I1410" t="str">
            <v>覚醒素材タイプ</v>
          </cell>
          <cell r="J1410">
            <v>1</v>
          </cell>
          <cell r="K1410">
            <v>1</v>
          </cell>
          <cell r="L1410">
            <v>1</v>
          </cell>
          <cell r="M1410" t="str">
            <v>unknown</v>
          </cell>
          <cell r="N1410" t="str">
            <v>Unknown</v>
          </cell>
          <cell r="O1410">
            <v>1</v>
          </cell>
          <cell r="P1410">
            <v>1</v>
          </cell>
          <cell r="Q1410">
            <v>1</v>
          </cell>
          <cell r="R1410" t="str">
            <v>Boss</v>
          </cell>
          <cell r="S1410">
            <v>5</v>
          </cell>
          <cell r="T1410">
            <v>1.3</v>
          </cell>
          <cell r="U1410">
            <v>0.8</v>
          </cell>
          <cell r="V1410">
            <v>3</v>
          </cell>
        </row>
        <row r="1411">
          <cell r="A1411">
            <v>8052</v>
          </cell>
          <cell r="B1411" t="str">
            <v>ママの作ったアップルパイ</v>
          </cell>
          <cell r="C1411">
            <v>4</v>
          </cell>
          <cell r="D1411" t="str">
            <v>red</v>
          </cell>
          <cell r="E1411">
            <v>1</v>
          </cell>
          <cell r="F1411">
            <v>1.02</v>
          </cell>
          <cell r="G1411">
            <v>1</v>
          </cell>
          <cell r="H1411" t="str">
            <v>evolution</v>
          </cell>
          <cell r="I1411" t="str">
            <v>覚醒素材タイプ</v>
          </cell>
          <cell r="J1411">
            <v>1</v>
          </cell>
          <cell r="K1411">
            <v>1</v>
          </cell>
          <cell r="L1411">
            <v>1</v>
          </cell>
          <cell r="M1411" t="str">
            <v>unknown</v>
          </cell>
          <cell r="N1411" t="str">
            <v>Unknown</v>
          </cell>
          <cell r="O1411">
            <v>1</v>
          </cell>
          <cell r="P1411">
            <v>1</v>
          </cell>
          <cell r="Q1411">
            <v>1</v>
          </cell>
          <cell r="R1411" t="str">
            <v>Boss</v>
          </cell>
          <cell r="S1411">
            <v>5</v>
          </cell>
          <cell r="T1411">
            <v>1.3</v>
          </cell>
          <cell r="U1411">
            <v>0.8</v>
          </cell>
          <cell r="V1411">
            <v>3</v>
          </cell>
        </row>
        <row r="1412">
          <cell r="A1412">
            <v>8053</v>
          </cell>
          <cell r="B1412" t="str">
            <v>D.R.T.H__キティコスプレ</v>
          </cell>
          <cell r="C1412">
            <v>5</v>
          </cell>
          <cell r="D1412" t="str">
            <v>red</v>
          </cell>
          <cell r="E1412">
            <v>1</v>
          </cell>
          <cell r="F1412">
            <v>1.02</v>
          </cell>
          <cell r="G1412">
            <v>1</v>
          </cell>
          <cell r="H1412" t="str">
            <v>balance</v>
          </cell>
          <cell r="I1412" t="str">
            <v>バランスタイプ</v>
          </cell>
          <cell r="J1412">
            <v>1</v>
          </cell>
          <cell r="K1412">
            <v>1</v>
          </cell>
          <cell r="L1412">
            <v>1</v>
          </cell>
          <cell r="M1412" t="str">
            <v>human</v>
          </cell>
          <cell r="N1412" t="str">
            <v>ヒューマン</v>
          </cell>
          <cell r="O1412">
            <v>0.94</v>
          </cell>
          <cell r="P1412">
            <v>0.99</v>
          </cell>
          <cell r="Q1412">
            <v>1</v>
          </cell>
          <cell r="R1412" t="str">
            <v>Boss</v>
          </cell>
          <cell r="S1412">
            <v>5</v>
          </cell>
          <cell r="T1412">
            <v>1.3</v>
          </cell>
          <cell r="U1412">
            <v>0.8</v>
          </cell>
          <cell r="V1412">
            <v>3</v>
          </cell>
        </row>
        <row r="1413">
          <cell r="A1413">
            <v>8054</v>
          </cell>
          <cell r="B1413" t="str">
            <v>D.R.T.H__キティコスプレ</v>
          </cell>
          <cell r="C1413">
            <v>6</v>
          </cell>
          <cell r="D1413" t="str">
            <v>red</v>
          </cell>
          <cell r="E1413">
            <v>1</v>
          </cell>
          <cell r="F1413">
            <v>1.02</v>
          </cell>
          <cell r="G1413">
            <v>1</v>
          </cell>
          <cell r="H1413" t="str">
            <v>balance</v>
          </cell>
          <cell r="I1413" t="str">
            <v>バランスタイプ</v>
          </cell>
          <cell r="J1413">
            <v>1</v>
          </cell>
          <cell r="K1413">
            <v>1</v>
          </cell>
          <cell r="L1413">
            <v>1</v>
          </cell>
          <cell r="M1413" t="str">
            <v>human</v>
          </cell>
          <cell r="N1413" t="str">
            <v>ヒューマン</v>
          </cell>
          <cell r="O1413">
            <v>0.94</v>
          </cell>
          <cell r="P1413">
            <v>0.99</v>
          </cell>
          <cell r="Q1413">
            <v>1</v>
          </cell>
          <cell r="R1413" t="str">
            <v>Boss</v>
          </cell>
          <cell r="S1413">
            <v>5</v>
          </cell>
          <cell r="T1413">
            <v>1.3</v>
          </cell>
          <cell r="U1413">
            <v>0.8</v>
          </cell>
          <cell r="V1413">
            <v>3</v>
          </cell>
        </row>
        <row r="1414">
          <cell r="A1414">
            <v>8055</v>
          </cell>
          <cell r="B1414" t="str">
            <v>マイメロディ</v>
          </cell>
          <cell r="C1414">
            <v>4</v>
          </cell>
          <cell r="D1414" t="str">
            <v>red</v>
          </cell>
          <cell r="E1414">
            <v>1</v>
          </cell>
          <cell r="F1414">
            <v>1.02</v>
          </cell>
          <cell r="G1414">
            <v>1</v>
          </cell>
          <cell r="H1414" t="str">
            <v>attack</v>
          </cell>
          <cell r="I1414" t="str">
            <v>攻撃タイプ</v>
          </cell>
          <cell r="J1414">
            <v>1</v>
          </cell>
          <cell r="K1414">
            <v>1</v>
          </cell>
          <cell r="L1414">
            <v>1</v>
          </cell>
          <cell r="M1414" t="str">
            <v>unknown</v>
          </cell>
          <cell r="N1414" t="str">
            <v>Unknown</v>
          </cell>
          <cell r="O1414">
            <v>1</v>
          </cell>
          <cell r="P1414">
            <v>1</v>
          </cell>
          <cell r="Q1414">
            <v>1</v>
          </cell>
          <cell r="R1414" t="str">
            <v>Boss</v>
          </cell>
          <cell r="S1414">
            <v>5</v>
          </cell>
          <cell r="T1414">
            <v>1.3</v>
          </cell>
          <cell r="U1414">
            <v>0.8</v>
          </cell>
          <cell r="V1414">
            <v>3</v>
          </cell>
        </row>
        <row r="1415">
          <cell r="A1415">
            <v>8056</v>
          </cell>
          <cell r="B1415" t="str">
            <v>マイメロディ</v>
          </cell>
          <cell r="C1415">
            <v>5</v>
          </cell>
          <cell r="D1415" t="str">
            <v>red</v>
          </cell>
          <cell r="E1415">
            <v>1</v>
          </cell>
          <cell r="F1415">
            <v>1.02</v>
          </cell>
          <cell r="G1415">
            <v>1</v>
          </cell>
          <cell r="H1415" t="str">
            <v>attack</v>
          </cell>
          <cell r="I1415" t="str">
            <v>攻撃タイプ</v>
          </cell>
          <cell r="J1415">
            <v>1</v>
          </cell>
          <cell r="K1415">
            <v>1</v>
          </cell>
          <cell r="L1415">
            <v>1</v>
          </cell>
          <cell r="M1415" t="str">
            <v>unknown</v>
          </cell>
          <cell r="N1415" t="str">
            <v>Unknown</v>
          </cell>
          <cell r="O1415">
            <v>1</v>
          </cell>
          <cell r="P1415">
            <v>1</v>
          </cell>
          <cell r="Q1415">
            <v>1</v>
          </cell>
          <cell r="R1415" t="str">
            <v>Boss</v>
          </cell>
          <cell r="S1415">
            <v>5</v>
          </cell>
          <cell r="T1415">
            <v>1.3</v>
          </cell>
          <cell r="U1415">
            <v>0.8</v>
          </cell>
          <cell r="V1415">
            <v>3</v>
          </cell>
        </row>
        <row r="1416">
          <cell r="A1416">
            <v>8057</v>
          </cell>
          <cell r="B1416" t="str">
            <v>ニーベルゲン_シナモロールコスプレ</v>
          </cell>
          <cell r="C1416">
            <v>4</v>
          </cell>
          <cell r="D1416" t="str">
            <v>green</v>
          </cell>
          <cell r="E1416">
            <v>1.02</v>
          </cell>
          <cell r="F1416">
            <v>0.98</v>
          </cell>
          <cell r="G1416">
            <v>1</v>
          </cell>
          <cell r="H1416" t="str">
            <v>balance</v>
          </cell>
          <cell r="I1416" t="str">
            <v>バランスタイプ</v>
          </cell>
          <cell r="J1416">
            <v>1</v>
          </cell>
          <cell r="K1416">
            <v>1</v>
          </cell>
          <cell r="L1416">
            <v>1</v>
          </cell>
          <cell r="M1416" t="str">
            <v>unknown</v>
          </cell>
          <cell r="N1416" t="str">
            <v>Unknown</v>
          </cell>
          <cell r="O1416">
            <v>1</v>
          </cell>
          <cell r="P1416">
            <v>1</v>
          </cell>
          <cell r="Q1416">
            <v>1</v>
          </cell>
          <cell r="R1416" t="str">
            <v>Boss</v>
          </cell>
          <cell r="S1416">
            <v>5</v>
          </cell>
          <cell r="T1416">
            <v>1.3</v>
          </cell>
          <cell r="U1416">
            <v>0.8</v>
          </cell>
          <cell r="V1416">
            <v>3</v>
          </cell>
        </row>
        <row r="1417">
          <cell r="A1417">
            <v>8058</v>
          </cell>
          <cell r="B1417" t="str">
            <v>ニーベルゲン_シナモロールコスプレ</v>
          </cell>
          <cell r="C1417">
            <v>5</v>
          </cell>
          <cell r="D1417" t="str">
            <v>green</v>
          </cell>
          <cell r="E1417">
            <v>1.02</v>
          </cell>
          <cell r="F1417">
            <v>0.98</v>
          </cell>
          <cell r="G1417">
            <v>1</v>
          </cell>
          <cell r="H1417" t="str">
            <v>balance</v>
          </cell>
          <cell r="I1417" t="str">
            <v>バランスタイプ</v>
          </cell>
          <cell r="J1417">
            <v>1</v>
          </cell>
          <cell r="K1417">
            <v>1</v>
          </cell>
          <cell r="L1417">
            <v>1</v>
          </cell>
          <cell r="M1417" t="str">
            <v>unknown</v>
          </cell>
          <cell r="N1417" t="str">
            <v>Unknown</v>
          </cell>
          <cell r="O1417">
            <v>1</v>
          </cell>
          <cell r="P1417">
            <v>1</v>
          </cell>
          <cell r="Q1417">
            <v>1</v>
          </cell>
          <cell r="R1417" t="str">
            <v>Boss</v>
          </cell>
          <cell r="S1417">
            <v>5</v>
          </cell>
          <cell r="T1417">
            <v>1.3</v>
          </cell>
          <cell r="U1417">
            <v>0.8</v>
          </cell>
          <cell r="V1417">
            <v>3</v>
          </cell>
        </row>
        <row r="1418">
          <cell r="A1418">
            <v>8059</v>
          </cell>
          <cell r="B1418" t="str">
            <v>カカシ_マイメロディコスプレ</v>
          </cell>
          <cell r="C1418">
            <v>4</v>
          </cell>
          <cell r="D1418" t="str">
            <v>green</v>
          </cell>
          <cell r="E1418">
            <v>1.02</v>
          </cell>
          <cell r="F1418">
            <v>0.98</v>
          </cell>
          <cell r="G1418">
            <v>1</v>
          </cell>
          <cell r="H1418" t="str">
            <v>technical</v>
          </cell>
          <cell r="I1418" t="str">
            <v>テクニカルタイプ</v>
          </cell>
          <cell r="J1418">
            <v>1</v>
          </cell>
          <cell r="K1418">
            <v>1</v>
          </cell>
          <cell r="L1418">
            <v>1</v>
          </cell>
          <cell r="M1418" t="str">
            <v>human</v>
          </cell>
          <cell r="N1418" t="str">
            <v>ヒューマン</v>
          </cell>
          <cell r="O1418">
            <v>0.94</v>
          </cell>
          <cell r="P1418">
            <v>0.99</v>
          </cell>
          <cell r="Q1418">
            <v>1</v>
          </cell>
          <cell r="R1418" t="str">
            <v>Boss</v>
          </cell>
          <cell r="S1418">
            <v>5</v>
          </cell>
          <cell r="T1418">
            <v>1.3</v>
          </cell>
          <cell r="U1418">
            <v>0.8</v>
          </cell>
          <cell r="V1418">
            <v>3</v>
          </cell>
        </row>
        <row r="1419">
          <cell r="A1419">
            <v>8060</v>
          </cell>
          <cell r="B1419" t="str">
            <v>カカシ_マイメロディコスプレ</v>
          </cell>
          <cell r="C1419">
            <v>5</v>
          </cell>
          <cell r="D1419" t="str">
            <v>green</v>
          </cell>
          <cell r="E1419">
            <v>1.02</v>
          </cell>
          <cell r="F1419">
            <v>0.98</v>
          </cell>
          <cell r="G1419">
            <v>1</v>
          </cell>
          <cell r="H1419" t="str">
            <v>technical</v>
          </cell>
          <cell r="I1419" t="str">
            <v>テクニカルタイプ</v>
          </cell>
          <cell r="J1419">
            <v>1</v>
          </cell>
          <cell r="K1419">
            <v>1</v>
          </cell>
          <cell r="L1419">
            <v>1</v>
          </cell>
          <cell r="M1419" t="str">
            <v>human</v>
          </cell>
          <cell r="N1419" t="str">
            <v>ヒューマン</v>
          </cell>
          <cell r="O1419">
            <v>0.94</v>
          </cell>
          <cell r="P1419">
            <v>0.99</v>
          </cell>
          <cell r="Q1419">
            <v>1</v>
          </cell>
          <cell r="R1419" t="str">
            <v>Boss</v>
          </cell>
          <cell r="S1419">
            <v>5</v>
          </cell>
          <cell r="T1419">
            <v>1.3</v>
          </cell>
          <cell r="U1419">
            <v>0.8</v>
          </cell>
          <cell r="V1419">
            <v>3</v>
          </cell>
        </row>
        <row r="1420">
          <cell r="A1420">
            <v>8061</v>
          </cell>
          <cell r="B1420" t="str">
            <v>ケロケロけろっぴ</v>
          </cell>
          <cell r="C1420">
            <v>3</v>
          </cell>
          <cell r="D1420" t="str">
            <v>green</v>
          </cell>
          <cell r="E1420">
            <v>1.02</v>
          </cell>
          <cell r="F1420">
            <v>0.98</v>
          </cell>
          <cell r="G1420">
            <v>1</v>
          </cell>
          <cell r="H1420" t="str">
            <v>balance</v>
          </cell>
          <cell r="I1420" t="str">
            <v>バランスタイプ</v>
          </cell>
          <cell r="J1420">
            <v>1</v>
          </cell>
          <cell r="K1420">
            <v>1</v>
          </cell>
          <cell r="L1420">
            <v>1</v>
          </cell>
          <cell r="M1420" t="str">
            <v>unknown</v>
          </cell>
          <cell r="N1420" t="str">
            <v>Unknown</v>
          </cell>
          <cell r="O1420">
            <v>1</v>
          </cell>
          <cell r="P1420">
            <v>1</v>
          </cell>
          <cell r="Q1420">
            <v>1</v>
          </cell>
          <cell r="R1420" t="str">
            <v>Boss</v>
          </cell>
          <cell r="S1420">
            <v>5</v>
          </cell>
          <cell r="T1420">
            <v>1.3</v>
          </cell>
          <cell r="U1420">
            <v>0.8</v>
          </cell>
          <cell r="V1420">
            <v>3</v>
          </cell>
        </row>
        <row r="1421">
          <cell r="A1421">
            <v>8062</v>
          </cell>
          <cell r="B1421" t="str">
            <v>ケロケロけろっぴ</v>
          </cell>
          <cell r="C1421">
            <v>4</v>
          </cell>
          <cell r="D1421" t="str">
            <v>green</v>
          </cell>
          <cell r="E1421">
            <v>1.02</v>
          </cell>
          <cell r="F1421">
            <v>0.98</v>
          </cell>
          <cell r="G1421">
            <v>1</v>
          </cell>
          <cell r="H1421" t="str">
            <v>balance</v>
          </cell>
          <cell r="I1421" t="str">
            <v>バランスタイプ</v>
          </cell>
          <cell r="J1421">
            <v>1</v>
          </cell>
          <cell r="K1421">
            <v>1</v>
          </cell>
          <cell r="L1421">
            <v>1</v>
          </cell>
          <cell r="M1421" t="str">
            <v>unknown</v>
          </cell>
          <cell r="N1421" t="str">
            <v>Unknown</v>
          </cell>
          <cell r="O1421">
            <v>1</v>
          </cell>
          <cell r="P1421">
            <v>1</v>
          </cell>
          <cell r="Q1421">
            <v>1</v>
          </cell>
          <cell r="R1421" t="str">
            <v>Boss</v>
          </cell>
          <cell r="S1421">
            <v>5</v>
          </cell>
          <cell r="T1421">
            <v>1.3</v>
          </cell>
          <cell r="U1421">
            <v>0.8</v>
          </cell>
          <cell r="V1421">
            <v>3</v>
          </cell>
        </row>
        <row r="1422">
          <cell r="A1422">
            <v>8063</v>
          </cell>
          <cell r="B1422" t="str">
            <v>モルドレッド_ポムポムプリンコスプレ</v>
          </cell>
          <cell r="C1422">
            <v>5</v>
          </cell>
          <cell r="D1422" t="str">
            <v>blue</v>
          </cell>
          <cell r="E1422">
            <v>1</v>
          </cell>
          <cell r="F1422">
            <v>0.98</v>
          </cell>
          <cell r="G1422">
            <v>1</v>
          </cell>
          <cell r="H1422" t="str">
            <v>heal</v>
          </cell>
          <cell r="I1422" t="str">
            <v>回復タイプ</v>
          </cell>
          <cell r="J1422">
            <v>1</v>
          </cell>
          <cell r="K1422">
            <v>1</v>
          </cell>
          <cell r="L1422">
            <v>1</v>
          </cell>
          <cell r="M1422" t="str">
            <v>human</v>
          </cell>
          <cell r="N1422" t="str">
            <v>ヒューマン</v>
          </cell>
          <cell r="O1422">
            <v>0.94</v>
          </cell>
          <cell r="P1422">
            <v>0.99</v>
          </cell>
          <cell r="Q1422">
            <v>1</v>
          </cell>
          <cell r="R1422" t="str">
            <v>Boss</v>
          </cell>
          <cell r="S1422">
            <v>5</v>
          </cell>
          <cell r="T1422">
            <v>1.3</v>
          </cell>
          <cell r="U1422">
            <v>0.8</v>
          </cell>
          <cell r="V1422">
            <v>3</v>
          </cell>
        </row>
        <row r="1423">
          <cell r="A1423">
            <v>8064</v>
          </cell>
          <cell r="B1423" t="str">
            <v>モルドレッド_ポムポムプリンコスプレ</v>
          </cell>
          <cell r="C1423">
            <v>6</v>
          </cell>
          <cell r="D1423" t="str">
            <v>blue</v>
          </cell>
          <cell r="E1423">
            <v>1</v>
          </cell>
          <cell r="F1423">
            <v>0.98</v>
          </cell>
          <cell r="G1423">
            <v>1</v>
          </cell>
          <cell r="H1423" t="str">
            <v>heal</v>
          </cell>
          <cell r="I1423" t="str">
            <v>回復タイプ</v>
          </cell>
          <cell r="J1423">
            <v>1</v>
          </cell>
          <cell r="K1423">
            <v>1</v>
          </cell>
          <cell r="L1423">
            <v>1</v>
          </cell>
          <cell r="M1423" t="str">
            <v>human</v>
          </cell>
          <cell r="N1423" t="str">
            <v>ヒューマン</v>
          </cell>
          <cell r="O1423">
            <v>0.94</v>
          </cell>
          <cell r="P1423">
            <v>0.99</v>
          </cell>
          <cell r="Q1423">
            <v>1</v>
          </cell>
          <cell r="R1423" t="str">
            <v>Boss</v>
          </cell>
          <cell r="S1423">
            <v>5</v>
          </cell>
          <cell r="T1423">
            <v>1.3</v>
          </cell>
          <cell r="U1423">
            <v>0.8</v>
          </cell>
          <cell r="V1423">
            <v>3</v>
          </cell>
        </row>
        <row r="1424">
          <cell r="A1424">
            <v>8065</v>
          </cell>
          <cell r="B1424" t="str">
            <v>クロミ</v>
          </cell>
          <cell r="C1424">
            <v>3</v>
          </cell>
          <cell r="D1424" t="str">
            <v>blue</v>
          </cell>
          <cell r="E1424">
            <v>1</v>
          </cell>
          <cell r="F1424">
            <v>0.98</v>
          </cell>
          <cell r="G1424">
            <v>1</v>
          </cell>
          <cell r="H1424" t="str">
            <v>technical</v>
          </cell>
          <cell r="I1424" t="str">
            <v>テクニカルタイプ</v>
          </cell>
          <cell r="J1424">
            <v>1</v>
          </cell>
          <cell r="K1424">
            <v>1</v>
          </cell>
          <cell r="L1424">
            <v>1</v>
          </cell>
          <cell r="M1424" t="str">
            <v>unknown</v>
          </cell>
          <cell r="N1424" t="str">
            <v>Unknown</v>
          </cell>
          <cell r="O1424">
            <v>1</v>
          </cell>
          <cell r="P1424">
            <v>1</v>
          </cell>
          <cell r="Q1424">
            <v>1</v>
          </cell>
          <cell r="R1424" t="str">
            <v>Boss</v>
          </cell>
          <cell r="S1424">
            <v>5</v>
          </cell>
          <cell r="T1424">
            <v>1.3</v>
          </cell>
          <cell r="U1424">
            <v>0.8</v>
          </cell>
          <cell r="V1424">
            <v>3</v>
          </cell>
        </row>
        <row r="1425">
          <cell r="A1425">
            <v>8066</v>
          </cell>
          <cell r="B1425" t="str">
            <v>クロミ</v>
          </cell>
          <cell r="C1425">
            <v>4</v>
          </cell>
          <cell r="D1425" t="str">
            <v>blue</v>
          </cell>
          <cell r="E1425">
            <v>1</v>
          </cell>
          <cell r="F1425">
            <v>0.98</v>
          </cell>
          <cell r="G1425">
            <v>1</v>
          </cell>
          <cell r="H1425" t="str">
            <v>technical</v>
          </cell>
          <cell r="I1425" t="str">
            <v>テクニカルタイプ</v>
          </cell>
          <cell r="J1425">
            <v>1</v>
          </cell>
          <cell r="K1425">
            <v>1</v>
          </cell>
          <cell r="L1425">
            <v>1</v>
          </cell>
          <cell r="M1425" t="str">
            <v>unknown</v>
          </cell>
          <cell r="N1425" t="str">
            <v>Unknown</v>
          </cell>
          <cell r="O1425">
            <v>1</v>
          </cell>
          <cell r="P1425">
            <v>1</v>
          </cell>
          <cell r="Q1425">
            <v>1</v>
          </cell>
          <cell r="R1425" t="str">
            <v>Boss</v>
          </cell>
          <cell r="S1425">
            <v>5</v>
          </cell>
          <cell r="T1425">
            <v>1.3</v>
          </cell>
          <cell r="U1425">
            <v>0.8</v>
          </cell>
          <cell r="V1425">
            <v>3</v>
          </cell>
        </row>
        <row r="1426">
          <cell r="A1426">
            <v>8067</v>
          </cell>
          <cell r="B1426" t="str">
            <v>バッドばつ丸</v>
          </cell>
          <cell r="C1426">
            <v>3</v>
          </cell>
          <cell r="D1426" t="str">
            <v>blue</v>
          </cell>
          <cell r="E1426">
            <v>1</v>
          </cell>
          <cell r="F1426">
            <v>0.98</v>
          </cell>
          <cell r="G1426">
            <v>1</v>
          </cell>
          <cell r="H1426" t="str">
            <v>attack</v>
          </cell>
          <cell r="I1426" t="str">
            <v>攻撃タイプ</v>
          </cell>
          <cell r="J1426">
            <v>1</v>
          </cell>
          <cell r="K1426">
            <v>1</v>
          </cell>
          <cell r="L1426">
            <v>1</v>
          </cell>
          <cell r="M1426" t="str">
            <v>unknown</v>
          </cell>
          <cell r="N1426" t="str">
            <v>Unknown</v>
          </cell>
          <cell r="O1426">
            <v>1</v>
          </cell>
          <cell r="P1426">
            <v>1</v>
          </cell>
          <cell r="Q1426">
            <v>1</v>
          </cell>
          <cell r="R1426" t="str">
            <v>Boss</v>
          </cell>
          <cell r="S1426">
            <v>5</v>
          </cell>
          <cell r="T1426">
            <v>1.3</v>
          </cell>
          <cell r="U1426">
            <v>0.8</v>
          </cell>
          <cell r="V1426">
            <v>3</v>
          </cell>
        </row>
        <row r="1427">
          <cell r="A1427">
            <v>8068</v>
          </cell>
          <cell r="B1427" t="str">
            <v>バッドばつ丸</v>
          </cell>
          <cell r="C1427">
            <v>4</v>
          </cell>
          <cell r="D1427" t="str">
            <v>blue</v>
          </cell>
          <cell r="E1427">
            <v>1</v>
          </cell>
          <cell r="F1427">
            <v>0.98</v>
          </cell>
          <cell r="G1427">
            <v>1</v>
          </cell>
          <cell r="H1427" t="str">
            <v>attack</v>
          </cell>
          <cell r="I1427" t="str">
            <v>攻撃タイプ</v>
          </cell>
          <cell r="J1427">
            <v>1</v>
          </cell>
          <cell r="K1427">
            <v>1</v>
          </cell>
          <cell r="L1427">
            <v>1</v>
          </cell>
          <cell r="M1427" t="str">
            <v>unknown</v>
          </cell>
          <cell r="N1427" t="str">
            <v>Unknown</v>
          </cell>
          <cell r="O1427">
            <v>1</v>
          </cell>
          <cell r="P1427">
            <v>1</v>
          </cell>
          <cell r="Q1427">
            <v>1</v>
          </cell>
          <cell r="R1427" t="str">
            <v>Boss</v>
          </cell>
          <cell r="S1427">
            <v>5</v>
          </cell>
          <cell r="T1427">
            <v>1.3</v>
          </cell>
          <cell r="U1427">
            <v>0.8</v>
          </cell>
          <cell r="V1427">
            <v>3</v>
          </cell>
        </row>
        <row r="1428">
          <cell r="A1428">
            <v>8069</v>
          </cell>
          <cell r="B1428" t="str">
            <v>シナモロール</v>
          </cell>
          <cell r="C1428">
            <v>4</v>
          </cell>
          <cell r="D1428" t="str">
            <v>yellow</v>
          </cell>
          <cell r="E1428">
            <v>0.98</v>
          </cell>
          <cell r="F1428">
            <v>1.01</v>
          </cell>
          <cell r="G1428">
            <v>1</v>
          </cell>
          <cell r="H1428" t="str">
            <v>heal</v>
          </cell>
          <cell r="I1428" t="str">
            <v>回復タイプ</v>
          </cell>
          <cell r="J1428">
            <v>1</v>
          </cell>
          <cell r="K1428">
            <v>1</v>
          </cell>
          <cell r="L1428">
            <v>1</v>
          </cell>
          <cell r="M1428" t="str">
            <v>unknown</v>
          </cell>
          <cell r="N1428" t="str">
            <v>Unknown</v>
          </cell>
          <cell r="O1428">
            <v>1</v>
          </cell>
          <cell r="P1428">
            <v>1</v>
          </cell>
          <cell r="Q1428">
            <v>1</v>
          </cell>
          <cell r="R1428" t="str">
            <v>Boss</v>
          </cell>
          <cell r="S1428">
            <v>5</v>
          </cell>
          <cell r="T1428">
            <v>1.3</v>
          </cell>
          <cell r="U1428">
            <v>0.8</v>
          </cell>
          <cell r="V1428">
            <v>3</v>
          </cell>
        </row>
        <row r="1429">
          <cell r="A1429">
            <v>8070</v>
          </cell>
          <cell r="B1429" t="str">
            <v>シナモロール</v>
          </cell>
          <cell r="C1429">
            <v>5</v>
          </cell>
          <cell r="D1429" t="str">
            <v>yellow</v>
          </cell>
          <cell r="E1429">
            <v>0.98</v>
          </cell>
          <cell r="F1429">
            <v>1.01</v>
          </cell>
          <cell r="G1429">
            <v>1</v>
          </cell>
          <cell r="H1429" t="str">
            <v>heal</v>
          </cell>
          <cell r="I1429" t="str">
            <v>回復タイプ</v>
          </cell>
          <cell r="J1429">
            <v>1</v>
          </cell>
          <cell r="K1429">
            <v>1</v>
          </cell>
          <cell r="L1429">
            <v>1</v>
          </cell>
          <cell r="M1429" t="str">
            <v>unknown</v>
          </cell>
          <cell r="N1429" t="str">
            <v>Unknown</v>
          </cell>
          <cell r="O1429">
            <v>1</v>
          </cell>
          <cell r="P1429">
            <v>1</v>
          </cell>
          <cell r="Q1429">
            <v>1</v>
          </cell>
          <cell r="R1429" t="str">
            <v>Boss</v>
          </cell>
          <cell r="S1429">
            <v>5</v>
          </cell>
          <cell r="T1429">
            <v>1.3</v>
          </cell>
          <cell r="U1429">
            <v>0.8</v>
          </cell>
          <cell r="V1429">
            <v>3</v>
          </cell>
        </row>
        <row r="1430">
          <cell r="A1430">
            <v>8071</v>
          </cell>
          <cell r="B1430" t="str">
            <v>ポムポムプリン</v>
          </cell>
          <cell r="C1430">
            <v>3</v>
          </cell>
          <cell r="D1430" t="str">
            <v>yellow</v>
          </cell>
          <cell r="E1430">
            <v>0.98</v>
          </cell>
          <cell r="F1430">
            <v>1.01</v>
          </cell>
          <cell r="G1430">
            <v>1</v>
          </cell>
          <cell r="H1430" t="str">
            <v>hp</v>
          </cell>
          <cell r="I1430" t="str">
            <v>体力タイプ</v>
          </cell>
          <cell r="J1430">
            <v>1</v>
          </cell>
          <cell r="K1430">
            <v>1</v>
          </cell>
          <cell r="L1430">
            <v>1</v>
          </cell>
          <cell r="M1430" t="str">
            <v>unknown</v>
          </cell>
          <cell r="N1430" t="str">
            <v>Unknown</v>
          </cell>
          <cell r="O1430">
            <v>1</v>
          </cell>
          <cell r="P1430">
            <v>1</v>
          </cell>
          <cell r="Q1430">
            <v>1</v>
          </cell>
          <cell r="R1430" t="str">
            <v>Boss</v>
          </cell>
          <cell r="S1430">
            <v>5</v>
          </cell>
          <cell r="T1430">
            <v>1.3</v>
          </cell>
          <cell r="U1430">
            <v>0.8</v>
          </cell>
          <cell r="V1430">
            <v>3</v>
          </cell>
        </row>
        <row r="1431">
          <cell r="A1431">
            <v>8072</v>
          </cell>
          <cell r="B1431" t="str">
            <v>ポムポムプリン</v>
          </cell>
          <cell r="C1431">
            <v>4</v>
          </cell>
          <cell r="D1431" t="str">
            <v>yellow</v>
          </cell>
          <cell r="E1431">
            <v>0.98</v>
          </cell>
          <cell r="F1431">
            <v>1.01</v>
          </cell>
          <cell r="G1431">
            <v>1</v>
          </cell>
          <cell r="H1431" t="str">
            <v>hp</v>
          </cell>
          <cell r="I1431" t="str">
            <v>体力タイプ</v>
          </cell>
          <cell r="J1431">
            <v>1</v>
          </cell>
          <cell r="K1431">
            <v>1</v>
          </cell>
          <cell r="L1431">
            <v>1</v>
          </cell>
          <cell r="M1431" t="str">
            <v>unknown</v>
          </cell>
          <cell r="N1431" t="str">
            <v>Unknown</v>
          </cell>
          <cell r="O1431">
            <v>1</v>
          </cell>
          <cell r="P1431">
            <v>1</v>
          </cell>
          <cell r="Q1431">
            <v>1</v>
          </cell>
          <cell r="R1431" t="str">
            <v>Boss</v>
          </cell>
          <cell r="S1431">
            <v>5</v>
          </cell>
          <cell r="T1431">
            <v>1.3</v>
          </cell>
          <cell r="U1431">
            <v>0.8</v>
          </cell>
          <cell r="V1431">
            <v>3</v>
          </cell>
        </row>
        <row r="1432">
          <cell r="A1432">
            <v>8077</v>
          </cell>
          <cell r="B1432" t="str">
            <v>鄭成功</v>
          </cell>
          <cell r="C1432">
            <v>5</v>
          </cell>
          <cell r="D1432" t="str">
            <v>blue</v>
          </cell>
          <cell r="E1432">
            <v>1</v>
          </cell>
          <cell r="F1432">
            <v>0.98</v>
          </cell>
          <cell r="G1432">
            <v>1</v>
          </cell>
          <cell r="H1432" t="str">
            <v>attack</v>
          </cell>
          <cell r="I1432" t="str">
            <v>攻撃タイプ</v>
          </cell>
          <cell r="J1432">
            <v>1</v>
          </cell>
          <cell r="K1432">
            <v>1</v>
          </cell>
          <cell r="L1432">
            <v>1</v>
          </cell>
          <cell r="M1432" t="str">
            <v>unknown</v>
          </cell>
          <cell r="N1432" t="str">
            <v>Unknown</v>
          </cell>
          <cell r="O1432">
            <v>1</v>
          </cell>
          <cell r="P1432">
            <v>1</v>
          </cell>
          <cell r="Q1432">
            <v>1</v>
          </cell>
          <cell r="R1432" t="str">
            <v>Boss</v>
          </cell>
          <cell r="S1432">
            <v>5</v>
          </cell>
          <cell r="T1432">
            <v>1.3</v>
          </cell>
          <cell r="U1432">
            <v>0.8</v>
          </cell>
          <cell r="V1432">
            <v>3</v>
          </cell>
        </row>
        <row r="1433">
          <cell r="A1433">
            <v>8078</v>
          </cell>
          <cell r="B1433" t="str">
            <v>レア６鄭成功</v>
          </cell>
          <cell r="C1433">
            <v>6</v>
          </cell>
          <cell r="D1433" t="str">
            <v>blue</v>
          </cell>
          <cell r="E1433">
            <v>1</v>
          </cell>
          <cell r="F1433">
            <v>0.98</v>
          </cell>
          <cell r="G1433">
            <v>1</v>
          </cell>
          <cell r="H1433" t="str">
            <v>attack</v>
          </cell>
          <cell r="I1433" t="str">
            <v>攻撃タイプ</v>
          </cell>
          <cell r="J1433">
            <v>1</v>
          </cell>
          <cell r="K1433">
            <v>1</v>
          </cell>
          <cell r="L1433">
            <v>1</v>
          </cell>
          <cell r="M1433" t="str">
            <v>unknown</v>
          </cell>
          <cell r="N1433" t="str">
            <v>Unknown</v>
          </cell>
          <cell r="O1433">
            <v>1</v>
          </cell>
          <cell r="P1433">
            <v>1</v>
          </cell>
          <cell r="Q1433">
            <v>1</v>
          </cell>
          <cell r="R1433" t="str">
            <v>Boss</v>
          </cell>
          <cell r="S1433">
            <v>5</v>
          </cell>
          <cell r="T1433">
            <v>1.3</v>
          </cell>
          <cell r="U1433">
            <v>0.8</v>
          </cell>
          <cell r="V1433">
            <v>3</v>
          </cell>
        </row>
        <row r="1434">
          <cell r="A1434">
            <v>8079</v>
          </cell>
          <cell r="B1434" t="str">
            <v>赤鬼</v>
          </cell>
          <cell r="C1434">
            <v>5</v>
          </cell>
          <cell r="D1434" t="str">
            <v>red</v>
          </cell>
          <cell r="E1434">
            <v>1</v>
          </cell>
          <cell r="F1434">
            <v>1.02</v>
          </cell>
          <cell r="G1434">
            <v>1</v>
          </cell>
          <cell r="H1434" t="str">
            <v>hp</v>
          </cell>
          <cell r="I1434" t="str">
            <v>体力タイプ</v>
          </cell>
          <cell r="J1434">
            <v>1</v>
          </cell>
          <cell r="K1434">
            <v>1</v>
          </cell>
          <cell r="L1434">
            <v>1</v>
          </cell>
          <cell r="M1434" t="str">
            <v>unknown</v>
          </cell>
          <cell r="N1434" t="str">
            <v>Unknown</v>
          </cell>
          <cell r="O1434">
            <v>1</v>
          </cell>
          <cell r="P1434">
            <v>1</v>
          </cell>
          <cell r="Q1434">
            <v>1</v>
          </cell>
          <cell r="R1434" t="str">
            <v>Boss</v>
          </cell>
          <cell r="S1434">
            <v>5</v>
          </cell>
          <cell r="T1434">
            <v>1.3</v>
          </cell>
          <cell r="U1434">
            <v>0.8</v>
          </cell>
          <cell r="V1434">
            <v>3</v>
          </cell>
        </row>
        <row r="1435">
          <cell r="A1435">
            <v>8080</v>
          </cell>
          <cell r="B1435" t="str">
            <v>レア６赤鬼</v>
          </cell>
          <cell r="C1435">
            <v>6</v>
          </cell>
          <cell r="D1435" t="str">
            <v>red</v>
          </cell>
          <cell r="E1435">
            <v>1</v>
          </cell>
          <cell r="F1435">
            <v>1.02</v>
          </cell>
          <cell r="G1435">
            <v>1</v>
          </cell>
          <cell r="H1435" t="str">
            <v>hp</v>
          </cell>
          <cell r="I1435" t="str">
            <v>体力タイプ</v>
          </cell>
          <cell r="J1435">
            <v>1</v>
          </cell>
          <cell r="K1435">
            <v>1</v>
          </cell>
          <cell r="L1435">
            <v>1</v>
          </cell>
          <cell r="M1435" t="str">
            <v>unknown</v>
          </cell>
          <cell r="N1435" t="str">
            <v>Unknown</v>
          </cell>
          <cell r="O1435">
            <v>1</v>
          </cell>
          <cell r="P1435">
            <v>1</v>
          </cell>
          <cell r="Q1435">
            <v>1</v>
          </cell>
          <cell r="R1435" t="str">
            <v>Boss</v>
          </cell>
          <cell r="S1435">
            <v>5</v>
          </cell>
          <cell r="T1435">
            <v>1.3</v>
          </cell>
          <cell r="U1435">
            <v>0.8</v>
          </cell>
          <cell r="V1435">
            <v>3</v>
          </cell>
        </row>
        <row r="1436">
          <cell r="A1436">
            <v>8087</v>
          </cell>
          <cell r="B1436" t="str">
            <v>財神</v>
          </cell>
          <cell r="C1436">
            <v>5</v>
          </cell>
          <cell r="D1436" t="str">
            <v>red</v>
          </cell>
          <cell r="E1436">
            <v>1</v>
          </cell>
          <cell r="F1436">
            <v>1.02</v>
          </cell>
          <cell r="G1436">
            <v>1</v>
          </cell>
          <cell r="H1436" t="str">
            <v>technical</v>
          </cell>
          <cell r="I1436" t="str">
            <v>テクニカルタイプ</v>
          </cell>
          <cell r="J1436">
            <v>1</v>
          </cell>
          <cell r="K1436">
            <v>1</v>
          </cell>
          <cell r="L1436">
            <v>1</v>
          </cell>
          <cell r="M1436" t="str">
            <v>unknown</v>
          </cell>
          <cell r="N1436" t="str">
            <v>Unknown</v>
          </cell>
          <cell r="O1436">
            <v>1</v>
          </cell>
          <cell r="P1436">
            <v>1</v>
          </cell>
          <cell r="Q1436">
            <v>1</v>
          </cell>
          <cell r="R1436" t="str">
            <v>Boss</v>
          </cell>
          <cell r="S1436">
            <v>5</v>
          </cell>
          <cell r="T1436">
            <v>1.3</v>
          </cell>
          <cell r="U1436">
            <v>0.8</v>
          </cell>
          <cell r="V1436">
            <v>3</v>
          </cell>
        </row>
        <row r="1437">
          <cell r="A1437">
            <v>8088</v>
          </cell>
          <cell r="B1437" t="str">
            <v>★６財神</v>
          </cell>
          <cell r="C1437">
            <v>6</v>
          </cell>
          <cell r="D1437" t="str">
            <v>red</v>
          </cell>
          <cell r="E1437">
            <v>1</v>
          </cell>
          <cell r="F1437">
            <v>1.02</v>
          </cell>
          <cell r="G1437">
            <v>1</v>
          </cell>
          <cell r="H1437" t="str">
            <v>technical</v>
          </cell>
          <cell r="I1437" t="str">
            <v>テクニカルタイプ</v>
          </cell>
          <cell r="J1437">
            <v>1</v>
          </cell>
          <cell r="K1437">
            <v>1</v>
          </cell>
          <cell r="L1437">
            <v>1</v>
          </cell>
          <cell r="M1437" t="str">
            <v>unknown</v>
          </cell>
          <cell r="N1437" t="str">
            <v>Unknown</v>
          </cell>
          <cell r="O1437">
            <v>1</v>
          </cell>
          <cell r="P1437">
            <v>1</v>
          </cell>
          <cell r="Q1437">
            <v>1</v>
          </cell>
          <cell r="R1437" t="str">
            <v>Boss</v>
          </cell>
          <cell r="S1437">
            <v>5</v>
          </cell>
          <cell r="T1437">
            <v>1.3</v>
          </cell>
          <cell r="U1437">
            <v>0.8</v>
          </cell>
          <cell r="V1437">
            <v>3</v>
          </cell>
        </row>
        <row r="1438">
          <cell r="A1438">
            <v>8089</v>
          </cell>
          <cell r="B1438" t="str">
            <v>年獣</v>
          </cell>
          <cell r="C1438">
            <v>5</v>
          </cell>
          <cell r="D1438" t="str">
            <v>green</v>
          </cell>
          <cell r="E1438">
            <v>1.02</v>
          </cell>
          <cell r="F1438">
            <v>0.98</v>
          </cell>
          <cell r="G1438">
            <v>1</v>
          </cell>
          <cell r="H1438" t="str">
            <v>attack</v>
          </cell>
          <cell r="I1438" t="str">
            <v>攻撃タイプ</v>
          </cell>
          <cell r="J1438">
            <v>1</v>
          </cell>
          <cell r="K1438">
            <v>1</v>
          </cell>
          <cell r="L1438">
            <v>1</v>
          </cell>
          <cell r="M1438" t="str">
            <v>unknown</v>
          </cell>
          <cell r="N1438" t="str">
            <v>Unknown</v>
          </cell>
          <cell r="O1438">
            <v>1</v>
          </cell>
          <cell r="P1438">
            <v>1</v>
          </cell>
          <cell r="Q1438">
            <v>1</v>
          </cell>
          <cell r="R1438" t="str">
            <v>Boss</v>
          </cell>
          <cell r="S1438">
            <v>5</v>
          </cell>
          <cell r="T1438">
            <v>1.3</v>
          </cell>
          <cell r="U1438">
            <v>0.8</v>
          </cell>
          <cell r="V1438">
            <v>3</v>
          </cell>
        </row>
        <row r="1439">
          <cell r="A1439">
            <v>8090</v>
          </cell>
          <cell r="B1439" t="str">
            <v>★６年獣</v>
          </cell>
          <cell r="C1439">
            <v>6</v>
          </cell>
          <cell r="D1439" t="str">
            <v>green</v>
          </cell>
          <cell r="E1439">
            <v>1.02</v>
          </cell>
          <cell r="F1439">
            <v>0.98</v>
          </cell>
          <cell r="G1439">
            <v>1</v>
          </cell>
          <cell r="H1439" t="str">
            <v>attack</v>
          </cell>
          <cell r="I1439" t="str">
            <v>攻撃タイプ</v>
          </cell>
          <cell r="J1439">
            <v>1</v>
          </cell>
          <cell r="K1439">
            <v>1</v>
          </cell>
          <cell r="L1439">
            <v>1</v>
          </cell>
          <cell r="M1439" t="str">
            <v>unknown</v>
          </cell>
          <cell r="N1439" t="str">
            <v>Unknown</v>
          </cell>
          <cell r="O1439">
            <v>1</v>
          </cell>
          <cell r="P1439">
            <v>1</v>
          </cell>
          <cell r="Q1439">
            <v>1</v>
          </cell>
          <cell r="R1439" t="str">
            <v>Boss</v>
          </cell>
          <cell r="S1439">
            <v>5</v>
          </cell>
          <cell r="T1439">
            <v>1.3</v>
          </cell>
          <cell r="U1439">
            <v>0.8</v>
          </cell>
          <cell r="V1439">
            <v>3</v>
          </cell>
        </row>
        <row r="1440">
          <cell r="A1440">
            <v>8095</v>
          </cell>
          <cell r="B1440" t="str">
            <v>バハムートダック赤</v>
          </cell>
          <cell r="C1440">
            <v>6</v>
          </cell>
          <cell r="D1440" t="str">
            <v>red</v>
          </cell>
          <cell r="E1440">
            <v>1</v>
          </cell>
          <cell r="F1440">
            <v>1.02</v>
          </cell>
          <cell r="G1440">
            <v>1</v>
          </cell>
          <cell r="H1440" t="str">
            <v>exp</v>
          </cell>
          <cell r="I1440" t="str">
            <v>強化素材タイプ</v>
          </cell>
          <cell r="J1440">
            <v>1</v>
          </cell>
          <cell r="K1440">
            <v>1</v>
          </cell>
          <cell r="L1440">
            <v>1</v>
          </cell>
          <cell r="M1440" t="str">
            <v>unknown</v>
          </cell>
          <cell r="N1440" t="str">
            <v>Unknown</v>
          </cell>
          <cell r="O1440">
            <v>1</v>
          </cell>
          <cell r="P1440">
            <v>1</v>
          </cell>
          <cell r="Q1440">
            <v>1</v>
          </cell>
          <cell r="R1440" t="str">
            <v>Boss</v>
          </cell>
          <cell r="S1440">
            <v>5</v>
          </cell>
          <cell r="T1440">
            <v>1.3</v>
          </cell>
          <cell r="U1440">
            <v>0.8</v>
          </cell>
          <cell r="V1440">
            <v>3</v>
          </cell>
        </row>
        <row r="1441">
          <cell r="A1441">
            <v>8096</v>
          </cell>
          <cell r="B1441" t="str">
            <v>バハムートダック緑</v>
          </cell>
          <cell r="C1441">
            <v>6</v>
          </cell>
          <cell r="D1441" t="str">
            <v>green</v>
          </cell>
          <cell r="E1441">
            <v>1.02</v>
          </cell>
          <cell r="F1441">
            <v>0.98</v>
          </cell>
          <cell r="G1441">
            <v>1</v>
          </cell>
          <cell r="H1441" t="str">
            <v>exp</v>
          </cell>
          <cell r="I1441" t="str">
            <v>強化素材タイプ</v>
          </cell>
          <cell r="J1441">
            <v>1</v>
          </cell>
          <cell r="K1441">
            <v>1</v>
          </cell>
          <cell r="L1441">
            <v>1</v>
          </cell>
          <cell r="M1441" t="str">
            <v>unknown</v>
          </cell>
          <cell r="N1441" t="str">
            <v>Unknown</v>
          </cell>
          <cell r="O1441">
            <v>1</v>
          </cell>
          <cell r="P1441">
            <v>1</v>
          </cell>
          <cell r="Q1441">
            <v>1</v>
          </cell>
          <cell r="R1441" t="str">
            <v>Boss</v>
          </cell>
          <cell r="S1441">
            <v>5</v>
          </cell>
          <cell r="T1441">
            <v>1.3</v>
          </cell>
          <cell r="U1441">
            <v>0.8</v>
          </cell>
          <cell r="V1441">
            <v>3</v>
          </cell>
        </row>
        <row r="1442">
          <cell r="A1442">
            <v>8097</v>
          </cell>
          <cell r="B1442" t="str">
            <v>バハムートダック青</v>
          </cell>
          <cell r="C1442">
            <v>6</v>
          </cell>
          <cell r="D1442" t="str">
            <v>blue</v>
          </cell>
          <cell r="E1442">
            <v>1</v>
          </cell>
          <cell r="F1442">
            <v>0.98</v>
          </cell>
          <cell r="G1442">
            <v>1</v>
          </cell>
          <cell r="H1442" t="str">
            <v>exp</v>
          </cell>
          <cell r="I1442" t="str">
            <v>強化素材タイプ</v>
          </cell>
          <cell r="J1442">
            <v>1</v>
          </cell>
          <cell r="K1442">
            <v>1</v>
          </cell>
          <cell r="L1442">
            <v>1</v>
          </cell>
          <cell r="M1442" t="str">
            <v>unknown</v>
          </cell>
          <cell r="N1442" t="str">
            <v>Unknown</v>
          </cell>
          <cell r="O1442">
            <v>1</v>
          </cell>
          <cell r="P1442">
            <v>1</v>
          </cell>
          <cell r="Q1442">
            <v>1</v>
          </cell>
          <cell r="R1442" t="str">
            <v>Boss</v>
          </cell>
          <cell r="S1442">
            <v>5</v>
          </cell>
          <cell r="T1442">
            <v>1.3</v>
          </cell>
          <cell r="U1442">
            <v>0.8</v>
          </cell>
          <cell r="V1442">
            <v>3</v>
          </cell>
        </row>
        <row r="1443">
          <cell r="A1443">
            <v>8098</v>
          </cell>
          <cell r="B1443" t="str">
            <v>バハムートダック黄</v>
          </cell>
          <cell r="C1443">
            <v>6</v>
          </cell>
          <cell r="D1443" t="str">
            <v>yellow</v>
          </cell>
          <cell r="E1443">
            <v>0.98</v>
          </cell>
          <cell r="F1443">
            <v>1.01</v>
          </cell>
          <cell r="G1443">
            <v>1</v>
          </cell>
          <cell r="H1443" t="str">
            <v>exp</v>
          </cell>
          <cell r="I1443" t="str">
            <v>強化素材タイプ</v>
          </cell>
          <cell r="J1443">
            <v>1</v>
          </cell>
          <cell r="K1443">
            <v>1</v>
          </cell>
          <cell r="L1443">
            <v>1</v>
          </cell>
          <cell r="M1443" t="str">
            <v>unknown</v>
          </cell>
          <cell r="N1443" t="str">
            <v>Unknown</v>
          </cell>
          <cell r="O1443">
            <v>1</v>
          </cell>
          <cell r="P1443">
            <v>1</v>
          </cell>
          <cell r="Q1443">
            <v>1</v>
          </cell>
          <cell r="R1443" t="str">
            <v>Boss</v>
          </cell>
          <cell r="S1443">
            <v>5</v>
          </cell>
          <cell r="T1443">
            <v>1.3</v>
          </cell>
          <cell r="U1443">
            <v>0.8</v>
          </cell>
          <cell r="V1443">
            <v>3</v>
          </cell>
        </row>
        <row r="1444">
          <cell r="A1444">
            <v>8099</v>
          </cell>
          <cell r="B1444" t="str">
            <v>リトルハンプティ</v>
          </cell>
          <cell r="C1444">
            <v>6</v>
          </cell>
          <cell r="D1444" t="str">
            <v>green</v>
          </cell>
          <cell r="E1444">
            <v>1.02</v>
          </cell>
          <cell r="F1444">
            <v>0.98</v>
          </cell>
          <cell r="G1444">
            <v>1</v>
          </cell>
          <cell r="H1444" t="str">
            <v>evolution</v>
          </cell>
          <cell r="I1444" t="str">
            <v>覚醒素材タイプ</v>
          </cell>
          <cell r="J1444">
            <v>0.1</v>
          </cell>
          <cell r="K1444">
            <v>0.05</v>
          </cell>
          <cell r="L1444">
            <v>1</v>
          </cell>
          <cell r="M1444" t="str">
            <v>unknown</v>
          </cell>
          <cell r="N1444" t="str">
            <v>Unknown</v>
          </cell>
          <cell r="O1444">
            <v>1</v>
          </cell>
          <cell r="P1444">
            <v>1</v>
          </cell>
          <cell r="Q1444">
            <v>1</v>
          </cell>
          <cell r="R1444" t="str">
            <v>Boss</v>
          </cell>
          <cell r="S1444">
            <v>5</v>
          </cell>
          <cell r="T1444">
            <v>1.3</v>
          </cell>
          <cell r="U1444">
            <v>0.8</v>
          </cell>
          <cell r="V1444">
            <v>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1403</v>
          </cell>
        </row>
        <row r="1373">
          <cell r="A1373">
            <v>1404</v>
          </cell>
        </row>
        <row r="1374">
          <cell r="A1374">
            <v>1405</v>
          </cell>
        </row>
        <row r="1375">
          <cell r="A1375">
            <v>1406</v>
          </cell>
        </row>
        <row r="1376">
          <cell r="A1376">
            <v>1414</v>
          </cell>
        </row>
        <row r="1377">
          <cell r="A1377">
            <v>1415</v>
          </cell>
        </row>
        <row r="1378">
          <cell r="A1378">
            <v>1416</v>
          </cell>
        </row>
        <row r="1379">
          <cell r="A1379">
            <v>1417</v>
          </cell>
        </row>
        <row r="1380">
          <cell r="A1380">
            <v>1427</v>
          </cell>
        </row>
        <row r="1381">
          <cell r="A1381">
            <v>5001</v>
          </cell>
        </row>
        <row r="1382">
          <cell r="A1382">
            <v>5002</v>
          </cell>
        </row>
        <row r="1383">
          <cell r="A1383">
            <v>5003</v>
          </cell>
        </row>
        <row r="1384">
          <cell r="A1384">
            <v>5004</v>
          </cell>
        </row>
        <row r="1385">
          <cell r="A1385">
            <v>6001</v>
          </cell>
        </row>
        <row r="1386">
          <cell r="A1386">
            <v>6002</v>
          </cell>
        </row>
        <row r="1387">
          <cell r="A1387">
            <v>6003</v>
          </cell>
        </row>
        <row r="1388">
          <cell r="A1388">
            <v>6004</v>
          </cell>
        </row>
        <row r="1389">
          <cell r="A1389">
            <v>6005</v>
          </cell>
        </row>
        <row r="1390">
          <cell r="A1390">
            <v>6006</v>
          </cell>
        </row>
        <row r="1391">
          <cell r="A1391">
            <v>6007</v>
          </cell>
        </row>
        <row r="1392">
          <cell r="A1392">
            <v>6008</v>
          </cell>
        </row>
        <row r="1393">
          <cell r="A1393">
            <v>6009</v>
          </cell>
        </row>
        <row r="1394">
          <cell r="A1394">
            <v>6010</v>
          </cell>
        </row>
        <row r="1395">
          <cell r="A1395">
            <v>6011</v>
          </cell>
        </row>
        <row r="1396">
          <cell r="A1396">
            <v>6012</v>
          </cell>
        </row>
        <row r="1397">
          <cell r="A1397">
            <v>6013</v>
          </cell>
        </row>
        <row r="1398">
          <cell r="A1398">
            <v>6014</v>
          </cell>
        </row>
        <row r="1399">
          <cell r="A1399">
            <v>6015</v>
          </cell>
        </row>
        <row r="1400">
          <cell r="A1400">
            <v>6016</v>
          </cell>
        </row>
        <row r="1401">
          <cell r="A1401">
            <v>6017</v>
          </cell>
        </row>
        <row r="1402">
          <cell r="A1402">
            <v>6018</v>
          </cell>
        </row>
        <row r="1403">
          <cell r="A1403">
            <v>6019</v>
          </cell>
        </row>
        <row r="1404">
          <cell r="A1404">
            <v>6020</v>
          </cell>
        </row>
        <row r="1405">
          <cell r="A1405">
            <v>8001</v>
          </cell>
        </row>
        <row r="1406">
          <cell r="A1406">
            <v>8002</v>
          </cell>
        </row>
        <row r="1407">
          <cell r="A1407">
            <v>8003</v>
          </cell>
        </row>
        <row r="1408">
          <cell r="A1408">
            <v>8004</v>
          </cell>
        </row>
        <row r="1409">
          <cell r="A1409">
            <v>8005</v>
          </cell>
        </row>
        <row r="1410">
          <cell r="A1410">
            <v>8006</v>
          </cell>
        </row>
        <row r="1411">
          <cell r="A1411">
            <v>8007</v>
          </cell>
        </row>
        <row r="1412">
          <cell r="A1412">
            <v>8008</v>
          </cell>
        </row>
        <row r="1413">
          <cell r="A1413">
            <v>8009</v>
          </cell>
        </row>
        <row r="1414">
          <cell r="A1414">
            <v>8010</v>
          </cell>
        </row>
        <row r="1415">
          <cell r="A1415">
            <v>8011</v>
          </cell>
        </row>
        <row r="1416">
          <cell r="A1416">
            <v>8012</v>
          </cell>
        </row>
        <row r="1417">
          <cell r="A1417">
            <v>8013</v>
          </cell>
        </row>
        <row r="1418">
          <cell r="A1418">
            <v>8014</v>
          </cell>
        </row>
        <row r="1419">
          <cell r="A1419">
            <v>8015</v>
          </cell>
        </row>
        <row r="1420">
          <cell r="A1420">
            <v>8016</v>
          </cell>
        </row>
        <row r="1421">
          <cell r="A1421">
            <v>8017</v>
          </cell>
        </row>
        <row r="1422">
          <cell r="A1422">
            <v>8018</v>
          </cell>
        </row>
        <row r="1423">
          <cell r="A1423">
            <v>8019</v>
          </cell>
        </row>
        <row r="1424">
          <cell r="A1424">
            <v>8020</v>
          </cell>
        </row>
        <row r="1425">
          <cell r="A1425">
            <v>8021</v>
          </cell>
        </row>
        <row r="1426">
          <cell r="A1426">
            <v>8022</v>
          </cell>
        </row>
        <row r="1427">
          <cell r="A1427">
            <v>8023</v>
          </cell>
        </row>
        <row r="1428">
          <cell r="A1428">
            <v>8024</v>
          </cell>
        </row>
        <row r="1429">
          <cell r="A1429">
            <v>8025</v>
          </cell>
        </row>
        <row r="1430">
          <cell r="A1430">
            <v>8026</v>
          </cell>
        </row>
        <row r="1431">
          <cell r="A1431">
            <v>8027</v>
          </cell>
        </row>
        <row r="1432">
          <cell r="A1432">
            <v>8028</v>
          </cell>
        </row>
        <row r="1433">
          <cell r="A1433">
            <v>8029</v>
          </cell>
        </row>
        <row r="1434">
          <cell r="A1434">
            <v>8030</v>
          </cell>
        </row>
        <row r="1435">
          <cell r="A1435">
            <v>8031</v>
          </cell>
        </row>
        <row r="1436">
          <cell r="A1436">
            <v>8032</v>
          </cell>
        </row>
        <row r="1437">
          <cell r="A1437">
            <v>8033</v>
          </cell>
        </row>
        <row r="1438">
          <cell r="A1438">
            <v>8034</v>
          </cell>
        </row>
        <row r="1439">
          <cell r="A1439">
            <v>8035</v>
          </cell>
        </row>
        <row r="1440">
          <cell r="A1440">
            <v>8036</v>
          </cell>
        </row>
        <row r="1441">
          <cell r="A1441">
            <v>8037</v>
          </cell>
        </row>
        <row r="1442">
          <cell r="A1442">
            <v>8038</v>
          </cell>
        </row>
        <row r="1443">
          <cell r="A1443">
            <v>8039</v>
          </cell>
        </row>
        <row r="1444">
          <cell r="A1444">
            <v>8040</v>
          </cell>
        </row>
        <row r="1445">
          <cell r="A1445">
            <v>8041</v>
          </cell>
        </row>
        <row r="1446">
          <cell r="A1446">
            <v>8042</v>
          </cell>
        </row>
        <row r="1447">
          <cell r="A1447">
            <v>8043</v>
          </cell>
        </row>
        <row r="1448">
          <cell r="A1448">
            <v>8044</v>
          </cell>
        </row>
        <row r="1449">
          <cell r="A1449">
            <v>8045</v>
          </cell>
        </row>
        <row r="1450">
          <cell r="A1450">
            <v>8046</v>
          </cell>
        </row>
        <row r="1451">
          <cell r="A1451">
            <v>8047</v>
          </cell>
        </row>
        <row r="1452">
          <cell r="A1452">
            <v>8048</v>
          </cell>
        </row>
        <row r="1453">
          <cell r="A1453">
            <v>8049</v>
          </cell>
        </row>
        <row r="1454">
          <cell r="A1454">
            <v>8050</v>
          </cell>
        </row>
        <row r="1455">
          <cell r="A1455">
            <v>8051</v>
          </cell>
        </row>
        <row r="1456">
          <cell r="A1456">
            <v>8052</v>
          </cell>
        </row>
        <row r="1457">
          <cell r="A1457">
            <v>8053</v>
          </cell>
        </row>
        <row r="1458">
          <cell r="A1458">
            <v>8054</v>
          </cell>
        </row>
        <row r="1459">
          <cell r="A1459">
            <v>8055</v>
          </cell>
        </row>
        <row r="1460">
          <cell r="A1460">
            <v>8056</v>
          </cell>
        </row>
        <row r="1461">
          <cell r="A1461">
            <v>8057</v>
          </cell>
        </row>
        <row r="1462">
          <cell r="A1462">
            <v>8058</v>
          </cell>
        </row>
        <row r="1463">
          <cell r="A1463">
            <v>8059</v>
          </cell>
        </row>
        <row r="1464">
          <cell r="A1464">
            <v>8060</v>
          </cell>
        </row>
        <row r="1465">
          <cell r="A1465">
            <v>8061</v>
          </cell>
        </row>
        <row r="1466">
          <cell r="A1466">
            <v>8062</v>
          </cell>
        </row>
        <row r="1467">
          <cell r="A1467">
            <v>8063</v>
          </cell>
        </row>
        <row r="1468">
          <cell r="A1468">
            <v>8064</v>
          </cell>
        </row>
        <row r="1469">
          <cell r="A1469">
            <v>8065</v>
          </cell>
        </row>
        <row r="1470">
          <cell r="A1470">
            <v>8066</v>
          </cell>
        </row>
        <row r="1471">
          <cell r="A1471">
            <v>8067</v>
          </cell>
        </row>
        <row r="1472">
          <cell r="A1472">
            <v>8068</v>
          </cell>
        </row>
        <row r="1473">
          <cell r="A1473">
            <v>8069</v>
          </cell>
        </row>
        <row r="1474">
          <cell r="A1474">
            <v>8070</v>
          </cell>
        </row>
        <row r="1475">
          <cell r="A1475">
            <v>8071</v>
          </cell>
        </row>
        <row r="1476">
          <cell r="A1476">
            <v>8072</v>
          </cell>
        </row>
        <row r="1477">
          <cell r="A1477">
            <v>8073</v>
          </cell>
        </row>
        <row r="1478">
          <cell r="A1478">
            <v>8074</v>
          </cell>
        </row>
        <row r="1479">
          <cell r="A1479">
            <v>8075</v>
          </cell>
        </row>
        <row r="1480">
          <cell r="A1480">
            <v>8076</v>
          </cell>
        </row>
        <row r="1481">
          <cell r="A1481">
            <v>8077</v>
          </cell>
        </row>
        <row r="1482">
          <cell r="A1482">
            <v>8078</v>
          </cell>
        </row>
        <row r="1483">
          <cell r="A1483">
            <v>8079</v>
          </cell>
        </row>
        <row r="1484">
          <cell r="A1484">
            <v>8080</v>
          </cell>
        </row>
        <row r="1485">
          <cell r="A1485">
            <v>8087</v>
          </cell>
        </row>
        <row r="1486">
          <cell r="A1486">
            <v>8088</v>
          </cell>
        </row>
        <row r="1487">
          <cell r="A1487">
            <v>8089</v>
          </cell>
        </row>
        <row r="1488">
          <cell r="A1488">
            <v>8090</v>
          </cell>
        </row>
        <row r="1489">
          <cell r="A1489">
            <v>8095</v>
          </cell>
        </row>
        <row r="1490">
          <cell r="A1490">
            <v>8096</v>
          </cell>
        </row>
        <row r="1491">
          <cell r="A1491">
            <v>8097</v>
          </cell>
        </row>
        <row r="1492">
          <cell r="A1492">
            <v>8098</v>
          </cell>
        </row>
        <row r="1493">
          <cell r="A1493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C11"/>
  <sheetViews>
    <sheetView zoomScale="75" zoomScaleNormal="75" zoomScalePageLayoutView="75" workbookViewId="0">
      <selection activeCell="C4" sqref="C4"/>
    </sheetView>
  </sheetViews>
  <sheetFormatPr baseColWidth="12" defaultRowHeight="15" x14ac:dyDescent="0.15"/>
  <cols>
    <col min="2" max="2" width="18.1640625" bestFit="1" customWidth="1"/>
    <col min="3" max="4" width="10.83203125"/>
    <col min="5" max="5" width="29.33203125" bestFit="1" customWidth="1"/>
    <col min="6" max="6" width="22.1640625" bestFit="1" customWidth="1"/>
  </cols>
  <sheetData>
    <row r="1" spans="1:29" x14ac:dyDescent="0.15">
      <c r="A1" s="30" t="s">
        <v>53</v>
      </c>
      <c r="B1" s="31" t="s">
        <v>54</v>
      </c>
      <c r="C1" s="31" t="s">
        <v>55</v>
      </c>
      <c r="D1" s="31" t="s">
        <v>56</v>
      </c>
      <c r="E1" s="31" t="s">
        <v>57</v>
      </c>
      <c r="F1" s="31" t="s">
        <v>58</v>
      </c>
      <c r="G1" s="31" t="s">
        <v>59</v>
      </c>
      <c r="H1" s="31"/>
      <c r="I1" s="31"/>
      <c r="J1" s="31"/>
      <c r="K1" s="31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</row>
    <row r="2" spans="1:29" x14ac:dyDescent="0.15">
      <c r="A2" s="33" t="s">
        <v>206</v>
      </c>
      <c r="B2" s="34" t="s">
        <v>60</v>
      </c>
      <c r="C2" s="34" t="s">
        <v>208</v>
      </c>
      <c r="D2" s="34" t="s">
        <v>61</v>
      </c>
      <c r="E2" s="32" t="str">
        <f>B2&amp;C2&amp;D2</f>
        <v>floors_lockexp.tmp</v>
      </c>
      <c r="F2" s="34" t="s">
        <v>62</v>
      </c>
      <c r="G2" s="35" t="s">
        <v>0</v>
      </c>
      <c r="H2" s="35" t="s">
        <v>1</v>
      </c>
      <c r="I2" s="35" t="s">
        <v>13</v>
      </c>
      <c r="J2" s="35" t="s">
        <v>14</v>
      </c>
      <c r="K2" s="35" t="s">
        <v>15</v>
      </c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</row>
    <row r="3" spans="1:29" x14ac:dyDescent="0.15">
      <c r="A3" s="33" t="s">
        <v>206</v>
      </c>
      <c r="B3" s="34" t="s">
        <v>63</v>
      </c>
      <c r="C3" s="34" t="str">
        <f>C2</f>
        <v>lockexp</v>
      </c>
      <c r="D3" s="34" t="s">
        <v>61</v>
      </c>
      <c r="E3" s="32" t="str">
        <f>B3&amp;C3&amp;D3</f>
        <v>enemy_habitats_lockexp.tmp</v>
      </c>
      <c r="F3" s="34" t="s">
        <v>64</v>
      </c>
      <c r="G3" s="35" t="s">
        <v>0</v>
      </c>
      <c r="H3" s="35" t="s">
        <v>1</v>
      </c>
      <c r="I3" s="35" t="s">
        <v>13</v>
      </c>
      <c r="J3" s="35" t="s">
        <v>2</v>
      </c>
      <c r="K3" s="35" t="s">
        <v>3</v>
      </c>
      <c r="L3" s="35" t="s">
        <v>50</v>
      </c>
      <c r="M3" s="35" t="s">
        <v>51</v>
      </c>
      <c r="N3" s="35" t="s">
        <v>52</v>
      </c>
      <c r="O3" s="35" t="s">
        <v>22</v>
      </c>
      <c r="P3" s="35" t="s">
        <v>5</v>
      </c>
      <c r="Q3" s="35" t="s">
        <v>6</v>
      </c>
      <c r="R3" s="35" t="s">
        <v>7</v>
      </c>
      <c r="S3" s="35" t="s">
        <v>8</v>
      </c>
      <c r="T3" s="35" t="s">
        <v>9</v>
      </c>
      <c r="U3" s="35" t="s">
        <v>10</v>
      </c>
      <c r="V3" s="35" t="s">
        <v>11</v>
      </c>
      <c r="W3" s="35" t="s">
        <v>12</v>
      </c>
      <c r="X3" s="35" t="s">
        <v>36</v>
      </c>
      <c r="Y3" s="35" t="s">
        <v>38</v>
      </c>
      <c r="Z3" s="35" t="s">
        <v>40</v>
      </c>
      <c r="AA3" s="35" t="s">
        <v>42</v>
      </c>
      <c r="AB3" s="35" t="s">
        <v>44</v>
      </c>
      <c r="AC3" s="35" t="s">
        <v>65</v>
      </c>
    </row>
    <row r="4" spans="1:29" x14ac:dyDescent="0.15">
      <c r="A4" s="33" t="s">
        <v>207</v>
      </c>
      <c r="B4" s="34" t="s">
        <v>66</v>
      </c>
      <c r="C4" s="34" t="str">
        <f t="shared" ref="C4:C8" si="0">C3</f>
        <v>lockexp</v>
      </c>
      <c r="D4" s="34" t="s">
        <v>61</v>
      </c>
      <c r="E4" s="32" t="str">
        <f>B4&amp;C4&amp;D4</f>
        <v>enemy_habitat_S_lockexp.tmp</v>
      </c>
      <c r="F4" s="34" t="s">
        <v>67</v>
      </c>
      <c r="G4" s="35" t="s">
        <v>0</v>
      </c>
      <c r="H4" s="35" t="s">
        <v>1</v>
      </c>
      <c r="I4" s="35" t="s">
        <v>13</v>
      </c>
      <c r="J4" s="35" t="s">
        <v>65</v>
      </c>
      <c r="K4" s="35" t="s">
        <v>68</v>
      </c>
      <c r="L4" s="35" t="s">
        <v>69</v>
      </c>
      <c r="M4" s="35" t="s">
        <v>70</v>
      </c>
      <c r="N4" s="35" t="s">
        <v>71</v>
      </c>
      <c r="O4" s="35" t="s">
        <v>72</v>
      </c>
      <c r="P4" s="35" t="s">
        <v>47</v>
      </c>
      <c r="Q4" s="35" t="s">
        <v>48</v>
      </c>
      <c r="R4" s="35" t="s">
        <v>49</v>
      </c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</row>
    <row r="5" spans="1:29" x14ac:dyDescent="0.15">
      <c r="A5" s="33" t="s">
        <v>206</v>
      </c>
      <c r="B5" s="34" t="s">
        <v>73</v>
      </c>
      <c r="C5" s="34" t="str">
        <f t="shared" si="0"/>
        <v>lockexp</v>
      </c>
      <c r="D5" s="34" t="s">
        <v>74</v>
      </c>
      <c r="E5" s="32" t="str">
        <f>B5&amp;C5&amp;D5</f>
        <v>enemy_skill_sets_lockexp.tmp</v>
      </c>
      <c r="F5" s="34" t="s">
        <v>75</v>
      </c>
      <c r="G5" s="36" t="s">
        <v>22</v>
      </c>
      <c r="H5" s="36" t="s">
        <v>76</v>
      </c>
      <c r="I5" s="36" t="s">
        <v>77</v>
      </c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</row>
    <row r="6" spans="1:29" x14ac:dyDescent="0.15">
      <c r="A6" s="33" t="s">
        <v>206</v>
      </c>
      <c r="B6" s="34" t="s">
        <v>78</v>
      </c>
      <c r="C6" s="34" t="str">
        <f t="shared" si="0"/>
        <v>lockexp</v>
      </c>
      <c r="D6" s="34" t="s">
        <v>79</v>
      </c>
      <c r="E6" s="32" t="str">
        <f t="shared" ref="E6:E11" si="1">B6&amp;C6&amp;D6</f>
        <v>enemy_skills_tmp_lockexp.tmp</v>
      </c>
      <c r="F6" s="34" t="s">
        <v>80</v>
      </c>
      <c r="G6" s="35" t="s">
        <v>81</v>
      </c>
      <c r="H6" s="35" t="s">
        <v>82</v>
      </c>
      <c r="I6" s="35" t="s">
        <v>83</v>
      </c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</row>
    <row r="7" spans="1:29" x14ac:dyDescent="0.15">
      <c r="A7" s="33" t="s">
        <v>206</v>
      </c>
      <c r="B7" s="34" t="s">
        <v>84</v>
      </c>
      <c r="C7" s="34" t="str">
        <f t="shared" si="0"/>
        <v>lockexp</v>
      </c>
      <c r="D7" s="34" t="s">
        <v>85</v>
      </c>
      <c r="E7" s="32" t="str">
        <f>B7&amp;C7&amp;D7</f>
        <v>enemy_skills_i18n_lockexp.tmp</v>
      </c>
      <c r="F7" s="34" t="s">
        <v>86</v>
      </c>
      <c r="G7" s="35" t="s">
        <v>81</v>
      </c>
      <c r="H7" s="35" t="s">
        <v>87</v>
      </c>
      <c r="I7" s="35" t="s">
        <v>88</v>
      </c>
      <c r="J7" s="35" t="s">
        <v>89</v>
      </c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</row>
    <row r="8" spans="1:29" x14ac:dyDescent="0.15">
      <c r="A8" s="33" t="s">
        <v>206</v>
      </c>
      <c r="B8" s="34" t="s">
        <v>90</v>
      </c>
      <c r="C8" s="34" t="str">
        <f t="shared" si="0"/>
        <v>lockexp</v>
      </c>
      <c r="D8" s="34" t="s">
        <v>91</v>
      </c>
      <c r="E8" s="32" t="str">
        <f t="shared" si="1"/>
        <v>enemy_skill_triggers_lockexp.tmp</v>
      </c>
      <c r="F8" s="34" t="s">
        <v>92</v>
      </c>
      <c r="G8" s="35" t="s">
        <v>77</v>
      </c>
      <c r="H8" s="35" t="s">
        <v>93</v>
      </c>
      <c r="I8" s="35" t="s">
        <v>94</v>
      </c>
      <c r="J8" s="35" t="s">
        <v>95</v>
      </c>
      <c r="K8" s="35" t="s">
        <v>96</v>
      </c>
      <c r="L8" s="35" t="s">
        <v>97</v>
      </c>
      <c r="M8" s="35" t="s">
        <v>98</v>
      </c>
      <c r="N8" s="35" t="s">
        <v>99</v>
      </c>
      <c r="O8" s="35" t="s">
        <v>100</v>
      </c>
      <c r="P8" s="35" t="s">
        <v>101</v>
      </c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</row>
    <row r="9" spans="1:29" x14ac:dyDescent="0.15">
      <c r="A9" s="33" t="s">
        <v>206</v>
      </c>
      <c r="B9" s="93" t="s">
        <v>187</v>
      </c>
      <c r="C9" s="98" t="str">
        <f t="shared" ref="C9:C11" si="2">C$2</f>
        <v>lockexp</v>
      </c>
      <c r="D9" s="93" t="s">
        <v>188</v>
      </c>
      <c r="E9" s="94" t="str">
        <f t="shared" si="1"/>
        <v>stage_bug_bonuses_lockexp.tmp</v>
      </c>
      <c r="F9" s="93" t="s">
        <v>189</v>
      </c>
      <c r="G9" s="68" t="s">
        <v>156</v>
      </c>
      <c r="H9" s="68" t="s">
        <v>190</v>
      </c>
      <c r="I9" s="68" t="s">
        <v>191</v>
      </c>
      <c r="J9" s="71" t="s">
        <v>192</v>
      </c>
      <c r="K9" s="68" t="s">
        <v>193</v>
      </c>
      <c r="L9" s="68" t="s">
        <v>162</v>
      </c>
      <c r="M9" s="68" t="s">
        <v>163</v>
      </c>
      <c r="N9" s="68" t="s">
        <v>70</v>
      </c>
      <c r="O9" s="68" t="s">
        <v>164</v>
      </c>
      <c r="P9" s="68" t="s">
        <v>37</v>
      </c>
      <c r="Q9" s="68" t="s">
        <v>39</v>
      </c>
      <c r="R9" s="68" t="s">
        <v>41</v>
      </c>
      <c r="S9" s="68" t="s">
        <v>43</v>
      </c>
      <c r="T9" s="68" t="s">
        <v>45</v>
      </c>
      <c r="U9" s="68" t="s">
        <v>165</v>
      </c>
      <c r="V9" s="68" t="s">
        <v>166</v>
      </c>
      <c r="W9" s="68" t="s">
        <v>167</v>
      </c>
    </row>
    <row r="10" spans="1:29" s="97" customFormat="1" x14ac:dyDescent="0.15">
      <c r="A10" s="33" t="s">
        <v>206</v>
      </c>
      <c r="B10" s="93" t="s">
        <v>194</v>
      </c>
      <c r="C10" s="98" t="str">
        <f t="shared" si="2"/>
        <v>lockexp</v>
      </c>
      <c r="D10" s="93" t="s">
        <v>188</v>
      </c>
      <c r="E10" s="94" t="str">
        <f t="shared" si="1"/>
        <v>stage_hints_data_lockexp.tmp</v>
      </c>
      <c r="F10" s="95" t="s">
        <v>195</v>
      </c>
      <c r="G10" s="76" t="s">
        <v>156</v>
      </c>
      <c r="H10" s="76" t="s">
        <v>190</v>
      </c>
      <c r="I10" s="96" t="s">
        <v>196</v>
      </c>
      <c r="J10" s="71" t="s">
        <v>197</v>
      </c>
      <c r="K10" s="71" t="s">
        <v>198</v>
      </c>
    </row>
    <row r="11" spans="1:29" s="97" customFormat="1" x14ac:dyDescent="0.15">
      <c r="A11" s="33" t="s">
        <v>206</v>
      </c>
      <c r="B11" s="93" t="s">
        <v>199</v>
      </c>
      <c r="C11" s="98" t="str">
        <f t="shared" si="2"/>
        <v>lockexp</v>
      </c>
      <c r="D11" s="93" t="s">
        <v>200</v>
      </c>
      <c r="E11" s="94" t="str">
        <f t="shared" si="1"/>
        <v>stage_hints_i18n_lockexp.tmp</v>
      </c>
      <c r="F11" s="95" t="s">
        <v>195</v>
      </c>
      <c r="G11" s="96" t="s">
        <v>201</v>
      </c>
      <c r="H11" s="68" t="s">
        <v>202</v>
      </c>
      <c r="I11" s="76" t="s">
        <v>203</v>
      </c>
      <c r="J11" s="99" t="s">
        <v>204</v>
      </c>
      <c r="K11" s="71" t="s">
        <v>205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1"/>
  <sheetViews>
    <sheetView showGridLines="0" zoomScale="75" zoomScaleNormal="75" zoomScalePageLayoutView="75" workbookViewId="0">
      <pane ySplit="1" topLeftCell="A2" activePane="bottomLeft" state="frozen"/>
      <selection activeCell="V2" sqref="V2:X34"/>
      <selection pane="bottomLeft" activeCell="H24" sqref="H24"/>
    </sheetView>
  </sheetViews>
  <sheetFormatPr baseColWidth="12" defaultColWidth="13" defaultRowHeight="21" customHeight="1" outlineLevelCol="1" x14ac:dyDescent="0.15"/>
  <cols>
    <col min="1" max="1" width="8.83203125" style="23" bestFit="1" customWidth="1"/>
    <col min="2" max="2" width="5" style="23" bestFit="1" customWidth="1"/>
    <col min="3" max="3" width="7.1640625" style="4" bestFit="1" customWidth="1"/>
    <col min="4" max="4" width="21.6640625" style="4" bestFit="1" customWidth="1" outlineLevel="1"/>
    <col min="5" max="5" width="11.33203125" style="4" bestFit="1" customWidth="1" outlineLevel="1"/>
    <col min="6" max="6" width="7" style="4" bestFit="1" customWidth="1"/>
    <col min="7" max="7" width="9.33203125" style="23" bestFit="1" customWidth="1" outlineLevel="1"/>
    <col min="8" max="8" width="34" style="4" bestFit="1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 x14ac:dyDescent="0.15">
      <c r="A1" s="17" t="s">
        <v>29</v>
      </c>
      <c r="B1" s="17" t="s">
        <v>35</v>
      </c>
      <c r="C1" s="1" t="s">
        <v>0</v>
      </c>
      <c r="D1" s="2" t="s">
        <v>18</v>
      </c>
      <c r="E1" s="16" t="s">
        <v>32</v>
      </c>
      <c r="F1" s="1" t="s">
        <v>1</v>
      </c>
      <c r="G1" s="26" t="s">
        <v>31</v>
      </c>
      <c r="H1" s="16" t="s">
        <v>33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7" t="str">
        <f t="shared" ref="A2" si="0">G2&amp;"-"&amp;I2</f>
        <v>14001_1-1</v>
      </c>
      <c r="B2" s="17" t="str">
        <f>IF(COUNTIF(enemy_habitats!$H:$H,A2),"OK","NG")</f>
        <v>OK</v>
      </c>
      <c r="C2" s="120">
        <v>14001</v>
      </c>
      <c r="D2" s="12" t="str">
        <f ca="1">VLOOKUP($C2,OFFSET([2]quests!$A$1,0,0,COUNTA([2]quests!$A:$A),MATCH(D$1,[2]quests!$1:$1,0)-MATCH($C$1,[2]quests!$1:$1,0)+1),MATCH(D$1,[2]quests!$1:$1,0)-MATCH($C$1,[2]quests!$1:$1,0)+1,FALSE)</f>
        <v>【ロック】経験値/ソロ</v>
      </c>
      <c r="E2" s="22" t="str">
        <f ca="1">VLOOKUP($C2,OFFSET([2]quests!$A$1,0,0,COUNTA([2]quests!$A:$A),MATCH(E$1,[2]quests!$1:$1,0)-MATCH($C$1,[2]quests!$1:$1,0)+1),MATCH(E$1,[2]quests!$1:$1,0)-MATCH($C$1,[2]quests!$1:$1,0)+1,FALSE)</f>
        <v>【ロック】経験値/ソロ</v>
      </c>
      <c r="F2" s="112">
        <v>1</v>
      </c>
      <c r="G2" s="26" t="str">
        <f t="shared" ref="G2" si="1">C2&amp;"_"&amp;F2</f>
        <v>14001_1</v>
      </c>
      <c r="H2" s="16" t="str">
        <f ca="1">VLOOKUP($G2,OFFSET([2]stages!$A$1,0,0,COUNTA([2]stages!$A:$A),MATCH(H$1,[2]stages!$2:$2,0)-MATCH($G$1,[2]stages!$2:$2,0)+1),MATCH(H$1,[2]stages!$2:$2,0)-MATCH($G$1,[2]stages!$2:$2,0)+1,FALSE)</f>
        <v>【超級】雷ファミリー（ハートなし）</v>
      </c>
      <c r="I2" s="2">
        <f t="shared" ref="I2:K2" si="2">I7</f>
        <v>1</v>
      </c>
      <c r="J2" s="2">
        <f t="shared" si="2"/>
        <v>40</v>
      </c>
      <c r="K2" s="2">
        <f t="shared" si="2"/>
        <v>60</v>
      </c>
    </row>
    <row r="3" spans="1:11" ht="21" customHeight="1" x14ac:dyDescent="0.15">
      <c r="A3" s="17" t="str">
        <f t="shared" ref="A3:A7" si="3">G3&amp;"-"&amp;I3</f>
        <v>14001_1-2</v>
      </c>
      <c r="B3" s="17" t="str">
        <f>IF(COUNTIF(enemy_habitats!$H:$H,A3),"OK","NG")</f>
        <v>OK</v>
      </c>
      <c r="C3" s="120">
        <v>14001</v>
      </c>
      <c r="D3" s="12" t="str">
        <f ca="1">VLOOKUP($C3,OFFSET([2]quests!$A$1,0,0,COUNTA([2]quests!$A:$A),MATCH(D$1,[2]quests!$1:$1,0)-MATCH($C$1,[2]quests!$1:$1,0)+1),MATCH(D$1,[2]quests!$1:$1,0)-MATCH($C$1,[2]quests!$1:$1,0)+1,FALSE)</f>
        <v>【ロック】経験値/ソロ</v>
      </c>
      <c r="E3" s="22" t="str">
        <f ca="1">VLOOKUP($C3,OFFSET([2]quests!$A$1,0,0,COUNTA([2]quests!$A:$A),MATCH(E$1,[2]quests!$1:$1,0)-MATCH($C$1,[2]quests!$1:$1,0)+1),MATCH(E$1,[2]quests!$1:$1,0)-MATCH($C$1,[2]quests!$1:$1,0)+1,FALSE)</f>
        <v>【ロック】経験値/ソロ</v>
      </c>
      <c r="F3" s="112">
        <v>1</v>
      </c>
      <c r="G3" s="26" t="str">
        <f t="shared" ref="G3:G7" si="4">C3&amp;"_"&amp;F3</f>
        <v>14001_1</v>
      </c>
      <c r="H3" s="16" t="str">
        <f ca="1">VLOOKUP($G3,OFFSET([2]stages!$A$1,0,0,COUNTA([2]stages!$A:$A),MATCH(H$1,[2]stages!$2:$2,0)-MATCH($G$1,[2]stages!$2:$2,0)+1),MATCH(H$1,[2]stages!$2:$2,0)-MATCH($G$1,[2]stages!$2:$2,0)+1,FALSE)</f>
        <v>【超級】雷ファミリー（ハートなし）</v>
      </c>
      <c r="I3" s="2">
        <f t="shared" ref="I3:K3" si="5">I8</f>
        <v>2</v>
      </c>
      <c r="J3" s="2">
        <f t="shared" si="5"/>
        <v>30</v>
      </c>
      <c r="K3" s="2">
        <f t="shared" si="5"/>
        <v>41</v>
      </c>
    </row>
    <row r="4" spans="1:11" ht="21" customHeight="1" x14ac:dyDescent="0.15">
      <c r="A4" s="17" t="str">
        <f t="shared" si="3"/>
        <v>14001_1-3</v>
      </c>
      <c r="B4" s="17" t="str">
        <f>IF(COUNTIF(enemy_habitats!$H:$H,A4),"OK","NG")</f>
        <v>OK</v>
      </c>
      <c r="C4" s="120">
        <v>14001</v>
      </c>
      <c r="D4" s="12" t="str">
        <f ca="1">VLOOKUP($C4,OFFSET([2]quests!$A$1,0,0,COUNTA([2]quests!$A:$A),MATCH(D$1,[2]quests!$1:$1,0)-MATCH($C$1,[2]quests!$1:$1,0)+1),MATCH(D$1,[2]quests!$1:$1,0)-MATCH($C$1,[2]quests!$1:$1,0)+1,FALSE)</f>
        <v>【ロック】経験値/ソロ</v>
      </c>
      <c r="E4" s="22" t="str">
        <f ca="1">VLOOKUP($C4,OFFSET([2]quests!$A$1,0,0,COUNTA([2]quests!$A:$A),MATCH(E$1,[2]quests!$1:$1,0)-MATCH($C$1,[2]quests!$1:$1,0)+1),MATCH(E$1,[2]quests!$1:$1,0)-MATCH($C$1,[2]quests!$1:$1,0)+1,FALSE)</f>
        <v>【ロック】経験値/ソロ</v>
      </c>
      <c r="F4" s="112">
        <v>1</v>
      </c>
      <c r="G4" s="26" t="str">
        <f t="shared" si="4"/>
        <v>14001_1</v>
      </c>
      <c r="H4" s="16" t="str">
        <f ca="1">VLOOKUP($G4,OFFSET([2]stages!$A$1,0,0,COUNTA([2]stages!$A:$A),MATCH(H$1,[2]stages!$2:$2,0)-MATCH($G$1,[2]stages!$2:$2,0)+1),MATCH(H$1,[2]stages!$2:$2,0)-MATCH($G$1,[2]stages!$2:$2,0)+1,FALSE)</f>
        <v>【超級】雷ファミリー（ハートなし）</v>
      </c>
      <c r="I4" s="2">
        <f t="shared" ref="I4:K4" si="6">I9</f>
        <v>3</v>
      </c>
      <c r="J4" s="2">
        <f t="shared" si="6"/>
        <v>50</v>
      </c>
      <c r="K4" s="2">
        <f t="shared" si="6"/>
        <v>50</v>
      </c>
    </row>
    <row r="5" spans="1:11" ht="21" customHeight="1" x14ac:dyDescent="0.15">
      <c r="A5" s="17" t="str">
        <f t="shared" si="3"/>
        <v>14001_1-4</v>
      </c>
      <c r="B5" s="17" t="str">
        <f>IF(COUNTIF(enemy_habitats!$H:$H,A5),"OK","NG")</f>
        <v>OK</v>
      </c>
      <c r="C5" s="120">
        <v>14001</v>
      </c>
      <c r="D5" s="12" t="str">
        <f ca="1">VLOOKUP($C5,OFFSET([2]quests!$A$1,0,0,COUNTA([2]quests!$A:$A),MATCH(D$1,[2]quests!$1:$1,0)-MATCH($C$1,[2]quests!$1:$1,0)+1),MATCH(D$1,[2]quests!$1:$1,0)-MATCH($C$1,[2]quests!$1:$1,0)+1,FALSE)</f>
        <v>【ロック】経験値/ソロ</v>
      </c>
      <c r="E5" s="22" t="str">
        <f ca="1">VLOOKUP($C5,OFFSET([2]quests!$A$1,0,0,COUNTA([2]quests!$A:$A),MATCH(E$1,[2]quests!$1:$1,0)-MATCH($C$1,[2]quests!$1:$1,0)+1),MATCH(E$1,[2]quests!$1:$1,0)-MATCH($C$1,[2]quests!$1:$1,0)+1,FALSE)</f>
        <v>【ロック】経験値/ソロ</v>
      </c>
      <c r="F5" s="112">
        <v>1</v>
      </c>
      <c r="G5" s="26" t="str">
        <f t="shared" si="4"/>
        <v>14001_1</v>
      </c>
      <c r="H5" s="16" t="str">
        <f ca="1">VLOOKUP($G5,OFFSET([2]stages!$A$1,0,0,COUNTA([2]stages!$A:$A),MATCH(H$1,[2]stages!$2:$2,0)-MATCH($G$1,[2]stages!$2:$2,0)+1),MATCH(H$1,[2]stages!$2:$2,0)-MATCH($G$1,[2]stages!$2:$2,0)+1,FALSE)</f>
        <v>【超級】雷ファミリー（ハートなし）</v>
      </c>
      <c r="I5" s="2">
        <f t="shared" ref="I5:K5" si="7">I10</f>
        <v>4</v>
      </c>
      <c r="J5" s="2">
        <f t="shared" si="7"/>
        <v>59</v>
      </c>
      <c r="K5" s="2">
        <f t="shared" si="7"/>
        <v>60</v>
      </c>
    </row>
    <row r="6" spans="1:11" ht="21" customHeight="1" x14ac:dyDescent="0.15">
      <c r="A6" s="17" t="str">
        <f t="shared" si="3"/>
        <v>14001_1-5</v>
      </c>
      <c r="B6" s="17" t="str">
        <f>IF(COUNTIF(enemy_habitats!$H:$H,A6),"OK","NG")</f>
        <v>OK</v>
      </c>
      <c r="C6" s="120">
        <v>14001</v>
      </c>
      <c r="D6" s="12" t="str">
        <f ca="1">VLOOKUP($C6,OFFSET([2]quests!$A$1,0,0,COUNTA([2]quests!$A:$A),MATCH(D$1,[2]quests!$1:$1,0)-MATCH($C$1,[2]quests!$1:$1,0)+1),MATCH(D$1,[2]quests!$1:$1,0)-MATCH($C$1,[2]quests!$1:$1,0)+1,FALSE)</f>
        <v>【ロック】経験値/ソロ</v>
      </c>
      <c r="E6" s="22" t="str">
        <f ca="1">VLOOKUP($C6,OFFSET([2]quests!$A$1,0,0,COUNTA([2]quests!$A:$A),MATCH(E$1,[2]quests!$1:$1,0)-MATCH($C$1,[2]quests!$1:$1,0)+1),MATCH(E$1,[2]quests!$1:$1,0)-MATCH($C$1,[2]quests!$1:$1,0)+1,FALSE)</f>
        <v>【ロック】経験値/ソロ</v>
      </c>
      <c r="F6" s="112">
        <v>1</v>
      </c>
      <c r="G6" s="26" t="str">
        <f t="shared" si="4"/>
        <v>14001_1</v>
      </c>
      <c r="H6" s="16" t="str">
        <f ca="1">VLOOKUP($G6,OFFSET([2]stages!$A$1,0,0,COUNTA([2]stages!$A:$A),MATCH(H$1,[2]stages!$2:$2,0)-MATCH($G$1,[2]stages!$2:$2,0)+1),MATCH(H$1,[2]stages!$2:$2,0)-MATCH($G$1,[2]stages!$2:$2,0)+1,FALSE)</f>
        <v>【超級】雷ファミリー（ハートなし）</v>
      </c>
      <c r="I6" s="2">
        <f t="shared" ref="I6:K6" si="8">I11</f>
        <v>5</v>
      </c>
      <c r="J6" s="2">
        <f t="shared" si="8"/>
        <v>55</v>
      </c>
      <c r="K6" s="2">
        <f t="shared" si="8"/>
        <v>55</v>
      </c>
    </row>
    <row r="7" spans="1:11" ht="21" customHeight="1" x14ac:dyDescent="0.15">
      <c r="A7" s="17" t="str">
        <f t="shared" si="3"/>
        <v>14001_2-1</v>
      </c>
      <c r="B7" s="17" t="str">
        <f>IF(COUNTIF(enemy_habitats!$H:$H,A7),"OK","NG")</f>
        <v>OK</v>
      </c>
      <c r="C7" s="120">
        <v>14001</v>
      </c>
      <c r="D7" s="12" t="str">
        <f ca="1">VLOOKUP($C7,OFFSET([2]quests!$A$1,0,0,COUNTA([2]quests!$A:$A),MATCH(D$1,[2]quests!$1:$1,0)-MATCH($C$1,[2]quests!$1:$1,0)+1),MATCH(D$1,[2]quests!$1:$1,0)-MATCH($C$1,[2]quests!$1:$1,0)+1,FALSE)</f>
        <v>【ロック】経験値/ソロ</v>
      </c>
      <c r="E7" s="22" t="str">
        <f ca="1">VLOOKUP($C7,OFFSET([2]quests!$A$1,0,0,COUNTA([2]quests!$A:$A),MATCH(E$1,[2]quests!$1:$1,0)-MATCH($C$1,[2]quests!$1:$1,0)+1),MATCH(E$1,[2]quests!$1:$1,0)-MATCH($C$1,[2]quests!$1:$1,0)+1,FALSE)</f>
        <v>【ロック】経験値/ソロ</v>
      </c>
      <c r="F7" s="110">
        <v>2</v>
      </c>
      <c r="G7" s="26" t="str">
        <f t="shared" si="4"/>
        <v>14001_2</v>
      </c>
      <c r="H7" s="16" t="str">
        <f ca="1">VLOOKUP($G7,OFFSET([2]stages!$A$1,0,0,COUNTA([2]stages!$A:$A),MATCH(H$1,[2]stages!$2:$2,0)-MATCH($G$1,[2]stages!$2:$2,0)+1),MATCH(H$1,[2]stages!$2:$2,0)-MATCH($G$1,[2]stages!$2:$2,0)+1,FALSE)</f>
        <v>【超級】水ファミリー（ハートなし）</v>
      </c>
      <c r="I7" s="2">
        <f t="shared" ref="I7:K7" si="9">I12</f>
        <v>1</v>
      </c>
      <c r="J7" s="2">
        <f t="shared" si="9"/>
        <v>40</v>
      </c>
      <c r="K7" s="2">
        <f t="shared" si="9"/>
        <v>60</v>
      </c>
    </row>
    <row r="8" spans="1:11" ht="21" customHeight="1" x14ac:dyDescent="0.15">
      <c r="A8" s="17" t="str">
        <f t="shared" ref="A8:A17" si="10">G8&amp;"-"&amp;I8</f>
        <v>14001_2-2</v>
      </c>
      <c r="B8" s="17" t="str">
        <f>IF(COUNTIF(enemy_habitats!$H:$H,A8),"OK","NG")</f>
        <v>OK</v>
      </c>
      <c r="C8" s="120">
        <v>14001</v>
      </c>
      <c r="D8" s="12" t="str">
        <f ca="1">VLOOKUP($C8,OFFSET([2]quests!$A$1,0,0,COUNTA([2]quests!$A:$A),MATCH(D$1,[2]quests!$1:$1,0)-MATCH($C$1,[2]quests!$1:$1,0)+1),MATCH(D$1,[2]quests!$1:$1,0)-MATCH($C$1,[2]quests!$1:$1,0)+1,FALSE)</f>
        <v>【ロック】経験値/ソロ</v>
      </c>
      <c r="E8" s="22" t="str">
        <f ca="1">VLOOKUP($C8,OFFSET([2]quests!$A$1,0,0,COUNTA([2]quests!$A:$A),MATCH(E$1,[2]quests!$1:$1,0)-MATCH($C$1,[2]quests!$1:$1,0)+1),MATCH(E$1,[2]quests!$1:$1,0)-MATCH($C$1,[2]quests!$1:$1,0)+1,FALSE)</f>
        <v>【ロック】経験値/ソロ</v>
      </c>
      <c r="F8" s="110">
        <v>2</v>
      </c>
      <c r="G8" s="26" t="str">
        <f t="shared" ref="G8:G17" si="11">C8&amp;"_"&amp;F8</f>
        <v>14001_2</v>
      </c>
      <c r="H8" s="16" t="str">
        <f ca="1">VLOOKUP($G8,OFFSET([2]stages!$A$1,0,0,COUNTA([2]stages!$A:$A),MATCH(H$1,[2]stages!$2:$2,0)-MATCH($G$1,[2]stages!$2:$2,0)+1),MATCH(H$1,[2]stages!$2:$2,0)-MATCH($G$1,[2]stages!$2:$2,0)+1,FALSE)</f>
        <v>【超級】水ファミリー（ハートなし）</v>
      </c>
      <c r="I8" s="2">
        <f t="shared" ref="I8:K8" si="12">I13</f>
        <v>2</v>
      </c>
      <c r="J8" s="2">
        <f t="shared" si="12"/>
        <v>30</v>
      </c>
      <c r="K8" s="2">
        <f t="shared" si="12"/>
        <v>41</v>
      </c>
    </row>
    <row r="9" spans="1:11" ht="21" customHeight="1" x14ac:dyDescent="0.15">
      <c r="A9" s="17" t="str">
        <f t="shared" si="10"/>
        <v>14001_2-3</v>
      </c>
      <c r="B9" s="17" t="str">
        <f>IF(COUNTIF(enemy_habitats!$H:$H,A9),"OK","NG")</f>
        <v>OK</v>
      </c>
      <c r="C9" s="120">
        <v>14001</v>
      </c>
      <c r="D9" s="12" t="str">
        <f ca="1">VLOOKUP($C9,OFFSET([2]quests!$A$1,0,0,COUNTA([2]quests!$A:$A),MATCH(D$1,[2]quests!$1:$1,0)-MATCH($C$1,[2]quests!$1:$1,0)+1),MATCH(D$1,[2]quests!$1:$1,0)-MATCH($C$1,[2]quests!$1:$1,0)+1,FALSE)</f>
        <v>【ロック】経験値/ソロ</v>
      </c>
      <c r="E9" s="22" t="str">
        <f ca="1">VLOOKUP($C9,OFFSET([2]quests!$A$1,0,0,COUNTA([2]quests!$A:$A),MATCH(E$1,[2]quests!$1:$1,0)-MATCH($C$1,[2]quests!$1:$1,0)+1),MATCH(E$1,[2]quests!$1:$1,0)-MATCH($C$1,[2]quests!$1:$1,0)+1,FALSE)</f>
        <v>【ロック】経験値/ソロ</v>
      </c>
      <c r="F9" s="110">
        <v>2</v>
      </c>
      <c r="G9" s="26" t="str">
        <f t="shared" si="11"/>
        <v>14001_2</v>
      </c>
      <c r="H9" s="16" t="str">
        <f ca="1">VLOOKUP($G9,OFFSET([2]stages!$A$1,0,0,COUNTA([2]stages!$A:$A),MATCH(H$1,[2]stages!$2:$2,0)-MATCH($G$1,[2]stages!$2:$2,0)+1),MATCH(H$1,[2]stages!$2:$2,0)-MATCH($G$1,[2]stages!$2:$2,0)+1,FALSE)</f>
        <v>【超級】水ファミリー（ハートなし）</v>
      </c>
      <c r="I9" s="2">
        <f t="shared" ref="I9:K9" si="13">I14</f>
        <v>3</v>
      </c>
      <c r="J9" s="2">
        <f t="shared" si="13"/>
        <v>50</v>
      </c>
      <c r="K9" s="2">
        <f t="shared" si="13"/>
        <v>50</v>
      </c>
    </row>
    <row r="10" spans="1:11" ht="21" customHeight="1" x14ac:dyDescent="0.15">
      <c r="A10" s="17" t="str">
        <f t="shared" si="10"/>
        <v>14001_2-4</v>
      </c>
      <c r="B10" s="17" t="str">
        <f>IF(COUNTIF(enemy_habitats!$H:$H,A10),"OK","NG")</f>
        <v>OK</v>
      </c>
      <c r="C10" s="120">
        <v>14001</v>
      </c>
      <c r="D10" s="12" t="str">
        <f ca="1">VLOOKUP($C10,OFFSET([2]quests!$A$1,0,0,COUNTA([2]quests!$A:$A),MATCH(D$1,[2]quests!$1:$1,0)-MATCH($C$1,[2]quests!$1:$1,0)+1),MATCH(D$1,[2]quests!$1:$1,0)-MATCH($C$1,[2]quests!$1:$1,0)+1,FALSE)</f>
        <v>【ロック】経験値/ソロ</v>
      </c>
      <c r="E10" s="22" t="str">
        <f ca="1">VLOOKUP($C10,OFFSET([2]quests!$A$1,0,0,COUNTA([2]quests!$A:$A),MATCH(E$1,[2]quests!$1:$1,0)-MATCH($C$1,[2]quests!$1:$1,0)+1),MATCH(E$1,[2]quests!$1:$1,0)-MATCH($C$1,[2]quests!$1:$1,0)+1,FALSE)</f>
        <v>【ロック】経験値/ソロ</v>
      </c>
      <c r="F10" s="110">
        <v>2</v>
      </c>
      <c r="G10" s="26" t="str">
        <f t="shared" si="11"/>
        <v>14001_2</v>
      </c>
      <c r="H10" s="16" t="str">
        <f ca="1">VLOOKUP($G10,OFFSET([2]stages!$A$1,0,0,COUNTA([2]stages!$A:$A),MATCH(H$1,[2]stages!$2:$2,0)-MATCH($G$1,[2]stages!$2:$2,0)+1),MATCH(H$1,[2]stages!$2:$2,0)-MATCH($G$1,[2]stages!$2:$2,0)+1,FALSE)</f>
        <v>【超級】水ファミリー（ハートなし）</v>
      </c>
      <c r="I10" s="2">
        <f t="shared" ref="I10:K10" si="14">I15</f>
        <v>4</v>
      </c>
      <c r="J10" s="2">
        <f t="shared" si="14"/>
        <v>59</v>
      </c>
      <c r="K10" s="2">
        <f t="shared" si="14"/>
        <v>60</v>
      </c>
    </row>
    <row r="11" spans="1:11" ht="21" customHeight="1" x14ac:dyDescent="0.15">
      <c r="A11" s="17" t="str">
        <f t="shared" si="10"/>
        <v>14001_2-5</v>
      </c>
      <c r="B11" s="17" t="str">
        <f>IF(COUNTIF(enemy_habitats!$H:$H,A11),"OK","NG")</f>
        <v>OK</v>
      </c>
      <c r="C11" s="120">
        <v>14001</v>
      </c>
      <c r="D11" s="12" t="str">
        <f ca="1">VLOOKUP($C11,OFFSET([2]quests!$A$1,0,0,COUNTA([2]quests!$A:$A),MATCH(D$1,[2]quests!$1:$1,0)-MATCH($C$1,[2]quests!$1:$1,0)+1),MATCH(D$1,[2]quests!$1:$1,0)-MATCH($C$1,[2]quests!$1:$1,0)+1,FALSE)</f>
        <v>【ロック】経験値/ソロ</v>
      </c>
      <c r="E11" s="22" t="str">
        <f ca="1">VLOOKUP($C11,OFFSET([2]quests!$A$1,0,0,COUNTA([2]quests!$A:$A),MATCH(E$1,[2]quests!$1:$1,0)-MATCH($C$1,[2]quests!$1:$1,0)+1),MATCH(E$1,[2]quests!$1:$1,0)-MATCH($C$1,[2]quests!$1:$1,0)+1,FALSE)</f>
        <v>【ロック】経験値/ソロ</v>
      </c>
      <c r="F11" s="110">
        <v>2</v>
      </c>
      <c r="G11" s="26" t="str">
        <f t="shared" si="11"/>
        <v>14001_2</v>
      </c>
      <c r="H11" s="16" t="str">
        <f ca="1">VLOOKUP($G11,OFFSET([2]stages!$A$1,0,0,COUNTA([2]stages!$A:$A),MATCH(H$1,[2]stages!$2:$2,0)-MATCH($G$1,[2]stages!$2:$2,0)+1),MATCH(H$1,[2]stages!$2:$2,0)-MATCH($G$1,[2]stages!$2:$2,0)+1,FALSE)</f>
        <v>【超級】水ファミリー（ハートなし）</v>
      </c>
      <c r="I11" s="2">
        <f t="shared" ref="I11:K11" si="15">I16</f>
        <v>5</v>
      </c>
      <c r="J11" s="2">
        <f t="shared" si="15"/>
        <v>55</v>
      </c>
      <c r="K11" s="2">
        <f t="shared" si="15"/>
        <v>55</v>
      </c>
    </row>
    <row r="12" spans="1:11" ht="21" customHeight="1" x14ac:dyDescent="0.15">
      <c r="A12" s="17" t="str">
        <f t="shared" si="10"/>
        <v>14001_3-1</v>
      </c>
      <c r="B12" s="17" t="str">
        <f>IF(COUNTIF(enemy_habitats!$H:$H,A12),"OK","NG")</f>
        <v>OK</v>
      </c>
      <c r="C12" s="120">
        <v>14001</v>
      </c>
      <c r="D12" s="12" t="str">
        <f ca="1">VLOOKUP($C12,OFFSET([2]quests!$A$1,0,0,COUNTA([2]quests!$A:$A),MATCH(D$1,[2]quests!$1:$1,0)-MATCH($C$1,[2]quests!$1:$1,0)+1),MATCH(D$1,[2]quests!$1:$1,0)-MATCH($C$1,[2]quests!$1:$1,0)+1,FALSE)</f>
        <v>【ロック】経験値/ソロ</v>
      </c>
      <c r="E12" s="22" t="str">
        <f ca="1">VLOOKUP($C12,OFFSET([2]quests!$A$1,0,0,COUNTA([2]quests!$A:$A),MATCH(E$1,[2]quests!$1:$1,0)-MATCH($C$1,[2]quests!$1:$1,0)+1),MATCH(E$1,[2]quests!$1:$1,0)-MATCH($C$1,[2]quests!$1:$1,0)+1,FALSE)</f>
        <v>【ロック】経験値/ソロ</v>
      </c>
      <c r="F12" s="105">
        <v>3</v>
      </c>
      <c r="G12" s="26" t="str">
        <f t="shared" si="11"/>
        <v>14001_3</v>
      </c>
      <c r="H12" s="16" t="str">
        <f ca="1">VLOOKUP($G12,OFFSET([2]stages!$A$1,0,0,COUNTA([2]stages!$A:$A),MATCH(H$1,[2]stages!$2:$2,0)-MATCH($G$1,[2]stages!$2:$2,0)+1),MATCH(H$1,[2]stages!$2:$2,0)-MATCH($G$1,[2]stages!$2:$2,0)+1,FALSE)</f>
        <v>【超級】森ファミリー（ハートなし）</v>
      </c>
      <c r="I12" s="2">
        <f t="shared" ref="I12:K12" si="16">I17</f>
        <v>1</v>
      </c>
      <c r="J12" s="2">
        <f t="shared" si="16"/>
        <v>40</v>
      </c>
      <c r="K12" s="2">
        <f t="shared" si="16"/>
        <v>60</v>
      </c>
    </row>
    <row r="13" spans="1:11" ht="21" customHeight="1" x14ac:dyDescent="0.15">
      <c r="A13" s="17" t="str">
        <f t="shared" si="10"/>
        <v>14001_3-2</v>
      </c>
      <c r="B13" s="17" t="str">
        <f>IF(COUNTIF(enemy_habitats!$H:$H,A13),"OK","NG")</f>
        <v>OK</v>
      </c>
      <c r="C13" s="120">
        <v>14001</v>
      </c>
      <c r="D13" s="12" t="str">
        <f ca="1">VLOOKUP($C13,OFFSET([2]quests!$A$1,0,0,COUNTA([2]quests!$A:$A),MATCH(D$1,[2]quests!$1:$1,0)-MATCH($C$1,[2]quests!$1:$1,0)+1),MATCH(D$1,[2]quests!$1:$1,0)-MATCH($C$1,[2]quests!$1:$1,0)+1,FALSE)</f>
        <v>【ロック】経験値/ソロ</v>
      </c>
      <c r="E13" s="22" t="str">
        <f ca="1">VLOOKUP($C13,OFFSET([2]quests!$A$1,0,0,COUNTA([2]quests!$A:$A),MATCH(E$1,[2]quests!$1:$1,0)-MATCH($C$1,[2]quests!$1:$1,0)+1),MATCH(E$1,[2]quests!$1:$1,0)-MATCH($C$1,[2]quests!$1:$1,0)+1,FALSE)</f>
        <v>【ロック】経験値/ソロ</v>
      </c>
      <c r="F13" s="105">
        <v>3</v>
      </c>
      <c r="G13" s="26" t="str">
        <f t="shared" si="11"/>
        <v>14001_3</v>
      </c>
      <c r="H13" s="16" t="str">
        <f ca="1">VLOOKUP($G13,OFFSET([2]stages!$A$1,0,0,COUNTA([2]stages!$A:$A),MATCH(H$1,[2]stages!$2:$2,0)-MATCH($G$1,[2]stages!$2:$2,0)+1),MATCH(H$1,[2]stages!$2:$2,0)-MATCH($G$1,[2]stages!$2:$2,0)+1,FALSE)</f>
        <v>【超級】森ファミリー（ハートなし）</v>
      </c>
      <c r="I13" s="2">
        <f t="shared" ref="I13:K13" si="17">I18</f>
        <v>2</v>
      </c>
      <c r="J13" s="2">
        <f t="shared" si="17"/>
        <v>30</v>
      </c>
      <c r="K13" s="2">
        <f t="shared" si="17"/>
        <v>41</v>
      </c>
    </row>
    <row r="14" spans="1:11" ht="21" customHeight="1" x14ac:dyDescent="0.15">
      <c r="A14" s="17" t="str">
        <f t="shared" si="10"/>
        <v>14001_3-3</v>
      </c>
      <c r="B14" s="17" t="str">
        <f>IF(COUNTIF(enemy_habitats!$H:$H,A14),"OK","NG")</f>
        <v>OK</v>
      </c>
      <c r="C14" s="120">
        <v>14001</v>
      </c>
      <c r="D14" s="12" t="str">
        <f ca="1">VLOOKUP($C14,OFFSET([2]quests!$A$1,0,0,COUNTA([2]quests!$A:$A),MATCH(D$1,[2]quests!$1:$1,0)-MATCH($C$1,[2]quests!$1:$1,0)+1),MATCH(D$1,[2]quests!$1:$1,0)-MATCH($C$1,[2]quests!$1:$1,0)+1,FALSE)</f>
        <v>【ロック】経験値/ソロ</v>
      </c>
      <c r="E14" s="22" t="str">
        <f ca="1">VLOOKUP($C14,OFFSET([2]quests!$A$1,0,0,COUNTA([2]quests!$A:$A),MATCH(E$1,[2]quests!$1:$1,0)-MATCH($C$1,[2]quests!$1:$1,0)+1),MATCH(E$1,[2]quests!$1:$1,0)-MATCH($C$1,[2]quests!$1:$1,0)+1,FALSE)</f>
        <v>【ロック】経験値/ソロ</v>
      </c>
      <c r="F14" s="105">
        <v>3</v>
      </c>
      <c r="G14" s="26" t="str">
        <f t="shared" si="11"/>
        <v>14001_3</v>
      </c>
      <c r="H14" s="16" t="str">
        <f ca="1">VLOOKUP($G14,OFFSET([2]stages!$A$1,0,0,COUNTA([2]stages!$A:$A),MATCH(H$1,[2]stages!$2:$2,0)-MATCH($G$1,[2]stages!$2:$2,0)+1),MATCH(H$1,[2]stages!$2:$2,0)-MATCH($G$1,[2]stages!$2:$2,0)+1,FALSE)</f>
        <v>【超級】森ファミリー（ハートなし）</v>
      </c>
      <c r="I14" s="2">
        <f t="shared" ref="I14:K14" si="18">I19</f>
        <v>3</v>
      </c>
      <c r="J14" s="2">
        <f t="shared" si="18"/>
        <v>50</v>
      </c>
      <c r="K14" s="2">
        <f t="shared" si="18"/>
        <v>50</v>
      </c>
    </row>
    <row r="15" spans="1:11" ht="21" customHeight="1" x14ac:dyDescent="0.15">
      <c r="A15" s="17" t="str">
        <f t="shared" si="10"/>
        <v>14001_3-4</v>
      </c>
      <c r="B15" s="17" t="str">
        <f>IF(COUNTIF(enemy_habitats!$H:$H,A15),"OK","NG")</f>
        <v>OK</v>
      </c>
      <c r="C15" s="120">
        <v>14001</v>
      </c>
      <c r="D15" s="12" t="str">
        <f ca="1">VLOOKUP($C15,OFFSET([2]quests!$A$1,0,0,COUNTA([2]quests!$A:$A),MATCH(D$1,[2]quests!$1:$1,0)-MATCH($C$1,[2]quests!$1:$1,0)+1),MATCH(D$1,[2]quests!$1:$1,0)-MATCH($C$1,[2]quests!$1:$1,0)+1,FALSE)</f>
        <v>【ロック】経験値/ソロ</v>
      </c>
      <c r="E15" s="22" t="str">
        <f ca="1">VLOOKUP($C15,OFFSET([2]quests!$A$1,0,0,COUNTA([2]quests!$A:$A),MATCH(E$1,[2]quests!$1:$1,0)-MATCH($C$1,[2]quests!$1:$1,0)+1),MATCH(E$1,[2]quests!$1:$1,0)-MATCH($C$1,[2]quests!$1:$1,0)+1,FALSE)</f>
        <v>【ロック】経験値/ソロ</v>
      </c>
      <c r="F15" s="105">
        <v>3</v>
      </c>
      <c r="G15" s="26" t="str">
        <f t="shared" si="11"/>
        <v>14001_3</v>
      </c>
      <c r="H15" s="16" t="str">
        <f ca="1">VLOOKUP($G15,OFFSET([2]stages!$A$1,0,0,COUNTA([2]stages!$A:$A),MATCH(H$1,[2]stages!$2:$2,0)-MATCH($G$1,[2]stages!$2:$2,0)+1),MATCH(H$1,[2]stages!$2:$2,0)-MATCH($G$1,[2]stages!$2:$2,0)+1,FALSE)</f>
        <v>【超級】森ファミリー（ハートなし）</v>
      </c>
      <c r="I15" s="2">
        <f t="shared" ref="I15:K15" si="19">I20</f>
        <v>4</v>
      </c>
      <c r="J15" s="2">
        <f t="shared" si="19"/>
        <v>59</v>
      </c>
      <c r="K15" s="2">
        <f t="shared" si="19"/>
        <v>60</v>
      </c>
    </row>
    <row r="16" spans="1:11" ht="21" customHeight="1" x14ac:dyDescent="0.15">
      <c r="A16" s="17" t="str">
        <f t="shared" si="10"/>
        <v>14001_3-5</v>
      </c>
      <c r="B16" s="17" t="str">
        <f>IF(COUNTIF(enemy_habitats!$H:$H,A16),"OK","NG")</f>
        <v>OK</v>
      </c>
      <c r="C16" s="120">
        <v>14001</v>
      </c>
      <c r="D16" s="12" t="str">
        <f ca="1">VLOOKUP($C16,OFFSET([2]quests!$A$1,0,0,COUNTA([2]quests!$A:$A),MATCH(D$1,[2]quests!$1:$1,0)-MATCH($C$1,[2]quests!$1:$1,0)+1),MATCH(D$1,[2]quests!$1:$1,0)-MATCH($C$1,[2]quests!$1:$1,0)+1,FALSE)</f>
        <v>【ロック】経験値/ソロ</v>
      </c>
      <c r="E16" s="22" t="str">
        <f ca="1">VLOOKUP($C16,OFFSET([2]quests!$A$1,0,0,COUNTA([2]quests!$A:$A),MATCH(E$1,[2]quests!$1:$1,0)-MATCH($C$1,[2]quests!$1:$1,0)+1),MATCH(E$1,[2]quests!$1:$1,0)-MATCH($C$1,[2]quests!$1:$1,0)+1,FALSE)</f>
        <v>【ロック】経験値/ソロ</v>
      </c>
      <c r="F16" s="105">
        <v>3</v>
      </c>
      <c r="G16" s="26" t="str">
        <f t="shared" si="11"/>
        <v>14001_3</v>
      </c>
      <c r="H16" s="16" t="str">
        <f ca="1">VLOOKUP($G16,OFFSET([2]stages!$A$1,0,0,COUNTA([2]stages!$A:$A),MATCH(H$1,[2]stages!$2:$2,0)-MATCH($G$1,[2]stages!$2:$2,0)+1),MATCH(H$1,[2]stages!$2:$2,0)-MATCH($G$1,[2]stages!$2:$2,0)+1,FALSE)</f>
        <v>【超級】森ファミリー（ハートなし）</v>
      </c>
      <c r="I16" s="2">
        <f>I21</f>
        <v>5</v>
      </c>
      <c r="J16" s="2">
        <f t="shared" ref="J16:K16" si="20">J21</f>
        <v>55</v>
      </c>
      <c r="K16" s="2">
        <f t="shared" si="20"/>
        <v>55</v>
      </c>
    </row>
    <row r="17" spans="1:11" ht="21" customHeight="1" x14ac:dyDescent="0.15">
      <c r="A17" s="17" t="str">
        <f t="shared" si="10"/>
        <v>14001_4-1</v>
      </c>
      <c r="B17" s="17" t="str">
        <f>IF(COUNTIF(enemy_habitats!$H:$H,A17),"OK","NG")</f>
        <v>OK</v>
      </c>
      <c r="C17" s="120">
        <v>14001</v>
      </c>
      <c r="D17" s="12" t="str">
        <f ca="1">VLOOKUP($C17,OFFSET([2]quests!$A$1,0,0,COUNTA([2]quests!$A:$A),MATCH(D$1,[2]quests!$1:$1,0)-MATCH($C$1,[2]quests!$1:$1,0)+1),MATCH(D$1,[2]quests!$1:$1,0)-MATCH($C$1,[2]quests!$1:$1,0)+1,FALSE)</f>
        <v>【ロック】経験値/ソロ</v>
      </c>
      <c r="E17" s="22" t="str">
        <f ca="1">VLOOKUP($C17,OFFSET([2]quests!$A$1,0,0,COUNTA([2]quests!$A:$A),MATCH(E$1,[2]quests!$1:$1,0)-MATCH($C$1,[2]quests!$1:$1,0)+1),MATCH(E$1,[2]quests!$1:$1,0)-MATCH($C$1,[2]quests!$1:$1,0)+1,FALSE)</f>
        <v>【ロック】経験値/ソロ</v>
      </c>
      <c r="F17" s="67">
        <v>4</v>
      </c>
      <c r="G17" s="26" t="str">
        <f t="shared" si="11"/>
        <v>14001_4</v>
      </c>
      <c r="H17" s="16" t="str">
        <f ca="1">VLOOKUP($G17,OFFSET([2]stages!$A$1,0,0,COUNTA([2]stages!$A:$A),MATCH(H$1,[2]stages!$2:$2,0)-MATCH($G$1,[2]stages!$2:$2,0)+1),MATCH(H$1,[2]stages!$2:$2,0)-MATCH($G$1,[2]stages!$2:$2,0)+1,FALSE)</f>
        <v>【超級】炎ファミリー（ハートなし）</v>
      </c>
      <c r="I17" s="25">
        <v>1</v>
      </c>
      <c r="J17" s="13">
        <v>40</v>
      </c>
      <c r="K17" s="13">
        <v>60</v>
      </c>
    </row>
    <row r="18" spans="1:11" ht="21" customHeight="1" x14ac:dyDescent="0.15">
      <c r="A18" s="17" t="str">
        <f t="shared" ref="A18:A37" si="21">G18&amp;"-"&amp;I18</f>
        <v>14001_4-2</v>
      </c>
      <c r="B18" s="17" t="str">
        <f>IF(COUNTIF(enemy_habitats!$H:$H,A18),"OK","NG")</f>
        <v>OK</v>
      </c>
      <c r="C18" s="120">
        <v>14001</v>
      </c>
      <c r="D18" s="12" t="str">
        <f ca="1">VLOOKUP($C18,OFFSET([2]quests!$A$1,0,0,COUNTA([2]quests!$A:$A),MATCH(D$1,[2]quests!$1:$1,0)-MATCH($C$1,[2]quests!$1:$1,0)+1),MATCH(D$1,[2]quests!$1:$1,0)-MATCH($C$1,[2]quests!$1:$1,0)+1,FALSE)</f>
        <v>【ロック】経験値/ソロ</v>
      </c>
      <c r="E18" s="22" t="str">
        <f ca="1">VLOOKUP($C18,OFFSET([2]quests!$A$1,0,0,COUNTA([2]quests!$A:$A),MATCH(E$1,[2]quests!$1:$1,0)-MATCH($C$1,[2]quests!$1:$1,0)+1),MATCH(E$1,[2]quests!$1:$1,0)-MATCH($C$1,[2]quests!$1:$1,0)+1,FALSE)</f>
        <v>【ロック】経験値/ソロ</v>
      </c>
      <c r="F18" s="67">
        <v>4</v>
      </c>
      <c r="G18" s="26" t="str">
        <f t="shared" ref="G18:G37" si="22">C18&amp;"_"&amp;F18</f>
        <v>14001_4</v>
      </c>
      <c r="H18" s="16" t="str">
        <f ca="1">VLOOKUP($G18,OFFSET([2]stages!$A$1,0,0,COUNTA([2]stages!$A:$A),MATCH(H$1,[2]stages!$2:$2,0)-MATCH($G$1,[2]stages!$2:$2,0)+1),MATCH(H$1,[2]stages!$2:$2,0)-MATCH($G$1,[2]stages!$2:$2,0)+1,FALSE)</f>
        <v>【超級】炎ファミリー（ハートなし）</v>
      </c>
      <c r="I18" s="25">
        <v>2</v>
      </c>
      <c r="J18" s="13">
        <v>30</v>
      </c>
      <c r="K18" s="13">
        <v>41</v>
      </c>
    </row>
    <row r="19" spans="1:11" ht="21" customHeight="1" x14ac:dyDescent="0.15">
      <c r="A19" s="17" t="str">
        <f t="shared" si="21"/>
        <v>14001_4-3</v>
      </c>
      <c r="B19" s="17" t="str">
        <f>IF(COUNTIF(enemy_habitats!$H:$H,A19),"OK","NG")</f>
        <v>OK</v>
      </c>
      <c r="C19" s="120">
        <v>14001</v>
      </c>
      <c r="D19" s="12" t="str">
        <f ca="1">VLOOKUP($C19,OFFSET([2]quests!$A$1,0,0,COUNTA([2]quests!$A:$A),MATCH(D$1,[2]quests!$1:$1,0)-MATCH($C$1,[2]quests!$1:$1,0)+1),MATCH(D$1,[2]quests!$1:$1,0)-MATCH($C$1,[2]quests!$1:$1,0)+1,FALSE)</f>
        <v>【ロック】経験値/ソロ</v>
      </c>
      <c r="E19" s="22" t="str">
        <f ca="1">VLOOKUP($C19,OFFSET([2]quests!$A$1,0,0,COUNTA([2]quests!$A:$A),MATCH(E$1,[2]quests!$1:$1,0)-MATCH($C$1,[2]quests!$1:$1,0)+1),MATCH(E$1,[2]quests!$1:$1,0)-MATCH($C$1,[2]quests!$1:$1,0)+1,FALSE)</f>
        <v>【ロック】経験値/ソロ</v>
      </c>
      <c r="F19" s="67">
        <v>4</v>
      </c>
      <c r="G19" s="26" t="str">
        <f t="shared" si="22"/>
        <v>14001_4</v>
      </c>
      <c r="H19" s="16" t="str">
        <f ca="1">VLOOKUP($G19,OFFSET([2]stages!$A$1,0,0,COUNTA([2]stages!$A:$A),MATCH(H$1,[2]stages!$2:$2,0)-MATCH($G$1,[2]stages!$2:$2,0)+1),MATCH(H$1,[2]stages!$2:$2,0)-MATCH($G$1,[2]stages!$2:$2,0)+1,FALSE)</f>
        <v>【超級】炎ファミリー（ハートなし）</v>
      </c>
      <c r="I19" s="25">
        <v>3</v>
      </c>
      <c r="J19" s="13">
        <v>50</v>
      </c>
      <c r="K19" s="13">
        <v>50</v>
      </c>
    </row>
    <row r="20" spans="1:11" ht="21" customHeight="1" x14ac:dyDescent="0.15">
      <c r="A20" s="17" t="str">
        <f t="shared" si="21"/>
        <v>14001_4-4</v>
      </c>
      <c r="B20" s="17" t="str">
        <f>IF(COUNTIF(enemy_habitats!$H:$H,A20),"OK","NG")</f>
        <v>OK</v>
      </c>
      <c r="C20" s="120">
        <v>14001</v>
      </c>
      <c r="D20" s="12" t="str">
        <f ca="1">VLOOKUP($C20,OFFSET([2]quests!$A$1,0,0,COUNTA([2]quests!$A:$A),MATCH(D$1,[2]quests!$1:$1,0)-MATCH($C$1,[2]quests!$1:$1,0)+1),MATCH(D$1,[2]quests!$1:$1,0)-MATCH($C$1,[2]quests!$1:$1,0)+1,FALSE)</f>
        <v>【ロック】経験値/ソロ</v>
      </c>
      <c r="E20" s="22" t="str">
        <f ca="1">VLOOKUP($C20,OFFSET([2]quests!$A$1,0,0,COUNTA([2]quests!$A:$A),MATCH(E$1,[2]quests!$1:$1,0)-MATCH($C$1,[2]quests!$1:$1,0)+1),MATCH(E$1,[2]quests!$1:$1,0)-MATCH($C$1,[2]quests!$1:$1,0)+1,FALSE)</f>
        <v>【ロック】経験値/ソロ</v>
      </c>
      <c r="F20" s="67">
        <v>4</v>
      </c>
      <c r="G20" s="26" t="str">
        <f t="shared" si="22"/>
        <v>14001_4</v>
      </c>
      <c r="H20" s="16" t="str">
        <f ca="1">VLOOKUP($G20,OFFSET([2]stages!$A$1,0,0,COUNTA([2]stages!$A:$A),MATCH(H$1,[2]stages!$2:$2,0)-MATCH($G$1,[2]stages!$2:$2,0)+1),MATCH(H$1,[2]stages!$2:$2,0)-MATCH($G$1,[2]stages!$2:$2,0)+1,FALSE)</f>
        <v>【超級】炎ファミリー（ハートなし）</v>
      </c>
      <c r="I20" s="25">
        <v>4</v>
      </c>
      <c r="J20" s="13">
        <v>59</v>
      </c>
      <c r="K20" s="13">
        <v>60</v>
      </c>
    </row>
    <row r="21" spans="1:11" ht="21" customHeight="1" x14ac:dyDescent="0.15">
      <c r="A21" s="17" t="str">
        <f t="shared" si="21"/>
        <v>14001_4-5</v>
      </c>
      <c r="B21" s="17" t="str">
        <f>IF(COUNTIF(enemy_habitats!$H:$H,A21),"OK","NG")</f>
        <v>OK</v>
      </c>
      <c r="C21" s="120">
        <v>14001</v>
      </c>
      <c r="D21" s="12" t="str">
        <f ca="1">VLOOKUP($C21,OFFSET([2]quests!$A$1,0,0,COUNTA([2]quests!$A:$A),MATCH(D$1,[2]quests!$1:$1,0)-MATCH($C$1,[2]quests!$1:$1,0)+1),MATCH(D$1,[2]quests!$1:$1,0)-MATCH($C$1,[2]quests!$1:$1,0)+1,FALSE)</f>
        <v>【ロック】経験値/ソロ</v>
      </c>
      <c r="E21" s="22" t="str">
        <f ca="1">VLOOKUP($C21,OFFSET([2]quests!$A$1,0,0,COUNTA([2]quests!$A:$A),MATCH(E$1,[2]quests!$1:$1,0)-MATCH($C$1,[2]quests!$1:$1,0)+1),MATCH(E$1,[2]quests!$1:$1,0)-MATCH($C$1,[2]quests!$1:$1,0)+1,FALSE)</f>
        <v>【ロック】経験値/ソロ</v>
      </c>
      <c r="F21" s="67">
        <v>4</v>
      </c>
      <c r="G21" s="26" t="str">
        <f t="shared" si="22"/>
        <v>14001_4</v>
      </c>
      <c r="H21" s="16" t="str">
        <f ca="1">VLOOKUP($G21,OFFSET([2]stages!$A$1,0,0,COUNTA([2]stages!$A:$A),MATCH(H$1,[2]stages!$2:$2,0)-MATCH($G$1,[2]stages!$2:$2,0)+1),MATCH(H$1,[2]stages!$2:$2,0)-MATCH($G$1,[2]stages!$2:$2,0)+1,FALSE)</f>
        <v>【超級】炎ファミリー（ハートなし）</v>
      </c>
      <c r="I21" s="25">
        <v>5</v>
      </c>
      <c r="J21" s="13">
        <v>55</v>
      </c>
      <c r="K21" s="13">
        <v>55</v>
      </c>
    </row>
    <row r="22" spans="1:11" ht="21" customHeight="1" x14ac:dyDescent="0.15">
      <c r="A22" s="17" t="str">
        <f t="shared" si="21"/>
        <v>14004_1-1</v>
      </c>
      <c r="B22" s="17" t="str">
        <f>IF(COUNTIF(enemy_habitats!$H:$H,A22),"OK","NG")</f>
        <v>OK</v>
      </c>
      <c r="C22" s="119">
        <v>14004</v>
      </c>
      <c r="D22" s="12" t="str">
        <f ca="1">VLOOKUP($C22,OFFSET([2]quests!$A$1,0,0,COUNTA([2]quests!$A:$A),MATCH(D$1,[2]quests!$1:$1,0)-MATCH($C$1,[2]quests!$1:$1,0)+1),MATCH(D$1,[2]quests!$1:$1,0)-MATCH($C$1,[2]quests!$1:$1,0)+1,FALSE)</f>
        <v>【ロック】経験値/LINEマルチ</v>
      </c>
      <c r="E22" s="22" t="str">
        <f ca="1">VLOOKUP($C22,OFFSET([2]quests!$A$1,0,0,COUNTA([2]quests!$A:$A),MATCH(E$1,[2]quests!$1:$1,0)-MATCH($C$1,[2]quests!$1:$1,0)+1),MATCH(E$1,[2]quests!$1:$1,0)-MATCH($C$1,[2]quests!$1:$1,0)+1,FALSE)</f>
        <v>【ロック】経験値/LINEマルチ</v>
      </c>
      <c r="F22" s="112">
        <v>1</v>
      </c>
      <c r="G22" s="26" t="str">
        <f t="shared" si="22"/>
        <v>14004_1</v>
      </c>
      <c r="H22" s="16" t="str">
        <f ca="1">VLOOKUP($G22,OFFSET([2]stages!$A$1,0,0,COUNTA([2]stages!$A:$A),MATCH(H$1,[2]stages!$2:$2,0)-MATCH($G$1,[2]stages!$2:$2,0)+1),MATCH(H$1,[2]stages!$2:$2,0)-MATCH($G$1,[2]stages!$2:$2,0)+1,FALSE)</f>
        <v>【超級】雷ファミリー（ハートなし）</v>
      </c>
      <c r="I22" s="2">
        <f t="shared" ref="I22:K22" si="23">I27</f>
        <v>1</v>
      </c>
      <c r="J22" s="2">
        <f t="shared" si="23"/>
        <v>40</v>
      </c>
      <c r="K22" s="2">
        <f t="shared" si="23"/>
        <v>60</v>
      </c>
    </row>
    <row r="23" spans="1:11" ht="21" customHeight="1" x14ac:dyDescent="0.15">
      <c r="A23" s="17" t="str">
        <f t="shared" si="21"/>
        <v>14004_1-2</v>
      </c>
      <c r="B23" s="17" t="str">
        <f>IF(COUNTIF(enemy_habitats!$H:$H,A23),"OK","NG")</f>
        <v>OK</v>
      </c>
      <c r="C23" s="119">
        <v>14004</v>
      </c>
      <c r="D23" s="12" t="str">
        <f ca="1">VLOOKUP($C23,OFFSET([2]quests!$A$1,0,0,COUNTA([2]quests!$A:$A),MATCH(D$1,[2]quests!$1:$1,0)-MATCH($C$1,[2]quests!$1:$1,0)+1),MATCH(D$1,[2]quests!$1:$1,0)-MATCH($C$1,[2]quests!$1:$1,0)+1,FALSE)</f>
        <v>【ロック】経験値/LINEマルチ</v>
      </c>
      <c r="E23" s="22" t="str">
        <f ca="1">VLOOKUP($C23,OFFSET([2]quests!$A$1,0,0,COUNTA([2]quests!$A:$A),MATCH(E$1,[2]quests!$1:$1,0)-MATCH($C$1,[2]quests!$1:$1,0)+1),MATCH(E$1,[2]quests!$1:$1,0)-MATCH($C$1,[2]quests!$1:$1,0)+1,FALSE)</f>
        <v>【ロック】経験値/LINEマルチ</v>
      </c>
      <c r="F23" s="112">
        <v>1</v>
      </c>
      <c r="G23" s="26" t="str">
        <f t="shared" si="22"/>
        <v>14004_1</v>
      </c>
      <c r="H23" s="16" t="str">
        <f ca="1">VLOOKUP($G23,OFFSET([2]stages!$A$1,0,0,COUNTA([2]stages!$A:$A),MATCH(H$1,[2]stages!$2:$2,0)-MATCH($G$1,[2]stages!$2:$2,0)+1),MATCH(H$1,[2]stages!$2:$2,0)-MATCH($G$1,[2]stages!$2:$2,0)+1,FALSE)</f>
        <v>【超級】雷ファミリー（ハートなし）</v>
      </c>
      <c r="I23" s="2">
        <f t="shared" ref="I23:K23" si="24">I28</f>
        <v>2</v>
      </c>
      <c r="J23" s="2">
        <f t="shared" si="24"/>
        <v>30</v>
      </c>
      <c r="K23" s="2">
        <f t="shared" si="24"/>
        <v>41</v>
      </c>
    </row>
    <row r="24" spans="1:11" ht="21" customHeight="1" x14ac:dyDescent="0.15">
      <c r="A24" s="17" t="str">
        <f t="shared" si="21"/>
        <v>14004_1-3</v>
      </c>
      <c r="B24" s="17" t="str">
        <f>IF(COUNTIF(enemy_habitats!$H:$H,A24),"OK","NG")</f>
        <v>OK</v>
      </c>
      <c r="C24" s="119">
        <v>14004</v>
      </c>
      <c r="D24" s="12" t="str">
        <f ca="1">VLOOKUP($C24,OFFSET([2]quests!$A$1,0,0,COUNTA([2]quests!$A:$A),MATCH(D$1,[2]quests!$1:$1,0)-MATCH($C$1,[2]quests!$1:$1,0)+1),MATCH(D$1,[2]quests!$1:$1,0)-MATCH($C$1,[2]quests!$1:$1,0)+1,FALSE)</f>
        <v>【ロック】経験値/LINEマルチ</v>
      </c>
      <c r="E24" s="22" t="str">
        <f ca="1">VLOOKUP($C24,OFFSET([2]quests!$A$1,0,0,COUNTA([2]quests!$A:$A),MATCH(E$1,[2]quests!$1:$1,0)-MATCH($C$1,[2]quests!$1:$1,0)+1),MATCH(E$1,[2]quests!$1:$1,0)-MATCH($C$1,[2]quests!$1:$1,0)+1,FALSE)</f>
        <v>【ロック】経験値/LINEマルチ</v>
      </c>
      <c r="F24" s="112">
        <v>1</v>
      </c>
      <c r="G24" s="26" t="str">
        <f t="shared" si="22"/>
        <v>14004_1</v>
      </c>
      <c r="H24" s="16" t="str">
        <f ca="1">VLOOKUP($G24,OFFSET([2]stages!$A$1,0,0,COUNTA([2]stages!$A:$A),MATCH(H$1,[2]stages!$2:$2,0)-MATCH($G$1,[2]stages!$2:$2,0)+1),MATCH(H$1,[2]stages!$2:$2,0)-MATCH($G$1,[2]stages!$2:$2,0)+1,FALSE)</f>
        <v>【超級】雷ファミリー（ハートなし）</v>
      </c>
      <c r="I24" s="2">
        <f t="shared" ref="I24:K24" si="25">I29</f>
        <v>3</v>
      </c>
      <c r="J24" s="2">
        <f t="shared" si="25"/>
        <v>50</v>
      </c>
      <c r="K24" s="2">
        <f t="shared" si="25"/>
        <v>50</v>
      </c>
    </row>
    <row r="25" spans="1:11" ht="21" customHeight="1" x14ac:dyDescent="0.15">
      <c r="A25" s="17" t="str">
        <f t="shared" si="21"/>
        <v>14004_1-4</v>
      </c>
      <c r="B25" s="17" t="str">
        <f>IF(COUNTIF(enemy_habitats!$H:$H,A25),"OK","NG")</f>
        <v>OK</v>
      </c>
      <c r="C25" s="119">
        <v>14004</v>
      </c>
      <c r="D25" s="12" t="str">
        <f ca="1">VLOOKUP($C25,OFFSET([2]quests!$A$1,0,0,COUNTA([2]quests!$A:$A),MATCH(D$1,[2]quests!$1:$1,0)-MATCH($C$1,[2]quests!$1:$1,0)+1),MATCH(D$1,[2]quests!$1:$1,0)-MATCH($C$1,[2]quests!$1:$1,0)+1,FALSE)</f>
        <v>【ロック】経験値/LINEマルチ</v>
      </c>
      <c r="E25" s="22" t="str">
        <f ca="1">VLOOKUP($C25,OFFSET([2]quests!$A$1,0,0,COUNTA([2]quests!$A:$A),MATCH(E$1,[2]quests!$1:$1,0)-MATCH($C$1,[2]quests!$1:$1,0)+1),MATCH(E$1,[2]quests!$1:$1,0)-MATCH($C$1,[2]quests!$1:$1,0)+1,FALSE)</f>
        <v>【ロック】経験値/LINEマルチ</v>
      </c>
      <c r="F25" s="112">
        <v>1</v>
      </c>
      <c r="G25" s="26" t="str">
        <f t="shared" si="22"/>
        <v>14004_1</v>
      </c>
      <c r="H25" s="16" t="str">
        <f ca="1">VLOOKUP($G25,OFFSET([2]stages!$A$1,0,0,COUNTA([2]stages!$A:$A),MATCH(H$1,[2]stages!$2:$2,0)-MATCH($G$1,[2]stages!$2:$2,0)+1),MATCH(H$1,[2]stages!$2:$2,0)-MATCH($G$1,[2]stages!$2:$2,0)+1,FALSE)</f>
        <v>【超級】雷ファミリー（ハートなし）</v>
      </c>
      <c r="I25" s="2">
        <f t="shared" ref="I25:K25" si="26">I30</f>
        <v>4</v>
      </c>
      <c r="J25" s="2">
        <f t="shared" si="26"/>
        <v>59</v>
      </c>
      <c r="K25" s="2">
        <f t="shared" si="26"/>
        <v>60</v>
      </c>
    </row>
    <row r="26" spans="1:11" ht="21" customHeight="1" x14ac:dyDescent="0.15">
      <c r="A26" s="17" t="str">
        <f t="shared" si="21"/>
        <v>14004_1-5</v>
      </c>
      <c r="B26" s="17" t="str">
        <f>IF(COUNTIF(enemy_habitats!$H:$H,A26),"OK","NG")</f>
        <v>OK</v>
      </c>
      <c r="C26" s="119">
        <v>14004</v>
      </c>
      <c r="D26" s="12" t="str">
        <f ca="1">VLOOKUP($C26,OFFSET([2]quests!$A$1,0,0,COUNTA([2]quests!$A:$A),MATCH(D$1,[2]quests!$1:$1,0)-MATCH($C$1,[2]quests!$1:$1,0)+1),MATCH(D$1,[2]quests!$1:$1,0)-MATCH($C$1,[2]quests!$1:$1,0)+1,FALSE)</f>
        <v>【ロック】経験値/LINEマルチ</v>
      </c>
      <c r="E26" s="22" t="str">
        <f ca="1">VLOOKUP($C26,OFFSET([2]quests!$A$1,0,0,COUNTA([2]quests!$A:$A),MATCH(E$1,[2]quests!$1:$1,0)-MATCH($C$1,[2]quests!$1:$1,0)+1),MATCH(E$1,[2]quests!$1:$1,0)-MATCH($C$1,[2]quests!$1:$1,0)+1,FALSE)</f>
        <v>【ロック】経験値/LINEマルチ</v>
      </c>
      <c r="F26" s="112">
        <v>1</v>
      </c>
      <c r="G26" s="26" t="str">
        <f t="shared" si="22"/>
        <v>14004_1</v>
      </c>
      <c r="H26" s="16" t="str">
        <f ca="1">VLOOKUP($G26,OFFSET([2]stages!$A$1,0,0,COUNTA([2]stages!$A:$A),MATCH(H$1,[2]stages!$2:$2,0)-MATCH($G$1,[2]stages!$2:$2,0)+1),MATCH(H$1,[2]stages!$2:$2,0)-MATCH($G$1,[2]stages!$2:$2,0)+1,FALSE)</f>
        <v>【超級】雷ファミリー（ハートなし）</v>
      </c>
      <c r="I26" s="2">
        <f t="shared" ref="I26:K26" si="27">I31</f>
        <v>5</v>
      </c>
      <c r="J26" s="2">
        <f t="shared" si="27"/>
        <v>55</v>
      </c>
      <c r="K26" s="2">
        <f t="shared" si="27"/>
        <v>55</v>
      </c>
    </row>
    <row r="27" spans="1:11" ht="21" customHeight="1" x14ac:dyDescent="0.15">
      <c r="A27" s="17" t="str">
        <f t="shared" si="21"/>
        <v>14004_2-1</v>
      </c>
      <c r="B27" s="17" t="str">
        <f>IF(COUNTIF(enemy_habitats!$H:$H,A27),"OK","NG")</f>
        <v>OK</v>
      </c>
      <c r="C27" s="119">
        <v>14004</v>
      </c>
      <c r="D27" s="12" t="str">
        <f ca="1">VLOOKUP($C27,OFFSET([2]quests!$A$1,0,0,COUNTA([2]quests!$A:$A),MATCH(D$1,[2]quests!$1:$1,0)-MATCH($C$1,[2]quests!$1:$1,0)+1),MATCH(D$1,[2]quests!$1:$1,0)-MATCH($C$1,[2]quests!$1:$1,0)+1,FALSE)</f>
        <v>【ロック】経験値/LINEマルチ</v>
      </c>
      <c r="E27" s="22" t="str">
        <f ca="1">VLOOKUP($C27,OFFSET([2]quests!$A$1,0,0,COUNTA([2]quests!$A:$A),MATCH(E$1,[2]quests!$1:$1,0)-MATCH($C$1,[2]quests!$1:$1,0)+1),MATCH(E$1,[2]quests!$1:$1,0)-MATCH($C$1,[2]quests!$1:$1,0)+1,FALSE)</f>
        <v>【ロック】経験値/LINEマルチ</v>
      </c>
      <c r="F27" s="110">
        <v>2</v>
      </c>
      <c r="G27" s="26" t="str">
        <f t="shared" si="22"/>
        <v>14004_2</v>
      </c>
      <c r="H27" s="16" t="str">
        <f ca="1">VLOOKUP($G27,OFFSET([2]stages!$A$1,0,0,COUNTA([2]stages!$A:$A),MATCH(H$1,[2]stages!$2:$2,0)-MATCH($G$1,[2]stages!$2:$2,0)+1),MATCH(H$1,[2]stages!$2:$2,0)-MATCH($G$1,[2]stages!$2:$2,0)+1,FALSE)</f>
        <v>【超級】水ファミリー（ハートなし）</v>
      </c>
      <c r="I27" s="2">
        <f t="shared" ref="I27:K27" si="28">I32</f>
        <v>1</v>
      </c>
      <c r="J27" s="2">
        <f t="shared" si="28"/>
        <v>40</v>
      </c>
      <c r="K27" s="2">
        <f t="shared" si="28"/>
        <v>60</v>
      </c>
    </row>
    <row r="28" spans="1:11" ht="21" customHeight="1" x14ac:dyDescent="0.15">
      <c r="A28" s="17" t="str">
        <f t="shared" si="21"/>
        <v>14004_2-2</v>
      </c>
      <c r="B28" s="17" t="str">
        <f>IF(COUNTIF(enemy_habitats!$H:$H,A28),"OK","NG")</f>
        <v>OK</v>
      </c>
      <c r="C28" s="119">
        <v>14004</v>
      </c>
      <c r="D28" s="12" t="str">
        <f ca="1">VLOOKUP($C28,OFFSET([2]quests!$A$1,0,0,COUNTA([2]quests!$A:$A),MATCH(D$1,[2]quests!$1:$1,0)-MATCH($C$1,[2]quests!$1:$1,0)+1),MATCH(D$1,[2]quests!$1:$1,0)-MATCH($C$1,[2]quests!$1:$1,0)+1,FALSE)</f>
        <v>【ロック】経験値/LINEマルチ</v>
      </c>
      <c r="E28" s="22" t="str">
        <f ca="1">VLOOKUP($C28,OFFSET([2]quests!$A$1,0,0,COUNTA([2]quests!$A:$A),MATCH(E$1,[2]quests!$1:$1,0)-MATCH($C$1,[2]quests!$1:$1,0)+1),MATCH(E$1,[2]quests!$1:$1,0)-MATCH($C$1,[2]quests!$1:$1,0)+1,FALSE)</f>
        <v>【ロック】経験値/LINEマルチ</v>
      </c>
      <c r="F28" s="110">
        <v>2</v>
      </c>
      <c r="G28" s="26" t="str">
        <f t="shared" si="22"/>
        <v>14004_2</v>
      </c>
      <c r="H28" s="16" t="str">
        <f ca="1">VLOOKUP($G28,OFFSET([2]stages!$A$1,0,0,COUNTA([2]stages!$A:$A),MATCH(H$1,[2]stages!$2:$2,0)-MATCH($G$1,[2]stages!$2:$2,0)+1),MATCH(H$1,[2]stages!$2:$2,0)-MATCH($G$1,[2]stages!$2:$2,0)+1,FALSE)</f>
        <v>【超級】水ファミリー（ハートなし）</v>
      </c>
      <c r="I28" s="2">
        <f t="shared" ref="I28:K28" si="29">I33</f>
        <v>2</v>
      </c>
      <c r="J28" s="2">
        <f t="shared" si="29"/>
        <v>30</v>
      </c>
      <c r="K28" s="2">
        <f t="shared" si="29"/>
        <v>41</v>
      </c>
    </row>
    <row r="29" spans="1:11" ht="21" customHeight="1" x14ac:dyDescent="0.15">
      <c r="A29" s="17" t="str">
        <f t="shared" si="21"/>
        <v>14004_2-3</v>
      </c>
      <c r="B29" s="17" t="str">
        <f>IF(COUNTIF(enemy_habitats!$H:$H,A29),"OK","NG")</f>
        <v>OK</v>
      </c>
      <c r="C29" s="119">
        <v>14004</v>
      </c>
      <c r="D29" s="12" t="str">
        <f ca="1">VLOOKUP($C29,OFFSET([2]quests!$A$1,0,0,COUNTA([2]quests!$A:$A),MATCH(D$1,[2]quests!$1:$1,0)-MATCH($C$1,[2]quests!$1:$1,0)+1),MATCH(D$1,[2]quests!$1:$1,0)-MATCH($C$1,[2]quests!$1:$1,0)+1,FALSE)</f>
        <v>【ロック】経験値/LINEマルチ</v>
      </c>
      <c r="E29" s="22" t="str">
        <f ca="1">VLOOKUP($C29,OFFSET([2]quests!$A$1,0,0,COUNTA([2]quests!$A:$A),MATCH(E$1,[2]quests!$1:$1,0)-MATCH($C$1,[2]quests!$1:$1,0)+1),MATCH(E$1,[2]quests!$1:$1,0)-MATCH($C$1,[2]quests!$1:$1,0)+1,FALSE)</f>
        <v>【ロック】経験値/LINEマルチ</v>
      </c>
      <c r="F29" s="110">
        <v>2</v>
      </c>
      <c r="G29" s="26" t="str">
        <f t="shared" si="22"/>
        <v>14004_2</v>
      </c>
      <c r="H29" s="16" t="str">
        <f ca="1">VLOOKUP($G29,OFFSET([2]stages!$A$1,0,0,COUNTA([2]stages!$A:$A),MATCH(H$1,[2]stages!$2:$2,0)-MATCH($G$1,[2]stages!$2:$2,0)+1),MATCH(H$1,[2]stages!$2:$2,0)-MATCH($G$1,[2]stages!$2:$2,0)+1,FALSE)</f>
        <v>【超級】水ファミリー（ハートなし）</v>
      </c>
      <c r="I29" s="2">
        <f t="shared" ref="I29:K29" si="30">I34</f>
        <v>3</v>
      </c>
      <c r="J29" s="2">
        <f t="shared" si="30"/>
        <v>50</v>
      </c>
      <c r="K29" s="2">
        <f t="shared" si="30"/>
        <v>50</v>
      </c>
    </row>
    <row r="30" spans="1:11" ht="21" customHeight="1" x14ac:dyDescent="0.15">
      <c r="A30" s="17" t="str">
        <f t="shared" si="21"/>
        <v>14004_2-4</v>
      </c>
      <c r="B30" s="17" t="str">
        <f>IF(COUNTIF(enemy_habitats!$H:$H,A30),"OK","NG")</f>
        <v>OK</v>
      </c>
      <c r="C30" s="119">
        <v>14004</v>
      </c>
      <c r="D30" s="12" t="str">
        <f ca="1">VLOOKUP($C30,OFFSET([2]quests!$A$1,0,0,COUNTA([2]quests!$A:$A),MATCH(D$1,[2]quests!$1:$1,0)-MATCH($C$1,[2]quests!$1:$1,0)+1),MATCH(D$1,[2]quests!$1:$1,0)-MATCH($C$1,[2]quests!$1:$1,0)+1,FALSE)</f>
        <v>【ロック】経験値/LINEマルチ</v>
      </c>
      <c r="E30" s="22" t="str">
        <f ca="1">VLOOKUP($C30,OFFSET([2]quests!$A$1,0,0,COUNTA([2]quests!$A:$A),MATCH(E$1,[2]quests!$1:$1,0)-MATCH($C$1,[2]quests!$1:$1,0)+1),MATCH(E$1,[2]quests!$1:$1,0)-MATCH($C$1,[2]quests!$1:$1,0)+1,FALSE)</f>
        <v>【ロック】経験値/LINEマルチ</v>
      </c>
      <c r="F30" s="110">
        <v>2</v>
      </c>
      <c r="G30" s="26" t="str">
        <f t="shared" si="22"/>
        <v>14004_2</v>
      </c>
      <c r="H30" s="16" t="str">
        <f ca="1">VLOOKUP($G30,OFFSET([2]stages!$A$1,0,0,COUNTA([2]stages!$A:$A),MATCH(H$1,[2]stages!$2:$2,0)-MATCH($G$1,[2]stages!$2:$2,0)+1),MATCH(H$1,[2]stages!$2:$2,0)-MATCH($G$1,[2]stages!$2:$2,0)+1,FALSE)</f>
        <v>【超級】水ファミリー（ハートなし）</v>
      </c>
      <c r="I30" s="2">
        <f t="shared" ref="I30:K30" si="31">I35</f>
        <v>4</v>
      </c>
      <c r="J30" s="2">
        <f t="shared" si="31"/>
        <v>59</v>
      </c>
      <c r="K30" s="2">
        <f t="shared" si="31"/>
        <v>60</v>
      </c>
    </row>
    <row r="31" spans="1:11" ht="21" customHeight="1" x14ac:dyDescent="0.15">
      <c r="A31" s="17" t="str">
        <f t="shared" si="21"/>
        <v>14004_2-5</v>
      </c>
      <c r="B31" s="17" t="str">
        <f>IF(COUNTIF(enemy_habitats!$H:$H,A31),"OK","NG")</f>
        <v>OK</v>
      </c>
      <c r="C31" s="119">
        <v>14004</v>
      </c>
      <c r="D31" s="12" t="str">
        <f ca="1">VLOOKUP($C31,OFFSET([2]quests!$A$1,0,0,COUNTA([2]quests!$A:$A),MATCH(D$1,[2]quests!$1:$1,0)-MATCH($C$1,[2]quests!$1:$1,0)+1),MATCH(D$1,[2]quests!$1:$1,0)-MATCH($C$1,[2]quests!$1:$1,0)+1,FALSE)</f>
        <v>【ロック】経験値/LINEマルチ</v>
      </c>
      <c r="E31" s="22" t="str">
        <f ca="1">VLOOKUP($C31,OFFSET([2]quests!$A$1,0,0,COUNTA([2]quests!$A:$A),MATCH(E$1,[2]quests!$1:$1,0)-MATCH($C$1,[2]quests!$1:$1,0)+1),MATCH(E$1,[2]quests!$1:$1,0)-MATCH($C$1,[2]quests!$1:$1,0)+1,FALSE)</f>
        <v>【ロック】経験値/LINEマルチ</v>
      </c>
      <c r="F31" s="110">
        <v>2</v>
      </c>
      <c r="G31" s="26" t="str">
        <f t="shared" si="22"/>
        <v>14004_2</v>
      </c>
      <c r="H31" s="16" t="str">
        <f ca="1">VLOOKUP($G31,OFFSET([2]stages!$A$1,0,0,COUNTA([2]stages!$A:$A),MATCH(H$1,[2]stages!$2:$2,0)-MATCH($G$1,[2]stages!$2:$2,0)+1),MATCH(H$1,[2]stages!$2:$2,0)-MATCH($G$1,[2]stages!$2:$2,0)+1,FALSE)</f>
        <v>【超級】水ファミリー（ハートなし）</v>
      </c>
      <c r="I31" s="2">
        <f t="shared" ref="I31:K31" si="32">I36</f>
        <v>5</v>
      </c>
      <c r="J31" s="2">
        <f t="shared" si="32"/>
        <v>55</v>
      </c>
      <c r="K31" s="2">
        <f t="shared" si="32"/>
        <v>55</v>
      </c>
    </row>
    <row r="32" spans="1:11" ht="21" customHeight="1" x14ac:dyDescent="0.15">
      <c r="A32" s="17" t="str">
        <f t="shared" si="21"/>
        <v>14004_3-1</v>
      </c>
      <c r="B32" s="17" t="str">
        <f>IF(COUNTIF(enemy_habitats!$H:$H,A32),"OK","NG")</f>
        <v>OK</v>
      </c>
      <c r="C32" s="119">
        <v>14004</v>
      </c>
      <c r="D32" s="12" t="str">
        <f ca="1">VLOOKUP($C32,OFFSET([2]quests!$A$1,0,0,COUNTA([2]quests!$A:$A),MATCH(D$1,[2]quests!$1:$1,0)-MATCH($C$1,[2]quests!$1:$1,0)+1),MATCH(D$1,[2]quests!$1:$1,0)-MATCH($C$1,[2]quests!$1:$1,0)+1,FALSE)</f>
        <v>【ロック】経験値/LINEマルチ</v>
      </c>
      <c r="E32" s="22" t="str">
        <f ca="1">VLOOKUP($C32,OFFSET([2]quests!$A$1,0,0,COUNTA([2]quests!$A:$A),MATCH(E$1,[2]quests!$1:$1,0)-MATCH($C$1,[2]quests!$1:$1,0)+1),MATCH(E$1,[2]quests!$1:$1,0)-MATCH($C$1,[2]quests!$1:$1,0)+1,FALSE)</f>
        <v>【ロック】経験値/LINEマルチ</v>
      </c>
      <c r="F32" s="105">
        <v>3</v>
      </c>
      <c r="G32" s="26" t="str">
        <f t="shared" si="22"/>
        <v>14004_3</v>
      </c>
      <c r="H32" s="16" t="str">
        <f ca="1">VLOOKUP($G32,OFFSET([2]stages!$A$1,0,0,COUNTA([2]stages!$A:$A),MATCH(H$1,[2]stages!$2:$2,0)-MATCH($G$1,[2]stages!$2:$2,0)+1),MATCH(H$1,[2]stages!$2:$2,0)-MATCH($G$1,[2]stages!$2:$2,0)+1,FALSE)</f>
        <v>【超級】森ファミリー（ハートなし）</v>
      </c>
      <c r="I32" s="2">
        <f t="shared" ref="I32:K32" si="33">I37</f>
        <v>1</v>
      </c>
      <c r="J32" s="2">
        <f t="shared" si="33"/>
        <v>40</v>
      </c>
      <c r="K32" s="2">
        <f t="shared" si="33"/>
        <v>60</v>
      </c>
    </row>
    <row r="33" spans="1:11" ht="21" customHeight="1" x14ac:dyDescent="0.15">
      <c r="A33" s="17" t="str">
        <f t="shared" si="21"/>
        <v>14004_3-2</v>
      </c>
      <c r="B33" s="17" t="str">
        <f>IF(COUNTIF(enemy_habitats!$H:$H,A33),"OK","NG")</f>
        <v>OK</v>
      </c>
      <c r="C33" s="119">
        <v>14004</v>
      </c>
      <c r="D33" s="12" t="str">
        <f ca="1">VLOOKUP($C33,OFFSET([2]quests!$A$1,0,0,COUNTA([2]quests!$A:$A),MATCH(D$1,[2]quests!$1:$1,0)-MATCH($C$1,[2]quests!$1:$1,0)+1),MATCH(D$1,[2]quests!$1:$1,0)-MATCH($C$1,[2]quests!$1:$1,0)+1,FALSE)</f>
        <v>【ロック】経験値/LINEマルチ</v>
      </c>
      <c r="E33" s="22" t="str">
        <f ca="1">VLOOKUP($C33,OFFSET([2]quests!$A$1,0,0,COUNTA([2]quests!$A:$A),MATCH(E$1,[2]quests!$1:$1,0)-MATCH($C$1,[2]quests!$1:$1,0)+1),MATCH(E$1,[2]quests!$1:$1,0)-MATCH($C$1,[2]quests!$1:$1,0)+1,FALSE)</f>
        <v>【ロック】経験値/LINEマルチ</v>
      </c>
      <c r="F33" s="105">
        <v>3</v>
      </c>
      <c r="G33" s="26" t="str">
        <f t="shared" si="22"/>
        <v>14004_3</v>
      </c>
      <c r="H33" s="16" t="str">
        <f ca="1">VLOOKUP($G33,OFFSET([2]stages!$A$1,0,0,COUNTA([2]stages!$A:$A),MATCH(H$1,[2]stages!$2:$2,0)-MATCH($G$1,[2]stages!$2:$2,0)+1),MATCH(H$1,[2]stages!$2:$2,0)-MATCH($G$1,[2]stages!$2:$2,0)+1,FALSE)</f>
        <v>【超級】森ファミリー（ハートなし）</v>
      </c>
      <c r="I33" s="2">
        <f t="shared" ref="I33:K33" si="34">I38</f>
        <v>2</v>
      </c>
      <c r="J33" s="2">
        <f t="shared" si="34"/>
        <v>30</v>
      </c>
      <c r="K33" s="2">
        <f t="shared" si="34"/>
        <v>41</v>
      </c>
    </row>
    <row r="34" spans="1:11" ht="21" customHeight="1" x14ac:dyDescent="0.15">
      <c r="A34" s="17" t="str">
        <f t="shared" si="21"/>
        <v>14004_3-3</v>
      </c>
      <c r="B34" s="17" t="str">
        <f>IF(COUNTIF(enemy_habitats!$H:$H,A34),"OK","NG")</f>
        <v>OK</v>
      </c>
      <c r="C34" s="119">
        <v>14004</v>
      </c>
      <c r="D34" s="12" t="str">
        <f ca="1">VLOOKUP($C34,OFFSET([2]quests!$A$1,0,0,COUNTA([2]quests!$A:$A),MATCH(D$1,[2]quests!$1:$1,0)-MATCH($C$1,[2]quests!$1:$1,0)+1),MATCH(D$1,[2]quests!$1:$1,0)-MATCH($C$1,[2]quests!$1:$1,0)+1,FALSE)</f>
        <v>【ロック】経験値/LINEマルチ</v>
      </c>
      <c r="E34" s="22" t="str">
        <f ca="1">VLOOKUP($C34,OFFSET([2]quests!$A$1,0,0,COUNTA([2]quests!$A:$A),MATCH(E$1,[2]quests!$1:$1,0)-MATCH($C$1,[2]quests!$1:$1,0)+1),MATCH(E$1,[2]quests!$1:$1,0)-MATCH($C$1,[2]quests!$1:$1,0)+1,FALSE)</f>
        <v>【ロック】経験値/LINEマルチ</v>
      </c>
      <c r="F34" s="105">
        <v>3</v>
      </c>
      <c r="G34" s="26" t="str">
        <f t="shared" si="22"/>
        <v>14004_3</v>
      </c>
      <c r="H34" s="16" t="str">
        <f ca="1">VLOOKUP($G34,OFFSET([2]stages!$A$1,0,0,COUNTA([2]stages!$A:$A),MATCH(H$1,[2]stages!$2:$2,0)-MATCH($G$1,[2]stages!$2:$2,0)+1),MATCH(H$1,[2]stages!$2:$2,0)-MATCH($G$1,[2]stages!$2:$2,0)+1,FALSE)</f>
        <v>【超級】森ファミリー（ハートなし）</v>
      </c>
      <c r="I34" s="2">
        <f t="shared" ref="I34:K34" si="35">I39</f>
        <v>3</v>
      </c>
      <c r="J34" s="2">
        <f t="shared" si="35"/>
        <v>50</v>
      </c>
      <c r="K34" s="2">
        <f t="shared" si="35"/>
        <v>50</v>
      </c>
    </row>
    <row r="35" spans="1:11" ht="21" customHeight="1" x14ac:dyDescent="0.15">
      <c r="A35" s="17" t="str">
        <f t="shared" si="21"/>
        <v>14004_3-4</v>
      </c>
      <c r="B35" s="17" t="str">
        <f>IF(COUNTIF(enemy_habitats!$H:$H,A35),"OK","NG")</f>
        <v>OK</v>
      </c>
      <c r="C35" s="119">
        <v>14004</v>
      </c>
      <c r="D35" s="12" t="str">
        <f ca="1">VLOOKUP($C35,OFFSET([2]quests!$A$1,0,0,COUNTA([2]quests!$A:$A),MATCH(D$1,[2]quests!$1:$1,0)-MATCH($C$1,[2]quests!$1:$1,0)+1),MATCH(D$1,[2]quests!$1:$1,0)-MATCH($C$1,[2]quests!$1:$1,0)+1,FALSE)</f>
        <v>【ロック】経験値/LINEマルチ</v>
      </c>
      <c r="E35" s="22" t="str">
        <f ca="1">VLOOKUP($C35,OFFSET([2]quests!$A$1,0,0,COUNTA([2]quests!$A:$A),MATCH(E$1,[2]quests!$1:$1,0)-MATCH($C$1,[2]quests!$1:$1,0)+1),MATCH(E$1,[2]quests!$1:$1,0)-MATCH($C$1,[2]quests!$1:$1,0)+1,FALSE)</f>
        <v>【ロック】経験値/LINEマルチ</v>
      </c>
      <c r="F35" s="105">
        <v>3</v>
      </c>
      <c r="G35" s="26" t="str">
        <f t="shared" si="22"/>
        <v>14004_3</v>
      </c>
      <c r="H35" s="16" t="str">
        <f ca="1">VLOOKUP($G35,OFFSET([2]stages!$A$1,0,0,COUNTA([2]stages!$A:$A),MATCH(H$1,[2]stages!$2:$2,0)-MATCH($G$1,[2]stages!$2:$2,0)+1),MATCH(H$1,[2]stages!$2:$2,0)-MATCH($G$1,[2]stages!$2:$2,0)+1,FALSE)</f>
        <v>【超級】森ファミリー（ハートなし）</v>
      </c>
      <c r="I35" s="2">
        <f t="shared" ref="I35:K35" si="36">I40</f>
        <v>4</v>
      </c>
      <c r="J35" s="2">
        <f t="shared" si="36"/>
        <v>59</v>
      </c>
      <c r="K35" s="2">
        <f t="shared" si="36"/>
        <v>60</v>
      </c>
    </row>
    <row r="36" spans="1:11" ht="21" customHeight="1" x14ac:dyDescent="0.15">
      <c r="A36" s="17" t="str">
        <f t="shared" si="21"/>
        <v>14004_3-5</v>
      </c>
      <c r="B36" s="17" t="str">
        <f>IF(COUNTIF(enemy_habitats!$H:$H,A36),"OK","NG")</f>
        <v>OK</v>
      </c>
      <c r="C36" s="119">
        <v>14004</v>
      </c>
      <c r="D36" s="12" t="str">
        <f ca="1">VLOOKUP($C36,OFFSET([2]quests!$A$1,0,0,COUNTA([2]quests!$A:$A),MATCH(D$1,[2]quests!$1:$1,0)-MATCH($C$1,[2]quests!$1:$1,0)+1),MATCH(D$1,[2]quests!$1:$1,0)-MATCH($C$1,[2]quests!$1:$1,0)+1,FALSE)</f>
        <v>【ロック】経験値/LINEマルチ</v>
      </c>
      <c r="E36" s="22" t="str">
        <f ca="1">VLOOKUP($C36,OFFSET([2]quests!$A$1,0,0,COUNTA([2]quests!$A:$A),MATCH(E$1,[2]quests!$1:$1,0)-MATCH($C$1,[2]quests!$1:$1,0)+1),MATCH(E$1,[2]quests!$1:$1,0)-MATCH($C$1,[2]quests!$1:$1,0)+1,FALSE)</f>
        <v>【ロック】経験値/LINEマルチ</v>
      </c>
      <c r="F36" s="105">
        <v>3</v>
      </c>
      <c r="G36" s="26" t="str">
        <f t="shared" si="22"/>
        <v>14004_3</v>
      </c>
      <c r="H36" s="16" t="str">
        <f ca="1">VLOOKUP($G36,OFFSET([2]stages!$A$1,0,0,COUNTA([2]stages!$A:$A),MATCH(H$1,[2]stages!$2:$2,0)-MATCH($G$1,[2]stages!$2:$2,0)+1),MATCH(H$1,[2]stages!$2:$2,0)-MATCH($G$1,[2]stages!$2:$2,0)+1,FALSE)</f>
        <v>【超級】森ファミリー（ハートなし）</v>
      </c>
      <c r="I36" s="2">
        <f>I41</f>
        <v>5</v>
      </c>
      <c r="J36" s="2">
        <f t="shared" ref="J36:K36" si="37">J41</f>
        <v>55</v>
      </c>
      <c r="K36" s="2">
        <f t="shared" si="37"/>
        <v>55</v>
      </c>
    </row>
    <row r="37" spans="1:11" ht="21" customHeight="1" x14ac:dyDescent="0.15">
      <c r="A37" s="17" t="str">
        <f t="shared" si="21"/>
        <v>14004_4-1</v>
      </c>
      <c r="B37" s="17" t="str">
        <f>IF(COUNTIF(enemy_habitats!$H:$H,A37),"OK","NG")</f>
        <v>OK</v>
      </c>
      <c r="C37" s="119">
        <v>14004</v>
      </c>
      <c r="D37" s="12" t="str">
        <f ca="1">VLOOKUP($C37,OFFSET([2]quests!$A$1,0,0,COUNTA([2]quests!$A:$A),MATCH(D$1,[2]quests!$1:$1,0)-MATCH($C$1,[2]quests!$1:$1,0)+1),MATCH(D$1,[2]quests!$1:$1,0)-MATCH($C$1,[2]quests!$1:$1,0)+1,FALSE)</f>
        <v>【ロック】経験値/LINEマルチ</v>
      </c>
      <c r="E37" s="22" t="str">
        <f ca="1">VLOOKUP($C37,OFFSET([2]quests!$A$1,0,0,COUNTA([2]quests!$A:$A),MATCH(E$1,[2]quests!$1:$1,0)-MATCH($C$1,[2]quests!$1:$1,0)+1),MATCH(E$1,[2]quests!$1:$1,0)-MATCH($C$1,[2]quests!$1:$1,0)+1,FALSE)</f>
        <v>【ロック】経験値/LINEマルチ</v>
      </c>
      <c r="F37" s="67">
        <v>4</v>
      </c>
      <c r="G37" s="26" t="str">
        <f t="shared" si="22"/>
        <v>14004_4</v>
      </c>
      <c r="H37" s="16" t="str">
        <f ca="1">VLOOKUP($G37,OFFSET([2]stages!$A$1,0,0,COUNTA([2]stages!$A:$A),MATCH(H$1,[2]stages!$2:$2,0)-MATCH($G$1,[2]stages!$2:$2,0)+1),MATCH(H$1,[2]stages!$2:$2,0)-MATCH($G$1,[2]stages!$2:$2,0)+1,FALSE)</f>
        <v>【超級】炎ファミリー（ハートなし）</v>
      </c>
      <c r="I37" s="2">
        <f>I17</f>
        <v>1</v>
      </c>
      <c r="J37" s="2">
        <f>J17</f>
        <v>40</v>
      </c>
      <c r="K37" s="2">
        <f>K17</f>
        <v>60</v>
      </c>
    </row>
    <row r="38" spans="1:11" ht="21" customHeight="1" x14ac:dyDescent="0.15">
      <c r="A38" s="17" t="str">
        <f t="shared" ref="A38:A41" si="38">G38&amp;"-"&amp;I38</f>
        <v>14004_4-2</v>
      </c>
      <c r="B38" s="17" t="str">
        <f>IF(COUNTIF(enemy_habitats!$H:$H,A38),"OK","NG")</f>
        <v>OK</v>
      </c>
      <c r="C38" s="119">
        <v>14004</v>
      </c>
      <c r="D38" s="12" t="str">
        <f ca="1">VLOOKUP($C38,OFFSET([2]quests!$A$1,0,0,COUNTA([2]quests!$A:$A),MATCH(D$1,[2]quests!$1:$1,0)-MATCH($C$1,[2]quests!$1:$1,0)+1),MATCH(D$1,[2]quests!$1:$1,0)-MATCH($C$1,[2]quests!$1:$1,0)+1,FALSE)</f>
        <v>【ロック】経験値/LINEマルチ</v>
      </c>
      <c r="E38" s="22" t="str">
        <f ca="1">VLOOKUP($C38,OFFSET([2]quests!$A$1,0,0,COUNTA([2]quests!$A:$A),MATCH(E$1,[2]quests!$1:$1,0)-MATCH($C$1,[2]quests!$1:$1,0)+1),MATCH(E$1,[2]quests!$1:$1,0)-MATCH($C$1,[2]quests!$1:$1,0)+1,FALSE)</f>
        <v>【ロック】経験値/LINEマルチ</v>
      </c>
      <c r="F38" s="67">
        <v>4</v>
      </c>
      <c r="G38" s="26" t="str">
        <f t="shared" ref="G38:G41" si="39">C38&amp;"_"&amp;F38</f>
        <v>14004_4</v>
      </c>
      <c r="H38" s="16" t="str">
        <f ca="1">VLOOKUP($G38,OFFSET([2]stages!$A$1,0,0,COUNTA([2]stages!$A:$A),MATCH(H$1,[2]stages!$2:$2,0)-MATCH($G$1,[2]stages!$2:$2,0)+1),MATCH(H$1,[2]stages!$2:$2,0)-MATCH($G$1,[2]stages!$2:$2,0)+1,FALSE)</f>
        <v>【超級】炎ファミリー（ハートなし）</v>
      </c>
      <c r="I38" s="2">
        <f t="shared" ref="I38:K38" si="40">I18</f>
        <v>2</v>
      </c>
      <c r="J38" s="2">
        <f t="shared" si="40"/>
        <v>30</v>
      </c>
      <c r="K38" s="2">
        <f t="shared" si="40"/>
        <v>41</v>
      </c>
    </row>
    <row r="39" spans="1:11" ht="21" customHeight="1" x14ac:dyDescent="0.15">
      <c r="A39" s="17" t="str">
        <f t="shared" si="38"/>
        <v>14004_4-3</v>
      </c>
      <c r="B39" s="17" t="str">
        <f>IF(COUNTIF(enemy_habitats!$H:$H,A39),"OK","NG")</f>
        <v>OK</v>
      </c>
      <c r="C39" s="119">
        <v>14004</v>
      </c>
      <c r="D39" s="12" t="str">
        <f ca="1">VLOOKUP($C39,OFFSET([2]quests!$A$1,0,0,COUNTA([2]quests!$A:$A),MATCH(D$1,[2]quests!$1:$1,0)-MATCH($C$1,[2]quests!$1:$1,0)+1),MATCH(D$1,[2]quests!$1:$1,0)-MATCH($C$1,[2]quests!$1:$1,0)+1,FALSE)</f>
        <v>【ロック】経験値/LINEマルチ</v>
      </c>
      <c r="E39" s="22" t="str">
        <f ca="1">VLOOKUP($C39,OFFSET([2]quests!$A$1,0,0,COUNTA([2]quests!$A:$A),MATCH(E$1,[2]quests!$1:$1,0)-MATCH($C$1,[2]quests!$1:$1,0)+1),MATCH(E$1,[2]quests!$1:$1,0)-MATCH($C$1,[2]quests!$1:$1,0)+1,FALSE)</f>
        <v>【ロック】経験値/LINEマルチ</v>
      </c>
      <c r="F39" s="67">
        <v>4</v>
      </c>
      <c r="G39" s="26" t="str">
        <f t="shared" si="39"/>
        <v>14004_4</v>
      </c>
      <c r="H39" s="16" t="str">
        <f ca="1">VLOOKUP($G39,OFFSET([2]stages!$A$1,0,0,COUNTA([2]stages!$A:$A),MATCH(H$1,[2]stages!$2:$2,0)-MATCH($G$1,[2]stages!$2:$2,0)+1),MATCH(H$1,[2]stages!$2:$2,0)-MATCH($G$1,[2]stages!$2:$2,0)+1,FALSE)</f>
        <v>【超級】炎ファミリー（ハートなし）</v>
      </c>
      <c r="I39" s="2">
        <f t="shared" ref="I39:K39" si="41">I19</f>
        <v>3</v>
      </c>
      <c r="J39" s="2">
        <f t="shared" si="41"/>
        <v>50</v>
      </c>
      <c r="K39" s="2">
        <f t="shared" si="41"/>
        <v>50</v>
      </c>
    </row>
    <row r="40" spans="1:11" ht="21" customHeight="1" x14ac:dyDescent="0.15">
      <c r="A40" s="17" t="str">
        <f t="shared" si="38"/>
        <v>14004_4-4</v>
      </c>
      <c r="B40" s="17" t="str">
        <f>IF(COUNTIF(enemy_habitats!$H:$H,A40),"OK","NG")</f>
        <v>OK</v>
      </c>
      <c r="C40" s="119">
        <v>14004</v>
      </c>
      <c r="D40" s="12" t="str">
        <f ca="1">VLOOKUP($C40,OFFSET([2]quests!$A$1,0,0,COUNTA([2]quests!$A:$A),MATCH(D$1,[2]quests!$1:$1,0)-MATCH($C$1,[2]quests!$1:$1,0)+1),MATCH(D$1,[2]quests!$1:$1,0)-MATCH($C$1,[2]quests!$1:$1,0)+1,FALSE)</f>
        <v>【ロック】経験値/LINEマルチ</v>
      </c>
      <c r="E40" s="22" t="str">
        <f ca="1">VLOOKUP($C40,OFFSET([2]quests!$A$1,0,0,COUNTA([2]quests!$A:$A),MATCH(E$1,[2]quests!$1:$1,0)-MATCH($C$1,[2]quests!$1:$1,0)+1),MATCH(E$1,[2]quests!$1:$1,0)-MATCH($C$1,[2]quests!$1:$1,0)+1,FALSE)</f>
        <v>【ロック】経験値/LINEマルチ</v>
      </c>
      <c r="F40" s="67">
        <v>4</v>
      </c>
      <c r="G40" s="26" t="str">
        <f t="shared" si="39"/>
        <v>14004_4</v>
      </c>
      <c r="H40" s="16" t="str">
        <f ca="1">VLOOKUP($G40,OFFSET([2]stages!$A$1,0,0,COUNTA([2]stages!$A:$A),MATCH(H$1,[2]stages!$2:$2,0)-MATCH($G$1,[2]stages!$2:$2,0)+1),MATCH(H$1,[2]stages!$2:$2,0)-MATCH($G$1,[2]stages!$2:$2,0)+1,FALSE)</f>
        <v>【超級】炎ファミリー（ハートなし）</v>
      </c>
      <c r="I40" s="2">
        <f t="shared" ref="I40:K40" si="42">I20</f>
        <v>4</v>
      </c>
      <c r="J40" s="2">
        <f t="shared" si="42"/>
        <v>59</v>
      </c>
      <c r="K40" s="2">
        <f t="shared" si="42"/>
        <v>60</v>
      </c>
    </row>
    <row r="41" spans="1:11" ht="21" customHeight="1" x14ac:dyDescent="0.15">
      <c r="A41" s="17" t="str">
        <f t="shared" si="38"/>
        <v>14004_4-5</v>
      </c>
      <c r="B41" s="17" t="str">
        <f>IF(COUNTIF(enemy_habitats!$H:$H,A41),"OK","NG")</f>
        <v>OK</v>
      </c>
      <c r="C41" s="119">
        <v>14004</v>
      </c>
      <c r="D41" s="12" t="str">
        <f ca="1">VLOOKUP($C41,OFFSET([2]quests!$A$1,0,0,COUNTA([2]quests!$A:$A),MATCH(D$1,[2]quests!$1:$1,0)-MATCH($C$1,[2]quests!$1:$1,0)+1),MATCH(D$1,[2]quests!$1:$1,0)-MATCH($C$1,[2]quests!$1:$1,0)+1,FALSE)</f>
        <v>【ロック】経験値/LINEマルチ</v>
      </c>
      <c r="E41" s="22" t="str">
        <f ca="1">VLOOKUP($C41,OFFSET([2]quests!$A$1,0,0,COUNTA([2]quests!$A:$A),MATCH(E$1,[2]quests!$1:$1,0)-MATCH($C$1,[2]quests!$1:$1,0)+1),MATCH(E$1,[2]quests!$1:$1,0)-MATCH($C$1,[2]quests!$1:$1,0)+1,FALSE)</f>
        <v>【ロック】経験値/LINEマルチ</v>
      </c>
      <c r="F41" s="67">
        <v>4</v>
      </c>
      <c r="G41" s="26" t="str">
        <f t="shared" si="39"/>
        <v>14004_4</v>
      </c>
      <c r="H41" s="16" t="str">
        <f ca="1">VLOOKUP($G41,OFFSET([2]stages!$A$1,0,0,COUNTA([2]stages!$A:$A),MATCH(H$1,[2]stages!$2:$2,0)-MATCH($G$1,[2]stages!$2:$2,0)+1),MATCH(H$1,[2]stages!$2:$2,0)-MATCH($G$1,[2]stages!$2:$2,0)+1,FALSE)</f>
        <v>【超級】炎ファミリー（ハートなし）</v>
      </c>
      <c r="I41" s="2">
        <f t="shared" ref="I41:K41" si="43">I21</f>
        <v>5</v>
      </c>
      <c r="J41" s="2">
        <f t="shared" si="43"/>
        <v>55</v>
      </c>
      <c r="K41" s="2">
        <f t="shared" si="43"/>
        <v>55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105"/>
  <sheetViews>
    <sheetView showGridLines="0" zoomScale="75" zoomScaleNormal="75" zoomScalePageLayoutView="75" workbookViewId="0">
      <pane xSplit="17" ySplit="1" topLeftCell="AB71" activePane="bottomRight" state="frozen"/>
      <selection pane="topRight" activeCell="N1" sqref="N1"/>
      <selection pane="bottomLeft" activeCell="A2" sqref="A2"/>
      <selection pane="bottomRight" activeCell="AH18" sqref="AH18"/>
    </sheetView>
  </sheetViews>
  <sheetFormatPr baseColWidth="12" defaultColWidth="13" defaultRowHeight="21" customHeight="1" outlineLevelCol="1" x14ac:dyDescent="0.15"/>
  <cols>
    <col min="1" max="1" width="12.5" style="23" bestFit="1" customWidth="1"/>
    <col min="2" max="2" width="12.5" style="4" bestFit="1" customWidth="1"/>
    <col min="3" max="3" width="12.33203125" style="4" bestFit="1" customWidth="1"/>
    <col min="4" max="4" width="14.6640625" style="15" customWidth="1" outlineLevel="1"/>
    <col min="5" max="6" width="15.6640625" style="4" customWidth="1" outlineLevel="1"/>
    <col min="7" max="7" width="11.83203125" style="4" bestFit="1" customWidth="1" collapsed="1"/>
    <col min="8" max="8" width="11.83203125" style="4" hidden="1" customWidth="1" outlineLevel="1"/>
    <col min="9" max="10" width="12.33203125" style="4" hidden="1" customWidth="1" outlineLevel="1"/>
    <col min="11" max="11" width="13" style="4"/>
    <col min="12" max="12" width="15.33203125" style="10" bestFit="1" customWidth="1"/>
    <col min="13" max="13" width="17.6640625" style="4" customWidth="1" collapsed="1"/>
    <col min="14" max="14" width="10.33203125" style="4" hidden="1" customWidth="1" outlineLevel="1"/>
    <col min="15" max="15" width="13.6640625" style="4" hidden="1" customWidth="1" outlineLevel="1"/>
    <col min="16" max="16" width="22.83203125" style="4" hidden="1" customWidth="1" outlineLevel="1"/>
    <col min="17" max="17" width="11.6640625" style="4" hidden="1" customWidth="1" outlineLevel="1"/>
    <col min="18" max="18" width="10.1640625" style="4" bestFit="1" customWidth="1"/>
    <col min="19" max="19" width="14.83203125" style="4" bestFit="1" customWidth="1"/>
    <col min="20" max="20" width="17.5" style="4" bestFit="1" customWidth="1"/>
    <col min="21" max="21" width="18.33203125" style="4" bestFit="1" customWidth="1"/>
    <col min="22" max="22" width="14" style="4" customWidth="1"/>
    <col min="23" max="23" width="14" style="4" customWidth="1" outlineLevel="1"/>
    <col min="24" max="24" width="13" style="4" bestFit="1" customWidth="1"/>
    <col min="25" max="25" width="13.5" style="4" bestFit="1" customWidth="1"/>
    <col min="26" max="26" width="12.33203125" style="4" bestFit="1" customWidth="1"/>
    <col min="27" max="27" width="11" style="4" bestFit="1" customWidth="1"/>
    <col min="28" max="28" width="14.83203125" style="4" bestFit="1" customWidth="1"/>
    <col min="29" max="29" width="17.6640625" style="14" customWidth="1" outlineLevel="1"/>
    <col min="30" max="31" width="13.6640625" style="15" customWidth="1" outlineLevel="1"/>
    <col min="32" max="32" width="16.83203125" style="11" bestFit="1" customWidth="1" collapsed="1"/>
    <col min="33" max="34" width="16.5" style="4" bestFit="1" customWidth="1"/>
    <col min="35" max="35" width="15.33203125" style="4" customWidth="1"/>
    <col min="36" max="16384" width="13" style="4"/>
  </cols>
  <sheetData>
    <row r="1" spans="1:39" ht="21" customHeight="1" x14ac:dyDescent="0.15">
      <c r="A1" s="17" t="s">
        <v>28</v>
      </c>
      <c r="B1" s="1" t="s">
        <v>0</v>
      </c>
      <c r="C1" s="1" t="s">
        <v>1</v>
      </c>
      <c r="D1" s="16" t="s">
        <v>27</v>
      </c>
      <c r="E1" s="2" t="s">
        <v>20</v>
      </c>
      <c r="F1" s="2" t="s">
        <v>20</v>
      </c>
      <c r="G1" s="1" t="s">
        <v>19</v>
      </c>
      <c r="H1" s="16" t="s">
        <v>34</v>
      </c>
      <c r="I1" s="38" t="s">
        <v>14</v>
      </c>
      <c r="J1" s="38" t="s">
        <v>15</v>
      </c>
      <c r="K1" s="1" t="s">
        <v>143</v>
      </c>
      <c r="L1" s="1" t="s">
        <v>2</v>
      </c>
      <c r="M1" s="19" t="s">
        <v>21</v>
      </c>
      <c r="N1" s="16" t="s">
        <v>23</v>
      </c>
      <c r="O1" s="16" t="s">
        <v>46</v>
      </c>
      <c r="P1" s="21" t="s">
        <v>25</v>
      </c>
      <c r="Q1" s="2" t="s">
        <v>24</v>
      </c>
      <c r="R1" s="1" t="s">
        <v>3</v>
      </c>
      <c r="S1" s="28" t="s">
        <v>47</v>
      </c>
      <c r="T1" s="28" t="s">
        <v>48</v>
      </c>
      <c r="U1" s="28" t="s">
        <v>49</v>
      </c>
      <c r="V1" s="16" t="s">
        <v>30</v>
      </c>
      <c r="W1" s="1" t="s">
        <v>4</v>
      </c>
      <c r="X1" s="1" t="s">
        <v>5</v>
      </c>
      <c r="Y1" s="1" t="s">
        <v>6</v>
      </c>
      <c r="Z1" s="1" t="s">
        <v>7</v>
      </c>
      <c r="AA1" s="1" t="s">
        <v>8</v>
      </c>
      <c r="AB1" s="3" t="s">
        <v>9</v>
      </c>
      <c r="AC1" s="18" t="s">
        <v>16</v>
      </c>
      <c r="AD1" s="18" t="s">
        <v>17</v>
      </c>
      <c r="AE1" s="18" t="s">
        <v>26</v>
      </c>
      <c r="AF1" s="3" t="s">
        <v>10</v>
      </c>
      <c r="AG1" s="1" t="s">
        <v>11</v>
      </c>
      <c r="AH1" s="1" t="s">
        <v>12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45</v>
      </c>
    </row>
    <row r="2" spans="1:39" ht="21" customHeight="1" x14ac:dyDescent="0.15">
      <c r="A2" s="17" t="str">
        <f>B2&amp;"_"&amp;C2&amp;"-"&amp;G2&amp;"/"&amp;L2&amp;"&lt;lv"&amp;R2&amp;"&gt;s"&amp;AA2</f>
        <v>14001_4-1/332&lt;lv10&gt;s1</v>
      </c>
      <c r="B2" s="65">
        <v>14001</v>
      </c>
      <c r="C2" s="67">
        <v>4</v>
      </c>
      <c r="D2" s="67" t="str">
        <f>B2&amp;"_"&amp;C2</f>
        <v>14001_4</v>
      </c>
      <c r="E2" s="64" t="str">
        <f ca="1">VLOOKUP($B2,OFFSET([2]quests!$A$1,0,0,COUNTA([2]quests!$A:$A),MATCH(E$1,[2]quests!$1:$1,0)-MATCH($B$1,[2]quests!$1:$1,0)+1),MATCH(E$1,[2]quests!$1:$1,0)-MATCH($B$1,[2]quests!$1:$1,0)+1,FALSE)</f>
        <v>【ロック】経験値/ソロ</v>
      </c>
      <c r="F2" s="64" t="str">
        <f ca="1">VLOOKUP($D2,OFFSET([2]stages!$A$1,0,0,COUNTA([2]stages!$A:$A),MATCH(F$1,[2]stages!$2:$2,0)-MATCH($D$1,[2]stages!$2:$2,0)+1),MATCH(F$1,[2]stages!$2:$2,0)-MATCH($D$1,[2]stages!$2:$2,0)+1,FALSE)</f>
        <v>【超級】炎ファミリー（ハートなし）</v>
      </c>
      <c r="G2" s="67">
        <v>1</v>
      </c>
      <c r="H2" s="16" t="str">
        <f>B2&amp;"_"&amp;C2&amp;"-"&amp;G2</f>
        <v>14001_4-1</v>
      </c>
      <c r="I2" s="5">
        <f ca="1">VLOOKUP($H2,OFFSET(floors!$A$1,0,0,COUNTA(floors!$A:$A),MATCH(I$1,floors!$1:$1,0)-MATCH($H$1,floors!$1:$1,0)+1),MATCH(I$1,floors!$1:$1,0)-MATCH($H$1,floors!$1:$1,0)+1,FALSE)</f>
        <v>40</v>
      </c>
      <c r="J2" s="5">
        <f ca="1">VLOOKUP($H2,OFFSET(floors!$A$1,0,0,COUNTA(floors!$A:$A),MATCH(J$1,floors!$1:$1,0)-MATCH($H$1,floors!$1:$1,0)+1),MATCH(J$1,floors!$1:$1,0)-MATCH($H$1,floors!$1:$1,0)+1,FALSE)</f>
        <v>60</v>
      </c>
      <c r="K2" s="8" t="s">
        <v>142</v>
      </c>
      <c r="L2" s="24">
        <v>332</v>
      </c>
      <c r="M2" s="20" t="str">
        <f ca="1">VLOOKUP($L2,OFFSET([3]enemies!$A$1,0,0,COUNTA([3]enemies!$A:$A),MATCH(M$1,[3]enemies!$1:$1,0)-MATCH($L$1,[3]enemies!$1:$1,0)+1),MATCH(M$1,[3]enemies!$1:$1,0)-MATCH($L$1,[3]enemies!$1:$1,0)+1,FALSE)</f>
        <v>炎のメタルピヨピヨ</v>
      </c>
      <c r="N2" s="20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20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20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20">
        <f ca="1">VLOOKUP($L2,OFFSET([3]enemies!$A$1,0,0,COUNTA([3]enemies!$A:$A),MATCH(Q$1,[3]enemies!$1:$1,0)-MATCH($L$1,[3]enemies!$1:$1,0)+1),MATCH(Q$1,[3]enemies!$1:$1,0)-MATCH($L$1,[3]enemies!$1:$1,0)+1,FALSE)</f>
        <v>15</v>
      </c>
      <c r="R2" s="6">
        <v>10</v>
      </c>
      <c r="S2" s="29">
        <v>0.6</v>
      </c>
      <c r="T2" s="29">
        <v>40</v>
      </c>
      <c r="U2" s="6">
        <v>533</v>
      </c>
      <c r="V2" s="5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5">
        <f ca="1">VLOOKUP($L2,OFFSET([3]enemies!$A$1,0,0,COUNTA([3]enemies!$A:$A),MATCH(W$1,[3]enemies!$1:$1,0)-MATCH($L$1,[3]enemies!$1:$1,0)+1),MATCH(W$1,[3]enemies!$1:$1,0)-MATCH($L$1,[3]enemies!$1:$1,0)+1,FALSE)</f>
        <v>0</v>
      </c>
      <c r="X2" s="7">
        <v>0</v>
      </c>
      <c r="Y2" s="7">
        <v>100</v>
      </c>
      <c r="Z2" s="7">
        <v>0</v>
      </c>
      <c r="AA2" s="58">
        <v>1</v>
      </c>
      <c r="AB2" s="2">
        <f>L2</f>
        <v>332</v>
      </c>
      <c r="AC2" s="5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炎のメタルピヨピヨ</v>
      </c>
      <c r="AD2" s="5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5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" s="8">
        <v>1</v>
      </c>
      <c r="AG2" s="27">
        <f ca="1">AD2</f>
        <v>3</v>
      </c>
      <c r="AH2" s="9">
        <v>0</v>
      </c>
      <c r="AI2" s="8">
        <v>0</v>
      </c>
      <c r="AJ2" s="8">
        <v>0</v>
      </c>
      <c r="AK2" s="8">
        <v>0</v>
      </c>
      <c r="AL2" s="8">
        <v>0</v>
      </c>
      <c r="AM2" s="8">
        <v>1</v>
      </c>
    </row>
    <row r="3" spans="1:39" ht="21" customHeight="1" x14ac:dyDescent="0.15">
      <c r="A3" s="17" t="str">
        <f>B3&amp;"_"&amp;C3&amp;"-"&amp;G3&amp;"/"&amp;L3&amp;"&lt;lv"&amp;R3&amp;"&gt;s"&amp;AA3</f>
        <v>14001_4-1/333&lt;lv10&gt;s1</v>
      </c>
      <c r="B3" s="65">
        <v>14001</v>
      </c>
      <c r="C3" s="67">
        <v>4</v>
      </c>
      <c r="D3" s="67" t="str">
        <f>B3&amp;"_"&amp;C3</f>
        <v>14001_4</v>
      </c>
      <c r="E3" s="64" t="str">
        <f ca="1">VLOOKUP($B3,OFFSET([2]quests!$A$1,0,0,COUNTA([2]quests!$A:$A),MATCH(E$1,[2]quests!$1:$1,0)-MATCH($B$1,[2]quests!$1:$1,0)+1),MATCH(E$1,[2]quests!$1:$1,0)-MATCH($B$1,[2]quests!$1:$1,0)+1,FALSE)</f>
        <v>【ロック】経験値/ソロ</v>
      </c>
      <c r="F3" s="64" t="str">
        <f ca="1">VLOOKUP($D3,OFFSET([2]stages!$A$1,0,0,COUNTA([2]stages!$A:$A),MATCH(F$1,[2]stages!$2:$2,0)-MATCH($D$1,[2]stages!$2:$2,0)+1),MATCH(F$1,[2]stages!$2:$2,0)-MATCH($D$1,[2]stages!$2:$2,0)+1,FALSE)</f>
        <v>【超級】炎ファミリー（ハートなし）</v>
      </c>
      <c r="G3" s="67">
        <v>1</v>
      </c>
      <c r="H3" s="16" t="str">
        <f>B3&amp;"_"&amp;C3&amp;"-"&amp;G3</f>
        <v>14001_4-1</v>
      </c>
      <c r="I3" s="5">
        <f ca="1">VLOOKUP($H3,OFFSET(floors!$A$1,0,0,COUNTA(floors!$A:$A),MATCH(I$1,floors!$1:$1,0)-MATCH($H$1,floors!$1:$1,0)+1),MATCH(I$1,floors!$1:$1,0)-MATCH($H$1,floors!$1:$1,0)+1,FALSE)</f>
        <v>40</v>
      </c>
      <c r="J3" s="5">
        <f ca="1">VLOOKUP($H3,OFFSET(floors!$A$1,0,0,COUNTA(floors!$A:$A),MATCH(J$1,floors!$1:$1,0)-MATCH($H$1,floors!$1:$1,0)+1),MATCH(J$1,floors!$1:$1,0)-MATCH($H$1,floors!$1:$1,0)+1,FALSE)</f>
        <v>60</v>
      </c>
      <c r="K3" s="8" t="s">
        <v>142</v>
      </c>
      <c r="L3" s="24">
        <v>333</v>
      </c>
      <c r="M3" s="20" t="str">
        <f ca="1">VLOOKUP($L3,OFFSET([3]enemies!$A$1,0,0,COUNTA([3]enemies!$A:$A),MATCH(M$1,[3]enemies!$1:$1,0)-MATCH($L$1,[3]enemies!$1:$1,0)+1),MATCH(M$1,[3]enemies!$1:$1,0)-MATCH($L$1,[3]enemies!$1:$1,0)+1,FALSE)</f>
        <v>炎のメタルチック</v>
      </c>
      <c r="N3" s="20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20" t="str">
        <f ca="1">VLOOKUP($L3,OFFSET([4]characters!$A$1,0,0,COUNTA([4]characters!$A:$A),MATCH(O$1,[4]characters!$1:$1,0)-MATCH($L$1,[4]characters!$1:$1,0)+1),MATCH(O$1,[4]characters!$1:$1,0)-MATCH($L$1,[4]characters!$1:$1,0)+1,FALSE)</f>
        <v>Material</v>
      </c>
      <c r="P3" s="20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20">
        <f ca="1">VLOOKUP($L3,OFFSET([3]enemies!$A$1,0,0,COUNTA([3]enemies!$A:$A),MATCH(Q$1,[3]enemies!$1:$1,0)-MATCH($L$1,[3]enemies!$1:$1,0)+1),MATCH(Q$1,[3]enemies!$1:$1,0)-MATCH($L$1,[3]enemies!$1:$1,0)+1,FALSE)</f>
        <v>15</v>
      </c>
      <c r="R3" s="6">
        <v>10</v>
      </c>
      <c r="S3" s="29">
        <v>0.4</v>
      </c>
      <c r="T3" s="29">
        <v>40</v>
      </c>
      <c r="U3" s="6">
        <v>-2845</v>
      </c>
      <c r="V3" s="5" t="str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" s="5">
        <f ca="1">VLOOKUP($L3,OFFSET([3]enemies!$A$1,0,0,COUNTA([3]enemies!$A:$A),MATCH(W$1,[3]enemies!$1:$1,0)-MATCH($L$1,[3]enemies!$1:$1,0)+1),MATCH(W$1,[3]enemies!$1:$1,0)-MATCH($L$1,[3]enemies!$1:$1,0)+1,FALSE)</f>
        <v>0</v>
      </c>
      <c r="X3" s="7">
        <v>0</v>
      </c>
      <c r="Y3" s="7">
        <v>100</v>
      </c>
      <c r="Z3" s="7">
        <v>0</v>
      </c>
      <c r="AA3" s="58">
        <v>1</v>
      </c>
      <c r="AB3" s="2">
        <f>L3</f>
        <v>333</v>
      </c>
      <c r="AC3" s="5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3" s="5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5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" s="8">
        <v>1</v>
      </c>
      <c r="AG3" s="27">
        <f ca="1">AD3</f>
        <v>4</v>
      </c>
      <c r="AH3" s="9">
        <v>0</v>
      </c>
      <c r="AI3" s="8">
        <v>0</v>
      </c>
      <c r="AJ3" s="8">
        <v>0</v>
      </c>
      <c r="AK3" s="8">
        <v>0</v>
      </c>
      <c r="AL3" s="8">
        <v>0</v>
      </c>
      <c r="AM3" s="8">
        <v>1</v>
      </c>
    </row>
    <row r="4" spans="1:39" ht="21" customHeight="1" x14ac:dyDescent="0.15">
      <c r="A4" s="103" t="str">
        <f t="shared" ref="A4" si="0">B4&amp;"_"&amp;C4&amp;"-"&amp;G4&amp;"/"&amp;L4&amp;"&lt;lv"&amp;R4&amp;"&gt;s"&amp;AA4</f>
        <v>14001_4-1/334&lt;lv10&gt;s2</v>
      </c>
      <c r="B4" s="65">
        <v>14001</v>
      </c>
      <c r="C4" s="67">
        <v>4</v>
      </c>
      <c r="D4" s="67" t="str">
        <f t="shared" ref="D4" si="1">B4&amp;"_"&amp;C4</f>
        <v>14001_4</v>
      </c>
      <c r="E4" s="64" t="str">
        <f ca="1">VLOOKUP($B4,OFFSET([2]quests!$A$1,0,0,COUNTA([2]quests!$A:$A),MATCH(E$1,[2]quests!$1:$1,0)-MATCH($B$1,[2]quests!$1:$1,0)+1),MATCH(E$1,[2]quests!$1:$1,0)-MATCH($B$1,[2]quests!$1:$1,0)+1,FALSE)</f>
        <v>【ロック】経験値/ソロ</v>
      </c>
      <c r="F4" s="64" t="str">
        <f ca="1">VLOOKUP($D4,OFFSET([2]stages!$A$1,0,0,COUNTA([2]stages!$A:$A),MATCH(F$1,[2]stages!$2:$2,0)-MATCH($D$1,[2]stages!$2:$2,0)+1),MATCH(F$1,[2]stages!$2:$2,0)-MATCH($D$1,[2]stages!$2:$2,0)+1,FALSE)</f>
        <v>【超級】炎ファミリー（ハートなし）</v>
      </c>
      <c r="G4" s="67">
        <v>1</v>
      </c>
      <c r="H4" s="16" t="str">
        <f t="shared" ref="H4" si="2">B4&amp;"_"&amp;C4&amp;"-"&amp;G4</f>
        <v>14001_4-1</v>
      </c>
      <c r="I4" s="5">
        <f ca="1">VLOOKUP($H4,OFFSET(floors!$A$1,0,0,COUNTA(floors!$A:$A),MATCH(I$1,floors!$1:$1,0)-MATCH($H$1,floors!$1:$1,0)+1),MATCH(I$1,floors!$1:$1,0)-MATCH($H$1,floors!$1:$1,0)+1,FALSE)</f>
        <v>40</v>
      </c>
      <c r="J4" s="5">
        <f ca="1">VLOOKUP($H4,OFFSET(floors!$A$1,0,0,COUNTA(floors!$A:$A),MATCH(J$1,floors!$1:$1,0)-MATCH($H$1,floors!$1:$1,0)+1),MATCH(J$1,floors!$1:$1,0)-MATCH($H$1,floors!$1:$1,0)+1,FALSE)</f>
        <v>60</v>
      </c>
      <c r="K4" s="8" t="s">
        <v>142</v>
      </c>
      <c r="L4" s="24">
        <v>334</v>
      </c>
      <c r="M4" s="20" t="str">
        <f ca="1">VLOOKUP($L4,OFFSET([3]enemies!$A$1,0,0,COUNTA([3]enemies!$A:$A),MATCH(M$1,[3]enemies!$1:$1,0)-MATCH($L$1,[3]enemies!$1:$1,0)+1),MATCH(M$1,[3]enemies!$1:$1,0)-MATCH($L$1,[3]enemies!$1:$1,0)+1,FALSE)</f>
        <v>炎のメタルダック</v>
      </c>
      <c r="N4" s="20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20" t="str">
        <f ca="1">VLOOKUP($L4,OFFSET([4]characters!$A$1,0,0,COUNTA([4]characters!$A:$A),MATCH(O$1,[4]characters!$1:$1,0)-MATCH($L$1,[4]characters!$1:$1,0)+1),MATCH(O$1,[4]characters!$1:$1,0)-MATCH($L$1,[4]characters!$1:$1,0)+1,FALSE)</f>
        <v>Material</v>
      </c>
      <c r="P4" s="20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20">
        <f ca="1">VLOOKUP($L4,OFFSET([3]enemies!$A$1,0,0,COUNTA([3]enemies!$A:$A),MATCH(Q$1,[3]enemies!$1:$1,0)-MATCH($L$1,[3]enemies!$1:$1,0)+1),MATCH(Q$1,[3]enemies!$1:$1,0)-MATCH($L$1,[3]enemies!$1:$1,0)+1,FALSE)</f>
        <v>20</v>
      </c>
      <c r="R4" s="6">
        <v>10</v>
      </c>
      <c r="S4" s="29">
        <v>0.4</v>
      </c>
      <c r="T4" s="29">
        <v>40</v>
      </c>
      <c r="U4" s="6">
        <v>-20223</v>
      </c>
      <c r="V4" s="5" t="str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" s="5">
        <f ca="1">VLOOKUP($L4,OFFSET([3]enemies!$A$1,0,0,COUNTA([3]enemies!$A:$A),MATCH(W$1,[3]enemies!$1:$1,0)-MATCH($L$1,[3]enemies!$1:$1,0)+1),MATCH(W$1,[3]enemies!$1:$1,0)-MATCH($L$1,[3]enemies!$1:$1,0)+1,FALSE)</f>
        <v>0</v>
      </c>
      <c r="X4" s="7">
        <v>0</v>
      </c>
      <c r="Y4" s="7">
        <v>67</v>
      </c>
      <c r="Z4" s="7">
        <v>1</v>
      </c>
      <c r="AA4" s="58">
        <v>2</v>
      </c>
      <c r="AB4" s="2">
        <f t="shared" ref="AB4" si="3">L4</f>
        <v>334</v>
      </c>
      <c r="AC4" s="5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4" s="5">
        <f ca="1">VLOOKUP($AB4,OFFSET([4]characters!$A$1,0,0,COUNTA([4]characters!$A:$A),MATCH(AD$1,[4]characters!$1:$1,0)-MATCH("character_id",[4]characters!$1:$1,0)+1),MATCH(AD$1,[4]characters!$1:$1,0)-MATCH("character_id",[4]characters!$1:$1,0)+1,FALSE)</f>
        <v>5</v>
      </c>
      <c r="AE4" s="5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" s="8">
        <v>1</v>
      </c>
      <c r="AG4" s="27">
        <f t="shared" ref="AG4" ca="1" si="4">AD4</f>
        <v>5</v>
      </c>
      <c r="AH4" s="9">
        <v>100</v>
      </c>
      <c r="AI4" s="8">
        <v>0</v>
      </c>
      <c r="AJ4" s="8">
        <v>0</v>
      </c>
      <c r="AK4" s="8">
        <v>0</v>
      </c>
      <c r="AL4" s="8">
        <v>0</v>
      </c>
      <c r="AM4" s="8">
        <v>1</v>
      </c>
    </row>
    <row r="5" spans="1:39" ht="21" customHeight="1" x14ac:dyDescent="0.15">
      <c r="A5" s="17" t="str">
        <f t="shared" ref="A5" si="5">B5&amp;"_"&amp;C5&amp;"-"&amp;G5&amp;"/"&amp;L5&amp;"&lt;lv"&amp;R5&amp;"&gt;s"&amp;AA5</f>
        <v>14001_4-1/335&lt;lv10&gt;s2</v>
      </c>
      <c r="B5" s="65">
        <v>14001</v>
      </c>
      <c r="C5" s="67">
        <v>4</v>
      </c>
      <c r="D5" s="67" t="str">
        <f t="shared" ref="D5" si="6">B5&amp;"_"&amp;C5</f>
        <v>14001_4</v>
      </c>
      <c r="E5" s="64" t="str">
        <f ca="1">VLOOKUP($B5,OFFSET([2]quests!$A$1,0,0,COUNTA([2]quests!$A:$A),MATCH(E$1,[2]quests!$1:$1,0)-MATCH($B$1,[2]quests!$1:$1,0)+1),MATCH(E$1,[2]quests!$1:$1,0)-MATCH($B$1,[2]quests!$1:$1,0)+1,FALSE)</f>
        <v>【ロック】経験値/ソロ</v>
      </c>
      <c r="F5" s="64" t="str">
        <f ca="1">VLOOKUP($D5,OFFSET([2]stages!$A$1,0,0,COUNTA([2]stages!$A:$A),MATCH(F$1,[2]stages!$2:$2,0)-MATCH($D$1,[2]stages!$2:$2,0)+1),MATCH(F$1,[2]stages!$2:$2,0)-MATCH($D$1,[2]stages!$2:$2,0)+1,FALSE)</f>
        <v>【超級】炎ファミリー（ハートなし）</v>
      </c>
      <c r="G5" s="67">
        <v>1</v>
      </c>
      <c r="H5" s="16" t="str">
        <f t="shared" ref="H5" si="7">B5&amp;"_"&amp;C5&amp;"-"&amp;G5</f>
        <v>14001_4-1</v>
      </c>
      <c r="I5" s="5">
        <f ca="1">VLOOKUP($H5,OFFSET(floors!$A$1,0,0,COUNTA(floors!$A:$A),MATCH(I$1,floors!$1:$1,0)-MATCH($H$1,floors!$1:$1,0)+1),MATCH(I$1,floors!$1:$1,0)-MATCH($H$1,floors!$1:$1,0)+1,FALSE)</f>
        <v>40</v>
      </c>
      <c r="J5" s="5">
        <f ca="1">VLOOKUP($H5,OFFSET(floors!$A$1,0,0,COUNTA(floors!$A:$A),MATCH(J$1,floors!$1:$1,0)-MATCH($H$1,floors!$1:$1,0)+1),MATCH(J$1,floors!$1:$1,0)-MATCH($H$1,floors!$1:$1,0)+1,FALSE)</f>
        <v>60</v>
      </c>
      <c r="K5" s="8" t="s">
        <v>142</v>
      </c>
      <c r="L5" s="24">
        <v>335</v>
      </c>
      <c r="M5" s="20" t="str">
        <f ca="1">VLOOKUP($L5,OFFSET([3]enemies!$A$1,0,0,COUNTA([3]enemies!$A:$A),MATCH(M$1,[3]enemies!$1:$1,0)-MATCH($L$1,[3]enemies!$1:$1,0)+1),MATCH(M$1,[3]enemies!$1:$1,0)-MATCH($L$1,[3]enemies!$1:$1,0)+1,FALSE)</f>
        <v>炎のメタルジェントル</v>
      </c>
      <c r="N5" s="20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20" t="str">
        <f ca="1">VLOOKUP($L5,OFFSET([4]characters!$A$1,0,0,COUNTA([4]characters!$A:$A),MATCH(O$1,[4]characters!$1:$1,0)-MATCH($L$1,[4]characters!$1:$1,0)+1),MATCH(O$1,[4]characters!$1:$1,0)-MATCH($L$1,[4]characters!$1:$1,0)+1,FALSE)</f>
        <v>Material</v>
      </c>
      <c r="P5" s="20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20">
        <f ca="1">VLOOKUP($L5,OFFSET([3]enemies!$A$1,0,0,COUNTA([3]enemies!$A:$A),MATCH(Q$1,[3]enemies!$1:$1,0)-MATCH($L$1,[3]enemies!$1:$1,0)+1),MATCH(Q$1,[3]enemies!$1:$1,0)-MATCH($L$1,[3]enemies!$1:$1,0)+1,FALSE)</f>
        <v>20</v>
      </c>
      <c r="R5" s="100">
        <v>10</v>
      </c>
      <c r="S5" s="101">
        <v>0.2</v>
      </c>
      <c r="T5" s="101">
        <v>50</v>
      </c>
      <c r="U5" s="102">
        <v>-30889</v>
      </c>
      <c r="V5" s="5" t="str">
        <f ca="1">VLOOKUP($W5,OFFSET(enemy_skill_sets!$B$1,0,0,COUNTA(enemy_skill_sets!$B:$B),MATCH(M$1,enemy_skill_sets!$1:$1,0)-MATCH($W$1,enemy_skill_sets!$1:$1,0)+2),MATCH(M$1,enemy_skill_sets!$1:$1,0)-MATCH($W$1,enemy_skill_sets!$1:$1,0)+2,FALSE)</f>
        <v>なんと ジェントルがあらわれた！</v>
      </c>
      <c r="W5" s="57">
        <v>14001012</v>
      </c>
      <c r="X5" s="7">
        <v>0</v>
      </c>
      <c r="Y5" s="7">
        <v>33</v>
      </c>
      <c r="Z5" s="7">
        <v>1</v>
      </c>
      <c r="AA5" s="58">
        <v>2</v>
      </c>
      <c r="AB5" s="2">
        <f t="shared" ref="AB5" si="8">L5</f>
        <v>335</v>
      </c>
      <c r="AC5" s="5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炎のメタルジェントル</v>
      </c>
      <c r="AD5" s="5">
        <f ca="1">VLOOKUP($AB5,OFFSET([4]characters!$A$1,0,0,COUNTA([4]characters!$A:$A),MATCH(AD$1,[4]characters!$1:$1,0)-MATCH("character_id",[4]characters!$1:$1,0)+1),MATCH(AD$1,[4]characters!$1:$1,0)-MATCH("character_id",[4]characters!$1:$1,0)+1,FALSE)</f>
        <v>6</v>
      </c>
      <c r="AE5" s="5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" s="8">
        <v>1</v>
      </c>
      <c r="AG5" s="27">
        <f t="shared" ref="AG5" ca="1" si="9">AD5</f>
        <v>6</v>
      </c>
      <c r="AH5" s="9">
        <v>100</v>
      </c>
      <c r="AI5" s="8">
        <v>0</v>
      </c>
      <c r="AJ5" s="8">
        <v>0</v>
      </c>
      <c r="AK5" s="8">
        <v>0</v>
      </c>
      <c r="AL5" s="8">
        <v>0</v>
      </c>
      <c r="AM5" s="8">
        <v>1</v>
      </c>
    </row>
    <row r="6" spans="1:39" ht="21" customHeight="1" x14ac:dyDescent="0.15">
      <c r="A6" s="17" t="str">
        <f t="shared" ref="A6" si="10">B6&amp;"_"&amp;C6&amp;"-"&amp;G6&amp;"/"&amp;L6&amp;"&lt;lv"&amp;R6&amp;"&gt;s"&amp;AA6</f>
        <v>14001_4-2/333&lt;lv10&gt;s1</v>
      </c>
      <c r="B6" s="65">
        <v>14001</v>
      </c>
      <c r="C6" s="67">
        <v>4</v>
      </c>
      <c r="D6" s="67" t="str">
        <f t="shared" ref="D6" si="11">B6&amp;"_"&amp;C6</f>
        <v>14001_4</v>
      </c>
      <c r="E6" s="64" t="str">
        <f ca="1">VLOOKUP($B6,OFFSET([2]quests!$A$1,0,0,COUNTA([2]quests!$A:$A),MATCH(E$1,[2]quests!$1:$1,0)-MATCH($B$1,[2]quests!$1:$1,0)+1),MATCH(E$1,[2]quests!$1:$1,0)-MATCH($B$1,[2]quests!$1:$1,0)+1,FALSE)</f>
        <v>【ロック】経験値/ソロ</v>
      </c>
      <c r="F6" s="64" t="str">
        <f ca="1">VLOOKUP($D6,OFFSET([2]stages!$A$1,0,0,COUNTA([2]stages!$A:$A),MATCH(F$1,[2]stages!$2:$2,0)-MATCH($D$1,[2]stages!$2:$2,0)+1),MATCH(F$1,[2]stages!$2:$2,0)-MATCH($D$1,[2]stages!$2:$2,0)+1,FALSE)</f>
        <v>【超級】炎ファミリー（ハートなし）</v>
      </c>
      <c r="G6" s="67">
        <v>2</v>
      </c>
      <c r="H6" s="16" t="str">
        <f t="shared" ref="H6" si="12">B6&amp;"_"&amp;C6&amp;"-"&amp;G6</f>
        <v>14001_4-2</v>
      </c>
      <c r="I6" s="5">
        <f ca="1">VLOOKUP($H6,OFFSET(floors!$A$1,0,0,COUNTA(floors!$A:$A),MATCH(I$1,floors!$1:$1,0)-MATCH($H$1,floors!$1:$1,0)+1),MATCH(I$1,floors!$1:$1,0)-MATCH($H$1,floors!$1:$1,0)+1,FALSE)</f>
        <v>30</v>
      </c>
      <c r="J6" s="5">
        <f ca="1">VLOOKUP($H6,OFFSET(floors!$A$1,0,0,COUNTA(floors!$A:$A),MATCH(J$1,floors!$1:$1,0)-MATCH($H$1,floors!$1:$1,0)+1),MATCH(J$1,floors!$1:$1,0)-MATCH($H$1,floors!$1:$1,0)+1,FALSE)</f>
        <v>41</v>
      </c>
      <c r="K6" s="8" t="s">
        <v>142</v>
      </c>
      <c r="L6" s="24">
        <v>333</v>
      </c>
      <c r="M6" s="20" t="str">
        <f ca="1">VLOOKUP($L6,OFFSET([3]enemies!$A$1,0,0,COUNTA([3]enemies!$A:$A),MATCH(M$1,[3]enemies!$1:$1,0)-MATCH($L$1,[3]enemies!$1:$1,0)+1),MATCH(M$1,[3]enemies!$1:$1,0)-MATCH($L$1,[3]enemies!$1:$1,0)+1,FALSE)</f>
        <v>炎のメタルチック</v>
      </c>
      <c r="N6" s="20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20" t="str">
        <f ca="1">VLOOKUP($L6,OFFSET([4]characters!$A$1,0,0,COUNTA([4]characters!$A:$A),MATCH(O$1,[4]characters!$1:$1,0)-MATCH($L$1,[4]characters!$1:$1,0)+1),MATCH(O$1,[4]characters!$1:$1,0)-MATCH($L$1,[4]characters!$1:$1,0)+1,FALSE)</f>
        <v>Material</v>
      </c>
      <c r="P6" s="20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20">
        <f ca="1">VLOOKUP($L6,OFFSET([3]enemies!$A$1,0,0,COUNTA([3]enemies!$A:$A),MATCH(Q$1,[3]enemies!$1:$1,0)-MATCH($L$1,[3]enemies!$1:$1,0)+1),MATCH(Q$1,[3]enemies!$1:$1,0)-MATCH($L$1,[3]enemies!$1:$1,0)+1,FALSE)</f>
        <v>15</v>
      </c>
      <c r="R6" s="6">
        <v>10</v>
      </c>
      <c r="S6" s="29">
        <v>0.4</v>
      </c>
      <c r="T6" s="29">
        <v>40</v>
      </c>
      <c r="U6" s="6">
        <v>-2845</v>
      </c>
      <c r="V6" s="5" t="str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" s="5">
        <f ca="1">VLOOKUP($L6,OFFSET([3]enemies!$A$1,0,0,COUNTA([3]enemies!$A:$A),MATCH(W$1,[3]enemies!$1:$1,0)-MATCH($L$1,[3]enemies!$1:$1,0)+1),MATCH(W$1,[3]enemies!$1:$1,0)-MATCH($L$1,[3]enemies!$1:$1,0)+1,FALSE)</f>
        <v>0</v>
      </c>
      <c r="X6" s="7">
        <v>0</v>
      </c>
      <c r="Y6" s="7">
        <v>100</v>
      </c>
      <c r="Z6" s="7">
        <v>0</v>
      </c>
      <c r="AA6" s="58">
        <v>1</v>
      </c>
      <c r="AB6" s="2">
        <f t="shared" ref="AB6" si="13">L6</f>
        <v>333</v>
      </c>
      <c r="AC6" s="5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6" s="5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5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" s="8">
        <v>1</v>
      </c>
      <c r="AG6" s="27">
        <f t="shared" ref="AG6" ca="1" si="14">AD6</f>
        <v>4</v>
      </c>
      <c r="AH6" s="9">
        <v>0</v>
      </c>
      <c r="AI6" s="8">
        <v>0</v>
      </c>
      <c r="AJ6" s="8">
        <v>0</v>
      </c>
      <c r="AK6" s="8">
        <v>0</v>
      </c>
      <c r="AL6" s="8">
        <v>0</v>
      </c>
      <c r="AM6" s="8">
        <v>1</v>
      </c>
    </row>
    <row r="7" spans="1:39" ht="21" customHeight="1" x14ac:dyDescent="0.15">
      <c r="A7" s="17" t="str">
        <f t="shared" ref="A7" si="15">B7&amp;"_"&amp;C7&amp;"-"&amp;G7&amp;"/"&amp;L7&amp;"&lt;lv"&amp;R7&amp;"&gt;s"&amp;AA7</f>
        <v>14001_4-2/334&lt;lv10&gt;s2</v>
      </c>
      <c r="B7" s="65">
        <v>14001</v>
      </c>
      <c r="C7" s="67">
        <v>4</v>
      </c>
      <c r="D7" s="67" t="str">
        <f t="shared" ref="D7" si="16">B7&amp;"_"&amp;C7</f>
        <v>14001_4</v>
      </c>
      <c r="E7" s="64" t="str">
        <f ca="1">VLOOKUP($B7,OFFSET([2]quests!$A$1,0,0,COUNTA([2]quests!$A:$A),MATCH(E$1,[2]quests!$1:$1,0)-MATCH($B$1,[2]quests!$1:$1,0)+1),MATCH(E$1,[2]quests!$1:$1,0)-MATCH($B$1,[2]quests!$1:$1,0)+1,FALSE)</f>
        <v>【ロック】経験値/ソロ</v>
      </c>
      <c r="F7" s="64" t="str">
        <f ca="1">VLOOKUP($D7,OFFSET([2]stages!$A$1,0,0,COUNTA([2]stages!$A:$A),MATCH(F$1,[2]stages!$2:$2,0)-MATCH($D$1,[2]stages!$2:$2,0)+1),MATCH(F$1,[2]stages!$2:$2,0)-MATCH($D$1,[2]stages!$2:$2,0)+1,FALSE)</f>
        <v>【超級】炎ファミリー（ハートなし）</v>
      </c>
      <c r="G7" s="67">
        <v>2</v>
      </c>
      <c r="H7" s="16" t="str">
        <f t="shared" ref="H7" si="17">B7&amp;"_"&amp;C7&amp;"-"&amp;G7</f>
        <v>14001_4-2</v>
      </c>
      <c r="I7" s="5">
        <f ca="1">VLOOKUP($H7,OFFSET(floors!$A$1,0,0,COUNTA(floors!$A:$A),MATCH(I$1,floors!$1:$1,0)-MATCH($H$1,floors!$1:$1,0)+1),MATCH(I$1,floors!$1:$1,0)-MATCH($H$1,floors!$1:$1,0)+1,FALSE)</f>
        <v>30</v>
      </c>
      <c r="J7" s="5">
        <f ca="1">VLOOKUP($H7,OFFSET(floors!$A$1,0,0,COUNTA(floors!$A:$A),MATCH(J$1,floors!$1:$1,0)-MATCH($H$1,floors!$1:$1,0)+1),MATCH(J$1,floors!$1:$1,0)-MATCH($H$1,floors!$1:$1,0)+1,FALSE)</f>
        <v>41</v>
      </c>
      <c r="K7" s="8" t="s">
        <v>142</v>
      </c>
      <c r="L7" s="24">
        <v>334</v>
      </c>
      <c r="M7" s="20" t="str">
        <f ca="1">VLOOKUP($L7,OFFSET([3]enemies!$A$1,0,0,COUNTA([3]enemies!$A:$A),MATCH(M$1,[3]enemies!$1:$1,0)-MATCH($L$1,[3]enemies!$1:$1,0)+1),MATCH(M$1,[3]enemies!$1:$1,0)-MATCH($L$1,[3]enemies!$1:$1,0)+1,FALSE)</f>
        <v>炎のメタルダック</v>
      </c>
      <c r="N7" s="20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20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20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20">
        <f ca="1">VLOOKUP($L7,OFFSET([3]enemies!$A$1,0,0,COUNTA([3]enemies!$A:$A),MATCH(Q$1,[3]enemies!$1:$1,0)-MATCH($L$1,[3]enemies!$1:$1,0)+1),MATCH(Q$1,[3]enemies!$1:$1,0)-MATCH($L$1,[3]enemies!$1:$1,0)+1,FALSE)</f>
        <v>20</v>
      </c>
      <c r="R7" s="6">
        <v>10</v>
      </c>
      <c r="S7" s="29">
        <v>0.4</v>
      </c>
      <c r="T7" s="29">
        <v>40</v>
      </c>
      <c r="U7" s="6">
        <v>-20223</v>
      </c>
      <c r="V7" s="5" t="str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" s="5">
        <f ca="1">VLOOKUP($L7,OFFSET([3]enemies!$A$1,0,0,COUNTA([3]enemies!$A:$A),MATCH(W$1,[3]enemies!$1:$1,0)-MATCH($L$1,[3]enemies!$1:$1,0)+1),MATCH(W$1,[3]enemies!$1:$1,0)-MATCH($L$1,[3]enemies!$1:$1,0)+1,FALSE)</f>
        <v>0</v>
      </c>
      <c r="X7" s="7">
        <v>1</v>
      </c>
      <c r="Y7" s="7">
        <v>0</v>
      </c>
      <c r="Z7" s="7">
        <v>1</v>
      </c>
      <c r="AA7" s="58">
        <v>2</v>
      </c>
      <c r="AB7" s="2">
        <f t="shared" ref="AB7" si="18">L7</f>
        <v>334</v>
      </c>
      <c r="AC7" s="5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7" s="5">
        <f ca="1">VLOOKUP($AB7,OFFSET([4]characters!$A$1,0,0,COUNTA([4]characters!$A:$A),MATCH(AD$1,[4]characters!$1:$1,0)-MATCH("character_id",[4]characters!$1:$1,0)+1),MATCH(AD$1,[4]characters!$1:$1,0)-MATCH("character_id",[4]characters!$1:$1,0)+1,FALSE)</f>
        <v>5</v>
      </c>
      <c r="AE7" s="5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" s="8">
        <v>1</v>
      </c>
      <c r="AG7" s="27">
        <f t="shared" ref="AG7" ca="1" si="19">AD7</f>
        <v>5</v>
      </c>
      <c r="AH7" s="9">
        <v>100</v>
      </c>
      <c r="AI7" s="8">
        <v>0</v>
      </c>
      <c r="AJ7" s="8">
        <v>0</v>
      </c>
      <c r="AK7" s="8">
        <v>0</v>
      </c>
      <c r="AL7" s="8">
        <v>0</v>
      </c>
      <c r="AM7" s="8">
        <v>1</v>
      </c>
    </row>
    <row r="8" spans="1:39" ht="21" customHeight="1" x14ac:dyDescent="0.15">
      <c r="A8" s="17" t="str">
        <f>B8&amp;"_"&amp;C8&amp;"-"&amp;G8&amp;"/"&amp;L8&amp;"&lt;lv"&amp;R8&amp;"&gt;s"&amp;AA8</f>
        <v>14001_4-3/333&lt;lv10&gt;s1</v>
      </c>
      <c r="B8" s="65">
        <v>14001</v>
      </c>
      <c r="C8" s="67">
        <v>4</v>
      </c>
      <c r="D8" s="67" t="str">
        <f>B8&amp;"_"&amp;C8</f>
        <v>14001_4</v>
      </c>
      <c r="E8" s="64" t="str">
        <f ca="1">VLOOKUP($B8,OFFSET([2]quests!$A$1,0,0,COUNTA([2]quests!$A:$A),MATCH(E$1,[2]quests!$1:$1,0)-MATCH($B$1,[2]quests!$1:$1,0)+1),MATCH(E$1,[2]quests!$1:$1,0)-MATCH($B$1,[2]quests!$1:$1,0)+1,FALSE)</f>
        <v>【ロック】経験値/ソロ</v>
      </c>
      <c r="F8" s="64" t="str">
        <f ca="1">VLOOKUP($D8,OFFSET([2]stages!$A$1,0,0,COUNTA([2]stages!$A:$A),MATCH(F$1,[2]stages!$2:$2,0)-MATCH($D$1,[2]stages!$2:$2,0)+1),MATCH(F$1,[2]stages!$2:$2,0)-MATCH($D$1,[2]stages!$2:$2,0)+1,FALSE)</f>
        <v>【超級】炎ファミリー（ハートなし）</v>
      </c>
      <c r="G8" s="67">
        <v>3</v>
      </c>
      <c r="H8" s="16" t="str">
        <f>B8&amp;"_"&amp;C8&amp;"-"&amp;G8</f>
        <v>14001_4-3</v>
      </c>
      <c r="I8" s="5">
        <f ca="1">VLOOKUP($H8,OFFSET(floors!$A$1,0,0,COUNTA(floors!$A:$A),MATCH(I$1,floors!$1:$1,0)-MATCH($H$1,floors!$1:$1,0)+1),MATCH(I$1,floors!$1:$1,0)-MATCH($H$1,floors!$1:$1,0)+1,FALSE)</f>
        <v>50</v>
      </c>
      <c r="J8" s="5">
        <f ca="1">VLOOKUP($H8,OFFSET(floors!$A$1,0,0,COUNTA(floors!$A:$A),MATCH(J$1,floors!$1:$1,0)-MATCH($H$1,floors!$1:$1,0)+1),MATCH(J$1,floors!$1:$1,0)-MATCH($H$1,floors!$1:$1,0)+1,FALSE)</f>
        <v>50</v>
      </c>
      <c r="K8" s="8" t="s">
        <v>142</v>
      </c>
      <c r="L8" s="24">
        <v>333</v>
      </c>
      <c r="M8" s="20" t="str">
        <f ca="1">VLOOKUP($L8,OFFSET([3]enemies!$A$1,0,0,COUNTA([3]enemies!$A:$A),MATCH(M$1,[3]enemies!$1:$1,0)-MATCH($L$1,[3]enemies!$1:$1,0)+1),MATCH(M$1,[3]enemies!$1:$1,0)-MATCH($L$1,[3]enemies!$1:$1,0)+1,FALSE)</f>
        <v>炎のメタルチック</v>
      </c>
      <c r="N8" s="20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20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20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20">
        <f ca="1">VLOOKUP($L8,OFFSET([3]enemies!$A$1,0,0,COUNTA([3]enemies!$A:$A),MATCH(Q$1,[3]enemies!$1:$1,0)-MATCH($L$1,[3]enemies!$1:$1,0)+1),MATCH(Q$1,[3]enemies!$1:$1,0)-MATCH($L$1,[3]enemies!$1:$1,0)+1,FALSE)</f>
        <v>15</v>
      </c>
      <c r="R8" s="6">
        <v>10</v>
      </c>
      <c r="S8" s="29">
        <v>0.4</v>
      </c>
      <c r="T8" s="29">
        <v>40</v>
      </c>
      <c r="U8" s="6">
        <v>-2845</v>
      </c>
      <c r="V8" s="5" t="str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" s="5">
        <f ca="1">VLOOKUP($L8,OFFSET([3]enemies!$A$1,0,0,COUNTA([3]enemies!$A:$A),MATCH(W$1,[3]enemies!$1:$1,0)-MATCH($L$1,[3]enemies!$1:$1,0)+1),MATCH(W$1,[3]enemies!$1:$1,0)-MATCH($L$1,[3]enemies!$1:$1,0)+1,FALSE)</f>
        <v>0</v>
      </c>
      <c r="X8" s="7">
        <v>0</v>
      </c>
      <c r="Y8" s="7">
        <v>100</v>
      </c>
      <c r="Z8" s="7">
        <v>0</v>
      </c>
      <c r="AA8" s="58">
        <v>1</v>
      </c>
      <c r="AB8" s="2">
        <f>L8</f>
        <v>333</v>
      </c>
      <c r="AC8" s="5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8" s="5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5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" s="8">
        <v>1</v>
      </c>
      <c r="AG8" s="27">
        <f ca="1">AD8</f>
        <v>4</v>
      </c>
      <c r="AH8" s="9">
        <v>0</v>
      </c>
      <c r="AI8" s="8">
        <v>0</v>
      </c>
      <c r="AJ8" s="8">
        <v>0</v>
      </c>
      <c r="AK8" s="8">
        <v>0</v>
      </c>
      <c r="AL8" s="8">
        <v>0</v>
      </c>
      <c r="AM8" s="8">
        <v>1</v>
      </c>
    </row>
    <row r="9" spans="1:39" ht="21" customHeight="1" x14ac:dyDescent="0.15">
      <c r="A9" s="17" t="str">
        <f t="shared" ref="A9" si="20">B9&amp;"_"&amp;C9&amp;"-"&amp;G9&amp;"/"&amp;L9&amp;"&lt;lv"&amp;R9&amp;"&gt;s"&amp;AA9</f>
        <v>14001_4-3/334&lt;lv10&gt;s2</v>
      </c>
      <c r="B9" s="65">
        <v>14001</v>
      </c>
      <c r="C9" s="67">
        <v>4</v>
      </c>
      <c r="D9" s="67" t="str">
        <f t="shared" ref="D9" si="21">B9&amp;"_"&amp;C9</f>
        <v>14001_4</v>
      </c>
      <c r="E9" s="64" t="str">
        <f ca="1">VLOOKUP($B9,OFFSET([2]quests!$A$1,0,0,COUNTA([2]quests!$A:$A),MATCH(E$1,[2]quests!$1:$1,0)-MATCH($B$1,[2]quests!$1:$1,0)+1),MATCH(E$1,[2]quests!$1:$1,0)-MATCH($B$1,[2]quests!$1:$1,0)+1,FALSE)</f>
        <v>【ロック】経験値/ソロ</v>
      </c>
      <c r="F9" s="64" t="str">
        <f ca="1">VLOOKUP($D9,OFFSET([2]stages!$A$1,0,0,COUNTA([2]stages!$A:$A),MATCH(F$1,[2]stages!$2:$2,0)-MATCH($D$1,[2]stages!$2:$2,0)+1),MATCH(F$1,[2]stages!$2:$2,0)-MATCH($D$1,[2]stages!$2:$2,0)+1,FALSE)</f>
        <v>【超級】炎ファミリー（ハートなし）</v>
      </c>
      <c r="G9" s="67">
        <v>3</v>
      </c>
      <c r="H9" s="16" t="str">
        <f t="shared" ref="H9" si="22">B9&amp;"_"&amp;C9&amp;"-"&amp;G9</f>
        <v>14001_4-3</v>
      </c>
      <c r="I9" s="5">
        <f ca="1">VLOOKUP($H9,OFFSET(floors!$A$1,0,0,COUNTA(floors!$A:$A),MATCH(I$1,floors!$1:$1,0)-MATCH($H$1,floors!$1:$1,0)+1),MATCH(I$1,floors!$1:$1,0)-MATCH($H$1,floors!$1:$1,0)+1,FALSE)</f>
        <v>50</v>
      </c>
      <c r="J9" s="5">
        <f ca="1">VLOOKUP($H9,OFFSET(floors!$A$1,0,0,COUNTA(floors!$A:$A),MATCH(J$1,floors!$1:$1,0)-MATCH($H$1,floors!$1:$1,0)+1),MATCH(J$1,floors!$1:$1,0)-MATCH($H$1,floors!$1:$1,0)+1,FALSE)</f>
        <v>50</v>
      </c>
      <c r="K9" s="8" t="s">
        <v>142</v>
      </c>
      <c r="L9" s="24">
        <v>334</v>
      </c>
      <c r="M9" s="20" t="str">
        <f ca="1">VLOOKUP($L9,OFFSET([3]enemies!$A$1,0,0,COUNTA([3]enemies!$A:$A),MATCH(M$1,[3]enemies!$1:$1,0)-MATCH($L$1,[3]enemies!$1:$1,0)+1),MATCH(M$1,[3]enemies!$1:$1,0)-MATCH($L$1,[3]enemies!$1:$1,0)+1,FALSE)</f>
        <v>炎のメタルダック</v>
      </c>
      <c r="N9" s="20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20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20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20">
        <f ca="1">VLOOKUP($L9,OFFSET([3]enemies!$A$1,0,0,COUNTA([3]enemies!$A:$A),MATCH(Q$1,[3]enemies!$1:$1,0)-MATCH($L$1,[3]enemies!$1:$1,0)+1),MATCH(Q$1,[3]enemies!$1:$1,0)-MATCH($L$1,[3]enemies!$1:$1,0)+1,FALSE)</f>
        <v>20</v>
      </c>
      <c r="R9" s="6">
        <v>10</v>
      </c>
      <c r="S9" s="29">
        <v>0.4</v>
      </c>
      <c r="T9" s="29">
        <v>40</v>
      </c>
      <c r="U9" s="6">
        <v>-20223</v>
      </c>
      <c r="V9" s="5" t="str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" s="5">
        <f ca="1">VLOOKUP($L9,OFFSET([3]enemies!$A$1,0,0,COUNTA([3]enemies!$A:$A),MATCH(W$1,[3]enemies!$1:$1,0)-MATCH($L$1,[3]enemies!$1:$1,0)+1),MATCH(W$1,[3]enemies!$1:$1,0)-MATCH($L$1,[3]enemies!$1:$1,0)+1,FALSE)</f>
        <v>0</v>
      </c>
      <c r="X9" s="7">
        <v>0</v>
      </c>
      <c r="Y9" s="7">
        <v>34</v>
      </c>
      <c r="Z9" s="7">
        <v>1</v>
      </c>
      <c r="AA9" s="58">
        <v>2</v>
      </c>
      <c r="AB9" s="2">
        <f t="shared" ref="AB9" si="23">L9</f>
        <v>334</v>
      </c>
      <c r="AC9" s="5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9" s="5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5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8">
        <v>1</v>
      </c>
      <c r="AG9" s="27">
        <f t="shared" ref="AG9" ca="1" si="24">AD9</f>
        <v>5</v>
      </c>
      <c r="AH9" s="9">
        <v>100</v>
      </c>
      <c r="AI9" s="8">
        <v>0</v>
      </c>
      <c r="AJ9" s="8">
        <v>0</v>
      </c>
      <c r="AK9" s="8">
        <v>0</v>
      </c>
      <c r="AL9" s="8">
        <v>0</v>
      </c>
      <c r="AM9" s="8">
        <v>1</v>
      </c>
    </row>
    <row r="10" spans="1:39" ht="21" customHeight="1" x14ac:dyDescent="0.15">
      <c r="A10" s="17" t="str">
        <f t="shared" ref="A10:A14" si="25">B10&amp;"_"&amp;C10&amp;"-"&amp;G10&amp;"/"&amp;L10&amp;"&lt;lv"&amp;R10&amp;"&gt;s"&amp;AA10</f>
        <v>14001_4-3/335&lt;lv10&gt;s2</v>
      </c>
      <c r="B10" s="65">
        <v>14001</v>
      </c>
      <c r="C10" s="67">
        <v>4</v>
      </c>
      <c r="D10" s="67" t="str">
        <f t="shared" ref="D10:D14" si="26">B10&amp;"_"&amp;C10</f>
        <v>14001_4</v>
      </c>
      <c r="E10" s="64" t="str">
        <f ca="1">VLOOKUP($B10,OFFSET([2]quests!$A$1,0,0,COUNTA([2]quests!$A:$A),MATCH(E$1,[2]quests!$1:$1,0)-MATCH($B$1,[2]quests!$1:$1,0)+1),MATCH(E$1,[2]quests!$1:$1,0)-MATCH($B$1,[2]quests!$1:$1,0)+1,FALSE)</f>
        <v>【ロック】経験値/ソロ</v>
      </c>
      <c r="F10" s="64" t="str">
        <f ca="1">VLOOKUP($D10,OFFSET([2]stages!$A$1,0,0,COUNTA([2]stages!$A:$A),MATCH(F$1,[2]stages!$2:$2,0)-MATCH($D$1,[2]stages!$2:$2,0)+1),MATCH(F$1,[2]stages!$2:$2,0)-MATCH($D$1,[2]stages!$2:$2,0)+1,FALSE)</f>
        <v>【超級】炎ファミリー（ハートなし）</v>
      </c>
      <c r="G10" s="67">
        <v>3</v>
      </c>
      <c r="H10" s="16" t="str">
        <f t="shared" ref="H10:H14" si="27">B10&amp;"_"&amp;C10&amp;"-"&amp;G10</f>
        <v>14001_4-3</v>
      </c>
      <c r="I10" s="5">
        <f ca="1">VLOOKUP($H10,OFFSET(floors!$A$1,0,0,COUNTA(floors!$A:$A),MATCH(I$1,floors!$1:$1,0)-MATCH($H$1,floors!$1:$1,0)+1),MATCH(I$1,floors!$1:$1,0)-MATCH($H$1,floors!$1:$1,0)+1,FALSE)</f>
        <v>50</v>
      </c>
      <c r="J10" s="5">
        <f ca="1">VLOOKUP($H10,OFFSET(floors!$A$1,0,0,COUNTA(floors!$A:$A),MATCH(J$1,floors!$1:$1,0)-MATCH($H$1,floors!$1:$1,0)+1),MATCH(J$1,floors!$1:$1,0)-MATCH($H$1,floors!$1:$1,0)+1,FALSE)</f>
        <v>50</v>
      </c>
      <c r="K10" s="8" t="s">
        <v>142</v>
      </c>
      <c r="L10" s="24">
        <v>335</v>
      </c>
      <c r="M10" s="20" t="str">
        <f ca="1">VLOOKUP($L10,OFFSET([3]enemies!$A$1,0,0,COUNTA([3]enemies!$A:$A),MATCH(M$1,[3]enemies!$1:$1,0)-MATCH($L$1,[3]enemies!$1:$1,0)+1),MATCH(M$1,[3]enemies!$1:$1,0)-MATCH($L$1,[3]enemies!$1:$1,0)+1,FALSE)</f>
        <v>炎のメタルジェントル</v>
      </c>
      <c r="N10" s="20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20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20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20">
        <f ca="1">VLOOKUP($L10,OFFSET([3]enemies!$A$1,0,0,COUNTA([3]enemies!$A:$A),MATCH(Q$1,[3]enemies!$1:$1,0)-MATCH($L$1,[3]enemies!$1:$1,0)+1),MATCH(Q$1,[3]enemies!$1:$1,0)-MATCH($L$1,[3]enemies!$1:$1,0)+1,FALSE)</f>
        <v>20</v>
      </c>
      <c r="R10" s="100">
        <v>10</v>
      </c>
      <c r="S10" s="101">
        <v>0.2</v>
      </c>
      <c r="T10" s="101">
        <v>50</v>
      </c>
      <c r="U10" s="102">
        <v>-30889</v>
      </c>
      <c r="V10" s="5" t="str">
        <f ca="1">VLOOKUP($W10,OFFSET(enemy_skill_sets!$B$1,0,0,COUNTA(enemy_skill_sets!$B:$B),MATCH(M$1,enemy_skill_sets!$1:$1,0)-MATCH($W$1,enemy_skill_sets!$1:$1,0)+2),MATCH(M$1,enemy_skill_sets!$1:$1,0)-MATCH($W$1,enemy_skill_sets!$1:$1,0)+2,FALSE)</f>
        <v>なんと ジェントルがあらわれた！</v>
      </c>
      <c r="W10" s="57">
        <v>14001030</v>
      </c>
      <c r="X10" s="7">
        <v>0</v>
      </c>
      <c r="Y10" s="7">
        <v>66</v>
      </c>
      <c r="Z10" s="7">
        <v>1</v>
      </c>
      <c r="AA10" s="58">
        <v>2</v>
      </c>
      <c r="AB10" s="2">
        <f t="shared" ref="AB10" si="28">L10</f>
        <v>335</v>
      </c>
      <c r="AC10" s="5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炎のメタルジェントル</v>
      </c>
      <c r="AD10" s="5">
        <f ca="1">VLOOKUP($AB10,OFFSET([4]characters!$A$1,0,0,COUNTA([4]characters!$A:$A),MATCH(AD$1,[4]characters!$1:$1,0)-MATCH("character_id",[4]characters!$1:$1,0)+1),MATCH(AD$1,[4]characters!$1:$1,0)-MATCH("character_id",[4]characters!$1:$1,0)+1,FALSE)</f>
        <v>6</v>
      </c>
      <c r="AE10" s="5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" s="8">
        <v>1</v>
      </c>
      <c r="AG10" s="27">
        <f t="shared" ref="AG10:AG14" ca="1" si="29">AD10</f>
        <v>6</v>
      </c>
      <c r="AH10" s="9">
        <v>100</v>
      </c>
      <c r="AI10" s="8">
        <v>0</v>
      </c>
      <c r="AJ10" s="8">
        <v>0</v>
      </c>
      <c r="AK10" s="8">
        <v>0</v>
      </c>
      <c r="AL10" s="8">
        <v>0</v>
      </c>
      <c r="AM10" s="8">
        <v>1</v>
      </c>
    </row>
    <row r="11" spans="1:39" ht="21" customHeight="1" x14ac:dyDescent="0.15">
      <c r="A11" s="17" t="str">
        <f t="shared" ref="A11:A12" si="30">B11&amp;"_"&amp;C11&amp;"-"&amp;G11&amp;"/"&amp;L11&amp;"&lt;lv"&amp;R11&amp;"&gt;s"&amp;AA11</f>
        <v>14001_4-4/334&lt;lv10&gt;s2</v>
      </c>
      <c r="B11" s="65">
        <v>14001</v>
      </c>
      <c r="C11" s="67">
        <v>4</v>
      </c>
      <c r="D11" s="67" t="str">
        <f t="shared" ref="D11:D12" si="31">B11&amp;"_"&amp;C11</f>
        <v>14001_4</v>
      </c>
      <c r="E11" s="64" t="str">
        <f ca="1">VLOOKUP($B11,OFFSET([2]quests!$A$1,0,0,COUNTA([2]quests!$A:$A),MATCH(E$1,[2]quests!$1:$1,0)-MATCH($B$1,[2]quests!$1:$1,0)+1),MATCH(E$1,[2]quests!$1:$1,0)-MATCH($B$1,[2]quests!$1:$1,0)+1,FALSE)</f>
        <v>【ロック】経験値/ソロ</v>
      </c>
      <c r="F11" s="64" t="str">
        <f ca="1">VLOOKUP($D11,OFFSET([2]stages!$A$1,0,0,COUNTA([2]stages!$A:$A),MATCH(F$1,[2]stages!$2:$2,0)-MATCH($D$1,[2]stages!$2:$2,0)+1),MATCH(F$1,[2]stages!$2:$2,0)-MATCH($D$1,[2]stages!$2:$2,0)+1,FALSE)</f>
        <v>【超級】炎ファミリー（ハートなし）</v>
      </c>
      <c r="G11" s="67">
        <v>4</v>
      </c>
      <c r="H11" s="16" t="str">
        <f t="shared" ref="H11:H12" si="32">B11&amp;"_"&amp;C11&amp;"-"&amp;G11</f>
        <v>14001_4-4</v>
      </c>
      <c r="I11" s="5">
        <f ca="1">VLOOKUP($H11,OFFSET(floors!$A$1,0,0,COUNTA(floors!$A:$A),MATCH(I$1,floors!$1:$1,0)-MATCH($H$1,floors!$1:$1,0)+1),MATCH(I$1,floors!$1:$1,0)-MATCH($H$1,floors!$1:$1,0)+1,FALSE)</f>
        <v>59</v>
      </c>
      <c r="J11" s="5">
        <f ca="1">VLOOKUP($H11,OFFSET(floors!$A$1,0,0,COUNTA(floors!$A:$A),MATCH(J$1,floors!$1:$1,0)-MATCH($H$1,floors!$1:$1,0)+1),MATCH(J$1,floors!$1:$1,0)-MATCH($H$1,floors!$1:$1,0)+1,FALSE)</f>
        <v>60</v>
      </c>
      <c r="K11" s="8" t="s">
        <v>142</v>
      </c>
      <c r="L11" s="24">
        <v>334</v>
      </c>
      <c r="M11" s="20" t="str">
        <f ca="1">VLOOKUP($L11,OFFSET([3]enemies!$A$1,0,0,COUNTA([3]enemies!$A:$A),MATCH(M$1,[3]enemies!$1:$1,0)-MATCH($L$1,[3]enemies!$1:$1,0)+1),MATCH(M$1,[3]enemies!$1:$1,0)-MATCH($L$1,[3]enemies!$1:$1,0)+1,FALSE)</f>
        <v>炎のメタルダック</v>
      </c>
      <c r="N11" s="20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20" t="str">
        <f ca="1">VLOOKUP($L11,OFFSET([4]characters!$A$1,0,0,COUNTA([4]characters!$A:$A),MATCH(O$1,[4]characters!$1:$1,0)-MATCH($L$1,[4]characters!$1:$1,0)+1),MATCH(O$1,[4]characters!$1:$1,0)-MATCH($L$1,[4]characters!$1:$1,0)+1,FALSE)</f>
        <v>Material</v>
      </c>
      <c r="P11" s="20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20">
        <f ca="1">VLOOKUP($L11,OFFSET([3]enemies!$A$1,0,0,COUNTA([3]enemies!$A:$A),MATCH(Q$1,[3]enemies!$1:$1,0)-MATCH($L$1,[3]enemies!$1:$1,0)+1),MATCH(Q$1,[3]enemies!$1:$1,0)-MATCH($L$1,[3]enemies!$1:$1,0)+1,FALSE)</f>
        <v>20</v>
      </c>
      <c r="R11" s="6">
        <v>10</v>
      </c>
      <c r="S11" s="29">
        <v>0.4</v>
      </c>
      <c r="T11" s="29">
        <v>40</v>
      </c>
      <c r="U11" s="6">
        <v>-20223</v>
      </c>
      <c r="V11" s="5" t="str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" s="5">
        <f ca="1">VLOOKUP($L11,OFFSET([3]enemies!$A$1,0,0,COUNTA([3]enemies!$A:$A),MATCH(W$1,[3]enemies!$1:$1,0)-MATCH($L$1,[3]enemies!$1:$1,0)+1),MATCH(W$1,[3]enemies!$1:$1,0)-MATCH($L$1,[3]enemies!$1:$1,0)+1,FALSE)</f>
        <v>0</v>
      </c>
      <c r="X11" s="7">
        <v>0</v>
      </c>
      <c r="Y11" s="7">
        <v>100</v>
      </c>
      <c r="Z11" s="7">
        <v>0</v>
      </c>
      <c r="AA11" s="58">
        <v>2</v>
      </c>
      <c r="AB11" s="2">
        <f t="shared" ref="AB11:AB12" si="33">L11</f>
        <v>334</v>
      </c>
      <c r="AC11" s="5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11" s="5">
        <f ca="1">VLOOKUP($AB11,OFFSET([4]characters!$A$1,0,0,COUNTA([4]characters!$A:$A),MATCH(AD$1,[4]characters!$1:$1,0)-MATCH("character_id",[4]characters!$1:$1,0)+1),MATCH(AD$1,[4]characters!$1:$1,0)-MATCH("character_id",[4]characters!$1:$1,0)+1,FALSE)</f>
        <v>5</v>
      </c>
      <c r="AE11" s="5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1" s="8">
        <v>1</v>
      </c>
      <c r="AG11" s="27">
        <f t="shared" ref="AG11:AG12" ca="1" si="34">AD11</f>
        <v>5</v>
      </c>
      <c r="AH11" s="9">
        <v>100</v>
      </c>
      <c r="AI11" s="8">
        <v>0</v>
      </c>
      <c r="AJ11" s="8">
        <v>0</v>
      </c>
      <c r="AK11" s="8">
        <v>0</v>
      </c>
      <c r="AL11" s="8">
        <v>0</v>
      </c>
      <c r="AM11" s="8">
        <v>1</v>
      </c>
    </row>
    <row r="12" spans="1:39" ht="21" customHeight="1" x14ac:dyDescent="0.15">
      <c r="A12" s="17" t="str">
        <f t="shared" si="30"/>
        <v>14001_4-5/333&lt;lv10&gt;s2</v>
      </c>
      <c r="B12" s="65">
        <v>14001</v>
      </c>
      <c r="C12" s="67">
        <v>4</v>
      </c>
      <c r="D12" s="67" t="str">
        <f t="shared" si="31"/>
        <v>14001_4</v>
      </c>
      <c r="E12" s="64" t="str">
        <f ca="1">VLOOKUP($B12,OFFSET([2]quests!$A$1,0,0,COUNTA([2]quests!$A:$A),MATCH(E$1,[2]quests!$1:$1,0)-MATCH($B$1,[2]quests!$1:$1,0)+1),MATCH(E$1,[2]quests!$1:$1,0)-MATCH($B$1,[2]quests!$1:$1,0)+1,FALSE)</f>
        <v>【ロック】経験値/ソロ</v>
      </c>
      <c r="F12" s="64" t="str">
        <f ca="1">VLOOKUP($D12,OFFSET([2]stages!$A$1,0,0,COUNTA([2]stages!$A:$A),MATCH(F$1,[2]stages!$2:$2,0)-MATCH($D$1,[2]stages!$2:$2,0)+1),MATCH(F$1,[2]stages!$2:$2,0)-MATCH($D$1,[2]stages!$2:$2,0)+1,FALSE)</f>
        <v>【超級】炎ファミリー（ハートなし）</v>
      </c>
      <c r="G12" s="67">
        <v>5</v>
      </c>
      <c r="H12" s="16" t="str">
        <f t="shared" si="32"/>
        <v>14001_4-5</v>
      </c>
      <c r="I12" s="5">
        <f ca="1">VLOOKUP($H12,OFFSET(floors!$A$1,0,0,COUNTA(floors!$A:$A),MATCH(I$1,floors!$1:$1,0)-MATCH($H$1,floors!$1:$1,0)+1),MATCH(I$1,floors!$1:$1,0)-MATCH($H$1,floors!$1:$1,0)+1,FALSE)</f>
        <v>55</v>
      </c>
      <c r="J12" s="5">
        <f ca="1">VLOOKUP($H12,OFFSET(floors!$A$1,0,0,COUNTA(floors!$A:$A),MATCH(J$1,floors!$1:$1,0)-MATCH($H$1,floors!$1:$1,0)+1),MATCH(J$1,floors!$1:$1,0)-MATCH($H$1,floors!$1:$1,0)+1,FALSE)</f>
        <v>55</v>
      </c>
      <c r="K12" s="8" t="s">
        <v>142</v>
      </c>
      <c r="L12" s="24">
        <v>333</v>
      </c>
      <c r="M12" s="20" t="str">
        <f ca="1">VLOOKUP($L12,OFFSET([3]enemies!$A$1,0,0,COUNTA([3]enemies!$A:$A),MATCH(M$1,[3]enemies!$1:$1,0)-MATCH($L$1,[3]enemies!$1:$1,0)+1),MATCH(M$1,[3]enemies!$1:$1,0)-MATCH($L$1,[3]enemies!$1:$1,0)+1,FALSE)</f>
        <v>炎のメタルチック</v>
      </c>
      <c r="N12" s="20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20" t="str">
        <f ca="1">VLOOKUP($L12,OFFSET([4]characters!$A$1,0,0,COUNTA([4]characters!$A:$A),MATCH(O$1,[4]characters!$1:$1,0)-MATCH($L$1,[4]characters!$1:$1,0)+1),MATCH(O$1,[4]characters!$1:$1,0)-MATCH($L$1,[4]characters!$1:$1,0)+1,FALSE)</f>
        <v>Material</v>
      </c>
      <c r="P12" s="20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20">
        <f ca="1">VLOOKUP($L12,OFFSET([3]enemies!$A$1,0,0,COUNTA([3]enemies!$A:$A),MATCH(Q$1,[3]enemies!$1:$1,0)-MATCH($L$1,[3]enemies!$1:$1,0)+1),MATCH(Q$1,[3]enemies!$1:$1,0)-MATCH($L$1,[3]enemies!$1:$1,0)+1,FALSE)</f>
        <v>15</v>
      </c>
      <c r="R12" s="6">
        <v>10</v>
      </c>
      <c r="S12" s="29">
        <v>0.4</v>
      </c>
      <c r="T12" s="29">
        <v>40</v>
      </c>
      <c r="U12" s="6">
        <v>-2845</v>
      </c>
      <c r="V12" s="5" t="str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" s="5">
        <f ca="1">VLOOKUP($L12,OFFSET([3]enemies!$A$1,0,0,COUNTA([3]enemies!$A:$A),MATCH(W$1,[3]enemies!$1:$1,0)-MATCH($L$1,[3]enemies!$1:$1,0)+1),MATCH(W$1,[3]enemies!$1:$1,0)-MATCH($L$1,[3]enemies!$1:$1,0)+1,FALSE)</f>
        <v>0</v>
      </c>
      <c r="X12" s="7">
        <v>1</v>
      </c>
      <c r="Y12" s="7">
        <v>0</v>
      </c>
      <c r="Z12" s="7">
        <v>2</v>
      </c>
      <c r="AA12" s="58">
        <v>2</v>
      </c>
      <c r="AB12" s="2">
        <f t="shared" si="33"/>
        <v>333</v>
      </c>
      <c r="AC12" s="5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12" s="5">
        <f ca="1">VLOOKUP($AB12,OFFSET([4]characters!$A$1,0,0,COUNTA([4]characters!$A:$A),MATCH(AD$1,[4]characters!$1:$1,0)-MATCH("character_id",[4]characters!$1:$1,0)+1),MATCH(AD$1,[4]characters!$1:$1,0)-MATCH("character_id",[4]characters!$1:$1,0)+1,FALSE)</f>
        <v>4</v>
      </c>
      <c r="AE12" s="5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2" s="8">
        <v>1</v>
      </c>
      <c r="AG12" s="27">
        <f t="shared" ca="1" si="34"/>
        <v>4</v>
      </c>
      <c r="AH12" s="9">
        <v>0</v>
      </c>
      <c r="AI12" s="8">
        <v>0</v>
      </c>
      <c r="AJ12" s="8">
        <v>0</v>
      </c>
      <c r="AK12" s="8">
        <v>0</v>
      </c>
      <c r="AL12" s="8">
        <v>0</v>
      </c>
      <c r="AM12" s="8">
        <v>1</v>
      </c>
    </row>
    <row r="13" spans="1:39" ht="21" customHeight="1" x14ac:dyDescent="0.15">
      <c r="A13" s="17" t="str">
        <f t="shared" ref="A13" si="35">B13&amp;"_"&amp;C13&amp;"-"&amp;G13&amp;"/"&amp;L13&amp;"&lt;lv"&amp;R13&amp;"&gt;s"&amp;AA13</f>
        <v>14001_4-5/334&lt;lv10&gt;s2</v>
      </c>
      <c r="B13" s="65">
        <v>14001</v>
      </c>
      <c r="C13" s="67">
        <v>4</v>
      </c>
      <c r="D13" s="67" t="str">
        <f t="shared" ref="D13" si="36">B13&amp;"_"&amp;C13</f>
        <v>14001_4</v>
      </c>
      <c r="E13" s="64" t="str">
        <f ca="1">VLOOKUP($B13,OFFSET([2]quests!$A$1,0,0,COUNTA([2]quests!$A:$A),MATCH(E$1,[2]quests!$1:$1,0)-MATCH($B$1,[2]quests!$1:$1,0)+1),MATCH(E$1,[2]quests!$1:$1,0)-MATCH($B$1,[2]quests!$1:$1,0)+1,FALSE)</f>
        <v>【ロック】経験値/ソロ</v>
      </c>
      <c r="F13" s="64" t="str">
        <f ca="1">VLOOKUP($D13,OFFSET([2]stages!$A$1,0,0,COUNTA([2]stages!$A:$A),MATCH(F$1,[2]stages!$2:$2,0)-MATCH($D$1,[2]stages!$2:$2,0)+1),MATCH(F$1,[2]stages!$2:$2,0)-MATCH($D$1,[2]stages!$2:$2,0)+1,FALSE)</f>
        <v>【超級】炎ファミリー（ハートなし）</v>
      </c>
      <c r="G13" s="67">
        <v>5</v>
      </c>
      <c r="H13" s="16" t="str">
        <f t="shared" ref="H13" si="37">B13&amp;"_"&amp;C13&amp;"-"&amp;G13</f>
        <v>14001_4-5</v>
      </c>
      <c r="I13" s="5">
        <f ca="1">VLOOKUP($H13,OFFSET(floors!$A$1,0,0,COUNTA(floors!$A:$A),MATCH(I$1,floors!$1:$1,0)-MATCH($H$1,floors!$1:$1,0)+1),MATCH(I$1,floors!$1:$1,0)-MATCH($H$1,floors!$1:$1,0)+1,FALSE)</f>
        <v>55</v>
      </c>
      <c r="J13" s="5">
        <f ca="1">VLOOKUP($H13,OFFSET(floors!$A$1,0,0,COUNTA(floors!$A:$A),MATCH(J$1,floors!$1:$1,0)-MATCH($H$1,floors!$1:$1,0)+1),MATCH(J$1,floors!$1:$1,0)-MATCH($H$1,floors!$1:$1,0)+1,FALSE)</f>
        <v>55</v>
      </c>
      <c r="K13" s="8" t="s">
        <v>142</v>
      </c>
      <c r="L13" s="24">
        <v>334</v>
      </c>
      <c r="M13" s="20" t="str">
        <f ca="1">VLOOKUP($L13,OFFSET([3]enemies!$A$1,0,0,COUNTA([3]enemies!$A:$A),MATCH(M$1,[3]enemies!$1:$1,0)-MATCH($L$1,[3]enemies!$1:$1,0)+1),MATCH(M$1,[3]enemies!$1:$1,0)-MATCH($L$1,[3]enemies!$1:$1,0)+1,FALSE)</f>
        <v>炎のメタルダック</v>
      </c>
      <c r="N13" s="20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20" t="str">
        <f ca="1">VLOOKUP($L13,OFFSET([4]characters!$A$1,0,0,COUNTA([4]characters!$A:$A),MATCH(O$1,[4]characters!$1:$1,0)-MATCH($L$1,[4]characters!$1:$1,0)+1),MATCH(O$1,[4]characters!$1:$1,0)-MATCH($L$1,[4]characters!$1:$1,0)+1,FALSE)</f>
        <v>Material</v>
      </c>
      <c r="P13" s="20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20">
        <f ca="1">VLOOKUP($L13,OFFSET([3]enemies!$A$1,0,0,COUNTA([3]enemies!$A:$A),MATCH(Q$1,[3]enemies!$1:$1,0)-MATCH($L$1,[3]enemies!$1:$1,0)+1),MATCH(Q$1,[3]enemies!$1:$1,0)-MATCH($L$1,[3]enemies!$1:$1,0)+1,FALSE)</f>
        <v>20</v>
      </c>
      <c r="R13" s="6">
        <v>10</v>
      </c>
      <c r="S13" s="29">
        <v>0.4</v>
      </c>
      <c r="T13" s="29">
        <v>40</v>
      </c>
      <c r="U13" s="6">
        <v>-20223</v>
      </c>
      <c r="V13" s="5" t="str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" s="5">
        <f ca="1">VLOOKUP($L13,OFFSET([3]enemies!$A$1,0,0,COUNTA([3]enemies!$A:$A),MATCH(W$1,[3]enemies!$1:$1,0)-MATCH($L$1,[3]enemies!$1:$1,0)+1),MATCH(W$1,[3]enemies!$1:$1,0)-MATCH($L$1,[3]enemies!$1:$1,0)+1,FALSE)</f>
        <v>0</v>
      </c>
      <c r="X13" s="7">
        <v>1</v>
      </c>
      <c r="Y13" s="7">
        <v>0</v>
      </c>
      <c r="Z13" s="7">
        <v>1</v>
      </c>
      <c r="AA13" s="58">
        <v>2</v>
      </c>
      <c r="AB13" s="2">
        <f t="shared" ref="AB13" si="38">L13</f>
        <v>334</v>
      </c>
      <c r="AC13" s="5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13" s="5">
        <f ca="1">VLOOKUP($AB13,OFFSET([4]characters!$A$1,0,0,COUNTA([4]characters!$A:$A),MATCH(AD$1,[4]characters!$1:$1,0)-MATCH("character_id",[4]characters!$1:$1,0)+1),MATCH(AD$1,[4]characters!$1:$1,0)-MATCH("character_id",[4]characters!$1:$1,0)+1,FALSE)</f>
        <v>5</v>
      </c>
      <c r="AE13" s="5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3" s="8">
        <v>1</v>
      </c>
      <c r="AG13" s="27">
        <f t="shared" ref="AG13" ca="1" si="39">AD13</f>
        <v>5</v>
      </c>
      <c r="AH13" s="9">
        <v>0</v>
      </c>
      <c r="AI13" s="8">
        <v>0</v>
      </c>
      <c r="AJ13" s="8">
        <v>0</v>
      </c>
      <c r="AK13" s="8">
        <v>0</v>
      </c>
      <c r="AL13" s="8">
        <v>0</v>
      </c>
      <c r="AM13" s="8">
        <v>1</v>
      </c>
    </row>
    <row r="14" spans="1:39" ht="21" customHeight="1" x14ac:dyDescent="0.15">
      <c r="A14" s="17" t="str">
        <f t="shared" si="25"/>
        <v>14001_4-5/335&lt;lv10&gt;s2</v>
      </c>
      <c r="B14" s="65">
        <v>14001</v>
      </c>
      <c r="C14" s="67">
        <v>4</v>
      </c>
      <c r="D14" s="67" t="str">
        <f t="shared" si="26"/>
        <v>14001_4</v>
      </c>
      <c r="E14" s="64" t="str">
        <f ca="1">VLOOKUP($B14,OFFSET([2]quests!$A$1,0,0,COUNTA([2]quests!$A:$A),MATCH(E$1,[2]quests!$1:$1,0)-MATCH($B$1,[2]quests!$1:$1,0)+1),MATCH(E$1,[2]quests!$1:$1,0)-MATCH($B$1,[2]quests!$1:$1,0)+1,FALSE)</f>
        <v>【ロック】経験値/ソロ</v>
      </c>
      <c r="F14" s="64" t="str">
        <f ca="1">VLOOKUP($D14,OFFSET([2]stages!$A$1,0,0,COUNTA([2]stages!$A:$A),MATCH(F$1,[2]stages!$2:$2,0)-MATCH($D$1,[2]stages!$2:$2,0)+1),MATCH(F$1,[2]stages!$2:$2,0)-MATCH($D$1,[2]stages!$2:$2,0)+1,FALSE)</f>
        <v>【超級】炎ファミリー（ハートなし）</v>
      </c>
      <c r="G14" s="67">
        <v>5</v>
      </c>
      <c r="H14" s="16" t="str">
        <f t="shared" si="27"/>
        <v>14001_4-5</v>
      </c>
      <c r="I14" s="5">
        <f ca="1">VLOOKUP($H14,OFFSET(floors!$A$1,0,0,COUNTA(floors!$A:$A),MATCH(I$1,floors!$1:$1,0)-MATCH($H$1,floors!$1:$1,0)+1),MATCH(I$1,floors!$1:$1,0)-MATCH($H$1,floors!$1:$1,0)+1,FALSE)</f>
        <v>55</v>
      </c>
      <c r="J14" s="5">
        <f ca="1">VLOOKUP($H14,OFFSET(floors!$A$1,0,0,COUNTA(floors!$A:$A),MATCH(J$1,floors!$1:$1,0)-MATCH($H$1,floors!$1:$1,0)+1),MATCH(J$1,floors!$1:$1,0)-MATCH($H$1,floors!$1:$1,0)+1,FALSE)</f>
        <v>55</v>
      </c>
      <c r="K14" s="8" t="s">
        <v>142</v>
      </c>
      <c r="L14" s="24">
        <v>335</v>
      </c>
      <c r="M14" s="20" t="str">
        <f ca="1">VLOOKUP($L14,OFFSET([3]enemies!$A$1,0,0,COUNTA([3]enemies!$A:$A),MATCH(M$1,[3]enemies!$1:$1,0)-MATCH($L$1,[3]enemies!$1:$1,0)+1),MATCH(M$1,[3]enemies!$1:$1,0)-MATCH($L$1,[3]enemies!$1:$1,0)+1,FALSE)</f>
        <v>炎のメタルジェントル</v>
      </c>
      <c r="N14" s="20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20" t="str">
        <f ca="1">VLOOKUP($L14,OFFSET([4]characters!$A$1,0,0,COUNTA([4]characters!$A:$A),MATCH(O$1,[4]characters!$1:$1,0)-MATCH($L$1,[4]characters!$1:$1,0)+1),MATCH(O$1,[4]characters!$1:$1,0)-MATCH($L$1,[4]characters!$1:$1,0)+1,FALSE)</f>
        <v>Material</v>
      </c>
      <c r="P14" s="20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20">
        <f ca="1">VLOOKUP($L14,OFFSET([3]enemies!$A$1,0,0,COUNTA([3]enemies!$A:$A),MATCH(Q$1,[3]enemies!$1:$1,0)-MATCH($L$1,[3]enemies!$1:$1,0)+1),MATCH(Q$1,[3]enemies!$1:$1,0)-MATCH($L$1,[3]enemies!$1:$1,0)+1,FALSE)</f>
        <v>20</v>
      </c>
      <c r="R14" s="6">
        <v>10</v>
      </c>
      <c r="S14" s="29">
        <v>0.2</v>
      </c>
      <c r="T14" s="29">
        <v>50</v>
      </c>
      <c r="U14" s="6">
        <v>-30889</v>
      </c>
      <c r="V14" s="5" t="str">
        <f ca="1">VLOOKUP($W14,OFFSET(enemy_skill_sets!$B$1,0,0,COUNTA(enemy_skill_sets!$B:$B),MATCH(M$1,enemy_skill_sets!$1:$1,0)-MATCH($W$1,enemy_skill_sets!$1:$1,0)+2),MATCH(M$1,enemy_skill_sets!$1:$1,0)-MATCH($W$1,enemy_skill_sets!$1:$1,0)+2,FALSE)</f>
        <v>メタルファミリーが あらわれた！</v>
      </c>
      <c r="W14" s="57">
        <v>14001050</v>
      </c>
      <c r="X14" s="7">
        <v>1</v>
      </c>
      <c r="Y14" s="7">
        <v>0</v>
      </c>
      <c r="Z14" s="7">
        <v>0</v>
      </c>
      <c r="AA14" s="58">
        <v>2</v>
      </c>
      <c r="AB14" s="2">
        <f t="shared" ref="AB14" si="40">L14</f>
        <v>335</v>
      </c>
      <c r="AC14" s="5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炎のメタルジェントル</v>
      </c>
      <c r="AD14" s="5">
        <f ca="1">VLOOKUP($AB14,OFFSET([4]characters!$A$1,0,0,COUNTA([4]characters!$A:$A),MATCH(AD$1,[4]characters!$1:$1,0)-MATCH("character_id",[4]characters!$1:$1,0)+1),MATCH(AD$1,[4]characters!$1:$1,0)-MATCH("character_id",[4]characters!$1:$1,0)+1,FALSE)</f>
        <v>6</v>
      </c>
      <c r="AE14" s="5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4" s="8">
        <v>1</v>
      </c>
      <c r="AG14" s="27">
        <f t="shared" ca="1" si="29"/>
        <v>6</v>
      </c>
      <c r="AH14" s="9">
        <v>100</v>
      </c>
      <c r="AI14" s="8">
        <v>0</v>
      </c>
      <c r="AJ14" s="8">
        <v>0</v>
      </c>
      <c r="AK14" s="8">
        <v>0</v>
      </c>
      <c r="AL14" s="8">
        <v>0</v>
      </c>
      <c r="AM14" s="8">
        <v>1</v>
      </c>
    </row>
    <row r="15" spans="1:39" ht="21" customHeight="1" x14ac:dyDescent="0.15">
      <c r="A15" s="17" t="str">
        <f>B15&amp;"_"&amp;C15&amp;"-"&amp;G15&amp;"/"&amp;L15&amp;"&lt;lv"&amp;R15&amp;"&gt;s"&amp;AA15</f>
        <v>14001_3-1/336&lt;lv10&gt;s1</v>
      </c>
      <c r="B15" s="65">
        <v>14001</v>
      </c>
      <c r="C15" s="105">
        <f>C2-1</f>
        <v>3</v>
      </c>
      <c r="D15" s="105" t="str">
        <f>B15&amp;"_"&amp;C15</f>
        <v>14001_3</v>
      </c>
      <c r="E15" s="106" t="str">
        <f ca="1">VLOOKUP($B15,OFFSET([2]quests!$A$1,0,0,COUNTA([2]quests!$A:$A),MATCH(E$1,[2]quests!$1:$1,0)-MATCH($B$1,[2]quests!$1:$1,0)+1),MATCH(E$1,[2]quests!$1:$1,0)-MATCH($B$1,[2]quests!$1:$1,0)+1,FALSE)</f>
        <v>【ロック】経験値/ソロ</v>
      </c>
      <c r="F15" s="106" t="str">
        <f ca="1">VLOOKUP($D15,OFFSET([2]stages!$A$1,0,0,COUNTA([2]stages!$A:$A),MATCH(F$1,[2]stages!$2:$2,0)-MATCH($D$1,[2]stages!$2:$2,0)+1),MATCH(F$1,[2]stages!$2:$2,0)-MATCH($D$1,[2]stages!$2:$2,0)+1,FALSE)</f>
        <v>【超級】森ファミリー（ハートなし）</v>
      </c>
      <c r="G15" s="105">
        <v>1</v>
      </c>
      <c r="H15" s="16" t="str">
        <f>B15&amp;"_"&amp;C15&amp;"-"&amp;G15</f>
        <v>14001_3-1</v>
      </c>
      <c r="I15" s="5">
        <f ca="1">VLOOKUP($H15,OFFSET(floors!$A$1,0,0,COUNTA(floors!$A:$A),MATCH(I$1,floors!$1:$1,0)-MATCH($H$1,floors!$1:$1,0)+1),MATCH(I$1,floors!$1:$1,0)-MATCH($H$1,floors!$1:$1,0)+1,FALSE)</f>
        <v>40</v>
      </c>
      <c r="J15" s="5">
        <f ca="1">VLOOKUP($H15,OFFSET(floors!$A$1,0,0,COUNTA(floors!$A:$A),MATCH(J$1,floors!$1:$1,0)-MATCH($H$1,floors!$1:$1,0)+1),MATCH(J$1,floors!$1:$1,0)-MATCH($H$1,floors!$1:$1,0)+1,FALSE)</f>
        <v>60</v>
      </c>
      <c r="K15" s="8" t="s">
        <v>142</v>
      </c>
      <c r="L15" s="2">
        <f>L2+4</f>
        <v>336</v>
      </c>
      <c r="M15" s="20" t="str">
        <f ca="1">VLOOKUP($L15,OFFSET([3]enemies!$A$1,0,0,COUNTA([3]enemies!$A:$A),MATCH(M$1,[3]enemies!$1:$1,0)-MATCH($L$1,[3]enemies!$1:$1,0)+1),MATCH(M$1,[3]enemies!$1:$1,0)-MATCH($L$1,[3]enemies!$1:$1,0)+1,FALSE)</f>
        <v>森のメタルピヨピヨ</v>
      </c>
      <c r="N15" s="20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20" t="str">
        <f ca="1">VLOOKUP($L15,OFFSET([4]characters!$A$1,0,0,COUNTA([4]characters!$A:$A),MATCH(O$1,[4]characters!$1:$1,0)-MATCH($L$1,[4]characters!$1:$1,0)+1),MATCH(O$1,[4]characters!$1:$1,0)-MATCH($L$1,[4]characters!$1:$1,0)+1,FALSE)</f>
        <v>Material</v>
      </c>
      <c r="P15" s="20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20">
        <f ca="1">VLOOKUP($L15,OFFSET([3]enemies!$A$1,0,0,COUNTA([3]enemies!$A:$A),MATCH(Q$1,[3]enemies!$1:$1,0)-MATCH($L$1,[3]enemies!$1:$1,0)+1),MATCH(Q$1,[3]enemies!$1:$1,0)-MATCH($L$1,[3]enemies!$1:$1,0)+1,FALSE)</f>
        <v>15</v>
      </c>
      <c r="R15" s="107">
        <f>R2</f>
        <v>10</v>
      </c>
      <c r="S15" s="107">
        <f t="shared" ref="S15:U15" si="41">S2</f>
        <v>0.6</v>
      </c>
      <c r="T15" s="108">
        <f t="shared" si="41"/>
        <v>40</v>
      </c>
      <c r="U15" s="107">
        <f t="shared" si="41"/>
        <v>533</v>
      </c>
      <c r="V15" s="5" t="str">
        <f ca="1">VLOOKUP($W15,OFFSET([5]enemy_skill_sets!$B$1,0,0,COUNTA([5]enemy_skill_sets!$B:$B),MATCH(M$1,[5]enemy_skill_sets!$1:$1,0)-MATCH($W$1,[5]enemy_skill_sets!$1:$1,0)+2),MATCH(M$1,[5]enemy_skill_sets!$1:$1,0)-MATCH($W$1,[5]enemy_skill_sets!$1:$1,0)+2,FALSE)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" s="109">
        <f t="shared" ref="W15:AA30" ca="1" si="42">W2</f>
        <v>0</v>
      </c>
      <c r="X15" s="109">
        <f>X2</f>
        <v>0</v>
      </c>
      <c r="Y15" s="109">
        <f t="shared" ref="Y15:AA15" si="43">Y2</f>
        <v>100</v>
      </c>
      <c r="Z15" s="109">
        <f t="shared" si="43"/>
        <v>0</v>
      </c>
      <c r="AA15" s="109">
        <f t="shared" si="43"/>
        <v>1</v>
      </c>
      <c r="AB15" s="2">
        <f>L15</f>
        <v>336</v>
      </c>
      <c r="AC15" s="5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森のメタルピヨピヨ</v>
      </c>
      <c r="AD15" s="5">
        <f ca="1">VLOOKUP($AB15,OFFSET([4]characters!$A$1,0,0,COUNTA([4]characters!$A:$A),MATCH(AD$1,[4]characters!$1:$1,0)-MATCH("character_id",[4]characters!$1:$1,0)+1),MATCH(AD$1,[4]characters!$1:$1,0)-MATCH("character_id",[4]characters!$1:$1,0)+1,FALSE)</f>
        <v>3</v>
      </c>
      <c r="AE15" s="5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5" s="27">
        <f>AF2</f>
        <v>1</v>
      </c>
      <c r="AG15" s="27">
        <f ca="1">AD15</f>
        <v>3</v>
      </c>
      <c r="AH15" s="27">
        <f>AH2</f>
        <v>0</v>
      </c>
      <c r="AI15" s="27">
        <f t="shared" ref="AI15:AM15" si="44">AI2</f>
        <v>0</v>
      </c>
      <c r="AJ15" s="27">
        <f t="shared" si="44"/>
        <v>0</v>
      </c>
      <c r="AK15" s="27">
        <f t="shared" si="44"/>
        <v>0</v>
      </c>
      <c r="AL15" s="27">
        <f t="shared" si="44"/>
        <v>0</v>
      </c>
      <c r="AM15" s="27">
        <f t="shared" si="44"/>
        <v>1</v>
      </c>
    </row>
    <row r="16" spans="1:39" ht="21" customHeight="1" x14ac:dyDescent="0.15">
      <c r="A16" s="17" t="str">
        <f>B16&amp;"_"&amp;C16&amp;"-"&amp;G16&amp;"/"&amp;L16&amp;"&lt;lv"&amp;R16&amp;"&gt;s"&amp;AA16</f>
        <v>14001_3-1/337&lt;lv10&gt;s1</v>
      </c>
      <c r="B16" s="65">
        <v>14001</v>
      </c>
      <c r="C16" s="105">
        <f>C15</f>
        <v>3</v>
      </c>
      <c r="D16" s="105" t="str">
        <f>B16&amp;"_"&amp;C16</f>
        <v>14001_3</v>
      </c>
      <c r="E16" s="106" t="str">
        <f ca="1">VLOOKUP($B16,OFFSET([2]quests!$A$1,0,0,COUNTA([2]quests!$A:$A),MATCH(E$1,[2]quests!$1:$1,0)-MATCH($B$1,[2]quests!$1:$1,0)+1),MATCH(E$1,[2]quests!$1:$1,0)-MATCH($B$1,[2]quests!$1:$1,0)+1,FALSE)</f>
        <v>【ロック】経験値/ソロ</v>
      </c>
      <c r="F16" s="106" t="str">
        <f ca="1">VLOOKUP($D16,OFFSET([2]stages!$A$1,0,0,COUNTA([2]stages!$A:$A),MATCH(F$1,[2]stages!$2:$2,0)-MATCH($D$1,[2]stages!$2:$2,0)+1),MATCH(F$1,[2]stages!$2:$2,0)-MATCH($D$1,[2]stages!$2:$2,0)+1,FALSE)</f>
        <v>【超級】森ファミリー（ハートなし）</v>
      </c>
      <c r="G16" s="105">
        <v>1</v>
      </c>
      <c r="H16" s="16" t="str">
        <f>B16&amp;"_"&amp;C16&amp;"-"&amp;G16</f>
        <v>14001_3-1</v>
      </c>
      <c r="I16" s="5">
        <f ca="1">VLOOKUP($H16,OFFSET(floors!$A$1,0,0,COUNTA(floors!$A:$A),MATCH(I$1,floors!$1:$1,0)-MATCH($H$1,floors!$1:$1,0)+1),MATCH(I$1,floors!$1:$1,0)-MATCH($H$1,floors!$1:$1,0)+1,FALSE)</f>
        <v>40</v>
      </c>
      <c r="J16" s="5">
        <f ca="1">VLOOKUP($H16,OFFSET(floors!$A$1,0,0,COUNTA(floors!$A:$A),MATCH(J$1,floors!$1:$1,0)-MATCH($H$1,floors!$1:$1,0)+1),MATCH(J$1,floors!$1:$1,0)-MATCH($H$1,floors!$1:$1,0)+1,FALSE)</f>
        <v>60</v>
      </c>
      <c r="K16" s="8" t="s">
        <v>142</v>
      </c>
      <c r="L16" s="2">
        <f t="shared" ref="L16:L53" si="45">L3+4</f>
        <v>337</v>
      </c>
      <c r="M16" s="20" t="str">
        <f ca="1">VLOOKUP($L16,OFFSET([3]enemies!$A$1,0,0,COUNTA([3]enemies!$A:$A),MATCH(M$1,[3]enemies!$1:$1,0)-MATCH($L$1,[3]enemies!$1:$1,0)+1),MATCH(M$1,[3]enemies!$1:$1,0)-MATCH($L$1,[3]enemies!$1:$1,0)+1,FALSE)</f>
        <v>森のメタルチック</v>
      </c>
      <c r="N16" s="20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20" t="str">
        <f ca="1">VLOOKUP($L16,OFFSET([4]characters!$A$1,0,0,COUNTA([4]characters!$A:$A),MATCH(O$1,[4]characters!$1:$1,0)-MATCH($L$1,[4]characters!$1:$1,0)+1),MATCH(O$1,[4]characters!$1:$1,0)-MATCH($L$1,[4]characters!$1:$1,0)+1,FALSE)</f>
        <v>Material</v>
      </c>
      <c r="P16" s="20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20">
        <f ca="1">VLOOKUP($L16,OFFSET([3]enemies!$A$1,0,0,COUNTA([3]enemies!$A:$A),MATCH(Q$1,[3]enemies!$1:$1,0)-MATCH($L$1,[3]enemies!$1:$1,0)+1),MATCH(Q$1,[3]enemies!$1:$1,0)-MATCH($L$1,[3]enemies!$1:$1,0)+1,FALSE)</f>
        <v>15</v>
      </c>
      <c r="R16" s="107">
        <f t="shared" ref="R16:U16" si="46">R3</f>
        <v>10</v>
      </c>
      <c r="S16" s="107">
        <f t="shared" si="46"/>
        <v>0.4</v>
      </c>
      <c r="T16" s="108">
        <f t="shared" si="46"/>
        <v>40</v>
      </c>
      <c r="U16" s="107">
        <f t="shared" si="46"/>
        <v>-2845</v>
      </c>
      <c r="V16" s="5" t="str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" s="109">
        <f t="shared" ca="1" si="42"/>
        <v>0</v>
      </c>
      <c r="X16" s="109">
        <f t="shared" ref="X16:AA16" si="47">X3</f>
        <v>0</v>
      </c>
      <c r="Y16" s="109">
        <f t="shared" si="47"/>
        <v>100</v>
      </c>
      <c r="Z16" s="109">
        <f t="shared" si="47"/>
        <v>0</v>
      </c>
      <c r="AA16" s="109">
        <f t="shared" si="47"/>
        <v>1</v>
      </c>
      <c r="AB16" s="2">
        <f>L16</f>
        <v>337</v>
      </c>
      <c r="AC16" s="5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16" s="5">
        <f ca="1">VLOOKUP($AB16,OFFSET([4]characters!$A$1,0,0,COUNTA([4]characters!$A:$A),MATCH(AD$1,[4]characters!$1:$1,0)-MATCH("character_id",[4]characters!$1:$1,0)+1),MATCH(AD$1,[4]characters!$1:$1,0)-MATCH("character_id",[4]characters!$1:$1,0)+1,FALSE)</f>
        <v>4</v>
      </c>
      <c r="AE16" s="5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6" s="27">
        <f t="shared" ref="AF16:AF53" si="48">AF3</f>
        <v>1</v>
      </c>
      <c r="AG16" s="27">
        <f ca="1">AD16</f>
        <v>4</v>
      </c>
      <c r="AH16" s="27">
        <f t="shared" ref="AH16:AM16" si="49">AH3</f>
        <v>0</v>
      </c>
      <c r="AI16" s="27">
        <f t="shared" si="49"/>
        <v>0</v>
      </c>
      <c r="AJ16" s="27">
        <f t="shared" si="49"/>
        <v>0</v>
      </c>
      <c r="AK16" s="27">
        <f t="shared" si="49"/>
        <v>0</v>
      </c>
      <c r="AL16" s="27">
        <f t="shared" si="49"/>
        <v>0</v>
      </c>
      <c r="AM16" s="27">
        <f t="shared" si="49"/>
        <v>1</v>
      </c>
    </row>
    <row r="17" spans="1:39" ht="21" customHeight="1" x14ac:dyDescent="0.15">
      <c r="A17" s="103" t="str">
        <f t="shared" ref="A17:A20" si="50">B17&amp;"_"&amp;C17&amp;"-"&amp;G17&amp;"/"&amp;L17&amp;"&lt;lv"&amp;R17&amp;"&gt;s"&amp;AA17</f>
        <v>14001_3-1/338&lt;lv10&gt;s2</v>
      </c>
      <c r="B17" s="65">
        <v>14001</v>
      </c>
      <c r="C17" s="105">
        <f t="shared" ref="C17:C27" si="51">C16</f>
        <v>3</v>
      </c>
      <c r="D17" s="105" t="str">
        <f t="shared" ref="D17:D20" si="52">B17&amp;"_"&amp;C17</f>
        <v>14001_3</v>
      </c>
      <c r="E17" s="106" t="str">
        <f ca="1">VLOOKUP($B17,OFFSET([2]quests!$A$1,0,0,COUNTA([2]quests!$A:$A),MATCH(E$1,[2]quests!$1:$1,0)-MATCH($B$1,[2]quests!$1:$1,0)+1),MATCH(E$1,[2]quests!$1:$1,0)-MATCH($B$1,[2]quests!$1:$1,0)+1,FALSE)</f>
        <v>【ロック】経験値/ソロ</v>
      </c>
      <c r="F17" s="106" t="str">
        <f ca="1">VLOOKUP($D17,OFFSET([2]stages!$A$1,0,0,COUNTA([2]stages!$A:$A),MATCH(F$1,[2]stages!$2:$2,0)-MATCH($D$1,[2]stages!$2:$2,0)+1),MATCH(F$1,[2]stages!$2:$2,0)-MATCH($D$1,[2]stages!$2:$2,0)+1,FALSE)</f>
        <v>【超級】森ファミリー（ハートなし）</v>
      </c>
      <c r="G17" s="105">
        <v>1</v>
      </c>
      <c r="H17" s="16" t="str">
        <f t="shared" ref="H17:H20" si="53">B17&amp;"_"&amp;C17&amp;"-"&amp;G17</f>
        <v>14001_3-1</v>
      </c>
      <c r="I17" s="5">
        <f ca="1">VLOOKUP($H17,OFFSET(floors!$A$1,0,0,COUNTA(floors!$A:$A),MATCH(I$1,floors!$1:$1,0)-MATCH($H$1,floors!$1:$1,0)+1),MATCH(I$1,floors!$1:$1,0)-MATCH($H$1,floors!$1:$1,0)+1,FALSE)</f>
        <v>40</v>
      </c>
      <c r="J17" s="5">
        <f ca="1">VLOOKUP($H17,OFFSET(floors!$A$1,0,0,COUNTA(floors!$A:$A),MATCH(J$1,floors!$1:$1,0)-MATCH($H$1,floors!$1:$1,0)+1),MATCH(J$1,floors!$1:$1,0)-MATCH($H$1,floors!$1:$1,0)+1,FALSE)</f>
        <v>60</v>
      </c>
      <c r="K17" s="8" t="s">
        <v>142</v>
      </c>
      <c r="L17" s="2">
        <f t="shared" si="45"/>
        <v>338</v>
      </c>
      <c r="M17" s="20" t="str">
        <f ca="1">VLOOKUP($L17,OFFSET([3]enemies!$A$1,0,0,COUNTA([3]enemies!$A:$A),MATCH(M$1,[3]enemies!$1:$1,0)-MATCH($L$1,[3]enemies!$1:$1,0)+1),MATCH(M$1,[3]enemies!$1:$1,0)-MATCH($L$1,[3]enemies!$1:$1,0)+1,FALSE)</f>
        <v>森のメタルダック</v>
      </c>
      <c r="N17" s="20" t="str">
        <f ca="1">VLOOKUP($L17,OFFSET([3]enemies!$A$1,0,0,COUNTA([3]enemies!$A:$A),MATCH(N$1,[3]enemies!$1:$1,0)-MATCH($L$1,[3]enemies!$1:$1,0)+1),MATCH(N$1,[3]enemies!$1:$1,0)-MATCH($L$1,[3]enemies!$1:$1,0)+1,FALSE)</f>
        <v>green</v>
      </c>
      <c r="O17" s="20" t="str">
        <f ca="1">VLOOKUP($L17,OFFSET([4]characters!$A$1,0,0,COUNTA([4]characters!$A:$A),MATCH(O$1,[4]characters!$1:$1,0)-MATCH($L$1,[4]characters!$1:$1,0)+1),MATCH(O$1,[4]characters!$1:$1,0)-MATCH($L$1,[4]characters!$1:$1,0)+1,FALSE)</f>
        <v>Material</v>
      </c>
      <c r="P17" s="20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20">
        <f ca="1">VLOOKUP($L17,OFFSET([3]enemies!$A$1,0,0,COUNTA([3]enemies!$A:$A),MATCH(Q$1,[3]enemies!$1:$1,0)-MATCH($L$1,[3]enemies!$1:$1,0)+1),MATCH(Q$1,[3]enemies!$1:$1,0)-MATCH($L$1,[3]enemies!$1:$1,0)+1,FALSE)</f>
        <v>20</v>
      </c>
      <c r="R17" s="107">
        <f t="shared" ref="R17:U17" si="54">R4</f>
        <v>10</v>
      </c>
      <c r="S17" s="107">
        <f t="shared" si="54"/>
        <v>0.4</v>
      </c>
      <c r="T17" s="108">
        <f t="shared" si="54"/>
        <v>40</v>
      </c>
      <c r="U17" s="107">
        <f t="shared" si="54"/>
        <v>-20223</v>
      </c>
      <c r="V17" s="5" t="str">
        <f ca="1">VLOOKUP($W17,OFFSET([5]enemy_skill_sets!$B$1,0,0,COUNTA([5]enemy_skill_sets!$B:$B),MATCH(M$1,[5]enemy_skill_sets!$1:$1,0)-MATCH($W$1,[5]enemy_skill_sets!$1:$1,0)+2),MATCH(M$1,[5]enemy_skill_sets!$1:$1,0)-MATCH($W$1,[5]enemy_skill_sets!$1:$1,0)+2,FALSE)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" s="109">
        <f t="shared" ca="1" si="42"/>
        <v>0</v>
      </c>
      <c r="X17" s="109">
        <f t="shared" ref="X17:AA17" si="55">X4</f>
        <v>0</v>
      </c>
      <c r="Y17" s="109">
        <f t="shared" si="55"/>
        <v>67</v>
      </c>
      <c r="Z17" s="109">
        <f t="shared" si="55"/>
        <v>1</v>
      </c>
      <c r="AA17" s="109">
        <f t="shared" si="55"/>
        <v>2</v>
      </c>
      <c r="AB17" s="2">
        <f t="shared" ref="AB17:AB20" si="56">L17</f>
        <v>338</v>
      </c>
      <c r="AC17" s="5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17" s="5">
        <f ca="1">VLOOKUP($AB17,OFFSET([4]characters!$A$1,0,0,COUNTA([4]characters!$A:$A),MATCH(AD$1,[4]characters!$1:$1,0)-MATCH("character_id",[4]characters!$1:$1,0)+1),MATCH(AD$1,[4]characters!$1:$1,0)-MATCH("character_id",[4]characters!$1:$1,0)+1,FALSE)</f>
        <v>5</v>
      </c>
      <c r="AE17" s="5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7" s="27">
        <f t="shared" si="48"/>
        <v>1</v>
      </c>
      <c r="AG17" s="27">
        <f t="shared" ref="AG17:AG20" ca="1" si="57">AD17</f>
        <v>5</v>
      </c>
      <c r="AH17" s="27">
        <f t="shared" ref="AH17:AM17" si="58">AH4</f>
        <v>100</v>
      </c>
      <c r="AI17" s="27">
        <f t="shared" si="58"/>
        <v>0</v>
      </c>
      <c r="AJ17" s="27">
        <f t="shared" si="58"/>
        <v>0</v>
      </c>
      <c r="AK17" s="27">
        <f t="shared" si="58"/>
        <v>0</v>
      </c>
      <c r="AL17" s="27">
        <f t="shared" si="58"/>
        <v>0</v>
      </c>
      <c r="AM17" s="27">
        <f t="shared" si="58"/>
        <v>1</v>
      </c>
    </row>
    <row r="18" spans="1:39" ht="21" customHeight="1" x14ac:dyDescent="0.15">
      <c r="A18" s="17" t="str">
        <f t="shared" si="50"/>
        <v>14001_3-1/339&lt;lv10&gt;s2</v>
      </c>
      <c r="B18" s="65">
        <v>14001</v>
      </c>
      <c r="C18" s="105">
        <f t="shared" si="51"/>
        <v>3</v>
      </c>
      <c r="D18" s="105" t="str">
        <f t="shared" si="52"/>
        <v>14001_3</v>
      </c>
      <c r="E18" s="106" t="str">
        <f ca="1">VLOOKUP($B18,OFFSET([2]quests!$A$1,0,0,COUNTA([2]quests!$A:$A),MATCH(E$1,[2]quests!$1:$1,0)-MATCH($B$1,[2]quests!$1:$1,0)+1),MATCH(E$1,[2]quests!$1:$1,0)-MATCH($B$1,[2]quests!$1:$1,0)+1,FALSE)</f>
        <v>【ロック】経験値/ソロ</v>
      </c>
      <c r="F18" s="106" t="str">
        <f ca="1">VLOOKUP($D18,OFFSET([2]stages!$A$1,0,0,COUNTA([2]stages!$A:$A),MATCH(F$1,[2]stages!$2:$2,0)-MATCH($D$1,[2]stages!$2:$2,0)+1),MATCH(F$1,[2]stages!$2:$2,0)-MATCH($D$1,[2]stages!$2:$2,0)+1,FALSE)</f>
        <v>【超級】森ファミリー（ハートなし）</v>
      </c>
      <c r="G18" s="105">
        <v>1</v>
      </c>
      <c r="H18" s="16" t="str">
        <f t="shared" si="53"/>
        <v>14001_3-1</v>
      </c>
      <c r="I18" s="5">
        <f ca="1">VLOOKUP($H18,OFFSET(floors!$A$1,0,0,COUNTA(floors!$A:$A),MATCH(I$1,floors!$1:$1,0)-MATCH($H$1,floors!$1:$1,0)+1),MATCH(I$1,floors!$1:$1,0)-MATCH($H$1,floors!$1:$1,0)+1,FALSE)</f>
        <v>40</v>
      </c>
      <c r="J18" s="5">
        <f ca="1">VLOOKUP($H18,OFFSET(floors!$A$1,0,0,COUNTA(floors!$A:$A),MATCH(J$1,floors!$1:$1,0)-MATCH($H$1,floors!$1:$1,0)+1),MATCH(J$1,floors!$1:$1,0)-MATCH($H$1,floors!$1:$1,0)+1,FALSE)</f>
        <v>60</v>
      </c>
      <c r="K18" s="8" t="s">
        <v>142</v>
      </c>
      <c r="L18" s="2">
        <f t="shared" si="45"/>
        <v>339</v>
      </c>
      <c r="M18" s="20" t="str">
        <f ca="1">VLOOKUP($L18,OFFSET([3]enemies!$A$1,0,0,COUNTA([3]enemies!$A:$A),MATCH(M$1,[3]enemies!$1:$1,0)-MATCH($L$1,[3]enemies!$1:$1,0)+1),MATCH(M$1,[3]enemies!$1:$1,0)-MATCH($L$1,[3]enemies!$1:$1,0)+1,FALSE)</f>
        <v>森のメタルジェントル</v>
      </c>
      <c r="N18" s="20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20" t="str">
        <f ca="1">VLOOKUP($L18,OFFSET([4]characters!$A$1,0,0,COUNTA([4]characters!$A:$A),MATCH(O$1,[4]characters!$1:$1,0)-MATCH($L$1,[4]characters!$1:$1,0)+1),MATCH(O$1,[4]characters!$1:$1,0)-MATCH($L$1,[4]characters!$1:$1,0)+1,FALSE)</f>
        <v>Material</v>
      </c>
      <c r="P18" s="20" t="str">
        <f ca="1">VLOOKUP($L18,OFFSET([3]enemies!$A$1,0,0,COUNTA([3]enemies!$A:$A),MATCH(P$1,[3]enemies!$1:$1,0)-MATCH($L$1,[3]enemies!$1:$1,0)+1),MATCH(P$1,[3]enemies!$1:$1,0)-MATCH($L$1,[3]enemies!$1:$1,0)+1,FALSE)</f>
        <v>unknown</v>
      </c>
      <c r="Q18" s="20">
        <f ca="1">VLOOKUP($L18,OFFSET([3]enemies!$A$1,0,0,COUNTA([3]enemies!$A:$A),MATCH(Q$1,[3]enemies!$1:$1,0)-MATCH($L$1,[3]enemies!$1:$1,0)+1),MATCH(Q$1,[3]enemies!$1:$1,0)-MATCH($L$1,[3]enemies!$1:$1,0)+1,FALSE)</f>
        <v>20</v>
      </c>
      <c r="R18" s="107">
        <f t="shared" ref="R18:U18" si="59">R5</f>
        <v>10</v>
      </c>
      <c r="S18" s="107">
        <f t="shared" si="59"/>
        <v>0.2</v>
      </c>
      <c r="T18" s="108">
        <f t="shared" si="59"/>
        <v>50</v>
      </c>
      <c r="U18" s="107">
        <f t="shared" si="59"/>
        <v>-30889</v>
      </c>
      <c r="V18" s="5" t="str">
        <f ca="1">VLOOKUP($W18,OFFSET(enemy_skill_sets!$B$1,0,0,COUNTA(enemy_skill_sets!$B:$B),MATCH(M$1,enemy_skill_sets!$1:$1,0)-MATCH($W$1,enemy_skill_sets!$1:$1,0)+2),MATCH(M$1,enemy_skill_sets!$1:$1,0)-MATCH($W$1,enemy_skill_sets!$1:$1,0)+2,FALSE)</f>
        <v>なんと ジェントルがあらわれた！</v>
      </c>
      <c r="W18" s="109">
        <f t="shared" si="42"/>
        <v>14001012</v>
      </c>
      <c r="X18" s="109">
        <f t="shared" ref="X18:AA18" si="60">X5</f>
        <v>0</v>
      </c>
      <c r="Y18" s="109">
        <f t="shared" si="60"/>
        <v>33</v>
      </c>
      <c r="Z18" s="109">
        <f t="shared" si="60"/>
        <v>1</v>
      </c>
      <c r="AA18" s="109">
        <f t="shared" si="60"/>
        <v>2</v>
      </c>
      <c r="AB18" s="2">
        <f t="shared" si="56"/>
        <v>339</v>
      </c>
      <c r="AC18" s="5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森のメタルジェントル</v>
      </c>
      <c r="AD18" s="5">
        <f ca="1">VLOOKUP($AB18,OFFSET([4]characters!$A$1,0,0,COUNTA([4]characters!$A:$A),MATCH(AD$1,[4]characters!$1:$1,0)-MATCH("character_id",[4]characters!$1:$1,0)+1),MATCH(AD$1,[4]characters!$1:$1,0)-MATCH("character_id",[4]characters!$1:$1,0)+1,FALSE)</f>
        <v>6</v>
      </c>
      <c r="AE18" s="5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8" s="27">
        <f t="shared" si="48"/>
        <v>1</v>
      </c>
      <c r="AG18" s="27">
        <f t="shared" ca="1" si="57"/>
        <v>6</v>
      </c>
      <c r="AH18" s="27">
        <f t="shared" ref="AH18:AM18" si="61">AH5</f>
        <v>100</v>
      </c>
      <c r="AI18" s="27">
        <f t="shared" si="61"/>
        <v>0</v>
      </c>
      <c r="AJ18" s="27">
        <f t="shared" si="61"/>
        <v>0</v>
      </c>
      <c r="AK18" s="27">
        <f t="shared" si="61"/>
        <v>0</v>
      </c>
      <c r="AL18" s="27">
        <f t="shared" si="61"/>
        <v>0</v>
      </c>
      <c r="AM18" s="27">
        <f t="shared" si="61"/>
        <v>1</v>
      </c>
    </row>
    <row r="19" spans="1:39" ht="21" customHeight="1" x14ac:dyDescent="0.15">
      <c r="A19" s="17" t="str">
        <f t="shared" si="50"/>
        <v>14001_3-2/337&lt;lv10&gt;s1</v>
      </c>
      <c r="B19" s="65">
        <v>14001</v>
      </c>
      <c r="C19" s="105">
        <f t="shared" si="51"/>
        <v>3</v>
      </c>
      <c r="D19" s="105" t="str">
        <f t="shared" si="52"/>
        <v>14001_3</v>
      </c>
      <c r="E19" s="106" t="str">
        <f ca="1">VLOOKUP($B19,OFFSET([2]quests!$A$1,0,0,COUNTA([2]quests!$A:$A),MATCH(E$1,[2]quests!$1:$1,0)-MATCH($B$1,[2]quests!$1:$1,0)+1),MATCH(E$1,[2]quests!$1:$1,0)-MATCH($B$1,[2]quests!$1:$1,0)+1,FALSE)</f>
        <v>【ロック】経験値/ソロ</v>
      </c>
      <c r="F19" s="106" t="str">
        <f ca="1">VLOOKUP($D19,OFFSET([2]stages!$A$1,0,0,COUNTA([2]stages!$A:$A),MATCH(F$1,[2]stages!$2:$2,0)-MATCH($D$1,[2]stages!$2:$2,0)+1),MATCH(F$1,[2]stages!$2:$2,0)-MATCH($D$1,[2]stages!$2:$2,0)+1,FALSE)</f>
        <v>【超級】森ファミリー（ハートなし）</v>
      </c>
      <c r="G19" s="105">
        <v>2</v>
      </c>
      <c r="H19" s="16" t="str">
        <f t="shared" si="53"/>
        <v>14001_3-2</v>
      </c>
      <c r="I19" s="5">
        <f ca="1">VLOOKUP($H19,OFFSET(floors!$A$1,0,0,COUNTA(floors!$A:$A),MATCH(I$1,floors!$1:$1,0)-MATCH($H$1,floors!$1:$1,0)+1),MATCH(I$1,floors!$1:$1,0)-MATCH($H$1,floors!$1:$1,0)+1,FALSE)</f>
        <v>30</v>
      </c>
      <c r="J19" s="5">
        <f ca="1">VLOOKUP($H19,OFFSET(floors!$A$1,0,0,COUNTA(floors!$A:$A),MATCH(J$1,floors!$1:$1,0)-MATCH($H$1,floors!$1:$1,0)+1),MATCH(J$1,floors!$1:$1,0)-MATCH($H$1,floors!$1:$1,0)+1,FALSE)</f>
        <v>41</v>
      </c>
      <c r="K19" s="8" t="s">
        <v>142</v>
      </c>
      <c r="L19" s="2">
        <f t="shared" si="45"/>
        <v>337</v>
      </c>
      <c r="M19" s="20" t="str">
        <f ca="1">VLOOKUP($L19,OFFSET([3]enemies!$A$1,0,0,COUNTA([3]enemies!$A:$A),MATCH(M$1,[3]enemies!$1:$1,0)-MATCH($L$1,[3]enemies!$1:$1,0)+1),MATCH(M$1,[3]enemies!$1:$1,0)-MATCH($L$1,[3]enemies!$1:$1,0)+1,FALSE)</f>
        <v>森のメタルチック</v>
      </c>
      <c r="N19" s="20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20" t="str">
        <f ca="1">VLOOKUP($L19,OFFSET([4]characters!$A$1,0,0,COUNTA([4]characters!$A:$A),MATCH(O$1,[4]characters!$1:$1,0)-MATCH($L$1,[4]characters!$1:$1,0)+1),MATCH(O$1,[4]characters!$1:$1,0)-MATCH($L$1,[4]characters!$1:$1,0)+1,FALSE)</f>
        <v>Material</v>
      </c>
      <c r="P19" s="20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20">
        <f ca="1">VLOOKUP($L19,OFFSET([3]enemies!$A$1,0,0,COUNTA([3]enemies!$A:$A),MATCH(Q$1,[3]enemies!$1:$1,0)-MATCH($L$1,[3]enemies!$1:$1,0)+1),MATCH(Q$1,[3]enemies!$1:$1,0)-MATCH($L$1,[3]enemies!$1:$1,0)+1,FALSE)</f>
        <v>15</v>
      </c>
      <c r="R19" s="107">
        <f t="shared" ref="R19:U19" si="62">R6</f>
        <v>10</v>
      </c>
      <c r="S19" s="107">
        <f t="shared" si="62"/>
        <v>0.4</v>
      </c>
      <c r="T19" s="108">
        <f t="shared" si="62"/>
        <v>40</v>
      </c>
      <c r="U19" s="107">
        <f t="shared" si="62"/>
        <v>-2845</v>
      </c>
      <c r="V19" s="5" t="str">
        <f ca="1">VLOOKUP($W19,OFFSET([5]enemy_skill_sets!$B$1,0,0,COUNTA([5]enemy_skill_sets!$B:$B),MATCH(M$1,[5]enemy_skill_sets!$1:$1,0)-MATCH($W$1,[5]enemy_skill_sets!$1:$1,0)+2),MATCH(M$1,[5]enemy_skill_sets!$1:$1,0)-MATCH($W$1,[5]enemy_skill_sets!$1:$1,0)+2,FALSE)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" s="109">
        <f t="shared" ca="1" si="42"/>
        <v>0</v>
      </c>
      <c r="X19" s="109">
        <f t="shared" ref="X19:AA19" si="63">X6</f>
        <v>0</v>
      </c>
      <c r="Y19" s="109">
        <f t="shared" si="63"/>
        <v>100</v>
      </c>
      <c r="Z19" s="109">
        <f t="shared" si="63"/>
        <v>0</v>
      </c>
      <c r="AA19" s="109">
        <f t="shared" si="63"/>
        <v>1</v>
      </c>
      <c r="AB19" s="2">
        <f t="shared" si="56"/>
        <v>337</v>
      </c>
      <c r="AC19" s="5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19" s="5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5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9" s="27">
        <f t="shared" si="48"/>
        <v>1</v>
      </c>
      <c r="AG19" s="27">
        <f t="shared" ca="1" si="57"/>
        <v>4</v>
      </c>
      <c r="AH19" s="27">
        <f t="shared" ref="AH19:AM19" si="64">AH6</f>
        <v>0</v>
      </c>
      <c r="AI19" s="27">
        <f t="shared" si="64"/>
        <v>0</v>
      </c>
      <c r="AJ19" s="27">
        <f t="shared" si="64"/>
        <v>0</v>
      </c>
      <c r="AK19" s="27">
        <f t="shared" si="64"/>
        <v>0</v>
      </c>
      <c r="AL19" s="27">
        <f t="shared" si="64"/>
        <v>0</v>
      </c>
      <c r="AM19" s="27">
        <f t="shared" si="64"/>
        <v>1</v>
      </c>
    </row>
    <row r="20" spans="1:39" ht="21" customHeight="1" x14ac:dyDescent="0.15">
      <c r="A20" s="17" t="str">
        <f t="shared" si="50"/>
        <v>14001_3-2/338&lt;lv10&gt;s2</v>
      </c>
      <c r="B20" s="65">
        <v>14001</v>
      </c>
      <c r="C20" s="105">
        <f t="shared" si="51"/>
        <v>3</v>
      </c>
      <c r="D20" s="105" t="str">
        <f t="shared" si="52"/>
        <v>14001_3</v>
      </c>
      <c r="E20" s="106" t="str">
        <f ca="1">VLOOKUP($B20,OFFSET([2]quests!$A$1,0,0,COUNTA([2]quests!$A:$A),MATCH(E$1,[2]quests!$1:$1,0)-MATCH($B$1,[2]quests!$1:$1,0)+1),MATCH(E$1,[2]quests!$1:$1,0)-MATCH($B$1,[2]quests!$1:$1,0)+1,FALSE)</f>
        <v>【ロック】経験値/ソロ</v>
      </c>
      <c r="F20" s="106" t="str">
        <f ca="1">VLOOKUP($D20,OFFSET([2]stages!$A$1,0,0,COUNTA([2]stages!$A:$A),MATCH(F$1,[2]stages!$2:$2,0)-MATCH($D$1,[2]stages!$2:$2,0)+1),MATCH(F$1,[2]stages!$2:$2,0)-MATCH($D$1,[2]stages!$2:$2,0)+1,FALSE)</f>
        <v>【超級】森ファミリー（ハートなし）</v>
      </c>
      <c r="G20" s="105">
        <v>2</v>
      </c>
      <c r="H20" s="16" t="str">
        <f t="shared" si="53"/>
        <v>14001_3-2</v>
      </c>
      <c r="I20" s="5">
        <f ca="1">VLOOKUP($H20,OFFSET(floors!$A$1,0,0,COUNTA(floors!$A:$A),MATCH(I$1,floors!$1:$1,0)-MATCH($H$1,floors!$1:$1,0)+1),MATCH(I$1,floors!$1:$1,0)-MATCH($H$1,floors!$1:$1,0)+1,FALSE)</f>
        <v>30</v>
      </c>
      <c r="J20" s="5">
        <f ca="1">VLOOKUP($H20,OFFSET(floors!$A$1,0,0,COUNTA(floors!$A:$A),MATCH(J$1,floors!$1:$1,0)-MATCH($H$1,floors!$1:$1,0)+1),MATCH(J$1,floors!$1:$1,0)-MATCH($H$1,floors!$1:$1,0)+1,FALSE)</f>
        <v>41</v>
      </c>
      <c r="K20" s="8" t="s">
        <v>142</v>
      </c>
      <c r="L20" s="2">
        <f t="shared" si="45"/>
        <v>338</v>
      </c>
      <c r="M20" s="20" t="str">
        <f ca="1">VLOOKUP($L20,OFFSET([3]enemies!$A$1,0,0,COUNTA([3]enemies!$A:$A),MATCH(M$1,[3]enemies!$1:$1,0)-MATCH($L$1,[3]enemies!$1:$1,0)+1),MATCH(M$1,[3]enemies!$1:$1,0)-MATCH($L$1,[3]enemies!$1:$1,0)+1,FALSE)</f>
        <v>森のメタルダック</v>
      </c>
      <c r="N20" s="20" t="str">
        <f ca="1">VLOOKUP($L20,OFFSET([3]enemies!$A$1,0,0,COUNTA([3]enemies!$A:$A),MATCH(N$1,[3]enemies!$1:$1,0)-MATCH($L$1,[3]enemies!$1:$1,0)+1),MATCH(N$1,[3]enemies!$1:$1,0)-MATCH($L$1,[3]enemies!$1:$1,0)+1,FALSE)</f>
        <v>green</v>
      </c>
      <c r="O20" s="20" t="str">
        <f ca="1">VLOOKUP($L20,OFFSET([4]characters!$A$1,0,0,COUNTA([4]characters!$A:$A),MATCH(O$1,[4]characters!$1:$1,0)-MATCH($L$1,[4]characters!$1:$1,0)+1),MATCH(O$1,[4]characters!$1:$1,0)-MATCH($L$1,[4]characters!$1:$1,0)+1,FALSE)</f>
        <v>Material</v>
      </c>
      <c r="P20" s="20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20">
        <f ca="1">VLOOKUP($L20,OFFSET([3]enemies!$A$1,0,0,COUNTA([3]enemies!$A:$A),MATCH(Q$1,[3]enemies!$1:$1,0)-MATCH($L$1,[3]enemies!$1:$1,0)+1),MATCH(Q$1,[3]enemies!$1:$1,0)-MATCH($L$1,[3]enemies!$1:$1,0)+1,FALSE)</f>
        <v>20</v>
      </c>
      <c r="R20" s="107">
        <f t="shared" ref="R20:U20" si="65">R7</f>
        <v>10</v>
      </c>
      <c r="S20" s="107">
        <f t="shared" si="65"/>
        <v>0.4</v>
      </c>
      <c r="T20" s="108">
        <f t="shared" si="65"/>
        <v>40</v>
      </c>
      <c r="U20" s="107">
        <f t="shared" si="65"/>
        <v>-20223</v>
      </c>
      <c r="V20" s="5" t="str">
        <f ca="1">VLOOKUP($W20,OFFSET([5]enemy_skill_sets!$B$1,0,0,COUNTA([5]enemy_skill_sets!$B:$B),MATCH(M$1,[5]enemy_skill_sets!$1:$1,0)-MATCH($W$1,[5]enemy_skill_sets!$1:$1,0)+2),MATCH(M$1,[5]enemy_skill_sets!$1:$1,0)-MATCH($W$1,[5]enemy_skill_sets!$1:$1,0)+2,FALSE)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" s="109">
        <f t="shared" ca="1" si="42"/>
        <v>0</v>
      </c>
      <c r="X20" s="109">
        <f t="shared" ref="X20:AA20" si="66">X7</f>
        <v>1</v>
      </c>
      <c r="Y20" s="109">
        <f t="shared" si="66"/>
        <v>0</v>
      </c>
      <c r="Z20" s="109">
        <f t="shared" si="66"/>
        <v>1</v>
      </c>
      <c r="AA20" s="109">
        <f t="shared" si="66"/>
        <v>2</v>
      </c>
      <c r="AB20" s="2">
        <f t="shared" si="56"/>
        <v>338</v>
      </c>
      <c r="AC20" s="5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20" s="5">
        <f ca="1">VLOOKUP($AB20,OFFSET([4]characters!$A$1,0,0,COUNTA([4]characters!$A:$A),MATCH(AD$1,[4]characters!$1:$1,0)-MATCH("character_id",[4]characters!$1:$1,0)+1),MATCH(AD$1,[4]characters!$1:$1,0)-MATCH("character_id",[4]characters!$1:$1,0)+1,FALSE)</f>
        <v>5</v>
      </c>
      <c r="AE20" s="5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0" s="27">
        <f t="shared" si="48"/>
        <v>1</v>
      </c>
      <c r="AG20" s="27">
        <f t="shared" ca="1" si="57"/>
        <v>5</v>
      </c>
      <c r="AH20" s="27">
        <f t="shared" ref="AH20:AM20" si="67">AH7</f>
        <v>100</v>
      </c>
      <c r="AI20" s="27">
        <f t="shared" si="67"/>
        <v>0</v>
      </c>
      <c r="AJ20" s="27">
        <f t="shared" si="67"/>
        <v>0</v>
      </c>
      <c r="AK20" s="27">
        <f t="shared" si="67"/>
        <v>0</v>
      </c>
      <c r="AL20" s="27">
        <f t="shared" si="67"/>
        <v>0</v>
      </c>
      <c r="AM20" s="27">
        <f t="shared" si="67"/>
        <v>1</v>
      </c>
    </row>
    <row r="21" spans="1:39" ht="21" customHeight="1" x14ac:dyDescent="0.15">
      <c r="A21" s="17" t="str">
        <f>B21&amp;"_"&amp;C21&amp;"-"&amp;G21&amp;"/"&amp;L21&amp;"&lt;lv"&amp;R21&amp;"&gt;s"&amp;AA21</f>
        <v>14001_3-3/337&lt;lv10&gt;s1</v>
      </c>
      <c r="B21" s="65">
        <v>14001</v>
      </c>
      <c r="C21" s="105">
        <f t="shared" si="51"/>
        <v>3</v>
      </c>
      <c r="D21" s="105" t="str">
        <f>B21&amp;"_"&amp;C21</f>
        <v>14001_3</v>
      </c>
      <c r="E21" s="106" t="str">
        <f ca="1">VLOOKUP($B21,OFFSET([2]quests!$A$1,0,0,COUNTA([2]quests!$A:$A),MATCH(E$1,[2]quests!$1:$1,0)-MATCH($B$1,[2]quests!$1:$1,0)+1),MATCH(E$1,[2]quests!$1:$1,0)-MATCH($B$1,[2]quests!$1:$1,0)+1,FALSE)</f>
        <v>【ロック】経験値/ソロ</v>
      </c>
      <c r="F21" s="106" t="str">
        <f ca="1">VLOOKUP($D21,OFFSET([2]stages!$A$1,0,0,COUNTA([2]stages!$A:$A),MATCH(F$1,[2]stages!$2:$2,0)-MATCH($D$1,[2]stages!$2:$2,0)+1),MATCH(F$1,[2]stages!$2:$2,0)-MATCH($D$1,[2]stages!$2:$2,0)+1,FALSE)</f>
        <v>【超級】森ファミリー（ハートなし）</v>
      </c>
      <c r="G21" s="105">
        <v>3</v>
      </c>
      <c r="H21" s="16" t="str">
        <f>B21&amp;"_"&amp;C21&amp;"-"&amp;G21</f>
        <v>14001_3-3</v>
      </c>
      <c r="I21" s="5">
        <f ca="1">VLOOKUP($H21,OFFSET(floors!$A$1,0,0,COUNTA(floors!$A:$A),MATCH(I$1,floors!$1:$1,0)-MATCH($H$1,floors!$1:$1,0)+1),MATCH(I$1,floors!$1:$1,0)-MATCH($H$1,floors!$1:$1,0)+1,FALSE)</f>
        <v>50</v>
      </c>
      <c r="J21" s="5">
        <f ca="1">VLOOKUP($H21,OFFSET(floors!$A$1,0,0,COUNTA(floors!$A:$A),MATCH(J$1,floors!$1:$1,0)-MATCH($H$1,floors!$1:$1,0)+1),MATCH(J$1,floors!$1:$1,0)-MATCH($H$1,floors!$1:$1,0)+1,FALSE)</f>
        <v>50</v>
      </c>
      <c r="K21" s="8" t="s">
        <v>142</v>
      </c>
      <c r="L21" s="2">
        <f t="shared" si="45"/>
        <v>337</v>
      </c>
      <c r="M21" s="20" t="str">
        <f ca="1">VLOOKUP($L21,OFFSET([3]enemies!$A$1,0,0,COUNTA([3]enemies!$A:$A),MATCH(M$1,[3]enemies!$1:$1,0)-MATCH($L$1,[3]enemies!$1:$1,0)+1),MATCH(M$1,[3]enemies!$1:$1,0)-MATCH($L$1,[3]enemies!$1:$1,0)+1,FALSE)</f>
        <v>森のメタルチック</v>
      </c>
      <c r="N21" s="20" t="str">
        <f ca="1">VLOOKUP($L21,OFFSET([3]enemies!$A$1,0,0,COUNTA([3]enemies!$A:$A),MATCH(N$1,[3]enemies!$1:$1,0)-MATCH($L$1,[3]enemies!$1:$1,0)+1),MATCH(N$1,[3]enemies!$1:$1,0)-MATCH($L$1,[3]enemies!$1:$1,0)+1,FALSE)</f>
        <v>green</v>
      </c>
      <c r="O21" s="20" t="str">
        <f ca="1">VLOOKUP($L21,OFFSET([4]characters!$A$1,0,0,COUNTA([4]characters!$A:$A),MATCH(O$1,[4]characters!$1:$1,0)-MATCH($L$1,[4]characters!$1:$1,0)+1),MATCH(O$1,[4]characters!$1:$1,0)-MATCH($L$1,[4]characters!$1:$1,0)+1,FALSE)</f>
        <v>Material</v>
      </c>
      <c r="P21" s="20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20">
        <f ca="1">VLOOKUP($L21,OFFSET([3]enemies!$A$1,0,0,COUNTA([3]enemies!$A:$A),MATCH(Q$1,[3]enemies!$1:$1,0)-MATCH($L$1,[3]enemies!$1:$1,0)+1),MATCH(Q$1,[3]enemies!$1:$1,0)-MATCH($L$1,[3]enemies!$1:$1,0)+1,FALSE)</f>
        <v>15</v>
      </c>
      <c r="R21" s="107">
        <f t="shared" ref="R21:U21" si="68">R8</f>
        <v>10</v>
      </c>
      <c r="S21" s="107">
        <f t="shared" si="68"/>
        <v>0.4</v>
      </c>
      <c r="T21" s="108">
        <f t="shared" si="68"/>
        <v>40</v>
      </c>
      <c r="U21" s="107">
        <f t="shared" si="68"/>
        <v>-2845</v>
      </c>
      <c r="V21" s="5" t="str">
        <f ca="1">VLOOKUP($W21,OFFSET([5]enemy_skill_sets!$B$1,0,0,COUNTA([5]enemy_skill_sets!$B:$B),MATCH(M$1,[5]enemy_skill_sets!$1:$1,0)-MATCH($W$1,[5]enemy_skill_sets!$1:$1,0)+2),MATCH(M$1,[5]enemy_skill_sets!$1:$1,0)-MATCH($W$1,[5]enemy_skill_sets!$1:$1,0)+2,FALSE)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" s="109">
        <f t="shared" ca="1" si="42"/>
        <v>0</v>
      </c>
      <c r="X21" s="109">
        <f t="shared" ref="X21:AA21" si="69">X8</f>
        <v>0</v>
      </c>
      <c r="Y21" s="109">
        <f t="shared" si="69"/>
        <v>100</v>
      </c>
      <c r="Z21" s="109">
        <f t="shared" si="69"/>
        <v>0</v>
      </c>
      <c r="AA21" s="109">
        <f t="shared" si="69"/>
        <v>1</v>
      </c>
      <c r="AB21" s="2">
        <f>L21</f>
        <v>337</v>
      </c>
      <c r="AC21" s="5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21" s="5">
        <f ca="1">VLOOKUP($AB21,OFFSET([4]characters!$A$1,0,0,COUNTA([4]characters!$A:$A),MATCH(AD$1,[4]characters!$1:$1,0)-MATCH("character_id",[4]characters!$1:$1,0)+1),MATCH(AD$1,[4]characters!$1:$1,0)-MATCH("character_id",[4]characters!$1:$1,0)+1,FALSE)</f>
        <v>4</v>
      </c>
      <c r="AE21" s="5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1" s="27">
        <f t="shared" si="48"/>
        <v>1</v>
      </c>
      <c r="AG21" s="27">
        <f ca="1">AD21</f>
        <v>4</v>
      </c>
      <c r="AH21" s="27">
        <f t="shared" ref="AH21:AM21" si="70">AH8</f>
        <v>0</v>
      </c>
      <c r="AI21" s="27">
        <f t="shared" si="70"/>
        <v>0</v>
      </c>
      <c r="AJ21" s="27">
        <f t="shared" si="70"/>
        <v>0</v>
      </c>
      <c r="AK21" s="27">
        <f t="shared" si="70"/>
        <v>0</v>
      </c>
      <c r="AL21" s="27">
        <f t="shared" si="70"/>
        <v>0</v>
      </c>
      <c r="AM21" s="27">
        <f t="shared" si="70"/>
        <v>1</v>
      </c>
    </row>
    <row r="22" spans="1:39" ht="21" customHeight="1" x14ac:dyDescent="0.15">
      <c r="A22" s="17" t="str">
        <f t="shared" ref="A22:A27" si="71">B22&amp;"_"&amp;C22&amp;"-"&amp;G22&amp;"/"&amp;L22&amp;"&lt;lv"&amp;R22&amp;"&gt;s"&amp;AA22</f>
        <v>14001_3-3/338&lt;lv10&gt;s2</v>
      </c>
      <c r="B22" s="65">
        <v>14001</v>
      </c>
      <c r="C22" s="105">
        <f t="shared" si="51"/>
        <v>3</v>
      </c>
      <c r="D22" s="105" t="str">
        <f t="shared" ref="D22:D27" si="72">B22&amp;"_"&amp;C22</f>
        <v>14001_3</v>
      </c>
      <c r="E22" s="106" t="str">
        <f ca="1">VLOOKUP($B22,OFFSET([2]quests!$A$1,0,0,COUNTA([2]quests!$A:$A),MATCH(E$1,[2]quests!$1:$1,0)-MATCH($B$1,[2]quests!$1:$1,0)+1),MATCH(E$1,[2]quests!$1:$1,0)-MATCH($B$1,[2]quests!$1:$1,0)+1,FALSE)</f>
        <v>【ロック】経験値/ソロ</v>
      </c>
      <c r="F22" s="106" t="str">
        <f ca="1">VLOOKUP($D22,OFFSET([2]stages!$A$1,0,0,COUNTA([2]stages!$A:$A),MATCH(F$1,[2]stages!$2:$2,0)-MATCH($D$1,[2]stages!$2:$2,0)+1),MATCH(F$1,[2]stages!$2:$2,0)-MATCH($D$1,[2]stages!$2:$2,0)+1,FALSE)</f>
        <v>【超級】森ファミリー（ハートなし）</v>
      </c>
      <c r="G22" s="105">
        <v>3</v>
      </c>
      <c r="H22" s="16" t="str">
        <f t="shared" ref="H22:H27" si="73">B22&amp;"_"&amp;C22&amp;"-"&amp;G22</f>
        <v>14001_3-3</v>
      </c>
      <c r="I22" s="5">
        <f ca="1">VLOOKUP($H22,OFFSET(floors!$A$1,0,0,COUNTA(floors!$A:$A),MATCH(I$1,floors!$1:$1,0)-MATCH($H$1,floors!$1:$1,0)+1),MATCH(I$1,floors!$1:$1,0)-MATCH($H$1,floors!$1:$1,0)+1,FALSE)</f>
        <v>50</v>
      </c>
      <c r="J22" s="5">
        <f ca="1">VLOOKUP($H22,OFFSET(floors!$A$1,0,0,COUNTA(floors!$A:$A),MATCH(J$1,floors!$1:$1,0)-MATCH($H$1,floors!$1:$1,0)+1),MATCH(J$1,floors!$1:$1,0)-MATCH($H$1,floors!$1:$1,0)+1,FALSE)</f>
        <v>50</v>
      </c>
      <c r="K22" s="8" t="s">
        <v>142</v>
      </c>
      <c r="L22" s="2">
        <f t="shared" si="45"/>
        <v>338</v>
      </c>
      <c r="M22" s="20" t="str">
        <f ca="1">VLOOKUP($L22,OFFSET([3]enemies!$A$1,0,0,COUNTA([3]enemies!$A:$A),MATCH(M$1,[3]enemies!$1:$1,0)-MATCH($L$1,[3]enemies!$1:$1,0)+1),MATCH(M$1,[3]enemies!$1:$1,0)-MATCH($L$1,[3]enemies!$1:$1,0)+1,FALSE)</f>
        <v>森のメタルダック</v>
      </c>
      <c r="N22" s="20" t="str">
        <f ca="1">VLOOKUP($L22,OFFSET([3]enemies!$A$1,0,0,COUNTA([3]enemies!$A:$A),MATCH(N$1,[3]enemies!$1:$1,0)-MATCH($L$1,[3]enemies!$1:$1,0)+1),MATCH(N$1,[3]enemies!$1:$1,0)-MATCH($L$1,[3]enemies!$1:$1,0)+1,FALSE)</f>
        <v>green</v>
      </c>
      <c r="O22" s="20" t="str">
        <f ca="1">VLOOKUP($L22,OFFSET([4]characters!$A$1,0,0,COUNTA([4]characters!$A:$A),MATCH(O$1,[4]characters!$1:$1,0)-MATCH($L$1,[4]characters!$1:$1,0)+1),MATCH(O$1,[4]characters!$1:$1,0)-MATCH($L$1,[4]characters!$1:$1,0)+1,FALSE)</f>
        <v>Material</v>
      </c>
      <c r="P22" s="20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20">
        <f ca="1">VLOOKUP($L22,OFFSET([3]enemies!$A$1,0,0,COUNTA([3]enemies!$A:$A),MATCH(Q$1,[3]enemies!$1:$1,0)-MATCH($L$1,[3]enemies!$1:$1,0)+1),MATCH(Q$1,[3]enemies!$1:$1,0)-MATCH($L$1,[3]enemies!$1:$1,0)+1,FALSE)</f>
        <v>20</v>
      </c>
      <c r="R22" s="107">
        <f t="shared" ref="R22:U22" si="74">R9</f>
        <v>10</v>
      </c>
      <c r="S22" s="107">
        <f t="shared" si="74"/>
        <v>0.4</v>
      </c>
      <c r="T22" s="108">
        <f t="shared" si="74"/>
        <v>40</v>
      </c>
      <c r="U22" s="107">
        <f t="shared" si="74"/>
        <v>-20223</v>
      </c>
      <c r="V22" s="5" t="str">
        <f ca="1">VLOOKUP($W22,OFFSET([5]enemy_skill_sets!$B$1,0,0,COUNTA([5]enemy_skill_sets!$B:$B),MATCH(M$1,[5]enemy_skill_sets!$1:$1,0)-MATCH($W$1,[5]enemy_skill_sets!$1:$1,0)+2),MATCH(M$1,[5]enemy_skill_sets!$1:$1,0)-MATCH($W$1,[5]enemy_skill_sets!$1:$1,0)+2,FALSE)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" s="109">
        <f t="shared" ca="1" si="42"/>
        <v>0</v>
      </c>
      <c r="X22" s="109">
        <f t="shared" ref="X22:AA22" si="75">X9</f>
        <v>0</v>
      </c>
      <c r="Y22" s="109">
        <f t="shared" si="75"/>
        <v>34</v>
      </c>
      <c r="Z22" s="109">
        <f t="shared" si="75"/>
        <v>1</v>
      </c>
      <c r="AA22" s="109">
        <f t="shared" si="75"/>
        <v>2</v>
      </c>
      <c r="AB22" s="2">
        <f t="shared" ref="AB22:AB27" si="76">L22</f>
        <v>338</v>
      </c>
      <c r="AC22" s="5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22" s="5">
        <f ca="1">VLOOKUP($AB22,OFFSET([4]characters!$A$1,0,0,COUNTA([4]characters!$A:$A),MATCH(AD$1,[4]characters!$1:$1,0)-MATCH("character_id",[4]characters!$1:$1,0)+1),MATCH(AD$1,[4]characters!$1:$1,0)-MATCH("character_id",[4]characters!$1:$1,0)+1,FALSE)</f>
        <v>5</v>
      </c>
      <c r="AE22" s="5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2" s="27">
        <f t="shared" si="48"/>
        <v>1</v>
      </c>
      <c r="AG22" s="27">
        <f t="shared" ref="AG22:AG27" ca="1" si="77">AD22</f>
        <v>5</v>
      </c>
      <c r="AH22" s="27">
        <f t="shared" ref="AH22:AM22" si="78">AH9</f>
        <v>100</v>
      </c>
      <c r="AI22" s="27">
        <f t="shared" si="78"/>
        <v>0</v>
      </c>
      <c r="AJ22" s="27">
        <f t="shared" si="78"/>
        <v>0</v>
      </c>
      <c r="AK22" s="27">
        <f t="shared" si="78"/>
        <v>0</v>
      </c>
      <c r="AL22" s="27">
        <f t="shared" si="78"/>
        <v>0</v>
      </c>
      <c r="AM22" s="27">
        <f t="shared" si="78"/>
        <v>1</v>
      </c>
    </row>
    <row r="23" spans="1:39" ht="21" customHeight="1" x14ac:dyDescent="0.15">
      <c r="A23" s="17" t="str">
        <f t="shared" si="71"/>
        <v>14001_3-3/339&lt;lv10&gt;s2</v>
      </c>
      <c r="B23" s="65">
        <v>14001</v>
      </c>
      <c r="C23" s="105">
        <f t="shared" si="51"/>
        <v>3</v>
      </c>
      <c r="D23" s="105" t="str">
        <f t="shared" si="72"/>
        <v>14001_3</v>
      </c>
      <c r="E23" s="106" t="str">
        <f ca="1">VLOOKUP($B23,OFFSET([2]quests!$A$1,0,0,COUNTA([2]quests!$A:$A),MATCH(E$1,[2]quests!$1:$1,0)-MATCH($B$1,[2]quests!$1:$1,0)+1),MATCH(E$1,[2]quests!$1:$1,0)-MATCH($B$1,[2]quests!$1:$1,0)+1,FALSE)</f>
        <v>【ロック】経験値/ソロ</v>
      </c>
      <c r="F23" s="106" t="str">
        <f ca="1">VLOOKUP($D23,OFFSET([2]stages!$A$1,0,0,COUNTA([2]stages!$A:$A),MATCH(F$1,[2]stages!$2:$2,0)-MATCH($D$1,[2]stages!$2:$2,0)+1),MATCH(F$1,[2]stages!$2:$2,0)-MATCH($D$1,[2]stages!$2:$2,0)+1,FALSE)</f>
        <v>【超級】森ファミリー（ハートなし）</v>
      </c>
      <c r="G23" s="105">
        <v>3</v>
      </c>
      <c r="H23" s="16" t="str">
        <f t="shared" si="73"/>
        <v>14001_3-3</v>
      </c>
      <c r="I23" s="5">
        <f ca="1">VLOOKUP($H23,OFFSET(floors!$A$1,0,0,COUNTA(floors!$A:$A),MATCH(I$1,floors!$1:$1,0)-MATCH($H$1,floors!$1:$1,0)+1),MATCH(I$1,floors!$1:$1,0)-MATCH($H$1,floors!$1:$1,0)+1,FALSE)</f>
        <v>50</v>
      </c>
      <c r="J23" s="5">
        <f ca="1">VLOOKUP($H23,OFFSET(floors!$A$1,0,0,COUNTA(floors!$A:$A),MATCH(J$1,floors!$1:$1,0)-MATCH($H$1,floors!$1:$1,0)+1),MATCH(J$1,floors!$1:$1,0)-MATCH($H$1,floors!$1:$1,0)+1,FALSE)</f>
        <v>50</v>
      </c>
      <c r="K23" s="8" t="s">
        <v>142</v>
      </c>
      <c r="L23" s="2">
        <f t="shared" si="45"/>
        <v>339</v>
      </c>
      <c r="M23" s="20" t="str">
        <f ca="1">VLOOKUP($L23,OFFSET([3]enemies!$A$1,0,0,COUNTA([3]enemies!$A:$A),MATCH(M$1,[3]enemies!$1:$1,0)-MATCH($L$1,[3]enemies!$1:$1,0)+1),MATCH(M$1,[3]enemies!$1:$1,0)-MATCH($L$1,[3]enemies!$1:$1,0)+1,FALSE)</f>
        <v>森のメタルジェントル</v>
      </c>
      <c r="N23" s="20" t="str">
        <f ca="1">VLOOKUP($L23,OFFSET([3]enemies!$A$1,0,0,COUNTA([3]enemies!$A:$A),MATCH(N$1,[3]enemies!$1:$1,0)-MATCH($L$1,[3]enemies!$1:$1,0)+1),MATCH(N$1,[3]enemies!$1:$1,0)-MATCH($L$1,[3]enemies!$1:$1,0)+1,FALSE)</f>
        <v>green</v>
      </c>
      <c r="O23" s="20" t="str">
        <f ca="1">VLOOKUP($L23,OFFSET([4]characters!$A$1,0,0,COUNTA([4]characters!$A:$A),MATCH(O$1,[4]characters!$1:$1,0)-MATCH($L$1,[4]characters!$1:$1,0)+1),MATCH(O$1,[4]characters!$1:$1,0)-MATCH($L$1,[4]characters!$1:$1,0)+1,FALSE)</f>
        <v>Material</v>
      </c>
      <c r="P23" s="20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20">
        <f ca="1">VLOOKUP($L23,OFFSET([3]enemies!$A$1,0,0,COUNTA([3]enemies!$A:$A),MATCH(Q$1,[3]enemies!$1:$1,0)-MATCH($L$1,[3]enemies!$1:$1,0)+1),MATCH(Q$1,[3]enemies!$1:$1,0)-MATCH($L$1,[3]enemies!$1:$1,0)+1,FALSE)</f>
        <v>20</v>
      </c>
      <c r="R23" s="107">
        <f t="shared" ref="R23:U23" si="79">R10</f>
        <v>10</v>
      </c>
      <c r="S23" s="107">
        <f t="shared" si="79"/>
        <v>0.2</v>
      </c>
      <c r="T23" s="108">
        <f t="shared" si="79"/>
        <v>50</v>
      </c>
      <c r="U23" s="107">
        <f t="shared" si="79"/>
        <v>-30889</v>
      </c>
      <c r="V23" s="5" t="str">
        <f ca="1">VLOOKUP($W23,OFFSET(enemy_skill_sets!$B$1,0,0,COUNTA(enemy_skill_sets!$B:$B),MATCH(M$1,enemy_skill_sets!$1:$1,0)-MATCH($W$1,enemy_skill_sets!$1:$1,0)+2),MATCH(M$1,enemy_skill_sets!$1:$1,0)-MATCH($W$1,enemy_skill_sets!$1:$1,0)+2,FALSE)</f>
        <v>なんと ジェントルがあらわれた！</v>
      </c>
      <c r="W23" s="109">
        <f t="shared" si="42"/>
        <v>14001030</v>
      </c>
      <c r="X23" s="109">
        <f t="shared" ref="X23:AA23" si="80">X10</f>
        <v>0</v>
      </c>
      <c r="Y23" s="109">
        <f t="shared" si="80"/>
        <v>66</v>
      </c>
      <c r="Z23" s="109">
        <f t="shared" si="80"/>
        <v>1</v>
      </c>
      <c r="AA23" s="109">
        <f t="shared" si="80"/>
        <v>2</v>
      </c>
      <c r="AB23" s="2">
        <f t="shared" si="76"/>
        <v>339</v>
      </c>
      <c r="AC23" s="5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森のメタルジェントル</v>
      </c>
      <c r="AD23" s="5">
        <f ca="1">VLOOKUP($AB23,OFFSET([4]characters!$A$1,0,0,COUNTA([4]characters!$A:$A),MATCH(AD$1,[4]characters!$1:$1,0)-MATCH("character_id",[4]characters!$1:$1,0)+1),MATCH(AD$1,[4]characters!$1:$1,0)-MATCH("character_id",[4]characters!$1:$1,0)+1,FALSE)</f>
        <v>6</v>
      </c>
      <c r="AE23" s="5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3" s="27">
        <f t="shared" si="48"/>
        <v>1</v>
      </c>
      <c r="AG23" s="27">
        <f t="shared" ca="1" si="77"/>
        <v>6</v>
      </c>
      <c r="AH23" s="27">
        <f t="shared" ref="AH23:AM23" si="81">AH10</f>
        <v>100</v>
      </c>
      <c r="AI23" s="27">
        <f t="shared" si="81"/>
        <v>0</v>
      </c>
      <c r="AJ23" s="27">
        <f t="shared" si="81"/>
        <v>0</v>
      </c>
      <c r="AK23" s="27">
        <f t="shared" si="81"/>
        <v>0</v>
      </c>
      <c r="AL23" s="27">
        <f t="shared" si="81"/>
        <v>0</v>
      </c>
      <c r="AM23" s="27">
        <f t="shared" si="81"/>
        <v>1</v>
      </c>
    </row>
    <row r="24" spans="1:39" ht="21" customHeight="1" x14ac:dyDescent="0.15">
      <c r="A24" s="17" t="str">
        <f t="shared" si="71"/>
        <v>14001_3-4/338&lt;lv10&gt;s2</v>
      </c>
      <c r="B24" s="65">
        <v>14001</v>
      </c>
      <c r="C24" s="105">
        <f t="shared" si="51"/>
        <v>3</v>
      </c>
      <c r="D24" s="105" t="str">
        <f t="shared" si="72"/>
        <v>14001_3</v>
      </c>
      <c r="E24" s="106" t="str">
        <f ca="1">VLOOKUP($B24,OFFSET([2]quests!$A$1,0,0,COUNTA([2]quests!$A:$A),MATCH(E$1,[2]quests!$1:$1,0)-MATCH($B$1,[2]quests!$1:$1,0)+1),MATCH(E$1,[2]quests!$1:$1,0)-MATCH($B$1,[2]quests!$1:$1,0)+1,FALSE)</f>
        <v>【ロック】経験値/ソロ</v>
      </c>
      <c r="F24" s="106" t="str">
        <f ca="1">VLOOKUP($D24,OFFSET([2]stages!$A$1,0,0,COUNTA([2]stages!$A:$A),MATCH(F$1,[2]stages!$2:$2,0)-MATCH($D$1,[2]stages!$2:$2,0)+1),MATCH(F$1,[2]stages!$2:$2,0)-MATCH($D$1,[2]stages!$2:$2,0)+1,FALSE)</f>
        <v>【超級】森ファミリー（ハートなし）</v>
      </c>
      <c r="G24" s="105">
        <v>4</v>
      </c>
      <c r="H24" s="16" t="str">
        <f t="shared" si="73"/>
        <v>14001_3-4</v>
      </c>
      <c r="I24" s="5">
        <f ca="1">VLOOKUP($H24,OFFSET(floors!$A$1,0,0,COUNTA(floors!$A:$A),MATCH(I$1,floors!$1:$1,0)-MATCH($H$1,floors!$1:$1,0)+1),MATCH(I$1,floors!$1:$1,0)-MATCH($H$1,floors!$1:$1,0)+1,FALSE)</f>
        <v>59</v>
      </c>
      <c r="J24" s="5">
        <f ca="1">VLOOKUP($H24,OFFSET(floors!$A$1,0,0,COUNTA(floors!$A:$A),MATCH(J$1,floors!$1:$1,0)-MATCH($H$1,floors!$1:$1,0)+1),MATCH(J$1,floors!$1:$1,0)-MATCH($H$1,floors!$1:$1,0)+1,FALSE)</f>
        <v>60</v>
      </c>
      <c r="K24" s="8" t="s">
        <v>142</v>
      </c>
      <c r="L24" s="2">
        <f t="shared" si="45"/>
        <v>338</v>
      </c>
      <c r="M24" s="20" t="str">
        <f ca="1">VLOOKUP($L24,OFFSET([3]enemies!$A$1,0,0,COUNTA([3]enemies!$A:$A),MATCH(M$1,[3]enemies!$1:$1,0)-MATCH($L$1,[3]enemies!$1:$1,0)+1),MATCH(M$1,[3]enemies!$1:$1,0)-MATCH($L$1,[3]enemies!$1:$1,0)+1,FALSE)</f>
        <v>森のメタルダック</v>
      </c>
      <c r="N24" s="20" t="str">
        <f ca="1">VLOOKUP($L24,OFFSET([3]enemies!$A$1,0,0,COUNTA([3]enemies!$A:$A),MATCH(N$1,[3]enemies!$1:$1,0)-MATCH($L$1,[3]enemies!$1:$1,0)+1),MATCH(N$1,[3]enemies!$1:$1,0)-MATCH($L$1,[3]enemies!$1:$1,0)+1,FALSE)</f>
        <v>green</v>
      </c>
      <c r="O24" s="20" t="str">
        <f ca="1">VLOOKUP($L24,OFFSET([4]characters!$A$1,0,0,COUNTA([4]characters!$A:$A),MATCH(O$1,[4]characters!$1:$1,0)-MATCH($L$1,[4]characters!$1:$1,0)+1),MATCH(O$1,[4]characters!$1:$1,0)-MATCH($L$1,[4]characters!$1:$1,0)+1,FALSE)</f>
        <v>Material</v>
      </c>
      <c r="P24" s="20" t="str">
        <f ca="1">VLOOKUP($L24,OFFSET([3]enemies!$A$1,0,0,COUNTA([3]enemies!$A:$A),MATCH(P$1,[3]enemies!$1:$1,0)-MATCH($L$1,[3]enemies!$1:$1,0)+1),MATCH(P$1,[3]enemies!$1:$1,0)-MATCH($L$1,[3]enemies!$1:$1,0)+1,FALSE)</f>
        <v>unknown</v>
      </c>
      <c r="Q24" s="20">
        <f ca="1">VLOOKUP($L24,OFFSET([3]enemies!$A$1,0,0,COUNTA([3]enemies!$A:$A),MATCH(Q$1,[3]enemies!$1:$1,0)-MATCH($L$1,[3]enemies!$1:$1,0)+1),MATCH(Q$1,[3]enemies!$1:$1,0)-MATCH($L$1,[3]enemies!$1:$1,0)+1,FALSE)</f>
        <v>20</v>
      </c>
      <c r="R24" s="107">
        <f t="shared" ref="R24:U24" si="82">R11</f>
        <v>10</v>
      </c>
      <c r="S24" s="107">
        <f t="shared" si="82"/>
        <v>0.4</v>
      </c>
      <c r="T24" s="108">
        <f t="shared" si="82"/>
        <v>40</v>
      </c>
      <c r="U24" s="107">
        <f t="shared" si="82"/>
        <v>-20223</v>
      </c>
      <c r="V24" s="5" t="str">
        <f ca="1">VLOOKUP($W24,OFFSET([5]enemy_skill_sets!$B$1,0,0,COUNTA([5]enemy_skill_sets!$B:$B),MATCH(M$1,[5]enemy_skill_sets!$1:$1,0)-MATCH($W$1,[5]enemy_skill_sets!$1:$1,0)+2),MATCH(M$1,[5]enemy_skill_sets!$1:$1,0)-MATCH($W$1,[5]enemy_skill_sets!$1:$1,0)+2,FALSE)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" s="109">
        <f t="shared" ca="1" si="42"/>
        <v>0</v>
      </c>
      <c r="X24" s="109">
        <f t="shared" ref="X24:AA24" si="83">X11</f>
        <v>0</v>
      </c>
      <c r="Y24" s="109">
        <f t="shared" si="83"/>
        <v>100</v>
      </c>
      <c r="Z24" s="109">
        <f t="shared" si="83"/>
        <v>0</v>
      </c>
      <c r="AA24" s="109">
        <f t="shared" si="83"/>
        <v>2</v>
      </c>
      <c r="AB24" s="2">
        <f t="shared" si="76"/>
        <v>338</v>
      </c>
      <c r="AC24" s="5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24" s="5">
        <f ca="1">VLOOKUP($AB24,OFFSET([4]characters!$A$1,0,0,COUNTA([4]characters!$A:$A),MATCH(AD$1,[4]characters!$1:$1,0)-MATCH("character_id",[4]characters!$1:$1,0)+1),MATCH(AD$1,[4]characters!$1:$1,0)-MATCH("character_id",[4]characters!$1:$1,0)+1,FALSE)</f>
        <v>5</v>
      </c>
      <c r="AE24" s="5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4" s="27">
        <f t="shared" si="48"/>
        <v>1</v>
      </c>
      <c r="AG24" s="27">
        <f t="shared" ca="1" si="77"/>
        <v>5</v>
      </c>
      <c r="AH24" s="27">
        <f t="shared" ref="AH24:AM24" si="84">AH11</f>
        <v>100</v>
      </c>
      <c r="AI24" s="27">
        <f t="shared" si="84"/>
        <v>0</v>
      </c>
      <c r="AJ24" s="27">
        <f t="shared" si="84"/>
        <v>0</v>
      </c>
      <c r="AK24" s="27">
        <f t="shared" si="84"/>
        <v>0</v>
      </c>
      <c r="AL24" s="27">
        <f t="shared" si="84"/>
        <v>0</v>
      </c>
      <c r="AM24" s="27">
        <f t="shared" si="84"/>
        <v>1</v>
      </c>
    </row>
    <row r="25" spans="1:39" ht="21" customHeight="1" x14ac:dyDescent="0.15">
      <c r="A25" s="17" t="str">
        <f t="shared" si="71"/>
        <v>14001_3-5/337&lt;lv10&gt;s2</v>
      </c>
      <c r="B25" s="65">
        <v>14001</v>
      </c>
      <c r="C25" s="105">
        <f t="shared" si="51"/>
        <v>3</v>
      </c>
      <c r="D25" s="105" t="str">
        <f t="shared" si="72"/>
        <v>14001_3</v>
      </c>
      <c r="E25" s="106" t="str">
        <f ca="1">VLOOKUP($B25,OFFSET([2]quests!$A$1,0,0,COUNTA([2]quests!$A:$A),MATCH(E$1,[2]quests!$1:$1,0)-MATCH($B$1,[2]quests!$1:$1,0)+1),MATCH(E$1,[2]quests!$1:$1,0)-MATCH($B$1,[2]quests!$1:$1,0)+1,FALSE)</f>
        <v>【ロック】経験値/ソロ</v>
      </c>
      <c r="F25" s="106" t="str">
        <f ca="1">VLOOKUP($D25,OFFSET([2]stages!$A$1,0,0,COUNTA([2]stages!$A:$A),MATCH(F$1,[2]stages!$2:$2,0)-MATCH($D$1,[2]stages!$2:$2,0)+1),MATCH(F$1,[2]stages!$2:$2,0)-MATCH($D$1,[2]stages!$2:$2,0)+1,FALSE)</f>
        <v>【超級】森ファミリー（ハートなし）</v>
      </c>
      <c r="G25" s="105">
        <v>5</v>
      </c>
      <c r="H25" s="16" t="str">
        <f t="shared" si="73"/>
        <v>14001_3-5</v>
      </c>
      <c r="I25" s="5">
        <f ca="1">VLOOKUP($H25,OFFSET(floors!$A$1,0,0,COUNTA(floors!$A:$A),MATCH(I$1,floors!$1:$1,0)-MATCH($H$1,floors!$1:$1,0)+1),MATCH(I$1,floors!$1:$1,0)-MATCH($H$1,floors!$1:$1,0)+1,FALSE)</f>
        <v>55</v>
      </c>
      <c r="J25" s="5">
        <f ca="1">VLOOKUP($H25,OFFSET(floors!$A$1,0,0,COUNTA(floors!$A:$A),MATCH(J$1,floors!$1:$1,0)-MATCH($H$1,floors!$1:$1,0)+1),MATCH(J$1,floors!$1:$1,0)-MATCH($H$1,floors!$1:$1,0)+1,FALSE)</f>
        <v>55</v>
      </c>
      <c r="K25" s="8" t="s">
        <v>142</v>
      </c>
      <c r="L25" s="2">
        <f t="shared" si="45"/>
        <v>337</v>
      </c>
      <c r="M25" s="20" t="str">
        <f ca="1">VLOOKUP($L25,OFFSET([3]enemies!$A$1,0,0,COUNTA([3]enemies!$A:$A),MATCH(M$1,[3]enemies!$1:$1,0)-MATCH($L$1,[3]enemies!$1:$1,0)+1),MATCH(M$1,[3]enemies!$1:$1,0)-MATCH($L$1,[3]enemies!$1:$1,0)+1,FALSE)</f>
        <v>森のメタルチック</v>
      </c>
      <c r="N25" s="20" t="str">
        <f ca="1">VLOOKUP($L25,OFFSET([3]enemies!$A$1,0,0,COUNTA([3]enemies!$A:$A),MATCH(N$1,[3]enemies!$1:$1,0)-MATCH($L$1,[3]enemies!$1:$1,0)+1),MATCH(N$1,[3]enemies!$1:$1,0)-MATCH($L$1,[3]enemies!$1:$1,0)+1,FALSE)</f>
        <v>green</v>
      </c>
      <c r="O25" s="20" t="str">
        <f ca="1">VLOOKUP($L25,OFFSET([4]characters!$A$1,0,0,COUNTA([4]characters!$A:$A),MATCH(O$1,[4]characters!$1:$1,0)-MATCH($L$1,[4]characters!$1:$1,0)+1),MATCH(O$1,[4]characters!$1:$1,0)-MATCH($L$1,[4]characters!$1:$1,0)+1,FALSE)</f>
        <v>Material</v>
      </c>
      <c r="P25" s="20" t="str">
        <f ca="1">VLOOKUP($L25,OFFSET([3]enemies!$A$1,0,0,COUNTA([3]enemies!$A:$A),MATCH(P$1,[3]enemies!$1:$1,0)-MATCH($L$1,[3]enemies!$1:$1,0)+1),MATCH(P$1,[3]enemies!$1:$1,0)-MATCH($L$1,[3]enemies!$1:$1,0)+1,FALSE)</f>
        <v>unknown</v>
      </c>
      <c r="Q25" s="20">
        <f ca="1">VLOOKUP($L25,OFFSET([3]enemies!$A$1,0,0,COUNTA([3]enemies!$A:$A),MATCH(Q$1,[3]enemies!$1:$1,0)-MATCH($L$1,[3]enemies!$1:$1,0)+1),MATCH(Q$1,[3]enemies!$1:$1,0)-MATCH($L$1,[3]enemies!$1:$1,0)+1,FALSE)</f>
        <v>15</v>
      </c>
      <c r="R25" s="107">
        <f t="shared" ref="R25:U25" si="85">R12</f>
        <v>10</v>
      </c>
      <c r="S25" s="107">
        <f t="shared" si="85"/>
        <v>0.4</v>
      </c>
      <c r="T25" s="108">
        <f t="shared" si="85"/>
        <v>40</v>
      </c>
      <c r="U25" s="107">
        <f t="shared" si="85"/>
        <v>-2845</v>
      </c>
      <c r="V25" s="5" t="str">
        <f ca="1">VLOOKUP($W25,OFFSET([5]enemy_skill_sets!$B$1,0,0,COUNTA([5]enemy_skill_sets!$B:$B),MATCH(M$1,[5]enemy_skill_sets!$1:$1,0)-MATCH($W$1,[5]enemy_skill_sets!$1:$1,0)+2),MATCH(M$1,[5]enemy_skill_sets!$1:$1,0)-MATCH($W$1,[5]enemy_skill_sets!$1:$1,0)+2,FALSE)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" s="109">
        <f t="shared" ca="1" si="42"/>
        <v>0</v>
      </c>
      <c r="X25" s="109">
        <f t="shared" ref="X25:AA25" si="86">X12</f>
        <v>1</v>
      </c>
      <c r="Y25" s="109">
        <f t="shared" si="86"/>
        <v>0</v>
      </c>
      <c r="Z25" s="109">
        <f t="shared" si="86"/>
        <v>2</v>
      </c>
      <c r="AA25" s="109">
        <f t="shared" si="86"/>
        <v>2</v>
      </c>
      <c r="AB25" s="2">
        <f t="shared" si="76"/>
        <v>337</v>
      </c>
      <c r="AC25" s="5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25" s="5">
        <f ca="1">VLOOKUP($AB25,OFFSET([4]characters!$A$1,0,0,COUNTA([4]characters!$A:$A),MATCH(AD$1,[4]characters!$1:$1,0)-MATCH("character_id",[4]characters!$1:$1,0)+1),MATCH(AD$1,[4]characters!$1:$1,0)-MATCH("character_id",[4]characters!$1:$1,0)+1,FALSE)</f>
        <v>4</v>
      </c>
      <c r="AE25" s="5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5" s="27">
        <f t="shared" si="48"/>
        <v>1</v>
      </c>
      <c r="AG25" s="27">
        <f t="shared" ca="1" si="77"/>
        <v>4</v>
      </c>
      <c r="AH25" s="27">
        <f t="shared" ref="AH25:AM25" si="87">AH12</f>
        <v>0</v>
      </c>
      <c r="AI25" s="27">
        <f t="shared" si="87"/>
        <v>0</v>
      </c>
      <c r="AJ25" s="27">
        <f t="shared" si="87"/>
        <v>0</v>
      </c>
      <c r="AK25" s="27">
        <f t="shared" si="87"/>
        <v>0</v>
      </c>
      <c r="AL25" s="27">
        <f t="shared" si="87"/>
        <v>0</v>
      </c>
      <c r="AM25" s="27">
        <f t="shared" si="87"/>
        <v>1</v>
      </c>
    </row>
    <row r="26" spans="1:39" ht="21" customHeight="1" x14ac:dyDescent="0.15">
      <c r="A26" s="17" t="str">
        <f t="shared" si="71"/>
        <v>14001_3-5/338&lt;lv10&gt;s2</v>
      </c>
      <c r="B26" s="65">
        <v>14001</v>
      </c>
      <c r="C26" s="105">
        <f t="shared" si="51"/>
        <v>3</v>
      </c>
      <c r="D26" s="105" t="str">
        <f t="shared" si="72"/>
        <v>14001_3</v>
      </c>
      <c r="E26" s="106" t="str">
        <f ca="1">VLOOKUP($B26,OFFSET([2]quests!$A$1,0,0,COUNTA([2]quests!$A:$A),MATCH(E$1,[2]quests!$1:$1,0)-MATCH($B$1,[2]quests!$1:$1,0)+1),MATCH(E$1,[2]quests!$1:$1,0)-MATCH($B$1,[2]quests!$1:$1,0)+1,FALSE)</f>
        <v>【ロック】経験値/ソロ</v>
      </c>
      <c r="F26" s="106" t="str">
        <f ca="1">VLOOKUP($D26,OFFSET([2]stages!$A$1,0,0,COUNTA([2]stages!$A:$A),MATCH(F$1,[2]stages!$2:$2,0)-MATCH($D$1,[2]stages!$2:$2,0)+1),MATCH(F$1,[2]stages!$2:$2,0)-MATCH($D$1,[2]stages!$2:$2,0)+1,FALSE)</f>
        <v>【超級】森ファミリー（ハートなし）</v>
      </c>
      <c r="G26" s="105">
        <v>5</v>
      </c>
      <c r="H26" s="16" t="str">
        <f t="shared" si="73"/>
        <v>14001_3-5</v>
      </c>
      <c r="I26" s="5">
        <f ca="1">VLOOKUP($H26,OFFSET(floors!$A$1,0,0,COUNTA(floors!$A:$A),MATCH(I$1,floors!$1:$1,0)-MATCH($H$1,floors!$1:$1,0)+1),MATCH(I$1,floors!$1:$1,0)-MATCH($H$1,floors!$1:$1,0)+1,FALSE)</f>
        <v>55</v>
      </c>
      <c r="J26" s="5">
        <f ca="1">VLOOKUP($H26,OFFSET(floors!$A$1,0,0,COUNTA(floors!$A:$A),MATCH(J$1,floors!$1:$1,0)-MATCH($H$1,floors!$1:$1,0)+1),MATCH(J$1,floors!$1:$1,0)-MATCH($H$1,floors!$1:$1,0)+1,FALSE)</f>
        <v>55</v>
      </c>
      <c r="K26" s="8" t="s">
        <v>142</v>
      </c>
      <c r="L26" s="2">
        <f t="shared" si="45"/>
        <v>338</v>
      </c>
      <c r="M26" s="20" t="str">
        <f ca="1">VLOOKUP($L26,OFFSET([3]enemies!$A$1,0,0,COUNTA([3]enemies!$A:$A),MATCH(M$1,[3]enemies!$1:$1,0)-MATCH($L$1,[3]enemies!$1:$1,0)+1),MATCH(M$1,[3]enemies!$1:$1,0)-MATCH($L$1,[3]enemies!$1:$1,0)+1,FALSE)</f>
        <v>森のメタルダック</v>
      </c>
      <c r="N26" s="20" t="str">
        <f ca="1">VLOOKUP($L26,OFFSET([3]enemies!$A$1,0,0,COUNTA([3]enemies!$A:$A),MATCH(N$1,[3]enemies!$1:$1,0)-MATCH($L$1,[3]enemies!$1:$1,0)+1),MATCH(N$1,[3]enemies!$1:$1,0)-MATCH($L$1,[3]enemies!$1:$1,0)+1,FALSE)</f>
        <v>green</v>
      </c>
      <c r="O26" s="20" t="str">
        <f ca="1">VLOOKUP($L26,OFFSET([4]characters!$A$1,0,0,COUNTA([4]characters!$A:$A),MATCH(O$1,[4]characters!$1:$1,0)-MATCH($L$1,[4]characters!$1:$1,0)+1),MATCH(O$1,[4]characters!$1:$1,0)-MATCH($L$1,[4]characters!$1:$1,0)+1,FALSE)</f>
        <v>Material</v>
      </c>
      <c r="P26" s="20" t="str">
        <f ca="1">VLOOKUP($L26,OFFSET([3]enemies!$A$1,0,0,COUNTA([3]enemies!$A:$A),MATCH(P$1,[3]enemies!$1:$1,0)-MATCH($L$1,[3]enemies!$1:$1,0)+1),MATCH(P$1,[3]enemies!$1:$1,0)-MATCH($L$1,[3]enemies!$1:$1,0)+1,FALSE)</f>
        <v>unknown</v>
      </c>
      <c r="Q26" s="20">
        <f ca="1">VLOOKUP($L26,OFFSET([3]enemies!$A$1,0,0,COUNTA([3]enemies!$A:$A),MATCH(Q$1,[3]enemies!$1:$1,0)-MATCH($L$1,[3]enemies!$1:$1,0)+1),MATCH(Q$1,[3]enemies!$1:$1,0)-MATCH($L$1,[3]enemies!$1:$1,0)+1,FALSE)</f>
        <v>20</v>
      </c>
      <c r="R26" s="107">
        <f t="shared" ref="R26:U26" si="88">R13</f>
        <v>10</v>
      </c>
      <c r="S26" s="107">
        <f t="shared" si="88"/>
        <v>0.4</v>
      </c>
      <c r="T26" s="108">
        <f t="shared" si="88"/>
        <v>40</v>
      </c>
      <c r="U26" s="107">
        <f t="shared" si="88"/>
        <v>-20223</v>
      </c>
      <c r="V26" s="5" t="str">
        <f ca="1">VLOOKUP($W26,OFFSET([5]enemy_skill_sets!$B$1,0,0,COUNTA([5]enemy_skill_sets!$B:$B),MATCH(M$1,[5]enemy_skill_sets!$1:$1,0)-MATCH($W$1,[5]enemy_skill_sets!$1:$1,0)+2),MATCH(M$1,[5]enemy_skill_sets!$1:$1,0)-MATCH($W$1,[5]enemy_skill_sets!$1:$1,0)+2,FALSE)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" s="109">
        <f t="shared" ca="1" si="42"/>
        <v>0</v>
      </c>
      <c r="X26" s="109">
        <f t="shared" ref="X26:AA26" si="89">X13</f>
        <v>1</v>
      </c>
      <c r="Y26" s="109">
        <f t="shared" si="89"/>
        <v>0</v>
      </c>
      <c r="Z26" s="109">
        <f t="shared" si="89"/>
        <v>1</v>
      </c>
      <c r="AA26" s="109">
        <f t="shared" si="89"/>
        <v>2</v>
      </c>
      <c r="AB26" s="2">
        <f t="shared" si="76"/>
        <v>338</v>
      </c>
      <c r="AC26" s="5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26" s="5">
        <f ca="1">VLOOKUP($AB26,OFFSET([4]characters!$A$1,0,0,COUNTA([4]characters!$A:$A),MATCH(AD$1,[4]characters!$1:$1,0)-MATCH("character_id",[4]characters!$1:$1,0)+1),MATCH(AD$1,[4]characters!$1:$1,0)-MATCH("character_id",[4]characters!$1:$1,0)+1,FALSE)</f>
        <v>5</v>
      </c>
      <c r="AE26" s="5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6" s="27">
        <f t="shared" si="48"/>
        <v>1</v>
      </c>
      <c r="AG26" s="27">
        <f t="shared" ca="1" si="77"/>
        <v>5</v>
      </c>
      <c r="AH26" s="27">
        <f t="shared" ref="AH26:AM26" si="90">AH13</f>
        <v>0</v>
      </c>
      <c r="AI26" s="27">
        <f t="shared" si="90"/>
        <v>0</v>
      </c>
      <c r="AJ26" s="27">
        <f t="shared" si="90"/>
        <v>0</v>
      </c>
      <c r="AK26" s="27">
        <f t="shared" si="90"/>
        <v>0</v>
      </c>
      <c r="AL26" s="27">
        <f t="shared" si="90"/>
        <v>0</v>
      </c>
      <c r="AM26" s="27">
        <f t="shared" si="90"/>
        <v>1</v>
      </c>
    </row>
    <row r="27" spans="1:39" ht="21" customHeight="1" x14ac:dyDescent="0.15">
      <c r="A27" s="17" t="str">
        <f t="shared" si="71"/>
        <v>14001_3-5/339&lt;lv10&gt;s2</v>
      </c>
      <c r="B27" s="65">
        <v>14001</v>
      </c>
      <c r="C27" s="105">
        <f t="shared" si="51"/>
        <v>3</v>
      </c>
      <c r="D27" s="105" t="str">
        <f t="shared" si="72"/>
        <v>14001_3</v>
      </c>
      <c r="E27" s="106" t="str">
        <f ca="1">VLOOKUP($B27,OFFSET([2]quests!$A$1,0,0,COUNTA([2]quests!$A:$A),MATCH(E$1,[2]quests!$1:$1,0)-MATCH($B$1,[2]quests!$1:$1,0)+1),MATCH(E$1,[2]quests!$1:$1,0)-MATCH($B$1,[2]quests!$1:$1,0)+1,FALSE)</f>
        <v>【ロック】経験値/ソロ</v>
      </c>
      <c r="F27" s="106" t="str">
        <f ca="1">VLOOKUP($D27,OFFSET([2]stages!$A$1,0,0,COUNTA([2]stages!$A:$A),MATCH(F$1,[2]stages!$2:$2,0)-MATCH($D$1,[2]stages!$2:$2,0)+1),MATCH(F$1,[2]stages!$2:$2,0)-MATCH($D$1,[2]stages!$2:$2,0)+1,FALSE)</f>
        <v>【超級】森ファミリー（ハートなし）</v>
      </c>
      <c r="G27" s="105">
        <v>5</v>
      </c>
      <c r="H27" s="16" t="str">
        <f t="shared" si="73"/>
        <v>14001_3-5</v>
      </c>
      <c r="I27" s="5">
        <f ca="1">VLOOKUP($H27,OFFSET(floors!$A$1,0,0,COUNTA(floors!$A:$A),MATCH(I$1,floors!$1:$1,0)-MATCH($H$1,floors!$1:$1,0)+1),MATCH(I$1,floors!$1:$1,0)-MATCH($H$1,floors!$1:$1,0)+1,FALSE)</f>
        <v>55</v>
      </c>
      <c r="J27" s="5">
        <f ca="1">VLOOKUP($H27,OFFSET(floors!$A$1,0,0,COUNTA(floors!$A:$A),MATCH(J$1,floors!$1:$1,0)-MATCH($H$1,floors!$1:$1,0)+1),MATCH(J$1,floors!$1:$1,0)-MATCH($H$1,floors!$1:$1,0)+1,FALSE)</f>
        <v>55</v>
      </c>
      <c r="K27" s="8" t="s">
        <v>142</v>
      </c>
      <c r="L27" s="2">
        <f t="shared" si="45"/>
        <v>339</v>
      </c>
      <c r="M27" s="20" t="str">
        <f ca="1">VLOOKUP($L27,OFFSET([3]enemies!$A$1,0,0,COUNTA([3]enemies!$A:$A),MATCH(M$1,[3]enemies!$1:$1,0)-MATCH($L$1,[3]enemies!$1:$1,0)+1),MATCH(M$1,[3]enemies!$1:$1,0)-MATCH($L$1,[3]enemies!$1:$1,0)+1,FALSE)</f>
        <v>森のメタルジェントル</v>
      </c>
      <c r="N27" s="20" t="str">
        <f ca="1">VLOOKUP($L27,OFFSET([3]enemies!$A$1,0,0,COUNTA([3]enemies!$A:$A),MATCH(N$1,[3]enemies!$1:$1,0)-MATCH($L$1,[3]enemies!$1:$1,0)+1),MATCH(N$1,[3]enemies!$1:$1,0)-MATCH($L$1,[3]enemies!$1:$1,0)+1,FALSE)</f>
        <v>green</v>
      </c>
      <c r="O27" s="20" t="str">
        <f ca="1">VLOOKUP($L27,OFFSET([4]characters!$A$1,0,0,COUNTA([4]characters!$A:$A),MATCH(O$1,[4]characters!$1:$1,0)-MATCH($L$1,[4]characters!$1:$1,0)+1),MATCH(O$1,[4]characters!$1:$1,0)-MATCH($L$1,[4]characters!$1:$1,0)+1,FALSE)</f>
        <v>Material</v>
      </c>
      <c r="P27" s="20" t="str">
        <f ca="1">VLOOKUP($L27,OFFSET([3]enemies!$A$1,0,0,COUNTA([3]enemies!$A:$A),MATCH(P$1,[3]enemies!$1:$1,0)-MATCH($L$1,[3]enemies!$1:$1,0)+1),MATCH(P$1,[3]enemies!$1:$1,0)-MATCH($L$1,[3]enemies!$1:$1,0)+1,FALSE)</f>
        <v>unknown</v>
      </c>
      <c r="Q27" s="20">
        <f ca="1">VLOOKUP($L27,OFFSET([3]enemies!$A$1,0,0,COUNTA([3]enemies!$A:$A),MATCH(Q$1,[3]enemies!$1:$1,0)-MATCH($L$1,[3]enemies!$1:$1,0)+1),MATCH(Q$1,[3]enemies!$1:$1,0)-MATCH($L$1,[3]enemies!$1:$1,0)+1,FALSE)</f>
        <v>20</v>
      </c>
      <c r="R27" s="107">
        <f t="shared" ref="R27:U27" si="91">R14</f>
        <v>10</v>
      </c>
      <c r="S27" s="107">
        <f t="shared" si="91"/>
        <v>0.2</v>
      </c>
      <c r="T27" s="108">
        <f t="shared" si="91"/>
        <v>50</v>
      </c>
      <c r="U27" s="107">
        <f t="shared" si="91"/>
        <v>-30889</v>
      </c>
      <c r="V27" s="5" t="str">
        <f ca="1">VLOOKUP($W27,OFFSET(enemy_skill_sets!$B$1,0,0,COUNTA(enemy_skill_sets!$B:$B),MATCH(M$1,enemy_skill_sets!$1:$1,0)-MATCH($W$1,enemy_skill_sets!$1:$1,0)+2),MATCH(M$1,enemy_skill_sets!$1:$1,0)-MATCH($W$1,enemy_skill_sets!$1:$1,0)+2,FALSE)</f>
        <v>メタルファミリーが あらわれた！</v>
      </c>
      <c r="W27" s="109">
        <f t="shared" si="42"/>
        <v>14001050</v>
      </c>
      <c r="X27" s="109">
        <f t="shared" ref="X27:AA27" si="92">X14</f>
        <v>1</v>
      </c>
      <c r="Y27" s="109">
        <f t="shared" si="92"/>
        <v>0</v>
      </c>
      <c r="Z27" s="109">
        <f t="shared" si="92"/>
        <v>0</v>
      </c>
      <c r="AA27" s="109">
        <f t="shared" si="92"/>
        <v>2</v>
      </c>
      <c r="AB27" s="2">
        <f t="shared" si="76"/>
        <v>339</v>
      </c>
      <c r="AC27" s="5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森のメタルジェントル</v>
      </c>
      <c r="AD27" s="5">
        <f ca="1">VLOOKUP($AB27,OFFSET([4]characters!$A$1,0,0,COUNTA([4]characters!$A:$A),MATCH(AD$1,[4]characters!$1:$1,0)-MATCH("character_id",[4]characters!$1:$1,0)+1),MATCH(AD$1,[4]characters!$1:$1,0)-MATCH("character_id",[4]characters!$1:$1,0)+1,FALSE)</f>
        <v>6</v>
      </c>
      <c r="AE27" s="5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7" s="27">
        <f t="shared" si="48"/>
        <v>1</v>
      </c>
      <c r="AG27" s="27">
        <f t="shared" ca="1" si="77"/>
        <v>6</v>
      </c>
      <c r="AH27" s="27">
        <f t="shared" ref="AH27:AM27" si="93">AH14</f>
        <v>100</v>
      </c>
      <c r="AI27" s="27">
        <f t="shared" si="93"/>
        <v>0</v>
      </c>
      <c r="AJ27" s="27">
        <f t="shared" si="93"/>
        <v>0</v>
      </c>
      <c r="AK27" s="27">
        <f t="shared" si="93"/>
        <v>0</v>
      </c>
      <c r="AL27" s="27">
        <f t="shared" si="93"/>
        <v>0</v>
      </c>
      <c r="AM27" s="27">
        <f t="shared" si="93"/>
        <v>1</v>
      </c>
    </row>
    <row r="28" spans="1:39" ht="21" customHeight="1" x14ac:dyDescent="0.15">
      <c r="A28" s="17" t="str">
        <f>B28&amp;"_"&amp;C28&amp;"-"&amp;G28&amp;"/"&amp;L28&amp;"&lt;lv"&amp;R28&amp;"&gt;s"&amp;AA28</f>
        <v>14001_2-1/340&lt;lv10&gt;s1</v>
      </c>
      <c r="B28" s="65">
        <v>14001</v>
      </c>
      <c r="C28" s="110">
        <f>C15-1</f>
        <v>2</v>
      </c>
      <c r="D28" s="110" t="str">
        <f>B28&amp;"_"&amp;C28</f>
        <v>14001_2</v>
      </c>
      <c r="E28" s="111" t="str">
        <f ca="1">VLOOKUP($B28,OFFSET([2]quests!$A$1,0,0,COUNTA([2]quests!$A:$A),MATCH(E$1,[2]quests!$1:$1,0)-MATCH($B$1,[2]quests!$1:$1,0)+1),MATCH(E$1,[2]quests!$1:$1,0)-MATCH($B$1,[2]quests!$1:$1,0)+1,FALSE)</f>
        <v>【ロック】経験値/ソロ</v>
      </c>
      <c r="F28" s="111" t="str">
        <f ca="1">VLOOKUP($D28,OFFSET([2]stages!$A$1,0,0,COUNTA([2]stages!$A:$A),MATCH(F$1,[2]stages!$2:$2,0)-MATCH($D$1,[2]stages!$2:$2,0)+1),MATCH(F$1,[2]stages!$2:$2,0)-MATCH($D$1,[2]stages!$2:$2,0)+1,FALSE)</f>
        <v>【超級】水ファミリー（ハートなし）</v>
      </c>
      <c r="G28" s="110">
        <v>1</v>
      </c>
      <c r="H28" s="16" t="str">
        <f>B28&amp;"_"&amp;C28&amp;"-"&amp;G28</f>
        <v>14001_2-1</v>
      </c>
      <c r="I28" s="5">
        <f ca="1">VLOOKUP($H28,OFFSET(floors!$A$1,0,0,COUNTA(floors!$A:$A),MATCH(I$1,floors!$1:$1,0)-MATCH($H$1,floors!$1:$1,0)+1),MATCH(I$1,floors!$1:$1,0)-MATCH($H$1,floors!$1:$1,0)+1,FALSE)</f>
        <v>40</v>
      </c>
      <c r="J28" s="5">
        <f ca="1">VLOOKUP($H28,OFFSET(floors!$A$1,0,0,COUNTA(floors!$A:$A),MATCH(J$1,floors!$1:$1,0)-MATCH($H$1,floors!$1:$1,0)+1),MATCH(J$1,floors!$1:$1,0)-MATCH($H$1,floors!$1:$1,0)+1,FALSE)</f>
        <v>60</v>
      </c>
      <c r="K28" s="8" t="s">
        <v>142</v>
      </c>
      <c r="L28" s="2">
        <f>L15+4</f>
        <v>340</v>
      </c>
      <c r="M28" s="20" t="str">
        <f ca="1">VLOOKUP($L28,OFFSET([3]enemies!$A$1,0,0,COUNTA([3]enemies!$A:$A),MATCH(M$1,[3]enemies!$1:$1,0)-MATCH($L$1,[3]enemies!$1:$1,0)+1),MATCH(M$1,[3]enemies!$1:$1,0)-MATCH($L$1,[3]enemies!$1:$1,0)+1,FALSE)</f>
        <v>水のメタルピヨピヨ</v>
      </c>
      <c r="N28" s="20" t="str">
        <f ca="1">VLOOKUP($L28,OFFSET([3]enemies!$A$1,0,0,COUNTA([3]enemies!$A:$A),MATCH(N$1,[3]enemies!$1:$1,0)-MATCH($L$1,[3]enemies!$1:$1,0)+1),MATCH(N$1,[3]enemies!$1:$1,0)-MATCH($L$1,[3]enemies!$1:$1,0)+1,FALSE)</f>
        <v>blue</v>
      </c>
      <c r="O28" s="20" t="str">
        <f ca="1">VLOOKUP($L28,OFFSET([4]characters!$A$1,0,0,COUNTA([4]characters!$A:$A),MATCH(O$1,[4]characters!$1:$1,0)-MATCH($L$1,[4]characters!$1:$1,0)+1),MATCH(O$1,[4]characters!$1:$1,0)-MATCH($L$1,[4]characters!$1:$1,0)+1,FALSE)</f>
        <v>Material</v>
      </c>
      <c r="P28" s="20" t="str">
        <f ca="1">VLOOKUP($L28,OFFSET([3]enemies!$A$1,0,0,COUNTA([3]enemies!$A:$A),MATCH(P$1,[3]enemies!$1:$1,0)-MATCH($L$1,[3]enemies!$1:$1,0)+1),MATCH(P$1,[3]enemies!$1:$1,0)-MATCH($L$1,[3]enemies!$1:$1,0)+1,FALSE)</f>
        <v>unknown</v>
      </c>
      <c r="Q28" s="20">
        <f ca="1">VLOOKUP($L28,OFFSET([3]enemies!$A$1,0,0,COUNTA([3]enemies!$A:$A),MATCH(Q$1,[3]enemies!$1:$1,0)-MATCH($L$1,[3]enemies!$1:$1,0)+1),MATCH(Q$1,[3]enemies!$1:$1,0)-MATCH($L$1,[3]enemies!$1:$1,0)+1,FALSE)</f>
        <v>15</v>
      </c>
      <c r="R28" s="107">
        <f>R15</f>
        <v>10</v>
      </c>
      <c r="S28" s="107">
        <f t="shared" ref="S28:U28" si="94">S15</f>
        <v>0.6</v>
      </c>
      <c r="T28" s="108">
        <f t="shared" si="94"/>
        <v>40</v>
      </c>
      <c r="U28" s="107">
        <f t="shared" si="94"/>
        <v>533</v>
      </c>
      <c r="V28" s="5" t="str">
        <f ca="1">VLOOKUP($W28,OFFSET([5]enemy_skill_sets!$B$1,0,0,COUNTA([5]enemy_skill_sets!$B:$B),MATCH(M$1,[5]enemy_skill_sets!$1:$1,0)-MATCH($W$1,[5]enemy_skill_sets!$1:$1,0)+2),MATCH(M$1,[5]enemy_skill_sets!$1:$1,0)-MATCH($W$1,[5]enemy_skill_sets!$1:$1,0)+2,FALSE)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8" s="109">
        <f t="shared" ca="1" si="42"/>
        <v>0</v>
      </c>
      <c r="X28" s="109">
        <f>X15</f>
        <v>0</v>
      </c>
      <c r="Y28" s="109">
        <f t="shared" ref="Y28:AA28" si="95">Y15</f>
        <v>100</v>
      </c>
      <c r="Z28" s="109">
        <f t="shared" si="95"/>
        <v>0</v>
      </c>
      <c r="AA28" s="109">
        <f t="shared" si="95"/>
        <v>1</v>
      </c>
      <c r="AB28" s="2">
        <f>L28</f>
        <v>340</v>
      </c>
      <c r="AC28" s="5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水のメタルピヨピヨ</v>
      </c>
      <c r="AD28" s="5">
        <f ca="1">VLOOKUP($AB28,OFFSET([4]characters!$A$1,0,0,COUNTA([4]characters!$A:$A),MATCH(AD$1,[4]characters!$1:$1,0)-MATCH("character_id",[4]characters!$1:$1,0)+1),MATCH(AD$1,[4]characters!$1:$1,0)-MATCH("character_id",[4]characters!$1:$1,0)+1,FALSE)</f>
        <v>3</v>
      </c>
      <c r="AE28" s="5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8" s="27">
        <f>AF15</f>
        <v>1</v>
      </c>
      <c r="AG28" s="27">
        <f ca="1">AD28</f>
        <v>3</v>
      </c>
      <c r="AH28" s="27">
        <f>AH15</f>
        <v>0</v>
      </c>
      <c r="AI28" s="27">
        <f t="shared" ref="AI28:AM28" si="96">AI15</f>
        <v>0</v>
      </c>
      <c r="AJ28" s="27">
        <f t="shared" si="96"/>
        <v>0</v>
      </c>
      <c r="AK28" s="27">
        <f t="shared" si="96"/>
        <v>0</v>
      </c>
      <c r="AL28" s="27">
        <f t="shared" si="96"/>
        <v>0</v>
      </c>
      <c r="AM28" s="27">
        <f t="shared" si="96"/>
        <v>1</v>
      </c>
    </row>
    <row r="29" spans="1:39" ht="21" customHeight="1" x14ac:dyDescent="0.15">
      <c r="A29" s="17" t="str">
        <f>B29&amp;"_"&amp;C29&amp;"-"&amp;G29&amp;"/"&amp;L29&amp;"&lt;lv"&amp;R29&amp;"&gt;s"&amp;AA29</f>
        <v>14001_2-1/341&lt;lv10&gt;s1</v>
      </c>
      <c r="B29" s="65">
        <v>14001</v>
      </c>
      <c r="C29" s="110">
        <f>C28</f>
        <v>2</v>
      </c>
      <c r="D29" s="110" t="str">
        <f>B29&amp;"_"&amp;C29</f>
        <v>14001_2</v>
      </c>
      <c r="E29" s="111" t="str">
        <f ca="1">VLOOKUP($B29,OFFSET([2]quests!$A$1,0,0,COUNTA([2]quests!$A:$A),MATCH(E$1,[2]quests!$1:$1,0)-MATCH($B$1,[2]quests!$1:$1,0)+1),MATCH(E$1,[2]quests!$1:$1,0)-MATCH($B$1,[2]quests!$1:$1,0)+1,FALSE)</f>
        <v>【ロック】経験値/ソロ</v>
      </c>
      <c r="F29" s="111" t="str">
        <f ca="1">VLOOKUP($D29,OFFSET([2]stages!$A$1,0,0,COUNTA([2]stages!$A:$A),MATCH(F$1,[2]stages!$2:$2,0)-MATCH($D$1,[2]stages!$2:$2,0)+1),MATCH(F$1,[2]stages!$2:$2,0)-MATCH($D$1,[2]stages!$2:$2,0)+1,FALSE)</f>
        <v>【超級】水ファミリー（ハートなし）</v>
      </c>
      <c r="G29" s="110">
        <v>1</v>
      </c>
      <c r="H29" s="16" t="str">
        <f>B29&amp;"_"&amp;C29&amp;"-"&amp;G29</f>
        <v>14001_2-1</v>
      </c>
      <c r="I29" s="5">
        <f ca="1">VLOOKUP($H29,OFFSET(floors!$A$1,0,0,COUNTA(floors!$A:$A),MATCH(I$1,floors!$1:$1,0)-MATCH($H$1,floors!$1:$1,0)+1),MATCH(I$1,floors!$1:$1,0)-MATCH($H$1,floors!$1:$1,0)+1,FALSE)</f>
        <v>40</v>
      </c>
      <c r="J29" s="5">
        <f ca="1">VLOOKUP($H29,OFFSET(floors!$A$1,0,0,COUNTA(floors!$A:$A),MATCH(J$1,floors!$1:$1,0)-MATCH($H$1,floors!$1:$1,0)+1),MATCH(J$1,floors!$1:$1,0)-MATCH($H$1,floors!$1:$1,0)+1,FALSE)</f>
        <v>60</v>
      </c>
      <c r="K29" s="8" t="s">
        <v>142</v>
      </c>
      <c r="L29" s="2">
        <f t="shared" si="45"/>
        <v>341</v>
      </c>
      <c r="M29" s="20" t="str">
        <f ca="1">VLOOKUP($L29,OFFSET([3]enemies!$A$1,0,0,COUNTA([3]enemies!$A:$A),MATCH(M$1,[3]enemies!$1:$1,0)-MATCH($L$1,[3]enemies!$1:$1,0)+1),MATCH(M$1,[3]enemies!$1:$1,0)-MATCH($L$1,[3]enemies!$1:$1,0)+1,FALSE)</f>
        <v>水のメタルチック</v>
      </c>
      <c r="N29" s="20" t="str">
        <f ca="1">VLOOKUP($L29,OFFSET([3]enemies!$A$1,0,0,COUNTA([3]enemies!$A:$A),MATCH(N$1,[3]enemies!$1:$1,0)-MATCH($L$1,[3]enemies!$1:$1,0)+1),MATCH(N$1,[3]enemies!$1:$1,0)-MATCH($L$1,[3]enemies!$1:$1,0)+1,FALSE)</f>
        <v>blue</v>
      </c>
      <c r="O29" s="20" t="str">
        <f ca="1">VLOOKUP($L29,OFFSET([4]characters!$A$1,0,0,COUNTA([4]characters!$A:$A),MATCH(O$1,[4]characters!$1:$1,0)-MATCH($L$1,[4]characters!$1:$1,0)+1),MATCH(O$1,[4]characters!$1:$1,0)-MATCH($L$1,[4]characters!$1:$1,0)+1,FALSE)</f>
        <v>Material</v>
      </c>
      <c r="P29" s="20" t="str">
        <f ca="1">VLOOKUP($L29,OFFSET([3]enemies!$A$1,0,0,COUNTA([3]enemies!$A:$A),MATCH(P$1,[3]enemies!$1:$1,0)-MATCH($L$1,[3]enemies!$1:$1,0)+1),MATCH(P$1,[3]enemies!$1:$1,0)-MATCH($L$1,[3]enemies!$1:$1,0)+1,FALSE)</f>
        <v>unknown</v>
      </c>
      <c r="Q29" s="20">
        <f ca="1">VLOOKUP($L29,OFFSET([3]enemies!$A$1,0,0,COUNTA([3]enemies!$A:$A),MATCH(Q$1,[3]enemies!$1:$1,0)-MATCH($L$1,[3]enemies!$1:$1,0)+1),MATCH(Q$1,[3]enemies!$1:$1,0)-MATCH($L$1,[3]enemies!$1:$1,0)+1,FALSE)</f>
        <v>15</v>
      </c>
      <c r="R29" s="107">
        <f t="shared" ref="R29:U29" si="97">R16</f>
        <v>10</v>
      </c>
      <c r="S29" s="107">
        <f t="shared" si="97"/>
        <v>0.4</v>
      </c>
      <c r="T29" s="108">
        <f t="shared" si="97"/>
        <v>40</v>
      </c>
      <c r="U29" s="107">
        <f t="shared" si="97"/>
        <v>-2845</v>
      </c>
      <c r="V29" s="5" t="str">
        <f ca="1">VLOOKUP($W29,OFFSET([5]enemy_skill_sets!$B$1,0,0,COUNTA([5]enemy_skill_sets!$B:$B),MATCH(M$1,[5]enemy_skill_sets!$1:$1,0)-MATCH($W$1,[5]enemy_skill_sets!$1:$1,0)+2),MATCH(M$1,[5]enemy_skill_sets!$1:$1,0)-MATCH($W$1,[5]enemy_skill_sets!$1:$1,0)+2,FALSE)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9" s="109">
        <f t="shared" ca="1" si="42"/>
        <v>0</v>
      </c>
      <c r="X29" s="109">
        <f t="shared" si="42"/>
        <v>0</v>
      </c>
      <c r="Y29" s="109">
        <f t="shared" si="42"/>
        <v>100</v>
      </c>
      <c r="Z29" s="109">
        <f t="shared" si="42"/>
        <v>0</v>
      </c>
      <c r="AA29" s="109">
        <f t="shared" si="42"/>
        <v>1</v>
      </c>
      <c r="AB29" s="2">
        <f>L29</f>
        <v>341</v>
      </c>
      <c r="AC29" s="5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29" s="5">
        <f ca="1">VLOOKUP($AB29,OFFSET([4]characters!$A$1,0,0,COUNTA([4]characters!$A:$A),MATCH(AD$1,[4]characters!$1:$1,0)-MATCH("character_id",[4]characters!$1:$1,0)+1),MATCH(AD$1,[4]characters!$1:$1,0)-MATCH("character_id",[4]characters!$1:$1,0)+1,FALSE)</f>
        <v>4</v>
      </c>
      <c r="AE29" s="5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9" s="27">
        <f t="shared" si="48"/>
        <v>1</v>
      </c>
      <c r="AG29" s="27">
        <f ca="1">AD29</f>
        <v>4</v>
      </c>
      <c r="AH29" s="27">
        <f t="shared" ref="AH29:AM29" si="98">AH16</f>
        <v>0</v>
      </c>
      <c r="AI29" s="27">
        <f t="shared" si="98"/>
        <v>0</v>
      </c>
      <c r="AJ29" s="27">
        <f t="shared" si="98"/>
        <v>0</v>
      </c>
      <c r="AK29" s="27">
        <f t="shared" si="98"/>
        <v>0</v>
      </c>
      <c r="AL29" s="27">
        <f t="shared" si="98"/>
        <v>0</v>
      </c>
      <c r="AM29" s="27">
        <f t="shared" si="98"/>
        <v>1</v>
      </c>
    </row>
    <row r="30" spans="1:39" ht="21" customHeight="1" x14ac:dyDescent="0.15">
      <c r="A30" s="103" t="str">
        <f t="shared" ref="A30:A33" si="99">B30&amp;"_"&amp;C30&amp;"-"&amp;G30&amp;"/"&amp;L30&amp;"&lt;lv"&amp;R30&amp;"&gt;s"&amp;AA30</f>
        <v>14001_2-1/342&lt;lv10&gt;s2</v>
      </c>
      <c r="B30" s="65">
        <v>14001</v>
      </c>
      <c r="C30" s="110">
        <f t="shared" ref="C30:C40" si="100">C29</f>
        <v>2</v>
      </c>
      <c r="D30" s="110" t="str">
        <f t="shared" ref="D30:D33" si="101">B30&amp;"_"&amp;C30</f>
        <v>14001_2</v>
      </c>
      <c r="E30" s="111" t="str">
        <f ca="1">VLOOKUP($B30,OFFSET([2]quests!$A$1,0,0,COUNTA([2]quests!$A:$A),MATCH(E$1,[2]quests!$1:$1,0)-MATCH($B$1,[2]quests!$1:$1,0)+1),MATCH(E$1,[2]quests!$1:$1,0)-MATCH($B$1,[2]quests!$1:$1,0)+1,FALSE)</f>
        <v>【ロック】経験値/ソロ</v>
      </c>
      <c r="F30" s="111" t="str">
        <f ca="1">VLOOKUP($D30,OFFSET([2]stages!$A$1,0,0,COUNTA([2]stages!$A:$A),MATCH(F$1,[2]stages!$2:$2,0)-MATCH($D$1,[2]stages!$2:$2,0)+1),MATCH(F$1,[2]stages!$2:$2,0)-MATCH($D$1,[2]stages!$2:$2,0)+1,FALSE)</f>
        <v>【超級】水ファミリー（ハートなし）</v>
      </c>
      <c r="G30" s="110">
        <v>1</v>
      </c>
      <c r="H30" s="16" t="str">
        <f t="shared" ref="H30:H33" si="102">B30&amp;"_"&amp;C30&amp;"-"&amp;G30</f>
        <v>14001_2-1</v>
      </c>
      <c r="I30" s="5">
        <f ca="1">VLOOKUP($H30,OFFSET(floors!$A$1,0,0,COUNTA(floors!$A:$A),MATCH(I$1,floors!$1:$1,0)-MATCH($H$1,floors!$1:$1,0)+1),MATCH(I$1,floors!$1:$1,0)-MATCH($H$1,floors!$1:$1,0)+1,FALSE)</f>
        <v>40</v>
      </c>
      <c r="J30" s="5">
        <f ca="1">VLOOKUP($H30,OFFSET(floors!$A$1,0,0,COUNTA(floors!$A:$A),MATCH(J$1,floors!$1:$1,0)-MATCH($H$1,floors!$1:$1,0)+1),MATCH(J$1,floors!$1:$1,0)-MATCH($H$1,floors!$1:$1,0)+1,FALSE)</f>
        <v>60</v>
      </c>
      <c r="K30" s="8" t="s">
        <v>142</v>
      </c>
      <c r="L30" s="2">
        <f t="shared" si="45"/>
        <v>342</v>
      </c>
      <c r="M30" s="20" t="str">
        <f ca="1">VLOOKUP($L30,OFFSET([3]enemies!$A$1,0,0,COUNTA([3]enemies!$A:$A),MATCH(M$1,[3]enemies!$1:$1,0)-MATCH($L$1,[3]enemies!$1:$1,0)+1),MATCH(M$1,[3]enemies!$1:$1,0)-MATCH($L$1,[3]enemies!$1:$1,0)+1,FALSE)</f>
        <v>水のメタルダック</v>
      </c>
      <c r="N30" s="20" t="str">
        <f ca="1">VLOOKUP($L30,OFFSET([3]enemies!$A$1,0,0,COUNTA([3]enemies!$A:$A),MATCH(N$1,[3]enemies!$1:$1,0)-MATCH($L$1,[3]enemies!$1:$1,0)+1),MATCH(N$1,[3]enemies!$1:$1,0)-MATCH($L$1,[3]enemies!$1:$1,0)+1,FALSE)</f>
        <v>blue</v>
      </c>
      <c r="O30" s="20" t="str">
        <f ca="1">VLOOKUP($L30,OFFSET([4]characters!$A$1,0,0,COUNTA([4]characters!$A:$A),MATCH(O$1,[4]characters!$1:$1,0)-MATCH($L$1,[4]characters!$1:$1,0)+1),MATCH(O$1,[4]characters!$1:$1,0)-MATCH($L$1,[4]characters!$1:$1,0)+1,FALSE)</f>
        <v>Material</v>
      </c>
      <c r="P30" s="20" t="str">
        <f ca="1">VLOOKUP($L30,OFFSET([3]enemies!$A$1,0,0,COUNTA([3]enemies!$A:$A),MATCH(P$1,[3]enemies!$1:$1,0)-MATCH($L$1,[3]enemies!$1:$1,0)+1),MATCH(P$1,[3]enemies!$1:$1,0)-MATCH($L$1,[3]enemies!$1:$1,0)+1,FALSE)</f>
        <v>unknown</v>
      </c>
      <c r="Q30" s="20">
        <f ca="1">VLOOKUP($L30,OFFSET([3]enemies!$A$1,0,0,COUNTA([3]enemies!$A:$A),MATCH(Q$1,[3]enemies!$1:$1,0)-MATCH($L$1,[3]enemies!$1:$1,0)+1),MATCH(Q$1,[3]enemies!$1:$1,0)-MATCH($L$1,[3]enemies!$1:$1,0)+1,FALSE)</f>
        <v>20</v>
      </c>
      <c r="R30" s="107">
        <f t="shared" ref="R30:U30" si="103">R17</f>
        <v>10</v>
      </c>
      <c r="S30" s="107">
        <f t="shared" si="103"/>
        <v>0.4</v>
      </c>
      <c r="T30" s="108">
        <f t="shared" si="103"/>
        <v>40</v>
      </c>
      <c r="U30" s="107">
        <f t="shared" si="103"/>
        <v>-20223</v>
      </c>
      <c r="V30" s="5" t="str">
        <f ca="1">VLOOKUP($W30,OFFSET([5]enemy_skill_sets!$B$1,0,0,COUNTA([5]enemy_skill_sets!$B:$B),MATCH(M$1,[5]enemy_skill_sets!$1:$1,0)-MATCH($W$1,[5]enemy_skill_sets!$1:$1,0)+2),MATCH(M$1,[5]enemy_skill_sets!$1:$1,0)-MATCH($W$1,[5]enemy_skill_sets!$1:$1,0)+2,FALSE)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0" s="109">
        <f t="shared" ca="1" si="42"/>
        <v>0</v>
      </c>
      <c r="X30" s="109">
        <f t="shared" si="42"/>
        <v>0</v>
      </c>
      <c r="Y30" s="109">
        <f t="shared" si="42"/>
        <v>67</v>
      </c>
      <c r="Z30" s="109">
        <f t="shared" si="42"/>
        <v>1</v>
      </c>
      <c r="AA30" s="109">
        <f t="shared" si="42"/>
        <v>2</v>
      </c>
      <c r="AB30" s="2">
        <f t="shared" ref="AB30:AB33" si="104">L30</f>
        <v>342</v>
      </c>
      <c r="AC30" s="5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30" s="5">
        <f ca="1">VLOOKUP($AB30,OFFSET([4]characters!$A$1,0,0,COUNTA([4]characters!$A:$A),MATCH(AD$1,[4]characters!$1:$1,0)-MATCH("character_id",[4]characters!$1:$1,0)+1),MATCH(AD$1,[4]characters!$1:$1,0)-MATCH("character_id",[4]characters!$1:$1,0)+1,FALSE)</f>
        <v>5</v>
      </c>
      <c r="AE30" s="5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0" s="27">
        <f t="shared" si="48"/>
        <v>1</v>
      </c>
      <c r="AG30" s="27">
        <f t="shared" ref="AG30:AG33" ca="1" si="105">AD30</f>
        <v>5</v>
      </c>
      <c r="AH30" s="27">
        <f t="shared" ref="AH30:AM30" si="106">AH17</f>
        <v>100</v>
      </c>
      <c r="AI30" s="27">
        <f t="shared" si="106"/>
        <v>0</v>
      </c>
      <c r="AJ30" s="27">
        <f t="shared" si="106"/>
        <v>0</v>
      </c>
      <c r="AK30" s="27">
        <f t="shared" si="106"/>
        <v>0</v>
      </c>
      <c r="AL30" s="27">
        <f t="shared" si="106"/>
        <v>0</v>
      </c>
      <c r="AM30" s="27">
        <f t="shared" si="106"/>
        <v>1</v>
      </c>
    </row>
    <row r="31" spans="1:39" ht="21" customHeight="1" x14ac:dyDescent="0.15">
      <c r="A31" s="17" t="str">
        <f t="shared" si="99"/>
        <v>14001_2-1/343&lt;lv10&gt;s2</v>
      </c>
      <c r="B31" s="65">
        <v>14001</v>
      </c>
      <c r="C31" s="110">
        <f t="shared" si="100"/>
        <v>2</v>
      </c>
      <c r="D31" s="110" t="str">
        <f t="shared" si="101"/>
        <v>14001_2</v>
      </c>
      <c r="E31" s="111" t="str">
        <f ca="1">VLOOKUP($B31,OFFSET([2]quests!$A$1,0,0,COUNTA([2]quests!$A:$A),MATCH(E$1,[2]quests!$1:$1,0)-MATCH($B$1,[2]quests!$1:$1,0)+1),MATCH(E$1,[2]quests!$1:$1,0)-MATCH($B$1,[2]quests!$1:$1,0)+1,FALSE)</f>
        <v>【ロック】経験値/ソロ</v>
      </c>
      <c r="F31" s="111" t="str">
        <f ca="1">VLOOKUP($D31,OFFSET([2]stages!$A$1,0,0,COUNTA([2]stages!$A:$A),MATCH(F$1,[2]stages!$2:$2,0)-MATCH($D$1,[2]stages!$2:$2,0)+1),MATCH(F$1,[2]stages!$2:$2,0)-MATCH($D$1,[2]stages!$2:$2,0)+1,FALSE)</f>
        <v>【超級】水ファミリー（ハートなし）</v>
      </c>
      <c r="G31" s="110">
        <v>1</v>
      </c>
      <c r="H31" s="16" t="str">
        <f t="shared" si="102"/>
        <v>14001_2-1</v>
      </c>
      <c r="I31" s="5">
        <f ca="1">VLOOKUP($H31,OFFSET(floors!$A$1,0,0,COUNTA(floors!$A:$A),MATCH(I$1,floors!$1:$1,0)-MATCH($H$1,floors!$1:$1,0)+1),MATCH(I$1,floors!$1:$1,0)-MATCH($H$1,floors!$1:$1,0)+1,FALSE)</f>
        <v>40</v>
      </c>
      <c r="J31" s="5">
        <f ca="1">VLOOKUP($H31,OFFSET(floors!$A$1,0,0,COUNTA(floors!$A:$A),MATCH(J$1,floors!$1:$1,0)-MATCH($H$1,floors!$1:$1,0)+1),MATCH(J$1,floors!$1:$1,0)-MATCH($H$1,floors!$1:$1,0)+1,FALSE)</f>
        <v>60</v>
      </c>
      <c r="K31" s="8" t="s">
        <v>142</v>
      </c>
      <c r="L31" s="2">
        <f t="shared" si="45"/>
        <v>343</v>
      </c>
      <c r="M31" s="20" t="str">
        <f ca="1">VLOOKUP($L31,OFFSET([3]enemies!$A$1,0,0,COUNTA([3]enemies!$A:$A),MATCH(M$1,[3]enemies!$1:$1,0)-MATCH($L$1,[3]enemies!$1:$1,0)+1),MATCH(M$1,[3]enemies!$1:$1,0)-MATCH($L$1,[3]enemies!$1:$1,0)+1,FALSE)</f>
        <v>水のメタルジェントル</v>
      </c>
      <c r="N31" s="20" t="str">
        <f ca="1">VLOOKUP($L31,OFFSET([3]enemies!$A$1,0,0,COUNTA([3]enemies!$A:$A),MATCH(N$1,[3]enemies!$1:$1,0)-MATCH($L$1,[3]enemies!$1:$1,0)+1),MATCH(N$1,[3]enemies!$1:$1,0)-MATCH($L$1,[3]enemies!$1:$1,0)+1,FALSE)</f>
        <v>blue</v>
      </c>
      <c r="O31" s="20" t="str">
        <f ca="1">VLOOKUP($L31,OFFSET([4]characters!$A$1,0,0,COUNTA([4]characters!$A:$A),MATCH(O$1,[4]characters!$1:$1,0)-MATCH($L$1,[4]characters!$1:$1,0)+1),MATCH(O$1,[4]characters!$1:$1,0)-MATCH($L$1,[4]characters!$1:$1,0)+1,FALSE)</f>
        <v>Material</v>
      </c>
      <c r="P31" s="20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20">
        <f ca="1">VLOOKUP($L31,OFFSET([3]enemies!$A$1,0,0,COUNTA([3]enemies!$A:$A),MATCH(Q$1,[3]enemies!$1:$1,0)-MATCH($L$1,[3]enemies!$1:$1,0)+1),MATCH(Q$1,[3]enemies!$1:$1,0)-MATCH($L$1,[3]enemies!$1:$1,0)+1,FALSE)</f>
        <v>20</v>
      </c>
      <c r="R31" s="107">
        <f t="shared" ref="R31:U31" si="107">R18</f>
        <v>10</v>
      </c>
      <c r="S31" s="107">
        <f t="shared" si="107"/>
        <v>0.2</v>
      </c>
      <c r="T31" s="108">
        <f t="shared" si="107"/>
        <v>50</v>
      </c>
      <c r="U31" s="107">
        <f t="shared" si="107"/>
        <v>-30889</v>
      </c>
      <c r="V31" s="5" t="str">
        <f ca="1">VLOOKUP($W31,OFFSET(enemy_skill_sets!$B$1,0,0,COUNTA(enemy_skill_sets!$B:$B),MATCH(M$1,enemy_skill_sets!$1:$1,0)-MATCH($W$1,enemy_skill_sets!$1:$1,0)+2),MATCH(M$1,enemy_skill_sets!$1:$1,0)-MATCH($W$1,enemy_skill_sets!$1:$1,0)+2,FALSE)</f>
        <v>なんと ジェントルがあらわれた！</v>
      </c>
      <c r="W31" s="109">
        <f t="shared" ref="W31:AA40" si="108">W18</f>
        <v>14001012</v>
      </c>
      <c r="X31" s="109">
        <f t="shared" si="108"/>
        <v>0</v>
      </c>
      <c r="Y31" s="109">
        <f t="shared" si="108"/>
        <v>33</v>
      </c>
      <c r="Z31" s="109">
        <f t="shared" si="108"/>
        <v>1</v>
      </c>
      <c r="AA31" s="109">
        <f t="shared" si="108"/>
        <v>2</v>
      </c>
      <c r="AB31" s="2">
        <f t="shared" si="104"/>
        <v>343</v>
      </c>
      <c r="AC31" s="5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水のメタルジェントル</v>
      </c>
      <c r="AD31" s="5">
        <f ca="1">VLOOKUP($AB31,OFFSET([4]characters!$A$1,0,0,COUNTA([4]characters!$A:$A),MATCH(AD$1,[4]characters!$1:$1,0)-MATCH("character_id",[4]characters!$1:$1,0)+1),MATCH(AD$1,[4]characters!$1:$1,0)-MATCH("character_id",[4]characters!$1:$1,0)+1,FALSE)</f>
        <v>6</v>
      </c>
      <c r="AE31" s="5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1" s="27">
        <f t="shared" si="48"/>
        <v>1</v>
      </c>
      <c r="AG31" s="27">
        <f t="shared" ca="1" si="105"/>
        <v>6</v>
      </c>
      <c r="AH31" s="27">
        <f t="shared" ref="AH31:AM31" si="109">AH18</f>
        <v>100</v>
      </c>
      <c r="AI31" s="27">
        <f t="shared" si="109"/>
        <v>0</v>
      </c>
      <c r="AJ31" s="27">
        <f t="shared" si="109"/>
        <v>0</v>
      </c>
      <c r="AK31" s="27">
        <f t="shared" si="109"/>
        <v>0</v>
      </c>
      <c r="AL31" s="27">
        <f t="shared" si="109"/>
        <v>0</v>
      </c>
      <c r="AM31" s="27">
        <f t="shared" si="109"/>
        <v>1</v>
      </c>
    </row>
    <row r="32" spans="1:39" ht="21" customHeight="1" x14ac:dyDescent="0.15">
      <c r="A32" s="17" t="str">
        <f t="shared" si="99"/>
        <v>14001_2-2/341&lt;lv10&gt;s1</v>
      </c>
      <c r="B32" s="65">
        <v>14001</v>
      </c>
      <c r="C32" s="110">
        <f t="shared" si="100"/>
        <v>2</v>
      </c>
      <c r="D32" s="110" t="str">
        <f t="shared" si="101"/>
        <v>14001_2</v>
      </c>
      <c r="E32" s="111" t="str">
        <f ca="1">VLOOKUP($B32,OFFSET([2]quests!$A$1,0,0,COUNTA([2]quests!$A:$A),MATCH(E$1,[2]quests!$1:$1,0)-MATCH($B$1,[2]quests!$1:$1,0)+1),MATCH(E$1,[2]quests!$1:$1,0)-MATCH($B$1,[2]quests!$1:$1,0)+1,FALSE)</f>
        <v>【ロック】経験値/ソロ</v>
      </c>
      <c r="F32" s="111" t="str">
        <f ca="1">VLOOKUP($D32,OFFSET([2]stages!$A$1,0,0,COUNTA([2]stages!$A:$A),MATCH(F$1,[2]stages!$2:$2,0)-MATCH($D$1,[2]stages!$2:$2,0)+1),MATCH(F$1,[2]stages!$2:$2,0)-MATCH($D$1,[2]stages!$2:$2,0)+1,FALSE)</f>
        <v>【超級】水ファミリー（ハートなし）</v>
      </c>
      <c r="G32" s="110">
        <v>2</v>
      </c>
      <c r="H32" s="16" t="str">
        <f t="shared" si="102"/>
        <v>14001_2-2</v>
      </c>
      <c r="I32" s="5">
        <f ca="1">VLOOKUP($H32,OFFSET(floors!$A$1,0,0,COUNTA(floors!$A:$A),MATCH(I$1,floors!$1:$1,0)-MATCH($H$1,floors!$1:$1,0)+1),MATCH(I$1,floors!$1:$1,0)-MATCH($H$1,floors!$1:$1,0)+1,FALSE)</f>
        <v>30</v>
      </c>
      <c r="J32" s="5">
        <f ca="1">VLOOKUP($H32,OFFSET(floors!$A$1,0,0,COUNTA(floors!$A:$A),MATCH(J$1,floors!$1:$1,0)-MATCH($H$1,floors!$1:$1,0)+1),MATCH(J$1,floors!$1:$1,0)-MATCH($H$1,floors!$1:$1,0)+1,FALSE)</f>
        <v>41</v>
      </c>
      <c r="K32" s="8" t="s">
        <v>142</v>
      </c>
      <c r="L32" s="2">
        <f t="shared" si="45"/>
        <v>341</v>
      </c>
      <c r="M32" s="20" t="str">
        <f ca="1">VLOOKUP($L32,OFFSET([3]enemies!$A$1,0,0,COUNTA([3]enemies!$A:$A),MATCH(M$1,[3]enemies!$1:$1,0)-MATCH($L$1,[3]enemies!$1:$1,0)+1),MATCH(M$1,[3]enemies!$1:$1,0)-MATCH($L$1,[3]enemies!$1:$1,0)+1,FALSE)</f>
        <v>水のメタルチック</v>
      </c>
      <c r="N32" s="20" t="str">
        <f ca="1">VLOOKUP($L32,OFFSET([3]enemies!$A$1,0,0,COUNTA([3]enemies!$A:$A),MATCH(N$1,[3]enemies!$1:$1,0)-MATCH($L$1,[3]enemies!$1:$1,0)+1),MATCH(N$1,[3]enemies!$1:$1,0)-MATCH($L$1,[3]enemies!$1:$1,0)+1,FALSE)</f>
        <v>blue</v>
      </c>
      <c r="O32" s="20" t="str">
        <f ca="1">VLOOKUP($L32,OFFSET([4]characters!$A$1,0,0,COUNTA([4]characters!$A:$A),MATCH(O$1,[4]characters!$1:$1,0)-MATCH($L$1,[4]characters!$1:$1,0)+1),MATCH(O$1,[4]characters!$1:$1,0)-MATCH($L$1,[4]characters!$1:$1,0)+1,FALSE)</f>
        <v>Material</v>
      </c>
      <c r="P32" s="20" t="str">
        <f ca="1">VLOOKUP($L32,OFFSET([3]enemies!$A$1,0,0,COUNTA([3]enemies!$A:$A),MATCH(P$1,[3]enemies!$1:$1,0)-MATCH($L$1,[3]enemies!$1:$1,0)+1),MATCH(P$1,[3]enemies!$1:$1,0)-MATCH($L$1,[3]enemies!$1:$1,0)+1,FALSE)</f>
        <v>unknown</v>
      </c>
      <c r="Q32" s="20">
        <f ca="1">VLOOKUP($L32,OFFSET([3]enemies!$A$1,0,0,COUNTA([3]enemies!$A:$A),MATCH(Q$1,[3]enemies!$1:$1,0)-MATCH($L$1,[3]enemies!$1:$1,0)+1),MATCH(Q$1,[3]enemies!$1:$1,0)-MATCH($L$1,[3]enemies!$1:$1,0)+1,FALSE)</f>
        <v>15</v>
      </c>
      <c r="R32" s="107">
        <f t="shared" ref="R32:U32" si="110">R19</f>
        <v>10</v>
      </c>
      <c r="S32" s="107">
        <f t="shared" si="110"/>
        <v>0.4</v>
      </c>
      <c r="T32" s="108">
        <f t="shared" si="110"/>
        <v>40</v>
      </c>
      <c r="U32" s="107">
        <f t="shared" si="110"/>
        <v>-2845</v>
      </c>
      <c r="V32" s="5" t="str">
        <f ca="1">VLOOKUP($W32,OFFSET([5]enemy_skill_sets!$B$1,0,0,COUNTA([5]enemy_skill_sets!$B:$B),MATCH(M$1,[5]enemy_skill_sets!$1:$1,0)-MATCH($W$1,[5]enemy_skill_sets!$1:$1,0)+2),MATCH(M$1,[5]enemy_skill_sets!$1:$1,0)-MATCH($W$1,[5]enemy_skill_sets!$1:$1,0)+2,FALSE)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2" s="109">
        <f t="shared" ca="1" si="108"/>
        <v>0</v>
      </c>
      <c r="X32" s="109">
        <f t="shared" si="108"/>
        <v>0</v>
      </c>
      <c r="Y32" s="109">
        <f t="shared" si="108"/>
        <v>100</v>
      </c>
      <c r="Z32" s="109">
        <f t="shared" si="108"/>
        <v>0</v>
      </c>
      <c r="AA32" s="109">
        <f t="shared" si="108"/>
        <v>1</v>
      </c>
      <c r="AB32" s="2">
        <f t="shared" si="104"/>
        <v>341</v>
      </c>
      <c r="AC32" s="5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32" s="5">
        <f ca="1">VLOOKUP($AB32,OFFSET([4]characters!$A$1,0,0,COUNTA([4]characters!$A:$A),MATCH(AD$1,[4]characters!$1:$1,0)-MATCH("character_id",[4]characters!$1:$1,0)+1),MATCH(AD$1,[4]characters!$1:$1,0)-MATCH("character_id",[4]characters!$1:$1,0)+1,FALSE)</f>
        <v>4</v>
      </c>
      <c r="AE32" s="5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2" s="27">
        <f t="shared" si="48"/>
        <v>1</v>
      </c>
      <c r="AG32" s="27">
        <f t="shared" ca="1" si="105"/>
        <v>4</v>
      </c>
      <c r="AH32" s="27">
        <f t="shared" ref="AH32:AM32" si="111">AH19</f>
        <v>0</v>
      </c>
      <c r="AI32" s="27">
        <f t="shared" si="111"/>
        <v>0</v>
      </c>
      <c r="AJ32" s="27">
        <f t="shared" si="111"/>
        <v>0</v>
      </c>
      <c r="AK32" s="27">
        <f t="shared" si="111"/>
        <v>0</v>
      </c>
      <c r="AL32" s="27">
        <f t="shared" si="111"/>
        <v>0</v>
      </c>
      <c r="AM32" s="27">
        <f t="shared" si="111"/>
        <v>1</v>
      </c>
    </row>
    <row r="33" spans="1:39" ht="21" customHeight="1" x14ac:dyDescent="0.15">
      <c r="A33" s="17" t="str">
        <f t="shared" si="99"/>
        <v>14001_2-2/342&lt;lv10&gt;s2</v>
      </c>
      <c r="B33" s="65">
        <v>14001</v>
      </c>
      <c r="C33" s="110">
        <f t="shared" si="100"/>
        <v>2</v>
      </c>
      <c r="D33" s="110" t="str">
        <f t="shared" si="101"/>
        <v>14001_2</v>
      </c>
      <c r="E33" s="111" t="str">
        <f ca="1">VLOOKUP($B33,OFFSET([2]quests!$A$1,0,0,COUNTA([2]quests!$A:$A),MATCH(E$1,[2]quests!$1:$1,0)-MATCH($B$1,[2]quests!$1:$1,0)+1),MATCH(E$1,[2]quests!$1:$1,0)-MATCH($B$1,[2]quests!$1:$1,0)+1,FALSE)</f>
        <v>【ロック】経験値/ソロ</v>
      </c>
      <c r="F33" s="111" t="str">
        <f ca="1">VLOOKUP($D33,OFFSET([2]stages!$A$1,0,0,COUNTA([2]stages!$A:$A),MATCH(F$1,[2]stages!$2:$2,0)-MATCH($D$1,[2]stages!$2:$2,0)+1),MATCH(F$1,[2]stages!$2:$2,0)-MATCH($D$1,[2]stages!$2:$2,0)+1,FALSE)</f>
        <v>【超級】水ファミリー（ハートなし）</v>
      </c>
      <c r="G33" s="110">
        <v>2</v>
      </c>
      <c r="H33" s="16" t="str">
        <f t="shared" si="102"/>
        <v>14001_2-2</v>
      </c>
      <c r="I33" s="5">
        <f ca="1">VLOOKUP($H33,OFFSET(floors!$A$1,0,0,COUNTA(floors!$A:$A),MATCH(I$1,floors!$1:$1,0)-MATCH($H$1,floors!$1:$1,0)+1),MATCH(I$1,floors!$1:$1,0)-MATCH($H$1,floors!$1:$1,0)+1,FALSE)</f>
        <v>30</v>
      </c>
      <c r="J33" s="5">
        <f ca="1">VLOOKUP($H33,OFFSET(floors!$A$1,0,0,COUNTA(floors!$A:$A),MATCH(J$1,floors!$1:$1,0)-MATCH($H$1,floors!$1:$1,0)+1),MATCH(J$1,floors!$1:$1,0)-MATCH($H$1,floors!$1:$1,0)+1,FALSE)</f>
        <v>41</v>
      </c>
      <c r="K33" s="8" t="s">
        <v>142</v>
      </c>
      <c r="L33" s="2">
        <f t="shared" si="45"/>
        <v>342</v>
      </c>
      <c r="M33" s="20" t="str">
        <f ca="1">VLOOKUP($L33,OFFSET([3]enemies!$A$1,0,0,COUNTA([3]enemies!$A:$A),MATCH(M$1,[3]enemies!$1:$1,0)-MATCH($L$1,[3]enemies!$1:$1,0)+1),MATCH(M$1,[3]enemies!$1:$1,0)-MATCH($L$1,[3]enemies!$1:$1,0)+1,FALSE)</f>
        <v>水のメタルダック</v>
      </c>
      <c r="N33" s="20" t="str">
        <f ca="1">VLOOKUP($L33,OFFSET([3]enemies!$A$1,0,0,COUNTA([3]enemies!$A:$A),MATCH(N$1,[3]enemies!$1:$1,0)-MATCH($L$1,[3]enemies!$1:$1,0)+1),MATCH(N$1,[3]enemies!$1:$1,0)-MATCH($L$1,[3]enemies!$1:$1,0)+1,FALSE)</f>
        <v>blue</v>
      </c>
      <c r="O33" s="20" t="str">
        <f ca="1">VLOOKUP($L33,OFFSET([4]characters!$A$1,0,0,COUNTA([4]characters!$A:$A),MATCH(O$1,[4]characters!$1:$1,0)-MATCH($L$1,[4]characters!$1:$1,0)+1),MATCH(O$1,[4]characters!$1:$1,0)-MATCH($L$1,[4]characters!$1:$1,0)+1,FALSE)</f>
        <v>Material</v>
      </c>
      <c r="P33" s="20" t="str">
        <f ca="1">VLOOKUP($L33,OFFSET([3]enemies!$A$1,0,0,COUNTA([3]enemies!$A:$A),MATCH(P$1,[3]enemies!$1:$1,0)-MATCH($L$1,[3]enemies!$1:$1,0)+1),MATCH(P$1,[3]enemies!$1:$1,0)-MATCH($L$1,[3]enemies!$1:$1,0)+1,FALSE)</f>
        <v>unknown</v>
      </c>
      <c r="Q33" s="20">
        <f ca="1">VLOOKUP($L33,OFFSET([3]enemies!$A$1,0,0,COUNTA([3]enemies!$A:$A),MATCH(Q$1,[3]enemies!$1:$1,0)-MATCH($L$1,[3]enemies!$1:$1,0)+1),MATCH(Q$1,[3]enemies!$1:$1,0)-MATCH($L$1,[3]enemies!$1:$1,0)+1,FALSE)</f>
        <v>20</v>
      </c>
      <c r="R33" s="107">
        <f t="shared" ref="R33:U33" si="112">R20</f>
        <v>10</v>
      </c>
      <c r="S33" s="107">
        <f t="shared" si="112"/>
        <v>0.4</v>
      </c>
      <c r="T33" s="108">
        <f t="shared" si="112"/>
        <v>40</v>
      </c>
      <c r="U33" s="107">
        <f t="shared" si="112"/>
        <v>-20223</v>
      </c>
      <c r="V33" s="5" t="str">
        <f ca="1">VLOOKUP($W33,OFFSET([5]enemy_skill_sets!$B$1,0,0,COUNTA([5]enemy_skill_sets!$B:$B),MATCH(M$1,[5]enemy_skill_sets!$1:$1,0)-MATCH($W$1,[5]enemy_skill_sets!$1:$1,0)+2),MATCH(M$1,[5]enemy_skill_sets!$1:$1,0)-MATCH($W$1,[5]enemy_skill_sets!$1:$1,0)+2,FALSE)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3" s="109">
        <f t="shared" ca="1" si="108"/>
        <v>0</v>
      </c>
      <c r="X33" s="109">
        <f t="shared" si="108"/>
        <v>1</v>
      </c>
      <c r="Y33" s="109">
        <f t="shared" si="108"/>
        <v>0</v>
      </c>
      <c r="Z33" s="109">
        <f t="shared" si="108"/>
        <v>1</v>
      </c>
      <c r="AA33" s="109">
        <f t="shared" si="108"/>
        <v>2</v>
      </c>
      <c r="AB33" s="2">
        <f t="shared" si="104"/>
        <v>342</v>
      </c>
      <c r="AC33" s="5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33" s="5">
        <f ca="1">VLOOKUP($AB33,OFFSET([4]characters!$A$1,0,0,COUNTA([4]characters!$A:$A),MATCH(AD$1,[4]characters!$1:$1,0)-MATCH("character_id",[4]characters!$1:$1,0)+1),MATCH(AD$1,[4]characters!$1:$1,0)-MATCH("character_id",[4]characters!$1:$1,0)+1,FALSE)</f>
        <v>5</v>
      </c>
      <c r="AE33" s="5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3" s="27">
        <f t="shared" si="48"/>
        <v>1</v>
      </c>
      <c r="AG33" s="27">
        <f t="shared" ca="1" si="105"/>
        <v>5</v>
      </c>
      <c r="AH33" s="27">
        <f t="shared" ref="AH33:AM33" si="113">AH20</f>
        <v>100</v>
      </c>
      <c r="AI33" s="27">
        <f t="shared" si="113"/>
        <v>0</v>
      </c>
      <c r="AJ33" s="27">
        <f t="shared" si="113"/>
        <v>0</v>
      </c>
      <c r="AK33" s="27">
        <f t="shared" si="113"/>
        <v>0</v>
      </c>
      <c r="AL33" s="27">
        <f t="shared" si="113"/>
        <v>0</v>
      </c>
      <c r="AM33" s="27">
        <f t="shared" si="113"/>
        <v>1</v>
      </c>
    </row>
    <row r="34" spans="1:39" ht="21" customHeight="1" x14ac:dyDescent="0.15">
      <c r="A34" s="17" t="str">
        <f>B34&amp;"_"&amp;C34&amp;"-"&amp;G34&amp;"/"&amp;L34&amp;"&lt;lv"&amp;R34&amp;"&gt;s"&amp;AA34</f>
        <v>14001_2-3/341&lt;lv10&gt;s1</v>
      </c>
      <c r="B34" s="65">
        <v>14001</v>
      </c>
      <c r="C34" s="110">
        <f t="shared" si="100"/>
        <v>2</v>
      </c>
      <c r="D34" s="110" t="str">
        <f>B34&amp;"_"&amp;C34</f>
        <v>14001_2</v>
      </c>
      <c r="E34" s="111" t="str">
        <f ca="1">VLOOKUP($B34,OFFSET([2]quests!$A$1,0,0,COUNTA([2]quests!$A:$A),MATCH(E$1,[2]quests!$1:$1,0)-MATCH($B$1,[2]quests!$1:$1,0)+1),MATCH(E$1,[2]quests!$1:$1,0)-MATCH($B$1,[2]quests!$1:$1,0)+1,FALSE)</f>
        <v>【ロック】経験値/ソロ</v>
      </c>
      <c r="F34" s="111" t="str">
        <f ca="1">VLOOKUP($D34,OFFSET([2]stages!$A$1,0,0,COUNTA([2]stages!$A:$A),MATCH(F$1,[2]stages!$2:$2,0)-MATCH($D$1,[2]stages!$2:$2,0)+1),MATCH(F$1,[2]stages!$2:$2,0)-MATCH($D$1,[2]stages!$2:$2,0)+1,FALSE)</f>
        <v>【超級】水ファミリー（ハートなし）</v>
      </c>
      <c r="G34" s="110">
        <v>3</v>
      </c>
      <c r="H34" s="16" t="str">
        <f>B34&amp;"_"&amp;C34&amp;"-"&amp;G34</f>
        <v>14001_2-3</v>
      </c>
      <c r="I34" s="5">
        <f ca="1">VLOOKUP($H34,OFFSET(floors!$A$1,0,0,COUNTA(floors!$A:$A),MATCH(I$1,floors!$1:$1,0)-MATCH($H$1,floors!$1:$1,0)+1),MATCH(I$1,floors!$1:$1,0)-MATCH($H$1,floors!$1:$1,0)+1,FALSE)</f>
        <v>50</v>
      </c>
      <c r="J34" s="5">
        <f ca="1">VLOOKUP($H34,OFFSET(floors!$A$1,0,0,COUNTA(floors!$A:$A),MATCH(J$1,floors!$1:$1,0)-MATCH($H$1,floors!$1:$1,0)+1),MATCH(J$1,floors!$1:$1,0)-MATCH($H$1,floors!$1:$1,0)+1,FALSE)</f>
        <v>50</v>
      </c>
      <c r="K34" s="8" t="s">
        <v>142</v>
      </c>
      <c r="L34" s="2">
        <f t="shared" si="45"/>
        <v>341</v>
      </c>
      <c r="M34" s="20" t="str">
        <f ca="1">VLOOKUP($L34,OFFSET([3]enemies!$A$1,0,0,COUNTA([3]enemies!$A:$A),MATCH(M$1,[3]enemies!$1:$1,0)-MATCH($L$1,[3]enemies!$1:$1,0)+1),MATCH(M$1,[3]enemies!$1:$1,0)-MATCH($L$1,[3]enemies!$1:$1,0)+1,FALSE)</f>
        <v>水のメタルチック</v>
      </c>
      <c r="N34" s="20" t="str">
        <f ca="1">VLOOKUP($L34,OFFSET([3]enemies!$A$1,0,0,COUNTA([3]enemies!$A:$A),MATCH(N$1,[3]enemies!$1:$1,0)-MATCH($L$1,[3]enemies!$1:$1,0)+1),MATCH(N$1,[3]enemies!$1:$1,0)-MATCH($L$1,[3]enemies!$1:$1,0)+1,FALSE)</f>
        <v>blue</v>
      </c>
      <c r="O34" s="20" t="str">
        <f ca="1">VLOOKUP($L34,OFFSET([4]characters!$A$1,0,0,COUNTA([4]characters!$A:$A),MATCH(O$1,[4]characters!$1:$1,0)-MATCH($L$1,[4]characters!$1:$1,0)+1),MATCH(O$1,[4]characters!$1:$1,0)-MATCH($L$1,[4]characters!$1:$1,0)+1,FALSE)</f>
        <v>Material</v>
      </c>
      <c r="P34" s="20" t="str">
        <f ca="1">VLOOKUP($L34,OFFSET([3]enemies!$A$1,0,0,COUNTA([3]enemies!$A:$A),MATCH(P$1,[3]enemies!$1:$1,0)-MATCH($L$1,[3]enemies!$1:$1,0)+1),MATCH(P$1,[3]enemies!$1:$1,0)-MATCH($L$1,[3]enemies!$1:$1,0)+1,FALSE)</f>
        <v>unknown</v>
      </c>
      <c r="Q34" s="20">
        <f ca="1">VLOOKUP($L34,OFFSET([3]enemies!$A$1,0,0,COUNTA([3]enemies!$A:$A),MATCH(Q$1,[3]enemies!$1:$1,0)-MATCH($L$1,[3]enemies!$1:$1,0)+1),MATCH(Q$1,[3]enemies!$1:$1,0)-MATCH($L$1,[3]enemies!$1:$1,0)+1,FALSE)</f>
        <v>15</v>
      </c>
      <c r="R34" s="107">
        <f t="shared" ref="R34:U34" si="114">R21</f>
        <v>10</v>
      </c>
      <c r="S34" s="107">
        <f t="shared" si="114"/>
        <v>0.4</v>
      </c>
      <c r="T34" s="108">
        <f t="shared" si="114"/>
        <v>40</v>
      </c>
      <c r="U34" s="107">
        <f t="shared" si="114"/>
        <v>-2845</v>
      </c>
      <c r="V34" s="5" t="str">
        <f ca="1">VLOOKUP($W34,OFFSET([5]enemy_skill_sets!$B$1,0,0,COUNTA([5]enemy_skill_sets!$B:$B),MATCH(M$1,[5]enemy_skill_sets!$1:$1,0)-MATCH($W$1,[5]enemy_skill_sets!$1:$1,0)+2),MATCH(M$1,[5]enemy_skill_sets!$1:$1,0)-MATCH($W$1,[5]enemy_skill_sets!$1:$1,0)+2,FALSE)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4" s="109">
        <f t="shared" ca="1" si="108"/>
        <v>0</v>
      </c>
      <c r="X34" s="109">
        <f t="shared" si="108"/>
        <v>0</v>
      </c>
      <c r="Y34" s="109">
        <f t="shared" si="108"/>
        <v>100</v>
      </c>
      <c r="Z34" s="109">
        <f t="shared" si="108"/>
        <v>0</v>
      </c>
      <c r="AA34" s="109">
        <f t="shared" si="108"/>
        <v>1</v>
      </c>
      <c r="AB34" s="2">
        <f>L34</f>
        <v>341</v>
      </c>
      <c r="AC34" s="5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34" s="5">
        <f ca="1">VLOOKUP($AB34,OFFSET([4]characters!$A$1,0,0,COUNTA([4]characters!$A:$A),MATCH(AD$1,[4]characters!$1:$1,0)-MATCH("character_id",[4]characters!$1:$1,0)+1),MATCH(AD$1,[4]characters!$1:$1,0)-MATCH("character_id",[4]characters!$1:$1,0)+1,FALSE)</f>
        <v>4</v>
      </c>
      <c r="AE34" s="5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4" s="27">
        <f t="shared" si="48"/>
        <v>1</v>
      </c>
      <c r="AG34" s="27">
        <f ca="1">AD34</f>
        <v>4</v>
      </c>
      <c r="AH34" s="27">
        <f t="shared" ref="AH34:AM34" si="115">AH21</f>
        <v>0</v>
      </c>
      <c r="AI34" s="27">
        <f t="shared" si="115"/>
        <v>0</v>
      </c>
      <c r="AJ34" s="27">
        <f t="shared" si="115"/>
        <v>0</v>
      </c>
      <c r="AK34" s="27">
        <f t="shared" si="115"/>
        <v>0</v>
      </c>
      <c r="AL34" s="27">
        <f t="shared" si="115"/>
        <v>0</v>
      </c>
      <c r="AM34" s="27">
        <f t="shared" si="115"/>
        <v>1</v>
      </c>
    </row>
    <row r="35" spans="1:39" ht="21" customHeight="1" x14ac:dyDescent="0.15">
      <c r="A35" s="17" t="str">
        <f t="shared" ref="A35:A40" si="116">B35&amp;"_"&amp;C35&amp;"-"&amp;G35&amp;"/"&amp;L35&amp;"&lt;lv"&amp;R35&amp;"&gt;s"&amp;AA35</f>
        <v>14001_2-3/342&lt;lv10&gt;s2</v>
      </c>
      <c r="B35" s="65">
        <v>14001</v>
      </c>
      <c r="C35" s="110">
        <f t="shared" si="100"/>
        <v>2</v>
      </c>
      <c r="D35" s="110" t="str">
        <f t="shared" ref="D35:D40" si="117">B35&amp;"_"&amp;C35</f>
        <v>14001_2</v>
      </c>
      <c r="E35" s="111" t="str">
        <f ca="1">VLOOKUP($B35,OFFSET([2]quests!$A$1,0,0,COUNTA([2]quests!$A:$A),MATCH(E$1,[2]quests!$1:$1,0)-MATCH($B$1,[2]quests!$1:$1,0)+1),MATCH(E$1,[2]quests!$1:$1,0)-MATCH($B$1,[2]quests!$1:$1,0)+1,FALSE)</f>
        <v>【ロック】経験値/ソロ</v>
      </c>
      <c r="F35" s="111" t="str">
        <f ca="1">VLOOKUP($D35,OFFSET([2]stages!$A$1,0,0,COUNTA([2]stages!$A:$A),MATCH(F$1,[2]stages!$2:$2,0)-MATCH($D$1,[2]stages!$2:$2,0)+1),MATCH(F$1,[2]stages!$2:$2,0)-MATCH($D$1,[2]stages!$2:$2,0)+1,FALSE)</f>
        <v>【超級】水ファミリー（ハートなし）</v>
      </c>
      <c r="G35" s="110">
        <v>3</v>
      </c>
      <c r="H35" s="16" t="str">
        <f t="shared" ref="H35:H40" si="118">B35&amp;"_"&amp;C35&amp;"-"&amp;G35</f>
        <v>14001_2-3</v>
      </c>
      <c r="I35" s="5">
        <f ca="1">VLOOKUP($H35,OFFSET(floors!$A$1,0,0,COUNTA(floors!$A:$A),MATCH(I$1,floors!$1:$1,0)-MATCH($H$1,floors!$1:$1,0)+1),MATCH(I$1,floors!$1:$1,0)-MATCH($H$1,floors!$1:$1,0)+1,FALSE)</f>
        <v>50</v>
      </c>
      <c r="J35" s="5">
        <f ca="1">VLOOKUP($H35,OFFSET(floors!$A$1,0,0,COUNTA(floors!$A:$A),MATCH(J$1,floors!$1:$1,0)-MATCH($H$1,floors!$1:$1,0)+1),MATCH(J$1,floors!$1:$1,0)-MATCH($H$1,floors!$1:$1,0)+1,FALSE)</f>
        <v>50</v>
      </c>
      <c r="K35" s="8" t="s">
        <v>142</v>
      </c>
      <c r="L35" s="2">
        <f t="shared" si="45"/>
        <v>342</v>
      </c>
      <c r="M35" s="20" t="str">
        <f ca="1">VLOOKUP($L35,OFFSET([3]enemies!$A$1,0,0,COUNTA([3]enemies!$A:$A),MATCH(M$1,[3]enemies!$1:$1,0)-MATCH($L$1,[3]enemies!$1:$1,0)+1),MATCH(M$1,[3]enemies!$1:$1,0)-MATCH($L$1,[3]enemies!$1:$1,0)+1,FALSE)</f>
        <v>水のメタルダック</v>
      </c>
      <c r="N35" s="20" t="str">
        <f ca="1">VLOOKUP($L35,OFFSET([3]enemies!$A$1,0,0,COUNTA([3]enemies!$A:$A),MATCH(N$1,[3]enemies!$1:$1,0)-MATCH($L$1,[3]enemies!$1:$1,0)+1),MATCH(N$1,[3]enemies!$1:$1,0)-MATCH($L$1,[3]enemies!$1:$1,0)+1,FALSE)</f>
        <v>blue</v>
      </c>
      <c r="O35" s="20" t="str">
        <f ca="1">VLOOKUP($L35,OFFSET([4]characters!$A$1,0,0,COUNTA([4]characters!$A:$A),MATCH(O$1,[4]characters!$1:$1,0)-MATCH($L$1,[4]characters!$1:$1,0)+1),MATCH(O$1,[4]characters!$1:$1,0)-MATCH($L$1,[4]characters!$1:$1,0)+1,FALSE)</f>
        <v>Material</v>
      </c>
      <c r="P35" s="20" t="str">
        <f ca="1">VLOOKUP($L35,OFFSET([3]enemies!$A$1,0,0,COUNTA([3]enemies!$A:$A),MATCH(P$1,[3]enemies!$1:$1,0)-MATCH($L$1,[3]enemies!$1:$1,0)+1),MATCH(P$1,[3]enemies!$1:$1,0)-MATCH($L$1,[3]enemies!$1:$1,0)+1,FALSE)</f>
        <v>unknown</v>
      </c>
      <c r="Q35" s="20">
        <f ca="1">VLOOKUP($L35,OFFSET([3]enemies!$A$1,0,0,COUNTA([3]enemies!$A:$A),MATCH(Q$1,[3]enemies!$1:$1,0)-MATCH($L$1,[3]enemies!$1:$1,0)+1),MATCH(Q$1,[3]enemies!$1:$1,0)-MATCH($L$1,[3]enemies!$1:$1,0)+1,FALSE)</f>
        <v>20</v>
      </c>
      <c r="R35" s="107">
        <f t="shared" ref="R35:U35" si="119">R22</f>
        <v>10</v>
      </c>
      <c r="S35" s="107">
        <f t="shared" si="119"/>
        <v>0.4</v>
      </c>
      <c r="T35" s="108">
        <f t="shared" si="119"/>
        <v>40</v>
      </c>
      <c r="U35" s="107">
        <f t="shared" si="119"/>
        <v>-20223</v>
      </c>
      <c r="V35" s="5" t="str">
        <f ca="1">VLOOKUP($W35,OFFSET([5]enemy_skill_sets!$B$1,0,0,COUNTA([5]enemy_skill_sets!$B:$B),MATCH(M$1,[5]enemy_skill_sets!$1:$1,0)-MATCH($W$1,[5]enemy_skill_sets!$1:$1,0)+2),MATCH(M$1,[5]enemy_skill_sets!$1:$1,0)-MATCH($W$1,[5]enemy_skill_sets!$1:$1,0)+2,FALSE)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5" s="109">
        <f t="shared" ca="1" si="108"/>
        <v>0</v>
      </c>
      <c r="X35" s="109">
        <f t="shared" si="108"/>
        <v>0</v>
      </c>
      <c r="Y35" s="109">
        <f t="shared" si="108"/>
        <v>34</v>
      </c>
      <c r="Z35" s="109">
        <f t="shared" si="108"/>
        <v>1</v>
      </c>
      <c r="AA35" s="109">
        <f t="shared" si="108"/>
        <v>2</v>
      </c>
      <c r="AB35" s="2">
        <f t="shared" ref="AB35:AB40" si="120">L35</f>
        <v>342</v>
      </c>
      <c r="AC35" s="5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35" s="5">
        <f ca="1">VLOOKUP($AB35,OFFSET([4]characters!$A$1,0,0,COUNTA([4]characters!$A:$A),MATCH(AD$1,[4]characters!$1:$1,0)-MATCH("character_id",[4]characters!$1:$1,0)+1),MATCH(AD$1,[4]characters!$1:$1,0)-MATCH("character_id",[4]characters!$1:$1,0)+1,FALSE)</f>
        <v>5</v>
      </c>
      <c r="AE35" s="5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5" s="27">
        <f t="shared" si="48"/>
        <v>1</v>
      </c>
      <c r="AG35" s="27">
        <f t="shared" ref="AG35:AG40" ca="1" si="121">AD35</f>
        <v>5</v>
      </c>
      <c r="AH35" s="27">
        <f t="shared" ref="AH35:AM35" si="122">AH22</f>
        <v>100</v>
      </c>
      <c r="AI35" s="27">
        <f t="shared" si="122"/>
        <v>0</v>
      </c>
      <c r="AJ35" s="27">
        <f t="shared" si="122"/>
        <v>0</v>
      </c>
      <c r="AK35" s="27">
        <f t="shared" si="122"/>
        <v>0</v>
      </c>
      <c r="AL35" s="27">
        <f t="shared" si="122"/>
        <v>0</v>
      </c>
      <c r="AM35" s="27">
        <f t="shared" si="122"/>
        <v>1</v>
      </c>
    </row>
    <row r="36" spans="1:39" ht="21" customHeight="1" x14ac:dyDescent="0.15">
      <c r="A36" s="17" t="str">
        <f t="shared" si="116"/>
        <v>14001_2-3/343&lt;lv10&gt;s2</v>
      </c>
      <c r="B36" s="65">
        <v>14001</v>
      </c>
      <c r="C36" s="110">
        <f t="shared" si="100"/>
        <v>2</v>
      </c>
      <c r="D36" s="110" t="str">
        <f t="shared" si="117"/>
        <v>14001_2</v>
      </c>
      <c r="E36" s="111" t="str">
        <f ca="1">VLOOKUP($B36,OFFSET([2]quests!$A$1,0,0,COUNTA([2]quests!$A:$A),MATCH(E$1,[2]quests!$1:$1,0)-MATCH($B$1,[2]quests!$1:$1,0)+1),MATCH(E$1,[2]quests!$1:$1,0)-MATCH($B$1,[2]quests!$1:$1,0)+1,FALSE)</f>
        <v>【ロック】経験値/ソロ</v>
      </c>
      <c r="F36" s="111" t="str">
        <f ca="1">VLOOKUP($D36,OFFSET([2]stages!$A$1,0,0,COUNTA([2]stages!$A:$A),MATCH(F$1,[2]stages!$2:$2,0)-MATCH($D$1,[2]stages!$2:$2,0)+1),MATCH(F$1,[2]stages!$2:$2,0)-MATCH($D$1,[2]stages!$2:$2,0)+1,FALSE)</f>
        <v>【超級】水ファミリー（ハートなし）</v>
      </c>
      <c r="G36" s="110">
        <v>3</v>
      </c>
      <c r="H36" s="16" t="str">
        <f t="shared" si="118"/>
        <v>14001_2-3</v>
      </c>
      <c r="I36" s="5">
        <f ca="1">VLOOKUP($H36,OFFSET(floors!$A$1,0,0,COUNTA(floors!$A:$A),MATCH(I$1,floors!$1:$1,0)-MATCH($H$1,floors!$1:$1,0)+1),MATCH(I$1,floors!$1:$1,0)-MATCH($H$1,floors!$1:$1,0)+1,FALSE)</f>
        <v>50</v>
      </c>
      <c r="J36" s="5">
        <f ca="1">VLOOKUP($H36,OFFSET(floors!$A$1,0,0,COUNTA(floors!$A:$A),MATCH(J$1,floors!$1:$1,0)-MATCH($H$1,floors!$1:$1,0)+1),MATCH(J$1,floors!$1:$1,0)-MATCH($H$1,floors!$1:$1,0)+1,FALSE)</f>
        <v>50</v>
      </c>
      <c r="K36" s="8" t="s">
        <v>142</v>
      </c>
      <c r="L36" s="2">
        <f t="shared" si="45"/>
        <v>343</v>
      </c>
      <c r="M36" s="20" t="str">
        <f ca="1">VLOOKUP($L36,OFFSET([3]enemies!$A$1,0,0,COUNTA([3]enemies!$A:$A),MATCH(M$1,[3]enemies!$1:$1,0)-MATCH($L$1,[3]enemies!$1:$1,0)+1),MATCH(M$1,[3]enemies!$1:$1,0)-MATCH($L$1,[3]enemies!$1:$1,0)+1,FALSE)</f>
        <v>水のメタルジェントル</v>
      </c>
      <c r="N36" s="20" t="str">
        <f ca="1">VLOOKUP($L36,OFFSET([3]enemies!$A$1,0,0,COUNTA([3]enemies!$A:$A),MATCH(N$1,[3]enemies!$1:$1,0)-MATCH($L$1,[3]enemies!$1:$1,0)+1),MATCH(N$1,[3]enemies!$1:$1,0)-MATCH($L$1,[3]enemies!$1:$1,0)+1,FALSE)</f>
        <v>blue</v>
      </c>
      <c r="O36" s="20" t="str">
        <f ca="1">VLOOKUP($L36,OFFSET([4]characters!$A$1,0,0,COUNTA([4]characters!$A:$A),MATCH(O$1,[4]characters!$1:$1,0)-MATCH($L$1,[4]characters!$1:$1,0)+1),MATCH(O$1,[4]characters!$1:$1,0)-MATCH($L$1,[4]characters!$1:$1,0)+1,FALSE)</f>
        <v>Material</v>
      </c>
      <c r="P36" s="20" t="str">
        <f ca="1">VLOOKUP($L36,OFFSET([3]enemies!$A$1,0,0,COUNTA([3]enemies!$A:$A),MATCH(P$1,[3]enemies!$1:$1,0)-MATCH($L$1,[3]enemies!$1:$1,0)+1),MATCH(P$1,[3]enemies!$1:$1,0)-MATCH($L$1,[3]enemies!$1:$1,0)+1,FALSE)</f>
        <v>unknown</v>
      </c>
      <c r="Q36" s="20">
        <f ca="1">VLOOKUP($L36,OFFSET([3]enemies!$A$1,0,0,COUNTA([3]enemies!$A:$A),MATCH(Q$1,[3]enemies!$1:$1,0)-MATCH($L$1,[3]enemies!$1:$1,0)+1),MATCH(Q$1,[3]enemies!$1:$1,0)-MATCH($L$1,[3]enemies!$1:$1,0)+1,FALSE)</f>
        <v>20</v>
      </c>
      <c r="R36" s="107">
        <f t="shared" ref="R36:U36" si="123">R23</f>
        <v>10</v>
      </c>
      <c r="S36" s="107">
        <f t="shared" si="123"/>
        <v>0.2</v>
      </c>
      <c r="T36" s="108">
        <f t="shared" si="123"/>
        <v>50</v>
      </c>
      <c r="U36" s="107">
        <f t="shared" si="123"/>
        <v>-30889</v>
      </c>
      <c r="V36" s="5" t="str">
        <f ca="1">VLOOKUP($W36,OFFSET(enemy_skill_sets!$B$1,0,0,COUNTA(enemy_skill_sets!$B:$B),MATCH(M$1,enemy_skill_sets!$1:$1,0)-MATCH($W$1,enemy_skill_sets!$1:$1,0)+2),MATCH(M$1,enemy_skill_sets!$1:$1,0)-MATCH($W$1,enemy_skill_sets!$1:$1,0)+2,FALSE)</f>
        <v>なんと ジェントルがあらわれた！</v>
      </c>
      <c r="W36" s="109">
        <f t="shared" si="108"/>
        <v>14001030</v>
      </c>
      <c r="X36" s="109">
        <f t="shared" si="108"/>
        <v>0</v>
      </c>
      <c r="Y36" s="109">
        <f t="shared" si="108"/>
        <v>66</v>
      </c>
      <c r="Z36" s="109">
        <f t="shared" si="108"/>
        <v>1</v>
      </c>
      <c r="AA36" s="109">
        <f t="shared" si="108"/>
        <v>2</v>
      </c>
      <c r="AB36" s="2">
        <f t="shared" si="120"/>
        <v>343</v>
      </c>
      <c r="AC36" s="5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水のメタルジェントル</v>
      </c>
      <c r="AD36" s="5">
        <f ca="1">VLOOKUP($AB36,OFFSET([4]characters!$A$1,0,0,COUNTA([4]characters!$A:$A),MATCH(AD$1,[4]characters!$1:$1,0)-MATCH("character_id",[4]characters!$1:$1,0)+1),MATCH(AD$1,[4]characters!$1:$1,0)-MATCH("character_id",[4]characters!$1:$1,0)+1,FALSE)</f>
        <v>6</v>
      </c>
      <c r="AE36" s="5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6" s="27">
        <f t="shared" si="48"/>
        <v>1</v>
      </c>
      <c r="AG36" s="27">
        <f t="shared" ca="1" si="121"/>
        <v>6</v>
      </c>
      <c r="AH36" s="27">
        <f t="shared" ref="AH36:AM36" si="124">AH23</f>
        <v>100</v>
      </c>
      <c r="AI36" s="27">
        <f t="shared" si="124"/>
        <v>0</v>
      </c>
      <c r="AJ36" s="27">
        <f t="shared" si="124"/>
        <v>0</v>
      </c>
      <c r="AK36" s="27">
        <f t="shared" si="124"/>
        <v>0</v>
      </c>
      <c r="AL36" s="27">
        <f t="shared" si="124"/>
        <v>0</v>
      </c>
      <c r="AM36" s="27">
        <f t="shared" si="124"/>
        <v>1</v>
      </c>
    </row>
    <row r="37" spans="1:39" ht="21" customHeight="1" x14ac:dyDescent="0.15">
      <c r="A37" s="17" t="str">
        <f t="shared" si="116"/>
        <v>14001_2-4/342&lt;lv10&gt;s2</v>
      </c>
      <c r="B37" s="65">
        <v>14001</v>
      </c>
      <c r="C37" s="110">
        <f t="shared" si="100"/>
        <v>2</v>
      </c>
      <c r="D37" s="110" t="str">
        <f t="shared" si="117"/>
        <v>14001_2</v>
      </c>
      <c r="E37" s="111" t="str">
        <f ca="1">VLOOKUP($B37,OFFSET([2]quests!$A$1,0,0,COUNTA([2]quests!$A:$A),MATCH(E$1,[2]quests!$1:$1,0)-MATCH($B$1,[2]quests!$1:$1,0)+1),MATCH(E$1,[2]quests!$1:$1,0)-MATCH($B$1,[2]quests!$1:$1,0)+1,FALSE)</f>
        <v>【ロック】経験値/ソロ</v>
      </c>
      <c r="F37" s="111" t="str">
        <f ca="1">VLOOKUP($D37,OFFSET([2]stages!$A$1,0,0,COUNTA([2]stages!$A:$A),MATCH(F$1,[2]stages!$2:$2,0)-MATCH($D$1,[2]stages!$2:$2,0)+1),MATCH(F$1,[2]stages!$2:$2,0)-MATCH($D$1,[2]stages!$2:$2,0)+1,FALSE)</f>
        <v>【超級】水ファミリー（ハートなし）</v>
      </c>
      <c r="G37" s="110">
        <v>4</v>
      </c>
      <c r="H37" s="16" t="str">
        <f t="shared" si="118"/>
        <v>14001_2-4</v>
      </c>
      <c r="I37" s="5">
        <f ca="1">VLOOKUP($H37,OFFSET(floors!$A$1,0,0,COUNTA(floors!$A:$A),MATCH(I$1,floors!$1:$1,0)-MATCH($H$1,floors!$1:$1,0)+1),MATCH(I$1,floors!$1:$1,0)-MATCH($H$1,floors!$1:$1,0)+1,FALSE)</f>
        <v>59</v>
      </c>
      <c r="J37" s="5">
        <f ca="1">VLOOKUP($H37,OFFSET(floors!$A$1,0,0,COUNTA(floors!$A:$A),MATCH(J$1,floors!$1:$1,0)-MATCH($H$1,floors!$1:$1,0)+1),MATCH(J$1,floors!$1:$1,0)-MATCH($H$1,floors!$1:$1,0)+1,FALSE)</f>
        <v>60</v>
      </c>
      <c r="K37" s="8" t="s">
        <v>142</v>
      </c>
      <c r="L37" s="2">
        <f t="shared" si="45"/>
        <v>342</v>
      </c>
      <c r="M37" s="20" t="str">
        <f ca="1">VLOOKUP($L37,OFFSET([3]enemies!$A$1,0,0,COUNTA([3]enemies!$A:$A),MATCH(M$1,[3]enemies!$1:$1,0)-MATCH($L$1,[3]enemies!$1:$1,0)+1),MATCH(M$1,[3]enemies!$1:$1,0)-MATCH($L$1,[3]enemies!$1:$1,0)+1,FALSE)</f>
        <v>水のメタルダック</v>
      </c>
      <c r="N37" s="20" t="str">
        <f ca="1">VLOOKUP($L37,OFFSET([3]enemies!$A$1,0,0,COUNTA([3]enemies!$A:$A),MATCH(N$1,[3]enemies!$1:$1,0)-MATCH($L$1,[3]enemies!$1:$1,0)+1),MATCH(N$1,[3]enemies!$1:$1,0)-MATCH($L$1,[3]enemies!$1:$1,0)+1,FALSE)</f>
        <v>blue</v>
      </c>
      <c r="O37" s="20" t="str">
        <f ca="1">VLOOKUP($L37,OFFSET([4]characters!$A$1,0,0,COUNTA([4]characters!$A:$A),MATCH(O$1,[4]characters!$1:$1,0)-MATCH($L$1,[4]characters!$1:$1,0)+1),MATCH(O$1,[4]characters!$1:$1,0)-MATCH($L$1,[4]characters!$1:$1,0)+1,FALSE)</f>
        <v>Material</v>
      </c>
      <c r="P37" s="20" t="str">
        <f ca="1">VLOOKUP($L37,OFFSET([3]enemies!$A$1,0,0,COUNTA([3]enemies!$A:$A),MATCH(P$1,[3]enemies!$1:$1,0)-MATCH($L$1,[3]enemies!$1:$1,0)+1),MATCH(P$1,[3]enemies!$1:$1,0)-MATCH($L$1,[3]enemies!$1:$1,0)+1,FALSE)</f>
        <v>unknown</v>
      </c>
      <c r="Q37" s="20">
        <f ca="1">VLOOKUP($L37,OFFSET([3]enemies!$A$1,0,0,COUNTA([3]enemies!$A:$A),MATCH(Q$1,[3]enemies!$1:$1,0)-MATCH($L$1,[3]enemies!$1:$1,0)+1),MATCH(Q$1,[3]enemies!$1:$1,0)-MATCH($L$1,[3]enemies!$1:$1,0)+1,FALSE)</f>
        <v>20</v>
      </c>
      <c r="R37" s="107">
        <f t="shared" ref="R37:U37" si="125">R24</f>
        <v>10</v>
      </c>
      <c r="S37" s="107">
        <f t="shared" si="125"/>
        <v>0.4</v>
      </c>
      <c r="T37" s="108">
        <f t="shared" si="125"/>
        <v>40</v>
      </c>
      <c r="U37" s="107">
        <f t="shared" si="125"/>
        <v>-20223</v>
      </c>
      <c r="V37" s="5" t="str">
        <f ca="1">VLOOKUP($W37,OFFSET([5]enemy_skill_sets!$B$1,0,0,COUNTA([5]enemy_skill_sets!$B:$B),MATCH(M$1,[5]enemy_skill_sets!$1:$1,0)-MATCH($W$1,[5]enemy_skill_sets!$1:$1,0)+2),MATCH(M$1,[5]enemy_skill_sets!$1:$1,0)-MATCH($W$1,[5]enemy_skill_sets!$1:$1,0)+2,FALSE)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7" s="109">
        <f t="shared" ca="1" si="108"/>
        <v>0</v>
      </c>
      <c r="X37" s="109">
        <f t="shared" si="108"/>
        <v>0</v>
      </c>
      <c r="Y37" s="109">
        <f t="shared" si="108"/>
        <v>100</v>
      </c>
      <c r="Z37" s="109">
        <f t="shared" si="108"/>
        <v>0</v>
      </c>
      <c r="AA37" s="109">
        <f t="shared" si="108"/>
        <v>2</v>
      </c>
      <c r="AB37" s="2">
        <f t="shared" si="120"/>
        <v>342</v>
      </c>
      <c r="AC37" s="5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37" s="5">
        <f ca="1">VLOOKUP($AB37,OFFSET([4]characters!$A$1,0,0,COUNTA([4]characters!$A:$A),MATCH(AD$1,[4]characters!$1:$1,0)-MATCH("character_id",[4]characters!$1:$1,0)+1),MATCH(AD$1,[4]characters!$1:$1,0)-MATCH("character_id",[4]characters!$1:$1,0)+1,FALSE)</f>
        <v>5</v>
      </c>
      <c r="AE37" s="5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7" s="27">
        <f t="shared" si="48"/>
        <v>1</v>
      </c>
      <c r="AG37" s="27">
        <f t="shared" ca="1" si="121"/>
        <v>5</v>
      </c>
      <c r="AH37" s="27">
        <f t="shared" ref="AH37:AM37" si="126">AH24</f>
        <v>100</v>
      </c>
      <c r="AI37" s="27">
        <f t="shared" si="126"/>
        <v>0</v>
      </c>
      <c r="AJ37" s="27">
        <f t="shared" si="126"/>
        <v>0</v>
      </c>
      <c r="AK37" s="27">
        <f t="shared" si="126"/>
        <v>0</v>
      </c>
      <c r="AL37" s="27">
        <f t="shared" si="126"/>
        <v>0</v>
      </c>
      <c r="AM37" s="27">
        <f t="shared" si="126"/>
        <v>1</v>
      </c>
    </row>
    <row r="38" spans="1:39" ht="21" customHeight="1" x14ac:dyDescent="0.15">
      <c r="A38" s="17" t="str">
        <f t="shared" si="116"/>
        <v>14001_2-5/341&lt;lv10&gt;s2</v>
      </c>
      <c r="B38" s="65">
        <v>14001</v>
      </c>
      <c r="C38" s="110">
        <f t="shared" si="100"/>
        <v>2</v>
      </c>
      <c r="D38" s="110" t="str">
        <f t="shared" si="117"/>
        <v>14001_2</v>
      </c>
      <c r="E38" s="111" t="str">
        <f ca="1">VLOOKUP($B38,OFFSET([2]quests!$A$1,0,0,COUNTA([2]quests!$A:$A),MATCH(E$1,[2]quests!$1:$1,0)-MATCH($B$1,[2]quests!$1:$1,0)+1),MATCH(E$1,[2]quests!$1:$1,0)-MATCH($B$1,[2]quests!$1:$1,0)+1,FALSE)</f>
        <v>【ロック】経験値/ソロ</v>
      </c>
      <c r="F38" s="111" t="str">
        <f ca="1">VLOOKUP($D38,OFFSET([2]stages!$A$1,0,0,COUNTA([2]stages!$A:$A),MATCH(F$1,[2]stages!$2:$2,0)-MATCH($D$1,[2]stages!$2:$2,0)+1),MATCH(F$1,[2]stages!$2:$2,0)-MATCH($D$1,[2]stages!$2:$2,0)+1,FALSE)</f>
        <v>【超級】水ファミリー（ハートなし）</v>
      </c>
      <c r="G38" s="110">
        <v>5</v>
      </c>
      <c r="H38" s="16" t="str">
        <f t="shared" si="118"/>
        <v>14001_2-5</v>
      </c>
      <c r="I38" s="5">
        <f ca="1">VLOOKUP($H38,OFFSET(floors!$A$1,0,0,COUNTA(floors!$A:$A),MATCH(I$1,floors!$1:$1,0)-MATCH($H$1,floors!$1:$1,0)+1),MATCH(I$1,floors!$1:$1,0)-MATCH($H$1,floors!$1:$1,0)+1,FALSE)</f>
        <v>55</v>
      </c>
      <c r="J38" s="5">
        <f ca="1">VLOOKUP($H38,OFFSET(floors!$A$1,0,0,COUNTA(floors!$A:$A),MATCH(J$1,floors!$1:$1,0)-MATCH($H$1,floors!$1:$1,0)+1),MATCH(J$1,floors!$1:$1,0)-MATCH($H$1,floors!$1:$1,0)+1,FALSE)</f>
        <v>55</v>
      </c>
      <c r="K38" s="8" t="s">
        <v>142</v>
      </c>
      <c r="L38" s="2">
        <f t="shared" si="45"/>
        <v>341</v>
      </c>
      <c r="M38" s="20" t="str">
        <f ca="1">VLOOKUP($L38,OFFSET([3]enemies!$A$1,0,0,COUNTA([3]enemies!$A:$A),MATCH(M$1,[3]enemies!$1:$1,0)-MATCH($L$1,[3]enemies!$1:$1,0)+1),MATCH(M$1,[3]enemies!$1:$1,0)-MATCH($L$1,[3]enemies!$1:$1,0)+1,FALSE)</f>
        <v>水のメタルチック</v>
      </c>
      <c r="N38" s="20" t="str">
        <f ca="1">VLOOKUP($L38,OFFSET([3]enemies!$A$1,0,0,COUNTA([3]enemies!$A:$A),MATCH(N$1,[3]enemies!$1:$1,0)-MATCH($L$1,[3]enemies!$1:$1,0)+1),MATCH(N$1,[3]enemies!$1:$1,0)-MATCH($L$1,[3]enemies!$1:$1,0)+1,FALSE)</f>
        <v>blue</v>
      </c>
      <c r="O38" s="20" t="str">
        <f ca="1">VLOOKUP($L38,OFFSET([4]characters!$A$1,0,0,COUNTA([4]characters!$A:$A),MATCH(O$1,[4]characters!$1:$1,0)-MATCH($L$1,[4]characters!$1:$1,0)+1),MATCH(O$1,[4]characters!$1:$1,0)-MATCH($L$1,[4]characters!$1:$1,0)+1,FALSE)</f>
        <v>Material</v>
      </c>
      <c r="P38" s="20" t="str">
        <f ca="1">VLOOKUP($L38,OFFSET([3]enemies!$A$1,0,0,COUNTA([3]enemies!$A:$A),MATCH(P$1,[3]enemies!$1:$1,0)-MATCH($L$1,[3]enemies!$1:$1,0)+1),MATCH(P$1,[3]enemies!$1:$1,0)-MATCH($L$1,[3]enemies!$1:$1,0)+1,FALSE)</f>
        <v>unknown</v>
      </c>
      <c r="Q38" s="20">
        <f ca="1">VLOOKUP($L38,OFFSET([3]enemies!$A$1,0,0,COUNTA([3]enemies!$A:$A),MATCH(Q$1,[3]enemies!$1:$1,0)-MATCH($L$1,[3]enemies!$1:$1,0)+1),MATCH(Q$1,[3]enemies!$1:$1,0)-MATCH($L$1,[3]enemies!$1:$1,0)+1,FALSE)</f>
        <v>15</v>
      </c>
      <c r="R38" s="107">
        <f t="shared" ref="R38:U38" si="127">R25</f>
        <v>10</v>
      </c>
      <c r="S38" s="107">
        <f t="shared" si="127"/>
        <v>0.4</v>
      </c>
      <c r="T38" s="108">
        <f t="shared" si="127"/>
        <v>40</v>
      </c>
      <c r="U38" s="107">
        <f t="shared" si="127"/>
        <v>-2845</v>
      </c>
      <c r="V38" s="5" t="str">
        <f ca="1">VLOOKUP($W38,OFFSET([5]enemy_skill_sets!$B$1,0,0,COUNTA([5]enemy_skill_sets!$B:$B),MATCH(M$1,[5]enemy_skill_sets!$1:$1,0)-MATCH($W$1,[5]enemy_skill_sets!$1:$1,0)+2),MATCH(M$1,[5]enemy_skill_sets!$1:$1,0)-MATCH($W$1,[5]enemy_skill_sets!$1:$1,0)+2,FALSE)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8" s="109">
        <f t="shared" ca="1" si="108"/>
        <v>0</v>
      </c>
      <c r="X38" s="109">
        <f t="shared" si="108"/>
        <v>1</v>
      </c>
      <c r="Y38" s="109">
        <f t="shared" si="108"/>
        <v>0</v>
      </c>
      <c r="Z38" s="109">
        <f t="shared" si="108"/>
        <v>2</v>
      </c>
      <c r="AA38" s="109">
        <f t="shared" si="108"/>
        <v>2</v>
      </c>
      <c r="AB38" s="2">
        <f t="shared" si="120"/>
        <v>341</v>
      </c>
      <c r="AC38" s="5" t="str">
        <f ca="1">VLOOKUP($AB38,OFFSET([4]characters!$A$1,0,0,COUNTA([4]characters!$A:$A),MATCH(AC$1,[4]characters!$1:$1,0)-MATCH("character_id",[4]characters!$1:$1,0)+1),MATCH(AC$1,[4]characters!$1:$1,0)-MATCH("character_id",[4]characters!$1:$1,0)+1,FALSE)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38" s="5">
        <f ca="1">VLOOKUP($AB38,OFFSET([4]characters!$A$1,0,0,COUNTA([4]characters!$A:$A),MATCH(AD$1,[4]characters!$1:$1,0)-MATCH("character_id",[4]characters!$1:$1,0)+1),MATCH(AD$1,[4]characters!$1:$1,0)-MATCH("character_id",[4]characters!$1:$1,0)+1,FALSE)</f>
        <v>4</v>
      </c>
      <c r="AE38" s="5" t="str">
        <f ca="1">VLOOKUP($AB38,OFFSET([4]characters!$A$1,0,0,COUNTA([4]characters!$A:$A),MATCH(AE$1,[4]characters!$1:$1,0)-MATCH("character_id",[4]characters!$1:$1,0)+1),MATCH(AE$1,[4]characters!$1:$1,0)-MATCH("character_id",[4]characters!$1:$1,0)+1,FALSE)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8" s="27">
        <f t="shared" si="48"/>
        <v>1</v>
      </c>
      <c r="AG38" s="27">
        <f t="shared" ca="1" si="121"/>
        <v>4</v>
      </c>
      <c r="AH38" s="27">
        <f t="shared" ref="AH38:AM38" si="128">AH25</f>
        <v>0</v>
      </c>
      <c r="AI38" s="27">
        <f t="shared" si="128"/>
        <v>0</v>
      </c>
      <c r="AJ38" s="27">
        <f t="shared" si="128"/>
        <v>0</v>
      </c>
      <c r="AK38" s="27">
        <f t="shared" si="128"/>
        <v>0</v>
      </c>
      <c r="AL38" s="27">
        <f t="shared" si="128"/>
        <v>0</v>
      </c>
      <c r="AM38" s="27">
        <f t="shared" si="128"/>
        <v>1</v>
      </c>
    </row>
    <row r="39" spans="1:39" ht="21" customHeight="1" x14ac:dyDescent="0.15">
      <c r="A39" s="17" t="str">
        <f t="shared" si="116"/>
        <v>14001_2-5/342&lt;lv10&gt;s2</v>
      </c>
      <c r="B39" s="65">
        <v>14001</v>
      </c>
      <c r="C39" s="110">
        <f t="shared" si="100"/>
        <v>2</v>
      </c>
      <c r="D39" s="110" t="str">
        <f t="shared" si="117"/>
        <v>14001_2</v>
      </c>
      <c r="E39" s="111" t="str">
        <f ca="1">VLOOKUP($B39,OFFSET([2]quests!$A$1,0,0,COUNTA([2]quests!$A:$A),MATCH(E$1,[2]quests!$1:$1,0)-MATCH($B$1,[2]quests!$1:$1,0)+1),MATCH(E$1,[2]quests!$1:$1,0)-MATCH($B$1,[2]quests!$1:$1,0)+1,FALSE)</f>
        <v>【ロック】経験値/ソロ</v>
      </c>
      <c r="F39" s="111" t="str">
        <f ca="1">VLOOKUP($D39,OFFSET([2]stages!$A$1,0,0,COUNTA([2]stages!$A:$A),MATCH(F$1,[2]stages!$2:$2,0)-MATCH($D$1,[2]stages!$2:$2,0)+1),MATCH(F$1,[2]stages!$2:$2,0)-MATCH($D$1,[2]stages!$2:$2,0)+1,FALSE)</f>
        <v>【超級】水ファミリー（ハートなし）</v>
      </c>
      <c r="G39" s="110">
        <v>5</v>
      </c>
      <c r="H39" s="16" t="str">
        <f t="shared" si="118"/>
        <v>14001_2-5</v>
      </c>
      <c r="I39" s="5">
        <f ca="1">VLOOKUP($H39,OFFSET(floors!$A$1,0,0,COUNTA(floors!$A:$A),MATCH(I$1,floors!$1:$1,0)-MATCH($H$1,floors!$1:$1,0)+1),MATCH(I$1,floors!$1:$1,0)-MATCH($H$1,floors!$1:$1,0)+1,FALSE)</f>
        <v>55</v>
      </c>
      <c r="J39" s="5">
        <f ca="1">VLOOKUP($H39,OFFSET(floors!$A$1,0,0,COUNTA(floors!$A:$A),MATCH(J$1,floors!$1:$1,0)-MATCH($H$1,floors!$1:$1,0)+1),MATCH(J$1,floors!$1:$1,0)-MATCH($H$1,floors!$1:$1,0)+1,FALSE)</f>
        <v>55</v>
      </c>
      <c r="K39" s="8" t="s">
        <v>142</v>
      </c>
      <c r="L39" s="2">
        <f t="shared" si="45"/>
        <v>342</v>
      </c>
      <c r="M39" s="20" t="str">
        <f ca="1">VLOOKUP($L39,OFFSET([3]enemies!$A$1,0,0,COUNTA([3]enemies!$A:$A),MATCH(M$1,[3]enemies!$1:$1,0)-MATCH($L$1,[3]enemies!$1:$1,0)+1),MATCH(M$1,[3]enemies!$1:$1,0)-MATCH($L$1,[3]enemies!$1:$1,0)+1,FALSE)</f>
        <v>水のメタルダック</v>
      </c>
      <c r="N39" s="20" t="str">
        <f ca="1">VLOOKUP($L39,OFFSET([3]enemies!$A$1,0,0,COUNTA([3]enemies!$A:$A),MATCH(N$1,[3]enemies!$1:$1,0)-MATCH($L$1,[3]enemies!$1:$1,0)+1),MATCH(N$1,[3]enemies!$1:$1,0)-MATCH($L$1,[3]enemies!$1:$1,0)+1,FALSE)</f>
        <v>blue</v>
      </c>
      <c r="O39" s="20" t="str">
        <f ca="1">VLOOKUP($L39,OFFSET([4]characters!$A$1,0,0,COUNTA([4]characters!$A:$A),MATCH(O$1,[4]characters!$1:$1,0)-MATCH($L$1,[4]characters!$1:$1,0)+1),MATCH(O$1,[4]characters!$1:$1,0)-MATCH($L$1,[4]characters!$1:$1,0)+1,FALSE)</f>
        <v>Material</v>
      </c>
      <c r="P39" s="20" t="str">
        <f ca="1">VLOOKUP($L39,OFFSET([3]enemies!$A$1,0,0,COUNTA([3]enemies!$A:$A),MATCH(P$1,[3]enemies!$1:$1,0)-MATCH($L$1,[3]enemies!$1:$1,0)+1),MATCH(P$1,[3]enemies!$1:$1,0)-MATCH($L$1,[3]enemies!$1:$1,0)+1,FALSE)</f>
        <v>unknown</v>
      </c>
      <c r="Q39" s="20">
        <f ca="1">VLOOKUP($L39,OFFSET([3]enemies!$A$1,0,0,COUNTA([3]enemies!$A:$A),MATCH(Q$1,[3]enemies!$1:$1,0)-MATCH($L$1,[3]enemies!$1:$1,0)+1),MATCH(Q$1,[3]enemies!$1:$1,0)-MATCH($L$1,[3]enemies!$1:$1,0)+1,FALSE)</f>
        <v>20</v>
      </c>
      <c r="R39" s="107">
        <f t="shared" ref="R39:U39" si="129">R26</f>
        <v>10</v>
      </c>
      <c r="S39" s="107">
        <f t="shared" si="129"/>
        <v>0.4</v>
      </c>
      <c r="T39" s="108">
        <f t="shared" si="129"/>
        <v>40</v>
      </c>
      <c r="U39" s="107">
        <f t="shared" si="129"/>
        <v>-20223</v>
      </c>
      <c r="V39" s="5" t="str">
        <f ca="1">VLOOKUP($W39,OFFSET([5]enemy_skill_sets!$B$1,0,0,COUNTA([5]enemy_skill_sets!$B:$B),MATCH(M$1,[5]enemy_skill_sets!$1:$1,0)-MATCH($W$1,[5]enemy_skill_sets!$1:$1,0)+2),MATCH(M$1,[5]enemy_skill_sets!$1:$1,0)-MATCH($W$1,[5]enemy_skill_sets!$1:$1,0)+2,FALSE)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9" s="109">
        <f t="shared" ca="1" si="108"/>
        <v>0</v>
      </c>
      <c r="X39" s="109">
        <f t="shared" si="108"/>
        <v>1</v>
      </c>
      <c r="Y39" s="109">
        <f t="shared" si="108"/>
        <v>0</v>
      </c>
      <c r="Z39" s="109">
        <f t="shared" si="108"/>
        <v>1</v>
      </c>
      <c r="AA39" s="109">
        <f t="shared" si="108"/>
        <v>2</v>
      </c>
      <c r="AB39" s="2">
        <f t="shared" si="120"/>
        <v>342</v>
      </c>
      <c r="AC39" s="5" t="str">
        <f ca="1">VLOOKUP($AB39,OFFSET([4]characters!$A$1,0,0,COUNTA([4]characters!$A:$A),MATCH(AC$1,[4]characters!$1:$1,0)-MATCH("character_id",[4]characters!$1:$1,0)+1),MATCH(AC$1,[4]characters!$1:$1,0)-MATCH("character_id",[4]characters!$1:$1,0)+1,FALSE)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39" s="5">
        <f ca="1">VLOOKUP($AB39,OFFSET([4]characters!$A$1,0,0,COUNTA([4]characters!$A:$A),MATCH(AD$1,[4]characters!$1:$1,0)-MATCH("character_id",[4]characters!$1:$1,0)+1),MATCH(AD$1,[4]characters!$1:$1,0)-MATCH("character_id",[4]characters!$1:$1,0)+1,FALSE)</f>
        <v>5</v>
      </c>
      <c r="AE39" s="5" t="str">
        <f ca="1">VLOOKUP($AB39,OFFSET([4]characters!$A$1,0,0,COUNTA([4]characters!$A:$A),MATCH(AE$1,[4]characters!$1:$1,0)-MATCH("character_id",[4]characters!$1:$1,0)+1),MATCH(AE$1,[4]characters!$1:$1,0)-MATCH("character_id",[4]characters!$1:$1,0)+1,FALSE)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9" s="27">
        <f t="shared" si="48"/>
        <v>1</v>
      </c>
      <c r="AG39" s="27">
        <f t="shared" ca="1" si="121"/>
        <v>5</v>
      </c>
      <c r="AH39" s="27">
        <f t="shared" ref="AH39:AM39" si="130">AH26</f>
        <v>0</v>
      </c>
      <c r="AI39" s="27">
        <f t="shared" si="130"/>
        <v>0</v>
      </c>
      <c r="AJ39" s="27">
        <f t="shared" si="130"/>
        <v>0</v>
      </c>
      <c r="AK39" s="27">
        <f t="shared" si="130"/>
        <v>0</v>
      </c>
      <c r="AL39" s="27">
        <f t="shared" si="130"/>
        <v>0</v>
      </c>
      <c r="AM39" s="27">
        <f t="shared" si="130"/>
        <v>1</v>
      </c>
    </row>
    <row r="40" spans="1:39" ht="21" customHeight="1" x14ac:dyDescent="0.15">
      <c r="A40" s="17" t="str">
        <f t="shared" si="116"/>
        <v>14001_2-5/343&lt;lv10&gt;s2</v>
      </c>
      <c r="B40" s="65">
        <v>14001</v>
      </c>
      <c r="C40" s="110">
        <f t="shared" si="100"/>
        <v>2</v>
      </c>
      <c r="D40" s="110" t="str">
        <f t="shared" si="117"/>
        <v>14001_2</v>
      </c>
      <c r="E40" s="111" t="str">
        <f ca="1">VLOOKUP($B40,OFFSET([2]quests!$A$1,0,0,COUNTA([2]quests!$A:$A),MATCH(E$1,[2]quests!$1:$1,0)-MATCH($B$1,[2]quests!$1:$1,0)+1),MATCH(E$1,[2]quests!$1:$1,0)-MATCH($B$1,[2]quests!$1:$1,0)+1,FALSE)</f>
        <v>【ロック】経験値/ソロ</v>
      </c>
      <c r="F40" s="111" t="str">
        <f ca="1">VLOOKUP($D40,OFFSET([2]stages!$A$1,0,0,COUNTA([2]stages!$A:$A),MATCH(F$1,[2]stages!$2:$2,0)-MATCH($D$1,[2]stages!$2:$2,0)+1),MATCH(F$1,[2]stages!$2:$2,0)-MATCH($D$1,[2]stages!$2:$2,0)+1,FALSE)</f>
        <v>【超級】水ファミリー（ハートなし）</v>
      </c>
      <c r="G40" s="110">
        <v>5</v>
      </c>
      <c r="H40" s="16" t="str">
        <f t="shared" si="118"/>
        <v>14001_2-5</v>
      </c>
      <c r="I40" s="5">
        <f ca="1">VLOOKUP($H40,OFFSET(floors!$A$1,0,0,COUNTA(floors!$A:$A),MATCH(I$1,floors!$1:$1,0)-MATCH($H$1,floors!$1:$1,0)+1),MATCH(I$1,floors!$1:$1,0)-MATCH($H$1,floors!$1:$1,0)+1,FALSE)</f>
        <v>55</v>
      </c>
      <c r="J40" s="5">
        <f ca="1">VLOOKUP($H40,OFFSET(floors!$A$1,0,0,COUNTA(floors!$A:$A),MATCH(J$1,floors!$1:$1,0)-MATCH($H$1,floors!$1:$1,0)+1),MATCH(J$1,floors!$1:$1,0)-MATCH($H$1,floors!$1:$1,0)+1,FALSE)</f>
        <v>55</v>
      </c>
      <c r="K40" s="8" t="s">
        <v>142</v>
      </c>
      <c r="L40" s="2">
        <f t="shared" si="45"/>
        <v>343</v>
      </c>
      <c r="M40" s="20" t="str">
        <f ca="1">VLOOKUP($L40,OFFSET([3]enemies!$A$1,0,0,COUNTA([3]enemies!$A:$A),MATCH(M$1,[3]enemies!$1:$1,0)-MATCH($L$1,[3]enemies!$1:$1,0)+1),MATCH(M$1,[3]enemies!$1:$1,0)-MATCH($L$1,[3]enemies!$1:$1,0)+1,FALSE)</f>
        <v>水のメタルジェントル</v>
      </c>
      <c r="N40" s="20" t="str">
        <f ca="1">VLOOKUP($L40,OFFSET([3]enemies!$A$1,0,0,COUNTA([3]enemies!$A:$A),MATCH(N$1,[3]enemies!$1:$1,0)-MATCH($L$1,[3]enemies!$1:$1,0)+1),MATCH(N$1,[3]enemies!$1:$1,0)-MATCH($L$1,[3]enemies!$1:$1,0)+1,FALSE)</f>
        <v>blue</v>
      </c>
      <c r="O40" s="20" t="str">
        <f ca="1">VLOOKUP($L40,OFFSET([4]characters!$A$1,0,0,COUNTA([4]characters!$A:$A),MATCH(O$1,[4]characters!$1:$1,0)-MATCH($L$1,[4]characters!$1:$1,0)+1),MATCH(O$1,[4]characters!$1:$1,0)-MATCH($L$1,[4]characters!$1:$1,0)+1,FALSE)</f>
        <v>Material</v>
      </c>
      <c r="P40" s="20" t="str">
        <f ca="1">VLOOKUP($L40,OFFSET([3]enemies!$A$1,0,0,COUNTA([3]enemies!$A:$A),MATCH(P$1,[3]enemies!$1:$1,0)-MATCH($L$1,[3]enemies!$1:$1,0)+1),MATCH(P$1,[3]enemies!$1:$1,0)-MATCH($L$1,[3]enemies!$1:$1,0)+1,FALSE)</f>
        <v>unknown</v>
      </c>
      <c r="Q40" s="20">
        <f ca="1">VLOOKUP($L40,OFFSET([3]enemies!$A$1,0,0,COUNTA([3]enemies!$A:$A),MATCH(Q$1,[3]enemies!$1:$1,0)-MATCH($L$1,[3]enemies!$1:$1,0)+1),MATCH(Q$1,[3]enemies!$1:$1,0)-MATCH($L$1,[3]enemies!$1:$1,0)+1,FALSE)</f>
        <v>20</v>
      </c>
      <c r="R40" s="107">
        <f t="shared" ref="R40:U40" si="131">R27</f>
        <v>10</v>
      </c>
      <c r="S40" s="107">
        <f t="shared" si="131"/>
        <v>0.2</v>
      </c>
      <c r="T40" s="108">
        <f t="shared" si="131"/>
        <v>50</v>
      </c>
      <c r="U40" s="107">
        <f t="shared" si="131"/>
        <v>-30889</v>
      </c>
      <c r="V40" s="5" t="str">
        <f ca="1">VLOOKUP($W40,OFFSET(enemy_skill_sets!$B$1,0,0,COUNTA(enemy_skill_sets!$B:$B),MATCH(M$1,enemy_skill_sets!$1:$1,0)-MATCH($W$1,enemy_skill_sets!$1:$1,0)+2),MATCH(M$1,enemy_skill_sets!$1:$1,0)-MATCH($W$1,enemy_skill_sets!$1:$1,0)+2,FALSE)</f>
        <v>メタルファミリーが あらわれた！</v>
      </c>
      <c r="W40" s="109">
        <f t="shared" si="108"/>
        <v>14001050</v>
      </c>
      <c r="X40" s="109">
        <f t="shared" si="108"/>
        <v>1</v>
      </c>
      <c r="Y40" s="109">
        <f t="shared" si="108"/>
        <v>0</v>
      </c>
      <c r="Z40" s="109">
        <f t="shared" si="108"/>
        <v>0</v>
      </c>
      <c r="AA40" s="109">
        <f t="shared" si="108"/>
        <v>2</v>
      </c>
      <c r="AB40" s="2">
        <f t="shared" si="120"/>
        <v>343</v>
      </c>
      <c r="AC40" s="5" t="str">
        <f ca="1">VLOOKUP($AB40,OFFSET([4]characters!$A$1,0,0,COUNTA([4]characters!$A:$A),MATCH(AC$1,[4]characters!$1:$1,0)-MATCH("character_id",[4]characters!$1:$1,0)+1),MATCH(AC$1,[4]characters!$1:$1,0)-MATCH("character_id",[4]characters!$1:$1,0)+1,FALSE)</f>
        <v>水のメタルジェントル</v>
      </c>
      <c r="AD40" s="5">
        <f ca="1">VLOOKUP($AB40,OFFSET([4]characters!$A$1,0,0,COUNTA([4]characters!$A:$A),MATCH(AD$1,[4]characters!$1:$1,0)-MATCH("character_id",[4]characters!$1:$1,0)+1),MATCH(AD$1,[4]characters!$1:$1,0)-MATCH("character_id",[4]characters!$1:$1,0)+1,FALSE)</f>
        <v>6</v>
      </c>
      <c r="AE40" s="5" t="str">
        <f ca="1">VLOOKUP($AB40,OFFSET([4]characters!$A$1,0,0,COUNTA([4]characters!$A:$A),MATCH(AE$1,[4]characters!$1:$1,0)-MATCH("character_id",[4]characters!$1:$1,0)+1),MATCH(AE$1,[4]characters!$1:$1,0)-MATCH("character_id",[4]characters!$1:$1,0)+1,FALSE)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0" s="27">
        <f t="shared" si="48"/>
        <v>1</v>
      </c>
      <c r="AG40" s="27">
        <f t="shared" ca="1" si="121"/>
        <v>6</v>
      </c>
      <c r="AH40" s="27">
        <f t="shared" ref="AH40:AM40" si="132">AH27</f>
        <v>100</v>
      </c>
      <c r="AI40" s="27">
        <f t="shared" si="132"/>
        <v>0</v>
      </c>
      <c r="AJ40" s="27">
        <f t="shared" si="132"/>
        <v>0</v>
      </c>
      <c r="AK40" s="27">
        <f t="shared" si="132"/>
        <v>0</v>
      </c>
      <c r="AL40" s="27">
        <f t="shared" si="132"/>
        <v>0</v>
      </c>
      <c r="AM40" s="27">
        <f t="shared" si="132"/>
        <v>1</v>
      </c>
    </row>
    <row r="41" spans="1:39" ht="21" customHeight="1" x14ac:dyDescent="0.15">
      <c r="A41" s="17" t="str">
        <f>B41&amp;"_"&amp;C41&amp;"-"&amp;G41&amp;"/"&amp;L41&amp;"&lt;lv"&amp;R41&amp;"&gt;s"&amp;AA41</f>
        <v>14001_1-1/344&lt;lv10&gt;s1</v>
      </c>
      <c r="B41" s="65">
        <v>14001</v>
      </c>
      <c r="C41" s="112">
        <f>C28-1</f>
        <v>1</v>
      </c>
      <c r="D41" s="112" t="str">
        <f>B41&amp;"_"&amp;C41</f>
        <v>14001_1</v>
      </c>
      <c r="E41" s="113" t="str">
        <f ca="1">VLOOKUP($B41,OFFSET([2]quests!$A$1,0,0,COUNTA([2]quests!$A:$A),MATCH(E$1,[2]quests!$1:$1,0)-MATCH($B$1,[2]quests!$1:$1,0)+1),MATCH(E$1,[2]quests!$1:$1,0)-MATCH($B$1,[2]quests!$1:$1,0)+1,FALSE)</f>
        <v>【ロック】経験値/ソロ</v>
      </c>
      <c r="F41" s="113" t="str">
        <f ca="1">VLOOKUP($D41,OFFSET([2]stages!$A$1,0,0,COUNTA([2]stages!$A:$A),MATCH(F$1,[2]stages!$2:$2,0)-MATCH($D$1,[2]stages!$2:$2,0)+1),MATCH(F$1,[2]stages!$2:$2,0)-MATCH($D$1,[2]stages!$2:$2,0)+1,FALSE)</f>
        <v>【超級】雷ファミリー（ハートなし）</v>
      </c>
      <c r="G41" s="112">
        <v>1</v>
      </c>
      <c r="H41" s="16" t="str">
        <f>B41&amp;"_"&amp;C41&amp;"-"&amp;G41</f>
        <v>14001_1-1</v>
      </c>
      <c r="I41" s="5">
        <f ca="1">VLOOKUP($H41,OFFSET(floors!$A$1,0,0,COUNTA(floors!$A:$A),MATCH(I$1,floors!$1:$1,0)-MATCH($H$1,floors!$1:$1,0)+1),MATCH(I$1,floors!$1:$1,0)-MATCH($H$1,floors!$1:$1,0)+1,FALSE)</f>
        <v>40</v>
      </c>
      <c r="J41" s="5">
        <f ca="1">VLOOKUP($H41,OFFSET(floors!$A$1,0,0,COUNTA(floors!$A:$A),MATCH(J$1,floors!$1:$1,0)-MATCH($H$1,floors!$1:$1,0)+1),MATCH(J$1,floors!$1:$1,0)-MATCH($H$1,floors!$1:$1,0)+1,FALSE)</f>
        <v>60</v>
      </c>
      <c r="K41" s="8" t="s">
        <v>142</v>
      </c>
      <c r="L41" s="2">
        <f>L28+4</f>
        <v>344</v>
      </c>
      <c r="M41" s="20" t="str">
        <f ca="1">VLOOKUP($L41,OFFSET([3]enemies!$A$1,0,0,COUNTA([3]enemies!$A:$A),MATCH(M$1,[3]enemies!$1:$1,0)-MATCH($L$1,[3]enemies!$1:$1,0)+1),MATCH(M$1,[3]enemies!$1:$1,0)-MATCH($L$1,[3]enemies!$1:$1,0)+1,FALSE)</f>
        <v>雷のメタルピヨピヨ</v>
      </c>
      <c r="N41" s="20" t="str">
        <f ca="1">VLOOKUP($L41,OFFSET([3]enemies!$A$1,0,0,COUNTA([3]enemies!$A:$A),MATCH(N$1,[3]enemies!$1:$1,0)-MATCH($L$1,[3]enemies!$1:$1,0)+1),MATCH(N$1,[3]enemies!$1:$1,0)-MATCH($L$1,[3]enemies!$1:$1,0)+1,FALSE)</f>
        <v>yellow</v>
      </c>
      <c r="O41" s="20" t="str">
        <f ca="1">VLOOKUP($L41,OFFSET([4]characters!$A$1,0,0,COUNTA([4]characters!$A:$A),MATCH(O$1,[4]characters!$1:$1,0)-MATCH($L$1,[4]characters!$1:$1,0)+1),MATCH(O$1,[4]characters!$1:$1,0)-MATCH($L$1,[4]characters!$1:$1,0)+1,FALSE)</f>
        <v>Material</v>
      </c>
      <c r="P41" s="20" t="str">
        <f ca="1">VLOOKUP($L41,OFFSET([3]enemies!$A$1,0,0,COUNTA([3]enemies!$A:$A),MATCH(P$1,[3]enemies!$1:$1,0)-MATCH($L$1,[3]enemies!$1:$1,0)+1),MATCH(P$1,[3]enemies!$1:$1,0)-MATCH($L$1,[3]enemies!$1:$1,0)+1,FALSE)</f>
        <v>unknown</v>
      </c>
      <c r="Q41" s="20">
        <f ca="1">VLOOKUP($L41,OFFSET([3]enemies!$A$1,0,0,COUNTA([3]enemies!$A:$A),MATCH(Q$1,[3]enemies!$1:$1,0)-MATCH($L$1,[3]enemies!$1:$1,0)+1),MATCH(Q$1,[3]enemies!$1:$1,0)-MATCH($L$1,[3]enemies!$1:$1,0)+1,FALSE)</f>
        <v>15</v>
      </c>
      <c r="R41" s="107">
        <f>R28</f>
        <v>10</v>
      </c>
      <c r="S41" s="107">
        <f t="shared" ref="S41:U41" si="133">S28</f>
        <v>0.6</v>
      </c>
      <c r="T41" s="108">
        <f t="shared" si="133"/>
        <v>40</v>
      </c>
      <c r="U41" s="107">
        <f t="shared" si="133"/>
        <v>533</v>
      </c>
      <c r="V41" s="5" t="str">
        <f ca="1">VLOOKUP($W41,OFFSET([5]enemy_skill_sets!$B$1,0,0,COUNTA([5]enemy_skill_sets!$B:$B),MATCH(M$1,[5]enemy_skill_sets!$1:$1,0)-MATCH($W$1,[5]enemy_skill_sets!$1:$1,0)+2),MATCH(M$1,[5]enemy_skill_sets!$1:$1,0)-MATCH($W$1,[5]enemy_skill_sets!$1:$1,0)+2,FALSE)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1" s="109">
        <f t="shared" ref="W41" ca="1" si="134">W28</f>
        <v>0</v>
      </c>
      <c r="X41" s="109">
        <f>X28</f>
        <v>0</v>
      </c>
      <c r="Y41" s="109">
        <f t="shared" ref="Y41:AA41" si="135">Y28</f>
        <v>100</v>
      </c>
      <c r="Z41" s="109">
        <f t="shared" si="135"/>
        <v>0</v>
      </c>
      <c r="AA41" s="109">
        <f t="shared" si="135"/>
        <v>1</v>
      </c>
      <c r="AB41" s="2">
        <f>L41</f>
        <v>344</v>
      </c>
      <c r="AC41" s="5" t="str">
        <f ca="1">VLOOKUP($AB41,OFFSET([4]characters!$A$1,0,0,COUNTA([4]characters!$A:$A),MATCH(AC$1,[4]characters!$1:$1,0)-MATCH("character_id",[4]characters!$1:$1,0)+1),MATCH(AC$1,[4]characters!$1:$1,0)-MATCH("character_id",[4]characters!$1:$1,0)+1,FALSE)</f>
        <v>雷のメタルピヨピヨ</v>
      </c>
      <c r="AD41" s="5">
        <f ca="1">VLOOKUP($AB41,OFFSET([4]characters!$A$1,0,0,COUNTA([4]characters!$A:$A),MATCH(AD$1,[4]characters!$1:$1,0)-MATCH("character_id",[4]characters!$1:$1,0)+1),MATCH(AD$1,[4]characters!$1:$1,0)-MATCH("character_id",[4]characters!$1:$1,0)+1,FALSE)</f>
        <v>3</v>
      </c>
      <c r="AE41" s="5" t="str">
        <f ca="1">VLOOKUP($AB41,OFFSET([4]characters!$A$1,0,0,COUNTA([4]characters!$A:$A),MATCH(AE$1,[4]characters!$1:$1,0)-MATCH("character_id",[4]characters!$1:$1,0)+1),MATCH(AE$1,[4]characters!$1:$1,0)-MATCH("character_id",[4]characters!$1:$1,0)+1,FALSE)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1" s="27">
        <f>AF28</f>
        <v>1</v>
      </c>
      <c r="AG41" s="27">
        <f ca="1">AD41</f>
        <v>3</v>
      </c>
      <c r="AH41" s="27">
        <f>AH28</f>
        <v>0</v>
      </c>
      <c r="AI41" s="27">
        <f t="shared" ref="AI41:AM41" si="136">AI28</f>
        <v>0</v>
      </c>
      <c r="AJ41" s="27">
        <f t="shared" si="136"/>
        <v>0</v>
      </c>
      <c r="AK41" s="27">
        <f t="shared" si="136"/>
        <v>0</v>
      </c>
      <c r="AL41" s="27">
        <f t="shared" si="136"/>
        <v>0</v>
      </c>
      <c r="AM41" s="27">
        <f t="shared" si="136"/>
        <v>1</v>
      </c>
    </row>
    <row r="42" spans="1:39" ht="21" customHeight="1" x14ac:dyDescent="0.15">
      <c r="A42" s="17" t="str">
        <f>B42&amp;"_"&amp;C42&amp;"-"&amp;G42&amp;"/"&amp;L42&amp;"&lt;lv"&amp;R42&amp;"&gt;s"&amp;AA42</f>
        <v>14001_1-1/345&lt;lv10&gt;s1</v>
      </c>
      <c r="B42" s="65">
        <v>14001</v>
      </c>
      <c r="C42" s="112">
        <f>C41</f>
        <v>1</v>
      </c>
      <c r="D42" s="112" t="str">
        <f>B42&amp;"_"&amp;C42</f>
        <v>14001_1</v>
      </c>
      <c r="E42" s="113" t="str">
        <f ca="1">VLOOKUP($B42,OFFSET([2]quests!$A$1,0,0,COUNTA([2]quests!$A:$A),MATCH(E$1,[2]quests!$1:$1,0)-MATCH($B$1,[2]quests!$1:$1,0)+1),MATCH(E$1,[2]quests!$1:$1,0)-MATCH($B$1,[2]quests!$1:$1,0)+1,FALSE)</f>
        <v>【ロック】経験値/ソロ</v>
      </c>
      <c r="F42" s="113" t="str">
        <f ca="1">VLOOKUP($D42,OFFSET([2]stages!$A$1,0,0,COUNTA([2]stages!$A:$A),MATCH(F$1,[2]stages!$2:$2,0)-MATCH($D$1,[2]stages!$2:$2,0)+1),MATCH(F$1,[2]stages!$2:$2,0)-MATCH($D$1,[2]stages!$2:$2,0)+1,FALSE)</f>
        <v>【超級】雷ファミリー（ハートなし）</v>
      </c>
      <c r="G42" s="112">
        <v>1</v>
      </c>
      <c r="H42" s="16" t="str">
        <f>B42&amp;"_"&amp;C42&amp;"-"&amp;G42</f>
        <v>14001_1-1</v>
      </c>
      <c r="I42" s="5">
        <f ca="1">VLOOKUP($H42,OFFSET(floors!$A$1,0,0,COUNTA(floors!$A:$A),MATCH(I$1,floors!$1:$1,0)-MATCH($H$1,floors!$1:$1,0)+1),MATCH(I$1,floors!$1:$1,0)-MATCH($H$1,floors!$1:$1,0)+1,FALSE)</f>
        <v>40</v>
      </c>
      <c r="J42" s="5">
        <f ca="1">VLOOKUP($H42,OFFSET(floors!$A$1,0,0,COUNTA(floors!$A:$A),MATCH(J$1,floors!$1:$1,0)-MATCH($H$1,floors!$1:$1,0)+1),MATCH(J$1,floors!$1:$1,0)-MATCH($H$1,floors!$1:$1,0)+1,FALSE)</f>
        <v>60</v>
      </c>
      <c r="K42" s="8" t="s">
        <v>142</v>
      </c>
      <c r="L42" s="2">
        <f t="shared" si="45"/>
        <v>345</v>
      </c>
      <c r="M42" s="20" t="str">
        <f ca="1">VLOOKUP($L42,OFFSET([3]enemies!$A$1,0,0,COUNTA([3]enemies!$A:$A),MATCH(M$1,[3]enemies!$1:$1,0)-MATCH($L$1,[3]enemies!$1:$1,0)+1),MATCH(M$1,[3]enemies!$1:$1,0)-MATCH($L$1,[3]enemies!$1:$1,0)+1,FALSE)</f>
        <v>雷のメタルチック</v>
      </c>
      <c r="N42" s="20" t="str">
        <f ca="1">VLOOKUP($L42,OFFSET([3]enemies!$A$1,0,0,COUNTA([3]enemies!$A:$A),MATCH(N$1,[3]enemies!$1:$1,0)-MATCH($L$1,[3]enemies!$1:$1,0)+1),MATCH(N$1,[3]enemies!$1:$1,0)-MATCH($L$1,[3]enemies!$1:$1,0)+1,FALSE)</f>
        <v>yellow</v>
      </c>
      <c r="O42" s="20" t="str">
        <f ca="1">VLOOKUP($L42,OFFSET([4]characters!$A$1,0,0,COUNTA([4]characters!$A:$A),MATCH(O$1,[4]characters!$1:$1,0)-MATCH($L$1,[4]characters!$1:$1,0)+1),MATCH(O$1,[4]characters!$1:$1,0)-MATCH($L$1,[4]characters!$1:$1,0)+1,FALSE)</f>
        <v>Material</v>
      </c>
      <c r="P42" s="20" t="str">
        <f ca="1">VLOOKUP($L42,OFFSET([3]enemies!$A$1,0,0,COUNTA([3]enemies!$A:$A),MATCH(P$1,[3]enemies!$1:$1,0)-MATCH($L$1,[3]enemies!$1:$1,0)+1),MATCH(P$1,[3]enemies!$1:$1,0)-MATCH($L$1,[3]enemies!$1:$1,0)+1,FALSE)</f>
        <v>unknown</v>
      </c>
      <c r="Q42" s="20">
        <f ca="1">VLOOKUP($L42,OFFSET([3]enemies!$A$1,0,0,COUNTA([3]enemies!$A:$A),MATCH(Q$1,[3]enemies!$1:$1,0)-MATCH($L$1,[3]enemies!$1:$1,0)+1),MATCH(Q$1,[3]enemies!$1:$1,0)-MATCH($L$1,[3]enemies!$1:$1,0)+1,FALSE)</f>
        <v>15</v>
      </c>
      <c r="R42" s="107">
        <f t="shared" ref="R42:U42" si="137">R29</f>
        <v>10</v>
      </c>
      <c r="S42" s="107">
        <f t="shared" si="137"/>
        <v>0.4</v>
      </c>
      <c r="T42" s="108">
        <f t="shared" si="137"/>
        <v>40</v>
      </c>
      <c r="U42" s="107">
        <f t="shared" si="137"/>
        <v>-2845</v>
      </c>
      <c r="V42" s="5" t="str">
        <f ca="1">VLOOKUP($W42,OFFSET([5]enemy_skill_sets!$B$1,0,0,COUNTA([5]enemy_skill_sets!$B:$B),MATCH(M$1,[5]enemy_skill_sets!$1:$1,0)-MATCH($W$1,[5]enemy_skill_sets!$1:$1,0)+2),MATCH(M$1,[5]enemy_skill_sets!$1:$1,0)-MATCH($W$1,[5]enemy_skill_sets!$1:$1,0)+2,FALSE)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2" s="109">
        <f t="shared" ref="W42:AA42" ca="1" si="138">W29</f>
        <v>0</v>
      </c>
      <c r="X42" s="109">
        <f t="shared" si="138"/>
        <v>0</v>
      </c>
      <c r="Y42" s="109">
        <f t="shared" si="138"/>
        <v>100</v>
      </c>
      <c r="Z42" s="109">
        <f t="shared" si="138"/>
        <v>0</v>
      </c>
      <c r="AA42" s="109">
        <f t="shared" si="138"/>
        <v>1</v>
      </c>
      <c r="AB42" s="2">
        <f>L42</f>
        <v>345</v>
      </c>
      <c r="AC42" s="5" t="str">
        <f ca="1">VLOOKUP($AB42,OFFSET([4]characters!$A$1,0,0,COUNTA([4]characters!$A:$A),MATCH(AC$1,[4]characters!$1:$1,0)-MATCH("character_id",[4]characters!$1:$1,0)+1),MATCH(AC$1,[4]characters!$1:$1,0)-MATCH("character_id",[4]characters!$1:$1,0)+1,FALSE)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42" s="5">
        <f ca="1">VLOOKUP($AB42,OFFSET([4]characters!$A$1,0,0,COUNTA([4]characters!$A:$A),MATCH(AD$1,[4]characters!$1:$1,0)-MATCH("character_id",[4]characters!$1:$1,0)+1),MATCH(AD$1,[4]characters!$1:$1,0)-MATCH("character_id",[4]characters!$1:$1,0)+1,FALSE)</f>
        <v>4</v>
      </c>
      <c r="AE42" s="5" t="str">
        <f ca="1">VLOOKUP($AB42,OFFSET([4]characters!$A$1,0,0,COUNTA([4]characters!$A:$A),MATCH(AE$1,[4]characters!$1:$1,0)-MATCH("character_id",[4]characters!$1:$1,0)+1),MATCH(AE$1,[4]characters!$1:$1,0)-MATCH("character_id",[4]characters!$1:$1,0)+1,FALSE)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2" s="27">
        <f t="shared" si="48"/>
        <v>1</v>
      </c>
      <c r="AG42" s="27">
        <f ca="1">AD42</f>
        <v>4</v>
      </c>
      <c r="AH42" s="27">
        <f t="shared" ref="AH42:AM42" si="139">AH29</f>
        <v>0</v>
      </c>
      <c r="AI42" s="27">
        <f t="shared" si="139"/>
        <v>0</v>
      </c>
      <c r="AJ42" s="27">
        <f t="shared" si="139"/>
        <v>0</v>
      </c>
      <c r="AK42" s="27">
        <f t="shared" si="139"/>
        <v>0</v>
      </c>
      <c r="AL42" s="27">
        <f t="shared" si="139"/>
        <v>0</v>
      </c>
      <c r="AM42" s="27">
        <f t="shared" si="139"/>
        <v>1</v>
      </c>
    </row>
    <row r="43" spans="1:39" ht="21" customHeight="1" x14ac:dyDescent="0.15">
      <c r="A43" s="103" t="str">
        <f t="shared" ref="A43:A46" si="140">B43&amp;"_"&amp;C43&amp;"-"&amp;G43&amp;"/"&amp;L43&amp;"&lt;lv"&amp;R43&amp;"&gt;s"&amp;AA43</f>
        <v>14001_1-1/346&lt;lv10&gt;s2</v>
      </c>
      <c r="B43" s="65">
        <v>14001</v>
      </c>
      <c r="C43" s="112">
        <f t="shared" ref="C43:C53" si="141">C42</f>
        <v>1</v>
      </c>
      <c r="D43" s="112" t="str">
        <f t="shared" ref="D43:D46" si="142">B43&amp;"_"&amp;C43</f>
        <v>14001_1</v>
      </c>
      <c r="E43" s="113" t="str">
        <f ca="1">VLOOKUP($B43,OFFSET([2]quests!$A$1,0,0,COUNTA([2]quests!$A:$A),MATCH(E$1,[2]quests!$1:$1,0)-MATCH($B$1,[2]quests!$1:$1,0)+1),MATCH(E$1,[2]quests!$1:$1,0)-MATCH($B$1,[2]quests!$1:$1,0)+1,FALSE)</f>
        <v>【ロック】経験値/ソロ</v>
      </c>
      <c r="F43" s="113" t="str">
        <f ca="1">VLOOKUP($D43,OFFSET([2]stages!$A$1,0,0,COUNTA([2]stages!$A:$A),MATCH(F$1,[2]stages!$2:$2,0)-MATCH($D$1,[2]stages!$2:$2,0)+1),MATCH(F$1,[2]stages!$2:$2,0)-MATCH($D$1,[2]stages!$2:$2,0)+1,FALSE)</f>
        <v>【超級】雷ファミリー（ハートなし）</v>
      </c>
      <c r="G43" s="112">
        <v>1</v>
      </c>
      <c r="H43" s="16" t="str">
        <f t="shared" ref="H43:H46" si="143">B43&amp;"_"&amp;C43&amp;"-"&amp;G43</f>
        <v>14001_1-1</v>
      </c>
      <c r="I43" s="5">
        <f ca="1">VLOOKUP($H43,OFFSET(floors!$A$1,0,0,COUNTA(floors!$A:$A),MATCH(I$1,floors!$1:$1,0)-MATCH($H$1,floors!$1:$1,0)+1),MATCH(I$1,floors!$1:$1,0)-MATCH($H$1,floors!$1:$1,0)+1,FALSE)</f>
        <v>40</v>
      </c>
      <c r="J43" s="5">
        <f ca="1">VLOOKUP($H43,OFFSET(floors!$A$1,0,0,COUNTA(floors!$A:$A),MATCH(J$1,floors!$1:$1,0)-MATCH($H$1,floors!$1:$1,0)+1),MATCH(J$1,floors!$1:$1,0)-MATCH($H$1,floors!$1:$1,0)+1,FALSE)</f>
        <v>60</v>
      </c>
      <c r="K43" s="8" t="s">
        <v>142</v>
      </c>
      <c r="L43" s="2">
        <f t="shared" si="45"/>
        <v>346</v>
      </c>
      <c r="M43" s="20" t="str">
        <f ca="1">VLOOKUP($L43,OFFSET([3]enemies!$A$1,0,0,COUNTA([3]enemies!$A:$A),MATCH(M$1,[3]enemies!$1:$1,0)-MATCH($L$1,[3]enemies!$1:$1,0)+1),MATCH(M$1,[3]enemies!$1:$1,0)-MATCH($L$1,[3]enemies!$1:$1,0)+1,FALSE)</f>
        <v>雷のメタルダック</v>
      </c>
      <c r="N43" s="20" t="str">
        <f ca="1">VLOOKUP($L43,OFFSET([3]enemies!$A$1,0,0,COUNTA([3]enemies!$A:$A),MATCH(N$1,[3]enemies!$1:$1,0)-MATCH($L$1,[3]enemies!$1:$1,0)+1),MATCH(N$1,[3]enemies!$1:$1,0)-MATCH($L$1,[3]enemies!$1:$1,0)+1,FALSE)</f>
        <v>yellow</v>
      </c>
      <c r="O43" s="20" t="str">
        <f ca="1">VLOOKUP($L43,OFFSET([4]characters!$A$1,0,0,COUNTA([4]characters!$A:$A),MATCH(O$1,[4]characters!$1:$1,0)-MATCH($L$1,[4]characters!$1:$1,0)+1),MATCH(O$1,[4]characters!$1:$1,0)-MATCH($L$1,[4]characters!$1:$1,0)+1,FALSE)</f>
        <v>Material</v>
      </c>
      <c r="P43" s="20" t="str">
        <f ca="1">VLOOKUP($L43,OFFSET([3]enemies!$A$1,0,0,COUNTA([3]enemies!$A:$A),MATCH(P$1,[3]enemies!$1:$1,0)-MATCH($L$1,[3]enemies!$1:$1,0)+1),MATCH(P$1,[3]enemies!$1:$1,0)-MATCH($L$1,[3]enemies!$1:$1,0)+1,FALSE)</f>
        <v>unknown</v>
      </c>
      <c r="Q43" s="20">
        <f ca="1">VLOOKUP($L43,OFFSET([3]enemies!$A$1,0,0,COUNTA([3]enemies!$A:$A),MATCH(Q$1,[3]enemies!$1:$1,0)-MATCH($L$1,[3]enemies!$1:$1,0)+1),MATCH(Q$1,[3]enemies!$1:$1,0)-MATCH($L$1,[3]enemies!$1:$1,0)+1,FALSE)</f>
        <v>20</v>
      </c>
      <c r="R43" s="107">
        <f t="shared" ref="R43:U43" si="144">R30</f>
        <v>10</v>
      </c>
      <c r="S43" s="107">
        <f t="shared" si="144"/>
        <v>0.4</v>
      </c>
      <c r="T43" s="108">
        <f t="shared" si="144"/>
        <v>40</v>
      </c>
      <c r="U43" s="107">
        <f t="shared" si="144"/>
        <v>-20223</v>
      </c>
      <c r="V43" s="5" t="str">
        <f ca="1">VLOOKUP($W43,OFFSET([5]enemy_skill_sets!$B$1,0,0,COUNTA([5]enemy_skill_sets!$B:$B),MATCH(M$1,[5]enemy_skill_sets!$1:$1,0)-MATCH($W$1,[5]enemy_skill_sets!$1:$1,0)+2),MATCH(M$1,[5]enemy_skill_sets!$1:$1,0)-MATCH($W$1,[5]enemy_skill_sets!$1:$1,0)+2,FALSE)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3" s="109">
        <f t="shared" ref="W43:AA43" ca="1" si="145">W30</f>
        <v>0</v>
      </c>
      <c r="X43" s="109">
        <f t="shared" si="145"/>
        <v>0</v>
      </c>
      <c r="Y43" s="109">
        <f t="shared" si="145"/>
        <v>67</v>
      </c>
      <c r="Z43" s="109">
        <f t="shared" si="145"/>
        <v>1</v>
      </c>
      <c r="AA43" s="109">
        <f t="shared" si="145"/>
        <v>2</v>
      </c>
      <c r="AB43" s="2">
        <f t="shared" ref="AB43:AB46" si="146">L43</f>
        <v>346</v>
      </c>
      <c r="AC43" s="5" t="str">
        <f ca="1">VLOOKUP($AB43,OFFSET([4]characters!$A$1,0,0,COUNTA([4]characters!$A:$A),MATCH(AC$1,[4]characters!$1:$1,0)-MATCH("character_id",[4]characters!$1:$1,0)+1),MATCH(AC$1,[4]characters!$1:$1,0)-MATCH("character_id",[4]characters!$1:$1,0)+1,FALSE)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43" s="5">
        <f ca="1">VLOOKUP($AB43,OFFSET([4]characters!$A$1,0,0,COUNTA([4]characters!$A:$A),MATCH(AD$1,[4]characters!$1:$1,0)-MATCH("character_id",[4]characters!$1:$1,0)+1),MATCH(AD$1,[4]characters!$1:$1,0)-MATCH("character_id",[4]characters!$1:$1,0)+1,FALSE)</f>
        <v>5</v>
      </c>
      <c r="AE43" s="5" t="str">
        <f ca="1">VLOOKUP($AB43,OFFSET([4]characters!$A$1,0,0,COUNTA([4]characters!$A:$A),MATCH(AE$1,[4]characters!$1:$1,0)-MATCH("character_id",[4]characters!$1:$1,0)+1),MATCH(AE$1,[4]characters!$1:$1,0)-MATCH("character_id",[4]characters!$1:$1,0)+1,FALSE)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3" s="27">
        <f t="shared" si="48"/>
        <v>1</v>
      </c>
      <c r="AG43" s="27">
        <f t="shared" ref="AG43:AG46" ca="1" si="147">AD43</f>
        <v>5</v>
      </c>
      <c r="AH43" s="27">
        <f t="shared" ref="AH43:AM43" si="148">AH30</f>
        <v>100</v>
      </c>
      <c r="AI43" s="27">
        <f t="shared" si="148"/>
        <v>0</v>
      </c>
      <c r="AJ43" s="27">
        <f t="shared" si="148"/>
        <v>0</v>
      </c>
      <c r="AK43" s="27">
        <f t="shared" si="148"/>
        <v>0</v>
      </c>
      <c r="AL43" s="27">
        <f t="shared" si="148"/>
        <v>0</v>
      </c>
      <c r="AM43" s="27">
        <f t="shared" si="148"/>
        <v>1</v>
      </c>
    </row>
    <row r="44" spans="1:39" ht="21" customHeight="1" x14ac:dyDescent="0.15">
      <c r="A44" s="17" t="str">
        <f t="shared" si="140"/>
        <v>14001_1-1/347&lt;lv10&gt;s2</v>
      </c>
      <c r="B44" s="65">
        <v>14001</v>
      </c>
      <c r="C44" s="112">
        <f t="shared" si="141"/>
        <v>1</v>
      </c>
      <c r="D44" s="112" t="str">
        <f t="shared" si="142"/>
        <v>14001_1</v>
      </c>
      <c r="E44" s="113" t="str">
        <f ca="1">VLOOKUP($B44,OFFSET([2]quests!$A$1,0,0,COUNTA([2]quests!$A:$A),MATCH(E$1,[2]quests!$1:$1,0)-MATCH($B$1,[2]quests!$1:$1,0)+1),MATCH(E$1,[2]quests!$1:$1,0)-MATCH($B$1,[2]quests!$1:$1,0)+1,FALSE)</f>
        <v>【ロック】経験値/ソロ</v>
      </c>
      <c r="F44" s="113" t="str">
        <f ca="1">VLOOKUP($D44,OFFSET([2]stages!$A$1,0,0,COUNTA([2]stages!$A:$A),MATCH(F$1,[2]stages!$2:$2,0)-MATCH($D$1,[2]stages!$2:$2,0)+1),MATCH(F$1,[2]stages!$2:$2,0)-MATCH($D$1,[2]stages!$2:$2,0)+1,FALSE)</f>
        <v>【超級】雷ファミリー（ハートなし）</v>
      </c>
      <c r="G44" s="112">
        <v>1</v>
      </c>
      <c r="H44" s="16" t="str">
        <f t="shared" si="143"/>
        <v>14001_1-1</v>
      </c>
      <c r="I44" s="5">
        <f ca="1">VLOOKUP($H44,OFFSET(floors!$A$1,0,0,COUNTA(floors!$A:$A),MATCH(I$1,floors!$1:$1,0)-MATCH($H$1,floors!$1:$1,0)+1),MATCH(I$1,floors!$1:$1,0)-MATCH($H$1,floors!$1:$1,0)+1,FALSE)</f>
        <v>40</v>
      </c>
      <c r="J44" s="5">
        <f ca="1">VLOOKUP($H44,OFFSET(floors!$A$1,0,0,COUNTA(floors!$A:$A),MATCH(J$1,floors!$1:$1,0)-MATCH($H$1,floors!$1:$1,0)+1),MATCH(J$1,floors!$1:$1,0)-MATCH($H$1,floors!$1:$1,0)+1,FALSE)</f>
        <v>60</v>
      </c>
      <c r="K44" s="8" t="s">
        <v>142</v>
      </c>
      <c r="L44" s="2">
        <f t="shared" si="45"/>
        <v>347</v>
      </c>
      <c r="M44" s="20" t="str">
        <f ca="1">VLOOKUP($L44,OFFSET([3]enemies!$A$1,0,0,COUNTA([3]enemies!$A:$A),MATCH(M$1,[3]enemies!$1:$1,0)-MATCH($L$1,[3]enemies!$1:$1,0)+1),MATCH(M$1,[3]enemies!$1:$1,0)-MATCH($L$1,[3]enemies!$1:$1,0)+1,FALSE)</f>
        <v>雷のメタルジェントル</v>
      </c>
      <c r="N44" s="20" t="str">
        <f ca="1">VLOOKUP($L44,OFFSET([3]enemies!$A$1,0,0,COUNTA([3]enemies!$A:$A),MATCH(N$1,[3]enemies!$1:$1,0)-MATCH($L$1,[3]enemies!$1:$1,0)+1),MATCH(N$1,[3]enemies!$1:$1,0)-MATCH($L$1,[3]enemies!$1:$1,0)+1,FALSE)</f>
        <v>yellow</v>
      </c>
      <c r="O44" s="20" t="str">
        <f ca="1">VLOOKUP($L44,OFFSET([4]characters!$A$1,0,0,COUNTA([4]characters!$A:$A),MATCH(O$1,[4]characters!$1:$1,0)-MATCH($L$1,[4]characters!$1:$1,0)+1),MATCH(O$1,[4]characters!$1:$1,0)-MATCH($L$1,[4]characters!$1:$1,0)+1,FALSE)</f>
        <v>Material</v>
      </c>
      <c r="P44" s="20" t="str">
        <f ca="1">VLOOKUP($L44,OFFSET([3]enemies!$A$1,0,0,COUNTA([3]enemies!$A:$A),MATCH(P$1,[3]enemies!$1:$1,0)-MATCH($L$1,[3]enemies!$1:$1,0)+1),MATCH(P$1,[3]enemies!$1:$1,0)-MATCH($L$1,[3]enemies!$1:$1,0)+1,FALSE)</f>
        <v>unknown</v>
      </c>
      <c r="Q44" s="20">
        <f ca="1">VLOOKUP($L44,OFFSET([3]enemies!$A$1,0,0,COUNTA([3]enemies!$A:$A),MATCH(Q$1,[3]enemies!$1:$1,0)-MATCH($L$1,[3]enemies!$1:$1,0)+1),MATCH(Q$1,[3]enemies!$1:$1,0)-MATCH($L$1,[3]enemies!$1:$1,0)+1,FALSE)</f>
        <v>20</v>
      </c>
      <c r="R44" s="107">
        <f t="shared" ref="R44:U44" si="149">R31</f>
        <v>10</v>
      </c>
      <c r="S44" s="107">
        <f t="shared" si="149"/>
        <v>0.2</v>
      </c>
      <c r="T44" s="108">
        <f t="shared" si="149"/>
        <v>50</v>
      </c>
      <c r="U44" s="107">
        <f t="shared" si="149"/>
        <v>-30889</v>
      </c>
      <c r="V44" s="5" t="str">
        <f ca="1">VLOOKUP($W44,OFFSET(enemy_skill_sets!$B$1,0,0,COUNTA(enemy_skill_sets!$B:$B),MATCH(M$1,enemy_skill_sets!$1:$1,0)-MATCH($W$1,enemy_skill_sets!$1:$1,0)+2),MATCH(M$1,enemy_skill_sets!$1:$1,0)-MATCH($W$1,enemy_skill_sets!$1:$1,0)+2,FALSE)</f>
        <v>なんと ジェントルがあらわれた！</v>
      </c>
      <c r="W44" s="109">
        <f t="shared" ref="W44:AA44" si="150">W31</f>
        <v>14001012</v>
      </c>
      <c r="X44" s="109">
        <f t="shared" si="150"/>
        <v>0</v>
      </c>
      <c r="Y44" s="109">
        <f t="shared" si="150"/>
        <v>33</v>
      </c>
      <c r="Z44" s="109">
        <f t="shared" si="150"/>
        <v>1</v>
      </c>
      <c r="AA44" s="109">
        <f t="shared" si="150"/>
        <v>2</v>
      </c>
      <c r="AB44" s="2">
        <f t="shared" si="146"/>
        <v>347</v>
      </c>
      <c r="AC44" s="5" t="str">
        <f ca="1">VLOOKUP($AB44,OFFSET([4]characters!$A$1,0,0,COUNTA([4]characters!$A:$A),MATCH(AC$1,[4]characters!$1:$1,0)-MATCH("character_id",[4]characters!$1:$1,0)+1),MATCH(AC$1,[4]characters!$1:$1,0)-MATCH("character_id",[4]characters!$1:$1,0)+1,FALSE)</f>
        <v>雷のメタルジェントル</v>
      </c>
      <c r="AD44" s="5">
        <f ca="1">VLOOKUP($AB44,OFFSET([4]characters!$A$1,0,0,COUNTA([4]characters!$A:$A),MATCH(AD$1,[4]characters!$1:$1,0)-MATCH("character_id",[4]characters!$1:$1,0)+1),MATCH(AD$1,[4]characters!$1:$1,0)-MATCH("character_id",[4]characters!$1:$1,0)+1,FALSE)</f>
        <v>6</v>
      </c>
      <c r="AE44" s="5" t="str">
        <f ca="1">VLOOKUP($AB44,OFFSET([4]characters!$A$1,0,0,COUNTA([4]characters!$A:$A),MATCH(AE$1,[4]characters!$1:$1,0)-MATCH("character_id",[4]characters!$1:$1,0)+1),MATCH(AE$1,[4]characters!$1:$1,0)-MATCH("character_id",[4]characters!$1:$1,0)+1,FALSE)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4" s="27">
        <f t="shared" si="48"/>
        <v>1</v>
      </c>
      <c r="AG44" s="27">
        <f t="shared" ca="1" si="147"/>
        <v>6</v>
      </c>
      <c r="AH44" s="27">
        <f t="shared" ref="AH44:AM44" si="151">AH31</f>
        <v>100</v>
      </c>
      <c r="AI44" s="27">
        <f t="shared" si="151"/>
        <v>0</v>
      </c>
      <c r="AJ44" s="27">
        <f t="shared" si="151"/>
        <v>0</v>
      </c>
      <c r="AK44" s="27">
        <f t="shared" si="151"/>
        <v>0</v>
      </c>
      <c r="AL44" s="27">
        <f t="shared" si="151"/>
        <v>0</v>
      </c>
      <c r="AM44" s="27">
        <f t="shared" si="151"/>
        <v>1</v>
      </c>
    </row>
    <row r="45" spans="1:39" ht="21" customHeight="1" x14ac:dyDescent="0.15">
      <c r="A45" s="17" t="str">
        <f t="shared" si="140"/>
        <v>14001_1-2/345&lt;lv10&gt;s1</v>
      </c>
      <c r="B45" s="65">
        <v>14001</v>
      </c>
      <c r="C45" s="112">
        <f t="shared" si="141"/>
        <v>1</v>
      </c>
      <c r="D45" s="112" t="str">
        <f t="shared" si="142"/>
        <v>14001_1</v>
      </c>
      <c r="E45" s="113" t="str">
        <f ca="1">VLOOKUP($B45,OFFSET([2]quests!$A$1,0,0,COUNTA([2]quests!$A:$A),MATCH(E$1,[2]quests!$1:$1,0)-MATCH($B$1,[2]quests!$1:$1,0)+1),MATCH(E$1,[2]quests!$1:$1,0)-MATCH($B$1,[2]quests!$1:$1,0)+1,FALSE)</f>
        <v>【ロック】経験値/ソロ</v>
      </c>
      <c r="F45" s="113" t="str">
        <f ca="1">VLOOKUP($D45,OFFSET([2]stages!$A$1,0,0,COUNTA([2]stages!$A:$A),MATCH(F$1,[2]stages!$2:$2,0)-MATCH($D$1,[2]stages!$2:$2,0)+1),MATCH(F$1,[2]stages!$2:$2,0)-MATCH($D$1,[2]stages!$2:$2,0)+1,FALSE)</f>
        <v>【超級】雷ファミリー（ハートなし）</v>
      </c>
      <c r="G45" s="112">
        <v>2</v>
      </c>
      <c r="H45" s="16" t="str">
        <f t="shared" si="143"/>
        <v>14001_1-2</v>
      </c>
      <c r="I45" s="5">
        <f ca="1">VLOOKUP($H45,OFFSET(floors!$A$1,0,0,COUNTA(floors!$A:$A),MATCH(I$1,floors!$1:$1,0)-MATCH($H$1,floors!$1:$1,0)+1),MATCH(I$1,floors!$1:$1,0)-MATCH($H$1,floors!$1:$1,0)+1,FALSE)</f>
        <v>30</v>
      </c>
      <c r="J45" s="5">
        <f ca="1">VLOOKUP($H45,OFFSET(floors!$A$1,0,0,COUNTA(floors!$A:$A),MATCH(J$1,floors!$1:$1,0)-MATCH($H$1,floors!$1:$1,0)+1),MATCH(J$1,floors!$1:$1,0)-MATCH($H$1,floors!$1:$1,0)+1,FALSE)</f>
        <v>41</v>
      </c>
      <c r="K45" s="8" t="s">
        <v>142</v>
      </c>
      <c r="L45" s="2">
        <f t="shared" si="45"/>
        <v>345</v>
      </c>
      <c r="M45" s="20" t="str">
        <f ca="1">VLOOKUP($L45,OFFSET([3]enemies!$A$1,0,0,COUNTA([3]enemies!$A:$A),MATCH(M$1,[3]enemies!$1:$1,0)-MATCH($L$1,[3]enemies!$1:$1,0)+1),MATCH(M$1,[3]enemies!$1:$1,0)-MATCH($L$1,[3]enemies!$1:$1,0)+1,FALSE)</f>
        <v>雷のメタルチック</v>
      </c>
      <c r="N45" s="20" t="str">
        <f ca="1">VLOOKUP($L45,OFFSET([3]enemies!$A$1,0,0,COUNTA([3]enemies!$A:$A),MATCH(N$1,[3]enemies!$1:$1,0)-MATCH($L$1,[3]enemies!$1:$1,0)+1),MATCH(N$1,[3]enemies!$1:$1,0)-MATCH($L$1,[3]enemies!$1:$1,0)+1,FALSE)</f>
        <v>yellow</v>
      </c>
      <c r="O45" s="20" t="str">
        <f ca="1">VLOOKUP($L45,OFFSET([4]characters!$A$1,0,0,COUNTA([4]characters!$A:$A),MATCH(O$1,[4]characters!$1:$1,0)-MATCH($L$1,[4]characters!$1:$1,0)+1),MATCH(O$1,[4]characters!$1:$1,0)-MATCH($L$1,[4]characters!$1:$1,0)+1,FALSE)</f>
        <v>Material</v>
      </c>
      <c r="P45" s="20" t="str">
        <f ca="1">VLOOKUP($L45,OFFSET([3]enemies!$A$1,0,0,COUNTA([3]enemies!$A:$A),MATCH(P$1,[3]enemies!$1:$1,0)-MATCH($L$1,[3]enemies!$1:$1,0)+1),MATCH(P$1,[3]enemies!$1:$1,0)-MATCH($L$1,[3]enemies!$1:$1,0)+1,FALSE)</f>
        <v>unknown</v>
      </c>
      <c r="Q45" s="20">
        <f ca="1">VLOOKUP($L45,OFFSET([3]enemies!$A$1,0,0,COUNTA([3]enemies!$A:$A),MATCH(Q$1,[3]enemies!$1:$1,0)-MATCH($L$1,[3]enemies!$1:$1,0)+1),MATCH(Q$1,[3]enemies!$1:$1,0)-MATCH($L$1,[3]enemies!$1:$1,0)+1,FALSE)</f>
        <v>15</v>
      </c>
      <c r="R45" s="107">
        <f t="shared" ref="R45:U45" si="152">R32</f>
        <v>10</v>
      </c>
      <c r="S45" s="107">
        <f t="shared" si="152"/>
        <v>0.4</v>
      </c>
      <c r="T45" s="108">
        <f t="shared" si="152"/>
        <v>40</v>
      </c>
      <c r="U45" s="107">
        <f t="shared" si="152"/>
        <v>-2845</v>
      </c>
      <c r="V45" s="5" t="str">
        <f ca="1">VLOOKUP($W45,OFFSET([5]enemy_skill_sets!$B$1,0,0,COUNTA([5]enemy_skill_sets!$B:$B),MATCH(M$1,[5]enemy_skill_sets!$1:$1,0)-MATCH($W$1,[5]enemy_skill_sets!$1:$1,0)+2),MATCH(M$1,[5]enemy_skill_sets!$1:$1,0)-MATCH($W$1,[5]enemy_skill_sets!$1:$1,0)+2,FALSE)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5" s="109">
        <f t="shared" ref="W45:AA45" ca="1" si="153">W32</f>
        <v>0</v>
      </c>
      <c r="X45" s="109">
        <f t="shared" si="153"/>
        <v>0</v>
      </c>
      <c r="Y45" s="109">
        <f t="shared" si="153"/>
        <v>100</v>
      </c>
      <c r="Z45" s="109">
        <f t="shared" si="153"/>
        <v>0</v>
      </c>
      <c r="AA45" s="109">
        <f t="shared" si="153"/>
        <v>1</v>
      </c>
      <c r="AB45" s="2">
        <f t="shared" si="146"/>
        <v>345</v>
      </c>
      <c r="AC45" s="5" t="str">
        <f ca="1">VLOOKUP($AB45,OFFSET([4]characters!$A$1,0,0,COUNTA([4]characters!$A:$A),MATCH(AC$1,[4]characters!$1:$1,0)-MATCH("character_id",[4]characters!$1:$1,0)+1),MATCH(AC$1,[4]characters!$1:$1,0)-MATCH("character_id",[4]characters!$1:$1,0)+1,FALSE)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45" s="5">
        <f ca="1">VLOOKUP($AB45,OFFSET([4]characters!$A$1,0,0,COUNTA([4]characters!$A:$A),MATCH(AD$1,[4]characters!$1:$1,0)-MATCH("character_id",[4]characters!$1:$1,0)+1),MATCH(AD$1,[4]characters!$1:$1,0)-MATCH("character_id",[4]characters!$1:$1,0)+1,FALSE)</f>
        <v>4</v>
      </c>
      <c r="AE45" s="5" t="str">
        <f ca="1">VLOOKUP($AB45,OFFSET([4]characters!$A$1,0,0,COUNTA([4]characters!$A:$A),MATCH(AE$1,[4]characters!$1:$1,0)-MATCH("character_id",[4]characters!$1:$1,0)+1),MATCH(AE$1,[4]characters!$1:$1,0)-MATCH("character_id",[4]characters!$1:$1,0)+1,FALSE)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5" s="27">
        <f t="shared" si="48"/>
        <v>1</v>
      </c>
      <c r="AG45" s="27">
        <f t="shared" ca="1" si="147"/>
        <v>4</v>
      </c>
      <c r="AH45" s="27">
        <f t="shared" ref="AH45:AM45" si="154">AH32</f>
        <v>0</v>
      </c>
      <c r="AI45" s="27">
        <f t="shared" si="154"/>
        <v>0</v>
      </c>
      <c r="AJ45" s="27">
        <f t="shared" si="154"/>
        <v>0</v>
      </c>
      <c r="AK45" s="27">
        <f t="shared" si="154"/>
        <v>0</v>
      </c>
      <c r="AL45" s="27">
        <f t="shared" si="154"/>
        <v>0</v>
      </c>
      <c r="AM45" s="27">
        <f t="shared" si="154"/>
        <v>1</v>
      </c>
    </row>
    <row r="46" spans="1:39" ht="21" customHeight="1" x14ac:dyDescent="0.15">
      <c r="A46" s="17" t="str">
        <f t="shared" si="140"/>
        <v>14001_1-2/346&lt;lv10&gt;s2</v>
      </c>
      <c r="B46" s="65">
        <v>14001</v>
      </c>
      <c r="C46" s="112">
        <f t="shared" si="141"/>
        <v>1</v>
      </c>
      <c r="D46" s="112" t="str">
        <f t="shared" si="142"/>
        <v>14001_1</v>
      </c>
      <c r="E46" s="113" t="str">
        <f ca="1">VLOOKUP($B46,OFFSET([2]quests!$A$1,0,0,COUNTA([2]quests!$A:$A),MATCH(E$1,[2]quests!$1:$1,0)-MATCH($B$1,[2]quests!$1:$1,0)+1),MATCH(E$1,[2]quests!$1:$1,0)-MATCH($B$1,[2]quests!$1:$1,0)+1,FALSE)</f>
        <v>【ロック】経験値/ソロ</v>
      </c>
      <c r="F46" s="113" t="str">
        <f ca="1">VLOOKUP($D46,OFFSET([2]stages!$A$1,0,0,COUNTA([2]stages!$A:$A),MATCH(F$1,[2]stages!$2:$2,0)-MATCH($D$1,[2]stages!$2:$2,0)+1),MATCH(F$1,[2]stages!$2:$2,0)-MATCH($D$1,[2]stages!$2:$2,0)+1,FALSE)</f>
        <v>【超級】雷ファミリー（ハートなし）</v>
      </c>
      <c r="G46" s="112">
        <v>2</v>
      </c>
      <c r="H46" s="16" t="str">
        <f t="shared" si="143"/>
        <v>14001_1-2</v>
      </c>
      <c r="I46" s="5">
        <f ca="1">VLOOKUP($H46,OFFSET(floors!$A$1,0,0,COUNTA(floors!$A:$A),MATCH(I$1,floors!$1:$1,0)-MATCH($H$1,floors!$1:$1,0)+1),MATCH(I$1,floors!$1:$1,0)-MATCH($H$1,floors!$1:$1,0)+1,FALSE)</f>
        <v>30</v>
      </c>
      <c r="J46" s="5">
        <f ca="1">VLOOKUP($H46,OFFSET(floors!$A$1,0,0,COUNTA(floors!$A:$A),MATCH(J$1,floors!$1:$1,0)-MATCH($H$1,floors!$1:$1,0)+1),MATCH(J$1,floors!$1:$1,0)-MATCH($H$1,floors!$1:$1,0)+1,FALSE)</f>
        <v>41</v>
      </c>
      <c r="K46" s="8" t="s">
        <v>142</v>
      </c>
      <c r="L46" s="2">
        <f t="shared" si="45"/>
        <v>346</v>
      </c>
      <c r="M46" s="20" t="str">
        <f ca="1">VLOOKUP($L46,OFFSET([3]enemies!$A$1,0,0,COUNTA([3]enemies!$A:$A),MATCH(M$1,[3]enemies!$1:$1,0)-MATCH($L$1,[3]enemies!$1:$1,0)+1),MATCH(M$1,[3]enemies!$1:$1,0)-MATCH($L$1,[3]enemies!$1:$1,0)+1,FALSE)</f>
        <v>雷のメタルダック</v>
      </c>
      <c r="N46" s="20" t="str">
        <f ca="1">VLOOKUP($L46,OFFSET([3]enemies!$A$1,0,0,COUNTA([3]enemies!$A:$A),MATCH(N$1,[3]enemies!$1:$1,0)-MATCH($L$1,[3]enemies!$1:$1,0)+1),MATCH(N$1,[3]enemies!$1:$1,0)-MATCH($L$1,[3]enemies!$1:$1,0)+1,FALSE)</f>
        <v>yellow</v>
      </c>
      <c r="O46" s="20" t="str">
        <f ca="1">VLOOKUP($L46,OFFSET([4]characters!$A$1,0,0,COUNTA([4]characters!$A:$A),MATCH(O$1,[4]characters!$1:$1,0)-MATCH($L$1,[4]characters!$1:$1,0)+1),MATCH(O$1,[4]characters!$1:$1,0)-MATCH($L$1,[4]characters!$1:$1,0)+1,FALSE)</f>
        <v>Material</v>
      </c>
      <c r="P46" s="20" t="str">
        <f ca="1">VLOOKUP($L46,OFFSET([3]enemies!$A$1,0,0,COUNTA([3]enemies!$A:$A),MATCH(P$1,[3]enemies!$1:$1,0)-MATCH($L$1,[3]enemies!$1:$1,0)+1),MATCH(P$1,[3]enemies!$1:$1,0)-MATCH($L$1,[3]enemies!$1:$1,0)+1,FALSE)</f>
        <v>unknown</v>
      </c>
      <c r="Q46" s="20">
        <f ca="1">VLOOKUP($L46,OFFSET([3]enemies!$A$1,0,0,COUNTA([3]enemies!$A:$A),MATCH(Q$1,[3]enemies!$1:$1,0)-MATCH($L$1,[3]enemies!$1:$1,0)+1),MATCH(Q$1,[3]enemies!$1:$1,0)-MATCH($L$1,[3]enemies!$1:$1,0)+1,FALSE)</f>
        <v>20</v>
      </c>
      <c r="R46" s="107">
        <f t="shared" ref="R46:U46" si="155">R33</f>
        <v>10</v>
      </c>
      <c r="S46" s="107">
        <f t="shared" si="155"/>
        <v>0.4</v>
      </c>
      <c r="T46" s="108">
        <f t="shared" si="155"/>
        <v>40</v>
      </c>
      <c r="U46" s="107">
        <f t="shared" si="155"/>
        <v>-20223</v>
      </c>
      <c r="V46" s="5" t="str">
        <f ca="1">VLOOKUP($W46,OFFSET([5]enemy_skill_sets!$B$1,0,0,COUNTA([5]enemy_skill_sets!$B:$B),MATCH(M$1,[5]enemy_skill_sets!$1:$1,0)-MATCH($W$1,[5]enemy_skill_sets!$1:$1,0)+2),MATCH(M$1,[5]enemy_skill_sets!$1:$1,0)-MATCH($W$1,[5]enemy_skill_sets!$1:$1,0)+2,FALSE)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6" s="109">
        <f t="shared" ref="W46:AA46" ca="1" si="156">W33</f>
        <v>0</v>
      </c>
      <c r="X46" s="109">
        <f t="shared" si="156"/>
        <v>1</v>
      </c>
      <c r="Y46" s="109">
        <f t="shared" si="156"/>
        <v>0</v>
      </c>
      <c r="Z46" s="109">
        <f t="shared" si="156"/>
        <v>1</v>
      </c>
      <c r="AA46" s="109">
        <f t="shared" si="156"/>
        <v>2</v>
      </c>
      <c r="AB46" s="2">
        <f t="shared" si="146"/>
        <v>346</v>
      </c>
      <c r="AC46" s="5" t="str">
        <f ca="1">VLOOKUP($AB46,OFFSET([4]characters!$A$1,0,0,COUNTA([4]characters!$A:$A),MATCH(AC$1,[4]characters!$1:$1,0)-MATCH("character_id",[4]characters!$1:$1,0)+1),MATCH(AC$1,[4]characters!$1:$1,0)-MATCH("character_id",[4]characters!$1:$1,0)+1,FALSE)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46" s="5">
        <f ca="1">VLOOKUP($AB46,OFFSET([4]characters!$A$1,0,0,COUNTA([4]characters!$A:$A),MATCH(AD$1,[4]characters!$1:$1,0)-MATCH("character_id",[4]characters!$1:$1,0)+1),MATCH(AD$1,[4]characters!$1:$1,0)-MATCH("character_id",[4]characters!$1:$1,0)+1,FALSE)</f>
        <v>5</v>
      </c>
      <c r="AE46" s="5" t="str">
        <f ca="1">VLOOKUP($AB46,OFFSET([4]characters!$A$1,0,0,COUNTA([4]characters!$A:$A),MATCH(AE$1,[4]characters!$1:$1,0)-MATCH("character_id",[4]characters!$1:$1,0)+1),MATCH(AE$1,[4]characters!$1:$1,0)-MATCH("character_id",[4]characters!$1:$1,0)+1,FALSE)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6" s="27">
        <f t="shared" si="48"/>
        <v>1</v>
      </c>
      <c r="AG46" s="27">
        <f t="shared" ca="1" si="147"/>
        <v>5</v>
      </c>
      <c r="AH46" s="27">
        <f t="shared" ref="AH46:AM46" si="157">AH33</f>
        <v>100</v>
      </c>
      <c r="AI46" s="27">
        <f t="shared" si="157"/>
        <v>0</v>
      </c>
      <c r="AJ46" s="27">
        <f t="shared" si="157"/>
        <v>0</v>
      </c>
      <c r="AK46" s="27">
        <f t="shared" si="157"/>
        <v>0</v>
      </c>
      <c r="AL46" s="27">
        <f t="shared" si="157"/>
        <v>0</v>
      </c>
      <c r="AM46" s="27">
        <f t="shared" si="157"/>
        <v>1</v>
      </c>
    </row>
    <row r="47" spans="1:39" ht="21" customHeight="1" x14ac:dyDescent="0.15">
      <c r="A47" s="17" t="str">
        <f>B47&amp;"_"&amp;C47&amp;"-"&amp;G47&amp;"/"&amp;L47&amp;"&lt;lv"&amp;R47&amp;"&gt;s"&amp;AA47</f>
        <v>14001_1-3/345&lt;lv10&gt;s1</v>
      </c>
      <c r="B47" s="65">
        <v>14001</v>
      </c>
      <c r="C47" s="112">
        <f t="shared" si="141"/>
        <v>1</v>
      </c>
      <c r="D47" s="112" t="str">
        <f>B47&amp;"_"&amp;C47</f>
        <v>14001_1</v>
      </c>
      <c r="E47" s="113" t="str">
        <f ca="1">VLOOKUP($B47,OFFSET([2]quests!$A$1,0,0,COUNTA([2]quests!$A:$A),MATCH(E$1,[2]quests!$1:$1,0)-MATCH($B$1,[2]quests!$1:$1,0)+1),MATCH(E$1,[2]quests!$1:$1,0)-MATCH($B$1,[2]quests!$1:$1,0)+1,FALSE)</f>
        <v>【ロック】経験値/ソロ</v>
      </c>
      <c r="F47" s="113" t="str">
        <f ca="1">VLOOKUP($D47,OFFSET([2]stages!$A$1,0,0,COUNTA([2]stages!$A:$A),MATCH(F$1,[2]stages!$2:$2,0)-MATCH($D$1,[2]stages!$2:$2,0)+1),MATCH(F$1,[2]stages!$2:$2,0)-MATCH($D$1,[2]stages!$2:$2,0)+1,FALSE)</f>
        <v>【超級】雷ファミリー（ハートなし）</v>
      </c>
      <c r="G47" s="112">
        <v>3</v>
      </c>
      <c r="H47" s="16" t="str">
        <f>B47&amp;"_"&amp;C47&amp;"-"&amp;G47</f>
        <v>14001_1-3</v>
      </c>
      <c r="I47" s="5">
        <f ca="1">VLOOKUP($H47,OFFSET(floors!$A$1,0,0,COUNTA(floors!$A:$A),MATCH(I$1,floors!$1:$1,0)-MATCH($H$1,floors!$1:$1,0)+1),MATCH(I$1,floors!$1:$1,0)-MATCH($H$1,floors!$1:$1,0)+1,FALSE)</f>
        <v>50</v>
      </c>
      <c r="J47" s="5">
        <f ca="1">VLOOKUP($H47,OFFSET(floors!$A$1,0,0,COUNTA(floors!$A:$A),MATCH(J$1,floors!$1:$1,0)-MATCH($H$1,floors!$1:$1,0)+1),MATCH(J$1,floors!$1:$1,0)-MATCH($H$1,floors!$1:$1,0)+1,FALSE)</f>
        <v>50</v>
      </c>
      <c r="K47" s="8" t="s">
        <v>142</v>
      </c>
      <c r="L47" s="2">
        <f t="shared" si="45"/>
        <v>345</v>
      </c>
      <c r="M47" s="20" t="str">
        <f ca="1">VLOOKUP($L47,OFFSET([3]enemies!$A$1,0,0,COUNTA([3]enemies!$A:$A),MATCH(M$1,[3]enemies!$1:$1,0)-MATCH($L$1,[3]enemies!$1:$1,0)+1),MATCH(M$1,[3]enemies!$1:$1,0)-MATCH($L$1,[3]enemies!$1:$1,0)+1,FALSE)</f>
        <v>雷のメタルチック</v>
      </c>
      <c r="N47" s="20" t="str">
        <f ca="1">VLOOKUP($L47,OFFSET([3]enemies!$A$1,0,0,COUNTA([3]enemies!$A:$A),MATCH(N$1,[3]enemies!$1:$1,0)-MATCH($L$1,[3]enemies!$1:$1,0)+1),MATCH(N$1,[3]enemies!$1:$1,0)-MATCH($L$1,[3]enemies!$1:$1,0)+1,FALSE)</f>
        <v>yellow</v>
      </c>
      <c r="O47" s="20" t="str">
        <f ca="1">VLOOKUP($L47,OFFSET([4]characters!$A$1,0,0,COUNTA([4]characters!$A:$A),MATCH(O$1,[4]characters!$1:$1,0)-MATCH($L$1,[4]characters!$1:$1,0)+1),MATCH(O$1,[4]characters!$1:$1,0)-MATCH($L$1,[4]characters!$1:$1,0)+1,FALSE)</f>
        <v>Material</v>
      </c>
      <c r="P47" s="20" t="str">
        <f ca="1">VLOOKUP($L47,OFFSET([3]enemies!$A$1,0,0,COUNTA([3]enemies!$A:$A),MATCH(P$1,[3]enemies!$1:$1,0)-MATCH($L$1,[3]enemies!$1:$1,0)+1),MATCH(P$1,[3]enemies!$1:$1,0)-MATCH($L$1,[3]enemies!$1:$1,0)+1,FALSE)</f>
        <v>unknown</v>
      </c>
      <c r="Q47" s="20">
        <f ca="1">VLOOKUP($L47,OFFSET([3]enemies!$A$1,0,0,COUNTA([3]enemies!$A:$A),MATCH(Q$1,[3]enemies!$1:$1,0)-MATCH($L$1,[3]enemies!$1:$1,0)+1),MATCH(Q$1,[3]enemies!$1:$1,0)-MATCH($L$1,[3]enemies!$1:$1,0)+1,FALSE)</f>
        <v>15</v>
      </c>
      <c r="R47" s="107">
        <f t="shared" ref="R47:U47" si="158">R34</f>
        <v>10</v>
      </c>
      <c r="S47" s="107">
        <f t="shared" si="158"/>
        <v>0.4</v>
      </c>
      <c r="T47" s="108">
        <f t="shared" si="158"/>
        <v>40</v>
      </c>
      <c r="U47" s="107">
        <f t="shared" si="158"/>
        <v>-2845</v>
      </c>
      <c r="V47" s="5" t="str">
        <f ca="1">VLOOKUP($W47,OFFSET([5]enemy_skill_sets!$B$1,0,0,COUNTA([5]enemy_skill_sets!$B:$B),MATCH(M$1,[5]enemy_skill_sets!$1:$1,0)-MATCH($W$1,[5]enemy_skill_sets!$1:$1,0)+2),MATCH(M$1,[5]enemy_skill_sets!$1:$1,0)-MATCH($W$1,[5]enemy_skill_sets!$1:$1,0)+2,FALSE)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7" s="109">
        <f t="shared" ref="W47:AA47" ca="1" si="159">W34</f>
        <v>0</v>
      </c>
      <c r="X47" s="109">
        <f t="shared" si="159"/>
        <v>0</v>
      </c>
      <c r="Y47" s="109">
        <f t="shared" si="159"/>
        <v>100</v>
      </c>
      <c r="Z47" s="109">
        <f t="shared" si="159"/>
        <v>0</v>
      </c>
      <c r="AA47" s="109">
        <f t="shared" si="159"/>
        <v>1</v>
      </c>
      <c r="AB47" s="2">
        <f>L47</f>
        <v>345</v>
      </c>
      <c r="AC47" s="5" t="str">
        <f ca="1">VLOOKUP($AB47,OFFSET([4]characters!$A$1,0,0,COUNTA([4]characters!$A:$A),MATCH(AC$1,[4]characters!$1:$1,0)-MATCH("character_id",[4]characters!$1:$1,0)+1),MATCH(AC$1,[4]characters!$1:$1,0)-MATCH("character_id",[4]characters!$1:$1,0)+1,FALSE)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47" s="5">
        <f ca="1">VLOOKUP($AB47,OFFSET([4]characters!$A$1,0,0,COUNTA([4]characters!$A:$A),MATCH(AD$1,[4]characters!$1:$1,0)-MATCH("character_id",[4]characters!$1:$1,0)+1),MATCH(AD$1,[4]characters!$1:$1,0)-MATCH("character_id",[4]characters!$1:$1,0)+1,FALSE)</f>
        <v>4</v>
      </c>
      <c r="AE47" s="5" t="str">
        <f ca="1">VLOOKUP($AB47,OFFSET([4]characters!$A$1,0,0,COUNTA([4]characters!$A:$A),MATCH(AE$1,[4]characters!$1:$1,0)-MATCH("character_id",[4]characters!$1:$1,0)+1),MATCH(AE$1,[4]characters!$1:$1,0)-MATCH("character_id",[4]characters!$1:$1,0)+1,FALSE)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7" s="27">
        <f t="shared" si="48"/>
        <v>1</v>
      </c>
      <c r="AG47" s="27">
        <f ca="1">AD47</f>
        <v>4</v>
      </c>
      <c r="AH47" s="27">
        <f t="shared" ref="AH47:AM47" si="160">AH34</f>
        <v>0</v>
      </c>
      <c r="AI47" s="27">
        <f t="shared" si="160"/>
        <v>0</v>
      </c>
      <c r="AJ47" s="27">
        <f t="shared" si="160"/>
        <v>0</v>
      </c>
      <c r="AK47" s="27">
        <f t="shared" si="160"/>
        <v>0</v>
      </c>
      <c r="AL47" s="27">
        <f t="shared" si="160"/>
        <v>0</v>
      </c>
      <c r="AM47" s="27">
        <f t="shared" si="160"/>
        <v>1</v>
      </c>
    </row>
    <row r="48" spans="1:39" ht="21" customHeight="1" x14ac:dyDescent="0.15">
      <c r="A48" s="17" t="str">
        <f t="shared" ref="A48:A53" si="161">B48&amp;"_"&amp;C48&amp;"-"&amp;G48&amp;"/"&amp;L48&amp;"&lt;lv"&amp;R48&amp;"&gt;s"&amp;AA48</f>
        <v>14001_1-3/346&lt;lv10&gt;s2</v>
      </c>
      <c r="B48" s="65">
        <v>14001</v>
      </c>
      <c r="C48" s="112">
        <f t="shared" si="141"/>
        <v>1</v>
      </c>
      <c r="D48" s="112" t="str">
        <f t="shared" ref="D48:D53" si="162">B48&amp;"_"&amp;C48</f>
        <v>14001_1</v>
      </c>
      <c r="E48" s="113" t="str">
        <f ca="1">VLOOKUP($B48,OFFSET([2]quests!$A$1,0,0,COUNTA([2]quests!$A:$A),MATCH(E$1,[2]quests!$1:$1,0)-MATCH($B$1,[2]quests!$1:$1,0)+1),MATCH(E$1,[2]quests!$1:$1,0)-MATCH($B$1,[2]quests!$1:$1,0)+1,FALSE)</f>
        <v>【ロック】経験値/ソロ</v>
      </c>
      <c r="F48" s="113" t="str">
        <f ca="1">VLOOKUP($D48,OFFSET([2]stages!$A$1,0,0,COUNTA([2]stages!$A:$A),MATCH(F$1,[2]stages!$2:$2,0)-MATCH($D$1,[2]stages!$2:$2,0)+1),MATCH(F$1,[2]stages!$2:$2,0)-MATCH($D$1,[2]stages!$2:$2,0)+1,FALSE)</f>
        <v>【超級】雷ファミリー（ハートなし）</v>
      </c>
      <c r="G48" s="112">
        <v>3</v>
      </c>
      <c r="H48" s="16" t="str">
        <f t="shared" ref="H48:H53" si="163">B48&amp;"_"&amp;C48&amp;"-"&amp;G48</f>
        <v>14001_1-3</v>
      </c>
      <c r="I48" s="5">
        <f ca="1">VLOOKUP($H48,OFFSET(floors!$A$1,0,0,COUNTA(floors!$A:$A),MATCH(I$1,floors!$1:$1,0)-MATCH($H$1,floors!$1:$1,0)+1),MATCH(I$1,floors!$1:$1,0)-MATCH($H$1,floors!$1:$1,0)+1,FALSE)</f>
        <v>50</v>
      </c>
      <c r="J48" s="5">
        <f ca="1">VLOOKUP($H48,OFFSET(floors!$A$1,0,0,COUNTA(floors!$A:$A),MATCH(J$1,floors!$1:$1,0)-MATCH($H$1,floors!$1:$1,0)+1),MATCH(J$1,floors!$1:$1,0)-MATCH($H$1,floors!$1:$1,0)+1,FALSE)</f>
        <v>50</v>
      </c>
      <c r="K48" s="8" t="s">
        <v>142</v>
      </c>
      <c r="L48" s="2">
        <f t="shared" si="45"/>
        <v>346</v>
      </c>
      <c r="M48" s="20" t="str">
        <f ca="1">VLOOKUP($L48,OFFSET([3]enemies!$A$1,0,0,COUNTA([3]enemies!$A:$A),MATCH(M$1,[3]enemies!$1:$1,0)-MATCH($L$1,[3]enemies!$1:$1,0)+1),MATCH(M$1,[3]enemies!$1:$1,0)-MATCH($L$1,[3]enemies!$1:$1,0)+1,FALSE)</f>
        <v>雷のメタルダック</v>
      </c>
      <c r="N48" s="20" t="str">
        <f ca="1">VLOOKUP($L48,OFFSET([3]enemies!$A$1,0,0,COUNTA([3]enemies!$A:$A),MATCH(N$1,[3]enemies!$1:$1,0)-MATCH($L$1,[3]enemies!$1:$1,0)+1),MATCH(N$1,[3]enemies!$1:$1,0)-MATCH($L$1,[3]enemies!$1:$1,0)+1,FALSE)</f>
        <v>yellow</v>
      </c>
      <c r="O48" s="20" t="str">
        <f ca="1">VLOOKUP($L48,OFFSET([4]characters!$A$1,0,0,COUNTA([4]characters!$A:$A),MATCH(O$1,[4]characters!$1:$1,0)-MATCH($L$1,[4]characters!$1:$1,0)+1),MATCH(O$1,[4]characters!$1:$1,0)-MATCH($L$1,[4]characters!$1:$1,0)+1,FALSE)</f>
        <v>Material</v>
      </c>
      <c r="P48" s="20" t="str">
        <f ca="1">VLOOKUP($L48,OFFSET([3]enemies!$A$1,0,0,COUNTA([3]enemies!$A:$A),MATCH(P$1,[3]enemies!$1:$1,0)-MATCH($L$1,[3]enemies!$1:$1,0)+1),MATCH(P$1,[3]enemies!$1:$1,0)-MATCH($L$1,[3]enemies!$1:$1,0)+1,FALSE)</f>
        <v>unknown</v>
      </c>
      <c r="Q48" s="20">
        <f ca="1">VLOOKUP($L48,OFFSET([3]enemies!$A$1,0,0,COUNTA([3]enemies!$A:$A),MATCH(Q$1,[3]enemies!$1:$1,0)-MATCH($L$1,[3]enemies!$1:$1,0)+1),MATCH(Q$1,[3]enemies!$1:$1,0)-MATCH($L$1,[3]enemies!$1:$1,0)+1,FALSE)</f>
        <v>20</v>
      </c>
      <c r="R48" s="107">
        <f t="shared" ref="R48:U48" si="164">R35</f>
        <v>10</v>
      </c>
      <c r="S48" s="107">
        <f t="shared" si="164"/>
        <v>0.4</v>
      </c>
      <c r="T48" s="108">
        <f t="shared" si="164"/>
        <v>40</v>
      </c>
      <c r="U48" s="107">
        <f t="shared" si="164"/>
        <v>-20223</v>
      </c>
      <c r="V48" s="5" t="str">
        <f ca="1">VLOOKUP($W48,OFFSET([5]enemy_skill_sets!$B$1,0,0,COUNTA([5]enemy_skill_sets!$B:$B),MATCH(M$1,[5]enemy_skill_sets!$1:$1,0)-MATCH($W$1,[5]enemy_skill_sets!$1:$1,0)+2),MATCH(M$1,[5]enemy_skill_sets!$1:$1,0)-MATCH($W$1,[5]enemy_skill_sets!$1:$1,0)+2,FALSE)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8" s="109">
        <f t="shared" ref="W48:AA48" ca="1" si="165">W35</f>
        <v>0</v>
      </c>
      <c r="X48" s="109">
        <f t="shared" si="165"/>
        <v>0</v>
      </c>
      <c r="Y48" s="109">
        <f t="shared" si="165"/>
        <v>34</v>
      </c>
      <c r="Z48" s="109">
        <f t="shared" si="165"/>
        <v>1</v>
      </c>
      <c r="AA48" s="109">
        <f t="shared" si="165"/>
        <v>2</v>
      </c>
      <c r="AB48" s="2">
        <f t="shared" ref="AB48:AB53" si="166">L48</f>
        <v>346</v>
      </c>
      <c r="AC48" s="5" t="str">
        <f ca="1">VLOOKUP($AB48,OFFSET([4]characters!$A$1,0,0,COUNTA([4]characters!$A:$A),MATCH(AC$1,[4]characters!$1:$1,0)-MATCH("character_id",[4]characters!$1:$1,0)+1),MATCH(AC$1,[4]characters!$1:$1,0)-MATCH("character_id",[4]characters!$1:$1,0)+1,FALSE)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48" s="5">
        <f ca="1">VLOOKUP($AB48,OFFSET([4]characters!$A$1,0,0,COUNTA([4]characters!$A:$A),MATCH(AD$1,[4]characters!$1:$1,0)-MATCH("character_id",[4]characters!$1:$1,0)+1),MATCH(AD$1,[4]characters!$1:$1,0)-MATCH("character_id",[4]characters!$1:$1,0)+1,FALSE)</f>
        <v>5</v>
      </c>
      <c r="AE48" s="5" t="str">
        <f ca="1">VLOOKUP($AB48,OFFSET([4]characters!$A$1,0,0,COUNTA([4]characters!$A:$A),MATCH(AE$1,[4]characters!$1:$1,0)-MATCH("character_id",[4]characters!$1:$1,0)+1),MATCH(AE$1,[4]characters!$1:$1,0)-MATCH("character_id",[4]characters!$1:$1,0)+1,FALSE)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8" s="27">
        <f t="shared" si="48"/>
        <v>1</v>
      </c>
      <c r="AG48" s="27">
        <f t="shared" ref="AG48:AG53" ca="1" si="167">AD48</f>
        <v>5</v>
      </c>
      <c r="AH48" s="27">
        <f t="shared" ref="AH48:AM48" si="168">AH35</f>
        <v>100</v>
      </c>
      <c r="AI48" s="27">
        <f t="shared" si="168"/>
        <v>0</v>
      </c>
      <c r="AJ48" s="27">
        <f t="shared" si="168"/>
        <v>0</v>
      </c>
      <c r="AK48" s="27">
        <f t="shared" si="168"/>
        <v>0</v>
      </c>
      <c r="AL48" s="27">
        <f t="shared" si="168"/>
        <v>0</v>
      </c>
      <c r="AM48" s="27">
        <f t="shared" si="168"/>
        <v>1</v>
      </c>
    </row>
    <row r="49" spans="1:39" ht="21" customHeight="1" x14ac:dyDescent="0.15">
      <c r="A49" s="17" t="str">
        <f t="shared" si="161"/>
        <v>14001_1-3/347&lt;lv10&gt;s2</v>
      </c>
      <c r="B49" s="65">
        <v>14001</v>
      </c>
      <c r="C49" s="112">
        <f t="shared" si="141"/>
        <v>1</v>
      </c>
      <c r="D49" s="112" t="str">
        <f t="shared" si="162"/>
        <v>14001_1</v>
      </c>
      <c r="E49" s="113" t="str">
        <f ca="1">VLOOKUP($B49,OFFSET([2]quests!$A$1,0,0,COUNTA([2]quests!$A:$A),MATCH(E$1,[2]quests!$1:$1,0)-MATCH($B$1,[2]quests!$1:$1,0)+1),MATCH(E$1,[2]quests!$1:$1,0)-MATCH($B$1,[2]quests!$1:$1,0)+1,FALSE)</f>
        <v>【ロック】経験値/ソロ</v>
      </c>
      <c r="F49" s="113" t="str">
        <f ca="1">VLOOKUP($D49,OFFSET([2]stages!$A$1,0,0,COUNTA([2]stages!$A:$A),MATCH(F$1,[2]stages!$2:$2,0)-MATCH($D$1,[2]stages!$2:$2,0)+1),MATCH(F$1,[2]stages!$2:$2,0)-MATCH($D$1,[2]stages!$2:$2,0)+1,FALSE)</f>
        <v>【超級】雷ファミリー（ハートなし）</v>
      </c>
      <c r="G49" s="112">
        <v>3</v>
      </c>
      <c r="H49" s="16" t="str">
        <f t="shared" si="163"/>
        <v>14001_1-3</v>
      </c>
      <c r="I49" s="5">
        <f ca="1">VLOOKUP($H49,OFFSET(floors!$A$1,0,0,COUNTA(floors!$A:$A),MATCH(I$1,floors!$1:$1,0)-MATCH($H$1,floors!$1:$1,0)+1),MATCH(I$1,floors!$1:$1,0)-MATCH($H$1,floors!$1:$1,0)+1,FALSE)</f>
        <v>50</v>
      </c>
      <c r="J49" s="5">
        <f ca="1">VLOOKUP($H49,OFFSET(floors!$A$1,0,0,COUNTA(floors!$A:$A),MATCH(J$1,floors!$1:$1,0)-MATCH($H$1,floors!$1:$1,0)+1),MATCH(J$1,floors!$1:$1,0)-MATCH($H$1,floors!$1:$1,0)+1,FALSE)</f>
        <v>50</v>
      </c>
      <c r="K49" s="8" t="s">
        <v>142</v>
      </c>
      <c r="L49" s="2">
        <f t="shared" si="45"/>
        <v>347</v>
      </c>
      <c r="M49" s="20" t="str">
        <f ca="1">VLOOKUP($L49,OFFSET([3]enemies!$A$1,0,0,COUNTA([3]enemies!$A:$A),MATCH(M$1,[3]enemies!$1:$1,0)-MATCH($L$1,[3]enemies!$1:$1,0)+1),MATCH(M$1,[3]enemies!$1:$1,0)-MATCH($L$1,[3]enemies!$1:$1,0)+1,FALSE)</f>
        <v>雷のメタルジェントル</v>
      </c>
      <c r="N49" s="20" t="str">
        <f ca="1">VLOOKUP($L49,OFFSET([3]enemies!$A$1,0,0,COUNTA([3]enemies!$A:$A),MATCH(N$1,[3]enemies!$1:$1,0)-MATCH($L$1,[3]enemies!$1:$1,0)+1),MATCH(N$1,[3]enemies!$1:$1,0)-MATCH($L$1,[3]enemies!$1:$1,0)+1,FALSE)</f>
        <v>yellow</v>
      </c>
      <c r="O49" s="20" t="str">
        <f ca="1">VLOOKUP($L49,OFFSET([4]characters!$A$1,0,0,COUNTA([4]characters!$A:$A),MATCH(O$1,[4]characters!$1:$1,0)-MATCH($L$1,[4]characters!$1:$1,0)+1),MATCH(O$1,[4]characters!$1:$1,0)-MATCH($L$1,[4]characters!$1:$1,0)+1,FALSE)</f>
        <v>Material</v>
      </c>
      <c r="P49" s="20" t="str">
        <f ca="1">VLOOKUP($L49,OFFSET([3]enemies!$A$1,0,0,COUNTA([3]enemies!$A:$A),MATCH(P$1,[3]enemies!$1:$1,0)-MATCH($L$1,[3]enemies!$1:$1,0)+1),MATCH(P$1,[3]enemies!$1:$1,0)-MATCH($L$1,[3]enemies!$1:$1,0)+1,FALSE)</f>
        <v>unknown</v>
      </c>
      <c r="Q49" s="20">
        <f ca="1">VLOOKUP($L49,OFFSET([3]enemies!$A$1,0,0,COUNTA([3]enemies!$A:$A),MATCH(Q$1,[3]enemies!$1:$1,0)-MATCH($L$1,[3]enemies!$1:$1,0)+1),MATCH(Q$1,[3]enemies!$1:$1,0)-MATCH($L$1,[3]enemies!$1:$1,0)+1,FALSE)</f>
        <v>20</v>
      </c>
      <c r="R49" s="107">
        <f t="shared" ref="R49:U49" si="169">R36</f>
        <v>10</v>
      </c>
      <c r="S49" s="107">
        <f t="shared" si="169"/>
        <v>0.2</v>
      </c>
      <c r="T49" s="108">
        <f t="shared" si="169"/>
        <v>50</v>
      </c>
      <c r="U49" s="107">
        <f t="shared" si="169"/>
        <v>-30889</v>
      </c>
      <c r="V49" s="5" t="str">
        <f ca="1">VLOOKUP($W49,OFFSET(enemy_skill_sets!$B$1,0,0,COUNTA(enemy_skill_sets!$B:$B),MATCH(M$1,enemy_skill_sets!$1:$1,0)-MATCH($W$1,enemy_skill_sets!$1:$1,0)+2),MATCH(M$1,enemy_skill_sets!$1:$1,0)-MATCH($W$1,enemy_skill_sets!$1:$1,0)+2,FALSE)</f>
        <v>なんと ジェントルがあらわれた！</v>
      </c>
      <c r="W49" s="109">
        <f t="shared" ref="W49:AA49" si="170">W36</f>
        <v>14001030</v>
      </c>
      <c r="X49" s="109">
        <f t="shared" si="170"/>
        <v>0</v>
      </c>
      <c r="Y49" s="109">
        <f t="shared" si="170"/>
        <v>66</v>
      </c>
      <c r="Z49" s="109">
        <f t="shared" si="170"/>
        <v>1</v>
      </c>
      <c r="AA49" s="109">
        <f t="shared" si="170"/>
        <v>2</v>
      </c>
      <c r="AB49" s="2">
        <f t="shared" si="166"/>
        <v>347</v>
      </c>
      <c r="AC49" s="5" t="str">
        <f ca="1">VLOOKUP($AB49,OFFSET([4]characters!$A$1,0,0,COUNTA([4]characters!$A:$A),MATCH(AC$1,[4]characters!$1:$1,0)-MATCH("character_id",[4]characters!$1:$1,0)+1),MATCH(AC$1,[4]characters!$1:$1,0)-MATCH("character_id",[4]characters!$1:$1,0)+1,FALSE)</f>
        <v>雷のメタルジェントル</v>
      </c>
      <c r="AD49" s="5">
        <f ca="1">VLOOKUP($AB49,OFFSET([4]characters!$A$1,0,0,COUNTA([4]characters!$A:$A),MATCH(AD$1,[4]characters!$1:$1,0)-MATCH("character_id",[4]characters!$1:$1,0)+1),MATCH(AD$1,[4]characters!$1:$1,0)-MATCH("character_id",[4]characters!$1:$1,0)+1,FALSE)</f>
        <v>6</v>
      </c>
      <c r="AE49" s="5" t="str">
        <f ca="1">VLOOKUP($AB49,OFFSET([4]characters!$A$1,0,0,COUNTA([4]characters!$A:$A),MATCH(AE$1,[4]characters!$1:$1,0)-MATCH("character_id",[4]characters!$1:$1,0)+1),MATCH(AE$1,[4]characters!$1:$1,0)-MATCH("character_id",[4]characters!$1:$1,0)+1,FALSE)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9" s="27">
        <f t="shared" si="48"/>
        <v>1</v>
      </c>
      <c r="AG49" s="27">
        <f t="shared" ca="1" si="167"/>
        <v>6</v>
      </c>
      <c r="AH49" s="27">
        <f t="shared" ref="AH49:AM49" si="171">AH36</f>
        <v>100</v>
      </c>
      <c r="AI49" s="27">
        <f t="shared" si="171"/>
        <v>0</v>
      </c>
      <c r="AJ49" s="27">
        <f t="shared" si="171"/>
        <v>0</v>
      </c>
      <c r="AK49" s="27">
        <f t="shared" si="171"/>
        <v>0</v>
      </c>
      <c r="AL49" s="27">
        <f t="shared" si="171"/>
        <v>0</v>
      </c>
      <c r="AM49" s="27">
        <f t="shared" si="171"/>
        <v>1</v>
      </c>
    </row>
    <row r="50" spans="1:39" ht="21" customHeight="1" x14ac:dyDescent="0.15">
      <c r="A50" s="17" t="str">
        <f t="shared" si="161"/>
        <v>14001_1-4/346&lt;lv10&gt;s2</v>
      </c>
      <c r="B50" s="65">
        <v>14001</v>
      </c>
      <c r="C50" s="112">
        <f t="shared" si="141"/>
        <v>1</v>
      </c>
      <c r="D50" s="112" t="str">
        <f t="shared" si="162"/>
        <v>14001_1</v>
      </c>
      <c r="E50" s="113" t="str">
        <f ca="1">VLOOKUP($B50,OFFSET([2]quests!$A$1,0,0,COUNTA([2]quests!$A:$A),MATCH(E$1,[2]quests!$1:$1,0)-MATCH($B$1,[2]quests!$1:$1,0)+1),MATCH(E$1,[2]quests!$1:$1,0)-MATCH($B$1,[2]quests!$1:$1,0)+1,FALSE)</f>
        <v>【ロック】経験値/ソロ</v>
      </c>
      <c r="F50" s="113" t="str">
        <f ca="1">VLOOKUP($D50,OFFSET([2]stages!$A$1,0,0,COUNTA([2]stages!$A:$A),MATCH(F$1,[2]stages!$2:$2,0)-MATCH($D$1,[2]stages!$2:$2,0)+1),MATCH(F$1,[2]stages!$2:$2,0)-MATCH($D$1,[2]stages!$2:$2,0)+1,FALSE)</f>
        <v>【超級】雷ファミリー（ハートなし）</v>
      </c>
      <c r="G50" s="112">
        <v>4</v>
      </c>
      <c r="H50" s="16" t="str">
        <f t="shared" si="163"/>
        <v>14001_1-4</v>
      </c>
      <c r="I50" s="5">
        <f ca="1">VLOOKUP($H50,OFFSET(floors!$A$1,0,0,COUNTA(floors!$A:$A),MATCH(I$1,floors!$1:$1,0)-MATCH($H$1,floors!$1:$1,0)+1),MATCH(I$1,floors!$1:$1,0)-MATCH($H$1,floors!$1:$1,0)+1,FALSE)</f>
        <v>59</v>
      </c>
      <c r="J50" s="5">
        <f ca="1">VLOOKUP($H50,OFFSET(floors!$A$1,0,0,COUNTA(floors!$A:$A),MATCH(J$1,floors!$1:$1,0)-MATCH($H$1,floors!$1:$1,0)+1),MATCH(J$1,floors!$1:$1,0)-MATCH($H$1,floors!$1:$1,0)+1,FALSE)</f>
        <v>60</v>
      </c>
      <c r="K50" s="8" t="s">
        <v>142</v>
      </c>
      <c r="L50" s="2">
        <f t="shared" si="45"/>
        <v>346</v>
      </c>
      <c r="M50" s="20" t="str">
        <f ca="1">VLOOKUP($L50,OFFSET([3]enemies!$A$1,0,0,COUNTA([3]enemies!$A:$A),MATCH(M$1,[3]enemies!$1:$1,0)-MATCH($L$1,[3]enemies!$1:$1,0)+1),MATCH(M$1,[3]enemies!$1:$1,0)-MATCH($L$1,[3]enemies!$1:$1,0)+1,FALSE)</f>
        <v>雷のメタルダック</v>
      </c>
      <c r="N50" s="20" t="str">
        <f ca="1">VLOOKUP($L50,OFFSET([3]enemies!$A$1,0,0,COUNTA([3]enemies!$A:$A),MATCH(N$1,[3]enemies!$1:$1,0)-MATCH($L$1,[3]enemies!$1:$1,0)+1),MATCH(N$1,[3]enemies!$1:$1,0)-MATCH($L$1,[3]enemies!$1:$1,0)+1,FALSE)</f>
        <v>yellow</v>
      </c>
      <c r="O50" s="20" t="str">
        <f ca="1">VLOOKUP($L50,OFFSET([4]characters!$A$1,0,0,COUNTA([4]characters!$A:$A),MATCH(O$1,[4]characters!$1:$1,0)-MATCH($L$1,[4]characters!$1:$1,0)+1),MATCH(O$1,[4]characters!$1:$1,0)-MATCH($L$1,[4]characters!$1:$1,0)+1,FALSE)</f>
        <v>Material</v>
      </c>
      <c r="P50" s="20" t="str">
        <f ca="1">VLOOKUP($L50,OFFSET([3]enemies!$A$1,0,0,COUNTA([3]enemies!$A:$A),MATCH(P$1,[3]enemies!$1:$1,0)-MATCH($L$1,[3]enemies!$1:$1,0)+1),MATCH(P$1,[3]enemies!$1:$1,0)-MATCH($L$1,[3]enemies!$1:$1,0)+1,FALSE)</f>
        <v>unknown</v>
      </c>
      <c r="Q50" s="20">
        <f ca="1">VLOOKUP($L50,OFFSET([3]enemies!$A$1,0,0,COUNTA([3]enemies!$A:$A),MATCH(Q$1,[3]enemies!$1:$1,0)-MATCH($L$1,[3]enemies!$1:$1,0)+1),MATCH(Q$1,[3]enemies!$1:$1,0)-MATCH($L$1,[3]enemies!$1:$1,0)+1,FALSE)</f>
        <v>20</v>
      </c>
      <c r="R50" s="107">
        <f t="shared" ref="R50:U50" si="172">R37</f>
        <v>10</v>
      </c>
      <c r="S50" s="107">
        <f t="shared" si="172"/>
        <v>0.4</v>
      </c>
      <c r="T50" s="108">
        <f t="shared" si="172"/>
        <v>40</v>
      </c>
      <c r="U50" s="107">
        <f t="shared" si="172"/>
        <v>-20223</v>
      </c>
      <c r="V50" s="5" t="str">
        <f ca="1">VLOOKUP($W50,OFFSET([5]enemy_skill_sets!$B$1,0,0,COUNTA([5]enemy_skill_sets!$B:$B),MATCH(M$1,[5]enemy_skill_sets!$1:$1,0)-MATCH($W$1,[5]enemy_skill_sets!$1:$1,0)+2),MATCH(M$1,[5]enemy_skill_sets!$1:$1,0)-MATCH($W$1,[5]enemy_skill_sets!$1:$1,0)+2,FALSE)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0" s="109">
        <f t="shared" ref="W50:AA50" ca="1" si="173">W37</f>
        <v>0</v>
      </c>
      <c r="X50" s="109">
        <f t="shared" si="173"/>
        <v>0</v>
      </c>
      <c r="Y50" s="109">
        <f t="shared" si="173"/>
        <v>100</v>
      </c>
      <c r="Z50" s="109">
        <f t="shared" si="173"/>
        <v>0</v>
      </c>
      <c r="AA50" s="109">
        <f t="shared" si="173"/>
        <v>2</v>
      </c>
      <c r="AB50" s="2">
        <f t="shared" si="166"/>
        <v>346</v>
      </c>
      <c r="AC50" s="5" t="str">
        <f ca="1">VLOOKUP($AB50,OFFSET([4]characters!$A$1,0,0,COUNTA([4]characters!$A:$A),MATCH(AC$1,[4]characters!$1:$1,0)-MATCH("character_id",[4]characters!$1:$1,0)+1),MATCH(AC$1,[4]characters!$1:$1,0)-MATCH("character_id",[4]characters!$1:$1,0)+1,FALSE)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50" s="5">
        <f ca="1">VLOOKUP($AB50,OFFSET([4]characters!$A$1,0,0,COUNTA([4]characters!$A:$A),MATCH(AD$1,[4]characters!$1:$1,0)-MATCH("character_id",[4]characters!$1:$1,0)+1),MATCH(AD$1,[4]characters!$1:$1,0)-MATCH("character_id",[4]characters!$1:$1,0)+1,FALSE)</f>
        <v>5</v>
      </c>
      <c r="AE50" s="5" t="str">
        <f ca="1">VLOOKUP($AB50,OFFSET([4]characters!$A$1,0,0,COUNTA([4]characters!$A:$A),MATCH(AE$1,[4]characters!$1:$1,0)-MATCH("character_id",[4]characters!$1:$1,0)+1),MATCH(AE$1,[4]characters!$1:$1,0)-MATCH("character_id",[4]characters!$1:$1,0)+1,FALSE)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0" s="27">
        <f t="shared" si="48"/>
        <v>1</v>
      </c>
      <c r="AG50" s="27">
        <f t="shared" ca="1" si="167"/>
        <v>5</v>
      </c>
      <c r="AH50" s="27">
        <f t="shared" ref="AH50:AM50" si="174">AH37</f>
        <v>100</v>
      </c>
      <c r="AI50" s="27">
        <f t="shared" si="174"/>
        <v>0</v>
      </c>
      <c r="AJ50" s="27">
        <f t="shared" si="174"/>
        <v>0</v>
      </c>
      <c r="AK50" s="27">
        <f t="shared" si="174"/>
        <v>0</v>
      </c>
      <c r="AL50" s="27">
        <f t="shared" si="174"/>
        <v>0</v>
      </c>
      <c r="AM50" s="27">
        <f t="shared" si="174"/>
        <v>1</v>
      </c>
    </row>
    <row r="51" spans="1:39" ht="21" customHeight="1" x14ac:dyDescent="0.15">
      <c r="A51" s="17" t="str">
        <f t="shared" si="161"/>
        <v>14001_1-5/345&lt;lv10&gt;s2</v>
      </c>
      <c r="B51" s="65">
        <v>14001</v>
      </c>
      <c r="C51" s="112">
        <f t="shared" si="141"/>
        <v>1</v>
      </c>
      <c r="D51" s="112" t="str">
        <f t="shared" si="162"/>
        <v>14001_1</v>
      </c>
      <c r="E51" s="113" t="str">
        <f ca="1">VLOOKUP($B51,OFFSET([2]quests!$A$1,0,0,COUNTA([2]quests!$A:$A),MATCH(E$1,[2]quests!$1:$1,0)-MATCH($B$1,[2]quests!$1:$1,0)+1),MATCH(E$1,[2]quests!$1:$1,0)-MATCH($B$1,[2]quests!$1:$1,0)+1,FALSE)</f>
        <v>【ロック】経験値/ソロ</v>
      </c>
      <c r="F51" s="113" t="str">
        <f ca="1">VLOOKUP($D51,OFFSET([2]stages!$A$1,0,0,COUNTA([2]stages!$A:$A),MATCH(F$1,[2]stages!$2:$2,0)-MATCH($D$1,[2]stages!$2:$2,0)+1),MATCH(F$1,[2]stages!$2:$2,0)-MATCH($D$1,[2]stages!$2:$2,0)+1,FALSE)</f>
        <v>【超級】雷ファミリー（ハートなし）</v>
      </c>
      <c r="G51" s="112">
        <v>5</v>
      </c>
      <c r="H51" s="16" t="str">
        <f t="shared" si="163"/>
        <v>14001_1-5</v>
      </c>
      <c r="I51" s="5">
        <f ca="1">VLOOKUP($H51,OFFSET(floors!$A$1,0,0,COUNTA(floors!$A:$A),MATCH(I$1,floors!$1:$1,0)-MATCH($H$1,floors!$1:$1,0)+1),MATCH(I$1,floors!$1:$1,0)-MATCH($H$1,floors!$1:$1,0)+1,FALSE)</f>
        <v>55</v>
      </c>
      <c r="J51" s="5">
        <f ca="1">VLOOKUP($H51,OFFSET(floors!$A$1,0,0,COUNTA(floors!$A:$A),MATCH(J$1,floors!$1:$1,0)-MATCH($H$1,floors!$1:$1,0)+1),MATCH(J$1,floors!$1:$1,0)-MATCH($H$1,floors!$1:$1,0)+1,FALSE)</f>
        <v>55</v>
      </c>
      <c r="K51" s="8" t="s">
        <v>142</v>
      </c>
      <c r="L51" s="2">
        <f t="shared" si="45"/>
        <v>345</v>
      </c>
      <c r="M51" s="20" t="str">
        <f ca="1">VLOOKUP($L51,OFFSET([3]enemies!$A$1,0,0,COUNTA([3]enemies!$A:$A),MATCH(M$1,[3]enemies!$1:$1,0)-MATCH($L$1,[3]enemies!$1:$1,0)+1),MATCH(M$1,[3]enemies!$1:$1,0)-MATCH($L$1,[3]enemies!$1:$1,0)+1,FALSE)</f>
        <v>雷のメタルチック</v>
      </c>
      <c r="N51" s="20" t="str">
        <f ca="1">VLOOKUP($L51,OFFSET([3]enemies!$A$1,0,0,COUNTA([3]enemies!$A:$A),MATCH(N$1,[3]enemies!$1:$1,0)-MATCH($L$1,[3]enemies!$1:$1,0)+1),MATCH(N$1,[3]enemies!$1:$1,0)-MATCH($L$1,[3]enemies!$1:$1,0)+1,FALSE)</f>
        <v>yellow</v>
      </c>
      <c r="O51" s="20" t="str">
        <f ca="1">VLOOKUP($L51,OFFSET([4]characters!$A$1,0,0,COUNTA([4]characters!$A:$A),MATCH(O$1,[4]characters!$1:$1,0)-MATCH($L$1,[4]characters!$1:$1,0)+1),MATCH(O$1,[4]characters!$1:$1,0)-MATCH($L$1,[4]characters!$1:$1,0)+1,FALSE)</f>
        <v>Material</v>
      </c>
      <c r="P51" s="20" t="str">
        <f ca="1">VLOOKUP($L51,OFFSET([3]enemies!$A$1,0,0,COUNTA([3]enemies!$A:$A),MATCH(P$1,[3]enemies!$1:$1,0)-MATCH($L$1,[3]enemies!$1:$1,0)+1),MATCH(P$1,[3]enemies!$1:$1,0)-MATCH($L$1,[3]enemies!$1:$1,0)+1,FALSE)</f>
        <v>unknown</v>
      </c>
      <c r="Q51" s="20">
        <f ca="1">VLOOKUP($L51,OFFSET([3]enemies!$A$1,0,0,COUNTA([3]enemies!$A:$A),MATCH(Q$1,[3]enemies!$1:$1,0)-MATCH($L$1,[3]enemies!$1:$1,0)+1),MATCH(Q$1,[3]enemies!$1:$1,0)-MATCH($L$1,[3]enemies!$1:$1,0)+1,FALSE)</f>
        <v>15</v>
      </c>
      <c r="R51" s="107">
        <f t="shared" ref="R51:U51" si="175">R38</f>
        <v>10</v>
      </c>
      <c r="S51" s="107">
        <f t="shared" si="175"/>
        <v>0.4</v>
      </c>
      <c r="T51" s="108">
        <f t="shared" si="175"/>
        <v>40</v>
      </c>
      <c r="U51" s="107">
        <f t="shared" si="175"/>
        <v>-2845</v>
      </c>
      <c r="V51" s="5" t="str">
        <f ca="1">VLOOKUP($W51,OFFSET([5]enemy_skill_sets!$B$1,0,0,COUNTA([5]enemy_skill_sets!$B:$B),MATCH(M$1,[5]enemy_skill_sets!$1:$1,0)-MATCH($W$1,[5]enemy_skill_sets!$1:$1,0)+2),MATCH(M$1,[5]enemy_skill_sets!$1:$1,0)-MATCH($W$1,[5]enemy_skill_sets!$1:$1,0)+2,FALSE)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1" s="109">
        <f t="shared" ref="W51:AA51" ca="1" si="176">W38</f>
        <v>0</v>
      </c>
      <c r="X51" s="109">
        <f t="shared" si="176"/>
        <v>1</v>
      </c>
      <c r="Y51" s="109">
        <f t="shared" si="176"/>
        <v>0</v>
      </c>
      <c r="Z51" s="109">
        <f t="shared" si="176"/>
        <v>2</v>
      </c>
      <c r="AA51" s="109">
        <f t="shared" si="176"/>
        <v>2</v>
      </c>
      <c r="AB51" s="2">
        <f t="shared" si="166"/>
        <v>345</v>
      </c>
      <c r="AC51" s="5" t="str">
        <f ca="1">VLOOKUP($AB51,OFFSET([4]characters!$A$1,0,0,COUNTA([4]characters!$A:$A),MATCH(AC$1,[4]characters!$1:$1,0)-MATCH("character_id",[4]characters!$1:$1,0)+1),MATCH(AC$1,[4]characters!$1:$1,0)-MATCH("character_id",[4]characters!$1:$1,0)+1,FALSE)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51" s="5">
        <f ca="1">VLOOKUP($AB51,OFFSET([4]characters!$A$1,0,0,COUNTA([4]characters!$A:$A),MATCH(AD$1,[4]characters!$1:$1,0)-MATCH("character_id",[4]characters!$1:$1,0)+1),MATCH(AD$1,[4]characters!$1:$1,0)-MATCH("character_id",[4]characters!$1:$1,0)+1,FALSE)</f>
        <v>4</v>
      </c>
      <c r="AE51" s="5" t="str">
        <f ca="1">VLOOKUP($AB51,OFFSET([4]characters!$A$1,0,0,COUNTA([4]characters!$A:$A),MATCH(AE$1,[4]characters!$1:$1,0)-MATCH("character_id",[4]characters!$1:$1,0)+1),MATCH(AE$1,[4]characters!$1:$1,0)-MATCH("character_id",[4]characters!$1:$1,0)+1,FALSE)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1" s="27">
        <f t="shared" si="48"/>
        <v>1</v>
      </c>
      <c r="AG51" s="27">
        <f t="shared" ca="1" si="167"/>
        <v>4</v>
      </c>
      <c r="AH51" s="27">
        <f t="shared" ref="AH51:AM51" si="177">AH38</f>
        <v>0</v>
      </c>
      <c r="AI51" s="27">
        <f t="shared" si="177"/>
        <v>0</v>
      </c>
      <c r="AJ51" s="27">
        <f t="shared" si="177"/>
        <v>0</v>
      </c>
      <c r="AK51" s="27">
        <f t="shared" si="177"/>
        <v>0</v>
      </c>
      <c r="AL51" s="27">
        <f t="shared" si="177"/>
        <v>0</v>
      </c>
      <c r="AM51" s="27">
        <f t="shared" si="177"/>
        <v>1</v>
      </c>
    </row>
    <row r="52" spans="1:39" ht="21" customHeight="1" x14ac:dyDescent="0.15">
      <c r="A52" s="17" t="str">
        <f t="shared" si="161"/>
        <v>14001_1-5/346&lt;lv10&gt;s2</v>
      </c>
      <c r="B52" s="65">
        <v>14001</v>
      </c>
      <c r="C52" s="112">
        <f t="shared" si="141"/>
        <v>1</v>
      </c>
      <c r="D52" s="112" t="str">
        <f t="shared" si="162"/>
        <v>14001_1</v>
      </c>
      <c r="E52" s="113" t="str">
        <f ca="1">VLOOKUP($B52,OFFSET([2]quests!$A$1,0,0,COUNTA([2]quests!$A:$A),MATCH(E$1,[2]quests!$1:$1,0)-MATCH($B$1,[2]quests!$1:$1,0)+1),MATCH(E$1,[2]quests!$1:$1,0)-MATCH($B$1,[2]quests!$1:$1,0)+1,FALSE)</f>
        <v>【ロック】経験値/ソロ</v>
      </c>
      <c r="F52" s="113" t="str">
        <f ca="1">VLOOKUP($D52,OFFSET([2]stages!$A$1,0,0,COUNTA([2]stages!$A:$A),MATCH(F$1,[2]stages!$2:$2,0)-MATCH($D$1,[2]stages!$2:$2,0)+1),MATCH(F$1,[2]stages!$2:$2,0)-MATCH($D$1,[2]stages!$2:$2,0)+1,FALSE)</f>
        <v>【超級】雷ファミリー（ハートなし）</v>
      </c>
      <c r="G52" s="112">
        <v>5</v>
      </c>
      <c r="H52" s="16" t="str">
        <f t="shared" si="163"/>
        <v>14001_1-5</v>
      </c>
      <c r="I52" s="5">
        <f ca="1">VLOOKUP($H52,OFFSET(floors!$A$1,0,0,COUNTA(floors!$A:$A),MATCH(I$1,floors!$1:$1,0)-MATCH($H$1,floors!$1:$1,0)+1),MATCH(I$1,floors!$1:$1,0)-MATCH($H$1,floors!$1:$1,0)+1,FALSE)</f>
        <v>55</v>
      </c>
      <c r="J52" s="5">
        <f ca="1">VLOOKUP($H52,OFFSET(floors!$A$1,0,0,COUNTA(floors!$A:$A),MATCH(J$1,floors!$1:$1,0)-MATCH($H$1,floors!$1:$1,0)+1),MATCH(J$1,floors!$1:$1,0)-MATCH($H$1,floors!$1:$1,0)+1,FALSE)</f>
        <v>55</v>
      </c>
      <c r="K52" s="8" t="s">
        <v>142</v>
      </c>
      <c r="L52" s="2">
        <f t="shared" si="45"/>
        <v>346</v>
      </c>
      <c r="M52" s="20" t="str">
        <f ca="1">VLOOKUP($L52,OFFSET([3]enemies!$A$1,0,0,COUNTA([3]enemies!$A:$A),MATCH(M$1,[3]enemies!$1:$1,0)-MATCH($L$1,[3]enemies!$1:$1,0)+1),MATCH(M$1,[3]enemies!$1:$1,0)-MATCH($L$1,[3]enemies!$1:$1,0)+1,FALSE)</f>
        <v>雷のメタルダック</v>
      </c>
      <c r="N52" s="20" t="str">
        <f ca="1">VLOOKUP($L52,OFFSET([3]enemies!$A$1,0,0,COUNTA([3]enemies!$A:$A),MATCH(N$1,[3]enemies!$1:$1,0)-MATCH($L$1,[3]enemies!$1:$1,0)+1),MATCH(N$1,[3]enemies!$1:$1,0)-MATCH($L$1,[3]enemies!$1:$1,0)+1,FALSE)</f>
        <v>yellow</v>
      </c>
      <c r="O52" s="20" t="str">
        <f ca="1">VLOOKUP($L52,OFFSET([4]characters!$A$1,0,0,COUNTA([4]characters!$A:$A),MATCH(O$1,[4]characters!$1:$1,0)-MATCH($L$1,[4]characters!$1:$1,0)+1),MATCH(O$1,[4]characters!$1:$1,0)-MATCH($L$1,[4]characters!$1:$1,0)+1,FALSE)</f>
        <v>Material</v>
      </c>
      <c r="P52" s="20" t="str">
        <f ca="1">VLOOKUP($L52,OFFSET([3]enemies!$A$1,0,0,COUNTA([3]enemies!$A:$A),MATCH(P$1,[3]enemies!$1:$1,0)-MATCH($L$1,[3]enemies!$1:$1,0)+1),MATCH(P$1,[3]enemies!$1:$1,0)-MATCH($L$1,[3]enemies!$1:$1,0)+1,FALSE)</f>
        <v>unknown</v>
      </c>
      <c r="Q52" s="20">
        <f ca="1">VLOOKUP($L52,OFFSET([3]enemies!$A$1,0,0,COUNTA([3]enemies!$A:$A),MATCH(Q$1,[3]enemies!$1:$1,0)-MATCH($L$1,[3]enemies!$1:$1,0)+1),MATCH(Q$1,[3]enemies!$1:$1,0)-MATCH($L$1,[3]enemies!$1:$1,0)+1,FALSE)</f>
        <v>20</v>
      </c>
      <c r="R52" s="107">
        <f t="shared" ref="R52:U52" si="178">R39</f>
        <v>10</v>
      </c>
      <c r="S52" s="107">
        <f t="shared" si="178"/>
        <v>0.4</v>
      </c>
      <c r="T52" s="108">
        <f t="shared" si="178"/>
        <v>40</v>
      </c>
      <c r="U52" s="107">
        <f t="shared" si="178"/>
        <v>-20223</v>
      </c>
      <c r="V52" s="5" t="str">
        <f ca="1">VLOOKUP($W52,OFFSET([5]enemy_skill_sets!$B$1,0,0,COUNTA([5]enemy_skill_sets!$B:$B),MATCH(M$1,[5]enemy_skill_sets!$1:$1,0)-MATCH($W$1,[5]enemy_skill_sets!$1:$1,0)+2),MATCH(M$1,[5]enemy_skill_sets!$1:$1,0)-MATCH($W$1,[5]enemy_skill_sets!$1:$1,0)+2,FALSE)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2" s="109">
        <f t="shared" ref="W52:AA52" ca="1" si="179">W39</f>
        <v>0</v>
      </c>
      <c r="X52" s="109">
        <f t="shared" si="179"/>
        <v>1</v>
      </c>
      <c r="Y52" s="109">
        <f t="shared" si="179"/>
        <v>0</v>
      </c>
      <c r="Z52" s="109">
        <f t="shared" si="179"/>
        <v>1</v>
      </c>
      <c r="AA52" s="109">
        <f t="shared" si="179"/>
        <v>2</v>
      </c>
      <c r="AB52" s="2">
        <f t="shared" si="166"/>
        <v>346</v>
      </c>
      <c r="AC52" s="5" t="str">
        <f ca="1">VLOOKUP($AB52,OFFSET([4]characters!$A$1,0,0,COUNTA([4]characters!$A:$A),MATCH(AC$1,[4]characters!$1:$1,0)-MATCH("character_id",[4]characters!$1:$1,0)+1),MATCH(AC$1,[4]characters!$1:$1,0)-MATCH("character_id",[4]characters!$1:$1,0)+1,FALSE)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52" s="5">
        <f ca="1">VLOOKUP($AB52,OFFSET([4]characters!$A$1,0,0,COUNTA([4]characters!$A:$A),MATCH(AD$1,[4]characters!$1:$1,0)-MATCH("character_id",[4]characters!$1:$1,0)+1),MATCH(AD$1,[4]characters!$1:$1,0)-MATCH("character_id",[4]characters!$1:$1,0)+1,FALSE)</f>
        <v>5</v>
      </c>
      <c r="AE52" s="5" t="str">
        <f ca="1">VLOOKUP($AB52,OFFSET([4]characters!$A$1,0,0,COUNTA([4]characters!$A:$A),MATCH(AE$1,[4]characters!$1:$1,0)-MATCH("character_id",[4]characters!$1:$1,0)+1),MATCH(AE$1,[4]characters!$1:$1,0)-MATCH("character_id",[4]characters!$1:$1,0)+1,FALSE)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2" s="27">
        <f t="shared" si="48"/>
        <v>1</v>
      </c>
      <c r="AG52" s="27">
        <f t="shared" ca="1" si="167"/>
        <v>5</v>
      </c>
      <c r="AH52" s="27">
        <f t="shared" ref="AH52:AM52" si="180">AH39</f>
        <v>0</v>
      </c>
      <c r="AI52" s="27">
        <f t="shared" si="180"/>
        <v>0</v>
      </c>
      <c r="AJ52" s="27">
        <f t="shared" si="180"/>
        <v>0</v>
      </c>
      <c r="AK52" s="27">
        <f t="shared" si="180"/>
        <v>0</v>
      </c>
      <c r="AL52" s="27">
        <f t="shared" si="180"/>
        <v>0</v>
      </c>
      <c r="AM52" s="27">
        <f t="shared" si="180"/>
        <v>1</v>
      </c>
    </row>
    <row r="53" spans="1:39" ht="21" customHeight="1" x14ac:dyDescent="0.15">
      <c r="A53" s="17" t="str">
        <f t="shared" si="161"/>
        <v>14001_1-5/347&lt;lv10&gt;s2</v>
      </c>
      <c r="B53" s="65">
        <v>14001</v>
      </c>
      <c r="C53" s="112">
        <f t="shared" si="141"/>
        <v>1</v>
      </c>
      <c r="D53" s="112" t="str">
        <f t="shared" si="162"/>
        <v>14001_1</v>
      </c>
      <c r="E53" s="113" t="str">
        <f ca="1">VLOOKUP($B53,OFFSET([2]quests!$A$1,0,0,COUNTA([2]quests!$A:$A),MATCH(E$1,[2]quests!$1:$1,0)-MATCH($B$1,[2]quests!$1:$1,0)+1),MATCH(E$1,[2]quests!$1:$1,0)-MATCH($B$1,[2]quests!$1:$1,0)+1,FALSE)</f>
        <v>【ロック】経験値/ソロ</v>
      </c>
      <c r="F53" s="113" t="str">
        <f ca="1">VLOOKUP($D53,OFFSET([2]stages!$A$1,0,0,COUNTA([2]stages!$A:$A),MATCH(F$1,[2]stages!$2:$2,0)-MATCH($D$1,[2]stages!$2:$2,0)+1),MATCH(F$1,[2]stages!$2:$2,0)-MATCH($D$1,[2]stages!$2:$2,0)+1,FALSE)</f>
        <v>【超級】雷ファミリー（ハートなし）</v>
      </c>
      <c r="G53" s="112">
        <v>5</v>
      </c>
      <c r="H53" s="16" t="str">
        <f t="shared" si="163"/>
        <v>14001_1-5</v>
      </c>
      <c r="I53" s="5">
        <f ca="1">VLOOKUP($H53,OFFSET(floors!$A$1,0,0,COUNTA(floors!$A:$A),MATCH(I$1,floors!$1:$1,0)-MATCH($H$1,floors!$1:$1,0)+1),MATCH(I$1,floors!$1:$1,0)-MATCH($H$1,floors!$1:$1,0)+1,FALSE)</f>
        <v>55</v>
      </c>
      <c r="J53" s="5">
        <f ca="1">VLOOKUP($H53,OFFSET(floors!$A$1,0,0,COUNTA(floors!$A:$A),MATCH(J$1,floors!$1:$1,0)-MATCH($H$1,floors!$1:$1,0)+1),MATCH(J$1,floors!$1:$1,0)-MATCH($H$1,floors!$1:$1,0)+1,FALSE)</f>
        <v>55</v>
      </c>
      <c r="K53" s="8" t="s">
        <v>142</v>
      </c>
      <c r="L53" s="2">
        <f t="shared" si="45"/>
        <v>347</v>
      </c>
      <c r="M53" s="20" t="str">
        <f ca="1">VLOOKUP($L53,OFFSET([3]enemies!$A$1,0,0,COUNTA([3]enemies!$A:$A),MATCH(M$1,[3]enemies!$1:$1,0)-MATCH($L$1,[3]enemies!$1:$1,0)+1),MATCH(M$1,[3]enemies!$1:$1,0)-MATCH($L$1,[3]enemies!$1:$1,0)+1,FALSE)</f>
        <v>雷のメタルジェントル</v>
      </c>
      <c r="N53" s="20" t="str">
        <f ca="1">VLOOKUP($L53,OFFSET([3]enemies!$A$1,0,0,COUNTA([3]enemies!$A:$A),MATCH(N$1,[3]enemies!$1:$1,0)-MATCH($L$1,[3]enemies!$1:$1,0)+1),MATCH(N$1,[3]enemies!$1:$1,0)-MATCH($L$1,[3]enemies!$1:$1,0)+1,FALSE)</f>
        <v>yellow</v>
      </c>
      <c r="O53" s="20" t="str">
        <f ca="1">VLOOKUP($L53,OFFSET([4]characters!$A$1,0,0,COUNTA([4]characters!$A:$A),MATCH(O$1,[4]characters!$1:$1,0)-MATCH($L$1,[4]characters!$1:$1,0)+1),MATCH(O$1,[4]characters!$1:$1,0)-MATCH($L$1,[4]characters!$1:$1,0)+1,FALSE)</f>
        <v>Material</v>
      </c>
      <c r="P53" s="20" t="str">
        <f ca="1">VLOOKUP($L53,OFFSET([3]enemies!$A$1,0,0,COUNTA([3]enemies!$A:$A),MATCH(P$1,[3]enemies!$1:$1,0)-MATCH($L$1,[3]enemies!$1:$1,0)+1),MATCH(P$1,[3]enemies!$1:$1,0)-MATCH($L$1,[3]enemies!$1:$1,0)+1,FALSE)</f>
        <v>unknown</v>
      </c>
      <c r="Q53" s="20">
        <f ca="1">VLOOKUP($L53,OFFSET([3]enemies!$A$1,0,0,COUNTA([3]enemies!$A:$A),MATCH(Q$1,[3]enemies!$1:$1,0)-MATCH($L$1,[3]enemies!$1:$1,0)+1),MATCH(Q$1,[3]enemies!$1:$1,0)-MATCH($L$1,[3]enemies!$1:$1,0)+1,FALSE)</f>
        <v>20</v>
      </c>
      <c r="R53" s="107">
        <f t="shared" ref="R53:U53" si="181">R40</f>
        <v>10</v>
      </c>
      <c r="S53" s="107">
        <f t="shared" si="181"/>
        <v>0.2</v>
      </c>
      <c r="T53" s="108">
        <f t="shared" si="181"/>
        <v>50</v>
      </c>
      <c r="U53" s="107">
        <f t="shared" si="181"/>
        <v>-30889</v>
      </c>
      <c r="V53" s="5" t="str">
        <f ca="1">VLOOKUP($W53,OFFSET(enemy_skill_sets!$B$1,0,0,COUNTA(enemy_skill_sets!$B:$B),MATCH(M$1,enemy_skill_sets!$1:$1,0)-MATCH($W$1,enemy_skill_sets!$1:$1,0)+2),MATCH(M$1,enemy_skill_sets!$1:$1,0)-MATCH($W$1,enemy_skill_sets!$1:$1,0)+2,FALSE)</f>
        <v>メタルファミリーが あらわれた！</v>
      </c>
      <c r="W53" s="109">
        <f t="shared" ref="W53:AA53" si="182">W40</f>
        <v>14001050</v>
      </c>
      <c r="X53" s="109">
        <f t="shared" si="182"/>
        <v>1</v>
      </c>
      <c r="Y53" s="109">
        <f t="shared" si="182"/>
        <v>0</v>
      </c>
      <c r="Z53" s="109">
        <f t="shared" si="182"/>
        <v>0</v>
      </c>
      <c r="AA53" s="109">
        <f t="shared" si="182"/>
        <v>2</v>
      </c>
      <c r="AB53" s="2">
        <f t="shared" si="166"/>
        <v>347</v>
      </c>
      <c r="AC53" s="5" t="str">
        <f ca="1">VLOOKUP($AB53,OFFSET([4]characters!$A$1,0,0,COUNTA([4]characters!$A:$A),MATCH(AC$1,[4]characters!$1:$1,0)-MATCH("character_id",[4]characters!$1:$1,0)+1),MATCH(AC$1,[4]characters!$1:$1,0)-MATCH("character_id",[4]characters!$1:$1,0)+1,FALSE)</f>
        <v>雷のメタルジェントル</v>
      </c>
      <c r="AD53" s="5">
        <f ca="1">VLOOKUP($AB53,OFFSET([4]characters!$A$1,0,0,COUNTA([4]characters!$A:$A),MATCH(AD$1,[4]characters!$1:$1,0)-MATCH("character_id",[4]characters!$1:$1,0)+1),MATCH(AD$1,[4]characters!$1:$1,0)-MATCH("character_id",[4]characters!$1:$1,0)+1,FALSE)</f>
        <v>6</v>
      </c>
      <c r="AE53" s="5" t="str">
        <f ca="1">VLOOKUP($AB53,OFFSET([4]characters!$A$1,0,0,COUNTA([4]characters!$A:$A),MATCH(AE$1,[4]characters!$1:$1,0)-MATCH("character_id",[4]characters!$1:$1,0)+1),MATCH(AE$1,[4]characters!$1:$1,0)-MATCH("character_id",[4]characters!$1:$1,0)+1,FALSE)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3" s="27">
        <f t="shared" si="48"/>
        <v>1</v>
      </c>
      <c r="AG53" s="27">
        <f t="shared" ca="1" si="167"/>
        <v>6</v>
      </c>
      <c r="AH53" s="27">
        <f t="shared" ref="AH53:AM53" si="183">AH40</f>
        <v>100</v>
      </c>
      <c r="AI53" s="27">
        <f t="shared" si="183"/>
        <v>0</v>
      </c>
      <c r="AJ53" s="27">
        <f t="shared" si="183"/>
        <v>0</v>
      </c>
      <c r="AK53" s="27">
        <f t="shared" si="183"/>
        <v>0</v>
      </c>
      <c r="AL53" s="27">
        <f t="shared" si="183"/>
        <v>0</v>
      </c>
      <c r="AM53" s="27">
        <f t="shared" si="183"/>
        <v>1</v>
      </c>
    </row>
    <row r="54" spans="1:39" ht="21" customHeight="1" x14ac:dyDescent="0.15">
      <c r="A54" s="17" t="str">
        <f>B54&amp;"_"&amp;C54&amp;"-"&amp;G54&amp;"/"&amp;L54&amp;"&lt;lv"&amp;R54&amp;"&gt;s"&amp;AA54</f>
        <v>14004_4-1/332&lt;lv10&gt;s1</v>
      </c>
      <c r="B54" s="104">
        <v>14004</v>
      </c>
      <c r="C54" s="67">
        <v>4</v>
      </c>
      <c r="D54" s="67" t="str">
        <f>B54&amp;"_"&amp;C54</f>
        <v>14004_4</v>
      </c>
      <c r="E54" s="64" t="str">
        <f ca="1">VLOOKUP($B54,OFFSET([2]quests!$A$1,0,0,COUNTA([2]quests!$A:$A),MATCH(E$1,[2]quests!$1:$1,0)-MATCH($B$1,[2]quests!$1:$1,0)+1),MATCH(E$1,[2]quests!$1:$1,0)-MATCH($B$1,[2]quests!$1:$1,0)+1,FALSE)</f>
        <v>【ロック】経験値/LINEマルチ</v>
      </c>
      <c r="F54" s="64" t="str">
        <f ca="1">VLOOKUP($D54,OFFSET([2]stages!$A$1,0,0,COUNTA([2]stages!$A:$A),MATCH(F$1,[2]stages!$2:$2,0)-MATCH($D$1,[2]stages!$2:$2,0)+1),MATCH(F$1,[2]stages!$2:$2,0)-MATCH($D$1,[2]stages!$2:$2,0)+1,FALSE)</f>
        <v>【超級】炎ファミリー（ハートなし）</v>
      </c>
      <c r="G54" s="67">
        <v>1</v>
      </c>
      <c r="H54" s="16" t="str">
        <f>B54&amp;"_"&amp;C54&amp;"-"&amp;G54</f>
        <v>14004_4-1</v>
      </c>
      <c r="I54" s="5">
        <f ca="1">VLOOKUP($H54,OFFSET(floors!$A$1,0,0,COUNTA(floors!$A:$A),MATCH(I$1,floors!$1:$1,0)-MATCH($H$1,floors!$1:$1,0)+1),MATCH(I$1,floors!$1:$1,0)-MATCH($H$1,floors!$1:$1,0)+1,FALSE)</f>
        <v>40</v>
      </c>
      <c r="J54" s="5">
        <f ca="1">VLOOKUP($H54,OFFSET(floors!$A$1,0,0,COUNTA(floors!$A:$A),MATCH(J$1,floors!$1:$1,0)-MATCH($H$1,floors!$1:$1,0)+1),MATCH(J$1,floors!$1:$1,0)-MATCH($H$1,floors!$1:$1,0)+1,FALSE)</f>
        <v>60</v>
      </c>
      <c r="K54" s="8" t="s">
        <v>142</v>
      </c>
      <c r="L54" s="2">
        <f>L2</f>
        <v>332</v>
      </c>
      <c r="M54" s="20" t="str">
        <f ca="1">VLOOKUP($L54,OFFSET([3]enemies!$A$1,0,0,COUNTA([3]enemies!$A:$A),MATCH(M$1,[3]enemies!$1:$1,0)-MATCH($L$1,[3]enemies!$1:$1,0)+1),MATCH(M$1,[3]enemies!$1:$1,0)-MATCH($L$1,[3]enemies!$1:$1,0)+1,FALSE)</f>
        <v>炎のメタルピヨピヨ</v>
      </c>
      <c r="N54" s="20" t="str">
        <f ca="1">VLOOKUP($L54,OFFSET([3]enemies!$A$1,0,0,COUNTA([3]enemies!$A:$A),MATCH(N$1,[3]enemies!$1:$1,0)-MATCH($L$1,[3]enemies!$1:$1,0)+1),MATCH(N$1,[3]enemies!$1:$1,0)-MATCH($L$1,[3]enemies!$1:$1,0)+1,FALSE)</f>
        <v>red</v>
      </c>
      <c r="O54" s="20" t="str">
        <f ca="1">VLOOKUP($L54,OFFSET([4]characters!$A$1,0,0,COUNTA([4]characters!$A:$A),MATCH(O$1,[4]characters!$1:$1,0)-MATCH($L$1,[4]characters!$1:$1,0)+1),MATCH(O$1,[4]characters!$1:$1,0)-MATCH($L$1,[4]characters!$1:$1,0)+1,FALSE)</f>
        <v>Material</v>
      </c>
      <c r="P54" s="20" t="str">
        <f ca="1">VLOOKUP($L54,OFFSET([3]enemies!$A$1,0,0,COUNTA([3]enemies!$A:$A),MATCH(P$1,[3]enemies!$1:$1,0)-MATCH($L$1,[3]enemies!$1:$1,0)+1),MATCH(P$1,[3]enemies!$1:$1,0)-MATCH($L$1,[3]enemies!$1:$1,0)+1,FALSE)</f>
        <v>unknown</v>
      </c>
      <c r="Q54" s="20">
        <f ca="1">VLOOKUP($L54,OFFSET([3]enemies!$A$1,0,0,COUNTA([3]enemies!$A:$A),MATCH(Q$1,[3]enemies!$1:$1,0)-MATCH($L$1,[3]enemies!$1:$1,0)+1),MATCH(Q$1,[3]enemies!$1:$1,0)-MATCH($L$1,[3]enemies!$1:$1,0)+1,FALSE)</f>
        <v>15</v>
      </c>
      <c r="R54" s="2">
        <f t="shared" ref="R54:U66" si="184">R2</f>
        <v>10</v>
      </c>
      <c r="S54" s="2">
        <f t="shared" si="184"/>
        <v>0.6</v>
      </c>
      <c r="T54" s="2">
        <f t="shared" si="184"/>
        <v>40</v>
      </c>
      <c r="U54" s="2">
        <f t="shared" si="184"/>
        <v>533</v>
      </c>
      <c r="V54" s="5" t="str">
        <f ca="1">VLOOKUP($W54,OFFSET([5]enemy_skill_sets!$B$1,0,0,COUNTA([5]enemy_skill_sets!$B:$B),MATCH(M$1,[5]enemy_skill_sets!$1:$1,0)-MATCH($W$1,[5]enemy_skill_sets!$1:$1,0)+2),MATCH(M$1,[5]enemy_skill_sets!$1:$1,0)-MATCH($W$1,[5]enemy_skill_sets!$1:$1,0)+2,FALSE)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4" s="2">
        <f t="shared" ref="W54:AA66" ca="1" si="185">W2</f>
        <v>0</v>
      </c>
      <c r="X54" s="2">
        <f t="shared" si="185"/>
        <v>0</v>
      </c>
      <c r="Y54" s="2">
        <f t="shared" si="185"/>
        <v>100</v>
      </c>
      <c r="Z54" s="2">
        <f t="shared" si="185"/>
        <v>0</v>
      </c>
      <c r="AA54" s="2">
        <f t="shared" si="185"/>
        <v>1</v>
      </c>
      <c r="AB54" s="2">
        <f>L54</f>
        <v>332</v>
      </c>
      <c r="AC54" s="5" t="str">
        <f ca="1">VLOOKUP($AB54,OFFSET([4]characters!$A$1,0,0,COUNTA([4]characters!$A:$A),MATCH(AC$1,[4]characters!$1:$1,0)-MATCH("character_id",[4]characters!$1:$1,0)+1),MATCH(AC$1,[4]characters!$1:$1,0)-MATCH("character_id",[4]characters!$1:$1,0)+1,FALSE)</f>
        <v>炎のメタルピヨピヨ</v>
      </c>
      <c r="AD54" s="5">
        <f ca="1">VLOOKUP($AB54,OFFSET([4]characters!$A$1,0,0,COUNTA([4]characters!$A:$A),MATCH(AD$1,[4]characters!$1:$1,0)-MATCH("character_id",[4]characters!$1:$1,0)+1),MATCH(AD$1,[4]characters!$1:$1,0)-MATCH("character_id",[4]characters!$1:$1,0)+1,FALSE)</f>
        <v>3</v>
      </c>
      <c r="AE54" s="5" t="str">
        <f ca="1">VLOOKUP($AB54,OFFSET([4]characters!$A$1,0,0,COUNTA([4]characters!$A:$A),MATCH(AE$1,[4]characters!$1:$1,0)-MATCH("character_id",[4]characters!$1:$1,0)+1),MATCH(AE$1,[4]characters!$1:$1,0)-MATCH("character_id",[4]characters!$1:$1,0)+1,FALSE)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4" s="2">
        <f t="shared" ref="AF54:AM66" si="186">AF2</f>
        <v>1</v>
      </c>
      <c r="AG54" s="2">
        <f t="shared" ca="1" si="186"/>
        <v>3</v>
      </c>
      <c r="AH54" s="2">
        <f t="shared" si="186"/>
        <v>0</v>
      </c>
      <c r="AI54" s="2">
        <f t="shared" si="186"/>
        <v>0</v>
      </c>
      <c r="AJ54" s="2">
        <f t="shared" si="186"/>
        <v>0</v>
      </c>
      <c r="AK54" s="2">
        <f t="shared" si="186"/>
        <v>0</v>
      </c>
      <c r="AL54" s="2">
        <f t="shared" si="186"/>
        <v>0</v>
      </c>
      <c r="AM54" s="2">
        <f t="shared" si="186"/>
        <v>1</v>
      </c>
    </row>
    <row r="55" spans="1:39" ht="21" customHeight="1" x14ac:dyDescent="0.15">
      <c r="A55" s="17" t="str">
        <f>B55&amp;"_"&amp;C55&amp;"-"&amp;G55&amp;"/"&amp;L55&amp;"&lt;lv"&amp;R55&amp;"&gt;s"&amp;AA55</f>
        <v>14004_4-1/333&lt;lv10&gt;s1</v>
      </c>
      <c r="B55" s="104">
        <v>14004</v>
      </c>
      <c r="C55" s="67">
        <v>4</v>
      </c>
      <c r="D55" s="67" t="str">
        <f>B55&amp;"_"&amp;C55</f>
        <v>14004_4</v>
      </c>
      <c r="E55" s="64" t="str">
        <f ca="1">VLOOKUP($B55,OFFSET([2]quests!$A$1,0,0,COUNTA([2]quests!$A:$A),MATCH(E$1,[2]quests!$1:$1,0)-MATCH($B$1,[2]quests!$1:$1,0)+1),MATCH(E$1,[2]quests!$1:$1,0)-MATCH($B$1,[2]quests!$1:$1,0)+1,FALSE)</f>
        <v>【ロック】経験値/LINEマルチ</v>
      </c>
      <c r="F55" s="64" t="str">
        <f ca="1">VLOOKUP($D55,OFFSET([2]stages!$A$1,0,0,COUNTA([2]stages!$A:$A),MATCH(F$1,[2]stages!$2:$2,0)-MATCH($D$1,[2]stages!$2:$2,0)+1),MATCH(F$1,[2]stages!$2:$2,0)-MATCH($D$1,[2]stages!$2:$2,0)+1,FALSE)</f>
        <v>【超級】炎ファミリー（ハートなし）</v>
      </c>
      <c r="G55" s="67">
        <v>1</v>
      </c>
      <c r="H55" s="16" t="str">
        <f>B55&amp;"_"&amp;C55&amp;"-"&amp;G55</f>
        <v>14004_4-1</v>
      </c>
      <c r="I55" s="5">
        <f ca="1">VLOOKUP($H55,OFFSET(floors!$A$1,0,0,COUNTA(floors!$A:$A),MATCH(I$1,floors!$1:$1,0)-MATCH($H$1,floors!$1:$1,0)+1),MATCH(I$1,floors!$1:$1,0)-MATCH($H$1,floors!$1:$1,0)+1,FALSE)</f>
        <v>40</v>
      </c>
      <c r="J55" s="5">
        <f ca="1">VLOOKUP($H55,OFFSET(floors!$A$1,0,0,COUNTA(floors!$A:$A),MATCH(J$1,floors!$1:$1,0)-MATCH($H$1,floors!$1:$1,0)+1),MATCH(J$1,floors!$1:$1,0)-MATCH($H$1,floors!$1:$1,0)+1,FALSE)</f>
        <v>60</v>
      </c>
      <c r="K55" s="8" t="s">
        <v>142</v>
      </c>
      <c r="L55" s="2">
        <f t="shared" ref="L55:L66" si="187">L3</f>
        <v>333</v>
      </c>
      <c r="M55" s="20" t="str">
        <f ca="1">VLOOKUP($L55,OFFSET([3]enemies!$A$1,0,0,COUNTA([3]enemies!$A:$A),MATCH(M$1,[3]enemies!$1:$1,0)-MATCH($L$1,[3]enemies!$1:$1,0)+1),MATCH(M$1,[3]enemies!$1:$1,0)-MATCH($L$1,[3]enemies!$1:$1,0)+1,FALSE)</f>
        <v>炎のメタルチック</v>
      </c>
      <c r="N55" s="20" t="str">
        <f ca="1">VLOOKUP($L55,OFFSET([3]enemies!$A$1,0,0,COUNTA([3]enemies!$A:$A),MATCH(N$1,[3]enemies!$1:$1,0)-MATCH($L$1,[3]enemies!$1:$1,0)+1),MATCH(N$1,[3]enemies!$1:$1,0)-MATCH($L$1,[3]enemies!$1:$1,0)+1,FALSE)</f>
        <v>red</v>
      </c>
      <c r="O55" s="20" t="str">
        <f ca="1">VLOOKUP($L55,OFFSET([4]characters!$A$1,0,0,COUNTA([4]characters!$A:$A),MATCH(O$1,[4]characters!$1:$1,0)-MATCH($L$1,[4]characters!$1:$1,0)+1),MATCH(O$1,[4]characters!$1:$1,0)-MATCH($L$1,[4]characters!$1:$1,0)+1,FALSE)</f>
        <v>Material</v>
      </c>
      <c r="P55" s="20" t="str">
        <f ca="1">VLOOKUP($L55,OFFSET([3]enemies!$A$1,0,0,COUNTA([3]enemies!$A:$A),MATCH(P$1,[3]enemies!$1:$1,0)-MATCH($L$1,[3]enemies!$1:$1,0)+1),MATCH(P$1,[3]enemies!$1:$1,0)-MATCH($L$1,[3]enemies!$1:$1,0)+1,FALSE)</f>
        <v>unknown</v>
      </c>
      <c r="Q55" s="20">
        <f ca="1">VLOOKUP($L55,OFFSET([3]enemies!$A$1,0,0,COUNTA([3]enemies!$A:$A),MATCH(Q$1,[3]enemies!$1:$1,0)-MATCH($L$1,[3]enemies!$1:$1,0)+1),MATCH(Q$1,[3]enemies!$1:$1,0)-MATCH($L$1,[3]enemies!$1:$1,0)+1,FALSE)</f>
        <v>15</v>
      </c>
      <c r="R55" s="2">
        <f t="shared" si="184"/>
        <v>10</v>
      </c>
      <c r="S55" s="2">
        <f t="shared" si="184"/>
        <v>0.4</v>
      </c>
      <c r="T55" s="2">
        <f t="shared" si="184"/>
        <v>40</v>
      </c>
      <c r="U55" s="2">
        <f t="shared" si="184"/>
        <v>-2845</v>
      </c>
      <c r="V55" s="5" t="str">
        <f ca="1">VLOOKUP($W55,OFFSET([5]enemy_skill_sets!$B$1,0,0,COUNTA([5]enemy_skill_sets!$B:$B),MATCH(M$1,[5]enemy_skill_sets!$1:$1,0)-MATCH($W$1,[5]enemy_skill_sets!$1:$1,0)+2),MATCH(M$1,[5]enemy_skill_sets!$1:$1,0)-MATCH($W$1,[5]enemy_skill_sets!$1:$1,0)+2,FALSE)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5" s="2">
        <f t="shared" ca="1" si="185"/>
        <v>0</v>
      </c>
      <c r="X55" s="2">
        <f t="shared" si="185"/>
        <v>0</v>
      </c>
      <c r="Y55" s="2">
        <f t="shared" si="185"/>
        <v>100</v>
      </c>
      <c r="Z55" s="2">
        <f t="shared" si="185"/>
        <v>0</v>
      </c>
      <c r="AA55" s="2">
        <f t="shared" si="185"/>
        <v>1</v>
      </c>
      <c r="AB55" s="2">
        <f>L55</f>
        <v>333</v>
      </c>
      <c r="AC55" s="5" t="str">
        <f ca="1">VLOOKUP($AB55,OFFSET([4]characters!$A$1,0,0,COUNTA([4]characters!$A:$A),MATCH(AC$1,[4]characters!$1:$1,0)-MATCH("character_id",[4]characters!$1:$1,0)+1),MATCH(AC$1,[4]characters!$1:$1,0)-MATCH("character_id",[4]characters!$1:$1,0)+1,FALSE)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55" s="5">
        <f ca="1">VLOOKUP($AB55,OFFSET([4]characters!$A$1,0,0,COUNTA([4]characters!$A:$A),MATCH(AD$1,[4]characters!$1:$1,0)-MATCH("character_id",[4]characters!$1:$1,0)+1),MATCH(AD$1,[4]characters!$1:$1,0)-MATCH("character_id",[4]characters!$1:$1,0)+1,FALSE)</f>
        <v>4</v>
      </c>
      <c r="AE55" s="5" t="str">
        <f ca="1">VLOOKUP($AB55,OFFSET([4]characters!$A$1,0,0,COUNTA([4]characters!$A:$A),MATCH(AE$1,[4]characters!$1:$1,0)-MATCH("character_id",[4]characters!$1:$1,0)+1),MATCH(AE$1,[4]characters!$1:$1,0)-MATCH("character_id",[4]characters!$1:$1,0)+1,FALSE)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5" s="2">
        <f t="shared" si="186"/>
        <v>1</v>
      </c>
      <c r="AG55" s="2">
        <f t="shared" ca="1" si="186"/>
        <v>4</v>
      </c>
      <c r="AH55" s="2">
        <f t="shared" si="186"/>
        <v>0</v>
      </c>
      <c r="AI55" s="2">
        <f t="shared" si="186"/>
        <v>0</v>
      </c>
      <c r="AJ55" s="2">
        <f t="shared" si="186"/>
        <v>0</v>
      </c>
      <c r="AK55" s="2">
        <f t="shared" si="186"/>
        <v>0</v>
      </c>
      <c r="AL55" s="2">
        <f t="shared" si="186"/>
        <v>0</v>
      </c>
      <c r="AM55" s="2">
        <f t="shared" si="186"/>
        <v>1</v>
      </c>
    </row>
    <row r="56" spans="1:39" ht="21" customHeight="1" x14ac:dyDescent="0.15">
      <c r="A56" s="103" t="str">
        <f t="shared" ref="A56:A59" si="188">B56&amp;"_"&amp;C56&amp;"-"&amp;G56&amp;"/"&amp;L56&amp;"&lt;lv"&amp;R56&amp;"&gt;s"&amp;AA56</f>
        <v>14004_4-1/334&lt;lv10&gt;s2</v>
      </c>
      <c r="B56" s="104">
        <v>14004</v>
      </c>
      <c r="C56" s="67">
        <v>4</v>
      </c>
      <c r="D56" s="67" t="str">
        <f t="shared" ref="D56:D59" si="189">B56&amp;"_"&amp;C56</f>
        <v>14004_4</v>
      </c>
      <c r="E56" s="64" t="str">
        <f ca="1">VLOOKUP($B56,OFFSET([2]quests!$A$1,0,0,COUNTA([2]quests!$A:$A),MATCH(E$1,[2]quests!$1:$1,0)-MATCH($B$1,[2]quests!$1:$1,0)+1),MATCH(E$1,[2]quests!$1:$1,0)-MATCH($B$1,[2]quests!$1:$1,0)+1,FALSE)</f>
        <v>【ロック】経験値/LINEマルチ</v>
      </c>
      <c r="F56" s="64" t="str">
        <f ca="1">VLOOKUP($D56,OFFSET([2]stages!$A$1,0,0,COUNTA([2]stages!$A:$A),MATCH(F$1,[2]stages!$2:$2,0)-MATCH($D$1,[2]stages!$2:$2,0)+1),MATCH(F$1,[2]stages!$2:$2,0)-MATCH($D$1,[2]stages!$2:$2,0)+1,FALSE)</f>
        <v>【超級】炎ファミリー（ハートなし）</v>
      </c>
      <c r="G56" s="67">
        <v>1</v>
      </c>
      <c r="H56" s="16" t="str">
        <f t="shared" ref="H56:H59" si="190">B56&amp;"_"&amp;C56&amp;"-"&amp;G56</f>
        <v>14004_4-1</v>
      </c>
      <c r="I56" s="5">
        <f ca="1">VLOOKUP($H56,OFFSET(floors!$A$1,0,0,COUNTA(floors!$A:$A),MATCH(I$1,floors!$1:$1,0)-MATCH($H$1,floors!$1:$1,0)+1),MATCH(I$1,floors!$1:$1,0)-MATCH($H$1,floors!$1:$1,0)+1,FALSE)</f>
        <v>40</v>
      </c>
      <c r="J56" s="5">
        <f ca="1">VLOOKUP($H56,OFFSET(floors!$A$1,0,0,COUNTA(floors!$A:$A),MATCH(J$1,floors!$1:$1,0)-MATCH($H$1,floors!$1:$1,0)+1),MATCH(J$1,floors!$1:$1,0)-MATCH($H$1,floors!$1:$1,0)+1,FALSE)</f>
        <v>60</v>
      </c>
      <c r="K56" s="8" t="s">
        <v>142</v>
      </c>
      <c r="L56" s="2">
        <f t="shared" si="187"/>
        <v>334</v>
      </c>
      <c r="M56" s="20" t="str">
        <f ca="1">VLOOKUP($L56,OFFSET([3]enemies!$A$1,0,0,COUNTA([3]enemies!$A:$A),MATCH(M$1,[3]enemies!$1:$1,0)-MATCH($L$1,[3]enemies!$1:$1,0)+1),MATCH(M$1,[3]enemies!$1:$1,0)-MATCH($L$1,[3]enemies!$1:$1,0)+1,FALSE)</f>
        <v>炎のメタルダック</v>
      </c>
      <c r="N56" s="20" t="str">
        <f ca="1">VLOOKUP($L56,OFFSET([3]enemies!$A$1,0,0,COUNTA([3]enemies!$A:$A),MATCH(N$1,[3]enemies!$1:$1,0)-MATCH($L$1,[3]enemies!$1:$1,0)+1),MATCH(N$1,[3]enemies!$1:$1,0)-MATCH($L$1,[3]enemies!$1:$1,0)+1,FALSE)</f>
        <v>red</v>
      </c>
      <c r="O56" s="20" t="str">
        <f ca="1">VLOOKUP($L56,OFFSET([4]characters!$A$1,0,0,COUNTA([4]characters!$A:$A),MATCH(O$1,[4]characters!$1:$1,0)-MATCH($L$1,[4]characters!$1:$1,0)+1),MATCH(O$1,[4]characters!$1:$1,0)-MATCH($L$1,[4]characters!$1:$1,0)+1,FALSE)</f>
        <v>Material</v>
      </c>
      <c r="P56" s="20" t="str">
        <f ca="1">VLOOKUP($L56,OFFSET([3]enemies!$A$1,0,0,COUNTA([3]enemies!$A:$A),MATCH(P$1,[3]enemies!$1:$1,0)-MATCH($L$1,[3]enemies!$1:$1,0)+1),MATCH(P$1,[3]enemies!$1:$1,0)-MATCH($L$1,[3]enemies!$1:$1,0)+1,FALSE)</f>
        <v>unknown</v>
      </c>
      <c r="Q56" s="20">
        <f ca="1">VLOOKUP($L56,OFFSET([3]enemies!$A$1,0,0,COUNTA([3]enemies!$A:$A),MATCH(Q$1,[3]enemies!$1:$1,0)-MATCH($L$1,[3]enemies!$1:$1,0)+1),MATCH(Q$1,[3]enemies!$1:$1,0)-MATCH($L$1,[3]enemies!$1:$1,0)+1,FALSE)</f>
        <v>20</v>
      </c>
      <c r="R56" s="2">
        <f t="shared" si="184"/>
        <v>10</v>
      </c>
      <c r="S56" s="2">
        <f t="shared" si="184"/>
        <v>0.4</v>
      </c>
      <c r="T56" s="2">
        <f t="shared" si="184"/>
        <v>40</v>
      </c>
      <c r="U56" s="2">
        <f t="shared" si="184"/>
        <v>-20223</v>
      </c>
      <c r="V56" s="5" t="str">
        <f ca="1">VLOOKUP($W56,OFFSET([5]enemy_skill_sets!$B$1,0,0,COUNTA([5]enemy_skill_sets!$B:$B),MATCH(M$1,[5]enemy_skill_sets!$1:$1,0)-MATCH($W$1,[5]enemy_skill_sets!$1:$1,0)+2),MATCH(M$1,[5]enemy_skill_sets!$1:$1,0)-MATCH($W$1,[5]enemy_skill_sets!$1:$1,0)+2,FALSE)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6" s="2">
        <f t="shared" ca="1" si="185"/>
        <v>0</v>
      </c>
      <c r="X56" s="2">
        <f t="shared" si="185"/>
        <v>0</v>
      </c>
      <c r="Y56" s="2">
        <f t="shared" si="185"/>
        <v>67</v>
      </c>
      <c r="Z56" s="2">
        <f t="shared" si="185"/>
        <v>1</v>
      </c>
      <c r="AA56" s="2">
        <f t="shared" si="185"/>
        <v>2</v>
      </c>
      <c r="AB56" s="2">
        <f t="shared" ref="AB56:AB59" si="191">L56</f>
        <v>334</v>
      </c>
      <c r="AC56" s="5" t="str">
        <f ca="1">VLOOKUP($AB56,OFFSET([4]characters!$A$1,0,0,COUNTA([4]characters!$A:$A),MATCH(AC$1,[4]characters!$1:$1,0)-MATCH("character_id",[4]characters!$1:$1,0)+1),MATCH(AC$1,[4]characters!$1:$1,0)-MATCH("character_id",[4]characters!$1:$1,0)+1,FALSE)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56" s="5">
        <f ca="1">VLOOKUP($AB56,OFFSET([4]characters!$A$1,0,0,COUNTA([4]characters!$A:$A),MATCH(AD$1,[4]characters!$1:$1,0)-MATCH("character_id",[4]characters!$1:$1,0)+1),MATCH(AD$1,[4]characters!$1:$1,0)-MATCH("character_id",[4]characters!$1:$1,0)+1,FALSE)</f>
        <v>5</v>
      </c>
      <c r="AE56" s="5" t="str">
        <f ca="1">VLOOKUP($AB56,OFFSET([4]characters!$A$1,0,0,COUNTA([4]characters!$A:$A),MATCH(AE$1,[4]characters!$1:$1,0)-MATCH("character_id",[4]characters!$1:$1,0)+1),MATCH(AE$1,[4]characters!$1:$1,0)-MATCH("character_id",[4]characters!$1:$1,0)+1,FALSE)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6" s="2">
        <f t="shared" si="186"/>
        <v>1</v>
      </c>
      <c r="AG56" s="2">
        <f t="shared" ca="1" si="186"/>
        <v>5</v>
      </c>
      <c r="AH56" s="2">
        <f t="shared" si="186"/>
        <v>100</v>
      </c>
      <c r="AI56" s="2">
        <f t="shared" si="186"/>
        <v>0</v>
      </c>
      <c r="AJ56" s="2">
        <f t="shared" si="186"/>
        <v>0</v>
      </c>
      <c r="AK56" s="2">
        <f t="shared" si="186"/>
        <v>0</v>
      </c>
      <c r="AL56" s="2">
        <f t="shared" si="186"/>
        <v>0</v>
      </c>
      <c r="AM56" s="2">
        <f t="shared" si="186"/>
        <v>1</v>
      </c>
    </row>
    <row r="57" spans="1:39" ht="21" customHeight="1" x14ac:dyDescent="0.15">
      <c r="A57" s="17" t="str">
        <f t="shared" si="188"/>
        <v>14004_4-1/335&lt;lv10&gt;s2</v>
      </c>
      <c r="B57" s="104">
        <v>14004</v>
      </c>
      <c r="C57" s="67">
        <v>4</v>
      </c>
      <c r="D57" s="67" t="str">
        <f t="shared" si="189"/>
        <v>14004_4</v>
      </c>
      <c r="E57" s="64" t="str">
        <f ca="1">VLOOKUP($B57,OFFSET([2]quests!$A$1,0,0,COUNTA([2]quests!$A:$A),MATCH(E$1,[2]quests!$1:$1,0)-MATCH($B$1,[2]quests!$1:$1,0)+1),MATCH(E$1,[2]quests!$1:$1,0)-MATCH($B$1,[2]quests!$1:$1,0)+1,FALSE)</f>
        <v>【ロック】経験値/LINEマルチ</v>
      </c>
      <c r="F57" s="64" t="str">
        <f ca="1">VLOOKUP($D57,OFFSET([2]stages!$A$1,0,0,COUNTA([2]stages!$A:$A),MATCH(F$1,[2]stages!$2:$2,0)-MATCH($D$1,[2]stages!$2:$2,0)+1),MATCH(F$1,[2]stages!$2:$2,0)-MATCH($D$1,[2]stages!$2:$2,0)+1,FALSE)</f>
        <v>【超級】炎ファミリー（ハートなし）</v>
      </c>
      <c r="G57" s="67">
        <v>1</v>
      </c>
      <c r="H57" s="16" t="str">
        <f t="shared" si="190"/>
        <v>14004_4-1</v>
      </c>
      <c r="I57" s="5">
        <f ca="1">VLOOKUP($H57,OFFSET(floors!$A$1,0,0,COUNTA(floors!$A:$A),MATCH(I$1,floors!$1:$1,0)-MATCH($H$1,floors!$1:$1,0)+1),MATCH(I$1,floors!$1:$1,0)-MATCH($H$1,floors!$1:$1,0)+1,FALSE)</f>
        <v>40</v>
      </c>
      <c r="J57" s="5">
        <f ca="1">VLOOKUP($H57,OFFSET(floors!$A$1,0,0,COUNTA(floors!$A:$A),MATCH(J$1,floors!$1:$1,0)-MATCH($H$1,floors!$1:$1,0)+1),MATCH(J$1,floors!$1:$1,0)-MATCH($H$1,floors!$1:$1,0)+1,FALSE)</f>
        <v>60</v>
      </c>
      <c r="K57" s="8" t="s">
        <v>142</v>
      </c>
      <c r="L57" s="2">
        <f t="shared" si="187"/>
        <v>335</v>
      </c>
      <c r="M57" s="20" t="str">
        <f ca="1">VLOOKUP($L57,OFFSET([3]enemies!$A$1,0,0,COUNTA([3]enemies!$A:$A),MATCH(M$1,[3]enemies!$1:$1,0)-MATCH($L$1,[3]enemies!$1:$1,0)+1),MATCH(M$1,[3]enemies!$1:$1,0)-MATCH($L$1,[3]enemies!$1:$1,0)+1,FALSE)</f>
        <v>炎のメタルジェントル</v>
      </c>
      <c r="N57" s="20" t="str">
        <f ca="1">VLOOKUP($L57,OFFSET([3]enemies!$A$1,0,0,COUNTA([3]enemies!$A:$A),MATCH(N$1,[3]enemies!$1:$1,0)-MATCH($L$1,[3]enemies!$1:$1,0)+1),MATCH(N$1,[3]enemies!$1:$1,0)-MATCH($L$1,[3]enemies!$1:$1,0)+1,FALSE)</f>
        <v>red</v>
      </c>
      <c r="O57" s="20" t="str">
        <f ca="1">VLOOKUP($L57,OFFSET([4]characters!$A$1,0,0,COUNTA([4]characters!$A:$A),MATCH(O$1,[4]characters!$1:$1,0)-MATCH($L$1,[4]characters!$1:$1,0)+1),MATCH(O$1,[4]characters!$1:$1,0)-MATCH($L$1,[4]characters!$1:$1,0)+1,FALSE)</f>
        <v>Material</v>
      </c>
      <c r="P57" s="20" t="str">
        <f ca="1">VLOOKUP($L57,OFFSET([3]enemies!$A$1,0,0,COUNTA([3]enemies!$A:$A),MATCH(P$1,[3]enemies!$1:$1,0)-MATCH($L$1,[3]enemies!$1:$1,0)+1),MATCH(P$1,[3]enemies!$1:$1,0)-MATCH($L$1,[3]enemies!$1:$1,0)+1,FALSE)</f>
        <v>unknown</v>
      </c>
      <c r="Q57" s="20">
        <f ca="1">VLOOKUP($L57,OFFSET([3]enemies!$A$1,0,0,COUNTA([3]enemies!$A:$A),MATCH(Q$1,[3]enemies!$1:$1,0)-MATCH($L$1,[3]enemies!$1:$1,0)+1),MATCH(Q$1,[3]enemies!$1:$1,0)-MATCH($L$1,[3]enemies!$1:$1,0)+1,FALSE)</f>
        <v>20</v>
      </c>
      <c r="R57" s="2">
        <f t="shared" si="184"/>
        <v>10</v>
      </c>
      <c r="S57" s="2">
        <f t="shared" si="184"/>
        <v>0.2</v>
      </c>
      <c r="T57" s="2">
        <f t="shared" si="184"/>
        <v>50</v>
      </c>
      <c r="U57" s="2">
        <f t="shared" si="184"/>
        <v>-30889</v>
      </c>
      <c r="V57" s="5" t="str">
        <f ca="1">VLOOKUP($W57,OFFSET(enemy_skill_sets!$B$1,0,0,COUNTA(enemy_skill_sets!$B:$B),MATCH(M$1,enemy_skill_sets!$1:$1,0)-MATCH($W$1,enemy_skill_sets!$1:$1,0)+2),MATCH(M$1,enemy_skill_sets!$1:$1,0)-MATCH($W$1,enemy_skill_sets!$1:$1,0)+2,FALSE)</f>
        <v>なんと ジェントルがあらわれた！</v>
      </c>
      <c r="W57" s="2">
        <f t="shared" si="185"/>
        <v>14001012</v>
      </c>
      <c r="X57" s="2">
        <f t="shared" si="185"/>
        <v>0</v>
      </c>
      <c r="Y57" s="2">
        <f t="shared" si="185"/>
        <v>33</v>
      </c>
      <c r="Z57" s="2">
        <f t="shared" si="185"/>
        <v>1</v>
      </c>
      <c r="AA57" s="2">
        <f t="shared" si="185"/>
        <v>2</v>
      </c>
      <c r="AB57" s="2">
        <f t="shared" si="191"/>
        <v>335</v>
      </c>
      <c r="AC57" s="5" t="str">
        <f ca="1">VLOOKUP($AB57,OFFSET([4]characters!$A$1,0,0,COUNTA([4]characters!$A:$A),MATCH(AC$1,[4]characters!$1:$1,0)-MATCH("character_id",[4]characters!$1:$1,0)+1),MATCH(AC$1,[4]characters!$1:$1,0)-MATCH("character_id",[4]characters!$1:$1,0)+1,FALSE)</f>
        <v>炎のメタルジェントル</v>
      </c>
      <c r="AD57" s="5">
        <f ca="1">VLOOKUP($AB57,OFFSET([4]characters!$A$1,0,0,COUNTA([4]characters!$A:$A),MATCH(AD$1,[4]characters!$1:$1,0)-MATCH("character_id",[4]characters!$1:$1,0)+1),MATCH(AD$1,[4]characters!$1:$1,0)-MATCH("character_id",[4]characters!$1:$1,0)+1,FALSE)</f>
        <v>6</v>
      </c>
      <c r="AE57" s="5" t="str">
        <f ca="1">VLOOKUP($AB57,OFFSET([4]characters!$A$1,0,0,COUNTA([4]characters!$A:$A),MATCH(AE$1,[4]characters!$1:$1,0)-MATCH("character_id",[4]characters!$1:$1,0)+1),MATCH(AE$1,[4]characters!$1:$1,0)-MATCH("character_id",[4]characters!$1:$1,0)+1,FALSE)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7" s="2">
        <f t="shared" si="186"/>
        <v>1</v>
      </c>
      <c r="AG57" s="2">
        <f t="shared" ca="1" si="186"/>
        <v>6</v>
      </c>
      <c r="AH57" s="2">
        <f t="shared" si="186"/>
        <v>100</v>
      </c>
      <c r="AI57" s="2">
        <f t="shared" si="186"/>
        <v>0</v>
      </c>
      <c r="AJ57" s="2">
        <f t="shared" si="186"/>
        <v>0</v>
      </c>
      <c r="AK57" s="2">
        <f t="shared" si="186"/>
        <v>0</v>
      </c>
      <c r="AL57" s="2">
        <f t="shared" si="186"/>
        <v>0</v>
      </c>
      <c r="AM57" s="2">
        <f t="shared" si="186"/>
        <v>1</v>
      </c>
    </row>
    <row r="58" spans="1:39" ht="21" customHeight="1" x14ac:dyDescent="0.15">
      <c r="A58" s="17" t="str">
        <f t="shared" si="188"/>
        <v>14004_4-2/333&lt;lv10&gt;s1</v>
      </c>
      <c r="B58" s="104">
        <v>14004</v>
      </c>
      <c r="C58" s="67">
        <v>4</v>
      </c>
      <c r="D58" s="67" t="str">
        <f t="shared" si="189"/>
        <v>14004_4</v>
      </c>
      <c r="E58" s="64" t="str">
        <f ca="1">VLOOKUP($B58,OFFSET([2]quests!$A$1,0,0,COUNTA([2]quests!$A:$A),MATCH(E$1,[2]quests!$1:$1,0)-MATCH($B$1,[2]quests!$1:$1,0)+1),MATCH(E$1,[2]quests!$1:$1,0)-MATCH($B$1,[2]quests!$1:$1,0)+1,FALSE)</f>
        <v>【ロック】経験値/LINEマルチ</v>
      </c>
      <c r="F58" s="64" t="str">
        <f ca="1">VLOOKUP($D58,OFFSET([2]stages!$A$1,0,0,COUNTA([2]stages!$A:$A),MATCH(F$1,[2]stages!$2:$2,0)-MATCH($D$1,[2]stages!$2:$2,0)+1),MATCH(F$1,[2]stages!$2:$2,0)-MATCH($D$1,[2]stages!$2:$2,0)+1,FALSE)</f>
        <v>【超級】炎ファミリー（ハートなし）</v>
      </c>
      <c r="G58" s="67">
        <v>2</v>
      </c>
      <c r="H58" s="16" t="str">
        <f t="shared" si="190"/>
        <v>14004_4-2</v>
      </c>
      <c r="I58" s="5">
        <f ca="1">VLOOKUP($H58,OFFSET(floors!$A$1,0,0,COUNTA(floors!$A:$A),MATCH(I$1,floors!$1:$1,0)-MATCH($H$1,floors!$1:$1,0)+1),MATCH(I$1,floors!$1:$1,0)-MATCH($H$1,floors!$1:$1,0)+1,FALSE)</f>
        <v>30</v>
      </c>
      <c r="J58" s="5">
        <f ca="1">VLOOKUP($H58,OFFSET(floors!$A$1,0,0,COUNTA(floors!$A:$A),MATCH(J$1,floors!$1:$1,0)-MATCH($H$1,floors!$1:$1,0)+1),MATCH(J$1,floors!$1:$1,0)-MATCH($H$1,floors!$1:$1,0)+1,FALSE)</f>
        <v>41</v>
      </c>
      <c r="K58" s="8" t="s">
        <v>142</v>
      </c>
      <c r="L58" s="2">
        <f t="shared" si="187"/>
        <v>333</v>
      </c>
      <c r="M58" s="20" t="str">
        <f ca="1">VLOOKUP($L58,OFFSET([3]enemies!$A$1,0,0,COUNTA([3]enemies!$A:$A),MATCH(M$1,[3]enemies!$1:$1,0)-MATCH($L$1,[3]enemies!$1:$1,0)+1),MATCH(M$1,[3]enemies!$1:$1,0)-MATCH($L$1,[3]enemies!$1:$1,0)+1,FALSE)</f>
        <v>炎のメタルチック</v>
      </c>
      <c r="N58" s="20" t="str">
        <f ca="1">VLOOKUP($L58,OFFSET([3]enemies!$A$1,0,0,COUNTA([3]enemies!$A:$A),MATCH(N$1,[3]enemies!$1:$1,0)-MATCH($L$1,[3]enemies!$1:$1,0)+1),MATCH(N$1,[3]enemies!$1:$1,0)-MATCH($L$1,[3]enemies!$1:$1,0)+1,FALSE)</f>
        <v>red</v>
      </c>
      <c r="O58" s="20" t="str">
        <f ca="1">VLOOKUP($L58,OFFSET([4]characters!$A$1,0,0,COUNTA([4]characters!$A:$A),MATCH(O$1,[4]characters!$1:$1,0)-MATCH($L$1,[4]characters!$1:$1,0)+1),MATCH(O$1,[4]characters!$1:$1,0)-MATCH($L$1,[4]characters!$1:$1,0)+1,FALSE)</f>
        <v>Material</v>
      </c>
      <c r="P58" s="20" t="str">
        <f ca="1">VLOOKUP($L58,OFFSET([3]enemies!$A$1,0,0,COUNTA([3]enemies!$A:$A),MATCH(P$1,[3]enemies!$1:$1,0)-MATCH($L$1,[3]enemies!$1:$1,0)+1),MATCH(P$1,[3]enemies!$1:$1,0)-MATCH($L$1,[3]enemies!$1:$1,0)+1,FALSE)</f>
        <v>unknown</v>
      </c>
      <c r="Q58" s="20">
        <f ca="1">VLOOKUP($L58,OFFSET([3]enemies!$A$1,0,0,COUNTA([3]enemies!$A:$A),MATCH(Q$1,[3]enemies!$1:$1,0)-MATCH($L$1,[3]enemies!$1:$1,0)+1),MATCH(Q$1,[3]enemies!$1:$1,0)-MATCH($L$1,[3]enemies!$1:$1,0)+1,FALSE)</f>
        <v>15</v>
      </c>
      <c r="R58" s="2">
        <f t="shared" si="184"/>
        <v>10</v>
      </c>
      <c r="S58" s="2">
        <f t="shared" si="184"/>
        <v>0.4</v>
      </c>
      <c r="T58" s="2">
        <f t="shared" si="184"/>
        <v>40</v>
      </c>
      <c r="U58" s="2">
        <f t="shared" si="184"/>
        <v>-2845</v>
      </c>
      <c r="V58" s="5" t="str">
        <f ca="1">VLOOKUP($W58,OFFSET([5]enemy_skill_sets!$B$1,0,0,COUNTA([5]enemy_skill_sets!$B:$B),MATCH(M$1,[5]enemy_skill_sets!$1:$1,0)-MATCH($W$1,[5]enemy_skill_sets!$1:$1,0)+2),MATCH(M$1,[5]enemy_skill_sets!$1:$1,0)-MATCH($W$1,[5]enemy_skill_sets!$1:$1,0)+2,FALSE)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8" s="2">
        <f t="shared" ca="1" si="185"/>
        <v>0</v>
      </c>
      <c r="X58" s="2">
        <f t="shared" si="185"/>
        <v>0</v>
      </c>
      <c r="Y58" s="2">
        <f t="shared" si="185"/>
        <v>100</v>
      </c>
      <c r="Z58" s="2">
        <f t="shared" si="185"/>
        <v>0</v>
      </c>
      <c r="AA58" s="2">
        <f t="shared" si="185"/>
        <v>1</v>
      </c>
      <c r="AB58" s="2">
        <f t="shared" si="191"/>
        <v>333</v>
      </c>
      <c r="AC58" s="5" t="str">
        <f ca="1">VLOOKUP($AB58,OFFSET([4]characters!$A$1,0,0,COUNTA([4]characters!$A:$A),MATCH(AC$1,[4]characters!$1:$1,0)-MATCH("character_id",[4]characters!$1:$1,0)+1),MATCH(AC$1,[4]characters!$1:$1,0)-MATCH("character_id",[4]characters!$1:$1,0)+1,FALSE)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58" s="5">
        <f ca="1">VLOOKUP($AB58,OFFSET([4]characters!$A$1,0,0,COUNTA([4]characters!$A:$A),MATCH(AD$1,[4]characters!$1:$1,0)-MATCH("character_id",[4]characters!$1:$1,0)+1),MATCH(AD$1,[4]characters!$1:$1,0)-MATCH("character_id",[4]characters!$1:$1,0)+1,FALSE)</f>
        <v>4</v>
      </c>
      <c r="AE58" s="5" t="str">
        <f ca="1">VLOOKUP($AB58,OFFSET([4]characters!$A$1,0,0,COUNTA([4]characters!$A:$A),MATCH(AE$1,[4]characters!$1:$1,0)-MATCH("character_id",[4]characters!$1:$1,0)+1),MATCH(AE$1,[4]characters!$1:$1,0)-MATCH("character_id",[4]characters!$1:$1,0)+1,FALSE)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8" s="2">
        <f t="shared" si="186"/>
        <v>1</v>
      </c>
      <c r="AG58" s="2">
        <f t="shared" ca="1" si="186"/>
        <v>4</v>
      </c>
      <c r="AH58" s="2">
        <f t="shared" si="186"/>
        <v>0</v>
      </c>
      <c r="AI58" s="2">
        <f t="shared" si="186"/>
        <v>0</v>
      </c>
      <c r="AJ58" s="2">
        <f t="shared" si="186"/>
        <v>0</v>
      </c>
      <c r="AK58" s="2">
        <f t="shared" si="186"/>
        <v>0</v>
      </c>
      <c r="AL58" s="2">
        <f t="shared" si="186"/>
        <v>0</v>
      </c>
      <c r="AM58" s="2">
        <f t="shared" si="186"/>
        <v>1</v>
      </c>
    </row>
    <row r="59" spans="1:39" ht="21" customHeight="1" x14ac:dyDescent="0.15">
      <c r="A59" s="17" t="str">
        <f t="shared" si="188"/>
        <v>14004_4-2/334&lt;lv10&gt;s2</v>
      </c>
      <c r="B59" s="104">
        <v>14004</v>
      </c>
      <c r="C59" s="67">
        <v>4</v>
      </c>
      <c r="D59" s="67" t="str">
        <f t="shared" si="189"/>
        <v>14004_4</v>
      </c>
      <c r="E59" s="64" t="str">
        <f ca="1">VLOOKUP($B59,OFFSET([2]quests!$A$1,0,0,COUNTA([2]quests!$A:$A),MATCH(E$1,[2]quests!$1:$1,0)-MATCH($B$1,[2]quests!$1:$1,0)+1),MATCH(E$1,[2]quests!$1:$1,0)-MATCH($B$1,[2]quests!$1:$1,0)+1,FALSE)</f>
        <v>【ロック】経験値/LINEマルチ</v>
      </c>
      <c r="F59" s="64" t="str">
        <f ca="1">VLOOKUP($D59,OFFSET([2]stages!$A$1,0,0,COUNTA([2]stages!$A:$A),MATCH(F$1,[2]stages!$2:$2,0)-MATCH($D$1,[2]stages!$2:$2,0)+1),MATCH(F$1,[2]stages!$2:$2,0)-MATCH($D$1,[2]stages!$2:$2,0)+1,FALSE)</f>
        <v>【超級】炎ファミリー（ハートなし）</v>
      </c>
      <c r="G59" s="67">
        <v>2</v>
      </c>
      <c r="H59" s="16" t="str">
        <f t="shared" si="190"/>
        <v>14004_4-2</v>
      </c>
      <c r="I59" s="5">
        <f ca="1">VLOOKUP($H59,OFFSET(floors!$A$1,0,0,COUNTA(floors!$A:$A),MATCH(I$1,floors!$1:$1,0)-MATCH($H$1,floors!$1:$1,0)+1),MATCH(I$1,floors!$1:$1,0)-MATCH($H$1,floors!$1:$1,0)+1,FALSE)</f>
        <v>30</v>
      </c>
      <c r="J59" s="5">
        <f ca="1">VLOOKUP($H59,OFFSET(floors!$A$1,0,0,COUNTA(floors!$A:$A),MATCH(J$1,floors!$1:$1,0)-MATCH($H$1,floors!$1:$1,0)+1),MATCH(J$1,floors!$1:$1,0)-MATCH($H$1,floors!$1:$1,0)+1,FALSE)</f>
        <v>41</v>
      </c>
      <c r="K59" s="8" t="s">
        <v>142</v>
      </c>
      <c r="L59" s="2">
        <f t="shared" si="187"/>
        <v>334</v>
      </c>
      <c r="M59" s="20" t="str">
        <f ca="1">VLOOKUP($L59,OFFSET([3]enemies!$A$1,0,0,COUNTA([3]enemies!$A:$A),MATCH(M$1,[3]enemies!$1:$1,0)-MATCH($L$1,[3]enemies!$1:$1,0)+1),MATCH(M$1,[3]enemies!$1:$1,0)-MATCH($L$1,[3]enemies!$1:$1,0)+1,FALSE)</f>
        <v>炎のメタルダック</v>
      </c>
      <c r="N59" s="20" t="str">
        <f ca="1">VLOOKUP($L59,OFFSET([3]enemies!$A$1,0,0,COUNTA([3]enemies!$A:$A),MATCH(N$1,[3]enemies!$1:$1,0)-MATCH($L$1,[3]enemies!$1:$1,0)+1),MATCH(N$1,[3]enemies!$1:$1,0)-MATCH($L$1,[3]enemies!$1:$1,0)+1,FALSE)</f>
        <v>red</v>
      </c>
      <c r="O59" s="20" t="str">
        <f ca="1">VLOOKUP($L59,OFFSET([4]characters!$A$1,0,0,COUNTA([4]characters!$A:$A),MATCH(O$1,[4]characters!$1:$1,0)-MATCH($L$1,[4]characters!$1:$1,0)+1),MATCH(O$1,[4]characters!$1:$1,0)-MATCH($L$1,[4]characters!$1:$1,0)+1,FALSE)</f>
        <v>Material</v>
      </c>
      <c r="P59" s="20" t="str">
        <f ca="1">VLOOKUP($L59,OFFSET([3]enemies!$A$1,0,0,COUNTA([3]enemies!$A:$A),MATCH(P$1,[3]enemies!$1:$1,0)-MATCH($L$1,[3]enemies!$1:$1,0)+1),MATCH(P$1,[3]enemies!$1:$1,0)-MATCH($L$1,[3]enemies!$1:$1,0)+1,FALSE)</f>
        <v>unknown</v>
      </c>
      <c r="Q59" s="20">
        <f ca="1">VLOOKUP($L59,OFFSET([3]enemies!$A$1,0,0,COUNTA([3]enemies!$A:$A),MATCH(Q$1,[3]enemies!$1:$1,0)-MATCH($L$1,[3]enemies!$1:$1,0)+1),MATCH(Q$1,[3]enemies!$1:$1,0)-MATCH($L$1,[3]enemies!$1:$1,0)+1,FALSE)</f>
        <v>20</v>
      </c>
      <c r="R59" s="2">
        <f t="shared" si="184"/>
        <v>10</v>
      </c>
      <c r="S59" s="2">
        <f t="shared" si="184"/>
        <v>0.4</v>
      </c>
      <c r="T59" s="2">
        <f t="shared" si="184"/>
        <v>40</v>
      </c>
      <c r="U59" s="2">
        <f t="shared" si="184"/>
        <v>-20223</v>
      </c>
      <c r="V59" s="5" t="str">
        <f ca="1">VLOOKUP($W59,OFFSET([5]enemy_skill_sets!$B$1,0,0,COUNTA([5]enemy_skill_sets!$B:$B),MATCH(M$1,[5]enemy_skill_sets!$1:$1,0)-MATCH($W$1,[5]enemy_skill_sets!$1:$1,0)+2),MATCH(M$1,[5]enemy_skill_sets!$1:$1,0)-MATCH($W$1,[5]enemy_skill_sets!$1:$1,0)+2,FALSE)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9" s="2">
        <f t="shared" ca="1" si="185"/>
        <v>0</v>
      </c>
      <c r="X59" s="2">
        <f t="shared" si="185"/>
        <v>1</v>
      </c>
      <c r="Y59" s="2">
        <f t="shared" si="185"/>
        <v>0</v>
      </c>
      <c r="Z59" s="2">
        <f t="shared" si="185"/>
        <v>1</v>
      </c>
      <c r="AA59" s="2">
        <f t="shared" si="185"/>
        <v>2</v>
      </c>
      <c r="AB59" s="2">
        <f t="shared" si="191"/>
        <v>334</v>
      </c>
      <c r="AC59" s="5" t="str">
        <f ca="1">VLOOKUP($AB59,OFFSET([4]characters!$A$1,0,0,COUNTA([4]characters!$A:$A),MATCH(AC$1,[4]characters!$1:$1,0)-MATCH("character_id",[4]characters!$1:$1,0)+1),MATCH(AC$1,[4]characters!$1:$1,0)-MATCH("character_id",[4]characters!$1:$1,0)+1,FALSE)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59" s="5">
        <f ca="1">VLOOKUP($AB59,OFFSET([4]characters!$A$1,0,0,COUNTA([4]characters!$A:$A),MATCH(AD$1,[4]characters!$1:$1,0)-MATCH("character_id",[4]characters!$1:$1,0)+1),MATCH(AD$1,[4]characters!$1:$1,0)-MATCH("character_id",[4]characters!$1:$1,0)+1,FALSE)</f>
        <v>5</v>
      </c>
      <c r="AE59" s="5" t="str">
        <f ca="1">VLOOKUP($AB59,OFFSET([4]characters!$A$1,0,0,COUNTA([4]characters!$A:$A),MATCH(AE$1,[4]characters!$1:$1,0)-MATCH("character_id",[4]characters!$1:$1,0)+1),MATCH(AE$1,[4]characters!$1:$1,0)-MATCH("character_id",[4]characters!$1:$1,0)+1,FALSE)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9" s="2">
        <f t="shared" si="186"/>
        <v>1</v>
      </c>
      <c r="AG59" s="2">
        <f t="shared" ca="1" si="186"/>
        <v>5</v>
      </c>
      <c r="AH59" s="2">
        <f t="shared" si="186"/>
        <v>100</v>
      </c>
      <c r="AI59" s="2">
        <f t="shared" si="186"/>
        <v>0</v>
      </c>
      <c r="AJ59" s="2">
        <f t="shared" si="186"/>
        <v>0</v>
      </c>
      <c r="AK59" s="2">
        <f t="shared" si="186"/>
        <v>0</v>
      </c>
      <c r="AL59" s="2">
        <f t="shared" si="186"/>
        <v>0</v>
      </c>
      <c r="AM59" s="2">
        <f t="shared" si="186"/>
        <v>1</v>
      </c>
    </row>
    <row r="60" spans="1:39" ht="21" customHeight="1" x14ac:dyDescent="0.15">
      <c r="A60" s="17" t="str">
        <f>B60&amp;"_"&amp;C60&amp;"-"&amp;G60&amp;"/"&amp;L60&amp;"&lt;lv"&amp;R60&amp;"&gt;s"&amp;AA60</f>
        <v>14004_4-3/333&lt;lv10&gt;s1</v>
      </c>
      <c r="B60" s="104">
        <v>14004</v>
      </c>
      <c r="C60" s="67">
        <v>4</v>
      </c>
      <c r="D60" s="67" t="str">
        <f>B60&amp;"_"&amp;C60</f>
        <v>14004_4</v>
      </c>
      <c r="E60" s="64" t="str">
        <f ca="1">VLOOKUP($B60,OFFSET([2]quests!$A$1,0,0,COUNTA([2]quests!$A:$A),MATCH(E$1,[2]quests!$1:$1,0)-MATCH($B$1,[2]quests!$1:$1,0)+1),MATCH(E$1,[2]quests!$1:$1,0)-MATCH($B$1,[2]quests!$1:$1,0)+1,FALSE)</f>
        <v>【ロック】経験値/LINEマルチ</v>
      </c>
      <c r="F60" s="64" t="str">
        <f ca="1">VLOOKUP($D60,OFFSET([2]stages!$A$1,0,0,COUNTA([2]stages!$A:$A),MATCH(F$1,[2]stages!$2:$2,0)-MATCH($D$1,[2]stages!$2:$2,0)+1),MATCH(F$1,[2]stages!$2:$2,0)-MATCH($D$1,[2]stages!$2:$2,0)+1,FALSE)</f>
        <v>【超級】炎ファミリー（ハートなし）</v>
      </c>
      <c r="G60" s="67">
        <v>3</v>
      </c>
      <c r="H60" s="16" t="str">
        <f>B60&amp;"_"&amp;C60&amp;"-"&amp;G60</f>
        <v>14004_4-3</v>
      </c>
      <c r="I60" s="5">
        <f ca="1">VLOOKUP($H60,OFFSET(floors!$A$1,0,0,COUNTA(floors!$A:$A),MATCH(I$1,floors!$1:$1,0)-MATCH($H$1,floors!$1:$1,0)+1),MATCH(I$1,floors!$1:$1,0)-MATCH($H$1,floors!$1:$1,0)+1,FALSE)</f>
        <v>50</v>
      </c>
      <c r="J60" s="5">
        <f ca="1">VLOOKUP($H60,OFFSET(floors!$A$1,0,0,COUNTA(floors!$A:$A),MATCH(J$1,floors!$1:$1,0)-MATCH($H$1,floors!$1:$1,0)+1),MATCH(J$1,floors!$1:$1,0)-MATCH($H$1,floors!$1:$1,0)+1,FALSE)</f>
        <v>50</v>
      </c>
      <c r="K60" s="8" t="s">
        <v>142</v>
      </c>
      <c r="L60" s="2">
        <f t="shared" si="187"/>
        <v>333</v>
      </c>
      <c r="M60" s="20" t="str">
        <f ca="1">VLOOKUP($L60,OFFSET([3]enemies!$A$1,0,0,COUNTA([3]enemies!$A:$A),MATCH(M$1,[3]enemies!$1:$1,0)-MATCH($L$1,[3]enemies!$1:$1,0)+1),MATCH(M$1,[3]enemies!$1:$1,0)-MATCH($L$1,[3]enemies!$1:$1,0)+1,FALSE)</f>
        <v>炎のメタルチック</v>
      </c>
      <c r="N60" s="20" t="str">
        <f ca="1">VLOOKUP($L60,OFFSET([3]enemies!$A$1,0,0,COUNTA([3]enemies!$A:$A),MATCH(N$1,[3]enemies!$1:$1,0)-MATCH($L$1,[3]enemies!$1:$1,0)+1),MATCH(N$1,[3]enemies!$1:$1,0)-MATCH($L$1,[3]enemies!$1:$1,0)+1,FALSE)</f>
        <v>red</v>
      </c>
      <c r="O60" s="20" t="str">
        <f ca="1">VLOOKUP($L60,OFFSET([4]characters!$A$1,0,0,COUNTA([4]characters!$A:$A),MATCH(O$1,[4]characters!$1:$1,0)-MATCH($L$1,[4]characters!$1:$1,0)+1),MATCH(O$1,[4]characters!$1:$1,0)-MATCH($L$1,[4]characters!$1:$1,0)+1,FALSE)</f>
        <v>Material</v>
      </c>
      <c r="P60" s="20" t="str">
        <f ca="1">VLOOKUP($L60,OFFSET([3]enemies!$A$1,0,0,COUNTA([3]enemies!$A:$A),MATCH(P$1,[3]enemies!$1:$1,0)-MATCH($L$1,[3]enemies!$1:$1,0)+1),MATCH(P$1,[3]enemies!$1:$1,0)-MATCH($L$1,[3]enemies!$1:$1,0)+1,FALSE)</f>
        <v>unknown</v>
      </c>
      <c r="Q60" s="20">
        <f ca="1">VLOOKUP($L60,OFFSET([3]enemies!$A$1,0,0,COUNTA([3]enemies!$A:$A),MATCH(Q$1,[3]enemies!$1:$1,0)-MATCH($L$1,[3]enemies!$1:$1,0)+1),MATCH(Q$1,[3]enemies!$1:$1,0)-MATCH($L$1,[3]enemies!$1:$1,0)+1,FALSE)</f>
        <v>15</v>
      </c>
      <c r="R60" s="2">
        <f t="shared" si="184"/>
        <v>10</v>
      </c>
      <c r="S60" s="2">
        <f t="shared" si="184"/>
        <v>0.4</v>
      </c>
      <c r="T60" s="2">
        <f t="shared" si="184"/>
        <v>40</v>
      </c>
      <c r="U60" s="2">
        <f t="shared" si="184"/>
        <v>-2845</v>
      </c>
      <c r="V60" s="5" t="str">
        <f ca="1">VLOOKUP($W60,OFFSET([5]enemy_skill_sets!$B$1,0,0,COUNTA([5]enemy_skill_sets!$B:$B),MATCH(M$1,[5]enemy_skill_sets!$1:$1,0)-MATCH($W$1,[5]enemy_skill_sets!$1:$1,0)+2),MATCH(M$1,[5]enemy_skill_sets!$1:$1,0)-MATCH($W$1,[5]enemy_skill_sets!$1:$1,0)+2,FALSE)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0" s="2">
        <f t="shared" ca="1" si="185"/>
        <v>0</v>
      </c>
      <c r="X60" s="2">
        <f t="shared" si="185"/>
        <v>0</v>
      </c>
      <c r="Y60" s="2">
        <f t="shared" si="185"/>
        <v>100</v>
      </c>
      <c r="Z60" s="2">
        <f t="shared" si="185"/>
        <v>0</v>
      </c>
      <c r="AA60" s="2">
        <f t="shared" si="185"/>
        <v>1</v>
      </c>
      <c r="AB60" s="2">
        <f>L60</f>
        <v>333</v>
      </c>
      <c r="AC60" s="5" t="str">
        <f ca="1">VLOOKUP($AB60,OFFSET([4]characters!$A$1,0,0,COUNTA([4]characters!$A:$A),MATCH(AC$1,[4]characters!$1:$1,0)-MATCH("character_id",[4]characters!$1:$1,0)+1),MATCH(AC$1,[4]characters!$1:$1,0)-MATCH("character_id",[4]characters!$1:$1,0)+1,FALSE)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60" s="5">
        <f ca="1">VLOOKUP($AB60,OFFSET([4]characters!$A$1,0,0,COUNTA([4]characters!$A:$A),MATCH(AD$1,[4]characters!$1:$1,0)-MATCH("character_id",[4]characters!$1:$1,0)+1),MATCH(AD$1,[4]characters!$1:$1,0)-MATCH("character_id",[4]characters!$1:$1,0)+1,FALSE)</f>
        <v>4</v>
      </c>
      <c r="AE60" s="5" t="str">
        <f ca="1">VLOOKUP($AB60,OFFSET([4]characters!$A$1,0,0,COUNTA([4]characters!$A:$A),MATCH(AE$1,[4]characters!$1:$1,0)-MATCH("character_id",[4]characters!$1:$1,0)+1),MATCH(AE$1,[4]characters!$1:$1,0)-MATCH("character_id",[4]characters!$1:$1,0)+1,FALSE)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0" s="2">
        <f t="shared" si="186"/>
        <v>1</v>
      </c>
      <c r="AG60" s="2">
        <f t="shared" ca="1" si="186"/>
        <v>4</v>
      </c>
      <c r="AH60" s="2">
        <f t="shared" si="186"/>
        <v>0</v>
      </c>
      <c r="AI60" s="2">
        <f t="shared" si="186"/>
        <v>0</v>
      </c>
      <c r="AJ60" s="2">
        <f t="shared" si="186"/>
        <v>0</v>
      </c>
      <c r="AK60" s="2">
        <f t="shared" si="186"/>
        <v>0</v>
      </c>
      <c r="AL60" s="2">
        <f t="shared" si="186"/>
        <v>0</v>
      </c>
      <c r="AM60" s="2">
        <f t="shared" si="186"/>
        <v>1</v>
      </c>
    </row>
    <row r="61" spans="1:39" ht="21" customHeight="1" x14ac:dyDescent="0.15">
      <c r="A61" s="17" t="str">
        <f t="shared" ref="A61:A66" si="192">B61&amp;"_"&amp;C61&amp;"-"&amp;G61&amp;"/"&amp;L61&amp;"&lt;lv"&amp;R61&amp;"&gt;s"&amp;AA61</f>
        <v>14004_4-3/334&lt;lv10&gt;s2</v>
      </c>
      <c r="B61" s="104">
        <v>14004</v>
      </c>
      <c r="C61" s="67">
        <v>4</v>
      </c>
      <c r="D61" s="67" t="str">
        <f t="shared" ref="D61:D66" si="193">B61&amp;"_"&amp;C61</f>
        <v>14004_4</v>
      </c>
      <c r="E61" s="64" t="str">
        <f ca="1">VLOOKUP($B61,OFFSET([2]quests!$A$1,0,0,COUNTA([2]quests!$A:$A),MATCH(E$1,[2]quests!$1:$1,0)-MATCH($B$1,[2]quests!$1:$1,0)+1),MATCH(E$1,[2]quests!$1:$1,0)-MATCH($B$1,[2]quests!$1:$1,0)+1,FALSE)</f>
        <v>【ロック】経験値/LINEマルチ</v>
      </c>
      <c r="F61" s="64" t="str">
        <f ca="1">VLOOKUP($D61,OFFSET([2]stages!$A$1,0,0,COUNTA([2]stages!$A:$A),MATCH(F$1,[2]stages!$2:$2,0)-MATCH($D$1,[2]stages!$2:$2,0)+1),MATCH(F$1,[2]stages!$2:$2,0)-MATCH($D$1,[2]stages!$2:$2,0)+1,FALSE)</f>
        <v>【超級】炎ファミリー（ハートなし）</v>
      </c>
      <c r="G61" s="67">
        <v>3</v>
      </c>
      <c r="H61" s="16" t="str">
        <f t="shared" ref="H61:H66" si="194">B61&amp;"_"&amp;C61&amp;"-"&amp;G61</f>
        <v>14004_4-3</v>
      </c>
      <c r="I61" s="5">
        <f ca="1">VLOOKUP($H61,OFFSET(floors!$A$1,0,0,COUNTA(floors!$A:$A),MATCH(I$1,floors!$1:$1,0)-MATCH($H$1,floors!$1:$1,0)+1),MATCH(I$1,floors!$1:$1,0)-MATCH($H$1,floors!$1:$1,0)+1,FALSE)</f>
        <v>50</v>
      </c>
      <c r="J61" s="5">
        <f ca="1">VLOOKUP($H61,OFFSET(floors!$A$1,0,0,COUNTA(floors!$A:$A),MATCH(J$1,floors!$1:$1,0)-MATCH($H$1,floors!$1:$1,0)+1),MATCH(J$1,floors!$1:$1,0)-MATCH($H$1,floors!$1:$1,0)+1,FALSE)</f>
        <v>50</v>
      </c>
      <c r="K61" s="8" t="s">
        <v>142</v>
      </c>
      <c r="L61" s="2">
        <f t="shared" si="187"/>
        <v>334</v>
      </c>
      <c r="M61" s="20" t="str">
        <f ca="1">VLOOKUP($L61,OFFSET([3]enemies!$A$1,0,0,COUNTA([3]enemies!$A:$A),MATCH(M$1,[3]enemies!$1:$1,0)-MATCH($L$1,[3]enemies!$1:$1,0)+1),MATCH(M$1,[3]enemies!$1:$1,0)-MATCH($L$1,[3]enemies!$1:$1,0)+1,FALSE)</f>
        <v>炎のメタルダック</v>
      </c>
      <c r="N61" s="20" t="str">
        <f ca="1">VLOOKUP($L61,OFFSET([3]enemies!$A$1,0,0,COUNTA([3]enemies!$A:$A),MATCH(N$1,[3]enemies!$1:$1,0)-MATCH($L$1,[3]enemies!$1:$1,0)+1),MATCH(N$1,[3]enemies!$1:$1,0)-MATCH($L$1,[3]enemies!$1:$1,0)+1,FALSE)</f>
        <v>red</v>
      </c>
      <c r="O61" s="20" t="str">
        <f ca="1">VLOOKUP($L61,OFFSET([4]characters!$A$1,0,0,COUNTA([4]characters!$A:$A),MATCH(O$1,[4]characters!$1:$1,0)-MATCH($L$1,[4]characters!$1:$1,0)+1),MATCH(O$1,[4]characters!$1:$1,0)-MATCH($L$1,[4]characters!$1:$1,0)+1,FALSE)</f>
        <v>Material</v>
      </c>
      <c r="P61" s="20" t="str">
        <f ca="1">VLOOKUP($L61,OFFSET([3]enemies!$A$1,0,0,COUNTA([3]enemies!$A:$A),MATCH(P$1,[3]enemies!$1:$1,0)-MATCH($L$1,[3]enemies!$1:$1,0)+1),MATCH(P$1,[3]enemies!$1:$1,0)-MATCH($L$1,[3]enemies!$1:$1,0)+1,FALSE)</f>
        <v>unknown</v>
      </c>
      <c r="Q61" s="20">
        <f ca="1">VLOOKUP($L61,OFFSET([3]enemies!$A$1,0,0,COUNTA([3]enemies!$A:$A),MATCH(Q$1,[3]enemies!$1:$1,0)-MATCH($L$1,[3]enemies!$1:$1,0)+1),MATCH(Q$1,[3]enemies!$1:$1,0)-MATCH($L$1,[3]enemies!$1:$1,0)+1,FALSE)</f>
        <v>20</v>
      </c>
      <c r="R61" s="2">
        <f t="shared" si="184"/>
        <v>10</v>
      </c>
      <c r="S61" s="2">
        <f t="shared" si="184"/>
        <v>0.4</v>
      </c>
      <c r="T61" s="2">
        <f t="shared" si="184"/>
        <v>40</v>
      </c>
      <c r="U61" s="2">
        <f t="shared" si="184"/>
        <v>-20223</v>
      </c>
      <c r="V61" s="5" t="str">
        <f ca="1">VLOOKUP($W61,OFFSET([5]enemy_skill_sets!$B$1,0,0,COUNTA([5]enemy_skill_sets!$B:$B),MATCH(M$1,[5]enemy_skill_sets!$1:$1,0)-MATCH($W$1,[5]enemy_skill_sets!$1:$1,0)+2),MATCH(M$1,[5]enemy_skill_sets!$1:$1,0)-MATCH($W$1,[5]enemy_skill_sets!$1:$1,0)+2,FALSE)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1" s="2">
        <f t="shared" ca="1" si="185"/>
        <v>0</v>
      </c>
      <c r="X61" s="2">
        <f t="shared" si="185"/>
        <v>0</v>
      </c>
      <c r="Y61" s="2">
        <f t="shared" si="185"/>
        <v>34</v>
      </c>
      <c r="Z61" s="2">
        <f t="shared" si="185"/>
        <v>1</v>
      </c>
      <c r="AA61" s="2">
        <f t="shared" si="185"/>
        <v>2</v>
      </c>
      <c r="AB61" s="2">
        <f t="shared" ref="AB61:AB66" si="195">L61</f>
        <v>334</v>
      </c>
      <c r="AC61" s="5" t="str">
        <f ca="1">VLOOKUP($AB61,OFFSET([4]characters!$A$1,0,0,COUNTA([4]characters!$A:$A),MATCH(AC$1,[4]characters!$1:$1,0)-MATCH("character_id",[4]characters!$1:$1,0)+1),MATCH(AC$1,[4]characters!$1:$1,0)-MATCH("character_id",[4]characters!$1:$1,0)+1,FALSE)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61" s="5">
        <f ca="1">VLOOKUP($AB61,OFFSET([4]characters!$A$1,0,0,COUNTA([4]characters!$A:$A),MATCH(AD$1,[4]characters!$1:$1,0)-MATCH("character_id",[4]characters!$1:$1,0)+1),MATCH(AD$1,[4]characters!$1:$1,0)-MATCH("character_id",[4]characters!$1:$1,0)+1,FALSE)</f>
        <v>5</v>
      </c>
      <c r="AE61" s="5" t="str">
        <f ca="1">VLOOKUP($AB61,OFFSET([4]characters!$A$1,0,0,COUNTA([4]characters!$A:$A),MATCH(AE$1,[4]characters!$1:$1,0)-MATCH("character_id",[4]characters!$1:$1,0)+1),MATCH(AE$1,[4]characters!$1:$1,0)-MATCH("character_id",[4]characters!$1:$1,0)+1,FALSE)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1" s="2">
        <f t="shared" si="186"/>
        <v>1</v>
      </c>
      <c r="AG61" s="2">
        <f t="shared" ca="1" si="186"/>
        <v>5</v>
      </c>
      <c r="AH61" s="2">
        <f t="shared" si="186"/>
        <v>100</v>
      </c>
      <c r="AI61" s="2">
        <f t="shared" si="186"/>
        <v>0</v>
      </c>
      <c r="AJ61" s="2">
        <f t="shared" si="186"/>
        <v>0</v>
      </c>
      <c r="AK61" s="2">
        <f t="shared" si="186"/>
        <v>0</v>
      </c>
      <c r="AL61" s="2">
        <f t="shared" si="186"/>
        <v>0</v>
      </c>
      <c r="AM61" s="2">
        <f t="shared" si="186"/>
        <v>1</v>
      </c>
    </row>
    <row r="62" spans="1:39" ht="21" customHeight="1" x14ac:dyDescent="0.15">
      <c r="A62" s="17" t="str">
        <f t="shared" si="192"/>
        <v>14004_4-3/335&lt;lv10&gt;s2</v>
      </c>
      <c r="B62" s="104">
        <v>14004</v>
      </c>
      <c r="C62" s="67">
        <v>4</v>
      </c>
      <c r="D62" s="67" t="str">
        <f t="shared" si="193"/>
        <v>14004_4</v>
      </c>
      <c r="E62" s="64" t="str">
        <f ca="1">VLOOKUP($B62,OFFSET([2]quests!$A$1,0,0,COUNTA([2]quests!$A:$A),MATCH(E$1,[2]quests!$1:$1,0)-MATCH($B$1,[2]quests!$1:$1,0)+1),MATCH(E$1,[2]quests!$1:$1,0)-MATCH($B$1,[2]quests!$1:$1,0)+1,FALSE)</f>
        <v>【ロック】経験値/LINEマルチ</v>
      </c>
      <c r="F62" s="64" t="str">
        <f ca="1">VLOOKUP($D62,OFFSET([2]stages!$A$1,0,0,COUNTA([2]stages!$A:$A),MATCH(F$1,[2]stages!$2:$2,0)-MATCH($D$1,[2]stages!$2:$2,0)+1),MATCH(F$1,[2]stages!$2:$2,0)-MATCH($D$1,[2]stages!$2:$2,0)+1,FALSE)</f>
        <v>【超級】炎ファミリー（ハートなし）</v>
      </c>
      <c r="G62" s="67">
        <v>3</v>
      </c>
      <c r="H62" s="16" t="str">
        <f t="shared" si="194"/>
        <v>14004_4-3</v>
      </c>
      <c r="I62" s="5">
        <f ca="1">VLOOKUP($H62,OFFSET(floors!$A$1,0,0,COUNTA(floors!$A:$A),MATCH(I$1,floors!$1:$1,0)-MATCH($H$1,floors!$1:$1,0)+1),MATCH(I$1,floors!$1:$1,0)-MATCH($H$1,floors!$1:$1,0)+1,FALSE)</f>
        <v>50</v>
      </c>
      <c r="J62" s="5">
        <f ca="1">VLOOKUP($H62,OFFSET(floors!$A$1,0,0,COUNTA(floors!$A:$A),MATCH(J$1,floors!$1:$1,0)-MATCH($H$1,floors!$1:$1,0)+1),MATCH(J$1,floors!$1:$1,0)-MATCH($H$1,floors!$1:$1,0)+1,FALSE)</f>
        <v>50</v>
      </c>
      <c r="K62" s="8" t="s">
        <v>142</v>
      </c>
      <c r="L62" s="2">
        <f t="shared" si="187"/>
        <v>335</v>
      </c>
      <c r="M62" s="20" t="str">
        <f ca="1">VLOOKUP($L62,OFFSET([3]enemies!$A$1,0,0,COUNTA([3]enemies!$A:$A),MATCH(M$1,[3]enemies!$1:$1,0)-MATCH($L$1,[3]enemies!$1:$1,0)+1),MATCH(M$1,[3]enemies!$1:$1,0)-MATCH($L$1,[3]enemies!$1:$1,0)+1,FALSE)</f>
        <v>炎のメタルジェントル</v>
      </c>
      <c r="N62" s="20" t="str">
        <f ca="1">VLOOKUP($L62,OFFSET([3]enemies!$A$1,0,0,COUNTA([3]enemies!$A:$A),MATCH(N$1,[3]enemies!$1:$1,0)-MATCH($L$1,[3]enemies!$1:$1,0)+1),MATCH(N$1,[3]enemies!$1:$1,0)-MATCH($L$1,[3]enemies!$1:$1,0)+1,FALSE)</f>
        <v>red</v>
      </c>
      <c r="O62" s="20" t="str">
        <f ca="1">VLOOKUP($L62,OFFSET([4]characters!$A$1,0,0,COUNTA([4]characters!$A:$A),MATCH(O$1,[4]characters!$1:$1,0)-MATCH($L$1,[4]characters!$1:$1,0)+1),MATCH(O$1,[4]characters!$1:$1,0)-MATCH($L$1,[4]characters!$1:$1,0)+1,FALSE)</f>
        <v>Material</v>
      </c>
      <c r="P62" s="20" t="str">
        <f ca="1">VLOOKUP($L62,OFFSET([3]enemies!$A$1,0,0,COUNTA([3]enemies!$A:$A),MATCH(P$1,[3]enemies!$1:$1,0)-MATCH($L$1,[3]enemies!$1:$1,0)+1),MATCH(P$1,[3]enemies!$1:$1,0)-MATCH($L$1,[3]enemies!$1:$1,0)+1,FALSE)</f>
        <v>unknown</v>
      </c>
      <c r="Q62" s="20">
        <f ca="1">VLOOKUP($L62,OFFSET([3]enemies!$A$1,0,0,COUNTA([3]enemies!$A:$A),MATCH(Q$1,[3]enemies!$1:$1,0)-MATCH($L$1,[3]enemies!$1:$1,0)+1),MATCH(Q$1,[3]enemies!$1:$1,0)-MATCH($L$1,[3]enemies!$1:$1,0)+1,FALSE)</f>
        <v>20</v>
      </c>
      <c r="R62" s="2">
        <f t="shared" si="184"/>
        <v>10</v>
      </c>
      <c r="S62" s="2">
        <f t="shared" si="184"/>
        <v>0.2</v>
      </c>
      <c r="T62" s="2">
        <f t="shared" si="184"/>
        <v>50</v>
      </c>
      <c r="U62" s="2">
        <f t="shared" si="184"/>
        <v>-30889</v>
      </c>
      <c r="V62" s="5" t="str">
        <f ca="1">VLOOKUP($W62,OFFSET(enemy_skill_sets!$B$1,0,0,COUNTA(enemy_skill_sets!$B:$B),MATCH(M$1,enemy_skill_sets!$1:$1,0)-MATCH($W$1,enemy_skill_sets!$1:$1,0)+2),MATCH(M$1,enemy_skill_sets!$1:$1,0)-MATCH($W$1,enemy_skill_sets!$1:$1,0)+2,FALSE)</f>
        <v>なんと ジェントルがあらわれた！</v>
      </c>
      <c r="W62" s="2">
        <f t="shared" si="185"/>
        <v>14001030</v>
      </c>
      <c r="X62" s="2">
        <f t="shared" si="185"/>
        <v>0</v>
      </c>
      <c r="Y62" s="2">
        <f t="shared" si="185"/>
        <v>66</v>
      </c>
      <c r="Z62" s="2">
        <f t="shared" si="185"/>
        <v>1</v>
      </c>
      <c r="AA62" s="2">
        <f t="shared" si="185"/>
        <v>2</v>
      </c>
      <c r="AB62" s="2">
        <f t="shared" si="195"/>
        <v>335</v>
      </c>
      <c r="AC62" s="5" t="str">
        <f ca="1">VLOOKUP($AB62,OFFSET([4]characters!$A$1,0,0,COUNTA([4]characters!$A:$A),MATCH(AC$1,[4]characters!$1:$1,0)-MATCH("character_id",[4]characters!$1:$1,0)+1),MATCH(AC$1,[4]characters!$1:$1,0)-MATCH("character_id",[4]characters!$1:$1,0)+1,FALSE)</f>
        <v>炎のメタルジェントル</v>
      </c>
      <c r="AD62" s="5">
        <f ca="1">VLOOKUP($AB62,OFFSET([4]characters!$A$1,0,0,COUNTA([4]characters!$A:$A),MATCH(AD$1,[4]characters!$1:$1,0)-MATCH("character_id",[4]characters!$1:$1,0)+1),MATCH(AD$1,[4]characters!$1:$1,0)-MATCH("character_id",[4]characters!$1:$1,0)+1,FALSE)</f>
        <v>6</v>
      </c>
      <c r="AE62" s="5" t="str">
        <f ca="1">VLOOKUP($AB62,OFFSET([4]characters!$A$1,0,0,COUNTA([4]characters!$A:$A),MATCH(AE$1,[4]characters!$1:$1,0)-MATCH("character_id",[4]characters!$1:$1,0)+1),MATCH(AE$1,[4]characters!$1:$1,0)-MATCH("character_id",[4]characters!$1:$1,0)+1,FALSE)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2" s="2">
        <f t="shared" si="186"/>
        <v>1</v>
      </c>
      <c r="AG62" s="2">
        <f t="shared" ca="1" si="186"/>
        <v>6</v>
      </c>
      <c r="AH62" s="2">
        <f t="shared" si="186"/>
        <v>100</v>
      </c>
      <c r="AI62" s="2">
        <f t="shared" si="186"/>
        <v>0</v>
      </c>
      <c r="AJ62" s="2">
        <f t="shared" si="186"/>
        <v>0</v>
      </c>
      <c r="AK62" s="2">
        <f t="shared" si="186"/>
        <v>0</v>
      </c>
      <c r="AL62" s="2">
        <f t="shared" si="186"/>
        <v>0</v>
      </c>
      <c r="AM62" s="2">
        <f t="shared" si="186"/>
        <v>1</v>
      </c>
    </row>
    <row r="63" spans="1:39" ht="21" customHeight="1" x14ac:dyDescent="0.15">
      <c r="A63" s="17" t="str">
        <f t="shared" si="192"/>
        <v>14004_4-4/334&lt;lv10&gt;s2</v>
      </c>
      <c r="B63" s="104">
        <v>14004</v>
      </c>
      <c r="C63" s="67">
        <v>4</v>
      </c>
      <c r="D63" s="67" t="str">
        <f t="shared" si="193"/>
        <v>14004_4</v>
      </c>
      <c r="E63" s="64" t="str">
        <f ca="1">VLOOKUP($B63,OFFSET([2]quests!$A$1,0,0,COUNTA([2]quests!$A:$A),MATCH(E$1,[2]quests!$1:$1,0)-MATCH($B$1,[2]quests!$1:$1,0)+1),MATCH(E$1,[2]quests!$1:$1,0)-MATCH($B$1,[2]quests!$1:$1,0)+1,FALSE)</f>
        <v>【ロック】経験値/LINEマルチ</v>
      </c>
      <c r="F63" s="64" t="str">
        <f ca="1">VLOOKUP($D63,OFFSET([2]stages!$A$1,0,0,COUNTA([2]stages!$A:$A),MATCH(F$1,[2]stages!$2:$2,0)-MATCH($D$1,[2]stages!$2:$2,0)+1),MATCH(F$1,[2]stages!$2:$2,0)-MATCH($D$1,[2]stages!$2:$2,0)+1,FALSE)</f>
        <v>【超級】炎ファミリー（ハートなし）</v>
      </c>
      <c r="G63" s="67">
        <v>4</v>
      </c>
      <c r="H63" s="16" t="str">
        <f t="shared" si="194"/>
        <v>14004_4-4</v>
      </c>
      <c r="I63" s="5">
        <f ca="1">VLOOKUP($H63,OFFSET(floors!$A$1,0,0,COUNTA(floors!$A:$A),MATCH(I$1,floors!$1:$1,0)-MATCH($H$1,floors!$1:$1,0)+1),MATCH(I$1,floors!$1:$1,0)-MATCH($H$1,floors!$1:$1,0)+1,FALSE)</f>
        <v>59</v>
      </c>
      <c r="J63" s="5">
        <f ca="1">VLOOKUP($H63,OFFSET(floors!$A$1,0,0,COUNTA(floors!$A:$A),MATCH(J$1,floors!$1:$1,0)-MATCH($H$1,floors!$1:$1,0)+1),MATCH(J$1,floors!$1:$1,0)-MATCH($H$1,floors!$1:$1,0)+1,FALSE)</f>
        <v>60</v>
      </c>
      <c r="K63" s="8" t="s">
        <v>142</v>
      </c>
      <c r="L63" s="2">
        <f t="shared" si="187"/>
        <v>334</v>
      </c>
      <c r="M63" s="20" t="str">
        <f ca="1">VLOOKUP($L63,OFFSET([3]enemies!$A$1,0,0,COUNTA([3]enemies!$A:$A),MATCH(M$1,[3]enemies!$1:$1,0)-MATCH($L$1,[3]enemies!$1:$1,0)+1),MATCH(M$1,[3]enemies!$1:$1,0)-MATCH($L$1,[3]enemies!$1:$1,0)+1,FALSE)</f>
        <v>炎のメタルダック</v>
      </c>
      <c r="N63" s="20" t="str">
        <f ca="1">VLOOKUP($L63,OFFSET([3]enemies!$A$1,0,0,COUNTA([3]enemies!$A:$A),MATCH(N$1,[3]enemies!$1:$1,0)-MATCH($L$1,[3]enemies!$1:$1,0)+1),MATCH(N$1,[3]enemies!$1:$1,0)-MATCH($L$1,[3]enemies!$1:$1,0)+1,FALSE)</f>
        <v>red</v>
      </c>
      <c r="O63" s="20" t="str">
        <f ca="1">VLOOKUP($L63,OFFSET([4]characters!$A$1,0,0,COUNTA([4]characters!$A:$A),MATCH(O$1,[4]characters!$1:$1,0)-MATCH($L$1,[4]characters!$1:$1,0)+1),MATCH(O$1,[4]characters!$1:$1,0)-MATCH($L$1,[4]characters!$1:$1,0)+1,FALSE)</f>
        <v>Material</v>
      </c>
      <c r="P63" s="20" t="str">
        <f ca="1">VLOOKUP($L63,OFFSET([3]enemies!$A$1,0,0,COUNTA([3]enemies!$A:$A),MATCH(P$1,[3]enemies!$1:$1,0)-MATCH($L$1,[3]enemies!$1:$1,0)+1),MATCH(P$1,[3]enemies!$1:$1,0)-MATCH($L$1,[3]enemies!$1:$1,0)+1,FALSE)</f>
        <v>unknown</v>
      </c>
      <c r="Q63" s="20">
        <f ca="1">VLOOKUP($L63,OFFSET([3]enemies!$A$1,0,0,COUNTA([3]enemies!$A:$A),MATCH(Q$1,[3]enemies!$1:$1,0)-MATCH($L$1,[3]enemies!$1:$1,0)+1),MATCH(Q$1,[3]enemies!$1:$1,0)-MATCH($L$1,[3]enemies!$1:$1,0)+1,FALSE)</f>
        <v>20</v>
      </c>
      <c r="R63" s="2">
        <f t="shared" si="184"/>
        <v>10</v>
      </c>
      <c r="S63" s="2">
        <f t="shared" si="184"/>
        <v>0.4</v>
      </c>
      <c r="T63" s="2">
        <f t="shared" si="184"/>
        <v>40</v>
      </c>
      <c r="U63" s="2">
        <f t="shared" si="184"/>
        <v>-20223</v>
      </c>
      <c r="V63" s="5" t="str">
        <f ca="1">VLOOKUP($W63,OFFSET([5]enemy_skill_sets!$B$1,0,0,COUNTA([5]enemy_skill_sets!$B:$B),MATCH(M$1,[5]enemy_skill_sets!$1:$1,0)-MATCH($W$1,[5]enemy_skill_sets!$1:$1,0)+2),MATCH(M$1,[5]enemy_skill_sets!$1:$1,0)-MATCH($W$1,[5]enemy_skill_sets!$1:$1,0)+2,FALSE)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3" s="2">
        <f t="shared" ca="1" si="185"/>
        <v>0</v>
      </c>
      <c r="X63" s="2">
        <f t="shared" si="185"/>
        <v>0</v>
      </c>
      <c r="Y63" s="2">
        <f t="shared" si="185"/>
        <v>100</v>
      </c>
      <c r="Z63" s="2">
        <f t="shared" si="185"/>
        <v>0</v>
      </c>
      <c r="AA63" s="2">
        <f t="shared" si="185"/>
        <v>2</v>
      </c>
      <c r="AB63" s="2">
        <f t="shared" si="195"/>
        <v>334</v>
      </c>
      <c r="AC63" s="5" t="str">
        <f ca="1">VLOOKUP($AB63,OFFSET([4]characters!$A$1,0,0,COUNTA([4]characters!$A:$A),MATCH(AC$1,[4]characters!$1:$1,0)-MATCH("character_id",[4]characters!$1:$1,0)+1),MATCH(AC$1,[4]characters!$1:$1,0)-MATCH("character_id",[4]characters!$1:$1,0)+1,FALSE)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63" s="5">
        <f ca="1">VLOOKUP($AB63,OFFSET([4]characters!$A$1,0,0,COUNTA([4]characters!$A:$A),MATCH(AD$1,[4]characters!$1:$1,0)-MATCH("character_id",[4]characters!$1:$1,0)+1),MATCH(AD$1,[4]characters!$1:$1,0)-MATCH("character_id",[4]characters!$1:$1,0)+1,FALSE)</f>
        <v>5</v>
      </c>
      <c r="AE63" s="5" t="str">
        <f ca="1">VLOOKUP($AB63,OFFSET([4]characters!$A$1,0,0,COUNTA([4]characters!$A:$A),MATCH(AE$1,[4]characters!$1:$1,0)-MATCH("character_id",[4]characters!$1:$1,0)+1),MATCH(AE$1,[4]characters!$1:$1,0)-MATCH("character_id",[4]characters!$1:$1,0)+1,FALSE)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3" s="2">
        <f t="shared" si="186"/>
        <v>1</v>
      </c>
      <c r="AG63" s="2">
        <f t="shared" ca="1" si="186"/>
        <v>5</v>
      </c>
      <c r="AH63" s="2">
        <f t="shared" si="186"/>
        <v>100</v>
      </c>
      <c r="AI63" s="2">
        <f t="shared" si="186"/>
        <v>0</v>
      </c>
      <c r="AJ63" s="2">
        <f t="shared" si="186"/>
        <v>0</v>
      </c>
      <c r="AK63" s="2">
        <f t="shared" si="186"/>
        <v>0</v>
      </c>
      <c r="AL63" s="2">
        <f t="shared" si="186"/>
        <v>0</v>
      </c>
      <c r="AM63" s="2">
        <f t="shared" si="186"/>
        <v>1</v>
      </c>
    </row>
    <row r="64" spans="1:39" ht="21" customHeight="1" x14ac:dyDescent="0.15">
      <c r="A64" s="17" t="str">
        <f t="shared" si="192"/>
        <v>14004_4-5/333&lt;lv10&gt;s2</v>
      </c>
      <c r="B64" s="104">
        <v>14004</v>
      </c>
      <c r="C64" s="67">
        <v>4</v>
      </c>
      <c r="D64" s="67" t="str">
        <f t="shared" si="193"/>
        <v>14004_4</v>
      </c>
      <c r="E64" s="64" t="str">
        <f ca="1">VLOOKUP($B64,OFFSET([2]quests!$A$1,0,0,COUNTA([2]quests!$A:$A),MATCH(E$1,[2]quests!$1:$1,0)-MATCH($B$1,[2]quests!$1:$1,0)+1),MATCH(E$1,[2]quests!$1:$1,0)-MATCH($B$1,[2]quests!$1:$1,0)+1,FALSE)</f>
        <v>【ロック】経験値/LINEマルチ</v>
      </c>
      <c r="F64" s="64" t="str">
        <f ca="1">VLOOKUP($D64,OFFSET([2]stages!$A$1,0,0,COUNTA([2]stages!$A:$A),MATCH(F$1,[2]stages!$2:$2,0)-MATCH($D$1,[2]stages!$2:$2,0)+1),MATCH(F$1,[2]stages!$2:$2,0)-MATCH($D$1,[2]stages!$2:$2,0)+1,FALSE)</f>
        <v>【超級】炎ファミリー（ハートなし）</v>
      </c>
      <c r="G64" s="67">
        <v>5</v>
      </c>
      <c r="H64" s="16" t="str">
        <f t="shared" si="194"/>
        <v>14004_4-5</v>
      </c>
      <c r="I64" s="5">
        <f ca="1">VLOOKUP($H64,OFFSET(floors!$A$1,0,0,COUNTA(floors!$A:$A),MATCH(I$1,floors!$1:$1,0)-MATCH($H$1,floors!$1:$1,0)+1),MATCH(I$1,floors!$1:$1,0)-MATCH($H$1,floors!$1:$1,0)+1,FALSE)</f>
        <v>55</v>
      </c>
      <c r="J64" s="5">
        <f ca="1">VLOOKUP($H64,OFFSET(floors!$A$1,0,0,COUNTA(floors!$A:$A),MATCH(J$1,floors!$1:$1,0)-MATCH($H$1,floors!$1:$1,0)+1),MATCH(J$1,floors!$1:$1,0)-MATCH($H$1,floors!$1:$1,0)+1,FALSE)</f>
        <v>55</v>
      </c>
      <c r="K64" s="8" t="s">
        <v>142</v>
      </c>
      <c r="L64" s="2">
        <f t="shared" si="187"/>
        <v>333</v>
      </c>
      <c r="M64" s="20" t="str">
        <f ca="1">VLOOKUP($L64,OFFSET([3]enemies!$A$1,0,0,COUNTA([3]enemies!$A:$A),MATCH(M$1,[3]enemies!$1:$1,0)-MATCH($L$1,[3]enemies!$1:$1,0)+1),MATCH(M$1,[3]enemies!$1:$1,0)-MATCH($L$1,[3]enemies!$1:$1,0)+1,FALSE)</f>
        <v>炎のメタルチック</v>
      </c>
      <c r="N64" s="20" t="str">
        <f ca="1">VLOOKUP($L64,OFFSET([3]enemies!$A$1,0,0,COUNTA([3]enemies!$A:$A),MATCH(N$1,[3]enemies!$1:$1,0)-MATCH($L$1,[3]enemies!$1:$1,0)+1),MATCH(N$1,[3]enemies!$1:$1,0)-MATCH($L$1,[3]enemies!$1:$1,0)+1,FALSE)</f>
        <v>red</v>
      </c>
      <c r="O64" s="20" t="str">
        <f ca="1">VLOOKUP($L64,OFFSET([4]characters!$A$1,0,0,COUNTA([4]characters!$A:$A),MATCH(O$1,[4]characters!$1:$1,0)-MATCH($L$1,[4]characters!$1:$1,0)+1),MATCH(O$1,[4]characters!$1:$1,0)-MATCH($L$1,[4]characters!$1:$1,0)+1,FALSE)</f>
        <v>Material</v>
      </c>
      <c r="P64" s="20" t="str">
        <f ca="1">VLOOKUP($L64,OFFSET([3]enemies!$A$1,0,0,COUNTA([3]enemies!$A:$A),MATCH(P$1,[3]enemies!$1:$1,0)-MATCH($L$1,[3]enemies!$1:$1,0)+1),MATCH(P$1,[3]enemies!$1:$1,0)-MATCH($L$1,[3]enemies!$1:$1,0)+1,FALSE)</f>
        <v>unknown</v>
      </c>
      <c r="Q64" s="20">
        <f ca="1">VLOOKUP($L64,OFFSET([3]enemies!$A$1,0,0,COUNTA([3]enemies!$A:$A),MATCH(Q$1,[3]enemies!$1:$1,0)-MATCH($L$1,[3]enemies!$1:$1,0)+1),MATCH(Q$1,[3]enemies!$1:$1,0)-MATCH($L$1,[3]enemies!$1:$1,0)+1,FALSE)</f>
        <v>15</v>
      </c>
      <c r="R64" s="2">
        <f t="shared" si="184"/>
        <v>10</v>
      </c>
      <c r="S64" s="2">
        <f t="shared" si="184"/>
        <v>0.4</v>
      </c>
      <c r="T64" s="2">
        <f t="shared" si="184"/>
        <v>40</v>
      </c>
      <c r="U64" s="2">
        <f t="shared" si="184"/>
        <v>-2845</v>
      </c>
      <c r="V64" s="5" t="str">
        <f ca="1">VLOOKUP($W64,OFFSET([5]enemy_skill_sets!$B$1,0,0,COUNTA([5]enemy_skill_sets!$B:$B),MATCH(M$1,[5]enemy_skill_sets!$1:$1,0)-MATCH($W$1,[5]enemy_skill_sets!$1:$1,0)+2),MATCH(M$1,[5]enemy_skill_sets!$1:$1,0)-MATCH($W$1,[5]enemy_skill_sets!$1:$1,0)+2,FALSE)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4" s="2">
        <f t="shared" ca="1" si="185"/>
        <v>0</v>
      </c>
      <c r="X64" s="2">
        <f t="shared" si="185"/>
        <v>1</v>
      </c>
      <c r="Y64" s="2">
        <f t="shared" si="185"/>
        <v>0</v>
      </c>
      <c r="Z64" s="2">
        <f t="shared" si="185"/>
        <v>2</v>
      </c>
      <c r="AA64" s="2">
        <f t="shared" si="185"/>
        <v>2</v>
      </c>
      <c r="AB64" s="2">
        <f t="shared" si="195"/>
        <v>333</v>
      </c>
      <c r="AC64" s="5" t="str">
        <f ca="1">VLOOKUP($AB64,OFFSET([4]characters!$A$1,0,0,COUNTA([4]characters!$A:$A),MATCH(AC$1,[4]characters!$1:$1,0)-MATCH("character_id",[4]characters!$1:$1,0)+1),MATCH(AC$1,[4]characters!$1:$1,0)-MATCH("character_id",[4]characters!$1:$1,0)+1,FALSE)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64" s="5">
        <f ca="1">VLOOKUP($AB64,OFFSET([4]characters!$A$1,0,0,COUNTA([4]characters!$A:$A),MATCH(AD$1,[4]characters!$1:$1,0)-MATCH("character_id",[4]characters!$1:$1,0)+1),MATCH(AD$1,[4]characters!$1:$1,0)-MATCH("character_id",[4]characters!$1:$1,0)+1,FALSE)</f>
        <v>4</v>
      </c>
      <c r="AE64" s="5" t="str">
        <f ca="1">VLOOKUP($AB64,OFFSET([4]characters!$A$1,0,0,COUNTA([4]characters!$A:$A),MATCH(AE$1,[4]characters!$1:$1,0)-MATCH("character_id",[4]characters!$1:$1,0)+1),MATCH(AE$1,[4]characters!$1:$1,0)-MATCH("character_id",[4]characters!$1:$1,0)+1,FALSE)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4" s="2">
        <f t="shared" si="186"/>
        <v>1</v>
      </c>
      <c r="AG64" s="2">
        <f t="shared" ca="1" si="186"/>
        <v>4</v>
      </c>
      <c r="AH64" s="2">
        <f t="shared" si="186"/>
        <v>0</v>
      </c>
      <c r="AI64" s="2">
        <f t="shared" si="186"/>
        <v>0</v>
      </c>
      <c r="AJ64" s="2">
        <f t="shared" si="186"/>
        <v>0</v>
      </c>
      <c r="AK64" s="2">
        <f t="shared" si="186"/>
        <v>0</v>
      </c>
      <c r="AL64" s="2">
        <f t="shared" si="186"/>
        <v>0</v>
      </c>
      <c r="AM64" s="2">
        <f t="shared" si="186"/>
        <v>1</v>
      </c>
    </row>
    <row r="65" spans="1:39" ht="21" customHeight="1" x14ac:dyDescent="0.15">
      <c r="A65" s="17" t="str">
        <f t="shared" si="192"/>
        <v>14004_4-5/334&lt;lv10&gt;s2</v>
      </c>
      <c r="B65" s="104">
        <v>14004</v>
      </c>
      <c r="C65" s="67">
        <v>4</v>
      </c>
      <c r="D65" s="67" t="str">
        <f t="shared" si="193"/>
        <v>14004_4</v>
      </c>
      <c r="E65" s="64" t="str">
        <f ca="1">VLOOKUP($B65,OFFSET([2]quests!$A$1,0,0,COUNTA([2]quests!$A:$A),MATCH(E$1,[2]quests!$1:$1,0)-MATCH($B$1,[2]quests!$1:$1,0)+1),MATCH(E$1,[2]quests!$1:$1,0)-MATCH($B$1,[2]quests!$1:$1,0)+1,FALSE)</f>
        <v>【ロック】経験値/LINEマルチ</v>
      </c>
      <c r="F65" s="64" t="str">
        <f ca="1">VLOOKUP($D65,OFFSET([2]stages!$A$1,0,0,COUNTA([2]stages!$A:$A),MATCH(F$1,[2]stages!$2:$2,0)-MATCH($D$1,[2]stages!$2:$2,0)+1),MATCH(F$1,[2]stages!$2:$2,0)-MATCH($D$1,[2]stages!$2:$2,0)+1,FALSE)</f>
        <v>【超級】炎ファミリー（ハートなし）</v>
      </c>
      <c r="G65" s="67">
        <v>5</v>
      </c>
      <c r="H65" s="16" t="str">
        <f t="shared" si="194"/>
        <v>14004_4-5</v>
      </c>
      <c r="I65" s="5">
        <f ca="1">VLOOKUP($H65,OFFSET(floors!$A$1,0,0,COUNTA(floors!$A:$A),MATCH(I$1,floors!$1:$1,0)-MATCH($H$1,floors!$1:$1,0)+1),MATCH(I$1,floors!$1:$1,0)-MATCH($H$1,floors!$1:$1,0)+1,FALSE)</f>
        <v>55</v>
      </c>
      <c r="J65" s="5">
        <f ca="1">VLOOKUP($H65,OFFSET(floors!$A$1,0,0,COUNTA(floors!$A:$A),MATCH(J$1,floors!$1:$1,0)-MATCH($H$1,floors!$1:$1,0)+1),MATCH(J$1,floors!$1:$1,0)-MATCH($H$1,floors!$1:$1,0)+1,FALSE)</f>
        <v>55</v>
      </c>
      <c r="K65" s="8" t="s">
        <v>142</v>
      </c>
      <c r="L65" s="2">
        <f t="shared" si="187"/>
        <v>334</v>
      </c>
      <c r="M65" s="20" t="str">
        <f ca="1">VLOOKUP($L65,OFFSET([3]enemies!$A$1,0,0,COUNTA([3]enemies!$A:$A),MATCH(M$1,[3]enemies!$1:$1,0)-MATCH($L$1,[3]enemies!$1:$1,0)+1),MATCH(M$1,[3]enemies!$1:$1,0)-MATCH($L$1,[3]enemies!$1:$1,0)+1,FALSE)</f>
        <v>炎のメタルダック</v>
      </c>
      <c r="N65" s="20" t="str">
        <f ca="1">VLOOKUP($L65,OFFSET([3]enemies!$A$1,0,0,COUNTA([3]enemies!$A:$A),MATCH(N$1,[3]enemies!$1:$1,0)-MATCH($L$1,[3]enemies!$1:$1,0)+1),MATCH(N$1,[3]enemies!$1:$1,0)-MATCH($L$1,[3]enemies!$1:$1,0)+1,FALSE)</f>
        <v>red</v>
      </c>
      <c r="O65" s="20" t="str">
        <f ca="1">VLOOKUP($L65,OFFSET([4]characters!$A$1,0,0,COUNTA([4]characters!$A:$A),MATCH(O$1,[4]characters!$1:$1,0)-MATCH($L$1,[4]characters!$1:$1,0)+1),MATCH(O$1,[4]characters!$1:$1,0)-MATCH($L$1,[4]characters!$1:$1,0)+1,FALSE)</f>
        <v>Material</v>
      </c>
      <c r="P65" s="20" t="str">
        <f ca="1">VLOOKUP($L65,OFFSET([3]enemies!$A$1,0,0,COUNTA([3]enemies!$A:$A),MATCH(P$1,[3]enemies!$1:$1,0)-MATCH($L$1,[3]enemies!$1:$1,0)+1),MATCH(P$1,[3]enemies!$1:$1,0)-MATCH($L$1,[3]enemies!$1:$1,0)+1,FALSE)</f>
        <v>unknown</v>
      </c>
      <c r="Q65" s="20">
        <f ca="1">VLOOKUP($L65,OFFSET([3]enemies!$A$1,0,0,COUNTA([3]enemies!$A:$A),MATCH(Q$1,[3]enemies!$1:$1,0)-MATCH($L$1,[3]enemies!$1:$1,0)+1),MATCH(Q$1,[3]enemies!$1:$1,0)-MATCH($L$1,[3]enemies!$1:$1,0)+1,FALSE)</f>
        <v>20</v>
      </c>
      <c r="R65" s="2">
        <f t="shared" si="184"/>
        <v>10</v>
      </c>
      <c r="S65" s="2">
        <f t="shared" si="184"/>
        <v>0.4</v>
      </c>
      <c r="T65" s="2">
        <f t="shared" si="184"/>
        <v>40</v>
      </c>
      <c r="U65" s="2">
        <f t="shared" si="184"/>
        <v>-20223</v>
      </c>
      <c r="V65" s="5" t="str">
        <f ca="1">VLOOKUP($W65,OFFSET([5]enemy_skill_sets!$B$1,0,0,COUNTA([5]enemy_skill_sets!$B:$B),MATCH(M$1,[5]enemy_skill_sets!$1:$1,0)-MATCH($W$1,[5]enemy_skill_sets!$1:$1,0)+2),MATCH(M$1,[5]enemy_skill_sets!$1:$1,0)-MATCH($W$1,[5]enemy_skill_sets!$1:$1,0)+2,FALSE)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5" s="2">
        <f t="shared" ca="1" si="185"/>
        <v>0</v>
      </c>
      <c r="X65" s="2">
        <f t="shared" si="185"/>
        <v>1</v>
      </c>
      <c r="Y65" s="2">
        <f t="shared" si="185"/>
        <v>0</v>
      </c>
      <c r="Z65" s="2">
        <f t="shared" si="185"/>
        <v>1</v>
      </c>
      <c r="AA65" s="2">
        <f t="shared" si="185"/>
        <v>2</v>
      </c>
      <c r="AB65" s="2">
        <f t="shared" si="195"/>
        <v>334</v>
      </c>
      <c r="AC65" s="5" t="str">
        <f ca="1">VLOOKUP($AB65,OFFSET([4]characters!$A$1,0,0,COUNTA([4]characters!$A:$A),MATCH(AC$1,[4]characters!$1:$1,0)-MATCH("character_id",[4]characters!$1:$1,0)+1),MATCH(AC$1,[4]characters!$1:$1,0)-MATCH("character_id",[4]characters!$1:$1,0)+1,FALSE)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65" s="5">
        <f ca="1">VLOOKUP($AB65,OFFSET([4]characters!$A$1,0,0,COUNTA([4]characters!$A:$A),MATCH(AD$1,[4]characters!$1:$1,0)-MATCH("character_id",[4]characters!$1:$1,0)+1),MATCH(AD$1,[4]characters!$1:$1,0)-MATCH("character_id",[4]characters!$1:$1,0)+1,FALSE)</f>
        <v>5</v>
      </c>
      <c r="AE65" s="5" t="str">
        <f ca="1">VLOOKUP($AB65,OFFSET([4]characters!$A$1,0,0,COUNTA([4]characters!$A:$A),MATCH(AE$1,[4]characters!$1:$1,0)-MATCH("character_id",[4]characters!$1:$1,0)+1),MATCH(AE$1,[4]characters!$1:$1,0)-MATCH("character_id",[4]characters!$1:$1,0)+1,FALSE)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5" s="2">
        <f t="shared" si="186"/>
        <v>1</v>
      </c>
      <c r="AG65" s="2">
        <f t="shared" ca="1" si="186"/>
        <v>5</v>
      </c>
      <c r="AH65" s="2">
        <f t="shared" si="186"/>
        <v>0</v>
      </c>
      <c r="AI65" s="2">
        <f t="shared" si="186"/>
        <v>0</v>
      </c>
      <c r="AJ65" s="2">
        <f t="shared" si="186"/>
        <v>0</v>
      </c>
      <c r="AK65" s="2">
        <f t="shared" si="186"/>
        <v>0</v>
      </c>
      <c r="AL65" s="2">
        <f t="shared" si="186"/>
        <v>0</v>
      </c>
      <c r="AM65" s="2">
        <f t="shared" si="186"/>
        <v>1</v>
      </c>
    </row>
    <row r="66" spans="1:39" ht="21" customHeight="1" x14ac:dyDescent="0.15">
      <c r="A66" s="17" t="str">
        <f t="shared" si="192"/>
        <v>14004_4-5/335&lt;lv10&gt;s2</v>
      </c>
      <c r="B66" s="104">
        <v>14004</v>
      </c>
      <c r="C66" s="67">
        <v>4</v>
      </c>
      <c r="D66" s="67" t="str">
        <f t="shared" si="193"/>
        <v>14004_4</v>
      </c>
      <c r="E66" s="64" t="str">
        <f ca="1">VLOOKUP($B66,OFFSET([2]quests!$A$1,0,0,COUNTA([2]quests!$A:$A),MATCH(E$1,[2]quests!$1:$1,0)-MATCH($B$1,[2]quests!$1:$1,0)+1),MATCH(E$1,[2]quests!$1:$1,0)-MATCH($B$1,[2]quests!$1:$1,0)+1,FALSE)</f>
        <v>【ロック】経験値/LINEマルチ</v>
      </c>
      <c r="F66" s="64" t="str">
        <f ca="1">VLOOKUP($D66,OFFSET([2]stages!$A$1,0,0,COUNTA([2]stages!$A:$A),MATCH(F$1,[2]stages!$2:$2,0)-MATCH($D$1,[2]stages!$2:$2,0)+1),MATCH(F$1,[2]stages!$2:$2,0)-MATCH($D$1,[2]stages!$2:$2,0)+1,FALSE)</f>
        <v>【超級】炎ファミリー（ハートなし）</v>
      </c>
      <c r="G66" s="67">
        <v>5</v>
      </c>
      <c r="H66" s="16" t="str">
        <f t="shared" si="194"/>
        <v>14004_4-5</v>
      </c>
      <c r="I66" s="5">
        <f ca="1">VLOOKUP($H66,OFFSET(floors!$A$1,0,0,COUNTA(floors!$A:$A),MATCH(I$1,floors!$1:$1,0)-MATCH($H$1,floors!$1:$1,0)+1),MATCH(I$1,floors!$1:$1,0)-MATCH($H$1,floors!$1:$1,0)+1,FALSE)</f>
        <v>55</v>
      </c>
      <c r="J66" s="5">
        <f ca="1">VLOOKUP($H66,OFFSET(floors!$A$1,0,0,COUNTA(floors!$A:$A),MATCH(J$1,floors!$1:$1,0)-MATCH($H$1,floors!$1:$1,0)+1),MATCH(J$1,floors!$1:$1,0)-MATCH($H$1,floors!$1:$1,0)+1,FALSE)</f>
        <v>55</v>
      </c>
      <c r="K66" s="8" t="s">
        <v>142</v>
      </c>
      <c r="L66" s="2">
        <f t="shared" si="187"/>
        <v>335</v>
      </c>
      <c r="M66" s="20" t="str">
        <f ca="1">VLOOKUP($L66,OFFSET([3]enemies!$A$1,0,0,COUNTA([3]enemies!$A:$A),MATCH(M$1,[3]enemies!$1:$1,0)-MATCH($L$1,[3]enemies!$1:$1,0)+1),MATCH(M$1,[3]enemies!$1:$1,0)-MATCH($L$1,[3]enemies!$1:$1,0)+1,FALSE)</f>
        <v>炎のメタルジェントル</v>
      </c>
      <c r="N66" s="20" t="str">
        <f ca="1">VLOOKUP($L66,OFFSET([3]enemies!$A$1,0,0,COUNTA([3]enemies!$A:$A),MATCH(N$1,[3]enemies!$1:$1,0)-MATCH($L$1,[3]enemies!$1:$1,0)+1),MATCH(N$1,[3]enemies!$1:$1,0)-MATCH($L$1,[3]enemies!$1:$1,0)+1,FALSE)</f>
        <v>red</v>
      </c>
      <c r="O66" s="20" t="str">
        <f ca="1">VLOOKUP($L66,OFFSET([4]characters!$A$1,0,0,COUNTA([4]characters!$A:$A),MATCH(O$1,[4]characters!$1:$1,0)-MATCH($L$1,[4]characters!$1:$1,0)+1),MATCH(O$1,[4]characters!$1:$1,0)-MATCH($L$1,[4]characters!$1:$1,0)+1,FALSE)</f>
        <v>Material</v>
      </c>
      <c r="P66" s="20" t="str">
        <f ca="1">VLOOKUP($L66,OFFSET([3]enemies!$A$1,0,0,COUNTA([3]enemies!$A:$A),MATCH(P$1,[3]enemies!$1:$1,0)-MATCH($L$1,[3]enemies!$1:$1,0)+1),MATCH(P$1,[3]enemies!$1:$1,0)-MATCH($L$1,[3]enemies!$1:$1,0)+1,FALSE)</f>
        <v>unknown</v>
      </c>
      <c r="Q66" s="20">
        <f ca="1">VLOOKUP($L66,OFFSET([3]enemies!$A$1,0,0,COUNTA([3]enemies!$A:$A),MATCH(Q$1,[3]enemies!$1:$1,0)-MATCH($L$1,[3]enemies!$1:$1,0)+1),MATCH(Q$1,[3]enemies!$1:$1,0)-MATCH($L$1,[3]enemies!$1:$1,0)+1,FALSE)</f>
        <v>20</v>
      </c>
      <c r="R66" s="2">
        <f t="shared" si="184"/>
        <v>10</v>
      </c>
      <c r="S66" s="2">
        <f t="shared" si="184"/>
        <v>0.2</v>
      </c>
      <c r="T66" s="2">
        <f t="shared" si="184"/>
        <v>50</v>
      </c>
      <c r="U66" s="2">
        <f t="shared" si="184"/>
        <v>-30889</v>
      </c>
      <c r="V66" s="5" t="str">
        <f ca="1">VLOOKUP($W66,OFFSET(enemy_skill_sets!$B$1,0,0,COUNTA(enemy_skill_sets!$B:$B),MATCH(M$1,enemy_skill_sets!$1:$1,0)-MATCH($W$1,enemy_skill_sets!$1:$1,0)+2),MATCH(M$1,enemy_skill_sets!$1:$1,0)-MATCH($W$1,enemy_skill_sets!$1:$1,0)+2,FALSE)</f>
        <v>メタルファミリーが あらわれた！</v>
      </c>
      <c r="W66" s="2">
        <f t="shared" si="185"/>
        <v>14001050</v>
      </c>
      <c r="X66" s="2">
        <f t="shared" si="185"/>
        <v>1</v>
      </c>
      <c r="Y66" s="2">
        <f t="shared" si="185"/>
        <v>0</v>
      </c>
      <c r="Z66" s="2">
        <f t="shared" si="185"/>
        <v>0</v>
      </c>
      <c r="AA66" s="2">
        <f t="shared" si="185"/>
        <v>2</v>
      </c>
      <c r="AB66" s="2">
        <f t="shared" si="195"/>
        <v>335</v>
      </c>
      <c r="AC66" s="5" t="str">
        <f ca="1">VLOOKUP($AB66,OFFSET([4]characters!$A$1,0,0,COUNTA([4]characters!$A:$A),MATCH(AC$1,[4]characters!$1:$1,0)-MATCH("character_id",[4]characters!$1:$1,0)+1),MATCH(AC$1,[4]characters!$1:$1,0)-MATCH("character_id",[4]characters!$1:$1,0)+1,FALSE)</f>
        <v>炎のメタルジェントル</v>
      </c>
      <c r="AD66" s="5">
        <f ca="1">VLOOKUP($AB66,OFFSET([4]characters!$A$1,0,0,COUNTA([4]characters!$A:$A),MATCH(AD$1,[4]characters!$1:$1,0)-MATCH("character_id",[4]characters!$1:$1,0)+1),MATCH(AD$1,[4]characters!$1:$1,0)-MATCH("character_id",[4]characters!$1:$1,0)+1,FALSE)</f>
        <v>6</v>
      </c>
      <c r="AE66" s="5" t="str">
        <f ca="1">VLOOKUP($AB66,OFFSET([4]characters!$A$1,0,0,COUNTA([4]characters!$A:$A),MATCH(AE$1,[4]characters!$1:$1,0)-MATCH("character_id",[4]characters!$1:$1,0)+1),MATCH(AE$1,[4]characters!$1:$1,0)-MATCH("character_id",[4]characters!$1:$1,0)+1,FALSE)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6" s="2">
        <f t="shared" si="186"/>
        <v>1</v>
      </c>
      <c r="AG66" s="2">
        <f t="shared" ca="1" si="186"/>
        <v>6</v>
      </c>
      <c r="AH66" s="2">
        <f t="shared" si="186"/>
        <v>100</v>
      </c>
      <c r="AI66" s="2">
        <f t="shared" si="186"/>
        <v>0</v>
      </c>
      <c r="AJ66" s="2">
        <f t="shared" si="186"/>
        <v>0</v>
      </c>
      <c r="AK66" s="2">
        <f t="shared" si="186"/>
        <v>0</v>
      </c>
      <c r="AL66" s="2">
        <f t="shared" si="186"/>
        <v>0</v>
      </c>
      <c r="AM66" s="2">
        <f t="shared" si="186"/>
        <v>1</v>
      </c>
    </row>
    <row r="67" spans="1:39" ht="21" customHeight="1" x14ac:dyDescent="0.15">
      <c r="A67" s="17" t="str">
        <f>B67&amp;"_"&amp;C67&amp;"-"&amp;G67&amp;"/"&amp;L67&amp;"&lt;lv"&amp;R67&amp;"&gt;s"&amp;AA67</f>
        <v>14004_3-1/336&lt;lv10&gt;s1</v>
      </c>
      <c r="B67" s="104">
        <v>14004</v>
      </c>
      <c r="C67" s="105">
        <f>C54-1</f>
        <v>3</v>
      </c>
      <c r="D67" s="105" t="str">
        <f>B67&amp;"_"&amp;C67</f>
        <v>14004_3</v>
      </c>
      <c r="E67" s="106" t="str">
        <f ca="1">VLOOKUP($B67,OFFSET([2]quests!$A$1,0,0,COUNTA([2]quests!$A:$A),MATCH(E$1,[2]quests!$1:$1,0)-MATCH($B$1,[2]quests!$1:$1,0)+1),MATCH(E$1,[2]quests!$1:$1,0)-MATCH($B$1,[2]quests!$1:$1,0)+1,FALSE)</f>
        <v>【ロック】経験値/LINEマルチ</v>
      </c>
      <c r="F67" s="106" t="str">
        <f ca="1">VLOOKUP($D67,OFFSET([2]stages!$A$1,0,0,COUNTA([2]stages!$A:$A),MATCH(F$1,[2]stages!$2:$2,0)-MATCH($D$1,[2]stages!$2:$2,0)+1),MATCH(F$1,[2]stages!$2:$2,0)-MATCH($D$1,[2]stages!$2:$2,0)+1,FALSE)</f>
        <v>【超級】森ファミリー（ハートなし）</v>
      </c>
      <c r="G67" s="105">
        <v>1</v>
      </c>
      <c r="H67" s="16" t="str">
        <f>B67&amp;"_"&amp;C67&amp;"-"&amp;G67</f>
        <v>14004_3-1</v>
      </c>
      <c r="I67" s="5">
        <f ca="1">VLOOKUP($H67,OFFSET(floors!$A$1,0,0,COUNTA(floors!$A:$A),MATCH(I$1,floors!$1:$1,0)-MATCH($H$1,floors!$1:$1,0)+1),MATCH(I$1,floors!$1:$1,0)-MATCH($H$1,floors!$1:$1,0)+1,FALSE)</f>
        <v>40</v>
      </c>
      <c r="J67" s="5">
        <f ca="1">VLOOKUP($H67,OFFSET(floors!$A$1,0,0,COUNTA(floors!$A:$A),MATCH(J$1,floors!$1:$1,0)-MATCH($H$1,floors!$1:$1,0)+1),MATCH(J$1,floors!$1:$1,0)-MATCH($H$1,floors!$1:$1,0)+1,FALSE)</f>
        <v>60</v>
      </c>
      <c r="K67" s="8" t="s">
        <v>142</v>
      </c>
      <c r="L67" s="2">
        <f>L54+4</f>
        <v>336</v>
      </c>
      <c r="M67" s="20" t="str">
        <f ca="1">VLOOKUP($L67,OFFSET([3]enemies!$A$1,0,0,COUNTA([3]enemies!$A:$A),MATCH(M$1,[3]enemies!$1:$1,0)-MATCH($L$1,[3]enemies!$1:$1,0)+1),MATCH(M$1,[3]enemies!$1:$1,0)-MATCH($L$1,[3]enemies!$1:$1,0)+1,FALSE)</f>
        <v>森のメタルピヨピヨ</v>
      </c>
      <c r="N67" s="20" t="str">
        <f ca="1">VLOOKUP($L67,OFFSET([3]enemies!$A$1,0,0,COUNTA([3]enemies!$A:$A),MATCH(N$1,[3]enemies!$1:$1,0)-MATCH($L$1,[3]enemies!$1:$1,0)+1),MATCH(N$1,[3]enemies!$1:$1,0)-MATCH($L$1,[3]enemies!$1:$1,0)+1,FALSE)</f>
        <v>green</v>
      </c>
      <c r="O67" s="20" t="str">
        <f ca="1">VLOOKUP($L67,OFFSET([4]characters!$A$1,0,0,COUNTA([4]characters!$A:$A),MATCH(O$1,[4]characters!$1:$1,0)-MATCH($L$1,[4]characters!$1:$1,0)+1),MATCH(O$1,[4]characters!$1:$1,0)-MATCH($L$1,[4]characters!$1:$1,0)+1,FALSE)</f>
        <v>Material</v>
      </c>
      <c r="P67" s="20" t="str">
        <f ca="1">VLOOKUP($L67,OFFSET([3]enemies!$A$1,0,0,COUNTA([3]enemies!$A:$A),MATCH(P$1,[3]enemies!$1:$1,0)-MATCH($L$1,[3]enemies!$1:$1,0)+1),MATCH(P$1,[3]enemies!$1:$1,0)-MATCH($L$1,[3]enemies!$1:$1,0)+1,FALSE)</f>
        <v>unknown</v>
      </c>
      <c r="Q67" s="20">
        <f ca="1">VLOOKUP($L67,OFFSET([3]enemies!$A$1,0,0,COUNTA([3]enemies!$A:$A),MATCH(Q$1,[3]enemies!$1:$1,0)-MATCH($L$1,[3]enemies!$1:$1,0)+1),MATCH(Q$1,[3]enemies!$1:$1,0)-MATCH($L$1,[3]enemies!$1:$1,0)+1,FALSE)</f>
        <v>15</v>
      </c>
      <c r="R67" s="107">
        <f>R54</f>
        <v>10</v>
      </c>
      <c r="S67" s="107">
        <f t="shared" ref="S67:U67" si="196">S54</f>
        <v>0.6</v>
      </c>
      <c r="T67" s="108">
        <f t="shared" si="196"/>
        <v>40</v>
      </c>
      <c r="U67" s="107">
        <f t="shared" si="196"/>
        <v>533</v>
      </c>
      <c r="V67" s="5" t="str">
        <f ca="1">VLOOKUP($W67,OFFSET([5]enemy_skill_sets!$B$1,0,0,COUNTA([5]enemy_skill_sets!$B:$B),MATCH(M$1,[5]enemy_skill_sets!$1:$1,0)-MATCH($W$1,[5]enemy_skill_sets!$1:$1,0)+2),MATCH(M$1,[5]enemy_skill_sets!$1:$1,0)-MATCH($W$1,[5]enemy_skill_sets!$1:$1,0)+2,FALSE)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7" s="109">
        <f t="shared" ref="W67" ca="1" si="197">W54</f>
        <v>0</v>
      </c>
      <c r="X67" s="109">
        <f>X54</f>
        <v>0</v>
      </c>
      <c r="Y67" s="109">
        <f t="shared" ref="Y67:AA67" si="198">Y54</f>
        <v>100</v>
      </c>
      <c r="Z67" s="109">
        <f t="shared" si="198"/>
        <v>0</v>
      </c>
      <c r="AA67" s="109">
        <f t="shared" si="198"/>
        <v>1</v>
      </c>
      <c r="AB67" s="2">
        <f>L67</f>
        <v>336</v>
      </c>
      <c r="AC67" s="5" t="str">
        <f ca="1">VLOOKUP($AB67,OFFSET([4]characters!$A$1,0,0,COUNTA([4]characters!$A:$A),MATCH(AC$1,[4]characters!$1:$1,0)-MATCH("character_id",[4]characters!$1:$1,0)+1),MATCH(AC$1,[4]characters!$1:$1,0)-MATCH("character_id",[4]characters!$1:$1,0)+1,FALSE)</f>
        <v>森のメタルピヨピヨ</v>
      </c>
      <c r="AD67" s="5">
        <f ca="1">VLOOKUP($AB67,OFFSET([4]characters!$A$1,0,0,COUNTA([4]characters!$A:$A),MATCH(AD$1,[4]characters!$1:$1,0)-MATCH("character_id",[4]characters!$1:$1,0)+1),MATCH(AD$1,[4]characters!$1:$1,0)-MATCH("character_id",[4]characters!$1:$1,0)+1,FALSE)</f>
        <v>3</v>
      </c>
      <c r="AE67" s="5" t="str">
        <f ca="1">VLOOKUP($AB67,OFFSET([4]characters!$A$1,0,0,COUNTA([4]characters!$A:$A),MATCH(AE$1,[4]characters!$1:$1,0)-MATCH("character_id",[4]characters!$1:$1,0)+1),MATCH(AE$1,[4]characters!$1:$1,0)-MATCH("character_id",[4]characters!$1:$1,0)+1,FALSE)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7" s="27">
        <f>AF54</f>
        <v>1</v>
      </c>
      <c r="AG67" s="27">
        <f ca="1">AD67</f>
        <v>3</v>
      </c>
      <c r="AH67" s="27">
        <f>AH54</f>
        <v>0</v>
      </c>
      <c r="AI67" s="27">
        <f t="shared" ref="AI67:AM67" si="199">AI54</f>
        <v>0</v>
      </c>
      <c r="AJ67" s="27">
        <f t="shared" si="199"/>
        <v>0</v>
      </c>
      <c r="AK67" s="27">
        <f t="shared" si="199"/>
        <v>0</v>
      </c>
      <c r="AL67" s="27">
        <f t="shared" si="199"/>
        <v>0</v>
      </c>
      <c r="AM67" s="27">
        <f t="shared" si="199"/>
        <v>1</v>
      </c>
    </row>
    <row r="68" spans="1:39" ht="21" customHeight="1" x14ac:dyDescent="0.15">
      <c r="A68" s="17" t="str">
        <f>B68&amp;"_"&amp;C68&amp;"-"&amp;G68&amp;"/"&amp;L68&amp;"&lt;lv"&amp;R68&amp;"&gt;s"&amp;AA68</f>
        <v>14004_3-1/337&lt;lv10&gt;s1</v>
      </c>
      <c r="B68" s="104">
        <v>14004</v>
      </c>
      <c r="C68" s="105">
        <f>C67</f>
        <v>3</v>
      </c>
      <c r="D68" s="105" t="str">
        <f>B68&amp;"_"&amp;C68</f>
        <v>14004_3</v>
      </c>
      <c r="E68" s="106" t="str">
        <f ca="1">VLOOKUP($B68,OFFSET([2]quests!$A$1,0,0,COUNTA([2]quests!$A:$A),MATCH(E$1,[2]quests!$1:$1,0)-MATCH($B$1,[2]quests!$1:$1,0)+1),MATCH(E$1,[2]quests!$1:$1,0)-MATCH($B$1,[2]quests!$1:$1,0)+1,FALSE)</f>
        <v>【ロック】経験値/LINEマルチ</v>
      </c>
      <c r="F68" s="106" t="str">
        <f ca="1">VLOOKUP($D68,OFFSET([2]stages!$A$1,0,0,COUNTA([2]stages!$A:$A),MATCH(F$1,[2]stages!$2:$2,0)-MATCH($D$1,[2]stages!$2:$2,0)+1),MATCH(F$1,[2]stages!$2:$2,0)-MATCH($D$1,[2]stages!$2:$2,0)+1,FALSE)</f>
        <v>【超級】森ファミリー（ハートなし）</v>
      </c>
      <c r="G68" s="105">
        <v>1</v>
      </c>
      <c r="H68" s="16" t="str">
        <f>B68&amp;"_"&amp;C68&amp;"-"&amp;G68</f>
        <v>14004_3-1</v>
      </c>
      <c r="I68" s="5">
        <f ca="1">VLOOKUP($H68,OFFSET(floors!$A$1,0,0,COUNTA(floors!$A:$A),MATCH(I$1,floors!$1:$1,0)-MATCH($H$1,floors!$1:$1,0)+1),MATCH(I$1,floors!$1:$1,0)-MATCH($H$1,floors!$1:$1,0)+1,FALSE)</f>
        <v>40</v>
      </c>
      <c r="J68" s="5">
        <f ca="1">VLOOKUP($H68,OFFSET(floors!$A$1,0,0,COUNTA(floors!$A:$A),MATCH(J$1,floors!$1:$1,0)-MATCH($H$1,floors!$1:$1,0)+1),MATCH(J$1,floors!$1:$1,0)-MATCH($H$1,floors!$1:$1,0)+1,FALSE)</f>
        <v>60</v>
      </c>
      <c r="K68" s="8" t="s">
        <v>142</v>
      </c>
      <c r="L68" s="2">
        <f t="shared" ref="L68:L105" si="200">L55+4</f>
        <v>337</v>
      </c>
      <c r="M68" s="20" t="str">
        <f ca="1">VLOOKUP($L68,OFFSET([3]enemies!$A$1,0,0,COUNTA([3]enemies!$A:$A),MATCH(M$1,[3]enemies!$1:$1,0)-MATCH($L$1,[3]enemies!$1:$1,0)+1),MATCH(M$1,[3]enemies!$1:$1,0)-MATCH($L$1,[3]enemies!$1:$1,0)+1,FALSE)</f>
        <v>森のメタルチック</v>
      </c>
      <c r="N68" s="20" t="str">
        <f ca="1">VLOOKUP($L68,OFFSET([3]enemies!$A$1,0,0,COUNTA([3]enemies!$A:$A),MATCH(N$1,[3]enemies!$1:$1,0)-MATCH($L$1,[3]enemies!$1:$1,0)+1),MATCH(N$1,[3]enemies!$1:$1,0)-MATCH($L$1,[3]enemies!$1:$1,0)+1,FALSE)</f>
        <v>green</v>
      </c>
      <c r="O68" s="20" t="str">
        <f ca="1">VLOOKUP($L68,OFFSET([4]characters!$A$1,0,0,COUNTA([4]characters!$A:$A),MATCH(O$1,[4]characters!$1:$1,0)-MATCH($L$1,[4]characters!$1:$1,0)+1),MATCH(O$1,[4]characters!$1:$1,0)-MATCH($L$1,[4]characters!$1:$1,0)+1,FALSE)</f>
        <v>Material</v>
      </c>
      <c r="P68" s="20" t="str">
        <f ca="1">VLOOKUP($L68,OFFSET([3]enemies!$A$1,0,0,COUNTA([3]enemies!$A:$A),MATCH(P$1,[3]enemies!$1:$1,0)-MATCH($L$1,[3]enemies!$1:$1,0)+1),MATCH(P$1,[3]enemies!$1:$1,0)-MATCH($L$1,[3]enemies!$1:$1,0)+1,FALSE)</f>
        <v>unknown</v>
      </c>
      <c r="Q68" s="20">
        <f ca="1">VLOOKUP($L68,OFFSET([3]enemies!$A$1,0,0,COUNTA([3]enemies!$A:$A),MATCH(Q$1,[3]enemies!$1:$1,0)-MATCH($L$1,[3]enemies!$1:$1,0)+1),MATCH(Q$1,[3]enemies!$1:$1,0)-MATCH($L$1,[3]enemies!$1:$1,0)+1,FALSE)</f>
        <v>15</v>
      </c>
      <c r="R68" s="107">
        <f t="shared" ref="R68:U68" si="201">R55</f>
        <v>10</v>
      </c>
      <c r="S68" s="107">
        <f t="shared" si="201"/>
        <v>0.4</v>
      </c>
      <c r="T68" s="108">
        <f t="shared" si="201"/>
        <v>40</v>
      </c>
      <c r="U68" s="107">
        <f t="shared" si="201"/>
        <v>-2845</v>
      </c>
      <c r="V68" s="5" t="str">
        <f ca="1">VLOOKUP($W68,OFFSET([5]enemy_skill_sets!$B$1,0,0,COUNTA([5]enemy_skill_sets!$B:$B),MATCH(M$1,[5]enemy_skill_sets!$1:$1,0)-MATCH($W$1,[5]enemy_skill_sets!$1:$1,0)+2),MATCH(M$1,[5]enemy_skill_sets!$1:$1,0)-MATCH($W$1,[5]enemy_skill_sets!$1:$1,0)+2,FALSE)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8" s="109">
        <f t="shared" ref="W68:AA68" ca="1" si="202">W55</f>
        <v>0</v>
      </c>
      <c r="X68" s="109">
        <f t="shared" si="202"/>
        <v>0</v>
      </c>
      <c r="Y68" s="109">
        <f t="shared" si="202"/>
        <v>100</v>
      </c>
      <c r="Z68" s="109">
        <f t="shared" si="202"/>
        <v>0</v>
      </c>
      <c r="AA68" s="109">
        <f t="shared" si="202"/>
        <v>1</v>
      </c>
      <c r="AB68" s="2">
        <f>L68</f>
        <v>337</v>
      </c>
      <c r="AC68" s="5" t="str">
        <f ca="1">VLOOKUP($AB68,OFFSET([4]characters!$A$1,0,0,COUNTA([4]characters!$A:$A),MATCH(AC$1,[4]characters!$1:$1,0)-MATCH("character_id",[4]characters!$1:$1,0)+1),MATCH(AC$1,[4]characters!$1:$1,0)-MATCH("character_id",[4]characters!$1:$1,0)+1,FALSE)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68" s="5">
        <f ca="1">VLOOKUP($AB68,OFFSET([4]characters!$A$1,0,0,COUNTA([4]characters!$A:$A),MATCH(AD$1,[4]characters!$1:$1,0)-MATCH("character_id",[4]characters!$1:$1,0)+1),MATCH(AD$1,[4]characters!$1:$1,0)-MATCH("character_id",[4]characters!$1:$1,0)+1,FALSE)</f>
        <v>4</v>
      </c>
      <c r="AE68" s="5" t="str">
        <f ca="1">VLOOKUP($AB68,OFFSET([4]characters!$A$1,0,0,COUNTA([4]characters!$A:$A),MATCH(AE$1,[4]characters!$1:$1,0)-MATCH("character_id",[4]characters!$1:$1,0)+1),MATCH(AE$1,[4]characters!$1:$1,0)-MATCH("character_id",[4]characters!$1:$1,0)+1,FALSE)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8" s="27">
        <f t="shared" ref="AF68:AF105" si="203">AF55</f>
        <v>1</v>
      </c>
      <c r="AG68" s="27">
        <f ca="1">AD68</f>
        <v>4</v>
      </c>
      <c r="AH68" s="27">
        <f t="shared" ref="AH68:AM68" si="204">AH55</f>
        <v>0</v>
      </c>
      <c r="AI68" s="27">
        <f t="shared" si="204"/>
        <v>0</v>
      </c>
      <c r="AJ68" s="27">
        <f t="shared" si="204"/>
        <v>0</v>
      </c>
      <c r="AK68" s="27">
        <f t="shared" si="204"/>
        <v>0</v>
      </c>
      <c r="AL68" s="27">
        <f t="shared" si="204"/>
        <v>0</v>
      </c>
      <c r="AM68" s="27">
        <f t="shared" si="204"/>
        <v>1</v>
      </c>
    </row>
    <row r="69" spans="1:39" ht="21" customHeight="1" x14ac:dyDescent="0.15">
      <c r="A69" s="103" t="str">
        <f t="shared" ref="A69:A72" si="205">B69&amp;"_"&amp;C69&amp;"-"&amp;G69&amp;"/"&amp;L69&amp;"&lt;lv"&amp;R69&amp;"&gt;s"&amp;AA69</f>
        <v>14004_3-1/338&lt;lv10&gt;s2</v>
      </c>
      <c r="B69" s="104">
        <v>14004</v>
      </c>
      <c r="C69" s="105">
        <f t="shared" ref="C69:C79" si="206">C68</f>
        <v>3</v>
      </c>
      <c r="D69" s="105" t="str">
        <f t="shared" ref="D69:D72" si="207">B69&amp;"_"&amp;C69</f>
        <v>14004_3</v>
      </c>
      <c r="E69" s="106" t="str">
        <f ca="1">VLOOKUP($B69,OFFSET([2]quests!$A$1,0,0,COUNTA([2]quests!$A:$A),MATCH(E$1,[2]quests!$1:$1,0)-MATCH($B$1,[2]quests!$1:$1,0)+1),MATCH(E$1,[2]quests!$1:$1,0)-MATCH($B$1,[2]quests!$1:$1,0)+1,FALSE)</f>
        <v>【ロック】経験値/LINEマルチ</v>
      </c>
      <c r="F69" s="106" t="str">
        <f ca="1">VLOOKUP($D69,OFFSET([2]stages!$A$1,0,0,COUNTA([2]stages!$A:$A),MATCH(F$1,[2]stages!$2:$2,0)-MATCH($D$1,[2]stages!$2:$2,0)+1),MATCH(F$1,[2]stages!$2:$2,0)-MATCH($D$1,[2]stages!$2:$2,0)+1,FALSE)</f>
        <v>【超級】森ファミリー（ハートなし）</v>
      </c>
      <c r="G69" s="105">
        <v>1</v>
      </c>
      <c r="H69" s="16" t="str">
        <f t="shared" ref="H69:H72" si="208">B69&amp;"_"&amp;C69&amp;"-"&amp;G69</f>
        <v>14004_3-1</v>
      </c>
      <c r="I69" s="5">
        <f ca="1">VLOOKUP($H69,OFFSET(floors!$A$1,0,0,COUNTA(floors!$A:$A),MATCH(I$1,floors!$1:$1,0)-MATCH($H$1,floors!$1:$1,0)+1),MATCH(I$1,floors!$1:$1,0)-MATCH($H$1,floors!$1:$1,0)+1,FALSE)</f>
        <v>40</v>
      </c>
      <c r="J69" s="5">
        <f ca="1">VLOOKUP($H69,OFFSET(floors!$A$1,0,0,COUNTA(floors!$A:$A),MATCH(J$1,floors!$1:$1,0)-MATCH($H$1,floors!$1:$1,0)+1),MATCH(J$1,floors!$1:$1,0)-MATCH($H$1,floors!$1:$1,0)+1,FALSE)</f>
        <v>60</v>
      </c>
      <c r="K69" s="8" t="s">
        <v>142</v>
      </c>
      <c r="L69" s="2">
        <f t="shared" si="200"/>
        <v>338</v>
      </c>
      <c r="M69" s="20" t="str">
        <f ca="1">VLOOKUP($L69,OFFSET([3]enemies!$A$1,0,0,COUNTA([3]enemies!$A:$A),MATCH(M$1,[3]enemies!$1:$1,0)-MATCH($L$1,[3]enemies!$1:$1,0)+1),MATCH(M$1,[3]enemies!$1:$1,0)-MATCH($L$1,[3]enemies!$1:$1,0)+1,FALSE)</f>
        <v>森のメタルダック</v>
      </c>
      <c r="N69" s="20" t="str">
        <f ca="1">VLOOKUP($L69,OFFSET([3]enemies!$A$1,0,0,COUNTA([3]enemies!$A:$A),MATCH(N$1,[3]enemies!$1:$1,0)-MATCH($L$1,[3]enemies!$1:$1,0)+1),MATCH(N$1,[3]enemies!$1:$1,0)-MATCH($L$1,[3]enemies!$1:$1,0)+1,FALSE)</f>
        <v>green</v>
      </c>
      <c r="O69" s="20" t="str">
        <f ca="1">VLOOKUP($L69,OFFSET([4]characters!$A$1,0,0,COUNTA([4]characters!$A:$A),MATCH(O$1,[4]characters!$1:$1,0)-MATCH($L$1,[4]characters!$1:$1,0)+1),MATCH(O$1,[4]characters!$1:$1,0)-MATCH($L$1,[4]characters!$1:$1,0)+1,FALSE)</f>
        <v>Material</v>
      </c>
      <c r="P69" s="20" t="str">
        <f ca="1">VLOOKUP($L69,OFFSET([3]enemies!$A$1,0,0,COUNTA([3]enemies!$A:$A),MATCH(P$1,[3]enemies!$1:$1,0)-MATCH($L$1,[3]enemies!$1:$1,0)+1),MATCH(P$1,[3]enemies!$1:$1,0)-MATCH($L$1,[3]enemies!$1:$1,0)+1,FALSE)</f>
        <v>unknown</v>
      </c>
      <c r="Q69" s="20">
        <f ca="1">VLOOKUP($L69,OFFSET([3]enemies!$A$1,0,0,COUNTA([3]enemies!$A:$A),MATCH(Q$1,[3]enemies!$1:$1,0)-MATCH($L$1,[3]enemies!$1:$1,0)+1),MATCH(Q$1,[3]enemies!$1:$1,0)-MATCH($L$1,[3]enemies!$1:$1,0)+1,FALSE)</f>
        <v>20</v>
      </c>
      <c r="R69" s="107">
        <f t="shared" ref="R69:U69" si="209">R56</f>
        <v>10</v>
      </c>
      <c r="S69" s="107">
        <f t="shared" si="209"/>
        <v>0.4</v>
      </c>
      <c r="T69" s="108">
        <f t="shared" si="209"/>
        <v>40</v>
      </c>
      <c r="U69" s="107">
        <f t="shared" si="209"/>
        <v>-20223</v>
      </c>
      <c r="V69" s="5" t="str">
        <f ca="1">VLOOKUP($W69,OFFSET([5]enemy_skill_sets!$B$1,0,0,COUNTA([5]enemy_skill_sets!$B:$B),MATCH(M$1,[5]enemy_skill_sets!$1:$1,0)-MATCH($W$1,[5]enemy_skill_sets!$1:$1,0)+2),MATCH(M$1,[5]enemy_skill_sets!$1:$1,0)-MATCH($W$1,[5]enemy_skill_sets!$1:$1,0)+2,FALSE)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9" s="109">
        <f t="shared" ref="W69:AA69" ca="1" si="210">W56</f>
        <v>0</v>
      </c>
      <c r="X69" s="109">
        <f t="shared" si="210"/>
        <v>0</v>
      </c>
      <c r="Y69" s="109">
        <f t="shared" si="210"/>
        <v>67</v>
      </c>
      <c r="Z69" s="109">
        <f t="shared" si="210"/>
        <v>1</v>
      </c>
      <c r="AA69" s="109">
        <f t="shared" si="210"/>
        <v>2</v>
      </c>
      <c r="AB69" s="2">
        <f t="shared" ref="AB69:AB72" si="211">L69</f>
        <v>338</v>
      </c>
      <c r="AC69" s="5" t="str">
        <f ca="1">VLOOKUP($AB69,OFFSET([4]characters!$A$1,0,0,COUNTA([4]characters!$A:$A),MATCH(AC$1,[4]characters!$1:$1,0)-MATCH("character_id",[4]characters!$1:$1,0)+1),MATCH(AC$1,[4]characters!$1:$1,0)-MATCH("character_id",[4]characters!$1:$1,0)+1,FALSE)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69" s="5">
        <f ca="1">VLOOKUP($AB69,OFFSET([4]characters!$A$1,0,0,COUNTA([4]characters!$A:$A),MATCH(AD$1,[4]characters!$1:$1,0)-MATCH("character_id",[4]characters!$1:$1,0)+1),MATCH(AD$1,[4]characters!$1:$1,0)-MATCH("character_id",[4]characters!$1:$1,0)+1,FALSE)</f>
        <v>5</v>
      </c>
      <c r="AE69" s="5" t="str">
        <f ca="1">VLOOKUP($AB69,OFFSET([4]characters!$A$1,0,0,COUNTA([4]characters!$A:$A),MATCH(AE$1,[4]characters!$1:$1,0)-MATCH("character_id",[4]characters!$1:$1,0)+1),MATCH(AE$1,[4]characters!$1:$1,0)-MATCH("character_id",[4]characters!$1:$1,0)+1,FALSE)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9" s="27">
        <f t="shared" si="203"/>
        <v>1</v>
      </c>
      <c r="AG69" s="27">
        <f t="shared" ref="AG69:AG72" ca="1" si="212">AD69</f>
        <v>5</v>
      </c>
      <c r="AH69" s="27">
        <f t="shared" ref="AH69:AM69" si="213">AH56</f>
        <v>100</v>
      </c>
      <c r="AI69" s="27">
        <f t="shared" si="213"/>
        <v>0</v>
      </c>
      <c r="AJ69" s="27">
        <f t="shared" si="213"/>
        <v>0</v>
      </c>
      <c r="AK69" s="27">
        <f t="shared" si="213"/>
        <v>0</v>
      </c>
      <c r="AL69" s="27">
        <f t="shared" si="213"/>
        <v>0</v>
      </c>
      <c r="AM69" s="27">
        <f t="shared" si="213"/>
        <v>1</v>
      </c>
    </row>
    <row r="70" spans="1:39" ht="21" customHeight="1" x14ac:dyDescent="0.15">
      <c r="A70" s="17" t="str">
        <f t="shared" si="205"/>
        <v>14004_3-1/339&lt;lv10&gt;s2</v>
      </c>
      <c r="B70" s="104">
        <v>14004</v>
      </c>
      <c r="C70" s="105">
        <f t="shared" si="206"/>
        <v>3</v>
      </c>
      <c r="D70" s="105" t="str">
        <f t="shared" si="207"/>
        <v>14004_3</v>
      </c>
      <c r="E70" s="106" t="str">
        <f ca="1">VLOOKUP($B70,OFFSET([2]quests!$A$1,0,0,COUNTA([2]quests!$A:$A),MATCH(E$1,[2]quests!$1:$1,0)-MATCH($B$1,[2]quests!$1:$1,0)+1),MATCH(E$1,[2]quests!$1:$1,0)-MATCH($B$1,[2]quests!$1:$1,0)+1,FALSE)</f>
        <v>【ロック】経験値/LINEマルチ</v>
      </c>
      <c r="F70" s="106" t="str">
        <f ca="1">VLOOKUP($D70,OFFSET([2]stages!$A$1,0,0,COUNTA([2]stages!$A:$A),MATCH(F$1,[2]stages!$2:$2,0)-MATCH($D$1,[2]stages!$2:$2,0)+1),MATCH(F$1,[2]stages!$2:$2,0)-MATCH($D$1,[2]stages!$2:$2,0)+1,FALSE)</f>
        <v>【超級】森ファミリー（ハートなし）</v>
      </c>
      <c r="G70" s="105">
        <v>1</v>
      </c>
      <c r="H70" s="16" t="str">
        <f t="shared" si="208"/>
        <v>14004_3-1</v>
      </c>
      <c r="I70" s="5">
        <f ca="1">VLOOKUP($H70,OFFSET(floors!$A$1,0,0,COUNTA(floors!$A:$A),MATCH(I$1,floors!$1:$1,0)-MATCH($H$1,floors!$1:$1,0)+1),MATCH(I$1,floors!$1:$1,0)-MATCH($H$1,floors!$1:$1,0)+1,FALSE)</f>
        <v>40</v>
      </c>
      <c r="J70" s="5">
        <f ca="1">VLOOKUP($H70,OFFSET(floors!$A$1,0,0,COUNTA(floors!$A:$A),MATCH(J$1,floors!$1:$1,0)-MATCH($H$1,floors!$1:$1,0)+1),MATCH(J$1,floors!$1:$1,0)-MATCH($H$1,floors!$1:$1,0)+1,FALSE)</f>
        <v>60</v>
      </c>
      <c r="K70" s="8" t="s">
        <v>142</v>
      </c>
      <c r="L70" s="2">
        <f t="shared" si="200"/>
        <v>339</v>
      </c>
      <c r="M70" s="20" t="str">
        <f ca="1">VLOOKUP($L70,OFFSET([3]enemies!$A$1,0,0,COUNTA([3]enemies!$A:$A),MATCH(M$1,[3]enemies!$1:$1,0)-MATCH($L$1,[3]enemies!$1:$1,0)+1),MATCH(M$1,[3]enemies!$1:$1,0)-MATCH($L$1,[3]enemies!$1:$1,0)+1,FALSE)</f>
        <v>森のメタルジェントル</v>
      </c>
      <c r="N70" s="20" t="str">
        <f ca="1">VLOOKUP($L70,OFFSET([3]enemies!$A$1,0,0,COUNTA([3]enemies!$A:$A),MATCH(N$1,[3]enemies!$1:$1,0)-MATCH($L$1,[3]enemies!$1:$1,0)+1),MATCH(N$1,[3]enemies!$1:$1,0)-MATCH($L$1,[3]enemies!$1:$1,0)+1,FALSE)</f>
        <v>green</v>
      </c>
      <c r="O70" s="20" t="str">
        <f ca="1">VLOOKUP($L70,OFFSET([4]characters!$A$1,0,0,COUNTA([4]characters!$A:$A),MATCH(O$1,[4]characters!$1:$1,0)-MATCH($L$1,[4]characters!$1:$1,0)+1),MATCH(O$1,[4]characters!$1:$1,0)-MATCH($L$1,[4]characters!$1:$1,0)+1,FALSE)</f>
        <v>Material</v>
      </c>
      <c r="P70" s="20" t="str">
        <f ca="1">VLOOKUP($L70,OFFSET([3]enemies!$A$1,0,0,COUNTA([3]enemies!$A:$A),MATCH(P$1,[3]enemies!$1:$1,0)-MATCH($L$1,[3]enemies!$1:$1,0)+1),MATCH(P$1,[3]enemies!$1:$1,0)-MATCH($L$1,[3]enemies!$1:$1,0)+1,FALSE)</f>
        <v>unknown</v>
      </c>
      <c r="Q70" s="20">
        <f ca="1">VLOOKUP($L70,OFFSET([3]enemies!$A$1,0,0,COUNTA([3]enemies!$A:$A),MATCH(Q$1,[3]enemies!$1:$1,0)-MATCH($L$1,[3]enemies!$1:$1,0)+1),MATCH(Q$1,[3]enemies!$1:$1,0)-MATCH($L$1,[3]enemies!$1:$1,0)+1,FALSE)</f>
        <v>20</v>
      </c>
      <c r="R70" s="107">
        <f t="shared" ref="R70:U70" si="214">R57</f>
        <v>10</v>
      </c>
      <c r="S70" s="107">
        <f t="shared" si="214"/>
        <v>0.2</v>
      </c>
      <c r="T70" s="108">
        <f t="shared" si="214"/>
        <v>50</v>
      </c>
      <c r="U70" s="107">
        <f t="shared" si="214"/>
        <v>-30889</v>
      </c>
      <c r="V70" s="5" t="str">
        <f ca="1">VLOOKUP($W70,OFFSET(enemy_skill_sets!$B$1,0,0,COUNTA(enemy_skill_sets!$B:$B),MATCH(M$1,enemy_skill_sets!$1:$1,0)-MATCH($W$1,enemy_skill_sets!$1:$1,0)+2),MATCH(M$1,enemy_skill_sets!$1:$1,0)-MATCH($W$1,enemy_skill_sets!$1:$1,0)+2,FALSE)</f>
        <v>なんと ジェントルがあらわれた！</v>
      </c>
      <c r="W70" s="109">
        <f t="shared" ref="W70:AA70" si="215">W57</f>
        <v>14001012</v>
      </c>
      <c r="X70" s="109">
        <f t="shared" si="215"/>
        <v>0</v>
      </c>
      <c r="Y70" s="109">
        <f t="shared" si="215"/>
        <v>33</v>
      </c>
      <c r="Z70" s="109">
        <f t="shared" si="215"/>
        <v>1</v>
      </c>
      <c r="AA70" s="109">
        <f t="shared" si="215"/>
        <v>2</v>
      </c>
      <c r="AB70" s="2">
        <f t="shared" si="211"/>
        <v>339</v>
      </c>
      <c r="AC70" s="5" t="str">
        <f ca="1">VLOOKUP($AB70,OFFSET([4]characters!$A$1,0,0,COUNTA([4]characters!$A:$A),MATCH(AC$1,[4]characters!$1:$1,0)-MATCH("character_id",[4]characters!$1:$1,0)+1),MATCH(AC$1,[4]characters!$1:$1,0)-MATCH("character_id",[4]characters!$1:$1,0)+1,FALSE)</f>
        <v>森のメタルジェントル</v>
      </c>
      <c r="AD70" s="5">
        <f ca="1">VLOOKUP($AB70,OFFSET([4]characters!$A$1,0,0,COUNTA([4]characters!$A:$A),MATCH(AD$1,[4]characters!$1:$1,0)-MATCH("character_id",[4]characters!$1:$1,0)+1),MATCH(AD$1,[4]characters!$1:$1,0)-MATCH("character_id",[4]characters!$1:$1,0)+1,FALSE)</f>
        <v>6</v>
      </c>
      <c r="AE70" s="5" t="str">
        <f ca="1">VLOOKUP($AB70,OFFSET([4]characters!$A$1,0,0,COUNTA([4]characters!$A:$A),MATCH(AE$1,[4]characters!$1:$1,0)-MATCH("character_id",[4]characters!$1:$1,0)+1),MATCH(AE$1,[4]characters!$1:$1,0)-MATCH("character_id",[4]characters!$1:$1,0)+1,FALSE)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0" s="27">
        <f t="shared" si="203"/>
        <v>1</v>
      </c>
      <c r="AG70" s="27">
        <f t="shared" ca="1" si="212"/>
        <v>6</v>
      </c>
      <c r="AH70" s="27">
        <f t="shared" ref="AH70:AM70" si="216">AH57</f>
        <v>100</v>
      </c>
      <c r="AI70" s="27">
        <f t="shared" si="216"/>
        <v>0</v>
      </c>
      <c r="AJ70" s="27">
        <f t="shared" si="216"/>
        <v>0</v>
      </c>
      <c r="AK70" s="27">
        <f t="shared" si="216"/>
        <v>0</v>
      </c>
      <c r="AL70" s="27">
        <f t="shared" si="216"/>
        <v>0</v>
      </c>
      <c r="AM70" s="27">
        <f t="shared" si="216"/>
        <v>1</v>
      </c>
    </row>
    <row r="71" spans="1:39" ht="21" customHeight="1" x14ac:dyDescent="0.15">
      <c r="A71" s="17" t="str">
        <f t="shared" si="205"/>
        <v>14004_3-2/337&lt;lv10&gt;s1</v>
      </c>
      <c r="B71" s="104">
        <v>14004</v>
      </c>
      <c r="C71" s="105">
        <f t="shared" si="206"/>
        <v>3</v>
      </c>
      <c r="D71" s="105" t="str">
        <f t="shared" si="207"/>
        <v>14004_3</v>
      </c>
      <c r="E71" s="106" t="str">
        <f ca="1">VLOOKUP($B71,OFFSET([2]quests!$A$1,0,0,COUNTA([2]quests!$A:$A),MATCH(E$1,[2]quests!$1:$1,0)-MATCH($B$1,[2]quests!$1:$1,0)+1),MATCH(E$1,[2]quests!$1:$1,0)-MATCH($B$1,[2]quests!$1:$1,0)+1,FALSE)</f>
        <v>【ロック】経験値/LINEマルチ</v>
      </c>
      <c r="F71" s="106" t="str">
        <f ca="1">VLOOKUP($D71,OFFSET([2]stages!$A$1,0,0,COUNTA([2]stages!$A:$A),MATCH(F$1,[2]stages!$2:$2,0)-MATCH($D$1,[2]stages!$2:$2,0)+1),MATCH(F$1,[2]stages!$2:$2,0)-MATCH($D$1,[2]stages!$2:$2,0)+1,FALSE)</f>
        <v>【超級】森ファミリー（ハートなし）</v>
      </c>
      <c r="G71" s="105">
        <v>2</v>
      </c>
      <c r="H71" s="16" t="str">
        <f t="shared" si="208"/>
        <v>14004_3-2</v>
      </c>
      <c r="I71" s="5">
        <f ca="1">VLOOKUP($H71,OFFSET(floors!$A$1,0,0,COUNTA(floors!$A:$A),MATCH(I$1,floors!$1:$1,0)-MATCH($H$1,floors!$1:$1,0)+1),MATCH(I$1,floors!$1:$1,0)-MATCH($H$1,floors!$1:$1,0)+1,FALSE)</f>
        <v>30</v>
      </c>
      <c r="J71" s="5">
        <f ca="1">VLOOKUP($H71,OFFSET(floors!$A$1,0,0,COUNTA(floors!$A:$A),MATCH(J$1,floors!$1:$1,0)-MATCH($H$1,floors!$1:$1,0)+1),MATCH(J$1,floors!$1:$1,0)-MATCH($H$1,floors!$1:$1,0)+1,FALSE)</f>
        <v>41</v>
      </c>
      <c r="K71" s="8" t="s">
        <v>142</v>
      </c>
      <c r="L71" s="2">
        <f t="shared" si="200"/>
        <v>337</v>
      </c>
      <c r="M71" s="20" t="str">
        <f ca="1">VLOOKUP($L71,OFFSET([3]enemies!$A$1,0,0,COUNTA([3]enemies!$A:$A),MATCH(M$1,[3]enemies!$1:$1,0)-MATCH($L$1,[3]enemies!$1:$1,0)+1),MATCH(M$1,[3]enemies!$1:$1,0)-MATCH($L$1,[3]enemies!$1:$1,0)+1,FALSE)</f>
        <v>森のメタルチック</v>
      </c>
      <c r="N71" s="20" t="str">
        <f ca="1">VLOOKUP($L71,OFFSET([3]enemies!$A$1,0,0,COUNTA([3]enemies!$A:$A),MATCH(N$1,[3]enemies!$1:$1,0)-MATCH($L$1,[3]enemies!$1:$1,0)+1),MATCH(N$1,[3]enemies!$1:$1,0)-MATCH($L$1,[3]enemies!$1:$1,0)+1,FALSE)</f>
        <v>green</v>
      </c>
      <c r="O71" s="20" t="str">
        <f ca="1">VLOOKUP($L71,OFFSET([4]characters!$A$1,0,0,COUNTA([4]characters!$A:$A),MATCH(O$1,[4]characters!$1:$1,0)-MATCH($L$1,[4]characters!$1:$1,0)+1),MATCH(O$1,[4]characters!$1:$1,0)-MATCH($L$1,[4]characters!$1:$1,0)+1,FALSE)</f>
        <v>Material</v>
      </c>
      <c r="P71" s="20" t="str">
        <f ca="1">VLOOKUP($L71,OFFSET([3]enemies!$A$1,0,0,COUNTA([3]enemies!$A:$A),MATCH(P$1,[3]enemies!$1:$1,0)-MATCH($L$1,[3]enemies!$1:$1,0)+1),MATCH(P$1,[3]enemies!$1:$1,0)-MATCH($L$1,[3]enemies!$1:$1,0)+1,FALSE)</f>
        <v>unknown</v>
      </c>
      <c r="Q71" s="20">
        <f ca="1">VLOOKUP($L71,OFFSET([3]enemies!$A$1,0,0,COUNTA([3]enemies!$A:$A),MATCH(Q$1,[3]enemies!$1:$1,0)-MATCH($L$1,[3]enemies!$1:$1,0)+1),MATCH(Q$1,[3]enemies!$1:$1,0)-MATCH($L$1,[3]enemies!$1:$1,0)+1,FALSE)</f>
        <v>15</v>
      </c>
      <c r="R71" s="107">
        <f t="shared" ref="R71:U71" si="217">R58</f>
        <v>10</v>
      </c>
      <c r="S71" s="107">
        <f t="shared" si="217"/>
        <v>0.4</v>
      </c>
      <c r="T71" s="108">
        <f t="shared" si="217"/>
        <v>40</v>
      </c>
      <c r="U71" s="107">
        <f t="shared" si="217"/>
        <v>-2845</v>
      </c>
      <c r="V71" s="5" t="str">
        <f ca="1">VLOOKUP($W71,OFFSET([5]enemy_skill_sets!$B$1,0,0,COUNTA([5]enemy_skill_sets!$B:$B),MATCH(M$1,[5]enemy_skill_sets!$1:$1,0)-MATCH($W$1,[5]enemy_skill_sets!$1:$1,0)+2),MATCH(M$1,[5]enemy_skill_sets!$1:$1,0)-MATCH($W$1,[5]enemy_skill_sets!$1:$1,0)+2,FALSE)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1" s="109">
        <f t="shared" ref="W71:AA71" ca="1" si="218">W58</f>
        <v>0</v>
      </c>
      <c r="X71" s="109">
        <f t="shared" si="218"/>
        <v>0</v>
      </c>
      <c r="Y71" s="109">
        <f t="shared" si="218"/>
        <v>100</v>
      </c>
      <c r="Z71" s="109">
        <f t="shared" si="218"/>
        <v>0</v>
      </c>
      <c r="AA71" s="109">
        <f t="shared" si="218"/>
        <v>1</v>
      </c>
      <c r="AB71" s="2">
        <f t="shared" si="211"/>
        <v>337</v>
      </c>
      <c r="AC71" s="5" t="str">
        <f ca="1">VLOOKUP($AB71,OFFSET([4]characters!$A$1,0,0,COUNTA([4]characters!$A:$A),MATCH(AC$1,[4]characters!$1:$1,0)-MATCH("character_id",[4]characters!$1:$1,0)+1),MATCH(AC$1,[4]characters!$1:$1,0)-MATCH("character_id",[4]characters!$1:$1,0)+1,FALSE)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71" s="5">
        <f ca="1">VLOOKUP($AB71,OFFSET([4]characters!$A$1,0,0,COUNTA([4]characters!$A:$A),MATCH(AD$1,[4]characters!$1:$1,0)-MATCH("character_id",[4]characters!$1:$1,0)+1),MATCH(AD$1,[4]characters!$1:$1,0)-MATCH("character_id",[4]characters!$1:$1,0)+1,FALSE)</f>
        <v>4</v>
      </c>
      <c r="AE71" s="5" t="str">
        <f ca="1">VLOOKUP($AB71,OFFSET([4]characters!$A$1,0,0,COUNTA([4]characters!$A:$A),MATCH(AE$1,[4]characters!$1:$1,0)-MATCH("character_id",[4]characters!$1:$1,0)+1),MATCH(AE$1,[4]characters!$1:$1,0)-MATCH("character_id",[4]characters!$1:$1,0)+1,FALSE)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1" s="27">
        <f t="shared" si="203"/>
        <v>1</v>
      </c>
      <c r="AG71" s="27">
        <f t="shared" ca="1" si="212"/>
        <v>4</v>
      </c>
      <c r="AH71" s="27">
        <f t="shared" ref="AH71:AM71" si="219">AH58</f>
        <v>0</v>
      </c>
      <c r="AI71" s="27">
        <f t="shared" si="219"/>
        <v>0</v>
      </c>
      <c r="AJ71" s="27">
        <f t="shared" si="219"/>
        <v>0</v>
      </c>
      <c r="AK71" s="27">
        <f t="shared" si="219"/>
        <v>0</v>
      </c>
      <c r="AL71" s="27">
        <f t="shared" si="219"/>
        <v>0</v>
      </c>
      <c r="AM71" s="27">
        <f t="shared" si="219"/>
        <v>1</v>
      </c>
    </row>
    <row r="72" spans="1:39" ht="21" customHeight="1" x14ac:dyDescent="0.15">
      <c r="A72" s="17" t="str">
        <f t="shared" si="205"/>
        <v>14004_3-2/338&lt;lv10&gt;s2</v>
      </c>
      <c r="B72" s="104">
        <v>14004</v>
      </c>
      <c r="C72" s="105">
        <f t="shared" si="206"/>
        <v>3</v>
      </c>
      <c r="D72" s="105" t="str">
        <f t="shared" si="207"/>
        <v>14004_3</v>
      </c>
      <c r="E72" s="106" t="str">
        <f ca="1">VLOOKUP($B72,OFFSET([2]quests!$A$1,0,0,COUNTA([2]quests!$A:$A),MATCH(E$1,[2]quests!$1:$1,0)-MATCH($B$1,[2]quests!$1:$1,0)+1),MATCH(E$1,[2]quests!$1:$1,0)-MATCH($B$1,[2]quests!$1:$1,0)+1,FALSE)</f>
        <v>【ロック】経験値/LINEマルチ</v>
      </c>
      <c r="F72" s="106" t="str">
        <f ca="1">VLOOKUP($D72,OFFSET([2]stages!$A$1,0,0,COUNTA([2]stages!$A:$A),MATCH(F$1,[2]stages!$2:$2,0)-MATCH($D$1,[2]stages!$2:$2,0)+1),MATCH(F$1,[2]stages!$2:$2,0)-MATCH($D$1,[2]stages!$2:$2,0)+1,FALSE)</f>
        <v>【超級】森ファミリー（ハートなし）</v>
      </c>
      <c r="G72" s="105">
        <v>2</v>
      </c>
      <c r="H72" s="16" t="str">
        <f t="shared" si="208"/>
        <v>14004_3-2</v>
      </c>
      <c r="I72" s="5">
        <f ca="1">VLOOKUP($H72,OFFSET(floors!$A$1,0,0,COUNTA(floors!$A:$A),MATCH(I$1,floors!$1:$1,0)-MATCH($H$1,floors!$1:$1,0)+1),MATCH(I$1,floors!$1:$1,0)-MATCH($H$1,floors!$1:$1,0)+1,FALSE)</f>
        <v>30</v>
      </c>
      <c r="J72" s="5">
        <f ca="1">VLOOKUP($H72,OFFSET(floors!$A$1,0,0,COUNTA(floors!$A:$A),MATCH(J$1,floors!$1:$1,0)-MATCH($H$1,floors!$1:$1,0)+1),MATCH(J$1,floors!$1:$1,0)-MATCH($H$1,floors!$1:$1,0)+1,FALSE)</f>
        <v>41</v>
      </c>
      <c r="K72" s="8" t="s">
        <v>142</v>
      </c>
      <c r="L72" s="2">
        <f t="shared" si="200"/>
        <v>338</v>
      </c>
      <c r="M72" s="20" t="str">
        <f ca="1">VLOOKUP($L72,OFFSET([3]enemies!$A$1,0,0,COUNTA([3]enemies!$A:$A),MATCH(M$1,[3]enemies!$1:$1,0)-MATCH($L$1,[3]enemies!$1:$1,0)+1),MATCH(M$1,[3]enemies!$1:$1,0)-MATCH($L$1,[3]enemies!$1:$1,0)+1,FALSE)</f>
        <v>森のメタルダック</v>
      </c>
      <c r="N72" s="20" t="str">
        <f ca="1">VLOOKUP($L72,OFFSET([3]enemies!$A$1,0,0,COUNTA([3]enemies!$A:$A),MATCH(N$1,[3]enemies!$1:$1,0)-MATCH($L$1,[3]enemies!$1:$1,0)+1),MATCH(N$1,[3]enemies!$1:$1,0)-MATCH($L$1,[3]enemies!$1:$1,0)+1,FALSE)</f>
        <v>green</v>
      </c>
      <c r="O72" s="20" t="str">
        <f ca="1">VLOOKUP($L72,OFFSET([4]characters!$A$1,0,0,COUNTA([4]characters!$A:$A),MATCH(O$1,[4]characters!$1:$1,0)-MATCH($L$1,[4]characters!$1:$1,0)+1),MATCH(O$1,[4]characters!$1:$1,0)-MATCH($L$1,[4]characters!$1:$1,0)+1,FALSE)</f>
        <v>Material</v>
      </c>
      <c r="P72" s="20" t="str">
        <f ca="1">VLOOKUP($L72,OFFSET([3]enemies!$A$1,0,0,COUNTA([3]enemies!$A:$A),MATCH(P$1,[3]enemies!$1:$1,0)-MATCH($L$1,[3]enemies!$1:$1,0)+1),MATCH(P$1,[3]enemies!$1:$1,0)-MATCH($L$1,[3]enemies!$1:$1,0)+1,FALSE)</f>
        <v>unknown</v>
      </c>
      <c r="Q72" s="20">
        <f ca="1">VLOOKUP($L72,OFFSET([3]enemies!$A$1,0,0,COUNTA([3]enemies!$A:$A),MATCH(Q$1,[3]enemies!$1:$1,0)-MATCH($L$1,[3]enemies!$1:$1,0)+1),MATCH(Q$1,[3]enemies!$1:$1,0)-MATCH($L$1,[3]enemies!$1:$1,0)+1,FALSE)</f>
        <v>20</v>
      </c>
      <c r="R72" s="107">
        <f t="shared" ref="R72:U72" si="220">R59</f>
        <v>10</v>
      </c>
      <c r="S72" s="107">
        <f t="shared" si="220"/>
        <v>0.4</v>
      </c>
      <c r="T72" s="108">
        <f t="shared" si="220"/>
        <v>40</v>
      </c>
      <c r="U72" s="107">
        <f t="shared" si="220"/>
        <v>-20223</v>
      </c>
      <c r="V72" s="5" t="str">
        <f ca="1">VLOOKUP($W72,OFFSET([5]enemy_skill_sets!$B$1,0,0,COUNTA([5]enemy_skill_sets!$B:$B),MATCH(M$1,[5]enemy_skill_sets!$1:$1,0)-MATCH($W$1,[5]enemy_skill_sets!$1:$1,0)+2),MATCH(M$1,[5]enemy_skill_sets!$1:$1,0)-MATCH($W$1,[5]enemy_skill_sets!$1:$1,0)+2,FALSE)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2" s="109">
        <f t="shared" ref="W72:AA72" ca="1" si="221">W59</f>
        <v>0</v>
      </c>
      <c r="X72" s="109">
        <f t="shared" si="221"/>
        <v>1</v>
      </c>
      <c r="Y72" s="109">
        <f t="shared" si="221"/>
        <v>0</v>
      </c>
      <c r="Z72" s="109">
        <f t="shared" si="221"/>
        <v>1</v>
      </c>
      <c r="AA72" s="109">
        <f t="shared" si="221"/>
        <v>2</v>
      </c>
      <c r="AB72" s="2">
        <f t="shared" si="211"/>
        <v>338</v>
      </c>
      <c r="AC72" s="5" t="str">
        <f ca="1">VLOOKUP($AB72,OFFSET([4]characters!$A$1,0,0,COUNTA([4]characters!$A:$A),MATCH(AC$1,[4]characters!$1:$1,0)-MATCH("character_id",[4]characters!$1:$1,0)+1),MATCH(AC$1,[4]characters!$1:$1,0)-MATCH("character_id",[4]characters!$1:$1,0)+1,FALSE)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72" s="5">
        <f ca="1">VLOOKUP($AB72,OFFSET([4]characters!$A$1,0,0,COUNTA([4]characters!$A:$A),MATCH(AD$1,[4]characters!$1:$1,0)-MATCH("character_id",[4]characters!$1:$1,0)+1),MATCH(AD$1,[4]characters!$1:$1,0)-MATCH("character_id",[4]characters!$1:$1,0)+1,FALSE)</f>
        <v>5</v>
      </c>
      <c r="AE72" s="5" t="str">
        <f ca="1">VLOOKUP($AB72,OFFSET([4]characters!$A$1,0,0,COUNTA([4]characters!$A:$A),MATCH(AE$1,[4]characters!$1:$1,0)-MATCH("character_id",[4]characters!$1:$1,0)+1),MATCH(AE$1,[4]characters!$1:$1,0)-MATCH("character_id",[4]characters!$1:$1,0)+1,FALSE)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2" s="27">
        <f t="shared" si="203"/>
        <v>1</v>
      </c>
      <c r="AG72" s="27">
        <f t="shared" ca="1" si="212"/>
        <v>5</v>
      </c>
      <c r="AH72" s="27">
        <f t="shared" ref="AH72:AM72" si="222">AH59</f>
        <v>100</v>
      </c>
      <c r="AI72" s="27">
        <f t="shared" si="222"/>
        <v>0</v>
      </c>
      <c r="AJ72" s="27">
        <f t="shared" si="222"/>
        <v>0</v>
      </c>
      <c r="AK72" s="27">
        <f t="shared" si="222"/>
        <v>0</v>
      </c>
      <c r="AL72" s="27">
        <f t="shared" si="222"/>
        <v>0</v>
      </c>
      <c r="AM72" s="27">
        <f t="shared" si="222"/>
        <v>1</v>
      </c>
    </row>
    <row r="73" spans="1:39" ht="21" customHeight="1" x14ac:dyDescent="0.15">
      <c r="A73" s="17" t="str">
        <f>B73&amp;"_"&amp;C73&amp;"-"&amp;G73&amp;"/"&amp;L73&amp;"&lt;lv"&amp;R73&amp;"&gt;s"&amp;AA73</f>
        <v>14004_3-3/337&lt;lv10&gt;s1</v>
      </c>
      <c r="B73" s="104">
        <v>14004</v>
      </c>
      <c r="C73" s="105">
        <f t="shared" si="206"/>
        <v>3</v>
      </c>
      <c r="D73" s="105" t="str">
        <f>B73&amp;"_"&amp;C73</f>
        <v>14004_3</v>
      </c>
      <c r="E73" s="106" t="str">
        <f ca="1">VLOOKUP($B73,OFFSET([2]quests!$A$1,0,0,COUNTA([2]quests!$A:$A),MATCH(E$1,[2]quests!$1:$1,0)-MATCH($B$1,[2]quests!$1:$1,0)+1),MATCH(E$1,[2]quests!$1:$1,0)-MATCH($B$1,[2]quests!$1:$1,0)+1,FALSE)</f>
        <v>【ロック】経験値/LINEマルチ</v>
      </c>
      <c r="F73" s="106" t="str">
        <f ca="1">VLOOKUP($D73,OFFSET([2]stages!$A$1,0,0,COUNTA([2]stages!$A:$A),MATCH(F$1,[2]stages!$2:$2,0)-MATCH($D$1,[2]stages!$2:$2,0)+1),MATCH(F$1,[2]stages!$2:$2,0)-MATCH($D$1,[2]stages!$2:$2,0)+1,FALSE)</f>
        <v>【超級】森ファミリー（ハートなし）</v>
      </c>
      <c r="G73" s="105">
        <v>3</v>
      </c>
      <c r="H73" s="16" t="str">
        <f>B73&amp;"_"&amp;C73&amp;"-"&amp;G73</f>
        <v>14004_3-3</v>
      </c>
      <c r="I73" s="5">
        <f ca="1">VLOOKUP($H73,OFFSET(floors!$A$1,0,0,COUNTA(floors!$A:$A),MATCH(I$1,floors!$1:$1,0)-MATCH($H$1,floors!$1:$1,0)+1),MATCH(I$1,floors!$1:$1,0)-MATCH($H$1,floors!$1:$1,0)+1,FALSE)</f>
        <v>50</v>
      </c>
      <c r="J73" s="5">
        <f ca="1">VLOOKUP($H73,OFFSET(floors!$A$1,0,0,COUNTA(floors!$A:$A),MATCH(J$1,floors!$1:$1,0)-MATCH($H$1,floors!$1:$1,0)+1),MATCH(J$1,floors!$1:$1,0)-MATCH($H$1,floors!$1:$1,0)+1,FALSE)</f>
        <v>50</v>
      </c>
      <c r="K73" s="8" t="s">
        <v>142</v>
      </c>
      <c r="L73" s="2">
        <f t="shared" si="200"/>
        <v>337</v>
      </c>
      <c r="M73" s="20" t="str">
        <f ca="1">VLOOKUP($L73,OFFSET([3]enemies!$A$1,0,0,COUNTA([3]enemies!$A:$A),MATCH(M$1,[3]enemies!$1:$1,0)-MATCH($L$1,[3]enemies!$1:$1,0)+1),MATCH(M$1,[3]enemies!$1:$1,0)-MATCH($L$1,[3]enemies!$1:$1,0)+1,FALSE)</f>
        <v>森のメタルチック</v>
      </c>
      <c r="N73" s="20" t="str">
        <f ca="1">VLOOKUP($L73,OFFSET([3]enemies!$A$1,0,0,COUNTA([3]enemies!$A:$A),MATCH(N$1,[3]enemies!$1:$1,0)-MATCH($L$1,[3]enemies!$1:$1,0)+1),MATCH(N$1,[3]enemies!$1:$1,0)-MATCH($L$1,[3]enemies!$1:$1,0)+1,FALSE)</f>
        <v>green</v>
      </c>
      <c r="O73" s="20" t="str">
        <f ca="1">VLOOKUP($L73,OFFSET([4]characters!$A$1,0,0,COUNTA([4]characters!$A:$A),MATCH(O$1,[4]characters!$1:$1,0)-MATCH($L$1,[4]characters!$1:$1,0)+1),MATCH(O$1,[4]characters!$1:$1,0)-MATCH($L$1,[4]characters!$1:$1,0)+1,FALSE)</f>
        <v>Material</v>
      </c>
      <c r="P73" s="20" t="str">
        <f ca="1">VLOOKUP($L73,OFFSET([3]enemies!$A$1,0,0,COUNTA([3]enemies!$A:$A),MATCH(P$1,[3]enemies!$1:$1,0)-MATCH($L$1,[3]enemies!$1:$1,0)+1),MATCH(P$1,[3]enemies!$1:$1,0)-MATCH($L$1,[3]enemies!$1:$1,0)+1,FALSE)</f>
        <v>unknown</v>
      </c>
      <c r="Q73" s="20">
        <f ca="1">VLOOKUP($L73,OFFSET([3]enemies!$A$1,0,0,COUNTA([3]enemies!$A:$A),MATCH(Q$1,[3]enemies!$1:$1,0)-MATCH($L$1,[3]enemies!$1:$1,0)+1),MATCH(Q$1,[3]enemies!$1:$1,0)-MATCH($L$1,[3]enemies!$1:$1,0)+1,FALSE)</f>
        <v>15</v>
      </c>
      <c r="R73" s="107">
        <f t="shared" ref="R73:U73" si="223">R60</f>
        <v>10</v>
      </c>
      <c r="S73" s="107">
        <f t="shared" si="223"/>
        <v>0.4</v>
      </c>
      <c r="T73" s="108">
        <f t="shared" si="223"/>
        <v>40</v>
      </c>
      <c r="U73" s="107">
        <f t="shared" si="223"/>
        <v>-2845</v>
      </c>
      <c r="V73" s="5" t="str">
        <f ca="1">VLOOKUP($W73,OFFSET([5]enemy_skill_sets!$B$1,0,0,COUNTA([5]enemy_skill_sets!$B:$B),MATCH(M$1,[5]enemy_skill_sets!$1:$1,0)-MATCH($W$1,[5]enemy_skill_sets!$1:$1,0)+2),MATCH(M$1,[5]enemy_skill_sets!$1:$1,0)-MATCH($W$1,[5]enemy_skill_sets!$1:$1,0)+2,FALSE)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3" s="109">
        <f t="shared" ref="W73:AA73" ca="1" si="224">W60</f>
        <v>0</v>
      </c>
      <c r="X73" s="109">
        <f t="shared" si="224"/>
        <v>0</v>
      </c>
      <c r="Y73" s="109">
        <f t="shared" si="224"/>
        <v>100</v>
      </c>
      <c r="Z73" s="109">
        <f t="shared" si="224"/>
        <v>0</v>
      </c>
      <c r="AA73" s="109">
        <f t="shared" si="224"/>
        <v>1</v>
      </c>
      <c r="AB73" s="2">
        <f>L73</f>
        <v>337</v>
      </c>
      <c r="AC73" s="5" t="str">
        <f ca="1">VLOOKUP($AB73,OFFSET([4]characters!$A$1,0,0,COUNTA([4]characters!$A:$A),MATCH(AC$1,[4]characters!$1:$1,0)-MATCH("character_id",[4]characters!$1:$1,0)+1),MATCH(AC$1,[4]characters!$1:$1,0)-MATCH("character_id",[4]characters!$1:$1,0)+1,FALSE)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73" s="5">
        <f ca="1">VLOOKUP($AB73,OFFSET([4]characters!$A$1,0,0,COUNTA([4]characters!$A:$A),MATCH(AD$1,[4]characters!$1:$1,0)-MATCH("character_id",[4]characters!$1:$1,0)+1),MATCH(AD$1,[4]characters!$1:$1,0)-MATCH("character_id",[4]characters!$1:$1,0)+1,FALSE)</f>
        <v>4</v>
      </c>
      <c r="AE73" s="5" t="str">
        <f ca="1">VLOOKUP($AB73,OFFSET([4]characters!$A$1,0,0,COUNTA([4]characters!$A:$A),MATCH(AE$1,[4]characters!$1:$1,0)-MATCH("character_id",[4]characters!$1:$1,0)+1),MATCH(AE$1,[4]characters!$1:$1,0)-MATCH("character_id",[4]characters!$1:$1,0)+1,FALSE)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3" s="27">
        <f t="shared" si="203"/>
        <v>1</v>
      </c>
      <c r="AG73" s="27">
        <f ca="1">AD73</f>
        <v>4</v>
      </c>
      <c r="AH73" s="27">
        <f t="shared" ref="AH73:AM73" si="225">AH60</f>
        <v>0</v>
      </c>
      <c r="AI73" s="27">
        <f t="shared" si="225"/>
        <v>0</v>
      </c>
      <c r="AJ73" s="27">
        <f t="shared" si="225"/>
        <v>0</v>
      </c>
      <c r="AK73" s="27">
        <f t="shared" si="225"/>
        <v>0</v>
      </c>
      <c r="AL73" s="27">
        <f t="shared" si="225"/>
        <v>0</v>
      </c>
      <c r="AM73" s="27">
        <f t="shared" si="225"/>
        <v>1</v>
      </c>
    </row>
    <row r="74" spans="1:39" ht="21" customHeight="1" x14ac:dyDescent="0.15">
      <c r="A74" s="17" t="str">
        <f t="shared" ref="A74:A79" si="226">B74&amp;"_"&amp;C74&amp;"-"&amp;G74&amp;"/"&amp;L74&amp;"&lt;lv"&amp;R74&amp;"&gt;s"&amp;AA74</f>
        <v>14004_3-3/338&lt;lv10&gt;s2</v>
      </c>
      <c r="B74" s="104">
        <v>14004</v>
      </c>
      <c r="C74" s="105">
        <f t="shared" si="206"/>
        <v>3</v>
      </c>
      <c r="D74" s="105" t="str">
        <f t="shared" ref="D74:D79" si="227">B74&amp;"_"&amp;C74</f>
        <v>14004_3</v>
      </c>
      <c r="E74" s="106" t="str">
        <f ca="1">VLOOKUP($B74,OFFSET([2]quests!$A$1,0,0,COUNTA([2]quests!$A:$A),MATCH(E$1,[2]quests!$1:$1,0)-MATCH($B$1,[2]quests!$1:$1,0)+1),MATCH(E$1,[2]quests!$1:$1,0)-MATCH($B$1,[2]quests!$1:$1,0)+1,FALSE)</f>
        <v>【ロック】経験値/LINEマルチ</v>
      </c>
      <c r="F74" s="106" t="str">
        <f ca="1">VLOOKUP($D74,OFFSET([2]stages!$A$1,0,0,COUNTA([2]stages!$A:$A),MATCH(F$1,[2]stages!$2:$2,0)-MATCH($D$1,[2]stages!$2:$2,0)+1),MATCH(F$1,[2]stages!$2:$2,0)-MATCH($D$1,[2]stages!$2:$2,0)+1,FALSE)</f>
        <v>【超級】森ファミリー（ハートなし）</v>
      </c>
      <c r="G74" s="105">
        <v>3</v>
      </c>
      <c r="H74" s="16" t="str">
        <f t="shared" ref="H74:H79" si="228">B74&amp;"_"&amp;C74&amp;"-"&amp;G74</f>
        <v>14004_3-3</v>
      </c>
      <c r="I74" s="5">
        <f ca="1">VLOOKUP($H74,OFFSET(floors!$A$1,0,0,COUNTA(floors!$A:$A),MATCH(I$1,floors!$1:$1,0)-MATCH($H$1,floors!$1:$1,0)+1),MATCH(I$1,floors!$1:$1,0)-MATCH($H$1,floors!$1:$1,0)+1,FALSE)</f>
        <v>50</v>
      </c>
      <c r="J74" s="5">
        <f ca="1">VLOOKUP($H74,OFFSET(floors!$A$1,0,0,COUNTA(floors!$A:$A),MATCH(J$1,floors!$1:$1,0)-MATCH($H$1,floors!$1:$1,0)+1),MATCH(J$1,floors!$1:$1,0)-MATCH($H$1,floors!$1:$1,0)+1,FALSE)</f>
        <v>50</v>
      </c>
      <c r="K74" s="8" t="s">
        <v>142</v>
      </c>
      <c r="L74" s="2">
        <f t="shared" si="200"/>
        <v>338</v>
      </c>
      <c r="M74" s="20" t="str">
        <f ca="1">VLOOKUP($L74,OFFSET([3]enemies!$A$1,0,0,COUNTA([3]enemies!$A:$A),MATCH(M$1,[3]enemies!$1:$1,0)-MATCH($L$1,[3]enemies!$1:$1,0)+1),MATCH(M$1,[3]enemies!$1:$1,0)-MATCH($L$1,[3]enemies!$1:$1,0)+1,FALSE)</f>
        <v>森のメタルダック</v>
      </c>
      <c r="N74" s="20" t="str">
        <f ca="1">VLOOKUP($L74,OFFSET([3]enemies!$A$1,0,0,COUNTA([3]enemies!$A:$A),MATCH(N$1,[3]enemies!$1:$1,0)-MATCH($L$1,[3]enemies!$1:$1,0)+1),MATCH(N$1,[3]enemies!$1:$1,0)-MATCH($L$1,[3]enemies!$1:$1,0)+1,FALSE)</f>
        <v>green</v>
      </c>
      <c r="O74" s="20" t="str">
        <f ca="1">VLOOKUP($L74,OFFSET([4]characters!$A$1,0,0,COUNTA([4]characters!$A:$A),MATCH(O$1,[4]characters!$1:$1,0)-MATCH($L$1,[4]characters!$1:$1,0)+1),MATCH(O$1,[4]characters!$1:$1,0)-MATCH($L$1,[4]characters!$1:$1,0)+1,FALSE)</f>
        <v>Material</v>
      </c>
      <c r="P74" s="20" t="str">
        <f ca="1">VLOOKUP($L74,OFFSET([3]enemies!$A$1,0,0,COUNTA([3]enemies!$A:$A),MATCH(P$1,[3]enemies!$1:$1,0)-MATCH($L$1,[3]enemies!$1:$1,0)+1),MATCH(P$1,[3]enemies!$1:$1,0)-MATCH($L$1,[3]enemies!$1:$1,0)+1,FALSE)</f>
        <v>unknown</v>
      </c>
      <c r="Q74" s="20">
        <f ca="1">VLOOKUP($L74,OFFSET([3]enemies!$A$1,0,0,COUNTA([3]enemies!$A:$A),MATCH(Q$1,[3]enemies!$1:$1,0)-MATCH($L$1,[3]enemies!$1:$1,0)+1),MATCH(Q$1,[3]enemies!$1:$1,0)-MATCH($L$1,[3]enemies!$1:$1,0)+1,FALSE)</f>
        <v>20</v>
      </c>
      <c r="R74" s="107">
        <f t="shared" ref="R74:U74" si="229">R61</f>
        <v>10</v>
      </c>
      <c r="S74" s="107">
        <f t="shared" si="229"/>
        <v>0.4</v>
      </c>
      <c r="T74" s="108">
        <f t="shared" si="229"/>
        <v>40</v>
      </c>
      <c r="U74" s="107">
        <f t="shared" si="229"/>
        <v>-20223</v>
      </c>
      <c r="V74" s="5" t="str">
        <f ca="1">VLOOKUP($W74,OFFSET([5]enemy_skill_sets!$B$1,0,0,COUNTA([5]enemy_skill_sets!$B:$B),MATCH(M$1,[5]enemy_skill_sets!$1:$1,0)-MATCH($W$1,[5]enemy_skill_sets!$1:$1,0)+2),MATCH(M$1,[5]enemy_skill_sets!$1:$1,0)-MATCH($W$1,[5]enemy_skill_sets!$1:$1,0)+2,FALSE)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4" s="109">
        <f t="shared" ref="W74:AA74" ca="1" si="230">W61</f>
        <v>0</v>
      </c>
      <c r="X74" s="109">
        <f t="shared" si="230"/>
        <v>0</v>
      </c>
      <c r="Y74" s="109">
        <f t="shared" si="230"/>
        <v>34</v>
      </c>
      <c r="Z74" s="109">
        <f t="shared" si="230"/>
        <v>1</v>
      </c>
      <c r="AA74" s="109">
        <f t="shared" si="230"/>
        <v>2</v>
      </c>
      <c r="AB74" s="2">
        <f t="shared" ref="AB74:AB79" si="231">L74</f>
        <v>338</v>
      </c>
      <c r="AC74" s="5" t="str">
        <f ca="1">VLOOKUP($AB74,OFFSET([4]characters!$A$1,0,0,COUNTA([4]characters!$A:$A),MATCH(AC$1,[4]characters!$1:$1,0)-MATCH("character_id",[4]characters!$1:$1,0)+1),MATCH(AC$1,[4]characters!$1:$1,0)-MATCH("character_id",[4]characters!$1:$1,0)+1,FALSE)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74" s="5">
        <f ca="1">VLOOKUP($AB74,OFFSET([4]characters!$A$1,0,0,COUNTA([4]characters!$A:$A),MATCH(AD$1,[4]characters!$1:$1,0)-MATCH("character_id",[4]characters!$1:$1,0)+1),MATCH(AD$1,[4]characters!$1:$1,0)-MATCH("character_id",[4]characters!$1:$1,0)+1,FALSE)</f>
        <v>5</v>
      </c>
      <c r="AE74" s="5" t="str">
        <f ca="1">VLOOKUP($AB74,OFFSET([4]characters!$A$1,0,0,COUNTA([4]characters!$A:$A),MATCH(AE$1,[4]characters!$1:$1,0)-MATCH("character_id",[4]characters!$1:$1,0)+1),MATCH(AE$1,[4]characters!$1:$1,0)-MATCH("character_id",[4]characters!$1:$1,0)+1,FALSE)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4" s="27">
        <f t="shared" si="203"/>
        <v>1</v>
      </c>
      <c r="AG74" s="27">
        <f t="shared" ref="AG74:AG79" ca="1" si="232">AD74</f>
        <v>5</v>
      </c>
      <c r="AH74" s="27">
        <f t="shared" ref="AH74:AM74" si="233">AH61</f>
        <v>100</v>
      </c>
      <c r="AI74" s="27">
        <f t="shared" si="233"/>
        <v>0</v>
      </c>
      <c r="AJ74" s="27">
        <f t="shared" si="233"/>
        <v>0</v>
      </c>
      <c r="AK74" s="27">
        <f t="shared" si="233"/>
        <v>0</v>
      </c>
      <c r="AL74" s="27">
        <f t="shared" si="233"/>
        <v>0</v>
      </c>
      <c r="AM74" s="27">
        <f t="shared" si="233"/>
        <v>1</v>
      </c>
    </row>
    <row r="75" spans="1:39" ht="21" customHeight="1" x14ac:dyDescent="0.15">
      <c r="A75" s="17" t="str">
        <f t="shared" si="226"/>
        <v>14004_3-3/339&lt;lv10&gt;s2</v>
      </c>
      <c r="B75" s="104">
        <v>14004</v>
      </c>
      <c r="C75" s="105">
        <f t="shared" si="206"/>
        <v>3</v>
      </c>
      <c r="D75" s="105" t="str">
        <f t="shared" si="227"/>
        <v>14004_3</v>
      </c>
      <c r="E75" s="106" t="str">
        <f ca="1">VLOOKUP($B75,OFFSET([2]quests!$A$1,0,0,COUNTA([2]quests!$A:$A),MATCH(E$1,[2]quests!$1:$1,0)-MATCH($B$1,[2]quests!$1:$1,0)+1),MATCH(E$1,[2]quests!$1:$1,0)-MATCH($B$1,[2]quests!$1:$1,0)+1,FALSE)</f>
        <v>【ロック】経験値/LINEマルチ</v>
      </c>
      <c r="F75" s="106" t="str">
        <f ca="1">VLOOKUP($D75,OFFSET([2]stages!$A$1,0,0,COUNTA([2]stages!$A:$A),MATCH(F$1,[2]stages!$2:$2,0)-MATCH($D$1,[2]stages!$2:$2,0)+1),MATCH(F$1,[2]stages!$2:$2,0)-MATCH($D$1,[2]stages!$2:$2,0)+1,FALSE)</f>
        <v>【超級】森ファミリー（ハートなし）</v>
      </c>
      <c r="G75" s="105">
        <v>3</v>
      </c>
      <c r="H75" s="16" t="str">
        <f t="shared" si="228"/>
        <v>14004_3-3</v>
      </c>
      <c r="I75" s="5">
        <f ca="1">VLOOKUP($H75,OFFSET(floors!$A$1,0,0,COUNTA(floors!$A:$A),MATCH(I$1,floors!$1:$1,0)-MATCH($H$1,floors!$1:$1,0)+1),MATCH(I$1,floors!$1:$1,0)-MATCH($H$1,floors!$1:$1,0)+1,FALSE)</f>
        <v>50</v>
      </c>
      <c r="J75" s="5">
        <f ca="1">VLOOKUP($H75,OFFSET(floors!$A$1,0,0,COUNTA(floors!$A:$A),MATCH(J$1,floors!$1:$1,0)-MATCH($H$1,floors!$1:$1,0)+1),MATCH(J$1,floors!$1:$1,0)-MATCH($H$1,floors!$1:$1,0)+1,FALSE)</f>
        <v>50</v>
      </c>
      <c r="K75" s="8" t="s">
        <v>142</v>
      </c>
      <c r="L75" s="2">
        <f t="shared" si="200"/>
        <v>339</v>
      </c>
      <c r="M75" s="20" t="str">
        <f ca="1">VLOOKUP($L75,OFFSET([3]enemies!$A$1,0,0,COUNTA([3]enemies!$A:$A),MATCH(M$1,[3]enemies!$1:$1,0)-MATCH($L$1,[3]enemies!$1:$1,0)+1),MATCH(M$1,[3]enemies!$1:$1,0)-MATCH($L$1,[3]enemies!$1:$1,0)+1,FALSE)</f>
        <v>森のメタルジェントル</v>
      </c>
      <c r="N75" s="20" t="str">
        <f ca="1">VLOOKUP($L75,OFFSET([3]enemies!$A$1,0,0,COUNTA([3]enemies!$A:$A),MATCH(N$1,[3]enemies!$1:$1,0)-MATCH($L$1,[3]enemies!$1:$1,0)+1),MATCH(N$1,[3]enemies!$1:$1,0)-MATCH($L$1,[3]enemies!$1:$1,0)+1,FALSE)</f>
        <v>green</v>
      </c>
      <c r="O75" s="20" t="str">
        <f ca="1">VLOOKUP($L75,OFFSET([4]characters!$A$1,0,0,COUNTA([4]characters!$A:$A),MATCH(O$1,[4]characters!$1:$1,0)-MATCH($L$1,[4]characters!$1:$1,0)+1),MATCH(O$1,[4]characters!$1:$1,0)-MATCH($L$1,[4]characters!$1:$1,0)+1,FALSE)</f>
        <v>Material</v>
      </c>
      <c r="P75" s="20" t="str">
        <f ca="1">VLOOKUP($L75,OFFSET([3]enemies!$A$1,0,0,COUNTA([3]enemies!$A:$A),MATCH(P$1,[3]enemies!$1:$1,0)-MATCH($L$1,[3]enemies!$1:$1,0)+1),MATCH(P$1,[3]enemies!$1:$1,0)-MATCH($L$1,[3]enemies!$1:$1,0)+1,FALSE)</f>
        <v>unknown</v>
      </c>
      <c r="Q75" s="20">
        <f ca="1">VLOOKUP($L75,OFFSET([3]enemies!$A$1,0,0,COUNTA([3]enemies!$A:$A),MATCH(Q$1,[3]enemies!$1:$1,0)-MATCH($L$1,[3]enemies!$1:$1,0)+1),MATCH(Q$1,[3]enemies!$1:$1,0)-MATCH($L$1,[3]enemies!$1:$1,0)+1,FALSE)</f>
        <v>20</v>
      </c>
      <c r="R75" s="107">
        <f t="shared" ref="R75:U75" si="234">R62</f>
        <v>10</v>
      </c>
      <c r="S75" s="107">
        <f t="shared" si="234"/>
        <v>0.2</v>
      </c>
      <c r="T75" s="108">
        <f t="shared" si="234"/>
        <v>50</v>
      </c>
      <c r="U75" s="107">
        <f t="shared" si="234"/>
        <v>-30889</v>
      </c>
      <c r="V75" s="5" t="str">
        <f ca="1">VLOOKUP($W75,OFFSET(enemy_skill_sets!$B$1,0,0,COUNTA(enemy_skill_sets!$B:$B),MATCH(M$1,enemy_skill_sets!$1:$1,0)-MATCH($W$1,enemy_skill_sets!$1:$1,0)+2),MATCH(M$1,enemy_skill_sets!$1:$1,0)-MATCH($W$1,enemy_skill_sets!$1:$1,0)+2,FALSE)</f>
        <v>なんと ジェントルがあらわれた！</v>
      </c>
      <c r="W75" s="109">
        <f t="shared" ref="W75:AA75" si="235">W62</f>
        <v>14001030</v>
      </c>
      <c r="X75" s="109">
        <f t="shared" si="235"/>
        <v>0</v>
      </c>
      <c r="Y75" s="109">
        <f t="shared" si="235"/>
        <v>66</v>
      </c>
      <c r="Z75" s="109">
        <f t="shared" si="235"/>
        <v>1</v>
      </c>
      <c r="AA75" s="109">
        <f t="shared" si="235"/>
        <v>2</v>
      </c>
      <c r="AB75" s="2">
        <f t="shared" si="231"/>
        <v>339</v>
      </c>
      <c r="AC75" s="5" t="str">
        <f ca="1">VLOOKUP($AB75,OFFSET([4]characters!$A$1,0,0,COUNTA([4]characters!$A:$A),MATCH(AC$1,[4]characters!$1:$1,0)-MATCH("character_id",[4]characters!$1:$1,0)+1),MATCH(AC$1,[4]characters!$1:$1,0)-MATCH("character_id",[4]characters!$1:$1,0)+1,FALSE)</f>
        <v>森のメタルジェントル</v>
      </c>
      <c r="AD75" s="5">
        <f ca="1">VLOOKUP($AB75,OFFSET([4]characters!$A$1,0,0,COUNTA([4]characters!$A:$A),MATCH(AD$1,[4]characters!$1:$1,0)-MATCH("character_id",[4]characters!$1:$1,0)+1),MATCH(AD$1,[4]characters!$1:$1,0)-MATCH("character_id",[4]characters!$1:$1,0)+1,FALSE)</f>
        <v>6</v>
      </c>
      <c r="AE75" s="5" t="str">
        <f ca="1">VLOOKUP($AB75,OFFSET([4]characters!$A$1,0,0,COUNTA([4]characters!$A:$A),MATCH(AE$1,[4]characters!$1:$1,0)-MATCH("character_id",[4]characters!$1:$1,0)+1),MATCH(AE$1,[4]characters!$1:$1,0)-MATCH("character_id",[4]characters!$1:$1,0)+1,FALSE)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5" s="27">
        <f t="shared" si="203"/>
        <v>1</v>
      </c>
      <c r="AG75" s="27">
        <f t="shared" ca="1" si="232"/>
        <v>6</v>
      </c>
      <c r="AH75" s="27">
        <f t="shared" ref="AH75:AM75" si="236">AH62</f>
        <v>100</v>
      </c>
      <c r="AI75" s="27">
        <f t="shared" si="236"/>
        <v>0</v>
      </c>
      <c r="AJ75" s="27">
        <f t="shared" si="236"/>
        <v>0</v>
      </c>
      <c r="AK75" s="27">
        <f t="shared" si="236"/>
        <v>0</v>
      </c>
      <c r="AL75" s="27">
        <f t="shared" si="236"/>
        <v>0</v>
      </c>
      <c r="AM75" s="27">
        <f t="shared" si="236"/>
        <v>1</v>
      </c>
    </row>
    <row r="76" spans="1:39" ht="21" customHeight="1" x14ac:dyDescent="0.15">
      <c r="A76" s="17" t="str">
        <f t="shared" si="226"/>
        <v>14004_3-4/338&lt;lv10&gt;s2</v>
      </c>
      <c r="B76" s="104">
        <v>14004</v>
      </c>
      <c r="C76" s="105">
        <f t="shared" si="206"/>
        <v>3</v>
      </c>
      <c r="D76" s="105" t="str">
        <f t="shared" si="227"/>
        <v>14004_3</v>
      </c>
      <c r="E76" s="106" t="str">
        <f ca="1">VLOOKUP($B76,OFFSET([2]quests!$A$1,0,0,COUNTA([2]quests!$A:$A),MATCH(E$1,[2]quests!$1:$1,0)-MATCH($B$1,[2]quests!$1:$1,0)+1),MATCH(E$1,[2]quests!$1:$1,0)-MATCH($B$1,[2]quests!$1:$1,0)+1,FALSE)</f>
        <v>【ロック】経験値/LINEマルチ</v>
      </c>
      <c r="F76" s="106" t="str">
        <f ca="1">VLOOKUP($D76,OFFSET([2]stages!$A$1,0,0,COUNTA([2]stages!$A:$A),MATCH(F$1,[2]stages!$2:$2,0)-MATCH($D$1,[2]stages!$2:$2,0)+1),MATCH(F$1,[2]stages!$2:$2,0)-MATCH($D$1,[2]stages!$2:$2,0)+1,FALSE)</f>
        <v>【超級】森ファミリー（ハートなし）</v>
      </c>
      <c r="G76" s="105">
        <v>4</v>
      </c>
      <c r="H76" s="16" t="str">
        <f t="shared" si="228"/>
        <v>14004_3-4</v>
      </c>
      <c r="I76" s="5">
        <f ca="1">VLOOKUP($H76,OFFSET(floors!$A$1,0,0,COUNTA(floors!$A:$A),MATCH(I$1,floors!$1:$1,0)-MATCH($H$1,floors!$1:$1,0)+1),MATCH(I$1,floors!$1:$1,0)-MATCH($H$1,floors!$1:$1,0)+1,FALSE)</f>
        <v>59</v>
      </c>
      <c r="J76" s="5">
        <f ca="1">VLOOKUP($H76,OFFSET(floors!$A$1,0,0,COUNTA(floors!$A:$A),MATCH(J$1,floors!$1:$1,0)-MATCH($H$1,floors!$1:$1,0)+1),MATCH(J$1,floors!$1:$1,0)-MATCH($H$1,floors!$1:$1,0)+1,FALSE)</f>
        <v>60</v>
      </c>
      <c r="K76" s="8" t="s">
        <v>142</v>
      </c>
      <c r="L76" s="2">
        <f t="shared" si="200"/>
        <v>338</v>
      </c>
      <c r="M76" s="20" t="str">
        <f ca="1">VLOOKUP($L76,OFFSET([3]enemies!$A$1,0,0,COUNTA([3]enemies!$A:$A),MATCH(M$1,[3]enemies!$1:$1,0)-MATCH($L$1,[3]enemies!$1:$1,0)+1),MATCH(M$1,[3]enemies!$1:$1,0)-MATCH($L$1,[3]enemies!$1:$1,0)+1,FALSE)</f>
        <v>森のメタルダック</v>
      </c>
      <c r="N76" s="20" t="str">
        <f ca="1">VLOOKUP($L76,OFFSET([3]enemies!$A$1,0,0,COUNTA([3]enemies!$A:$A),MATCH(N$1,[3]enemies!$1:$1,0)-MATCH($L$1,[3]enemies!$1:$1,0)+1),MATCH(N$1,[3]enemies!$1:$1,0)-MATCH($L$1,[3]enemies!$1:$1,0)+1,FALSE)</f>
        <v>green</v>
      </c>
      <c r="O76" s="20" t="str">
        <f ca="1">VLOOKUP($L76,OFFSET([4]characters!$A$1,0,0,COUNTA([4]characters!$A:$A),MATCH(O$1,[4]characters!$1:$1,0)-MATCH($L$1,[4]characters!$1:$1,0)+1),MATCH(O$1,[4]characters!$1:$1,0)-MATCH($L$1,[4]characters!$1:$1,0)+1,FALSE)</f>
        <v>Material</v>
      </c>
      <c r="P76" s="20" t="str">
        <f ca="1">VLOOKUP($L76,OFFSET([3]enemies!$A$1,0,0,COUNTA([3]enemies!$A:$A),MATCH(P$1,[3]enemies!$1:$1,0)-MATCH($L$1,[3]enemies!$1:$1,0)+1),MATCH(P$1,[3]enemies!$1:$1,0)-MATCH($L$1,[3]enemies!$1:$1,0)+1,FALSE)</f>
        <v>unknown</v>
      </c>
      <c r="Q76" s="20">
        <f ca="1">VLOOKUP($L76,OFFSET([3]enemies!$A$1,0,0,COUNTA([3]enemies!$A:$A),MATCH(Q$1,[3]enemies!$1:$1,0)-MATCH($L$1,[3]enemies!$1:$1,0)+1),MATCH(Q$1,[3]enemies!$1:$1,0)-MATCH($L$1,[3]enemies!$1:$1,0)+1,FALSE)</f>
        <v>20</v>
      </c>
      <c r="R76" s="107">
        <f t="shared" ref="R76:U76" si="237">R63</f>
        <v>10</v>
      </c>
      <c r="S76" s="107">
        <f t="shared" si="237"/>
        <v>0.4</v>
      </c>
      <c r="T76" s="108">
        <f t="shared" si="237"/>
        <v>40</v>
      </c>
      <c r="U76" s="107">
        <f t="shared" si="237"/>
        <v>-20223</v>
      </c>
      <c r="V76" s="5" t="str">
        <f ca="1">VLOOKUP($W76,OFFSET([5]enemy_skill_sets!$B$1,0,0,COUNTA([5]enemy_skill_sets!$B:$B),MATCH(M$1,[5]enemy_skill_sets!$1:$1,0)-MATCH($W$1,[5]enemy_skill_sets!$1:$1,0)+2),MATCH(M$1,[5]enemy_skill_sets!$1:$1,0)-MATCH($W$1,[5]enemy_skill_sets!$1:$1,0)+2,FALSE)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6" s="109">
        <f t="shared" ref="W76:AA76" ca="1" si="238">W63</f>
        <v>0</v>
      </c>
      <c r="X76" s="109">
        <f t="shared" si="238"/>
        <v>0</v>
      </c>
      <c r="Y76" s="109">
        <f t="shared" si="238"/>
        <v>100</v>
      </c>
      <c r="Z76" s="109">
        <f t="shared" si="238"/>
        <v>0</v>
      </c>
      <c r="AA76" s="109">
        <f t="shared" si="238"/>
        <v>2</v>
      </c>
      <c r="AB76" s="2">
        <f t="shared" si="231"/>
        <v>338</v>
      </c>
      <c r="AC76" s="5" t="str">
        <f ca="1">VLOOKUP($AB76,OFFSET([4]characters!$A$1,0,0,COUNTA([4]characters!$A:$A),MATCH(AC$1,[4]characters!$1:$1,0)-MATCH("character_id",[4]characters!$1:$1,0)+1),MATCH(AC$1,[4]characters!$1:$1,0)-MATCH("character_id",[4]characters!$1:$1,0)+1,FALSE)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76" s="5">
        <f ca="1">VLOOKUP($AB76,OFFSET([4]characters!$A$1,0,0,COUNTA([4]characters!$A:$A),MATCH(AD$1,[4]characters!$1:$1,0)-MATCH("character_id",[4]characters!$1:$1,0)+1),MATCH(AD$1,[4]characters!$1:$1,0)-MATCH("character_id",[4]characters!$1:$1,0)+1,FALSE)</f>
        <v>5</v>
      </c>
      <c r="AE76" s="5" t="str">
        <f ca="1">VLOOKUP($AB76,OFFSET([4]characters!$A$1,0,0,COUNTA([4]characters!$A:$A),MATCH(AE$1,[4]characters!$1:$1,0)-MATCH("character_id",[4]characters!$1:$1,0)+1),MATCH(AE$1,[4]characters!$1:$1,0)-MATCH("character_id",[4]characters!$1:$1,0)+1,FALSE)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6" s="27">
        <f t="shared" si="203"/>
        <v>1</v>
      </c>
      <c r="AG76" s="27">
        <f t="shared" ca="1" si="232"/>
        <v>5</v>
      </c>
      <c r="AH76" s="27">
        <f t="shared" ref="AH76:AM76" si="239">AH63</f>
        <v>100</v>
      </c>
      <c r="AI76" s="27">
        <f t="shared" si="239"/>
        <v>0</v>
      </c>
      <c r="AJ76" s="27">
        <f t="shared" si="239"/>
        <v>0</v>
      </c>
      <c r="AK76" s="27">
        <f t="shared" si="239"/>
        <v>0</v>
      </c>
      <c r="AL76" s="27">
        <f t="shared" si="239"/>
        <v>0</v>
      </c>
      <c r="AM76" s="27">
        <f t="shared" si="239"/>
        <v>1</v>
      </c>
    </row>
    <row r="77" spans="1:39" ht="21" customHeight="1" x14ac:dyDescent="0.15">
      <c r="A77" s="17" t="str">
        <f t="shared" si="226"/>
        <v>14004_3-5/337&lt;lv10&gt;s2</v>
      </c>
      <c r="B77" s="104">
        <v>14004</v>
      </c>
      <c r="C77" s="105">
        <f t="shared" si="206"/>
        <v>3</v>
      </c>
      <c r="D77" s="105" t="str">
        <f t="shared" si="227"/>
        <v>14004_3</v>
      </c>
      <c r="E77" s="106" t="str">
        <f ca="1">VLOOKUP($B77,OFFSET([2]quests!$A$1,0,0,COUNTA([2]quests!$A:$A),MATCH(E$1,[2]quests!$1:$1,0)-MATCH($B$1,[2]quests!$1:$1,0)+1),MATCH(E$1,[2]quests!$1:$1,0)-MATCH($B$1,[2]quests!$1:$1,0)+1,FALSE)</f>
        <v>【ロック】経験値/LINEマルチ</v>
      </c>
      <c r="F77" s="106" t="str">
        <f ca="1">VLOOKUP($D77,OFFSET([2]stages!$A$1,0,0,COUNTA([2]stages!$A:$A),MATCH(F$1,[2]stages!$2:$2,0)-MATCH($D$1,[2]stages!$2:$2,0)+1),MATCH(F$1,[2]stages!$2:$2,0)-MATCH($D$1,[2]stages!$2:$2,0)+1,FALSE)</f>
        <v>【超級】森ファミリー（ハートなし）</v>
      </c>
      <c r="G77" s="105">
        <v>5</v>
      </c>
      <c r="H77" s="16" t="str">
        <f t="shared" si="228"/>
        <v>14004_3-5</v>
      </c>
      <c r="I77" s="5">
        <f ca="1">VLOOKUP($H77,OFFSET(floors!$A$1,0,0,COUNTA(floors!$A:$A),MATCH(I$1,floors!$1:$1,0)-MATCH($H$1,floors!$1:$1,0)+1),MATCH(I$1,floors!$1:$1,0)-MATCH($H$1,floors!$1:$1,0)+1,FALSE)</f>
        <v>55</v>
      </c>
      <c r="J77" s="5">
        <f ca="1">VLOOKUP($H77,OFFSET(floors!$A$1,0,0,COUNTA(floors!$A:$A),MATCH(J$1,floors!$1:$1,0)-MATCH($H$1,floors!$1:$1,0)+1),MATCH(J$1,floors!$1:$1,0)-MATCH($H$1,floors!$1:$1,0)+1,FALSE)</f>
        <v>55</v>
      </c>
      <c r="K77" s="8" t="s">
        <v>142</v>
      </c>
      <c r="L77" s="2">
        <f t="shared" si="200"/>
        <v>337</v>
      </c>
      <c r="M77" s="20" t="str">
        <f ca="1">VLOOKUP($L77,OFFSET([3]enemies!$A$1,0,0,COUNTA([3]enemies!$A:$A),MATCH(M$1,[3]enemies!$1:$1,0)-MATCH($L$1,[3]enemies!$1:$1,0)+1),MATCH(M$1,[3]enemies!$1:$1,0)-MATCH($L$1,[3]enemies!$1:$1,0)+1,FALSE)</f>
        <v>森のメタルチック</v>
      </c>
      <c r="N77" s="20" t="str">
        <f ca="1">VLOOKUP($L77,OFFSET([3]enemies!$A$1,0,0,COUNTA([3]enemies!$A:$A),MATCH(N$1,[3]enemies!$1:$1,0)-MATCH($L$1,[3]enemies!$1:$1,0)+1),MATCH(N$1,[3]enemies!$1:$1,0)-MATCH($L$1,[3]enemies!$1:$1,0)+1,FALSE)</f>
        <v>green</v>
      </c>
      <c r="O77" s="20" t="str">
        <f ca="1">VLOOKUP($L77,OFFSET([4]characters!$A$1,0,0,COUNTA([4]characters!$A:$A),MATCH(O$1,[4]characters!$1:$1,0)-MATCH($L$1,[4]characters!$1:$1,0)+1),MATCH(O$1,[4]characters!$1:$1,0)-MATCH($L$1,[4]characters!$1:$1,0)+1,FALSE)</f>
        <v>Material</v>
      </c>
      <c r="P77" s="20" t="str">
        <f ca="1">VLOOKUP($L77,OFFSET([3]enemies!$A$1,0,0,COUNTA([3]enemies!$A:$A),MATCH(P$1,[3]enemies!$1:$1,0)-MATCH($L$1,[3]enemies!$1:$1,0)+1),MATCH(P$1,[3]enemies!$1:$1,0)-MATCH($L$1,[3]enemies!$1:$1,0)+1,FALSE)</f>
        <v>unknown</v>
      </c>
      <c r="Q77" s="20">
        <f ca="1">VLOOKUP($L77,OFFSET([3]enemies!$A$1,0,0,COUNTA([3]enemies!$A:$A),MATCH(Q$1,[3]enemies!$1:$1,0)-MATCH($L$1,[3]enemies!$1:$1,0)+1),MATCH(Q$1,[3]enemies!$1:$1,0)-MATCH($L$1,[3]enemies!$1:$1,0)+1,FALSE)</f>
        <v>15</v>
      </c>
      <c r="R77" s="107">
        <f t="shared" ref="R77:U77" si="240">R64</f>
        <v>10</v>
      </c>
      <c r="S77" s="107">
        <f t="shared" si="240"/>
        <v>0.4</v>
      </c>
      <c r="T77" s="108">
        <f t="shared" si="240"/>
        <v>40</v>
      </c>
      <c r="U77" s="107">
        <f t="shared" si="240"/>
        <v>-2845</v>
      </c>
      <c r="V77" s="5" t="str">
        <f ca="1">VLOOKUP($W77,OFFSET([5]enemy_skill_sets!$B$1,0,0,COUNTA([5]enemy_skill_sets!$B:$B),MATCH(M$1,[5]enemy_skill_sets!$1:$1,0)-MATCH($W$1,[5]enemy_skill_sets!$1:$1,0)+2),MATCH(M$1,[5]enemy_skill_sets!$1:$1,0)-MATCH($W$1,[5]enemy_skill_sets!$1:$1,0)+2,FALSE)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7" s="109">
        <f t="shared" ref="W77:AA77" ca="1" si="241">W64</f>
        <v>0</v>
      </c>
      <c r="X77" s="109">
        <f t="shared" si="241"/>
        <v>1</v>
      </c>
      <c r="Y77" s="109">
        <f t="shared" si="241"/>
        <v>0</v>
      </c>
      <c r="Z77" s="109">
        <f t="shared" si="241"/>
        <v>2</v>
      </c>
      <c r="AA77" s="109">
        <f t="shared" si="241"/>
        <v>2</v>
      </c>
      <c r="AB77" s="2">
        <f t="shared" si="231"/>
        <v>337</v>
      </c>
      <c r="AC77" s="5" t="str">
        <f ca="1">VLOOKUP($AB77,OFFSET([4]characters!$A$1,0,0,COUNTA([4]characters!$A:$A),MATCH(AC$1,[4]characters!$1:$1,0)-MATCH("character_id",[4]characters!$1:$1,0)+1),MATCH(AC$1,[4]characters!$1:$1,0)-MATCH("character_id",[4]characters!$1:$1,0)+1,FALSE)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77" s="5">
        <f ca="1">VLOOKUP($AB77,OFFSET([4]characters!$A$1,0,0,COUNTA([4]characters!$A:$A),MATCH(AD$1,[4]characters!$1:$1,0)-MATCH("character_id",[4]characters!$1:$1,0)+1),MATCH(AD$1,[4]characters!$1:$1,0)-MATCH("character_id",[4]characters!$1:$1,0)+1,FALSE)</f>
        <v>4</v>
      </c>
      <c r="AE77" s="5" t="str">
        <f ca="1">VLOOKUP($AB77,OFFSET([4]characters!$A$1,0,0,COUNTA([4]characters!$A:$A),MATCH(AE$1,[4]characters!$1:$1,0)-MATCH("character_id",[4]characters!$1:$1,0)+1),MATCH(AE$1,[4]characters!$1:$1,0)-MATCH("character_id",[4]characters!$1:$1,0)+1,FALSE)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7" s="27">
        <f t="shared" si="203"/>
        <v>1</v>
      </c>
      <c r="AG77" s="27">
        <f t="shared" ca="1" si="232"/>
        <v>4</v>
      </c>
      <c r="AH77" s="27">
        <f t="shared" ref="AH77:AM77" si="242">AH64</f>
        <v>0</v>
      </c>
      <c r="AI77" s="27">
        <f t="shared" si="242"/>
        <v>0</v>
      </c>
      <c r="AJ77" s="27">
        <f t="shared" si="242"/>
        <v>0</v>
      </c>
      <c r="AK77" s="27">
        <f t="shared" si="242"/>
        <v>0</v>
      </c>
      <c r="AL77" s="27">
        <f t="shared" si="242"/>
        <v>0</v>
      </c>
      <c r="AM77" s="27">
        <f t="shared" si="242"/>
        <v>1</v>
      </c>
    </row>
    <row r="78" spans="1:39" ht="21" customHeight="1" x14ac:dyDescent="0.15">
      <c r="A78" s="17" t="str">
        <f t="shared" si="226"/>
        <v>14004_3-5/338&lt;lv10&gt;s2</v>
      </c>
      <c r="B78" s="104">
        <v>14004</v>
      </c>
      <c r="C78" s="105">
        <f t="shared" si="206"/>
        <v>3</v>
      </c>
      <c r="D78" s="105" t="str">
        <f t="shared" si="227"/>
        <v>14004_3</v>
      </c>
      <c r="E78" s="106" t="str">
        <f ca="1">VLOOKUP($B78,OFFSET([2]quests!$A$1,0,0,COUNTA([2]quests!$A:$A),MATCH(E$1,[2]quests!$1:$1,0)-MATCH($B$1,[2]quests!$1:$1,0)+1),MATCH(E$1,[2]quests!$1:$1,0)-MATCH($B$1,[2]quests!$1:$1,0)+1,FALSE)</f>
        <v>【ロック】経験値/LINEマルチ</v>
      </c>
      <c r="F78" s="106" t="str">
        <f ca="1">VLOOKUP($D78,OFFSET([2]stages!$A$1,0,0,COUNTA([2]stages!$A:$A),MATCH(F$1,[2]stages!$2:$2,0)-MATCH($D$1,[2]stages!$2:$2,0)+1),MATCH(F$1,[2]stages!$2:$2,0)-MATCH($D$1,[2]stages!$2:$2,0)+1,FALSE)</f>
        <v>【超級】森ファミリー（ハートなし）</v>
      </c>
      <c r="G78" s="105">
        <v>5</v>
      </c>
      <c r="H78" s="16" t="str">
        <f t="shared" si="228"/>
        <v>14004_3-5</v>
      </c>
      <c r="I78" s="5">
        <f ca="1">VLOOKUP($H78,OFFSET(floors!$A$1,0,0,COUNTA(floors!$A:$A),MATCH(I$1,floors!$1:$1,0)-MATCH($H$1,floors!$1:$1,0)+1),MATCH(I$1,floors!$1:$1,0)-MATCH($H$1,floors!$1:$1,0)+1,FALSE)</f>
        <v>55</v>
      </c>
      <c r="J78" s="5">
        <f ca="1">VLOOKUP($H78,OFFSET(floors!$A$1,0,0,COUNTA(floors!$A:$A),MATCH(J$1,floors!$1:$1,0)-MATCH($H$1,floors!$1:$1,0)+1),MATCH(J$1,floors!$1:$1,0)-MATCH($H$1,floors!$1:$1,0)+1,FALSE)</f>
        <v>55</v>
      </c>
      <c r="K78" s="8" t="s">
        <v>142</v>
      </c>
      <c r="L78" s="2">
        <f t="shared" si="200"/>
        <v>338</v>
      </c>
      <c r="M78" s="20" t="str">
        <f ca="1">VLOOKUP($L78,OFFSET([3]enemies!$A$1,0,0,COUNTA([3]enemies!$A:$A),MATCH(M$1,[3]enemies!$1:$1,0)-MATCH($L$1,[3]enemies!$1:$1,0)+1),MATCH(M$1,[3]enemies!$1:$1,0)-MATCH($L$1,[3]enemies!$1:$1,0)+1,FALSE)</f>
        <v>森のメタルダック</v>
      </c>
      <c r="N78" s="20" t="str">
        <f ca="1">VLOOKUP($L78,OFFSET([3]enemies!$A$1,0,0,COUNTA([3]enemies!$A:$A),MATCH(N$1,[3]enemies!$1:$1,0)-MATCH($L$1,[3]enemies!$1:$1,0)+1),MATCH(N$1,[3]enemies!$1:$1,0)-MATCH($L$1,[3]enemies!$1:$1,0)+1,FALSE)</f>
        <v>green</v>
      </c>
      <c r="O78" s="20" t="str">
        <f ca="1">VLOOKUP($L78,OFFSET([4]characters!$A$1,0,0,COUNTA([4]characters!$A:$A),MATCH(O$1,[4]characters!$1:$1,0)-MATCH($L$1,[4]characters!$1:$1,0)+1),MATCH(O$1,[4]characters!$1:$1,0)-MATCH($L$1,[4]characters!$1:$1,0)+1,FALSE)</f>
        <v>Material</v>
      </c>
      <c r="P78" s="20" t="str">
        <f ca="1">VLOOKUP($L78,OFFSET([3]enemies!$A$1,0,0,COUNTA([3]enemies!$A:$A),MATCH(P$1,[3]enemies!$1:$1,0)-MATCH($L$1,[3]enemies!$1:$1,0)+1),MATCH(P$1,[3]enemies!$1:$1,0)-MATCH($L$1,[3]enemies!$1:$1,0)+1,FALSE)</f>
        <v>unknown</v>
      </c>
      <c r="Q78" s="20">
        <f ca="1">VLOOKUP($L78,OFFSET([3]enemies!$A$1,0,0,COUNTA([3]enemies!$A:$A),MATCH(Q$1,[3]enemies!$1:$1,0)-MATCH($L$1,[3]enemies!$1:$1,0)+1),MATCH(Q$1,[3]enemies!$1:$1,0)-MATCH($L$1,[3]enemies!$1:$1,0)+1,FALSE)</f>
        <v>20</v>
      </c>
      <c r="R78" s="107">
        <f t="shared" ref="R78:U78" si="243">R65</f>
        <v>10</v>
      </c>
      <c r="S78" s="107">
        <f t="shared" si="243"/>
        <v>0.4</v>
      </c>
      <c r="T78" s="108">
        <f t="shared" si="243"/>
        <v>40</v>
      </c>
      <c r="U78" s="107">
        <f t="shared" si="243"/>
        <v>-20223</v>
      </c>
      <c r="V78" s="5" t="str">
        <f ca="1">VLOOKUP($W78,OFFSET([5]enemy_skill_sets!$B$1,0,0,COUNTA([5]enemy_skill_sets!$B:$B),MATCH(M$1,[5]enemy_skill_sets!$1:$1,0)-MATCH($W$1,[5]enemy_skill_sets!$1:$1,0)+2),MATCH(M$1,[5]enemy_skill_sets!$1:$1,0)-MATCH($W$1,[5]enemy_skill_sets!$1:$1,0)+2,FALSE)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8" s="109">
        <f t="shared" ref="W78:AA78" ca="1" si="244">W65</f>
        <v>0</v>
      </c>
      <c r="X78" s="109">
        <f t="shared" si="244"/>
        <v>1</v>
      </c>
      <c r="Y78" s="109">
        <f t="shared" si="244"/>
        <v>0</v>
      </c>
      <c r="Z78" s="109">
        <f t="shared" si="244"/>
        <v>1</v>
      </c>
      <c r="AA78" s="109">
        <f t="shared" si="244"/>
        <v>2</v>
      </c>
      <c r="AB78" s="2">
        <f t="shared" si="231"/>
        <v>338</v>
      </c>
      <c r="AC78" s="5" t="str">
        <f ca="1">VLOOKUP($AB78,OFFSET([4]characters!$A$1,0,0,COUNTA([4]characters!$A:$A),MATCH(AC$1,[4]characters!$1:$1,0)-MATCH("character_id",[4]characters!$1:$1,0)+1),MATCH(AC$1,[4]characters!$1:$1,0)-MATCH("character_id",[4]characters!$1:$1,0)+1,FALSE)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78" s="5">
        <f ca="1">VLOOKUP($AB78,OFFSET([4]characters!$A$1,0,0,COUNTA([4]characters!$A:$A),MATCH(AD$1,[4]characters!$1:$1,0)-MATCH("character_id",[4]characters!$1:$1,0)+1),MATCH(AD$1,[4]characters!$1:$1,0)-MATCH("character_id",[4]characters!$1:$1,0)+1,FALSE)</f>
        <v>5</v>
      </c>
      <c r="AE78" s="5" t="str">
        <f ca="1">VLOOKUP($AB78,OFFSET([4]characters!$A$1,0,0,COUNTA([4]characters!$A:$A),MATCH(AE$1,[4]characters!$1:$1,0)-MATCH("character_id",[4]characters!$1:$1,0)+1),MATCH(AE$1,[4]characters!$1:$1,0)-MATCH("character_id",[4]characters!$1:$1,0)+1,FALSE)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8" s="27">
        <f t="shared" si="203"/>
        <v>1</v>
      </c>
      <c r="AG78" s="27">
        <f t="shared" ca="1" si="232"/>
        <v>5</v>
      </c>
      <c r="AH78" s="27">
        <f t="shared" ref="AH78:AM78" si="245">AH65</f>
        <v>0</v>
      </c>
      <c r="AI78" s="27">
        <f t="shared" si="245"/>
        <v>0</v>
      </c>
      <c r="AJ78" s="27">
        <f t="shared" si="245"/>
        <v>0</v>
      </c>
      <c r="AK78" s="27">
        <f t="shared" si="245"/>
        <v>0</v>
      </c>
      <c r="AL78" s="27">
        <f t="shared" si="245"/>
        <v>0</v>
      </c>
      <c r="AM78" s="27">
        <f t="shared" si="245"/>
        <v>1</v>
      </c>
    </row>
    <row r="79" spans="1:39" ht="21" customHeight="1" x14ac:dyDescent="0.15">
      <c r="A79" s="17" t="str">
        <f t="shared" si="226"/>
        <v>14004_3-5/339&lt;lv10&gt;s2</v>
      </c>
      <c r="B79" s="104">
        <v>14004</v>
      </c>
      <c r="C79" s="105">
        <f t="shared" si="206"/>
        <v>3</v>
      </c>
      <c r="D79" s="105" t="str">
        <f t="shared" si="227"/>
        <v>14004_3</v>
      </c>
      <c r="E79" s="106" t="str">
        <f ca="1">VLOOKUP($B79,OFFSET([2]quests!$A$1,0,0,COUNTA([2]quests!$A:$A),MATCH(E$1,[2]quests!$1:$1,0)-MATCH($B$1,[2]quests!$1:$1,0)+1),MATCH(E$1,[2]quests!$1:$1,0)-MATCH($B$1,[2]quests!$1:$1,0)+1,FALSE)</f>
        <v>【ロック】経験値/LINEマルチ</v>
      </c>
      <c r="F79" s="106" t="str">
        <f ca="1">VLOOKUP($D79,OFFSET([2]stages!$A$1,0,0,COUNTA([2]stages!$A:$A),MATCH(F$1,[2]stages!$2:$2,0)-MATCH($D$1,[2]stages!$2:$2,0)+1),MATCH(F$1,[2]stages!$2:$2,0)-MATCH($D$1,[2]stages!$2:$2,0)+1,FALSE)</f>
        <v>【超級】森ファミリー（ハートなし）</v>
      </c>
      <c r="G79" s="105">
        <v>5</v>
      </c>
      <c r="H79" s="16" t="str">
        <f t="shared" si="228"/>
        <v>14004_3-5</v>
      </c>
      <c r="I79" s="5">
        <f ca="1">VLOOKUP($H79,OFFSET(floors!$A$1,0,0,COUNTA(floors!$A:$A),MATCH(I$1,floors!$1:$1,0)-MATCH($H$1,floors!$1:$1,0)+1),MATCH(I$1,floors!$1:$1,0)-MATCH($H$1,floors!$1:$1,0)+1,FALSE)</f>
        <v>55</v>
      </c>
      <c r="J79" s="5">
        <f ca="1">VLOOKUP($H79,OFFSET(floors!$A$1,0,0,COUNTA(floors!$A:$A),MATCH(J$1,floors!$1:$1,0)-MATCH($H$1,floors!$1:$1,0)+1),MATCH(J$1,floors!$1:$1,0)-MATCH($H$1,floors!$1:$1,0)+1,FALSE)</f>
        <v>55</v>
      </c>
      <c r="K79" s="8" t="s">
        <v>142</v>
      </c>
      <c r="L79" s="2">
        <f t="shared" si="200"/>
        <v>339</v>
      </c>
      <c r="M79" s="20" t="str">
        <f ca="1">VLOOKUP($L79,OFFSET([3]enemies!$A$1,0,0,COUNTA([3]enemies!$A:$A),MATCH(M$1,[3]enemies!$1:$1,0)-MATCH($L$1,[3]enemies!$1:$1,0)+1),MATCH(M$1,[3]enemies!$1:$1,0)-MATCH($L$1,[3]enemies!$1:$1,0)+1,FALSE)</f>
        <v>森のメタルジェントル</v>
      </c>
      <c r="N79" s="20" t="str">
        <f ca="1">VLOOKUP($L79,OFFSET([3]enemies!$A$1,0,0,COUNTA([3]enemies!$A:$A),MATCH(N$1,[3]enemies!$1:$1,0)-MATCH($L$1,[3]enemies!$1:$1,0)+1),MATCH(N$1,[3]enemies!$1:$1,0)-MATCH($L$1,[3]enemies!$1:$1,0)+1,FALSE)</f>
        <v>green</v>
      </c>
      <c r="O79" s="20" t="str">
        <f ca="1">VLOOKUP($L79,OFFSET([4]characters!$A$1,0,0,COUNTA([4]characters!$A:$A),MATCH(O$1,[4]characters!$1:$1,0)-MATCH($L$1,[4]characters!$1:$1,0)+1),MATCH(O$1,[4]characters!$1:$1,0)-MATCH($L$1,[4]characters!$1:$1,0)+1,FALSE)</f>
        <v>Material</v>
      </c>
      <c r="P79" s="20" t="str">
        <f ca="1">VLOOKUP($L79,OFFSET([3]enemies!$A$1,0,0,COUNTA([3]enemies!$A:$A),MATCH(P$1,[3]enemies!$1:$1,0)-MATCH($L$1,[3]enemies!$1:$1,0)+1),MATCH(P$1,[3]enemies!$1:$1,0)-MATCH($L$1,[3]enemies!$1:$1,0)+1,FALSE)</f>
        <v>unknown</v>
      </c>
      <c r="Q79" s="20">
        <f ca="1">VLOOKUP($L79,OFFSET([3]enemies!$A$1,0,0,COUNTA([3]enemies!$A:$A),MATCH(Q$1,[3]enemies!$1:$1,0)-MATCH($L$1,[3]enemies!$1:$1,0)+1),MATCH(Q$1,[3]enemies!$1:$1,0)-MATCH($L$1,[3]enemies!$1:$1,0)+1,FALSE)</f>
        <v>20</v>
      </c>
      <c r="R79" s="107">
        <f t="shared" ref="R79:U79" si="246">R66</f>
        <v>10</v>
      </c>
      <c r="S79" s="107">
        <f t="shared" si="246"/>
        <v>0.2</v>
      </c>
      <c r="T79" s="108">
        <f t="shared" si="246"/>
        <v>50</v>
      </c>
      <c r="U79" s="107">
        <f t="shared" si="246"/>
        <v>-30889</v>
      </c>
      <c r="V79" s="5" t="str">
        <f ca="1">VLOOKUP($W79,OFFSET(enemy_skill_sets!$B$1,0,0,COUNTA(enemy_skill_sets!$B:$B),MATCH(M$1,enemy_skill_sets!$1:$1,0)-MATCH($W$1,enemy_skill_sets!$1:$1,0)+2),MATCH(M$1,enemy_skill_sets!$1:$1,0)-MATCH($W$1,enemy_skill_sets!$1:$1,0)+2,FALSE)</f>
        <v>メタルファミリーが あらわれた！</v>
      </c>
      <c r="W79" s="109">
        <f t="shared" ref="W79:AA79" si="247">W66</f>
        <v>14001050</v>
      </c>
      <c r="X79" s="109">
        <f t="shared" si="247"/>
        <v>1</v>
      </c>
      <c r="Y79" s="109">
        <f t="shared" si="247"/>
        <v>0</v>
      </c>
      <c r="Z79" s="109">
        <f t="shared" si="247"/>
        <v>0</v>
      </c>
      <c r="AA79" s="109">
        <f t="shared" si="247"/>
        <v>2</v>
      </c>
      <c r="AB79" s="2">
        <f t="shared" si="231"/>
        <v>339</v>
      </c>
      <c r="AC79" s="5" t="str">
        <f ca="1">VLOOKUP($AB79,OFFSET([4]characters!$A$1,0,0,COUNTA([4]characters!$A:$A),MATCH(AC$1,[4]characters!$1:$1,0)-MATCH("character_id",[4]characters!$1:$1,0)+1),MATCH(AC$1,[4]characters!$1:$1,0)-MATCH("character_id",[4]characters!$1:$1,0)+1,FALSE)</f>
        <v>森のメタルジェントル</v>
      </c>
      <c r="AD79" s="5">
        <f ca="1">VLOOKUP($AB79,OFFSET([4]characters!$A$1,0,0,COUNTA([4]characters!$A:$A),MATCH(AD$1,[4]characters!$1:$1,0)-MATCH("character_id",[4]characters!$1:$1,0)+1),MATCH(AD$1,[4]characters!$1:$1,0)-MATCH("character_id",[4]characters!$1:$1,0)+1,FALSE)</f>
        <v>6</v>
      </c>
      <c r="AE79" s="5" t="str">
        <f ca="1">VLOOKUP($AB79,OFFSET([4]characters!$A$1,0,0,COUNTA([4]characters!$A:$A),MATCH(AE$1,[4]characters!$1:$1,0)-MATCH("character_id",[4]characters!$1:$1,0)+1),MATCH(AE$1,[4]characters!$1:$1,0)-MATCH("character_id",[4]characters!$1:$1,0)+1,FALSE)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9" s="27">
        <f t="shared" si="203"/>
        <v>1</v>
      </c>
      <c r="AG79" s="27">
        <f t="shared" ca="1" si="232"/>
        <v>6</v>
      </c>
      <c r="AH79" s="27">
        <f t="shared" ref="AH79:AM79" si="248">AH66</f>
        <v>100</v>
      </c>
      <c r="AI79" s="27">
        <f t="shared" si="248"/>
        <v>0</v>
      </c>
      <c r="AJ79" s="27">
        <f t="shared" si="248"/>
        <v>0</v>
      </c>
      <c r="AK79" s="27">
        <f t="shared" si="248"/>
        <v>0</v>
      </c>
      <c r="AL79" s="27">
        <f t="shared" si="248"/>
        <v>0</v>
      </c>
      <c r="AM79" s="27">
        <f t="shared" si="248"/>
        <v>1</v>
      </c>
    </row>
    <row r="80" spans="1:39" ht="21" customHeight="1" x14ac:dyDescent="0.15">
      <c r="A80" s="17" t="str">
        <f>B80&amp;"_"&amp;C80&amp;"-"&amp;G80&amp;"/"&amp;L80&amp;"&lt;lv"&amp;R80&amp;"&gt;s"&amp;AA80</f>
        <v>14004_2-1/340&lt;lv10&gt;s1</v>
      </c>
      <c r="B80" s="104">
        <v>14004</v>
      </c>
      <c r="C80" s="110">
        <f>C67-1</f>
        <v>2</v>
      </c>
      <c r="D80" s="110" t="str">
        <f>B80&amp;"_"&amp;C80</f>
        <v>14004_2</v>
      </c>
      <c r="E80" s="111" t="str">
        <f ca="1">VLOOKUP($B80,OFFSET([2]quests!$A$1,0,0,COUNTA([2]quests!$A:$A),MATCH(E$1,[2]quests!$1:$1,0)-MATCH($B$1,[2]quests!$1:$1,0)+1),MATCH(E$1,[2]quests!$1:$1,0)-MATCH($B$1,[2]quests!$1:$1,0)+1,FALSE)</f>
        <v>【ロック】経験値/LINEマルチ</v>
      </c>
      <c r="F80" s="111" t="str">
        <f ca="1">VLOOKUP($D80,OFFSET([2]stages!$A$1,0,0,COUNTA([2]stages!$A:$A),MATCH(F$1,[2]stages!$2:$2,0)-MATCH($D$1,[2]stages!$2:$2,0)+1),MATCH(F$1,[2]stages!$2:$2,0)-MATCH($D$1,[2]stages!$2:$2,0)+1,FALSE)</f>
        <v>【超級】水ファミリー（ハートなし）</v>
      </c>
      <c r="G80" s="110">
        <v>1</v>
      </c>
      <c r="H80" s="16" t="str">
        <f>B80&amp;"_"&amp;C80&amp;"-"&amp;G80</f>
        <v>14004_2-1</v>
      </c>
      <c r="I80" s="5">
        <f ca="1">VLOOKUP($H80,OFFSET(floors!$A$1,0,0,COUNTA(floors!$A:$A),MATCH(I$1,floors!$1:$1,0)-MATCH($H$1,floors!$1:$1,0)+1),MATCH(I$1,floors!$1:$1,0)-MATCH($H$1,floors!$1:$1,0)+1,FALSE)</f>
        <v>40</v>
      </c>
      <c r="J80" s="5">
        <f ca="1">VLOOKUP($H80,OFFSET(floors!$A$1,0,0,COUNTA(floors!$A:$A),MATCH(J$1,floors!$1:$1,0)-MATCH($H$1,floors!$1:$1,0)+1),MATCH(J$1,floors!$1:$1,0)-MATCH($H$1,floors!$1:$1,0)+1,FALSE)</f>
        <v>60</v>
      </c>
      <c r="K80" s="8" t="s">
        <v>142</v>
      </c>
      <c r="L80" s="2">
        <f>L67+4</f>
        <v>340</v>
      </c>
      <c r="M80" s="20" t="str">
        <f ca="1">VLOOKUP($L80,OFFSET([3]enemies!$A$1,0,0,COUNTA([3]enemies!$A:$A),MATCH(M$1,[3]enemies!$1:$1,0)-MATCH($L$1,[3]enemies!$1:$1,0)+1),MATCH(M$1,[3]enemies!$1:$1,0)-MATCH($L$1,[3]enemies!$1:$1,0)+1,FALSE)</f>
        <v>水のメタルピヨピヨ</v>
      </c>
      <c r="N80" s="20" t="str">
        <f ca="1">VLOOKUP($L80,OFFSET([3]enemies!$A$1,0,0,COUNTA([3]enemies!$A:$A),MATCH(N$1,[3]enemies!$1:$1,0)-MATCH($L$1,[3]enemies!$1:$1,0)+1),MATCH(N$1,[3]enemies!$1:$1,0)-MATCH($L$1,[3]enemies!$1:$1,0)+1,FALSE)</f>
        <v>blue</v>
      </c>
      <c r="O80" s="20" t="str">
        <f ca="1">VLOOKUP($L80,OFFSET([4]characters!$A$1,0,0,COUNTA([4]characters!$A:$A),MATCH(O$1,[4]characters!$1:$1,0)-MATCH($L$1,[4]characters!$1:$1,0)+1),MATCH(O$1,[4]characters!$1:$1,0)-MATCH($L$1,[4]characters!$1:$1,0)+1,FALSE)</f>
        <v>Material</v>
      </c>
      <c r="P80" s="20" t="str">
        <f ca="1">VLOOKUP($L80,OFFSET([3]enemies!$A$1,0,0,COUNTA([3]enemies!$A:$A),MATCH(P$1,[3]enemies!$1:$1,0)-MATCH($L$1,[3]enemies!$1:$1,0)+1),MATCH(P$1,[3]enemies!$1:$1,0)-MATCH($L$1,[3]enemies!$1:$1,0)+1,FALSE)</f>
        <v>unknown</v>
      </c>
      <c r="Q80" s="20">
        <f ca="1">VLOOKUP($L80,OFFSET([3]enemies!$A$1,0,0,COUNTA([3]enemies!$A:$A),MATCH(Q$1,[3]enemies!$1:$1,0)-MATCH($L$1,[3]enemies!$1:$1,0)+1),MATCH(Q$1,[3]enemies!$1:$1,0)-MATCH($L$1,[3]enemies!$1:$1,0)+1,FALSE)</f>
        <v>15</v>
      </c>
      <c r="R80" s="107">
        <f>R67</f>
        <v>10</v>
      </c>
      <c r="S80" s="107">
        <f t="shared" ref="S80:U80" si="249">S67</f>
        <v>0.6</v>
      </c>
      <c r="T80" s="108">
        <f t="shared" si="249"/>
        <v>40</v>
      </c>
      <c r="U80" s="107">
        <f t="shared" si="249"/>
        <v>533</v>
      </c>
      <c r="V80" s="5" t="str">
        <f ca="1">VLOOKUP($W80,OFFSET([5]enemy_skill_sets!$B$1,0,0,COUNTA([5]enemy_skill_sets!$B:$B),MATCH(M$1,[5]enemy_skill_sets!$1:$1,0)-MATCH($W$1,[5]enemy_skill_sets!$1:$1,0)+2),MATCH(M$1,[5]enemy_skill_sets!$1:$1,0)-MATCH($W$1,[5]enemy_skill_sets!$1:$1,0)+2,FALSE)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0" s="109">
        <f t="shared" ref="W80" ca="1" si="250">W67</f>
        <v>0</v>
      </c>
      <c r="X80" s="109">
        <f>X67</f>
        <v>0</v>
      </c>
      <c r="Y80" s="109">
        <f t="shared" ref="Y80:AA80" si="251">Y67</f>
        <v>100</v>
      </c>
      <c r="Z80" s="109">
        <f t="shared" si="251"/>
        <v>0</v>
      </c>
      <c r="AA80" s="109">
        <f t="shared" si="251"/>
        <v>1</v>
      </c>
      <c r="AB80" s="2">
        <f>L80</f>
        <v>340</v>
      </c>
      <c r="AC80" s="5" t="str">
        <f ca="1">VLOOKUP($AB80,OFFSET([4]characters!$A$1,0,0,COUNTA([4]characters!$A:$A),MATCH(AC$1,[4]characters!$1:$1,0)-MATCH("character_id",[4]characters!$1:$1,0)+1),MATCH(AC$1,[4]characters!$1:$1,0)-MATCH("character_id",[4]characters!$1:$1,0)+1,FALSE)</f>
        <v>水のメタルピヨピヨ</v>
      </c>
      <c r="AD80" s="5">
        <f ca="1">VLOOKUP($AB80,OFFSET([4]characters!$A$1,0,0,COUNTA([4]characters!$A:$A),MATCH(AD$1,[4]characters!$1:$1,0)-MATCH("character_id",[4]characters!$1:$1,0)+1),MATCH(AD$1,[4]characters!$1:$1,0)-MATCH("character_id",[4]characters!$1:$1,0)+1,FALSE)</f>
        <v>3</v>
      </c>
      <c r="AE80" s="5" t="str">
        <f ca="1">VLOOKUP($AB80,OFFSET([4]characters!$A$1,0,0,COUNTA([4]characters!$A:$A),MATCH(AE$1,[4]characters!$1:$1,0)-MATCH("character_id",[4]characters!$1:$1,0)+1),MATCH(AE$1,[4]characters!$1:$1,0)-MATCH("character_id",[4]characters!$1:$1,0)+1,FALSE)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0" s="27">
        <f>AF67</f>
        <v>1</v>
      </c>
      <c r="AG80" s="27">
        <f ca="1">AD80</f>
        <v>3</v>
      </c>
      <c r="AH80" s="27">
        <f>AH67</f>
        <v>0</v>
      </c>
      <c r="AI80" s="27">
        <f t="shared" ref="AI80:AM80" si="252">AI67</f>
        <v>0</v>
      </c>
      <c r="AJ80" s="27">
        <f t="shared" si="252"/>
        <v>0</v>
      </c>
      <c r="AK80" s="27">
        <f t="shared" si="252"/>
        <v>0</v>
      </c>
      <c r="AL80" s="27">
        <f t="shared" si="252"/>
        <v>0</v>
      </c>
      <c r="AM80" s="27">
        <f t="shared" si="252"/>
        <v>1</v>
      </c>
    </row>
    <row r="81" spans="1:39" ht="21" customHeight="1" x14ac:dyDescent="0.15">
      <c r="A81" s="17" t="str">
        <f>B81&amp;"_"&amp;C81&amp;"-"&amp;G81&amp;"/"&amp;L81&amp;"&lt;lv"&amp;R81&amp;"&gt;s"&amp;AA81</f>
        <v>14004_2-1/341&lt;lv10&gt;s1</v>
      </c>
      <c r="B81" s="104">
        <v>14004</v>
      </c>
      <c r="C81" s="110">
        <f>C80</f>
        <v>2</v>
      </c>
      <c r="D81" s="110" t="str">
        <f>B81&amp;"_"&amp;C81</f>
        <v>14004_2</v>
      </c>
      <c r="E81" s="111" t="str">
        <f ca="1">VLOOKUP($B81,OFFSET([2]quests!$A$1,0,0,COUNTA([2]quests!$A:$A),MATCH(E$1,[2]quests!$1:$1,0)-MATCH($B$1,[2]quests!$1:$1,0)+1),MATCH(E$1,[2]quests!$1:$1,0)-MATCH($B$1,[2]quests!$1:$1,0)+1,FALSE)</f>
        <v>【ロック】経験値/LINEマルチ</v>
      </c>
      <c r="F81" s="111" t="str">
        <f ca="1">VLOOKUP($D81,OFFSET([2]stages!$A$1,0,0,COUNTA([2]stages!$A:$A),MATCH(F$1,[2]stages!$2:$2,0)-MATCH($D$1,[2]stages!$2:$2,0)+1),MATCH(F$1,[2]stages!$2:$2,0)-MATCH($D$1,[2]stages!$2:$2,0)+1,FALSE)</f>
        <v>【超級】水ファミリー（ハートなし）</v>
      </c>
      <c r="G81" s="110">
        <v>1</v>
      </c>
      <c r="H81" s="16" t="str">
        <f>B81&amp;"_"&amp;C81&amp;"-"&amp;G81</f>
        <v>14004_2-1</v>
      </c>
      <c r="I81" s="5">
        <f ca="1">VLOOKUP($H81,OFFSET(floors!$A$1,0,0,COUNTA(floors!$A:$A),MATCH(I$1,floors!$1:$1,0)-MATCH($H$1,floors!$1:$1,0)+1),MATCH(I$1,floors!$1:$1,0)-MATCH($H$1,floors!$1:$1,0)+1,FALSE)</f>
        <v>40</v>
      </c>
      <c r="J81" s="5">
        <f ca="1">VLOOKUP($H81,OFFSET(floors!$A$1,0,0,COUNTA(floors!$A:$A),MATCH(J$1,floors!$1:$1,0)-MATCH($H$1,floors!$1:$1,0)+1),MATCH(J$1,floors!$1:$1,0)-MATCH($H$1,floors!$1:$1,0)+1,FALSE)</f>
        <v>60</v>
      </c>
      <c r="K81" s="8" t="s">
        <v>142</v>
      </c>
      <c r="L81" s="2">
        <f t="shared" si="200"/>
        <v>341</v>
      </c>
      <c r="M81" s="20" t="str">
        <f ca="1">VLOOKUP($L81,OFFSET([3]enemies!$A$1,0,0,COUNTA([3]enemies!$A:$A),MATCH(M$1,[3]enemies!$1:$1,0)-MATCH($L$1,[3]enemies!$1:$1,0)+1),MATCH(M$1,[3]enemies!$1:$1,0)-MATCH($L$1,[3]enemies!$1:$1,0)+1,FALSE)</f>
        <v>水のメタルチック</v>
      </c>
      <c r="N81" s="20" t="str">
        <f ca="1">VLOOKUP($L81,OFFSET([3]enemies!$A$1,0,0,COUNTA([3]enemies!$A:$A),MATCH(N$1,[3]enemies!$1:$1,0)-MATCH($L$1,[3]enemies!$1:$1,0)+1),MATCH(N$1,[3]enemies!$1:$1,0)-MATCH($L$1,[3]enemies!$1:$1,0)+1,FALSE)</f>
        <v>blue</v>
      </c>
      <c r="O81" s="20" t="str">
        <f ca="1">VLOOKUP($L81,OFFSET([4]characters!$A$1,0,0,COUNTA([4]characters!$A:$A),MATCH(O$1,[4]characters!$1:$1,0)-MATCH($L$1,[4]characters!$1:$1,0)+1),MATCH(O$1,[4]characters!$1:$1,0)-MATCH($L$1,[4]characters!$1:$1,0)+1,FALSE)</f>
        <v>Material</v>
      </c>
      <c r="P81" s="20" t="str">
        <f ca="1">VLOOKUP($L81,OFFSET([3]enemies!$A$1,0,0,COUNTA([3]enemies!$A:$A),MATCH(P$1,[3]enemies!$1:$1,0)-MATCH($L$1,[3]enemies!$1:$1,0)+1),MATCH(P$1,[3]enemies!$1:$1,0)-MATCH($L$1,[3]enemies!$1:$1,0)+1,FALSE)</f>
        <v>unknown</v>
      </c>
      <c r="Q81" s="20">
        <f ca="1">VLOOKUP($L81,OFFSET([3]enemies!$A$1,0,0,COUNTA([3]enemies!$A:$A),MATCH(Q$1,[3]enemies!$1:$1,0)-MATCH($L$1,[3]enemies!$1:$1,0)+1),MATCH(Q$1,[3]enemies!$1:$1,0)-MATCH($L$1,[3]enemies!$1:$1,0)+1,FALSE)</f>
        <v>15</v>
      </c>
      <c r="R81" s="107">
        <f t="shared" ref="R81:U81" si="253">R68</f>
        <v>10</v>
      </c>
      <c r="S81" s="107">
        <f t="shared" si="253"/>
        <v>0.4</v>
      </c>
      <c r="T81" s="108">
        <f t="shared" si="253"/>
        <v>40</v>
      </c>
      <c r="U81" s="107">
        <f t="shared" si="253"/>
        <v>-2845</v>
      </c>
      <c r="V81" s="5" t="str">
        <f ca="1">VLOOKUP($W81,OFFSET([5]enemy_skill_sets!$B$1,0,0,COUNTA([5]enemy_skill_sets!$B:$B),MATCH(M$1,[5]enemy_skill_sets!$1:$1,0)-MATCH($W$1,[5]enemy_skill_sets!$1:$1,0)+2),MATCH(M$1,[5]enemy_skill_sets!$1:$1,0)-MATCH($W$1,[5]enemy_skill_sets!$1:$1,0)+2,FALSE)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1" s="109">
        <f t="shared" ref="W81:AA81" ca="1" si="254">W68</f>
        <v>0</v>
      </c>
      <c r="X81" s="109">
        <f t="shared" si="254"/>
        <v>0</v>
      </c>
      <c r="Y81" s="109">
        <f t="shared" si="254"/>
        <v>100</v>
      </c>
      <c r="Z81" s="109">
        <f t="shared" si="254"/>
        <v>0</v>
      </c>
      <c r="AA81" s="109">
        <f t="shared" si="254"/>
        <v>1</v>
      </c>
      <c r="AB81" s="2">
        <f>L81</f>
        <v>341</v>
      </c>
      <c r="AC81" s="5" t="str">
        <f ca="1">VLOOKUP($AB81,OFFSET([4]characters!$A$1,0,0,COUNTA([4]characters!$A:$A),MATCH(AC$1,[4]characters!$1:$1,0)-MATCH("character_id",[4]characters!$1:$1,0)+1),MATCH(AC$1,[4]characters!$1:$1,0)-MATCH("character_id",[4]characters!$1:$1,0)+1,FALSE)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81" s="5">
        <f ca="1">VLOOKUP($AB81,OFFSET([4]characters!$A$1,0,0,COUNTA([4]characters!$A:$A),MATCH(AD$1,[4]characters!$1:$1,0)-MATCH("character_id",[4]characters!$1:$1,0)+1),MATCH(AD$1,[4]characters!$1:$1,0)-MATCH("character_id",[4]characters!$1:$1,0)+1,FALSE)</f>
        <v>4</v>
      </c>
      <c r="AE81" s="5" t="str">
        <f ca="1">VLOOKUP($AB81,OFFSET([4]characters!$A$1,0,0,COUNTA([4]characters!$A:$A),MATCH(AE$1,[4]characters!$1:$1,0)-MATCH("character_id",[4]characters!$1:$1,0)+1),MATCH(AE$1,[4]characters!$1:$1,0)-MATCH("character_id",[4]characters!$1:$1,0)+1,FALSE)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1" s="27">
        <f t="shared" si="203"/>
        <v>1</v>
      </c>
      <c r="AG81" s="27">
        <f ca="1">AD81</f>
        <v>4</v>
      </c>
      <c r="AH81" s="27">
        <f t="shared" ref="AH81:AM81" si="255">AH68</f>
        <v>0</v>
      </c>
      <c r="AI81" s="27">
        <f t="shared" si="255"/>
        <v>0</v>
      </c>
      <c r="AJ81" s="27">
        <f t="shared" si="255"/>
        <v>0</v>
      </c>
      <c r="AK81" s="27">
        <f t="shared" si="255"/>
        <v>0</v>
      </c>
      <c r="AL81" s="27">
        <f t="shared" si="255"/>
        <v>0</v>
      </c>
      <c r="AM81" s="27">
        <f t="shared" si="255"/>
        <v>1</v>
      </c>
    </row>
    <row r="82" spans="1:39" ht="21" customHeight="1" x14ac:dyDescent="0.15">
      <c r="A82" s="103" t="str">
        <f t="shared" ref="A82:A85" si="256">B82&amp;"_"&amp;C82&amp;"-"&amp;G82&amp;"/"&amp;L82&amp;"&lt;lv"&amp;R82&amp;"&gt;s"&amp;AA82</f>
        <v>14004_2-1/342&lt;lv10&gt;s2</v>
      </c>
      <c r="B82" s="104">
        <v>14004</v>
      </c>
      <c r="C82" s="110">
        <f t="shared" ref="C82:C92" si="257">C81</f>
        <v>2</v>
      </c>
      <c r="D82" s="110" t="str">
        <f t="shared" ref="D82:D85" si="258">B82&amp;"_"&amp;C82</f>
        <v>14004_2</v>
      </c>
      <c r="E82" s="111" t="str">
        <f ca="1">VLOOKUP($B82,OFFSET([2]quests!$A$1,0,0,COUNTA([2]quests!$A:$A),MATCH(E$1,[2]quests!$1:$1,0)-MATCH($B$1,[2]quests!$1:$1,0)+1),MATCH(E$1,[2]quests!$1:$1,0)-MATCH($B$1,[2]quests!$1:$1,0)+1,FALSE)</f>
        <v>【ロック】経験値/LINEマルチ</v>
      </c>
      <c r="F82" s="111" t="str">
        <f ca="1">VLOOKUP($D82,OFFSET([2]stages!$A$1,0,0,COUNTA([2]stages!$A:$A),MATCH(F$1,[2]stages!$2:$2,0)-MATCH($D$1,[2]stages!$2:$2,0)+1),MATCH(F$1,[2]stages!$2:$2,0)-MATCH($D$1,[2]stages!$2:$2,0)+1,FALSE)</f>
        <v>【超級】水ファミリー（ハートなし）</v>
      </c>
      <c r="G82" s="110">
        <v>1</v>
      </c>
      <c r="H82" s="16" t="str">
        <f t="shared" ref="H82:H85" si="259">B82&amp;"_"&amp;C82&amp;"-"&amp;G82</f>
        <v>14004_2-1</v>
      </c>
      <c r="I82" s="5">
        <f ca="1">VLOOKUP($H82,OFFSET(floors!$A$1,0,0,COUNTA(floors!$A:$A),MATCH(I$1,floors!$1:$1,0)-MATCH($H$1,floors!$1:$1,0)+1),MATCH(I$1,floors!$1:$1,0)-MATCH($H$1,floors!$1:$1,0)+1,FALSE)</f>
        <v>40</v>
      </c>
      <c r="J82" s="5">
        <f ca="1">VLOOKUP($H82,OFFSET(floors!$A$1,0,0,COUNTA(floors!$A:$A),MATCH(J$1,floors!$1:$1,0)-MATCH($H$1,floors!$1:$1,0)+1),MATCH(J$1,floors!$1:$1,0)-MATCH($H$1,floors!$1:$1,0)+1,FALSE)</f>
        <v>60</v>
      </c>
      <c r="K82" s="8" t="s">
        <v>142</v>
      </c>
      <c r="L82" s="2">
        <f t="shared" si="200"/>
        <v>342</v>
      </c>
      <c r="M82" s="20" t="str">
        <f ca="1">VLOOKUP($L82,OFFSET([3]enemies!$A$1,0,0,COUNTA([3]enemies!$A:$A),MATCH(M$1,[3]enemies!$1:$1,0)-MATCH($L$1,[3]enemies!$1:$1,0)+1),MATCH(M$1,[3]enemies!$1:$1,0)-MATCH($L$1,[3]enemies!$1:$1,0)+1,FALSE)</f>
        <v>水のメタルダック</v>
      </c>
      <c r="N82" s="20" t="str">
        <f ca="1">VLOOKUP($L82,OFFSET([3]enemies!$A$1,0,0,COUNTA([3]enemies!$A:$A),MATCH(N$1,[3]enemies!$1:$1,0)-MATCH($L$1,[3]enemies!$1:$1,0)+1),MATCH(N$1,[3]enemies!$1:$1,0)-MATCH($L$1,[3]enemies!$1:$1,0)+1,FALSE)</f>
        <v>blue</v>
      </c>
      <c r="O82" s="20" t="str">
        <f ca="1">VLOOKUP($L82,OFFSET([4]characters!$A$1,0,0,COUNTA([4]characters!$A:$A),MATCH(O$1,[4]characters!$1:$1,0)-MATCH($L$1,[4]characters!$1:$1,0)+1),MATCH(O$1,[4]characters!$1:$1,0)-MATCH($L$1,[4]characters!$1:$1,0)+1,FALSE)</f>
        <v>Material</v>
      </c>
      <c r="P82" s="20" t="str">
        <f ca="1">VLOOKUP($L82,OFFSET([3]enemies!$A$1,0,0,COUNTA([3]enemies!$A:$A),MATCH(P$1,[3]enemies!$1:$1,0)-MATCH($L$1,[3]enemies!$1:$1,0)+1),MATCH(P$1,[3]enemies!$1:$1,0)-MATCH($L$1,[3]enemies!$1:$1,0)+1,FALSE)</f>
        <v>unknown</v>
      </c>
      <c r="Q82" s="20">
        <f ca="1">VLOOKUP($L82,OFFSET([3]enemies!$A$1,0,0,COUNTA([3]enemies!$A:$A),MATCH(Q$1,[3]enemies!$1:$1,0)-MATCH($L$1,[3]enemies!$1:$1,0)+1),MATCH(Q$1,[3]enemies!$1:$1,0)-MATCH($L$1,[3]enemies!$1:$1,0)+1,FALSE)</f>
        <v>20</v>
      </c>
      <c r="R82" s="107">
        <f t="shared" ref="R82:U82" si="260">R69</f>
        <v>10</v>
      </c>
      <c r="S82" s="107">
        <f t="shared" si="260"/>
        <v>0.4</v>
      </c>
      <c r="T82" s="108">
        <f t="shared" si="260"/>
        <v>40</v>
      </c>
      <c r="U82" s="107">
        <f t="shared" si="260"/>
        <v>-20223</v>
      </c>
      <c r="V82" s="5" t="str">
        <f ca="1">VLOOKUP($W82,OFFSET([5]enemy_skill_sets!$B$1,0,0,COUNTA([5]enemy_skill_sets!$B:$B),MATCH(M$1,[5]enemy_skill_sets!$1:$1,0)-MATCH($W$1,[5]enemy_skill_sets!$1:$1,0)+2),MATCH(M$1,[5]enemy_skill_sets!$1:$1,0)-MATCH($W$1,[5]enemy_skill_sets!$1:$1,0)+2,FALSE)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2" s="109">
        <f t="shared" ref="W82:AA82" ca="1" si="261">W69</f>
        <v>0</v>
      </c>
      <c r="X82" s="109">
        <f t="shared" si="261"/>
        <v>0</v>
      </c>
      <c r="Y82" s="109">
        <f t="shared" si="261"/>
        <v>67</v>
      </c>
      <c r="Z82" s="109">
        <f t="shared" si="261"/>
        <v>1</v>
      </c>
      <c r="AA82" s="109">
        <f t="shared" si="261"/>
        <v>2</v>
      </c>
      <c r="AB82" s="2">
        <f t="shared" ref="AB82:AB85" si="262">L82</f>
        <v>342</v>
      </c>
      <c r="AC82" s="5" t="str">
        <f ca="1">VLOOKUP($AB82,OFFSET([4]characters!$A$1,0,0,COUNTA([4]characters!$A:$A),MATCH(AC$1,[4]characters!$1:$1,0)-MATCH("character_id",[4]characters!$1:$1,0)+1),MATCH(AC$1,[4]characters!$1:$1,0)-MATCH("character_id",[4]characters!$1:$1,0)+1,FALSE)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82" s="5">
        <f ca="1">VLOOKUP($AB82,OFFSET([4]characters!$A$1,0,0,COUNTA([4]characters!$A:$A),MATCH(AD$1,[4]characters!$1:$1,0)-MATCH("character_id",[4]characters!$1:$1,0)+1),MATCH(AD$1,[4]characters!$1:$1,0)-MATCH("character_id",[4]characters!$1:$1,0)+1,FALSE)</f>
        <v>5</v>
      </c>
      <c r="AE82" s="5" t="str">
        <f ca="1">VLOOKUP($AB82,OFFSET([4]characters!$A$1,0,0,COUNTA([4]characters!$A:$A),MATCH(AE$1,[4]characters!$1:$1,0)-MATCH("character_id",[4]characters!$1:$1,0)+1),MATCH(AE$1,[4]characters!$1:$1,0)-MATCH("character_id",[4]characters!$1:$1,0)+1,FALSE)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2" s="27">
        <f t="shared" si="203"/>
        <v>1</v>
      </c>
      <c r="AG82" s="27">
        <f t="shared" ref="AG82:AG85" ca="1" si="263">AD82</f>
        <v>5</v>
      </c>
      <c r="AH82" s="27">
        <f t="shared" ref="AH82:AM82" si="264">AH69</f>
        <v>100</v>
      </c>
      <c r="AI82" s="27">
        <f t="shared" si="264"/>
        <v>0</v>
      </c>
      <c r="AJ82" s="27">
        <f t="shared" si="264"/>
        <v>0</v>
      </c>
      <c r="AK82" s="27">
        <f t="shared" si="264"/>
        <v>0</v>
      </c>
      <c r="AL82" s="27">
        <f t="shared" si="264"/>
        <v>0</v>
      </c>
      <c r="AM82" s="27">
        <f t="shared" si="264"/>
        <v>1</v>
      </c>
    </row>
    <row r="83" spans="1:39" ht="21" customHeight="1" x14ac:dyDescent="0.15">
      <c r="A83" s="17" t="str">
        <f t="shared" si="256"/>
        <v>14004_2-1/343&lt;lv10&gt;s2</v>
      </c>
      <c r="B83" s="104">
        <v>14004</v>
      </c>
      <c r="C83" s="110">
        <f t="shared" si="257"/>
        <v>2</v>
      </c>
      <c r="D83" s="110" t="str">
        <f t="shared" si="258"/>
        <v>14004_2</v>
      </c>
      <c r="E83" s="111" t="str">
        <f ca="1">VLOOKUP($B83,OFFSET([2]quests!$A$1,0,0,COUNTA([2]quests!$A:$A),MATCH(E$1,[2]quests!$1:$1,0)-MATCH($B$1,[2]quests!$1:$1,0)+1),MATCH(E$1,[2]quests!$1:$1,0)-MATCH($B$1,[2]quests!$1:$1,0)+1,FALSE)</f>
        <v>【ロック】経験値/LINEマルチ</v>
      </c>
      <c r="F83" s="111" t="str">
        <f ca="1">VLOOKUP($D83,OFFSET([2]stages!$A$1,0,0,COUNTA([2]stages!$A:$A),MATCH(F$1,[2]stages!$2:$2,0)-MATCH($D$1,[2]stages!$2:$2,0)+1),MATCH(F$1,[2]stages!$2:$2,0)-MATCH($D$1,[2]stages!$2:$2,0)+1,FALSE)</f>
        <v>【超級】水ファミリー（ハートなし）</v>
      </c>
      <c r="G83" s="110">
        <v>1</v>
      </c>
      <c r="H83" s="16" t="str">
        <f t="shared" si="259"/>
        <v>14004_2-1</v>
      </c>
      <c r="I83" s="5">
        <f ca="1">VLOOKUP($H83,OFFSET(floors!$A$1,0,0,COUNTA(floors!$A:$A),MATCH(I$1,floors!$1:$1,0)-MATCH($H$1,floors!$1:$1,0)+1),MATCH(I$1,floors!$1:$1,0)-MATCH($H$1,floors!$1:$1,0)+1,FALSE)</f>
        <v>40</v>
      </c>
      <c r="J83" s="5">
        <f ca="1">VLOOKUP($H83,OFFSET(floors!$A$1,0,0,COUNTA(floors!$A:$A),MATCH(J$1,floors!$1:$1,0)-MATCH($H$1,floors!$1:$1,0)+1),MATCH(J$1,floors!$1:$1,0)-MATCH($H$1,floors!$1:$1,0)+1,FALSE)</f>
        <v>60</v>
      </c>
      <c r="K83" s="8" t="s">
        <v>142</v>
      </c>
      <c r="L83" s="2">
        <f t="shared" si="200"/>
        <v>343</v>
      </c>
      <c r="M83" s="20" t="str">
        <f ca="1">VLOOKUP($L83,OFFSET([3]enemies!$A$1,0,0,COUNTA([3]enemies!$A:$A),MATCH(M$1,[3]enemies!$1:$1,0)-MATCH($L$1,[3]enemies!$1:$1,0)+1),MATCH(M$1,[3]enemies!$1:$1,0)-MATCH($L$1,[3]enemies!$1:$1,0)+1,FALSE)</f>
        <v>水のメタルジェントル</v>
      </c>
      <c r="N83" s="20" t="str">
        <f ca="1">VLOOKUP($L83,OFFSET([3]enemies!$A$1,0,0,COUNTA([3]enemies!$A:$A),MATCH(N$1,[3]enemies!$1:$1,0)-MATCH($L$1,[3]enemies!$1:$1,0)+1),MATCH(N$1,[3]enemies!$1:$1,0)-MATCH($L$1,[3]enemies!$1:$1,0)+1,FALSE)</f>
        <v>blue</v>
      </c>
      <c r="O83" s="20" t="str">
        <f ca="1">VLOOKUP($L83,OFFSET([4]characters!$A$1,0,0,COUNTA([4]characters!$A:$A),MATCH(O$1,[4]characters!$1:$1,0)-MATCH($L$1,[4]characters!$1:$1,0)+1),MATCH(O$1,[4]characters!$1:$1,0)-MATCH($L$1,[4]characters!$1:$1,0)+1,FALSE)</f>
        <v>Material</v>
      </c>
      <c r="P83" s="20" t="str">
        <f ca="1">VLOOKUP($L83,OFFSET([3]enemies!$A$1,0,0,COUNTA([3]enemies!$A:$A),MATCH(P$1,[3]enemies!$1:$1,0)-MATCH($L$1,[3]enemies!$1:$1,0)+1),MATCH(P$1,[3]enemies!$1:$1,0)-MATCH($L$1,[3]enemies!$1:$1,0)+1,FALSE)</f>
        <v>unknown</v>
      </c>
      <c r="Q83" s="20">
        <f ca="1">VLOOKUP($L83,OFFSET([3]enemies!$A$1,0,0,COUNTA([3]enemies!$A:$A),MATCH(Q$1,[3]enemies!$1:$1,0)-MATCH($L$1,[3]enemies!$1:$1,0)+1),MATCH(Q$1,[3]enemies!$1:$1,0)-MATCH($L$1,[3]enemies!$1:$1,0)+1,FALSE)</f>
        <v>20</v>
      </c>
      <c r="R83" s="107">
        <f t="shared" ref="R83:U83" si="265">R70</f>
        <v>10</v>
      </c>
      <c r="S83" s="107">
        <f t="shared" si="265"/>
        <v>0.2</v>
      </c>
      <c r="T83" s="108">
        <f t="shared" si="265"/>
        <v>50</v>
      </c>
      <c r="U83" s="107">
        <f t="shared" si="265"/>
        <v>-30889</v>
      </c>
      <c r="V83" s="5" t="str">
        <f ca="1">VLOOKUP($W83,OFFSET(enemy_skill_sets!$B$1,0,0,COUNTA(enemy_skill_sets!$B:$B),MATCH(M$1,enemy_skill_sets!$1:$1,0)-MATCH($W$1,enemy_skill_sets!$1:$1,0)+2),MATCH(M$1,enemy_skill_sets!$1:$1,0)-MATCH($W$1,enemy_skill_sets!$1:$1,0)+2,FALSE)</f>
        <v>なんと ジェントルがあらわれた！</v>
      </c>
      <c r="W83" s="109">
        <f t="shared" ref="W83:AA83" si="266">W70</f>
        <v>14001012</v>
      </c>
      <c r="X83" s="109">
        <f t="shared" si="266"/>
        <v>0</v>
      </c>
      <c r="Y83" s="109">
        <f t="shared" si="266"/>
        <v>33</v>
      </c>
      <c r="Z83" s="109">
        <f t="shared" si="266"/>
        <v>1</v>
      </c>
      <c r="AA83" s="109">
        <f t="shared" si="266"/>
        <v>2</v>
      </c>
      <c r="AB83" s="2">
        <f t="shared" si="262"/>
        <v>343</v>
      </c>
      <c r="AC83" s="5" t="str">
        <f ca="1">VLOOKUP($AB83,OFFSET([4]characters!$A$1,0,0,COUNTA([4]characters!$A:$A),MATCH(AC$1,[4]characters!$1:$1,0)-MATCH("character_id",[4]characters!$1:$1,0)+1),MATCH(AC$1,[4]characters!$1:$1,0)-MATCH("character_id",[4]characters!$1:$1,0)+1,FALSE)</f>
        <v>水のメタルジェントル</v>
      </c>
      <c r="AD83" s="5">
        <f ca="1">VLOOKUP($AB83,OFFSET([4]characters!$A$1,0,0,COUNTA([4]characters!$A:$A),MATCH(AD$1,[4]characters!$1:$1,0)-MATCH("character_id",[4]characters!$1:$1,0)+1),MATCH(AD$1,[4]characters!$1:$1,0)-MATCH("character_id",[4]characters!$1:$1,0)+1,FALSE)</f>
        <v>6</v>
      </c>
      <c r="AE83" s="5" t="str">
        <f ca="1">VLOOKUP($AB83,OFFSET([4]characters!$A$1,0,0,COUNTA([4]characters!$A:$A),MATCH(AE$1,[4]characters!$1:$1,0)-MATCH("character_id",[4]characters!$1:$1,0)+1),MATCH(AE$1,[4]characters!$1:$1,0)-MATCH("character_id",[4]characters!$1:$1,0)+1,FALSE)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3" s="27">
        <f t="shared" si="203"/>
        <v>1</v>
      </c>
      <c r="AG83" s="27">
        <f t="shared" ca="1" si="263"/>
        <v>6</v>
      </c>
      <c r="AH83" s="27">
        <f t="shared" ref="AH83:AM83" si="267">AH70</f>
        <v>100</v>
      </c>
      <c r="AI83" s="27">
        <f t="shared" si="267"/>
        <v>0</v>
      </c>
      <c r="AJ83" s="27">
        <f t="shared" si="267"/>
        <v>0</v>
      </c>
      <c r="AK83" s="27">
        <f t="shared" si="267"/>
        <v>0</v>
      </c>
      <c r="AL83" s="27">
        <f t="shared" si="267"/>
        <v>0</v>
      </c>
      <c r="AM83" s="27">
        <f t="shared" si="267"/>
        <v>1</v>
      </c>
    </row>
    <row r="84" spans="1:39" ht="21" customHeight="1" x14ac:dyDescent="0.15">
      <c r="A84" s="17" t="str">
        <f t="shared" si="256"/>
        <v>14004_2-2/341&lt;lv10&gt;s1</v>
      </c>
      <c r="B84" s="104">
        <v>14004</v>
      </c>
      <c r="C84" s="110">
        <f t="shared" si="257"/>
        <v>2</v>
      </c>
      <c r="D84" s="110" t="str">
        <f t="shared" si="258"/>
        <v>14004_2</v>
      </c>
      <c r="E84" s="111" t="str">
        <f ca="1">VLOOKUP($B84,OFFSET([2]quests!$A$1,0,0,COUNTA([2]quests!$A:$A),MATCH(E$1,[2]quests!$1:$1,0)-MATCH($B$1,[2]quests!$1:$1,0)+1),MATCH(E$1,[2]quests!$1:$1,0)-MATCH($B$1,[2]quests!$1:$1,0)+1,FALSE)</f>
        <v>【ロック】経験値/LINEマルチ</v>
      </c>
      <c r="F84" s="111" t="str">
        <f ca="1">VLOOKUP($D84,OFFSET([2]stages!$A$1,0,0,COUNTA([2]stages!$A:$A),MATCH(F$1,[2]stages!$2:$2,0)-MATCH($D$1,[2]stages!$2:$2,0)+1),MATCH(F$1,[2]stages!$2:$2,0)-MATCH($D$1,[2]stages!$2:$2,0)+1,FALSE)</f>
        <v>【超級】水ファミリー（ハートなし）</v>
      </c>
      <c r="G84" s="110">
        <v>2</v>
      </c>
      <c r="H84" s="16" t="str">
        <f t="shared" si="259"/>
        <v>14004_2-2</v>
      </c>
      <c r="I84" s="5">
        <f ca="1">VLOOKUP($H84,OFFSET(floors!$A$1,0,0,COUNTA(floors!$A:$A),MATCH(I$1,floors!$1:$1,0)-MATCH($H$1,floors!$1:$1,0)+1),MATCH(I$1,floors!$1:$1,0)-MATCH($H$1,floors!$1:$1,0)+1,FALSE)</f>
        <v>30</v>
      </c>
      <c r="J84" s="5">
        <f ca="1">VLOOKUP($H84,OFFSET(floors!$A$1,0,0,COUNTA(floors!$A:$A),MATCH(J$1,floors!$1:$1,0)-MATCH($H$1,floors!$1:$1,0)+1),MATCH(J$1,floors!$1:$1,0)-MATCH($H$1,floors!$1:$1,0)+1,FALSE)</f>
        <v>41</v>
      </c>
      <c r="K84" s="8" t="s">
        <v>142</v>
      </c>
      <c r="L84" s="2">
        <f t="shared" si="200"/>
        <v>341</v>
      </c>
      <c r="M84" s="20" t="str">
        <f ca="1">VLOOKUP($L84,OFFSET([3]enemies!$A$1,0,0,COUNTA([3]enemies!$A:$A),MATCH(M$1,[3]enemies!$1:$1,0)-MATCH($L$1,[3]enemies!$1:$1,0)+1),MATCH(M$1,[3]enemies!$1:$1,0)-MATCH($L$1,[3]enemies!$1:$1,0)+1,FALSE)</f>
        <v>水のメタルチック</v>
      </c>
      <c r="N84" s="20" t="str">
        <f ca="1">VLOOKUP($L84,OFFSET([3]enemies!$A$1,0,0,COUNTA([3]enemies!$A:$A),MATCH(N$1,[3]enemies!$1:$1,0)-MATCH($L$1,[3]enemies!$1:$1,0)+1),MATCH(N$1,[3]enemies!$1:$1,0)-MATCH($L$1,[3]enemies!$1:$1,0)+1,FALSE)</f>
        <v>blue</v>
      </c>
      <c r="O84" s="20" t="str">
        <f ca="1">VLOOKUP($L84,OFFSET([4]characters!$A$1,0,0,COUNTA([4]characters!$A:$A),MATCH(O$1,[4]characters!$1:$1,0)-MATCH($L$1,[4]characters!$1:$1,0)+1),MATCH(O$1,[4]characters!$1:$1,0)-MATCH($L$1,[4]characters!$1:$1,0)+1,FALSE)</f>
        <v>Material</v>
      </c>
      <c r="P84" s="20" t="str">
        <f ca="1">VLOOKUP($L84,OFFSET([3]enemies!$A$1,0,0,COUNTA([3]enemies!$A:$A),MATCH(P$1,[3]enemies!$1:$1,0)-MATCH($L$1,[3]enemies!$1:$1,0)+1),MATCH(P$1,[3]enemies!$1:$1,0)-MATCH($L$1,[3]enemies!$1:$1,0)+1,FALSE)</f>
        <v>unknown</v>
      </c>
      <c r="Q84" s="20">
        <f ca="1">VLOOKUP($L84,OFFSET([3]enemies!$A$1,0,0,COUNTA([3]enemies!$A:$A),MATCH(Q$1,[3]enemies!$1:$1,0)-MATCH($L$1,[3]enemies!$1:$1,0)+1),MATCH(Q$1,[3]enemies!$1:$1,0)-MATCH($L$1,[3]enemies!$1:$1,0)+1,FALSE)</f>
        <v>15</v>
      </c>
      <c r="R84" s="107">
        <f t="shared" ref="R84:U84" si="268">R71</f>
        <v>10</v>
      </c>
      <c r="S84" s="107">
        <f t="shared" si="268"/>
        <v>0.4</v>
      </c>
      <c r="T84" s="108">
        <f t="shared" si="268"/>
        <v>40</v>
      </c>
      <c r="U84" s="107">
        <f t="shared" si="268"/>
        <v>-2845</v>
      </c>
      <c r="V84" s="5" t="str">
        <f ca="1">VLOOKUP($W84,OFFSET([5]enemy_skill_sets!$B$1,0,0,COUNTA([5]enemy_skill_sets!$B:$B),MATCH(M$1,[5]enemy_skill_sets!$1:$1,0)-MATCH($W$1,[5]enemy_skill_sets!$1:$1,0)+2),MATCH(M$1,[5]enemy_skill_sets!$1:$1,0)-MATCH($W$1,[5]enemy_skill_sets!$1:$1,0)+2,FALSE)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4" s="109">
        <f t="shared" ref="W84:AA84" ca="1" si="269">W71</f>
        <v>0</v>
      </c>
      <c r="X84" s="109">
        <f t="shared" si="269"/>
        <v>0</v>
      </c>
      <c r="Y84" s="109">
        <f t="shared" si="269"/>
        <v>100</v>
      </c>
      <c r="Z84" s="109">
        <f t="shared" si="269"/>
        <v>0</v>
      </c>
      <c r="AA84" s="109">
        <f t="shared" si="269"/>
        <v>1</v>
      </c>
      <c r="AB84" s="2">
        <f t="shared" si="262"/>
        <v>341</v>
      </c>
      <c r="AC84" s="5" t="str">
        <f ca="1">VLOOKUP($AB84,OFFSET([4]characters!$A$1,0,0,COUNTA([4]characters!$A:$A),MATCH(AC$1,[4]characters!$1:$1,0)-MATCH("character_id",[4]characters!$1:$1,0)+1),MATCH(AC$1,[4]characters!$1:$1,0)-MATCH("character_id",[4]characters!$1:$1,0)+1,FALSE)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84" s="5">
        <f ca="1">VLOOKUP($AB84,OFFSET([4]characters!$A$1,0,0,COUNTA([4]characters!$A:$A),MATCH(AD$1,[4]characters!$1:$1,0)-MATCH("character_id",[4]characters!$1:$1,0)+1),MATCH(AD$1,[4]characters!$1:$1,0)-MATCH("character_id",[4]characters!$1:$1,0)+1,FALSE)</f>
        <v>4</v>
      </c>
      <c r="AE84" s="5" t="str">
        <f ca="1">VLOOKUP($AB84,OFFSET([4]characters!$A$1,0,0,COUNTA([4]characters!$A:$A),MATCH(AE$1,[4]characters!$1:$1,0)-MATCH("character_id",[4]characters!$1:$1,0)+1),MATCH(AE$1,[4]characters!$1:$1,0)-MATCH("character_id",[4]characters!$1:$1,0)+1,FALSE)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4" s="27">
        <f t="shared" si="203"/>
        <v>1</v>
      </c>
      <c r="AG84" s="27">
        <f t="shared" ca="1" si="263"/>
        <v>4</v>
      </c>
      <c r="AH84" s="27">
        <f t="shared" ref="AH84:AM84" si="270">AH71</f>
        <v>0</v>
      </c>
      <c r="AI84" s="27">
        <f t="shared" si="270"/>
        <v>0</v>
      </c>
      <c r="AJ84" s="27">
        <f t="shared" si="270"/>
        <v>0</v>
      </c>
      <c r="AK84" s="27">
        <f t="shared" si="270"/>
        <v>0</v>
      </c>
      <c r="AL84" s="27">
        <f t="shared" si="270"/>
        <v>0</v>
      </c>
      <c r="AM84" s="27">
        <f t="shared" si="270"/>
        <v>1</v>
      </c>
    </row>
    <row r="85" spans="1:39" ht="21" customHeight="1" x14ac:dyDescent="0.15">
      <c r="A85" s="17" t="str">
        <f t="shared" si="256"/>
        <v>14004_2-2/342&lt;lv10&gt;s2</v>
      </c>
      <c r="B85" s="104">
        <v>14004</v>
      </c>
      <c r="C85" s="110">
        <f t="shared" si="257"/>
        <v>2</v>
      </c>
      <c r="D85" s="110" t="str">
        <f t="shared" si="258"/>
        <v>14004_2</v>
      </c>
      <c r="E85" s="111" t="str">
        <f ca="1">VLOOKUP($B85,OFFSET([2]quests!$A$1,0,0,COUNTA([2]quests!$A:$A),MATCH(E$1,[2]quests!$1:$1,0)-MATCH($B$1,[2]quests!$1:$1,0)+1),MATCH(E$1,[2]quests!$1:$1,0)-MATCH($B$1,[2]quests!$1:$1,0)+1,FALSE)</f>
        <v>【ロック】経験値/LINEマルチ</v>
      </c>
      <c r="F85" s="111" t="str">
        <f ca="1">VLOOKUP($D85,OFFSET([2]stages!$A$1,0,0,COUNTA([2]stages!$A:$A),MATCH(F$1,[2]stages!$2:$2,0)-MATCH($D$1,[2]stages!$2:$2,0)+1),MATCH(F$1,[2]stages!$2:$2,0)-MATCH($D$1,[2]stages!$2:$2,0)+1,FALSE)</f>
        <v>【超級】水ファミリー（ハートなし）</v>
      </c>
      <c r="G85" s="110">
        <v>2</v>
      </c>
      <c r="H85" s="16" t="str">
        <f t="shared" si="259"/>
        <v>14004_2-2</v>
      </c>
      <c r="I85" s="5">
        <f ca="1">VLOOKUP($H85,OFFSET(floors!$A$1,0,0,COUNTA(floors!$A:$A),MATCH(I$1,floors!$1:$1,0)-MATCH($H$1,floors!$1:$1,0)+1),MATCH(I$1,floors!$1:$1,0)-MATCH($H$1,floors!$1:$1,0)+1,FALSE)</f>
        <v>30</v>
      </c>
      <c r="J85" s="5">
        <f ca="1">VLOOKUP($H85,OFFSET(floors!$A$1,0,0,COUNTA(floors!$A:$A),MATCH(J$1,floors!$1:$1,0)-MATCH($H$1,floors!$1:$1,0)+1),MATCH(J$1,floors!$1:$1,0)-MATCH($H$1,floors!$1:$1,0)+1,FALSE)</f>
        <v>41</v>
      </c>
      <c r="K85" s="8" t="s">
        <v>142</v>
      </c>
      <c r="L85" s="2">
        <f t="shared" si="200"/>
        <v>342</v>
      </c>
      <c r="M85" s="20" t="str">
        <f ca="1">VLOOKUP($L85,OFFSET([3]enemies!$A$1,0,0,COUNTA([3]enemies!$A:$A),MATCH(M$1,[3]enemies!$1:$1,0)-MATCH($L$1,[3]enemies!$1:$1,0)+1),MATCH(M$1,[3]enemies!$1:$1,0)-MATCH($L$1,[3]enemies!$1:$1,0)+1,FALSE)</f>
        <v>水のメタルダック</v>
      </c>
      <c r="N85" s="20" t="str">
        <f ca="1">VLOOKUP($L85,OFFSET([3]enemies!$A$1,0,0,COUNTA([3]enemies!$A:$A),MATCH(N$1,[3]enemies!$1:$1,0)-MATCH($L$1,[3]enemies!$1:$1,0)+1),MATCH(N$1,[3]enemies!$1:$1,0)-MATCH($L$1,[3]enemies!$1:$1,0)+1,FALSE)</f>
        <v>blue</v>
      </c>
      <c r="O85" s="20" t="str">
        <f ca="1">VLOOKUP($L85,OFFSET([4]characters!$A$1,0,0,COUNTA([4]characters!$A:$A),MATCH(O$1,[4]characters!$1:$1,0)-MATCH($L$1,[4]characters!$1:$1,0)+1),MATCH(O$1,[4]characters!$1:$1,0)-MATCH($L$1,[4]characters!$1:$1,0)+1,FALSE)</f>
        <v>Material</v>
      </c>
      <c r="P85" s="20" t="str">
        <f ca="1">VLOOKUP($L85,OFFSET([3]enemies!$A$1,0,0,COUNTA([3]enemies!$A:$A),MATCH(P$1,[3]enemies!$1:$1,0)-MATCH($L$1,[3]enemies!$1:$1,0)+1),MATCH(P$1,[3]enemies!$1:$1,0)-MATCH($L$1,[3]enemies!$1:$1,0)+1,FALSE)</f>
        <v>unknown</v>
      </c>
      <c r="Q85" s="20">
        <f ca="1">VLOOKUP($L85,OFFSET([3]enemies!$A$1,0,0,COUNTA([3]enemies!$A:$A),MATCH(Q$1,[3]enemies!$1:$1,0)-MATCH($L$1,[3]enemies!$1:$1,0)+1),MATCH(Q$1,[3]enemies!$1:$1,0)-MATCH($L$1,[3]enemies!$1:$1,0)+1,FALSE)</f>
        <v>20</v>
      </c>
      <c r="R85" s="107">
        <f t="shared" ref="R85:U85" si="271">R72</f>
        <v>10</v>
      </c>
      <c r="S85" s="107">
        <f t="shared" si="271"/>
        <v>0.4</v>
      </c>
      <c r="T85" s="108">
        <f t="shared" si="271"/>
        <v>40</v>
      </c>
      <c r="U85" s="107">
        <f t="shared" si="271"/>
        <v>-20223</v>
      </c>
      <c r="V85" s="5" t="str">
        <f ca="1">VLOOKUP($W85,OFFSET([5]enemy_skill_sets!$B$1,0,0,COUNTA([5]enemy_skill_sets!$B:$B),MATCH(M$1,[5]enemy_skill_sets!$1:$1,0)-MATCH($W$1,[5]enemy_skill_sets!$1:$1,0)+2),MATCH(M$1,[5]enemy_skill_sets!$1:$1,0)-MATCH($W$1,[5]enemy_skill_sets!$1:$1,0)+2,FALSE)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5" s="109">
        <f t="shared" ref="W85:AA85" ca="1" si="272">W72</f>
        <v>0</v>
      </c>
      <c r="X85" s="109">
        <f t="shared" si="272"/>
        <v>1</v>
      </c>
      <c r="Y85" s="109">
        <f t="shared" si="272"/>
        <v>0</v>
      </c>
      <c r="Z85" s="109">
        <f t="shared" si="272"/>
        <v>1</v>
      </c>
      <c r="AA85" s="109">
        <f t="shared" si="272"/>
        <v>2</v>
      </c>
      <c r="AB85" s="2">
        <f t="shared" si="262"/>
        <v>342</v>
      </c>
      <c r="AC85" s="5" t="str">
        <f ca="1">VLOOKUP($AB85,OFFSET([4]characters!$A$1,0,0,COUNTA([4]characters!$A:$A),MATCH(AC$1,[4]characters!$1:$1,0)-MATCH("character_id",[4]characters!$1:$1,0)+1),MATCH(AC$1,[4]characters!$1:$1,0)-MATCH("character_id",[4]characters!$1:$1,0)+1,FALSE)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85" s="5">
        <f ca="1">VLOOKUP($AB85,OFFSET([4]characters!$A$1,0,0,COUNTA([4]characters!$A:$A),MATCH(AD$1,[4]characters!$1:$1,0)-MATCH("character_id",[4]characters!$1:$1,0)+1),MATCH(AD$1,[4]characters!$1:$1,0)-MATCH("character_id",[4]characters!$1:$1,0)+1,FALSE)</f>
        <v>5</v>
      </c>
      <c r="AE85" s="5" t="str">
        <f ca="1">VLOOKUP($AB85,OFFSET([4]characters!$A$1,0,0,COUNTA([4]characters!$A:$A),MATCH(AE$1,[4]characters!$1:$1,0)-MATCH("character_id",[4]characters!$1:$1,0)+1),MATCH(AE$1,[4]characters!$1:$1,0)-MATCH("character_id",[4]characters!$1:$1,0)+1,FALSE)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5" s="27">
        <f t="shared" si="203"/>
        <v>1</v>
      </c>
      <c r="AG85" s="27">
        <f t="shared" ca="1" si="263"/>
        <v>5</v>
      </c>
      <c r="AH85" s="27">
        <f t="shared" ref="AH85:AM85" si="273">AH72</f>
        <v>100</v>
      </c>
      <c r="AI85" s="27">
        <f t="shared" si="273"/>
        <v>0</v>
      </c>
      <c r="AJ85" s="27">
        <f t="shared" si="273"/>
        <v>0</v>
      </c>
      <c r="AK85" s="27">
        <f t="shared" si="273"/>
        <v>0</v>
      </c>
      <c r="AL85" s="27">
        <f t="shared" si="273"/>
        <v>0</v>
      </c>
      <c r="AM85" s="27">
        <f t="shared" si="273"/>
        <v>1</v>
      </c>
    </row>
    <row r="86" spans="1:39" ht="21" customHeight="1" x14ac:dyDescent="0.15">
      <c r="A86" s="17" t="str">
        <f>B86&amp;"_"&amp;C86&amp;"-"&amp;G86&amp;"/"&amp;L86&amp;"&lt;lv"&amp;R86&amp;"&gt;s"&amp;AA86</f>
        <v>14004_2-3/341&lt;lv10&gt;s1</v>
      </c>
      <c r="B86" s="104">
        <v>14004</v>
      </c>
      <c r="C86" s="110">
        <f t="shared" si="257"/>
        <v>2</v>
      </c>
      <c r="D86" s="110" t="str">
        <f>B86&amp;"_"&amp;C86</f>
        <v>14004_2</v>
      </c>
      <c r="E86" s="111" t="str">
        <f ca="1">VLOOKUP($B86,OFFSET([2]quests!$A$1,0,0,COUNTA([2]quests!$A:$A),MATCH(E$1,[2]quests!$1:$1,0)-MATCH($B$1,[2]quests!$1:$1,0)+1),MATCH(E$1,[2]quests!$1:$1,0)-MATCH($B$1,[2]quests!$1:$1,0)+1,FALSE)</f>
        <v>【ロック】経験値/LINEマルチ</v>
      </c>
      <c r="F86" s="111" t="str">
        <f ca="1">VLOOKUP($D86,OFFSET([2]stages!$A$1,0,0,COUNTA([2]stages!$A:$A),MATCH(F$1,[2]stages!$2:$2,0)-MATCH($D$1,[2]stages!$2:$2,0)+1),MATCH(F$1,[2]stages!$2:$2,0)-MATCH($D$1,[2]stages!$2:$2,0)+1,FALSE)</f>
        <v>【超級】水ファミリー（ハートなし）</v>
      </c>
      <c r="G86" s="110">
        <v>3</v>
      </c>
      <c r="H86" s="16" t="str">
        <f>B86&amp;"_"&amp;C86&amp;"-"&amp;G86</f>
        <v>14004_2-3</v>
      </c>
      <c r="I86" s="5">
        <f ca="1">VLOOKUP($H86,OFFSET(floors!$A$1,0,0,COUNTA(floors!$A:$A),MATCH(I$1,floors!$1:$1,0)-MATCH($H$1,floors!$1:$1,0)+1),MATCH(I$1,floors!$1:$1,0)-MATCH($H$1,floors!$1:$1,0)+1,FALSE)</f>
        <v>50</v>
      </c>
      <c r="J86" s="5">
        <f ca="1">VLOOKUP($H86,OFFSET(floors!$A$1,0,0,COUNTA(floors!$A:$A),MATCH(J$1,floors!$1:$1,0)-MATCH($H$1,floors!$1:$1,0)+1),MATCH(J$1,floors!$1:$1,0)-MATCH($H$1,floors!$1:$1,0)+1,FALSE)</f>
        <v>50</v>
      </c>
      <c r="K86" s="8" t="s">
        <v>142</v>
      </c>
      <c r="L86" s="2">
        <f t="shared" si="200"/>
        <v>341</v>
      </c>
      <c r="M86" s="20" t="str">
        <f ca="1">VLOOKUP($L86,OFFSET([3]enemies!$A$1,0,0,COUNTA([3]enemies!$A:$A),MATCH(M$1,[3]enemies!$1:$1,0)-MATCH($L$1,[3]enemies!$1:$1,0)+1),MATCH(M$1,[3]enemies!$1:$1,0)-MATCH($L$1,[3]enemies!$1:$1,0)+1,FALSE)</f>
        <v>水のメタルチック</v>
      </c>
      <c r="N86" s="20" t="str">
        <f ca="1">VLOOKUP($L86,OFFSET([3]enemies!$A$1,0,0,COUNTA([3]enemies!$A:$A),MATCH(N$1,[3]enemies!$1:$1,0)-MATCH($L$1,[3]enemies!$1:$1,0)+1),MATCH(N$1,[3]enemies!$1:$1,0)-MATCH($L$1,[3]enemies!$1:$1,0)+1,FALSE)</f>
        <v>blue</v>
      </c>
      <c r="O86" s="20" t="str">
        <f ca="1">VLOOKUP($L86,OFFSET([4]characters!$A$1,0,0,COUNTA([4]characters!$A:$A),MATCH(O$1,[4]characters!$1:$1,0)-MATCH($L$1,[4]characters!$1:$1,0)+1),MATCH(O$1,[4]characters!$1:$1,0)-MATCH($L$1,[4]characters!$1:$1,0)+1,FALSE)</f>
        <v>Material</v>
      </c>
      <c r="P86" s="20" t="str">
        <f ca="1">VLOOKUP($L86,OFFSET([3]enemies!$A$1,0,0,COUNTA([3]enemies!$A:$A),MATCH(P$1,[3]enemies!$1:$1,0)-MATCH($L$1,[3]enemies!$1:$1,0)+1),MATCH(P$1,[3]enemies!$1:$1,0)-MATCH($L$1,[3]enemies!$1:$1,0)+1,FALSE)</f>
        <v>unknown</v>
      </c>
      <c r="Q86" s="20">
        <f ca="1">VLOOKUP($L86,OFFSET([3]enemies!$A$1,0,0,COUNTA([3]enemies!$A:$A),MATCH(Q$1,[3]enemies!$1:$1,0)-MATCH($L$1,[3]enemies!$1:$1,0)+1),MATCH(Q$1,[3]enemies!$1:$1,0)-MATCH($L$1,[3]enemies!$1:$1,0)+1,FALSE)</f>
        <v>15</v>
      </c>
      <c r="R86" s="107">
        <f t="shared" ref="R86:U86" si="274">R73</f>
        <v>10</v>
      </c>
      <c r="S86" s="107">
        <f t="shared" si="274"/>
        <v>0.4</v>
      </c>
      <c r="T86" s="108">
        <f t="shared" si="274"/>
        <v>40</v>
      </c>
      <c r="U86" s="107">
        <f t="shared" si="274"/>
        <v>-2845</v>
      </c>
      <c r="V86" s="5" t="str">
        <f ca="1">VLOOKUP($W86,OFFSET([5]enemy_skill_sets!$B$1,0,0,COUNTA([5]enemy_skill_sets!$B:$B),MATCH(M$1,[5]enemy_skill_sets!$1:$1,0)-MATCH($W$1,[5]enemy_skill_sets!$1:$1,0)+2),MATCH(M$1,[5]enemy_skill_sets!$1:$1,0)-MATCH($W$1,[5]enemy_skill_sets!$1:$1,0)+2,FALSE)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6" s="109">
        <f t="shared" ref="W86:AA86" ca="1" si="275">W73</f>
        <v>0</v>
      </c>
      <c r="X86" s="109">
        <f t="shared" si="275"/>
        <v>0</v>
      </c>
      <c r="Y86" s="109">
        <f t="shared" si="275"/>
        <v>100</v>
      </c>
      <c r="Z86" s="109">
        <f t="shared" si="275"/>
        <v>0</v>
      </c>
      <c r="AA86" s="109">
        <f t="shared" si="275"/>
        <v>1</v>
      </c>
      <c r="AB86" s="2">
        <f>L86</f>
        <v>341</v>
      </c>
      <c r="AC86" s="5" t="str">
        <f ca="1">VLOOKUP($AB86,OFFSET([4]characters!$A$1,0,0,COUNTA([4]characters!$A:$A),MATCH(AC$1,[4]characters!$1:$1,0)-MATCH("character_id",[4]characters!$1:$1,0)+1),MATCH(AC$1,[4]characters!$1:$1,0)-MATCH("character_id",[4]characters!$1:$1,0)+1,FALSE)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86" s="5">
        <f ca="1">VLOOKUP($AB86,OFFSET([4]characters!$A$1,0,0,COUNTA([4]characters!$A:$A),MATCH(AD$1,[4]characters!$1:$1,0)-MATCH("character_id",[4]characters!$1:$1,0)+1),MATCH(AD$1,[4]characters!$1:$1,0)-MATCH("character_id",[4]characters!$1:$1,0)+1,FALSE)</f>
        <v>4</v>
      </c>
      <c r="AE86" s="5" t="str">
        <f ca="1">VLOOKUP($AB86,OFFSET([4]characters!$A$1,0,0,COUNTA([4]characters!$A:$A),MATCH(AE$1,[4]characters!$1:$1,0)-MATCH("character_id",[4]characters!$1:$1,0)+1),MATCH(AE$1,[4]characters!$1:$1,0)-MATCH("character_id",[4]characters!$1:$1,0)+1,FALSE)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6" s="27">
        <f t="shared" si="203"/>
        <v>1</v>
      </c>
      <c r="AG86" s="27">
        <f ca="1">AD86</f>
        <v>4</v>
      </c>
      <c r="AH86" s="27">
        <f t="shared" ref="AH86:AM86" si="276">AH73</f>
        <v>0</v>
      </c>
      <c r="AI86" s="27">
        <f t="shared" si="276"/>
        <v>0</v>
      </c>
      <c r="AJ86" s="27">
        <f t="shared" si="276"/>
        <v>0</v>
      </c>
      <c r="AK86" s="27">
        <f t="shared" si="276"/>
        <v>0</v>
      </c>
      <c r="AL86" s="27">
        <f t="shared" si="276"/>
        <v>0</v>
      </c>
      <c r="AM86" s="27">
        <f t="shared" si="276"/>
        <v>1</v>
      </c>
    </row>
    <row r="87" spans="1:39" ht="21" customHeight="1" x14ac:dyDescent="0.15">
      <c r="A87" s="17" t="str">
        <f t="shared" ref="A87:A92" si="277">B87&amp;"_"&amp;C87&amp;"-"&amp;G87&amp;"/"&amp;L87&amp;"&lt;lv"&amp;R87&amp;"&gt;s"&amp;AA87</f>
        <v>14004_2-3/342&lt;lv10&gt;s2</v>
      </c>
      <c r="B87" s="104">
        <v>14004</v>
      </c>
      <c r="C87" s="110">
        <f t="shared" si="257"/>
        <v>2</v>
      </c>
      <c r="D87" s="110" t="str">
        <f t="shared" ref="D87:D92" si="278">B87&amp;"_"&amp;C87</f>
        <v>14004_2</v>
      </c>
      <c r="E87" s="111" t="str">
        <f ca="1">VLOOKUP($B87,OFFSET([2]quests!$A$1,0,0,COUNTA([2]quests!$A:$A),MATCH(E$1,[2]quests!$1:$1,0)-MATCH($B$1,[2]quests!$1:$1,0)+1),MATCH(E$1,[2]quests!$1:$1,0)-MATCH($B$1,[2]quests!$1:$1,0)+1,FALSE)</f>
        <v>【ロック】経験値/LINEマルチ</v>
      </c>
      <c r="F87" s="111" t="str">
        <f ca="1">VLOOKUP($D87,OFFSET([2]stages!$A$1,0,0,COUNTA([2]stages!$A:$A),MATCH(F$1,[2]stages!$2:$2,0)-MATCH($D$1,[2]stages!$2:$2,0)+1),MATCH(F$1,[2]stages!$2:$2,0)-MATCH($D$1,[2]stages!$2:$2,0)+1,FALSE)</f>
        <v>【超級】水ファミリー（ハートなし）</v>
      </c>
      <c r="G87" s="110">
        <v>3</v>
      </c>
      <c r="H87" s="16" t="str">
        <f t="shared" ref="H87:H92" si="279">B87&amp;"_"&amp;C87&amp;"-"&amp;G87</f>
        <v>14004_2-3</v>
      </c>
      <c r="I87" s="5">
        <f ca="1">VLOOKUP($H87,OFFSET(floors!$A$1,0,0,COUNTA(floors!$A:$A),MATCH(I$1,floors!$1:$1,0)-MATCH($H$1,floors!$1:$1,0)+1),MATCH(I$1,floors!$1:$1,0)-MATCH($H$1,floors!$1:$1,0)+1,FALSE)</f>
        <v>50</v>
      </c>
      <c r="J87" s="5">
        <f ca="1">VLOOKUP($H87,OFFSET(floors!$A$1,0,0,COUNTA(floors!$A:$A),MATCH(J$1,floors!$1:$1,0)-MATCH($H$1,floors!$1:$1,0)+1),MATCH(J$1,floors!$1:$1,0)-MATCH($H$1,floors!$1:$1,0)+1,FALSE)</f>
        <v>50</v>
      </c>
      <c r="K87" s="8" t="s">
        <v>142</v>
      </c>
      <c r="L87" s="2">
        <f t="shared" si="200"/>
        <v>342</v>
      </c>
      <c r="M87" s="20" t="str">
        <f ca="1">VLOOKUP($L87,OFFSET([3]enemies!$A$1,0,0,COUNTA([3]enemies!$A:$A),MATCH(M$1,[3]enemies!$1:$1,0)-MATCH($L$1,[3]enemies!$1:$1,0)+1),MATCH(M$1,[3]enemies!$1:$1,0)-MATCH($L$1,[3]enemies!$1:$1,0)+1,FALSE)</f>
        <v>水のメタルダック</v>
      </c>
      <c r="N87" s="20" t="str">
        <f ca="1">VLOOKUP($L87,OFFSET([3]enemies!$A$1,0,0,COUNTA([3]enemies!$A:$A),MATCH(N$1,[3]enemies!$1:$1,0)-MATCH($L$1,[3]enemies!$1:$1,0)+1),MATCH(N$1,[3]enemies!$1:$1,0)-MATCH($L$1,[3]enemies!$1:$1,0)+1,FALSE)</f>
        <v>blue</v>
      </c>
      <c r="O87" s="20" t="str">
        <f ca="1">VLOOKUP($L87,OFFSET([4]characters!$A$1,0,0,COUNTA([4]characters!$A:$A),MATCH(O$1,[4]characters!$1:$1,0)-MATCH($L$1,[4]characters!$1:$1,0)+1),MATCH(O$1,[4]characters!$1:$1,0)-MATCH($L$1,[4]characters!$1:$1,0)+1,FALSE)</f>
        <v>Material</v>
      </c>
      <c r="P87" s="20" t="str">
        <f ca="1">VLOOKUP($L87,OFFSET([3]enemies!$A$1,0,0,COUNTA([3]enemies!$A:$A),MATCH(P$1,[3]enemies!$1:$1,0)-MATCH($L$1,[3]enemies!$1:$1,0)+1),MATCH(P$1,[3]enemies!$1:$1,0)-MATCH($L$1,[3]enemies!$1:$1,0)+1,FALSE)</f>
        <v>unknown</v>
      </c>
      <c r="Q87" s="20">
        <f ca="1">VLOOKUP($L87,OFFSET([3]enemies!$A$1,0,0,COUNTA([3]enemies!$A:$A),MATCH(Q$1,[3]enemies!$1:$1,0)-MATCH($L$1,[3]enemies!$1:$1,0)+1),MATCH(Q$1,[3]enemies!$1:$1,0)-MATCH($L$1,[3]enemies!$1:$1,0)+1,FALSE)</f>
        <v>20</v>
      </c>
      <c r="R87" s="107">
        <f t="shared" ref="R87:U87" si="280">R74</f>
        <v>10</v>
      </c>
      <c r="S87" s="107">
        <f t="shared" si="280"/>
        <v>0.4</v>
      </c>
      <c r="T87" s="108">
        <f t="shared" si="280"/>
        <v>40</v>
      </c>
      <c r="U87" s="107">
        <f t="shared" si="280"/>
        <v>-20223</v>
      </c>
      <c r="V87" s="5" t="str">
        <f ca="1">VLOOKUP($W87,OFFSET([5]enemy_skill_sets!$B$1,0,0,COUNTA([5]enemy_skill_sets!$B:$B),MATCH(M$1,[5]enemy_skill_sets!$1:$1,0)-MATCH($W$1,[5]enemy_skill_sets!$1:$1,0)+2),MATCH(M$1,[5]enemy_skill_sets!$1:$1,0)-MATCH($W$1,[5]enemy_skill_sets!$1:$1,0)+2,FALSE)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7" s="109">
        <f t="shared" ref="W87:AA87" ca="1" si="281">W74</f>
        <v>0</v>
      </c>
      <c r="X87" s="109">
        <f t="shared" si="281"/>
        <v>0</v>
      </c>
      <c r="Y87" s="109">
        <f t="shared" si="281"/>
        <v>34</v>
      </c>
      <c r="Z87" s="109">
        <f t="shared" si="281"/>
        <v>1</v>
      </c>
      <c r="AA87" s="109">
        <f t="shared" si="281"/>
        <v>2</v>
      </c>
      <c r="AB87" s="2">
        <f t="shared" ref="AB87:AB92" si="282">L87</f>
        <v>342</v>
      </c>
      <c r="AC87" s="5" t="str">
        <f ca="1">VLOOKUP($AB87,OFFSET([4]characters!$A$1,0,0,COUNTA([4]characters!$A:$A),MATCH(AC$1,[4]characters!$1:$1,0)-MATCH("character_id",[4]characters!$1:$1,0)+1),MATCH(AC$1,[4]characters!$1:$1,0)-MATCH("character_id",[4]characters!$1:$1,0)+1,FALSE)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87" s="5">
        <f ca="1">VLOOKUP($AB87,OFFSET([4]characters!$A$1,0,0,COUNTA([4]characters!$A:$A),MATCH(AD$1,[4]characters!$1:$1,0)-MATCH("character_id",[4]characters!$1:$1,0)+1),MATCH(AD$1,[4]characters!$1:$1,0)-MATCH("character_id",[4]characters!$1:$1,0)+1,FALSE)</f>
        <v>5</v>
      </c>
      <c r="AE87" s="5" t="str">
        <f ca="1">VLOOKUP($AB87,OFFSET([4]characters!$A$1,0,0,COUNTA([4]characters!$A:$A),MATCH(AE$1,[4]characters!$1:$1,0)-MATCH("character_id",[4]characters!$1:$1,0)+1),MATCH(AE$1,[4]characters!$1:$1,0)-MATCH("character_id",[4]characters!$1:$1,0)+1,FALSE)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7" s="27">
        <f t="shared" si="203"/>
        <v>1</v>
      </c>
      <c r="AG87" s="27">
        <f t="shared" ref="AG87:AG92" ca="1" si="283">AD87</f>
        <v>5</v>
      </c>
      <c r="AH87" s="27">
        <f t="shared" ref="AH87:AM87" si="284">AH74</f>
        <v>100</v>
      </c>
      <c r="AI87" s="27">
        <f t="shared" si="284"/>
        <v>0</v>
      </c>
      <c r="AJ87" s="27">
        <f t="shared" si="284"/>
        <v>0</v>
      </c>
      <c r="AK87" s="27">
        <f t="shared" si="284"/>
        <v>0</v>
      </c>
      <c r="AL87" s="27">
        <f t="shared" si="284"/>
        <v>0</v>
      </c>
      <c r="AM87" s="27">
        <f t="shared" si="284"/>
        <v>1</v>
      </c>
    </row>
    <row r="88" spans="1:39" ht="21" customHeight="1" x14ac:dyDescent="0.15">
      <c r="A88" s="17" t="str">
        <f t="shared" si="277"/>
        <v>14004_2-3/343&lt;lv10&gt;s2</v>
      </c>
      <c r="B88" s="104">
        <v>14004</v>
      </c>
      <c r="C88" s="110">
        <f t="shared" si="257"/>
        <v>2</v>
      </c>
      <c r="D88" s="110" t="str">
        <f t="shared" si="278"/>
        <v>14004_2</v>
      </c>
      <c r="E88" s="111" t="str">
        <f ca="1">VLOOKUP($B88,OFFSET([2]quests!$A$1,0,0,COUNTA([2]quests!$A:$A),MATCH(E$1,[2]quests!$1:$1,0)-MATCH($B$1,[2]quests!$1:$1,0)+1),MATCH(E$1,[2]quests!$1:$1,0)-MATCH($B$1,[2]quests!$1:$1,0)+1,FALSE)</f>
        <v>【ロック】経験値/LINEマルチ</v>
      </c>
      <c r="F88" s="111" t="str">
        <f ca="1">VLOOKUP($D88,OFFSET([2]stages!$A$1,0,0,COUNTA([2]stages!$A:$A),MATCH(F$1,[2]stages!$2:$2,0)-MATCH($D$1,[2]stages!$2:$2,0)+1),MATCH(F$1,[2]stages!$2:$2,0)-MATCH($D$1,[2]stages!$2:$2,0)+1,FALSE)</f>
        <v>【超級】水ファミリー（ハートなし）</v>
      </c>
      <c r="G88" s="110">
        <v>3</v>
      </c>
      <c r="H88" s="16" t="str">
        <f t="shared" si="279"/>
        <v>14004_2-3</v>
      </c>
      <c r="I88" s="5">
        <f ca="1">VLOOKUP($H88,OFFSET(floors!$A$1,0,0,COUNTA(floors!$A:$A),MATCH(I$1,floors!$1:$1,0)-MATCH($H$1,floors!$1:$1,0)+1),MATCH(I$1,floors!$1:$1,0)-MATCH($H$1,floors!$1:$1,0)+1,FALSE)</f>
        <v>50</v>
      </c>
      <c r="J88" s="5">
        <f ca="1">VLOOKUP($H88,OFFSET(floors!$A$1,0,0,COUNTA(floors!$A:$A),MATCH(J$1,floors!$1:$1,0)-MATCH($H$1,floors!$1:$1,0)+1),MATCH(J$1,floors!$1:$1,0)-MATCH($H$1,floors!$1:$1,0)+1,FALSE)</f>
        <v>50</v>
      </c>
      <c r="K88" s="8" t="s">
        <v>142</v>
      </c>
      <c r="L88" s="2">
        <f t="shared" si="200"/>
        <v>343</v>
      </c>
      <c r="M88" s="20" t="str">
        <f ca="1">VLOOKUP($L88,OFFSET([3]enemies!$A$1,0,0,COUNTA([3]enemies!$A:$A),MATCH(M$1,[3]enemies!$1:$1,0)-MATCH($L$1,[3]enemies!$1:$1,0)+1),MATCH(M$1,[3]enemies!$1:$1,0)-MATCH($L$1,[3]enemies!$1:$1,0)+1,FALSE)</f>
        <v>水のメタルジェントル</v>
      </c>
      <c r="N88" s="20" t="str">
        <f ca="1">VLOOKUP($L88,OFFSET([3]enemies!$A$1,0,0,COUNTA([3]enemies!$A:$A),MATCH(N$1,[3]enemies!$1:$1,0)-MATCH($L$1,[3]enemies!$1:$1,0)+1),MATCH(N$1,[3]enemies!$1:$1,0)-MATCH($L$1,[3]enemies!$1:$1,0)+1,FALSE)</f>
        <v>blue</v>
      </c>
      <c r="O88" s="20" t="str">
        <f ca="1">VLOOKUP($L88,OFFSET([4]characters!$A$1,0,0,COUNTA([4]characters!$A:$A),MATCH(O$1,[4]characters!$1:$1,0)-MATCH($L$1,[4]characters!$1:$1,0)+1),MATCH(O$1,[4]characters!$1:$1,0)-MATCH($L$1,[4]characters!$1:$1,0)+1,FALSE)</f>
        <v>Material</v>
      </c>
      <c r="P88" s="20" t="str">
        <f ca="1">VLOOKUP($L88,OFFSET([3]enemies!$A$1,0,0,COUNTA([3]enemies!$A:$A),MATCH(P$1,[3]enemies!$1:$1,0)-MATCH($L$1,[3]enemies!$1:$1,0)+1),MATCH(P$1,[3]enemies!$1:$1,0)-MATCH($L$1,[3]enemies!$1:$1,0)+1,FALSE)</f>
        <v>unknown</v>
      </c>
      <c r="Q88" s="20">
        <f ca="1">VLOOKUP($L88,OFFSET([3]enemies!$A$1,0,0,COUNTA([3]enemies!$A:$A),MATCH(Q$1,[3]enemies!$1:$1,0)-MATCH($L$1,[3]enemies!$1:$1,0)+1),MATCH(Q$1,[3]enemies!$1:$1,0)-MATCH($L$1,[3]enemies!$1:$1,0)+1,FALSE)</f>
        <v>20</v>
      </c>
      <c r="R88" s="107">
        <f t="shared" ref="R88:U88" si="285">R75</f>
        <v>10</v>
      </c>
      <c r="S88" s="107">
        <f t="shared" si="285"/>
        <v>0.2</v>
      </c>
      <c r="T88" s="108">
        <f t="shared" si="285"/>
        <v>50</v>
      </c>
      <c r="U88" s="107">
        <f t="shared" si="285"/>
        <v>-30889</v>
      </c>
      <c r="V88" s="5" t="str">
        <f ca="1">VLOOKUP($W88,OFFSET(enemy_skill_sets!$B$1,0,0,COUNTA(enemy_skill_sets!$B:$B),MATCH(M$1,enemy_skill_sets!$1:$1,0)-MATCH($W$1,enemy_skill_sets!$1:$1,0)+2),MATCH(M$1,enemy_skill_sets!$1:$1,0)-MATCH($W$1,enemy_skill_sets!$1:$1,0)+2,FALSE)</f>
        <v>なんと ジェントルがあらわれた！</v>
      </c>
      <c r="W88" s="109">
        <f t="shared" ref="W88:AA88" si="286">W75</f>
        <v>14001030</v>
      </c>
      <c r="X88" s="109">
        <f t="shared" si="286"/>
        <v>0</v>
      </c>
      <c r="Y88" s="109">
        <f t="shared" si="286"/>
        <v>66</v>
      </c>
      <c r="Z88" s="109">
        <f t="shared" si="286"/>
        <v>1</v>
      </c>
      <c r="AA88" s="109">
        <f t="shared" si="286"/>
        <v>2</v>
      </c>
      <c r="AB88" s="2">
        <f t="shared" si="282"/>
        <v>343</v>
      </c>
      <c r="AC88" s="5" t="str">
        <f ca="1">VLOOKUP($AB88,OFFSET([4]characters!$A$1,0,0,COUNTA([4]characters!$A:$A),MATCH(AC$1,[4]characters!$1:$1,0)-MATCH("character_id",[4]characters!$1:$1,0)+1),MATCH(AC$1,[4]characters!$1:$1,0)-MATCH("character_id",[4]characters!$1:$1,0)+1,FALSE)</f>
        <v>水のメタルジェントル</v>
      </c>
      <c r="AD88" s="5">
        <f ca="1">VLOOKUP($AB88,OFFSET([4]characters!$A$1,0,0,COUNTA([4]characters!$A:$A),MATCH(AD$1,[4]characters!$1:$1,0)-MATCH("character_id",[4]characters!$1:$1,0)+1),MATCH(AD$1,[4]characters!$1:$1,0)-MATCH("character_id",[4]characters!$1:$1,0)+1,FALSE)</f>
        <v>6</v>
      </c>
      <c r="AE88" s="5" t="str">
        <f ca="1">VLOOKUP($AB88,OFFSET([4]characters!$A$1,0,0,COUNTA([4]characters!$A:$A),MATCH(AE$1,[4]characters!$1:$1,0)-MATCH("character_id",[4]characters!$1:$1,0)+1),MATCH(AE$1,[4]characters!$1:$1,0)-MATCH("character_id",[4]characters!$1:$1,0)+1,FALSE)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8" s="27">
        <f t="shared" si="203"/>
        <v>1</v>
      </c>
      <c r="AG88" s="27">
        <f t="shared" ca="1" si="283"/>
        <v>6</v>
      </c>
      <c r="AH88" s="27">
        <f t="shared" ref="AH88:AM88" si="287">AH75</f>
        <v>100</v>
      </c>
      <c r="AI88" s="27">
        <f t="shared" si="287"/>
        <v>0</v>
      </c>
      <c r="AJ88" s="27">
        <f t="shared" si="287"/>
        <v>0</v>
      </c>
      <c r="AK88" s="27">
        <f t="shared" si="287"/>
        <v>0</v>
      </c>
      <c r="AL88" s="27">
        <f t="shared" si="287"/>
        <v>0</v>
      </c>
      <c r="AM88" s="27">
        <f t="shared" si="287"/>
        <v>1</v>
      </c>
    </row>
    <row r="89" spans="1:39" ht="21" customHeight="1" x14ac:dyDescent="0.15">
      <c r="A89" s="17" t="str">
        <f t="shared" si="277"/>
        <v>14004_2-4/342&lt;lv10&gt;s2</v>
      </c>
      <c r="B89" s="104">
        <v>14004</v>
      </c>
      <c r="C89" s="110">
        <f t="shared" si="257"/>
        <v>2</v>
      </c>
      <c r="D89" s="110" t="str">
        <f t="shared" si="278"/>
        <v>14004_2</v>
      </c>
      <c r="E89" s="111" t="str">
        <f ca="1">VLOOKUP($B89,OFFSET([2]quests!$A$1,0,0,COUNTA([2]quests!$A:$A),MATCH(E$1,[2]quests!$1:$1,0)-MATCH($B$1,[2]quests!$1:$1,0)+1),MATCH(E$1,[2]quests!$1:$1,0)-MATCH($B$1,[2]quests!$1:$1,0)+1,FALSE)</f>
        <v>【ロック】経験値/LINEマルチ</v>
      </c>
      <c r="F89" s="111" t="str">
        <f ca="1">VLOOKUP($D89,OFFSET([2]stages!$A$1,0,0,COUNTA([2]stages!$A:$A),MATCH(F$1,[2]stages!$2:$2,0)-MATCH($D$1,[2]stages!$2:$2,0)+1),MATCH(F$1,[2]stages!$2:$2,0)-MATCH($D$1,[2]stages!$2:$2,0)+1,FALSE)</f>
        <v>【超級】水ファミリー（ハートなし）</v>
      </c>
      <c r="G89" s="110">
        <v>4</v>
      </c>
      <c r="H89" s="16" t="str">
        <f t="shared" si="279"/>
        <v>14004_2-4</v>
      </c>
      <c r="I89" s="5">
        <f ca="1">VLOOKUP($H89,OFFSET(floors!$A$1,0,0,COUNTA(floors!$A:$A),MATCH(I$1,floors!$1:$1,0)-MATCH($H$1,floors!$1:$1,0)+1),MATCH(I$1,floors!$1:$1,0)-MATCH($H$1,floors!$1:$1,0)+1,FALSE)</f>
        <v>59</v>
      </c>
      <c r="J89" s="5">
        <f ca="1">VLOOKUP($H89,OFFSET(floors!$A$1,0,0,COUNTA(floors!$A:$A),MATCH(J$1,floors!$1:$1,0)-MATCH($H$1,floors!$1:$1,0)+1),MATCH(J$1,floors!$1:$1,0)-MATCH($H$1,floors!$1:$1,0)+1,FALSE)</f>
        <v>60</v>
      </c>
      <c r="K89" s="8" t="s">
        <v>142</v>
      </c>
      <c r="L89" s="2">
        <f t="shared" si="200"/>
        <v>342</v>
      </c>
      <c r="M89" s="20" t="str">
        <f ca="1">VLOOKUP($L89,OFFSET([3]enemies!$A$1,0,0,COUNTA([3]enemies!$A:$A),MATCH(M$1,[3]enemies!$1:$1,0)-MATCH($L$1,[3]enemies!$1:$1,0)+1),MATCH(M$1,[3]enemies!$1:$1,0)-MATCH($L$1,[3]enemies!$1:$1,0)+1,FALSE)</f>
        <v>水のメタルダック</v>
      </c>
      <c r="N89" s="20" t="str">
        <f ca="1">VLOOKUP($L89,OFFSET([3]enemies!$A$1,0,0,COUNTA([3]enemies!$A:$A),MATCH(N$1,[3]enemies!$1:$1,0)-MATCH($L$1,[3]enemies!$1:$1,0)+1),MATCH(N$1,[3]enemies!$1:$1,0)-MATCH($L$1,[3]enemies!$1:$1,0)+1,FALSE)</f>
        <v>blue</v>
      </c>
      <c r="O89" s="20" t="str">
        <f ca="1">VLOOKUP($L89,OFFSET([4]characters!$A$1,0,0,COUNTA([4]characters!$A:$A),MATCH(O$1,[4]characters!$1:$1,0)-MATCH($L$1,[4]characters!$1:$1,0)+1),MATCH(O$1,[4]characters!$1:$1,0)-MATCH($L$1,[4]characters!$1:$1,0)+1,FALSE)</f>
        <v>Material</v>
      </c>
      <c r="P89" s="20" t="str">
        <f ca="1">VLOOKUP($L89,OFFSET([3]enemies!$A$1,0,0,COUNTA([3]enemies!$A:$A),MATCH(P$1,[3]enemies!$1:$1,0)-MATCH($L$1,[3]enemies!$1:$1,0)+1),MATCH(P$1,[3]enemies!$1:$1,0)-MATCH($L$1,[3]enemies!$1:$1,0)+1,FALSE)</f>
        <v>unknown</v>
      </c>
      <c r="Q89" s="20">
        <f ca="1">VLOOKUP($L89,OFFSET([3]enemies!$A$1,0,0,COUNTA([3]enemies!$A:$A),MATCH(Q$1,[3]enemies!$1:$1,0)-MATCH($L$1,[3]enemies!$1:$1,0)+1),MATCH(Q$1,[3]enemies!$1:$1,0)-MATCH($L$1,[3]enemies!$1:$1,0)+1,FALSE)</f>
        <v>20</v>
      </c>
      <c r="R89" s="107">
        <f t="shared" ref="R89:U89" si="288">R76</f>
        <v>10</v>
      </c>
      <c r="S89" s="107">
        <f t="shared" si="288"/>
        <v>0.4</v>
      </c>
      <c r="T89" s="108">
        <f t="shared" si="288"/>
        <v>40</v>
      </c>
      <c r="U89" s="107">
        <f t="shared" si="288"/>
        <v>-20223</v>
      </c>
      <c r="V89" s="5" t="str">
        <f ca="1">VLOOKUP($W89,OFFSET([5]enemy_skill_sets!$B$1,0,0,COUNTA([5]enemy_skill_sets!$B:$B),MATCH(M$1,[5]enemy_skill_sets!$1:$1,0)-MATCH($W$1,[5]enemy_skill_sets!$1:$1,0)+2),MATCH(M$1,[5]enemy_skill_sets!$1:$1,0)-MATCH($W$1,[5]enemy_skill_sets!$1:$1,0)+2,FALSE)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9" s="109">
        <f t="shared" ref="W89:AA89" ca="1" si="289">W76</f>
        <v>0</v>
      </c>
      <c r="X89" s="109">
        <f t="shared" si="289"/>
        <v>0</v>
      </c>
      <c r="Y89" s="109">
        <f t="shared" si="289"/>
        <v>100</v>
      </c>
      <c r="Z89" s="109">
        <f t="shared" si="289"/>
        <v>0</v>
      </c>
      <c r="AA89" s="109">
        <f t="shared" si="289"/>
        <v>2</v>
      </c>
      <c r="AB89" s="2">
        <f t="shared" si="282"/>
        <v>342</v>
      </c>
      <c r="AC89" s="5" t="str">
        <f ca="1">VLOOKUP($AB89,OFFSET([4]characters!$A$1,0,0,COUNTA([4]characters!$A:$A),MATCH(AC$1,[4]characters!$1:$1,0)-MATCH("character_id",[4]characters!$1:$1,0)+1),MATCH(AC$1,[4]characters!$1:$1,0)-MATCH("character_id",[4]characters!$1:$1,0)+1,FALSE)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89" s="5">
        <f ca="1">VLOOKUP($AB89,OFFSET([4]characters!$A$1,0,0,COUNTA([4]characters!$A:$A),MATCH(AD$1,[4]characters!$1:$1,0)-MATCH("character_id",[4]characters!$1:$1,0)+1),MATCH(AD$1,[4]characters!$1:$1,0)-MATCH("character_id",[4]characters!$1:$1,0)+1,FALSE)</f>
        <v>5</v>
      </c>
      <c r="AE89" s="5" t="str">
        <f ca="1">VLOOKUP($AB89,OFFSET([4]characters!$A$1,0,0,COUNTA([4]characters!$A:$A),MATCH(AE$1,[4]characters!$1:$1,0)-MATCH("character_id",[4]characters!$1:$1,0)+1),MATCH(AE$1,[4]characters!$1:$1,0)-MATCH("character_id",[4]characters!$1:$1,0)+1,FALSE)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9" s="27">
        <f t="shared" si="203"/>
        <v>1</v>
      </c>
      <c r="AG89" s="27">
        <f t="shared" ca="1" si="283"/>
        <v>5</v>
      </c>
      <c r="AH89" s="27">
        <f t="shared" ref="AH89:AM89" si="290">AH76</f>
        <v>100</v>
      </c>
      <c r="AI89" s="27">
        <f t="shared" si="290"/>
        <v>0</v>
      </c>
      <c r="AJ89" s="27">
        <f t="shared" si="290"/>
        <v>0</v>
      </c>
      <c r="AK89" s="27">
        <f t="shared" si="290"/>
        <v>0</v>
      </c>
      <c r="AL89" s="27">
        <f t="shared" si="290"/>
        <v>0</v>
      </c>
      <c r="AM89" s="27">
        <f t="shared" si="290"/>
        <v>1</v>
      </c>
    </row>
    <row r="90" spans="1:39" ht="21" customHeight="1" x14ac:dyDescent="0.15">
      <c r="A90" s="17" t="str">
        <f t="shared" si="277"/>
        <v>14004_2-5/341&lt;lv10&gt;s2</v>
      </c>
      <c r="B90" s="104">
        <v>14004</v>
      </c>
      <c r="C90" s="110">
        <f t="shared" si="257"/>
        <v>2</v>
      </c>
      <c r="D90" s="110" t="str">
        <f t="shared" si="278"/>
        <v>14004_2</v>
      </c>
      <c r="E90" s="111" t="str">
        <f ca="1">VLOOKUP($B90,OFFSET([2]quests!$A$1,0,0,COUNTA([2]quests!$A:$A),MATCH(E$1,[2]quests!$1:$1,0)-MATCH($B$1,[2]quests!$1:$1,0)+1),MATCH(E$1,[2]quests!$1:$1,0)-MATCH($B$1,[2]quests!$1:$1,0)+1,FALSE)</f>
        <v>【ロック】経験値/LINEマルチ</v>
      </c>
      <c r="F90" s="111" t="str">
        <f ca="1">VLOOKUP($D90,OFFSET([2]stages!$A$1,0,0,COUNTA([2]stages!$A:$A),MATCH(F$1,[2]stages!$2:$2,0)-MATCH($D$1,[2]stages!$2:$2,0)+1),MATCH(F$1,[2]stages!$2:$2,0)-MATCH($D$1,[2]stages!$2:$2,0)+1,FALSE)</f>
        <v>【超級】水ファミリー（ハートなし）</v>
      </c>
      <c r="G90" s="110">
        <v>5</v>
      </c>
      <c r="H90" s="16" t="str">
        <f t="shared" si="279"/>
        <v>14004_2-5</v>
      </c>
      <c r="I90" s="5">
        <f ca="1">VLOOKUP($H90,OFFSET(floors!$A$1,0,0,COUNTA(floors!$A:$A),MATCH(I$1,floors!$1:$1,0)-MATCH($H$1,floors!$1:$1,0)+1),MATCH(I$1,floors!$1:$1,0)-MATCH($H$1,floors!$1:$1,0)+1,FALSE)</f>
        <v>55</v>
      </c>
      <c r="J90" s="5">
        <f ca="1">VLOOKUP($H90,OFFSET(floors!$A$1,0,0,COUNTA(floors!$A:$A),MATCH(J$1,floors!$1:$1,0)-MATCH($H$1,floors!$1:$1,0)+1),MATCH(J$1,floors!$1:$1,0)-MATCH($H$1,floors!$1:$1,0)+1,FALSE)</f>
        <v>55</v>
      </c>
      <c r="K90" s="8" t="s">
        <v>142</v>
      </c>
      <c r="L90" s="2">
        <f t="shared" si="200"/>
        <v>341</v>
      </c>
      <c r="M90" s="20" t="str">
        <f ca="1">VLOOKUP($L90,OFFSET([3]enemies!$A$1,0,0,COUNTA([3]enemies!$A:$A),MATCH(M$1,[3]enemies!$1:$1,0)-MATCH($L$1,[3]enemies!$1:$1,0)+1),MATCH(M$1,[3]enemies!$1:$1,0)-MATCH($L$1,[3]enemies!$1:$1,0)+1,FALSE)</f>
        <v>水のメタルチック</v>
      </c>
      <c r="N90" s="20" t="str">
        <f ca="1">VLOOKUP($L90,OFFSET([3]enemies!$A$1,0,0,COUNTA([3]enemies!$A:$A),MATCH(N$1,[3]enemies!$1:$1,0)-MATCH($L$1,[3]enemies!$1:$1,0)+1),MATCH(N$1,[3]enemies!$1:$1,0)-MATCH($L$1,[3]enemies!$1:$1,0)+1,FALSE)</f>
        <v>blue</v>
      </c>
      <c r="O90" s="20" t="str">
        <f ca="1">VLOOKUP($L90,OFFSET([4]characters!$A$1,0,0,COUNTA([4]characters!$A:$A),MATCH(O$1,[4]characters!$1:$1,0)-MATCH($L$1,[4]characters!$1:$1,0)+1),MATCH(O$1,[4]characters!$1:$1,0)-MATCH($L$1,[4]characters!$1:$1,0)+1,FALSE)</f>
        <v>Material</v>
      </c>
      <c r="P90" s="20" t="str">
        <f ca="1">VLOOKUP($L90,OFFSET([3]enemies!$A$1,0,0,COUNTA([3]enemies!$A:$A),MATCH(P$1,[3]enemies!$1:$1,0)-MATCH($L$1,[3]enemies!$1:$1,0)+1),MATCH(P$1,[3]enemies!$1:$1,0)-MATCH($L$1,[3]enemies!$1:$1,0)+1,FALSE)</f>
        <v>unknown</v>
      </c>
      <c r="Q90" s="20">
        <f ca="1">VLOOKUP($L90,OFFSET([3]enemies!$A$1,0,0,COUNTA([3]enemies!$A:$A),MATCH(Q$1,[3]enemies!$1:$1,0)-MATCH($L$1,[3]enemies!$1:$1,0)+1),MATCH(Q$1,[3]enemies!$1:$1,0)-MATCH($L$1,[3]enemies!$1:$1,0)+1,FALSE)</f>
        <v>15</v>
      </c>
      <c r="R90" s="107">
        <f t="shared" ref="R90:U90" si="291">R77</f>
        <v>10</v>
      </c>
      <c r="S90" s="107">
        <f t="shared" si="291"/>
        <v>0.4</v>
      </c>
      <c r="T90" s="108">
        <f t="shared" si="291"/>
        <v>40</v>
      </c>
      <c r="U90" s="107">
        <f t="shared" si="291"/>
        <v>-2845</v>
      </c>
      <c r="V90" s="5" t="str">
        <f ca="1">VLOOKUP($W90,OFFSET([5]enemy_skill_sets!$B$1,0,0,COUNTA([5]enemy_skill_sets!$B:$B),MATCH(M$1,[5]enemy_skill_sets!$1:$1,0)-MATCH($W$1,[5]enemy_skill_sets!$1:$1,0)+2),MATCH(M$1,[5]enemy_skill_sets!$1:$1,0)-MATCH($W$1,[5]enemy_skill_sets!$1:$1,0)+2,FALSE)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0" s="109">
        <f t="shared" ref="W90:AA90" ca="1" si="292">W77</f>
        <v>0</v>
      </c>
      <c r="X90" s="109">
        <f t="shared" si="292"/>
        <v>1</v>
      </c>
      <c r="Y90" s="109">
        <f t="shared" si="292"/>
        <v>0</v>
      </c>
      <c r="Z90" s="109">
        <f t="shared" si="292"/>
        <v>2</v>
      </c>
      <c r="AA90" s="109">
        <f t="shared" si="292"/>
        <v>2</v>
      </c>
      <c r="AB90" s="2">
        <f t="shared" si="282"/>
        <v>341</v>
      </c>
      <c r="AC90" s="5" t="str">
        <f ca="1">VLOOKUP($AB90,OFFSET([4]characters!$A$1,0,0,COUNTA([4]characters!$A:$A),MATCH(AC$1,[4]characters!$1:$1,0)-MATCH("character_id",[4]characters!$1:$1,0)+1),MATCH(AC$1,[4]characters!$1:$1,0)-MATCH("character_id",[4]characters!$1:$1,0)+1,FALSE)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90" s="5">
        <f ca="1">VLOOKUP($AB90,OFFSET([4]characters!$A$1,0,0,COUNTA([4]characters!$A:$A),MATCH(AD$1,[4]characters!$1:$1,0)-MATCH("character_id",[4]characters!$1:$1,0)+1),MATCH(AD$1,[4]characters!$1:$1,0)-MATCH("character_id",[4]characters!$1:$1,0)+1,FALSE)</f>
        <v>4</v>
      </c>
      <c r="AE90" s="5" t="str">
        <f ca="1">VLOOKUP($AB90,OFFSET([4]characters!$A$1,0,0,COUNTA([4]characters!$A:$A),MATCH(AE$1,[4]characters!$1:$1,0)-MATCH("character_id",[4]characters!$1:$1,0)+1),MATCH(AE$1,[4]characters!$1:$1,0)-MATCH("character_id",[4]characters!$1:$1,0)+1,FALSE)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0" s="27">
        <f t="shared" si="203"/>
        <v>1</v>
      </c>
      <c r="AG90" s="27">
        <f t="shared" ca="1" si="283"/>
        <v>4</v>
      </c>
      <c r="AH90" s="27">
        <f t="shared" ref="AH90:AM90" si="293">AH77</f>
        <v>0</v>
      </c>
      <c r="AI90" s="27">
        <f t="shared" si="293"/>
        <v>0</v>
      </c>
      <c r="AJ90" s="27">
        <f t="shared" si="293"/>
        <v>0</v>
      </c>
      <c r="AK90" s="27">
        <f t="shared" si="293"/>
        <v>0</v>
      </c>
      <c r="AL90" s="27">
        <f t="shared" si="293"/>
        <v>0</v>
      </c>
      <c r="AM90" s="27">
        <f t="shared" si="293"/>
        <v>1</v>
      </c>
    </row>
    <row r="91" spans="1:39" ht="21" customHeight="1" x14ac:dyDescent="0.15">
      <c r="A91" s="17" t="str">
        <f t="shared" si="277"/>
        <v>14004_2-5/342&lt;lv10&gt;s2</v>
      </c>
      <c r="B91" s="104">
        <v>14004</v>
      </c>
      <c r="C91" s="110">
        <f t="shared" si="257"/>
        <v>2</v>
      </c>
      <c r="D91" s="110" t="str">
        <f t="shared" si="278"/>
        <v>14004_2</v>
      </c>
      <c r="E91" s="111" t="str">
        <f ca="1">VLOOKUP($B91,OFFSET([2]quests!$A$1,0,0,COUNTA([2]quests!$A:$A),MATCH(E$1,[2]quests!$1:$1,0)-MATCH($B$1,[2]quests!$1:$1,0)+1),MATCH(E$1,[2]quests!$1:$1,0)-MATCH($B$1,[2]quests!$1:$1,0)+1,FALSE)</f>
        <v>【ロック】経験値/LINEマルチ</v>
      </c>
      <c r="F91" s="111" t="str">
        <f ca="1">VLOOKUP($D91,OFFSET([2]stages!$A$1,0,0,COUNTA([2]stages!$A:$A),MATCH(F$1,[2]stages!$2:$2,0)-MATCH($D$1,[2]stages!$2:$2,0)+1),MATCH(F$1,[2]stages!$2:$2,0)-MATCH($D$1,[2]stages!$2:$2,0)+1,FALSE)</f>
        <v>【超級】水ファミリー（ハートなし）</v>
      </c>
      <c r="G91" s="110">
        <v>5</v>
      </c>
      <c r="H91" s="16" t="str">
        <f t="shared" si="279"/>
        <v>14004_2-5</v>
      </c>
      <c r="I91" s="5">
        <f ca="1">VLOOKUP($H91,OFFSET(floors!$A$1,0,0,COUNTA(floors!$A:$A),MATCH(I$1,floors!$1:$1,0)-MATCH($H$1,floors!$1:$1,0)+1),MATCH(I$1,floors!$1:$1,0)-MATCH($H$1,floors!$1:$1,0)+1,FALSE)</f>
        <v>55</v>
      </c>
      <c r="J91" s="5">
        <f ca="1">VLOOKUP($H91,OFFSET(floors!$A$1,0,0,COUNTA(floors!$A:$A),MATCH(J$1,floors!$1:$1,0)-MATCH($H$1,floors!$1:$1,0)+1),MATCH(J$1,floors!$1:$1,0)-MATCH($H$1,floors!$1:$1,0)+1,FALSE)</f>
        <v>55</v>
      </c>
      <c r="K91" s="8" t="s">
        <v>142</v>
      </c>
      <c r="L91" s="2">
        <f t="shared" si="200"/>
        <v>342</v>
      </c>
      <c r="M91" s="20" t="str">
        <f ca="1">VLOOKUP($L91,OFFSET([3]enemies!$A$1,0,0,COUNTA([3]enemies!$A:$A),MATCH(M$1,[3]enemies!$1:$1,0)-MATCH($L$1,[3]enemies!$1:$1,0)+1),MATCH(M$1,[3]enemies!$1:$1,0)-MATCH($L$1,[3]enemies!$1:$1,0)+1,FALSE)</f>
        <v>水のメタルダック</v>
      </c>
      <c r="N91" s="20" t="str">
        <f ca="1">VLOOKUP($L91,OFFSET([3]enemies!$A$1,0,0,COUNTA([3]enemies!$A:$A),MATCH(N$1,[3]enemies!$1:$1,0)-MATCH($L$1,[3]enemies!$1:$1,0)+1),MATCH(N$1,[3]enemies!$1:$1,0)-MATCH($L$1,[3]enemies!$1:$1,0)+1,FALSE)</f>
        <v>blue</v>
      </c>
      <c r="O91" s="20" t="str">
        <f ca="1">VLOOKUP($L91,OFFSET([4]characters!$A$1,0,0,COUNTA([4]characters!$A:$A),MATCH(O$1,[4]characters!$1:$1,0)-MATCH($L$1,[4]characters!$1:$1,0)+1),MATCH(O$1,[4]characters!$1:$1,0)-MATCH($L$1,[4]characters!$1:$1,0)+1,FALSE)</f>
        <v>Material</v>
      </c>
      <c r="P91" s="20" t="str">
        <f ca="1">VLOOKUP($L91,OFFSET([3]enemies!$A$1,0,0,COUNTA([3]enemies!$A:$A),MATCH(P$1,[3]enemies!$1:$1,0)-MATCH($L$1,[3]enemies!$1:$1,0)+1),MATCH(P$1,[3]enemies!$1:$1,0)-MATCH($L$1,[3]enemies!$1:$1,0)+1,FALSE)</f>
        <v>unknown</v>
      </c>
      <c r="Q91" s="20">
        <f ca="1">VLOOKUP($L91,OFFSET([3]enemies!$A$1,0,0,COUNTA([3]enemies!$A:$A),MATCH(Q$1,[3]enemies!$1:$1,0)-MATCH($L$1,[3]enemies!$1:$1,0)+1),MATCH(Q$1,[3]enemies!$1:$1,0)-MATCH($L$1,[3]enemies!$1:$1,0)+1,FALSE)</f>
        <v>20</v>
      </c>
      <c r="R91" s="107">
        <f t="shared" ref="R91:U91" si="294">R78</f>
        <v>10</v>
      </c>
      <c r="S91" s="107">
        <f t="shared" si="294"/>
        <v>0.4</v>
      </c>
      <c r="T91" s="108">
        <f t="shared" si="294"/>
        <v>40</v>
      </c>
      <c r="U91" s="107">
        <f t="shared" si="294"/>
        <v>-20223</v>
      </c>
      <c r="V91" s="5" t="str">
        <f ca="1">VLOOKUP($W91,OFFSET([5]enemy_skill_sets!$B$1,0,0,COUNTA([5]enemy_skill_sets!$B:$B),MATCH(M$1,[5]enemy_skill_sets!$1:$1,0)-MATCH($W$1,[5]enemy_skill_sets!$1:$1,0)+2),MATCH(M$1,[5]enemy_skill_sets!$1:$1,0)-MATCH($W$1,[5]enemy_skill_sets!$1:$1,0)+2,FALSE)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1" s="109">
        <f t="shared" ref="W91:AA91" ca="1" si="295">W78</f>
        <v>0</v>
      </c>
      <c r="X91" s="109">
        <f t="shared" si="295"/>
        <v>1</v>
      </c>
      <c r="Y91" s="109">
        <f t="shared" si="295"/>
        <v>0</v>
      </c>
      <c r="Z91" s="109">
        <f t="shared" si="295"/>
        <v>1</v>
      </c>
      <c r="AA91" s="109">
        <f t="shared" si="295"/>
        <v>2</v>
      </c>
      <c r="AB91" s="2">
        <f t="shared" si="282"/>
        <v>342</v>
      </c>
      <c r="AC91" s="5" t="str">
        <f ca="1">VLOOKUP($AB91,OFFSET([4]characters!$A$1,0,0,COUNTA([4]characters!$A:$A),MATCH(AC$1,[4]characters!$1:$1,0)-MATCH("character_id",[4]characters!$1:$1,0)+1),MATCH(AC$1,[4]characters!$1:$1,0)-MATCH("character_id",[4]characters!$1:$1,0)+1,FALSE)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91" s="5">
        <f ca="1">VLOOKUP($AB91,OFFSET([4]characters!$A$1,0,0,COUNTA([4]characters!$A:$A),MATCH(AD$1,[4]characters!$1:$1,0)-MATCH("character_id",[4]characters!$1:$1,0)+1),MATCH(AD$1,[4]characters!$1:$1,0)-MATCH("character_id",[4]characters!$1:$1,0)+1,FALSE)</f>
        <v>5</v>
      </c>
      <c r="AE91" s="5" t="str">
        <f ca="1">VLOOKUP($AB91,OFFSET([4]characters!$A$1,0,0,COUNTA([4]characters!$A:$A),MATCH(AE$1,[4]characters!$1:$1,0)-MATCH("character_id",[4]characters!$1:$1,0)+1),MATCH(AE$1,[4]characters!$1:$1,0)-MATCH("character_id",[4]characters!$1:$1,0)+1,FALSE)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1" s="27">
        <f t="shared" si="203"/>
        <v>1</v>
      </c>
      <c r="AG91" s="27">
        <f t="shared" ca="1" si="283"/>
        <v>5</v>
      </c>
      <c r="AH91" s="27">
        <f t="shared" ref="AH91:AM91" si="296">AH78</f>
        <v>0</v>
      </c>
      <c r="AI91" s="27">
        <f t="shared" si="296"/>
        <v>0</v>
      </c>
      <c r="AJ91" s="27">
        <f t="shared" si="296"/>
        <v>0</v>
      </c>
      <c r="AK91" s="27">
        <f t="shared" si="296"/>
        <v>0</v>
      </c>
      <c r="AL91" s="27">
        <f t="shared" si="296"/>
        <v>0</v>
      </c>
      <c r="AM91" s="27">
        <f t="shared" si="296"/>
        <v>1</v>
      </c>
    </row>
    <row r="92" spans="1:39" ht="21" customHeight="1" x14ac:dyDescent="0.15">
      <c r="A92" s="17" t="str">
        <f t="shared" si="277"/>
        <v>14004_2-5/343&lt;lv10&gt;s2</v>
      </c>
      <c r="B92" s="104">
        <v>14004</v>
      </c>
      <c r="C92" s="110">
        <f t="shared" si="257"/>
        <v>2</v>
      </c>
      <c r="D92" s="110" t="str">
        <f t="shared" si="278"/>
        <v>14004_2</v>
      </c>
      <c r="E92" s="111" t="str">
        <f ca="1">VLOOKUP($B92,OFFSET([2]quests!$A$1,0,0,COUNTA([2]quests!$A:$A),MATCH(E$1,[2]quests!$1:$1,0)-MATCH($B$1,[2]quests!$1:$1,0)+1),MATCH(E$1,[2]quests!$1:$1,0)-MATCH($B$1,[2]quests!$1:$1,0)+1,FALSE)</f>
        <v>【ロック】経験値/LINEマルチ</v>
      </c>
      <c r="F92" s="111" t="str">
        <f ca="1">VLOOKUP($D92,OFFSET([2]stages!$A$1,0,0,COUNTA([2]stages!$A:$A),MATCH(F$1,[2]stages!$2:$2,0)-MATCH($D$1,[2]stages!$2:$2,0)+1),MATCH(F$1,[2]stages!$2:$2,0)-MATCH($D$1,[2]stages!$2:$2,0)+1,FALSE)</f>
        <v>【超級】水ファミリー（ハートなし）</v>
      </c>
      <c r="G92" s="110">
        <v>5</v>
      </c>
      <c r="H92" s="16" t="str">
        <f t="shared" si="279"/>
        <v>14004_2-5</v>
      </c>
      <c r="I92" s="5">
        <f ca="1">VLOOKUP($H92,OFFSET(floors!$A$1,0,0,COUNTA(floors!$A:$A),MATCH(I$1,floors!$1:$1,0)-MATCH($H$1,floors!$1:$1,0)+1),MATCH(I$1,floors!$1:$1,0)-MATCH($H$1,floors!$1:$1,0)+1,FALSE)</f>
        <v>55</v>
      </c>
      <c r="J92" s="5">
        <f ca="1">VLOOKUP($H92,OFFSET(floors!$A$1,0,0,COUNTA(floors!$A:$A),MATCH(J$1,floors!$1:$1,0)-MATCH($H$1,floors!$1:$1,0)+1),MATCH(J$1,floors!$1:$1,0)-MATCH($H$1,floors!$1:$1,0)+1,FALSE)</f>
        <v>55</v>
      </c>
      <c r="K92" s="8" t="s">
        <v>142</v>
      </c>
      <c r="L92" s="2">
        <f t="shared" si="200"/>
        <v>343</v>
      </c>
      <c r="M92" s="20" t="str">
        <f ca="1">VLOOKUP($L92,OFFSET([3]enemies!$A$1,0,0,COUNTA([3]enemies!$A:$A),MATCH(M$1,[3]enemies!$1:$1,0)-MATCH($L$1,[3]enemies!$1:$1,0)+1),MATCH(M$1,[3]enemies!$1:$1,0)-MATCH($L$1,[3]enemies!$1:$1,0)+1,FALSE)</f>
        <v>水のメタルジェントル</v>
      </c>
      <c r="N92" s="20" t="str">
        <f ca="1">VLOOKUP($L92,OFFSET([3]enemies!$A$1,0,0,COUNTA([3]enemies!$A:$A),MATCH(N$1,[3]enemies!$1:$1,0)-MATCH($L$1,[3]enemies!$1:$1,0)+1),MATCH(N$1,[3]enemies!$1:$1,0)-MATCH($L$1,[3]enemies!$1:$1,0)+1,FALSE)</f>
        <v>blue</v>
      </c>
      <c r="O92" s="20" t="str">
        <f ca="1">VLOOKUP($L92,OFFSET([4]characters!$A$1,0,0,COUNTA([4]characters!$A:$A),MATCH(O$1,[4]characters!$1:$1,0)-MATCH($L$1,[4]characters!$1:$1,0)+1),MATCH(O$1,[4]characters!$1:$1,0)-MATCH($L$1,[4]characters!$1:$1,0)+1,FALSE)</f>
        <v>Material</v>
      </c>
      <c r="P92" s="20" t="str">
        <f ca="1">VLOOKUP($L92,OFFSET([3]enemies!$A$1,0,0,COUNTA([3]enemies!$A:$A),MATCH(P$1,[3]enemies!$1:$1,0)-MATCH($L$1,[3]enemies!$1:$1,0)+1),MATCH(P$1,[3]enemies!$1:$1,0)-MATCH($L$1,[3]enemies!$1:$1,0)+1,FALSE)</f>
        <v>unknown</v>
      </c>
      <c r="Q92" s="20">
        <f ca="1">VLOOKUP($L92,OFFSET([3]enemies!$A$1,0,0,COUNTA([3]enemies!$A:$A),MATCH(Q$1,[3]enemies!$1:$1,0)-MATCH($L$1,[3]enemies!$1:$1,0)+1),MATCH(Q$1,[3]enemies!$1:$1,0)-MATCH($L$1,[3]enemies!$1:$1,0)+1,FALSE)</f>
        <v>20</v>
      </c>
      <c r="R92" s="107">
        <f t="shared" ref="R92:U92" si="297">R79</f>
        <v>10</v>
      </c>
      <c r="S92" s="107">
        <f t="shared" si="297"/>
        <v>0.2</v>
      </c>
      <c r="T92" s="108">
        <f t="shared" si="297"/>
        <v>50</v>
      </c>
      <c r="U92" s="107">
        <f t="shared" si="297"/>
        <v>-30889</v>
      </c>
      <c r="V92" s="5" t="str">
        <f ca="1">VLOOKUP($W92,OFFSET(enemy_skill_sets!$B$1,0,0,COUNTA(enemy_skill_sets!$B:$B),MATCH(M$1,enemy_skill_sets!$1:$1,0)-MATCH($W$1,enemy_skill_sets!$1:$1,0)+2),MATCH(M$1,enemy_skill_sets!$1:$1,0)-MATCH($W$1,enemy_skill_sets!$1:$1,0)+2,FALSE)</f>
        <v>メタルファミリーが あらわれた！</v>
      </c>
      <c r="W92" s="109">
        <f t="shared" ref="W92:AA93" si="298">W79</f>
        <v>14001050</v>
      </c>
      <c r="X92" s="109">
        <f t="shared" si="298"/>
        <v>1</v>
      </c>
      <c r="Y92" s="109">
        <f t="shared" si="298"/>
        <v>0</v>
      </c>
      <c r="Z92" s="109">
        <f t="shared" si="298"/>
        <v>0</v>
      </c>
      <c r="AA92" s="109">
        <f t="shared" si="298"/>
        <v>2</v>
      </c>
      <c r="AB92" s="2">
        <f t="shared" si="282"/>
        <v>343</v>
      </c>
      <c r="AC92" s="5" t="str">
        <f ca="1">VLOOKUP($AB92,OFFSET([4]characters!$A$1,0,0,COUNTA([4]characters!$A:$A),MATCH(AC$1,[4]characters!$1:$1,0)-MATCH("character_id",[4]characters!$1:$1,0)+1),MATCH(AC$1,[4]characters!$1:$1,0)-MATCH("character_id",[4]characters!$1:$1,0)+1,FALSE)</f>
        <v>水のメタルジェントル</v>
      </c>
      <c r="AD92" s="5">
        <f ca="1">VLOOKUP($AB92,OFFSET([4]characters!$A$1,0,0,COUNTA([4]characters!$A:$A),MATCH(AD$1,[4]characters!$1:$1,0)-MATCH("character_id",[4]characters!$1:$1,0)+1),MATCH(AD$1,[4]characters!$1:$1,0)-MATCH("character_id",[4]characters!$1:$1,0)+1,FALSE)</f>
        <v>6</v>
      </c>
      <c r="AE92" s="5" t="str">
        <f ca="1">VLOOKUP($AB92,OFFSET([4]characters!$A$1,0,0,COUNTA([4]characters!$A:$A),MATCH(AE$1,[4]characters!$1:$1,0)-MATCH("character_id",[4]characters!$1:$1,0)+1),MATCH(AE$1,[4]characters!$1:$1,0)-MATCH("character_id",[4]characters!$1:$1,0)+1,FALSE)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2" s="27">
        <f t="shared" si="203"/>
        <v>1</v>
      </c>
      <c r="AG92" s="27">
        <f t="shared" ca="1" si="283"/>
        <v>6</v>
      </c>
      <c r="AH92" s="27">
        <f t="shared" ref="AH92:AM92" si="299">AH79</f>
        <v>100</v>
      </c>
      <c r="AI92" s="27">
        <f t="shared" si="299"/>
        <v>0</v>
      </c>
      <c r="AJ92" s="27">
        <f t="shared" si="299"/>
        <v>0</v>
      </c>
      <c r="AK92" s="27">
        <f t="shared" si="299"/>
        <v>0</v>
      </c>
      <c r="AL92" s="27">
        <f t="shared" si="299"/>
        <v>0</v>
      </c>
      <c r="AM92" s="27">
        <f t="shared" si="299"/>
        <v>1</v>
      </c>
    </row>
    <row r="93" spans="1:39" ht="21" customHeight="1" x14ac:dyDescent="0.15">
      <c r="A93" s="17" t="str">
        <f>B93&amp;"_"&amp;C93&amp;"-"&amp;G93&amp;"/"&amp;L93&amp;"&lt;lv"&amp;R93&amp;"&gt;s"&amp;AA93</f>
        <v>14004_1-1/344&lt;lv10&gt;s1</v>
      </c>
      <c r="B93" s="104">
        <v>14004</v>
      </c>
      <c r="C93" s="112">
        <f>C80-1</f>
        <v>1</v>
      </c>
      <c r="D93" s="112" t="str">
        <f>B93&amp;"_"&amp;C93</f>
        <v>14004_1</v>
      </c>
      <c r="E93" s="113" t="str">
        <f ca="1">VLOOKUP($B93,OFFSET([2]quests!$A$1,0,0,COUNTA([2]quests!$A:$A),MATCH(E$1,[2]quests!$1:$1,0)-MATCH($B$1,[2]quests!$1:$1,0)+1),MATCH(E$1,[2]quests!$1:$1,0)-MATCH($B$1,[2]quests!$1:$1,0)+1,FALSE)</f>
        <v>【ロック】経験値/LINEマルチ</v>
      </c>
      <c r="F93" s="113" t="str">
        <f ca="1">VLOOKUP($D93,OFFSET([2]stages!$A$1,0,0,COUNTA([2]stages!$A:$A),MATCH(F$1,[2]stages!$2:$2,0)-MATCH($D$1,[2]stages!$2:$2,0)+1),MATCH(F$1,[2]stages!$2:$2,0)-MATCH($D$1,[2]stages!$2:$2,0)+1,FALSE)</f>
        <v>【超級】雷ファミリー（ハートなし）</v>
      </c>
      <c r="G93" s="112">
        <v>1</v>
      </c>
      <c r="H93" s="16" t="str">
        <f>B93&amp;"_"&amp;C93&amp;"-"&amp;G93</f>
        <v>14004_1-1</v>
      </c>
      <c r="I93" s="5">
        <f ca="1">VLOOKUP($H93,OFFSET(floors!$A$1,0,0,COUNTA(floors!$A:$A),MATCH(I$1,floors!$1:$1,0)-MATCH($H$1,floors!$1:$1,0)+1),MATCH(I$1,floors!$1:$1,0)-MATCH($H$1,floors!$1:$1,0)+1,FALSE)</f>
        <v>40</v>
      </c>
      <c r="J93" s="5">
        <f ca="1">VLOOKUP($H93,OFFSET(floors!$A$1,0,0,COUNTA(floors!$A:$A),MATCH(J$1,floors!$1:$1,0)-MATCH($H$1,floors!$1:$1,0)+1),MATCH(J$1,floors!$1:$1,0)-MATCH($H$1,floors!$1:$1,0)+1,FALSE)</f>
        <v>60</v>
      </c>
      <c r="K93" s="8" t="s">
        <v>142</v>
      </c>
      <c r="L93" s="2">
        <f>L80+4</f>
        <v>344</v>
      </c>
      <c r="M93" s="20" t="str">
        <f ca="1">VLOOKUP($L93,OFFSET([3]enemies!$A$1,0,0,COUNTA([3]enemies!$A:$A),MATCH(M$1,[3]enemies!$1:$1,0)-MATCH($L$1,[3]enemies!$1:$1,0)+1),MATCH(M$1,[3]enemies!$1:$1,0)-MATCH($L$1,[3]enemies!$1:$1,0)+1,FALSE)</f>
        <v>雷のメタルピヨピヨ</v>
      </c>
      <c r="N93" s="20" t="str">
        <f ca="1">VLOOKUP($L93,OFFSET([3]enemies!$A$1,0,0,COUNTA([3]enemies!$A:$A),MATCH(N$1,[3]enemies!$1:$1,0)-MATCH($L$1,[3]enemies!$1:$1,0)+1),MATCH(N$1,[3]enemies!$1:$1,0)-MATCH($L$1,[3]enemies!$1:$1,0)+1,FALSE)</f>
        <v>yellow</v>
      </c>
      <c r="O93" s="20" t="str">
        <f ca="1">VLOOKUP($L93,OFFSET([4]characters!$A$1,0,0,COUNTA([4]characters!$A:$A),MATCH(O$1,[4]characters!$1:$1,0)-MATCH($L$1,[4]characters!$1:$1,0)+1),MATCH(O$1,[4]characters!$1:$1,0)-MATCH($L$1,[4]characters!$1:$1,0)+1,FALSE)</f>
        <v>Material</v>
      </c>
      <c r="P93" s="20" t="str">
        <f ca="1">VLOOKUP($L93,OFFSET([3]enemies!$A$1,0,0,COUNTA([3]enemies!$A:$A),MATCH(P$1,[3]enemies!$1:$1,0)-MATCH($L$1,[3]enemies!$1:$1,0)+1),MATCH(P$1,[3]enemies!$1:$1,0)-MATCH($L$1,[3]enemies!$1:$1,0)+1,FALSE)</f>
        <v>unknown</v>
      </c>
      <c r="Q93" s="20">
        <f ca="1">VLOOKUP($L93,OFFSET([3]enemies!$A$1,0,0,COUNTA([3]enemies!$A:$A),MATCH(Q$1,[3]enemies!$1:$1,0)-MATCH($L$1,[3]enemies!$1:$1,0)+1),MATCH(Q$1,[3]enemies!$1:$1,0)-MATCH($L$1,[3]enemies!$1:$1,0)+1,FALSE)</f>
        <v>15</v>
      </c>
      <c r="R93" s="107">
        <f>R80</f>
        <v>10</v>
      </c>
      <c r="S93" s="107">
        <f t="shared" ref="S93:U93" si="300">S80</f>
        <v>0.6</v>
      </c>
      <c r="T93" s="108">
        <f t="shared" si="300"/>
        <v>40</v>
      </c>
      <c r="U93" s="107">
        <f t="shared" si="300"/>
        <v>533</v>
      </c>
      <c r="V93" s="5" t="str">
        <f ca="1">VLOOKUP($W93,OFFSET([5]enemy_skill_sets!$B$1,0,0,COUNTA([5]enemy_skill_sets!$B:$B),MATCH(M$1,[5]enemy_skill_sets!$1:$1,0)-MATCH($W$1,[5]enemy_skill_sets!$1:$1,0)+2),MATCH(M$1,[5]enemy_skill_sets!$1:$1,0)-MATCH($W$1,[5]enemy_skill_sets!$1:$1,0)+2,FALSE)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3" s="109">
        <f t="shared" ca="1" si="298"/>
        <v>0</v>
      </c>
      <c r="X93" s="109">
        <f>X80</f>
        <v>0</v>
      </c>
      <c r="Y93" s="109">
        <f t="shared" ref="Y93:AA93" si="301">Y80</f>
        <v>100</v>
      </c>
      <c r="Z93" s="109">
        <f t="shared" si="301"/>
        <v>0</v>
      </c>
      <c r="AA93" s="109">
        <f t="shared" si="301"/>
        <v>1</v>
      </c>
      <c r="AB93" s="2">
        <f>L93</f>
        <v>344</v>
      </c>
      <c r="AC93" s="5" t="str">
        <f ca="1">VLOOKUP($AB93,OFFSET([4]characters!$A$1,0,0,COUNTA([4]characters!$A:$A),MATCH(AC$1,[4]characters!$1:$1,0)-MATCH("character_id",[4]characters!$1:$1,0)+1),MATCH(AC$1,[4]characters!$1:$1,0)-MATCH("character_id",[4]characters!$1:$1,0)+1,FALSE)</f>
        <v>雷のメタルピヨピヨ</v>
      </c>
      <c r="AD93" s="5">
        <f ca="1">VLOOKUP($AB93,OFFSET([4]characters!$A$1,0,0,COUNTA([4]characters!$A:$A),MATCH(AD$1,[4]characters!$1:$1,0)-MATCH("character_id",[4]characters!$1:$1,0)+1),MATCH(AD$1,[4]characters!$1:$1,0)-MATCH("character_id",[4]characters!$1:$1,0)+1,FALSE)</f>
        <v>3</v>
      </c>
      <c r="AE93" s="5" t="str">
        <f ca="1">VLOOKUP($AB93,OFFSET([4]characters!$A$1,0,0,COUNTA([4]characters!$A:$A),MATCH(AE$1,[4]characters!$1:$1,0)-MATCH("character_id",[4]characters!$1:$1,0)+1),MATCH(AE$1,[4]characters!$1:$1,0)-MATCH("character_id",[4]characters!$1:$1,0)+1,FALSE)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3" s="27">
        <f>AF80</f>
        <v>1</v>
      </c>
      <c r="AG93" s="27">
        <f ca="1">AD93</f>
        <v>3</v>
      </c>
      <c r="AH93" s="27">
        <f>AH80</f>
        <v>0</v>
      </c>
      <c r="AI93" s="27">
        <f t="shared" ref="AI93:AM93" si="302">AI80</f>
        <v>0</v>
      </c>
      <c r="AJ93" s="27">
        <f t="shared" si="302"/>
        <v>0</v>
      </c>
      <c r="AK93" s="27">
        <f t="shared" si="302"/>
        <v>0</v>
      </c>
      <c r="AL93" s="27">
        <f t="shared" si="302"/>
        <v>0</v>
      </c>
      <c r="AM93" s="27">
        <f t="shared" si="302"/>
        <v>1</v>
      </c>
    </row>
    <row r="94" spans="1:39" ht="21" customHeight="1" x14ac:dyDescent="0.15">
      <c r="A94" s="17" t="str">
        <f>B94&amp;"_"&amp;C94&amp;"-"&amp;G94&amp;"/"&amp;L94&amp;"&lt;lv"&amp;R94&amp;"&gt;s"&amp;AA94</f>
        <v>14004_1-1/345&lt;lv10&gt;s1</v>
      </c>
      <c r="B94" s="104">
        <v>14004</v>
      </c>
      <c r="C94" s="112">
        <f>C93</f>
        <v>1</v>
      </c>
      <c r="D94" s="112" t="str">
        <f>B94&amp;"_"&amp;C94</f>
        <v>14004_1</v>
      </c>
      <c r="E94" s="113" t="str">
        <f ca="1">VLOOKUP($B94,OFFSET([2]quests!$A$1,0,0,COUNTA([2]quests!$A:$A),MATCH(E$1,[2]quests!$1:$1,0)-MATCH($B$1,[2]quests!$1:$1,0)+1),MATCH(E$1,[2]quests!$1:$1,0)-MATCH($B$1,[2]quests!$1:$1,0)+1,FALSE)</f>
        <v>【ロック】経験値/LINEマルチ</v>
      </c>
      <c r="F94" s="113" t="str">
        <f ca="1">VLOOKUP($D94,OFFSET([2]stages!$A$1,0,0,COUNTA([2]stages!$A:$A),MATCH(F$1,[2]stages!$2:$2,0)-MATCH($D$1,[2]stages!$2:$2,0)+1),MATCH(F$1,[2]stages!$2:$2,0)-MATCH($D$1,[2]stages!$2:$2,0)+1,FALSE)</f>
        <v>【超級】雷ファミリー（ハートなし）</v>
      </c>
      <c r="G94" s="112">
        <v>1</v>
      </c>
      <c r="H94" s="16" t="str">
        <f>B94&amp;"_"&amp;C94&amp;"-"&amp;G94</f>
        <v>14004_1-1</v>
      </c>
      <c r="I94" s="5">
        <f ca="1">VLOOKUP($H94,OFFSET(floors!$A$1,0,0,COUNTA(floors!$A:$A),MATCH(I$1,floors!$1:$1,0)-MATCH($H$1,floors!$1:$1,0)+1),MATCH(I$1,floors!$1:$1,0)-MATCH($H$1,floors!$1:$1,0)+1,FALSE)</f>
        <v>40</v>
      </c>
      <c r="J94" s="5">
        <f ca="1">VLOOKUP($H94,OFFSET(floors!$A$1,0,0,COUNTA(floors!$A:$A),MATCH(J$1,floors!$1:$1,0)-MATCH($H$1,floors!$1:$1,0)+1),MATCH(J$1,floors!$1:$1,0)-MATCH($H$1,floors!$1:$1,0)+1,FALSE)</f>
        <v>60</v>
      </c>
      <c r="K94" s="8" t="s">
        <v>142</v>
      </c>
      <c r="L94" s="2">
        <f t="shared" si="200"/>
        <v>345</v>
      </c>
      <c r="M94" s="20" t="str">
        <f ca="1">VLOOKUP($L94,OFFSET([3]enemies!$A$1,0,0,COUNTA([3]enemies!$A:$A),MATCH(M$1,[3]enemies!$1:$1,0)-MATCH($L$1,[3]enemies!$1:$1,0)+1),MATCH(M$1,[3]enemies!$1:$1,0)-MATCH($L$1,[3]enemies!$1:$1,0)+1,FALSE)</f>
        <v>雷のメタルチック</v>
      </c>
      <c r="N94" s="20" t="str">
        <f ca="1">VLOOKUP($L94,OFFSET([3]enemies!$A$1,0,0,COUNTA([3]enemies!$A:$A),MATCH(N$1,[3]enemies!$1:$1,0)-MATCH($L$1,[3]enemies!$1:$1,0)+1),MATCH(N$1,[3]enemies!$1:$1,0)-MATCH($L$1,[3]enemies!$1:$1,0)+1,FALSE)</f>
        <v>yellow</v>
      </c>
      <c r="O94" s="20" t="str">
        <f ca="1">VLOOKUP($L94,OFFSET([4]characters!$A$1,0,0,COUNTA([4]characters!$A:$A),MATCH(O$1,[4]characters!$1:$1,0)-MATCH($L$1,[4]characters!$1:$1,0)+1),MATCH(O$1,[4]characters!$1:$1,0)-MATCH($L$1,[4]characters!$1:$1,0)+1,FALSE)</f>
        <v>Material</v>
      </c>
      <c r="P94" s="20" t="str">
        <f ca="1">VLOOKUP($L94,OFFSET([3]enemies!$A$1,0,0,COUNTA([3]enemies!$A:$A),MATCH(P$1,[3]enemies!$1:$1,0)-MATCH($L$1,[3]enemies!$1:$1,0)+1),MATCH(P$1,[3]enemies!$1:$1,0)-MATCH($L$1,[3]enemies!$1:$1,0)+1,FALSE)</f>
        <v>unknown</v>
      </c>
      <c r="Q94" s="20">
        <f ca="1">VLOOKUP($L94,OFFSET([3]enemies!$A$1,0,0,COUNTA([3]enemies!$A:$A),MATCH(Q$1,[3]enemies!$1:$1,0)-MATCH($L$1,[3]enemies!$1:$1,0)+1),MATCH(Q$1,[3]enemies!$1:$1,0)-MATCH($L$1,[3]enemies!$1:$1,0)+1,FALSE)</f>
        <v>15</v>
      </c>
      <c r="R94" s="107">
        <f t="shared" ref="R94:U94" si="303">R81</f>
        <v>10</v>
      </c>
      <c r="S94" s="107">
        <f t="shared" si="303"/>
        <v>0.4</v>
      </c>
      <c r="T94" s="108">
        <f t="shared" si="303"/>
        <v>40</v>
      </c>
      <c r="U94" s="107">
        <f t="shared" si="303"/>
        <v>-2845</v>
      </c>
      <c r="V94" s="5" t="str">
        <f ca="1">VLOOKUP($W94,OFFSET([5]enemy_skill_sets!$B$1,0,0,COUNTA([5]enemy_skill_sets!$B:$B),MATCH(M$1,[5]enemy_skill_sets!$1:$1,0)-MATCH($W$1,[5]enemy_skill_sets!$1:$1,0)+2),MATCH(M$1,[5]enemy_skill_sets!$1:$1,0)-MATCH($W$1,[5]enemy_skill_sets!$1:$1,0)+2,FALSE)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4" s="109">
        <f t="shared" ref="W94:AA94" ca="1" si="304">W81</f>
        <v>0</v>
      </c>
      <c r="X94" s="109">
        <f t="shared" si="304"/>
        <v>0</v>
      </c>
      <c r="Y94" s="109">
        <f t="shared" si="304"/>
        <v>100</v>
      </c>
      <c r="Z94" s="109">
        <f t="shared" si="304"/>
        <v>0</v>
      </c>
      <c r="AA94" s="109">
        <f t="shared" si="304"/>
        <v>1</v>
      </c>
      <c r="AB94" s="2">
        <f>L94</f>
        <v>345</v>
      </c>
      <c r="AC94" s="5" t="str">
        <f ca="1">VLOOKUP($AB94,OFFSET([4]characters!$A$1,0,0,COUNTA([4]characters!$A:$A),MATCH(AC$1,[4]characters!$1:$1,0)-MATCH("character_id",[4]characters!$1:$1,0)+1),MATCH(AC$1,[4]characters!$1:$1,0)-MATCH("character_id",[4]characters!$1:$1,0)+1,FALSE)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94" s="5">
        <f ca="1">VLOOKUP($AB94,OFFSET([4]characters!$A$1,0,0,COUNTA([4]characters!$A:$A),MATCH(AD$1,[4]characters!$1:$1,0)-MATCH("character_id",[4]characters!$1:$1,0)+1),MATCH(AD$1,[4]characters!$1:$1,0)-MATCH("character_id",[4]characters!$1:$1,0)+1,FALSE)</f>
        <v>4</v>
      </c>
      <c r="AE94" s="5" t="str">
        <f ca="1">VLOOKUP($AB94,OFFSET([4]characters!$A$1,0,0,COUNTA([4]characters!$A:$A),MATCH(AE$1,[4]characters!$1:$1,0)-MATCH("character_id",[4]characters!$1:$1,0)+1),MATCH(AE$1,[4]characters!$1:$1,0)-MATCH("character_id",[4]characters!$1:$1,0)+1,FALSE)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4" s="27">
        <f t="shared" si="203"/>
        <v>1</v>
      </c>
      <c r="AG94" s="27">
        <f ca="1">AD94</f>
        <v>4</v>
      </c>
      <c r="AH94" s="27">
        <f t="shared" ref="AH94:AM94" si="305">AH81</f>
        <v>0</v>
      </c>
      <c r="AI94" s="27">
        <f t="shared" si="305"/>
        <v>0</v>
      </c>
      <c r="AJ94" s="27">
        <f t="shared" si="305"/>
        <v>0</v>
      </c>
      <c r="AK94" s="27">
        <f t="shared" si="305"/>
        <v>0</v>
      </c>
      <c r="AL94" s="27">
        <f t="shared" si="305"/>
        <v>0</v>
      </c>
      <c r="AM94" s="27">
        <f t="shared" si="305"/>
        <v>1</v>
      </c>
    </row>
    <row r="95" spans="1:39" ht="21" customHeight="1" x14ac:dyDescent="0.15">
      <c r="A95" s="103" t="str">
        <f t="shared" ref="A95:A98" si="306">B95&amp;"_"&amp;C95&amp;"-"&amp;G95&amp;"/"&amp;L95&amp;"&lt;lv"&amp;R95&amp;"&gt;s"&amp;AA95</f>
        <v>14004_1-1/346&lt;lv10&gt;s2</v>
      </c>
      <c r="B95" s="104">
        <v>14004</v>
      </c>
      <c r="C95" s="112">
        <f t="shared" ref="C95:C105" si="307">C94</f>
        <v>1</v>
      </c>
      <c r="D95" s="112" t="str">
        <f t="shared" ref="D95:D98" si="308">B95&amp;"_"&amp;C95</f>
        <v>14004_1</v>
      </c>
      <c r="E95" s="113" t="str">
        <f ca="1">VLOOKUP($B95,OFFSET([2]quests!$A$1,0,0,COUNTA([2]quests!$A:$A),MATCH(E$1,[2]quests!$1:$1,0)-MATCH($B$1,[2]quests!$1:$1,0)+1),MATCH(E$1,[2]quests!$1:$1,0)-MATCH($B$1,[2]quests!$1:$1,0)+1,FALSE)</f>
        <v>【ロック】経験値/LINEマルチ</v>
      </c>
      <c r="F95" s="113" t="str">
        <f ca="1">VLOOKUP($D95,OFFSET([2]stages!$A$1,0,0,COUNTA([2]stages!$A:$A),MATCH(F$1,[2]stages!$2:$2,0)-MATCH($D$1,[2]stages!$2:$2,0)+1),MATCH(F$1,[2]stages!$2:$2,0)-MATCH($D$1,[2]stages!$2:$2,0)+1,FALSE)</f>
        <v>【超級】雷ファミリー（ハートなし）</v>
      </c>
      <c r="G95" s="112">
        <v>1</v>
      </c>
      <c r="H95" s="16" t="str">
        <f t="shared" ref="H95:H98" si="309">B95&amp;"_"&amp;C95&amp;"-"&amp;G95</f>
        <v>14004_1-1</v>
      </c>
      <c r="I95" s="5">
        <f ca="1">VLOOKUP($H95,OFFSET(floors!$A$1,0,0,COUNTA(floors!$A:$A),MATCH(I$1,floors!$1:$1,0)-MATCH($H$1,floors!$1:$1,0)+1),MATCH(I$1,floors!$1:$1,0)-MATCH($H$1,floors!$1:$1,0)+1,FALSE)</f>
        <v>40</v>
      </c>
      <c r="J95" s="5">
        <f ca="1">VLOOKUP($H95,OFFSET(floors!$A$1,0,0,COUNTA(floors!$A:$A),MATCH(J$1,floors!$1:$1,0)-MATCH($H$1,floors!$1:$1,0)+1),MATCH(J$1,floors!$1:$1,0)-MATCH($H$1,floors!$1:$1,0)+1,FALSE)</f>
        <v>60</v>
      </c>
      <c r="K95" s="8" t="s">
        <v>142</v>
      </c>
      <c r="L95" s="2">
        <f t="shared" si="200"/>
        <v>346</v>
      </c>
      <c r="M95" s="20" t="str">
        <f ca="1">VLOOKUP($L95,OFFSET([3]enemies!$A$1,0,0,COUNTA([3]enemies!$A:$A),MATCH(M$1,[3]enemies!$1:$1,0)-MATCH($L$1,[3]enemies!$1:$1,0)+1),MATCH(M$1,[3]enemies!$1:$1,0)-MATCH($L$1,[3]enemies!$1:$1,0)+1,FALSE)</f>
        <v>雷のメタルダック</v>
      </c>
      <c r="N95" s="20" t="str">
        <f ca="1">VLOOKUP($L95,OFFSET([3]enemies!$A$1,0,0,COUNTA([3]enemies!$A:$A),MATCH(N$1,[3]enemies!$1:$1,0)-MATCH($L$1,[3]enemies!$1:$1,0)+1),MATCH(N$1,[3]enemies!$1:$1,0)-MATCH($L$1,[3]enemies!$1:$1,0)+1,FALSE)</f>
        <v>yellow</v>
      </c>
      <c r="O95" s="20" t="str">
        <f ca="1">VLOOKUP($L95,OFFSET([4]characters!$A$1,0,0,COUNTA([4]characters!$A:$A),MATCH(O$1,[4]characters!$1:$1,0)-MATCH($L$1,[4]characters!$1:$1,0)+1),MATCH(O$1,[4]characters!$1:$1,0)-MATCH($L$1,[4]characters!$1:$1,0)+1,FALSE)</f>
        <v>Material</v>
      </c>
      <c r="P95" s="20" t="str">
        <f ca="1">VLOOKUP($L95,OFFSET([3]enemies!$A$1,0,0,COUNTA([3]enemies!$A:$A),MATCH(P$1,[3]enemies!$1:$1,0)-MATCH($L$1,[3]enemies!$1:$1,0)+1),MATCH(P$1,[3]enemies!$1:$1,0)-MATCH($L$1,[3]enemies!$1:$1,0)+1,FALSE)</f>
        <v>unknown</v>
      </c>
      <c r="Q95" s="20">
        <f ca="1">VLOOKUP($L95,OFFSET([3]enemies!$A$1,0,0,COUNTA([3]enemies!$A:$A),MATCH(Q$1,[3]enemies!$1:$1,0)-MATCH($L$1,[3]enemies!$1:$1,0)+1),MATCH(Q$1,[3]enemies!$1:$1,0)-MATCH($L$1,[3]enemies!$1:$1,0)+1,FALSE)</f>
        <v>20</v>
      </c>
      <c r="R95" s="107">
        <f t="shared" ref="R95:U95" si="310">R82</f>
        <v>10</v>
      </c>
      <c r="S95" s="107">
        <f t="shared" si="310"/>
        <v>0.4</v>
      </c>
      <c r="T95" s="108">
        <f t="shared" si="310"/>
        <v>40</v>
      </c>
      <c r="U95" s="107">
        <f t="shared" si="310"/>
        <v>-20223</v>
      </c>
      <c r="V95" s="5" t="str">
        <f ca="1">VLOOKUP($W95,OFFSET([5]enemy_skill_sets!$B$1,0,0,COUNTA([5]enemy_skill_sets!$B:$B),MATCH(M$1,[5]enemy_skill_sets!$1:$1,0)-MATCH($W$1,[5]enemy_skill_sets!$1:$1,0)+2),MATCH(M$1,[5]enemy_skill_sets!$1:$1,0)-MATCH($W$1,[5]enemy_skill_sets!$1:$1,0)+2,FALSE)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5" s="109">
        <f t="shared" ref="W95:AA95" ca="1" si="311">W82</f>
        <v>0</v>
      </c>
      <c r="X95" s="109">
        <f t="shared" si="311"/>
        <v>0</v>
      </c>
      <c r="Y95" s="109">
        <f t="shared" si="311"/>
        <v>67</v>
      </c>
      <c r="Z95" s="109">
        <f t="shared" si="311"/>
        <v>1</v>
      </c>
      <c r="AA95" s="109">
        <f t="shared" si="311"/>
        <v>2</v>
      </c>
      <c r="AB95" s="2">
        <f t="shared" ref="AB95:AB98" si="312">L95</f>
        <v>346</v>
      </c>
      <c r="AC95" s="5" t="str">
        <f ca="1">VLOOKUP($AB95,OFFSET([4]characters!$A$1,0,0,COUNTA([4]characters!$A:$A),MATCH(AC$1,[4]characters!$1:$1,0)-MATCH("character_id",[4]characters!$1:$1,0)+1),MATCH(AC$1,[4]characters!$1:$1,0)-MATCH("character_id",[4]characters!$1:$1,0)+1,FALSE)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95" s="5">
        <f ca="1">VLOOKUP($AB95,OFFSET([4]characters!$A$1,0,0,COUNTA([4]characters!$A:$A),MATCH(AD$1,[4]characters!$1:$1,0)-MATCH("character_id",[4]characters!$1:$1,0)+1),MATCH(AD$1,[4]characters!$1:$1,0)-MATCH("character_id",[4]characters!$1:$1,0)+1,FALSE)</f>
        <v>5</v>
      </c>
      <c r="AE95" s="5" t="str">
        <f ca="1">VLOOKUP($AB95,OFFSET([4]characters!$A$1,0,0,COUNTA([4]characters!$A:$A),MATCH(AE$1,[4]characters!$1:$1,0)-MATCH("character_id",[4]characters!$1:$1,0)+1),MATCH(AE$1,[4]characters!$1:$1,0)-MATCH("character_id",[4]characters!$1:$1,0)+1,FALSE)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5" s="27">
        <f t="shared" si="203"/>
        <v>1</v>
      </c>
      <c r="AG95" s="27">
        <f t="shared" ref="AG95:AG98" ca="1" si="313">AD95</f>
        <v>5</v>
      </c>
      <c r="AH95" s="27">
        <f t="shared" ref="AH95:AM95" si="314">AH82</f>
        <v>100</v>
      </c>
      <c r="AI95" s="27">
        <f t="shared" si="314"/>
        <v>0</v>
      </c>
      <c r="AJ95" s="27">
        <f t="shared" si="314"/>
        <v>0</v>
      </c>
      <c r="AK95" s="27">
        <f t="shared" si="314"/>
        <v>0</v>
      </c>
      <c r="AL95" s="27">
        <f t="shared" si="314"/>
        <v>0</v>
      </c>
      <c r="AM95" s="27">
        <f t="shared" si="314"/>
        <v>1</v>
      </c>
    </row>
    <row r="96" spans="1:39" ht="21" customHeight="1" x14ac:dyDescent="0.15">
      <c r="A96" s="17" t="str">
        <f t="shared" si="306"/>
        <v>14004_1-1/347&lt;lv10&gt;s2</v>
      </c>
      <c r="B96" s="104">
        <v>14004</v>
      </c>
      <c r="C96" s="112">
        <f t="shared" si="307"/>
        <v>1</v>
      </c>
      <c r="D96" s="112" t="str">
        <f t="shared" si="308"/>
        <v>14004_1</v>
      </c>
      <c r="E96" s="113" t="str">
        <f ca="1">VLOOKUP($B96,OFFSET([2]quests!$A$1,0,0,COUNTA([2]quests!$A:$A),MATCH(E$1,[2]quests!$1:$1,0)-MATCH($B$1,[2]quests!$1:$1,0)+1),MATCH(E$1,[2]quests!$1:$1,0)-MATCH($B$1,[2]quests!$1:$1,0)+1,FALSE)</f>
        <v>【ロック】経験値/LINEマルチ</v>
      </c>
      <c r="F96" s="113" t="str">
        <f ca="1">VLOOKUP($D96,OFFSET([2]stages!$A$1,0,0,COUNTA([2]stages!$A:$A),MATCH(F$1,[2]stages!$2:$2,0)-MATCH($D$1,[2]stages!$2:$2,0)+1),MATCH(F$1,[2]stages!$2:$2,0)-MATCH($D$1,[2]stages!$2:$2,0)+1,FALSE)</f>
        <v>【超級】雷ファミリー（ハートなし）</v>
      </c>
      <c r="G96" s="112">
        <v>1</v>
      </c>
      <c r="H96" s="16" t="str">
        <f t="shared" si="309"/>
        <v>14004_1-1</v>
      </c>
      <c r="I96" s="5">
        <f ca="1">VLOOKUP($H96,OFFSET(floors!$A$1,0,0,COUNTA(floors!$A:$A),MATCH(I$1,floors!$1:$1,0)-MATCH($H$1,floors!$1:$1,0)+1),MATCH(I$1,floors!$1:$1,0)-MATCH($H$1,floors!$1:$1,0)+1,FALSE)</f>
        <v>40</v>
      </c>
      <c r="J96" s="5">
        <f ca="1">VLOOKUP($H96,OFFSET(floors!$A$1,0,0,COUNTA(floors!$A:$A),MATCH(J$1,floors!$1:$1,0)-MATCH($H$1,floors!$1:$1,0)+1),MATCH(J$1,floors!$1:$1,0)-MATCH($H$1,floors!$1:$1,0)+1,FALSE)</f>
        <v>60</v>
      </c>
      <c r="K96" s="8" t="s">
        <v>142</v>
      </c>
      <c r="L96" s="2">
        <f t="shared" si="200"/>
        <v>347</v>
      </c>
      <c r="M96" s="20" t="str">
        <f ca="1">VLOOKUP($L96,OFFSET([3]enemies!$A$1,0,0,COUNTA([3]enemies!$A:$A),MATCH(M$1,[3]enemies!$1:$1,0)-MATCH($L$1,[3]enemies!$1:$1,0)+1),MATCH(M$1,[3]enemies!$1:$1,0)-MATCH($L$1,[3]enemies!$1:$1,0)+1,FALSE)</f>
        <v>雷のメタルジェントル</v>
      </c>
      <c r="N96" s="20" t="str">
        <f ca="1">VLOOKUP($L96,OFFSET([3]enemies!$A$1,0,0,COUNTA([3]enemies!$A:$A),MATCH(N$1,[3]enemies!$1:$1,0)-MATCH($L$1,[3]enemies!$1:$1,0)+1),MATCH(N$1,[3]enemies!$1:$1,0)-MATCH($L$1,[3]enemies!$1:$1,0)+1,FALSE)</f>
        <v>yellow</v>
      </c>
      <c r="O96" s="20" t="str">
        <f ca="1">VLOOKUP($L96,OFFSET([4]characters!$A$1,0,0,COUNTA([4]characters!$A:$A),MATCH(O$1,[4]characters!$1:$1,0)-MATCH($L$1,[4]characters!$1:$1,0)+1),MATCH(O$1,[4]characters!$1:$1,0)-MATCH($L$1,[4]characters!$1:$1,0)+1,FALSE)</f>
        <v>Material</v>
      </c>
      <c r="P96" s="20" t="str">
        <f ca="1">VLOOKUP($L96,OFFSET([3]enemies!$A$1,0,0,COUNTA([3]enemies!$A:$A),MATCH(P$1,[3]enemies!$1:$1,0)-MATCH($L$1,[3]enemies!$1:$1,0)+1),MATCH(P$1,[3]enemies!$1:$1,0)-MATCH($L$1,[3]enemies!$1:$1,0)+1,FALSE)</f>
        <v>unknown</v>
      </c>
      <c r="Q96" s="20">
        <f ca="1">VLOOKUP($L96,OFFSET([3]enemies!$A$1,0,0,COUNTA([3]enemies!$A:$A),MATCH(Q$1,[3]enemies!$1:$1,0)-MATCH($L$1,[3]enemies!$1:$1,0)+1),MATCH(Q$1,[3]enemies!$1:$1,0)-MATCH($L$1,[3]enemies!$1:$1,0)+1,FALSE)</f>
        <v>20</v>
      </c>
      <c r="R96" s="107">
        <f t="shared" ref="R96:U96" si="315">R83</f>
        <v>10</v>
      </c>
      <c r="S96" s="107">
        <f t="shared" si="315"/>
        <v>0.2</v>
      </c>
      <c r="T96" s="108">
        <f t="shared" si="315"/>
        <v>50</v>
      </c>
      <c r="U96" s="107">
        <f t="shared" si="315"/>
        <v>-30889</v>
      </c>
      <c r="V96" s="5" t="str">
        <f ca="1">VLOOKUP($W96,OFFSET(enemy_skill_sets!$B$1,0,0,COUNTA(enemy_skill_sets!$B:$B),MATCH(M$1,enemy_skill_sets!$1:$1,0)-MATCH($W$1,enemy_skill_sets!$1:$1,0)+2),MATCH(M$1,enemy_skill_sets!$1:$1,0)-MATCH($W$1,enemy_skill_sets!$1:$1,0)+2,FALSE)</f>
        <v>なんと ジェントルがあらわれた！</v>
      </c>
      <c r="W96" s="109">
        <f t="shared" ref="W96:AA96" si="316">W83</f>
        <v>14001012</v>
      </c>
      <c r="X96" s="109">
        <f t="shared" si="316"/>
        <v>0</v>
      </c>
      <c r="Y96" s="109">
        <f t="shared" si="316"/>
        <v>33</v>
      </c>
      <c r="Z96" s="109">
        <f t="shared" si="316"/>
        <v>1</v>
      </c>
      <c r="AA96" s="109">
        <f t="shared" si="316"/>
        <v>2</v>
      </c>
      <c r="AB96" s="2">
        <f t="shared" si="312"/>
        <v>347</v>
      </c>
      <c r="AC96" s="5" t="str">
        <f ca="1">VLOOKUP($AB96,OFFSET([4]characters!$A$1,0,0,COUNTA([4]characters!$A:$A),MATCH(AC$1,[4]characters!$1:$1,0)-MATCH("character_id",[4]characters!$1:$1,0)+1),MATCH(AC$1,[4]characters!$1:$1,0)-MATCH("character_id",[4]characters!$1:$1,0)+1,FALSE)</f>
        <v>雷のメタルジェントル</v>
      </c>
      <c r="AD96" s="5">
        <f ca="1">VLOOKUP($AB96,OFFSET([4]characters!$A$1,0,0,COUNTA([4]characters!$A:$A),MATCH(AD$1,[4]characters!$1:$1,0)-MATCH("character_id",[4]characters!$1:$1,0)+1),MATCH(AD$1,[4]characters!$1:$1,0)-MATCH("character_id",[4]characters!$1:$1,0)+1,FALSE)</f>
        <v>6</v>
      </c>
      <c r="AE96" s="5" t="str">
        <f ca="1">VLOOKUP($AB96,OFFSET([4]characters!$A$1,0,0,COUNTA([4]characters!$A:$A),MATCH(AE$1,[4]characters!$1:$1,0)-MATCH("character_id",[4]characters!$1:$1,0)+1),MATCH(AE$1,[4]characters!$1:$1,0)-MATCH("character_id",[4]characters!$1:$1,0)+1,FALSE)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6" s="27">
        <f t="shared" si="203"/>
        <v>1</v>
      </c>
      <c r="AG96" s="27">
        <f t="shared" ca="1" si="313"/>
        <v>6</v>
      </c>
      <c r="AH96" s="27">
        <f t="shared" ref="AH96:AM96" si="317">AH83</f>
        <v>100</v>
      </c>
      <c r="AI96" s="27">
        <f t="shared" si="317"/>
        <v>0</v>
      </c>
      <c r="AJ96" s="27">
        <f t="shared" si="317"/>
        <v>0</v>
      </c>
      <c r="AK96" s="27">
        <f t="shared" si="317"/>
        <v>0</v>
      </c>
      <c r="AL96" s="27">
        <f t="shared" si="317"/>
        <v>0</v>
      </c>
      <c r="AM96" s="27">
        <f t="shared" si="317"/>
        <v>1</v>
      </c>
    </row>
    <row r="97" spans="1:39" ht="21" customHeight="1" x14ac:dyDescent="0.15">
      <c r="A97" s="17" t="str">
        <f t="shared" si="306"/>
        <v>14004_1-2/345&lt;lv10&gt;s1</v>
      </c>
      <c r="B97" s="104">
        <v>14004</v>
      </c>
      <c r="C97" s="112">
        <f t="shared" si="307"/>
        <v>1</v>
      </c>
      <c r="D97" s="112" t="str">
        <f t="shared" si="308"/>
        <v>14004_1</v>
      </c>
      <c r="E97" s="113" t="str">
        <f ca="1">VLOOKUP($B97,OFFSET([2]quests!$A$1,0,0,COUNTA([2]quests!$A:$A),MATCH(E$1,[2]quests!$1:$1,0)-MATCH($B$1,[2]quests!$1:$1,0)+1),MATCH(E$1,[2]quests!$1:$1,0)-MATCH($B$1,[2]quests!$1:$1,0)+1,FALSE)</f>
        <v>【ロック】経験値/LINEマルチ</v>
      </c>
      <c r="F97" s="113" t="str">
        <f ca="1">VLOOKUP($D97,OFFSET([2]stages!$A$1,0,0,COUNTA([2]stages!$A:$A),MATCH(F$1,[2]stages!$2:$2,0)-MATCH($D$1,[2]stages!$2:$2,0)+1),MATCH(F$1,[2]stages!$2:$2,0)-MATCH($D$1,[2]stages!$2:$2,0)+1,FALSE)</f>
        <v>【超級】雷ファミリー（ハートなし）</v>
      </c>
      <c r="G97" s="112">
        <v>2</v>
      </c>
      <c r="H97" s="16" t="str">
        <f t="shared" si="309"/>
        <v>14004_1-2</v>
      </c>
      <c r="I97" s="5">
        <f ca="1">VLOOKUP($H97,OFFSET(floors!$A$1,0,0,COUNTA(floors!$A:$A),MATCH(I$1,floors!$1:$1,0)-MATCH($H$1,floors!$1:$1,0)+1),MATCH(I$1,floors!$1:$1,0)-MATCH($H$1,floors!$1:$1,0)+1,FALSE)</f>
        <v>30</v>
      </c>
      <c r="J97" s="5">
        <f ca="1">VLOOKUP($H97,OFFSET(floors!$A$1,0,0,COUNTA(floors!$A:$A),MATCH(J$1,floors!$1:$1,0)-MATCH($H$1,floors!$1:$1,0)+1),MATCH(J$1,floors!$1:$1,0)-MATCH($H$1,floors!$1:$1,0)+1,FALSE)</f>
        <v>41</v>
      </c>
      <c r="K97" s="8" t="s">
        <v>142</v>
      </c>
      <c r="L97" s="2">
        <f t="shared" si="200"/>
        <v>345</v>
      </c>
      <c r="M97" s="20" t="str">
        <f ca="1">VLOOKUP($L97,OFFSET([3]enemies!$A$1,0,0,COUNTA([3]enemies!$A:$A),MATCH(M$1,[3]enemies!$1:$1,0)-MATCH($L$1,[3]enemies!$1:$1,0)+1),MATCH(M$1,[3]enemies!$1:$1,0)-MATCH($L$1,[3]enemies!$1:$1,0)+1,FALSE)</f>
        <v>雷のメタルチック</v>
      </c>
      <c r="N97" s="20" t="str">
        <f ca="1">VLOOKUP($L97,OFFSET([3]enemies!$A$1,0,0,COUNTA([3]enemies!$A:$A),MATCH(N$1,[3]enemies!$1:$1,0)-MATCH($L$1,[3]enemies!$1:$1,0)+1),MATCH(N$1,[3]enemies!$1:$1,0)-MATCH($L$1,[3]enemies!$1:$1,0)+1,FALSE)</f>
        <v>yellow</v>
      </c>
      <c r="O97" s="20" t="str">
        <f ca="1">VLOOKUP($L97,OFFSET([4]characters!$A$1,0,0,COUNTA([4]characters!$A:$A),MATCH(O$1,[4]characters!$1:$1,0)-MATCH($L$1,[4]characters!$1:$1,0)+1),MATCH(O$1,[4]characters!$1:$1,0)-MATCH($L$1,[4]characters!$1:$1,0)+1,FALSE)</f>
        <v>Material</v>
      </c>
      <c r="P97" s="20" t="str">
        <f ca="1">VLOOKUP($L97,OFFSET([3]enemies!$A$1,0,0,COUNTA([3]enemies!$A:$A),MATCH(P$1,[3]enemies!$1:$1,0)-MATCH($L$1,[3]enemies!$1:$1,0)+1),MATCH(P$1,[3]enemies!$1:$1,0)-MATCH($L$1,[3]enemies!$1:$1,0)+1,FALSE)</f>
        <v>unknown</v>
      </c>
      <c r="Q97" s="20">
        <f ca="1">VLOOKUP($L97,OFFSET([3]enemies!$A$1,0,0,COUNTA([3]enemies!$A:$A),MATCH(Q$1,[3]enemies!$1:$1,0)-MATCH($L$1,[3]enemies!$1:$1,0)+1),MATCH(Q$1,[3]enemies!$1:$1,0)-MATCH($L$1,[3]enemies!$1:$1,0)+1,FALSE)</f>
        <v>15</v>
      </c>
      <c r="R97" s="107">
        <f t="shared" ref="R97:U97" si="318">R84</f>
        <v>10</v>
      </c>
      <c r="S97" s="107">
        <f t="shared" si="318"/>
        <v>0.4</v>
      </c>
      <c r="T97" s="108">
        <f t="shared" si="318"/>
        <v>40</v>
      </c>
      <c r="U97" s="107">
        <f t="shared" si="318"/>
        <v>-2845</v>
      </c>
      <c r="V97" s="5" t="str">
        <f ca="1">VLOOKUP($W97,OFFSET([5]enemy_skill_sets!$B$1,0,0,COUNTA([5]enemy_skill_sets!$B:$B),MATCH(M$1,[5]enemy_skill_sets!$1:$1,0)-MATCH($W$1,[5]enemy_skill_sets!$1:$1,0)+2),MATCH(M$1,[5]enemy_skill_sets!$1:$1,0)-MATCH($W$1,[5]enemy_skill_sets!$1:$1,0)+2,FALSE)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7" s="109">
        <f t="shared" ref="W97:AA97" ca="1" si="319">W84</f>
        <v>0</v>
      </c>
      <c r="X97" s="109">
        <f t="shared" si="319"/>
        <v>0</v>
      </c>
      <c r="Y97" s="109">
        <f t="shared" si="319"/>
        <v>100</v>
      </c>
      <c r="Z97" s="109">
        <f t="shared" si="319"/>
        <v>0</v>
      </c>
      <c r="AA97" s="109">
        <f t="shared" si="319"/>
        <v>1</v>
      </c>
      <c r="AB97" s="2">
        <f t="shared" si="312"/>
        <v>345</v>
      </c>
      <c r="AC97" s="5" t="str">
        <f ca="1">VLOOKUP($AB97,OFFSET([4]characters!$A$1,0,0,COUNTA([4]characters!$A:$A),MATCH(AC$1,[4]characters!$1:$1,0)-MATCH("character_id",[4]characters!$1:$1,0)+1),MATCH(AC$1,[4]characters!$1:$1,0)-MATCH("character_id",[4]characters!$1:$1,0)+1,FALSE)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97" s="5">
        <f ca="1">VLOOKUP($AB97,OFFSET([4]characters!$A$1,0,0,COUNTA([4]characters!$A:$A),MATCH(AD$1,[4]characters!$1:$1,0)-MATCH("character_id",[4]characters!$1:$1,0)+1),MATCH(AD$1,[4]characters!$1:$1,0)-MATCH("character_id",[4]characters!$1:$1,0)+1,FALSE)</f>
        <v>4</v>
      </c>
      <c r="AE97" s="5" t="str">
        <f ca="1">VLOOKUP($AB97,OFFSET([4]characters!$A$1,0,0,COUNTA([4]characters!$A:$A),MATCH(AE$1,[4]characters!$1:$1,0)-MATCH("character_id",[4]characters!$1:$1,0)+1),MATCH(AE$1,[4]characters!$1:$1,0)-MATCH("character_id",[4]characters!$1:$1,0)+1,FALSE)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7" s="27">
        <f t="shared" si="203"/>
        <v>1</v>
      </c>
      <c r="AG97" s="27">
        <f t="shared" ca="1" si="313"/>
        <v>4</v>
      </c>
      <c r="AH97" s="27">
        <f t="shared" ref="AH97:AM97" si="320">AH84</f>
        <v>0</v>
      </c>
      <c r="AI97" s="27">
        <f t="shared" si="320"/>
        <v>0</v>
      </c>
      <c r="AJ97" s="27">
        <f t="shared" si="320"/>
        <v>0</v>
      </c>
      <c r="AK97" s="27">
        <f t="shared" si="320"/>
        <v>0</v>
      </c>
      <c r="AL97" s="27">
        <f t="shared" si="320"/>
        <v>0</v>
      </c>
      <c r="AM97" s="27">
        <f t="shared" si="320"/>
        <v>1</v>
      </c>
    </row>
    <row r="98" spans="1:39" ht="21" customHeight="1" x14ac:dyDescent="0.15">
      <c r="A98" s="17" t="str">
        <f t="shared" si="306"/>
        <v>14004_1-2/346&lt;lv10&gt;s2</v>
      </c>
      <c r="B98" s="104">
        <v>14004</v>
      </c>
      <c r="C98" s="112">
        <f t="shared" si="307"/>
        <v>1</v>
      </c>
      <c r="D98" s="112" t="str">
        <f t="shared" si="308"/>
        <v>14004_1</v>
      </c>
      <c r="E98" s="113" t="str">
        <f ca="1">VLOOKUP($B98,OFFSET([2]quests!$A$1,0,0,COUNTA([2]quests!$A:$A),MATCH(E$1,[2]quests!$1:$1,0)-MATCH($B$1,[2]quests!$1:$1,0)+1),MATCH(E$1,[2]quests!$1:$1,0)-MATCH($B$1,[2]quests!$1:$1,0)+1,FALSE)</f>
        <v>【ロック】経験値/LINEマルチ</v>
      </c>
      <c r="F98" s="113" t="str">
        <f ca="1">VLOOKUP($D98,OFFSET([2]stages!$A$1,0,0,COUNTA([2]stages!$A:$A),MATCH(F$1,[2]stages!$2:$2,0)-MATCH($D$1,[2]stages!$2:$2,0)+1),MATCH(F$1,[2]stages!$2:$2,0)-MATCH($D$1,[2]stages!$2:$2,0)+1,FALSE)</f>
        <v>【超級】雷ファミリー（ハートなし）</v>
      </c>
      <c r="G98" s="112">
        <v>2</v>
      </c>
      <c r="H98" s="16" t="str">
        <f t="shared" si="309"/>
        <v>14004_1-2</v>
      </c>
      <c r="I98" s="5">
        <f ca="1">VLOOKUP($H98,OFFSET(floors!$A$1,0,0,COUNTA(floors!$A:$A),MATCH(I$1,floors!$1:$1,0)-MATCH($H$1,floors!$1:$1,0)+1),MATCH(I$1,floors!$1:$1,0)-MATCH($H$1,floors!$1:$1,0)+1,FALSE)</f>
        <v>30</v>
      </c>
      <c r="J98" s="5">
        <f ca="1">VLOOKUP($H98,OFFSET(floors!$A$1,0,0,COUNTA(floors!$A:$A),MATCH(J$1,floors!$1:$1,0)-MATCH($H$1,floors!$1:$1,0)+1),MATCH(J$1,floors!$1:$1,0)-MATCH($H$1,floors!$1:$1,0)+1,FALSE)</f>
        <v>41</v>
      </c>
      <c r="K98" s="8" t="s">
        <v>142</v>
      </c>
      <c r="L98" s="2">
        <f t="shared" si="200"/>
        <v>346</v>
      </c>
      <c r="M98" s="20" t="str">
        <f ca="1">VLOOKUP($L98,OFFSET([3]enemies!$A$1,0,0,COUNTA([3]enemies!$A:$A),MATCH(M$1,[3]enemies!$1:$1,0)-MATCH($L$1,[3]enemies!$1:$1,0)+1),MATCH(M$1,[3]enemies!$1:$1,0)-MATCH($L$1,[3]enemies!$1:$1,0)+1,FALSE)</f>
        <v>雷のメタルダック</v>
      </c>
      <c r="N98" s="20" t="str">
        <f ca="1">VLOOKUP($L98,OFFSET([3]enemies!$A$1,0,0,COUNTA([3]enemies!$A:$A),MATCH(N$1,[3]enemies!$1:$1,0)-MATCH($L$1,[3]enemies!$1:$1,0)+1),MATCH(N$1,[3]enemies!$1:$1,0)-MATCH($L$1,[3]enemies!$1:$1,0)+1,FALSE)</f>
        <v>yellow</v>
      </c>
      <c r="O98" s="20" t="str">
        <f ca="1">VLOOKUP($L98,OFFSET([4]characters!$A$1,0,0,COUNTA([4]characters!$A:$A),MATCH(O$1,[4]characters!$1:$1,0)-MATCH($L$1,[4]characters!$1:$1,0)+1),MATCH(O$1,[4]characters!$1:$1,0)-MATCH($L$1,[4]characters!$1:$1,0)+1,FALSE)</f>
        <v>Material</v>
      </c>
      <c r="P98" s="20" t="str">
        <f ca="1">VLOOKUP($L98,OFFSET([3]enemies!$A$1,0,0,COUNTA([3]enemies!$A:$A),MATCH(P$1,[3]enemies!$1:$1,0)-MATCH($L$1,[3]enemies!$1:$1,0)+1),MATCH(P$1,[3]enemies!$1:$1,0)-MATCH($L$1,[3]enemies!$1:$1,0)+1,FALSE)</f>
        <v>unknown</v>
      </c>
      <c r="Q98" s="20">
        <f ca="1">VLOOKUP($L98,OFFSET([3]enemies!$A$1,0,0,COUNTA([3]enemies!$A:$A),MATCH(Q$1,[3]enemies!$1:$1,0)-MATCH($L$1,[3]enemies!$1:$1,0)+1),MATCH(Q$1,[3]enemies!$1:$1,0)-MATCH($L$1,[3]enemies!$1:$1,0)+1,FALSE)</f>
        <v>20</v>
      </c>
      <c r="R98" s="107">
        <f t="shared" ref="R98:U98" si="321">R85</f>
        <v>10</v>
      </c>
      <c r="S98" s="107">
        <f t="shared" si="321"/>
        <v>0.4</v>
      </c>
      <c r="T98" s="108">
        <f t="shared" si="321"/>
        <v>40</v>
      </c>
      <c r="U98" s="107">
        <f t="shared" si="321"/>
        <v>-20223</v>
      </c>
      <c r="V98" s="5" t="str">
        <f ca="1">VLOOKUP($W98,OFFSET([5]enemy_skill_sets!$B$1,0,0,COUNTA([5]enemy_skill_sets!$B:$B),MATCH(M$1,[5]enemy_skill_sets!$1:$1,0)-MATCH($W$1,[5]enemy_skill_sets!$1:$1,0)+2),MATCH(M$1,[5]enemy_skill_sets!$1:$1,0)-MATCH($W$1,[5]enemy_skill_sets!$1:$1,0)+2,FALSE)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8" s="109">
        <f t="shared" ref="W98:AA98" ca="1" si="322">W85</f>
        <v>0</v>
      </c>
      <c r="X98" s="109">
        <f t="shared" si="322"/>
        <v>1</v>
      </c>
      <c r="Y98" s="109">
        <f t="shared" si="322"/>
        <v>0</v>
      </c>
      <c r="Z98" s="109">
        <f t="shared" si="322"/>
        <v>1</v>
      </c>
      <c r="AA98" s="109">
        <f t="shared" si="322"/>
        <v>2</v>
      </c>
      <c r="AB98" s="2">
        <f t="shared" si="312"/>
        <v>346</v>
      </c>
      <c r="AC98" s="5" t="str">
        <f ca="1">VLOOKUP($AB98,OFFSET([4]characters!$A$1,0,0,COUNTA([4]characters!$A:$A),MATCH(AC$1,[4]characters!$1:$1,0)-MATCH("character_id",[4]characters!$1:$1,0)+1),MATCH(AC$1,[4]characters!$1:$1,0)-MATCH("character_id",[4]characters!$1:$1,0)+1,FALSE)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98" s="5">
        <f ca="1">VLOOKUP($AB98,OFFSET([4]characters!$A$1,0,0,COUNTA([4]characters!$A:$A),MATCH(AD$1,[4]characters!$1:$1,0)-MATCH("character_id",[4]characters!$1:$1,0)+1),MATCH(AD$1,[4]characters!$1:$1,0)-MATCH("character_id",[4]characters!$1:$1,0)+1,FALSE)</f>
        <v>5</v>
      </c>
      <c r="AE98" s="5" t="str">
        <f ca="1">VLOOKUP($AB98,OFFSET([4]characters!$A$1,0,0,COUNTA([4]characters!$A:$A),MATCH(AE$1,[4]characters!$1:$1,0)-MATCH("character_id",[4]characters!$1:$1,0)+1),MATCH(AE$1,[4]characters!$1:$1,0)-MATCH("character_id",[4]characters!$1:$1,0)+1,FALSE)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8" s="27">
        <f t="shared" si="203"/>
        <v>1</v>
      </c>
      <c r="AG98" s="27">
        <f t="shared" ca="1" si="313"/>
        <v>5</v>
      </c>
      <c r="AH98" s="27">
        <f t="shared" ref="AH98:AM98" si="323">AH85</f>
        <v>100</v>
      </c>
      <c r="AI98" s="27">
        <f t="shared" si="323"/>
        <v>0</v>
      </c>
      <c r="AJ98" s="27">
        <f t="shared" si="323"/>
        <v>0</v>
      </c>
      <c r="AK98" s="27">
        <f t="shared" si="323"/>
        <v>0</v>
      </c>
      <c r="AL98" s="27">
        <f t="shared" si="323"/>
        <v>0</v>
      </c>
      <c r="AM98" s="27">
        <f t="shared" si="323"/>
        <v>1</v>
      </c>
    </row>
    <row r="99" spans="1:39" ht="21" customHeight="1" x14ac:dyDescent="0.15">
      <c r="A99" s="17" t="str">
        <f>B99&amp;"_"&amp;C99&amp;"-"&amp;G99&amp;"/"&amp;L99&amp;"&lt;lv"&amp;R99&amp;"&gt;s"&amp;AA99</f>
        <v>14004_1-3/345&lt;lv10&gt;s1</v>
      </c>
      <c r="B99" s="104">
        <v>14004</v>
      </c>
      <c r="C99" s="112">
        <f t="shared" si="307"/>
        <v>1</v>
      </c>
      <c r="D99" s="112" t="str">
        <f>B99&amp;"_"&amp;C99</f>
        <v>14004_1</v>
      </c>
      <c r="E99" s="113" t="str">
        <f ca="1">VLOOKUP($B99,OFFSET([2]quests!$A$1,0,0,COUNTA([2]quests!$A:$A),MATCH(E$1,[2]quests!$1:$1,0)-MATCH($B$1,[2]quests!$1:$1,0)+1),MATCH(E$1,[2]quests!$1:$1,0)-MATCH($B$1,[2]quests!$1:$1,0)+1,FALSE)</f>
        <v>【ロック】経験値/LINEマルチ</v>
      </c>
      <c r="F99" s="113" t="str">
        <f ca="1">VLOOKUP($D99,OFFSET([2]stages!$A$1,0,0,COUNTA([2]stages!$A:$A),MATCH(F$1,[2]stages!$2:$2,0)-MATCH($D$1,[2]stages!$2:$2,0)+1),MATCH(F$1,[2]stages!$2:$2,0)-MATCH($D$1,[2]stages!$2:$2,0)+1,FALSE)</f>
        <v>【超級】雷ファミリー（ハートなし）</v>
      </c>
      <c r="G99" s="112">
        <v>3</v>
      </c>
      <c r="H99" s="16" t="str">
        <f>B99&amp;"_"&amp;C99&amp;"-"&amp;G99</f>
        <v>14004_1-3</v>
      </c>
      <c r="I99" s="5">
        <f ca="1">VLOOKUP($H99,OFFSET(floors!$A$1,0,0,COUNTA(floors!$A:$A),MATCH(I$1,floors!$1:$1,0)-MATCH($H$1,floors!$1:$1,0)+1),MATCH(I$1,floors!$1:$1,0)-MATCH($H$1,floors!$1:$1,0)+1,FALSE)</f>
        <v>50</v>
      </c>
      <c r="J99" s="5">
        <f ca="1">VLOOKUP($H99,OFFSET(floors!$A$1,0,0,COUNTA(floors!$A:$A),MATCH(J$1,floors!$1:$1,0)-MATCH($H$1,floors!$1:$1,0)+1),MATCH(J$1,floors!$1:$1,0)-MATCH($H$1,floors!$1:$1,0)+1,FALSE)</f>
        <v>50</v>
      </c>
      <c r="K99" s="8" t="s">
        <v>142</v>
      </c>
      <c r="L99" s="2">
        <f t="shared" si="200"/>
        <v>345</v>
      </c>
      <c r="M99" s="20" t="str">
        <f ca="1">VLOOKUP($L99,OFFSET([3]enemies!$A$1,0,0,COUNTA([3]enemies!$A:$A),MATCH(M$1,[3]enemies!$1:$1,0)-MATCH($L$1,[3]enemies!$1:$1,0)+1),MATCH(M$1,[3]enemies!$1:$1,0)-MATCH($L$1,[3]enemies!$1:$1,0)+1,FALSE)</f>
        <v>雷のメタルチック</v>
      </c>
      <c r="N99" s="20" t="str">
        <f ca="1">VLOOKUP($L99,OFFSET([3]enemies!$A$1,0,0,COUNTA([3]enemies!$A:$A),MATCH(N$1,[3]enemies!$1:$1,0)-MATCH($L$1,[3]enemies!$1:$1,0)+1),MATCH(N$1,[3]enemies!$1:$1,0)-MATCH($L$1,[3]enemies!$1:$1,0)+1,FALSE)</f>
        <v>yellow</v>
      </c>
      <c r="O99" s="20" t="str">
        <f ca="1">VLOOKUP($L99,OFFSET([4]characters!$A$1,0,0,COUNTA([4]characters!$A:$A),MATCH(O$1,[4]characters!$1:$1,0)-MATCH($L$1,[4]characters!$1:$1,0)+1),MATCH(O$1,[4]characters!$1:$1,0)-MATCH($L$1,[4]characters!$1:$1,0)+1,FALSE)</f>
        <v>Material</v>
      </c>
      <c r="P99" s="20" t="str">
        <f ca="1">VLOOKUP($L99,OFFSET([3]enemies!$A$1,0,0,COUNTA([3]enemies!$A:$A),MATCH(P$1,[3]enemies!$1:$1,0)-MATCH($L$1,[3]enemies!$1:$1,0)+1),MATCH(P$1,[3]enemies!$1:$1,0)-MATCH($L$1,[3]enemies!$1:$1,0)+1,FALSE)</f>
        <v>unknown</v>
      </c>
      <c r="Q99" s="20">
        <f ca="1">VLOOKUP($L99,OFFSET([3]enemies!$A$1,0,0,COUNTA([3]enemies!$A:$A),MATCH(Q$1,[3]enemies!$1:$1,0)-MATCH($L$1,[3]enemies!$1:$1,0)+1),MATCH(Q$1,[3]enemies!$1:$1,0)-MATCH($L$1,[3]enemies!$1:$1,0)+1,FALSE)</f>
        <v>15</v>
      </c>
      <c r="R99" s="107">
        <f t="shared" ref="R99:U99" si="324">R86</f>
        <v>10</v>
      </c>
      <c r="S99" s="107">
        <f t="shared" si="324"/>
        <v>0.4</v>
      </c>
      <c r="T99" s="108">
        <f t="shared" si="324"/>
        <v>40</v>
      </c>
      <c r="U99" s="107">
        <f t="shared" si="324"/>
        <v>-2845</v>
      </c>
      <c r="V99" s="5" t="str">
        <f ca="1">VLOOKUP($W99,OFFSET([5]enemy_skill_sets!$B$1,0,0,COUNTA([5]enemy_skill_sets!$B:$B),MATCH(M$1,[5]enemy_skill_sets!$1:$1,0)-MATCH($W$1,[5]enemy_skill_sets!$1:$1,0)+2),MATCH(M$1,[5]enemy_skill_sets!$1:$1,0)-MATCH($W$1,[5]enemy_skill_sets!$1:$1,0)+2,FALSE)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9" s="109">
        <f t="shared" ref="W99:AA99" ca="1" si="325">W86</f>
        <v>0</v>
      </c>
      <c r="X99" s="109">
        <f t="shared" si="325"/>
        <v>0</v>
      </c>
      <c r="Y99" s="109">
        <f t="shared" si="325"/>
        <v>100</v>
      </c>
      <c r="Z99" s="109">
        <f t="shared" si="325"/>
        <v>0</v>
      </c>
      <c r="AA99" s="109">
        <f t="shared" si="325"/>
        <v>1</v>
      </c>
      <c r="AB99" s="2">
        <f>L99</f>
        <v>345</v>
      </c>
      <c r="AC99" s="5" t="str">
        <f ca="1">VLOOKUP($AB99,OFFSET([4]characters!$A$1,0,0,COUNTA([4]characters!$A:$A),MATCH(AC$1,[4]characters!$1:$1,0)-MATCH("character_id",[4]characters!$1:$1,0)+1),MATCH(AC$1,[4]characters!$1:$1,0)-MATCH("character_id",[4]characters!$1:$1,0)+1,FALSE)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99" s="5">
        <f ca="1">VLOOKUP($AB99,OFFSET([4]characters!$A$1,0,0,COUNTA([4]characters!$A:$A),MATCH(AD$1,[4]characters!$1:$1,0)-MATCH("character_id",[4]characters!$1:$1,0)+1),MATCH(AD$1,[4]characters!$1:$1,0)-MATCH("character_id",[4]characters!$1:$1,0)+1,FALSE)</f>
        <v>4</v>
      </c>
      <c r="AE99" s="5" t="str">
        <f ca="1">VLOOKUP($AB99,OFFSET([4]characters!$A$1,0,0,COUNTA([4]characters!$A:$A),MATCH(AE$1,[4]characters!$1:$1,0)-MATCH("character_id",[4]characters!$1:$1,0)+1),MATCH(AE$1,[4]characters!$1:$1,0)-MATCH("character_id",[4]characters!$1:$1,0)+1,FALSE)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9" s="27">
        <f t="shared" si="203"/>
        <v>1</v>
      </c>
      <c r="AG99" s="27">
        <f ca="1">AD99</f>
        <v>4</v>
      </c>
      <c r="AH99" s="27">
        <f t="shared" ref="AH99:AM99" si="326">AH86</f>
        <v>0</v>
      </c>
      <c r="AI99" s="27">
        <f t="shared" si="326"/>
        <v>0</v>
      </c>
      <c r="AJ99" s="27">
        <f t="shared" si="326"/>
        <v>0</v>
      </c>
      <c r="AK99" s="27">
        <f t="shared" si="326"/>
        <v>0</v>
      </c>
      <c r="AL99" s="27">
        <f t="shared" si="326"/>
        <v>0</v>
      </c>
      <c r="AM99" s="27">
        <f t="shared" si="326"/>
        <v>1</v>
      </c>
    </row>
    <row r="100" spans="1:39" ht="21" customHeight="1" x14ac:dyDescent="0.15">
      <c r="A100" s="17" t="str">
        <f t="shared" ref="A100:A105" si="327">B100&amp;"_"&amp;C100&amp;"-"&amp;G100&amp;"/"&amp;L100&amp;"&lt;lv"&amp;R100&amp;"&gt;s"&amp;AA100</f>
        <v>14004_1-3/346&lt;lv10&gt;s2</v>
      </c>
      <c r="B100" s="104">
        <v>14004</v>
      </c>
      <c r="C100" s="112">
        <f t="shared" si="307"/>
        <v>1</v>
      </c>
      <c r="D100" s="112" t="str">
        <f t="shared" ref="D100:D105" si="328">B100&amp;"_"&amp;C100</f>
        <v>14004_1</v>
      </c>
      <c r="E100" s="113" t="str">
        <f ca="1">VLOOKUP($B100,OFFSET([2]quests!$A$1,0,0,COUNTA([2]quests!$A:$A),MATCH(E$1,[2]quests!$1:$1,0)-MATCH($B$1,[2]quests!$1:$1,0)+1),MATCH(E$1,[2]quests!$1:$1,0)-MATCH($B$1,[2]quests!$1:$1,0)+1,FALSE)</f>
        <v>【ロック】経験値/LINEマルチ</v>
      </c>
      <c r="F100" s="113" t="str">
        <f ca="1">VLOOKUP($D100,OFFSET([2]stages!$A$1,0,0,COUNTA([2]stages!$A:$A),MATCH(F$1,[2]stages!$2:$2,0)-MATCH($D$1,[2]stages!$2:$2,0)+1),MATCH(F$1,[2]stages!$2:$2,0)-MATCH($D$1,[2]stages!$2:$2,0)+1,FALSE)</f>
        <v>【超級】雷ファミリー（ハートなし）</v>
      </c>
      <c r="G100" s="112">
        <v>3</v>
      </c>
      <c r="H100" s="16" t="str">
        <f t="shared" ref="H100:H105" si="329">B100&amp;"_"&amp;C100&amp;"-"&amp;G100</f>
        <v>14004_1-3</v>
      </c>
      <c r="I100" s="5">
        <f ca="1">VLOOKUP($H100,OFFSET(floors!$A$1,0,0,COUNTA(floors!$A:$A),MATCH(I$1,floors!$1:$1,0)-MATCH($H$1,floors!$1:$1,0)+1),MATCH(I$1,floors!$1:$1,0)-MATCH($H$1,floors!$1:$1,0)+1,FALSE)</f>
        <v>50</v>
      </c>
      <c r="J100" s="5">
        <f ca="1">VLOOKUP($H100,OFFSET(floors!$A$1,0,0,COUNTA(floors!$A:$A),MATCH(J$1,floors!$1:$1,0)-MATCH($H$1,floors!$1:$1,0)+1),MATCH(J$1,floors!$1:$1,0)-MATCH($H$1,floors!$1:$1,0)+1,FALSE)</f>
        <v>50</v>
      </c>
      <c r="K100" s="8" t="s">
        <v>142</v>
      </c>
      <c r="L100" s="2">
        <f t="shared" si="200"/>
        <v>346</v>
      </c>
      <c r="M100" s="20" t="str">
        <f ca="1">VLOOKUP($L100,OFFSET([3]enemies!$A$1,0,0,COUNTA([3]enemies!$A:$A),MATCH(M$1,[3]enemies!$1:$1,0)-MATCH($L$1,[3]enemies!$1:$1,0)+1),MATCH(M$1,[3]enemies!$1:$1,0)-MATCH($L$1,[3]enemies!$1:$1,0)+1,FALSE)</f>
        <v>雷のメタルダック</v>
      </c>
      <c r="N100" s="20" t="str">
        <f ca="1">VLOOKUP($L100,OFFSET([3]enemies!$A$1,0,0,COUNTA([3]enemies!$A:$A),MATCH(N$1,[3]enemies!$1:$1,0)-MATCH($L$1,[3]enemies!$1:$1,0)+1),MATCH(N$1,[3]enemies!$1:$1,0)-MATCH($L$1,[3]enemies!$1:$1,0)+1,FALSE)</f>
        <v>yellow</v>
      </c>
      <c r="O100" s="20" t="str">
        <f ca="1">VLOOKUP($L100,OFFSET([4]characters!$A$1,0,0,COUNTA([4]characters!$A:$A),MATCH(O$1,[4]characters!$1:$1,0)-MATCH($L$1,[4]characters!$1:$1,0)+1),MATCH(O$1,[4]characters!$1:$1,0)-MATCH($L$1,[4]characters!$1:$1,0)+1,FALSE)</f>
        <v>Material</v>
      </c>
      <c r="P100" s="20" t="str">
        <f ca="1">VLOOKUP($L100,OFFSET([3]enemies!$A$1,0,0,COUNTA([3]enemies!$A:$A),MATCH(P$1,[3]enemies!$1:$1,0)-MATCH($L$1,[3]enemies!$1:$1,0)+1),MATCH(P$1,[3]enemies!$1:$1,0)-MATCH($L$1,[3]enemies!$1:$1,0)+1,FALSE)</f>
        <v>unknown</v>
      </c>
      <c r="Q100" s="20">
        <f ca="1">VLOOKUP($L100,OFFSET([3]enemies!$A$1,0,0,COUNTA([3]enemies!$A:$A),MATCH(Q$1,[3]enemies!$1:$1,0)-MATCH($L$1,[3]enemies!$1:$1,0)+1),MATCH(Q$1,[3]enemies!$1:$1,0)-MATCH($L$1,[3]enemies!$1:$1,0)+1,FALSE)</f>
        <v>20</v>
      </c>
      <c r="R100" s="107">
        <f t="shared" ref="R100:U100" si="330">R87</f>
        <v>10</v>
      </c>
      <c r="S100" s="107">
        <f t="shared" si="330"/>
        <v>0.4</v>
      </c>
      <c r="T100" s="108">
        <f t="shared" si="330"/>
        <v>40</v>
      </c>
      <c r="U100" s="107">
        <f t="shared" si="330"/>
        <v>-20223</v>
      </c>
      <c r="V100" s="5" t="str">
        <f ca="1">VLOOKUP($W100,OFFSET([5]enemy_skill_sets!$B$1,0,0,COUNTA([5]enemy_skill_sets!$B:$B),MATCH(M$1,[5]enemy_skill_sets!$1:$1,0)-MATCH($W$1,[5]enemy_skill_sets!$1:$1,0)+2),MATCH(M$1,[5]enemy_skill_sets!$1:$1,0)-MATCH($W$1,[5]enemy_skill_sets!$1:$1,0)+2,FALSE)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0" s="109">
        <f t="shared" ref="W100:AA100" ca="1" si="331">W87</f>
        <v>0</v>
      </c>
      <c r="X100" s="109">
        <f t="shared" si="331"/>
        <v>0</v>
      </c>
      <c r="Y100" s="109">
        <f t="shared" si="331"/>
        <v>34</v>
      </c>
      <c r="Z100" s="109">
        <f t="shared" si="331"/>
        <v>1</v>
      </c>
      <c r="AA100" s="109">
        <f t="shared" si="331"/>
        <v>2</v>
      </c>
      <c r="AB100" s="2">
        <f t="shared" ref="AB100:AB105" si="332">L100</f>
        <v>346</v>
      </c>
      <c r="AC100" s="5" t="str">
        <f ca="1">VLOOKUP($AB100,OFFSET([4]characters!$A$1,0,0,COUNTA([4]characters!$A:$A),MATCH(AC$1,[4]characters!$1:$1,0)-MATCH("character_id",[4]characters!$1:$1,0)+1),MATCH(AC$1,[4]characters!$1:$1,0)-MATCH("character_id",[4]characters!$1:$1,0)+1,FALSE)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100" s="5">
        <f ca="1">VLOOKUP($AB100,OFFSET([4]characters!$A$1,0,0,COUNTA([4]characters!$A:$A),MATCH(AD$1,[4]characters!$1:$1,0)-MATCH("character_id",[4]characters!$1:$1,0)+1),MATCH(AD$1,[4]characters!$1:$1,0)-MATCH("character_id",[4]characters!$1:$1,0)+1,FALSE)</f>
        <v>5</v>
      </c>
      <c r="AE100" s="5" t="str">
        <f ca="1">VLOOKUP($AB100,OFFSET([4]characters!$A$1,0,0,COUNTA([4]characters!$A:$A),MATCH(AE$1,[4]characters!$1:$1,0)-MATCH("character_id",[4]characters!$1:$1,0)+1),MATCH(AE$1,[4]characters!$1:$1,0)-MATCH("character_id",[4]characters!$1:$1,0)+1,FALSE)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0" s="27">
        <f t="shared" si="203"/>
        <v>1</v>
      </c>
      <c r="AG100" s="27">
        <f t="shared" ref="AG100:AG105" ca="1" si="333">AD100</f>
        <v>5</v>
      </c>
      <c r="AH100" s="27">
        <f t="shared" ref="AH100:AM100" si="334">AH87</f>
        <v>100</v>
      </c>
      <c r="AI100" s="27">
        <f t="shared" si="334"/>
        <v>0</v>
      </c>
      <c r="AJ100" s="27">
        <f t="shared" si="334"/>
        <v>0</v>
      </c>
      <c r="AK100" s="27">
        <f t="shared" si="334"/>
        <v>0</v>
      </c>
      <c r="AL100" s="27">
        <f t="shared" si="334"/>
        <v>0</v>
      </c>
      <c r="AM100" s="27">
        <f t="shared" si="334"/>
        <v>1</v>
      </c>
    </row>
    <row r="101" spans="1:39" ht="21" customHeight="1" x14ac:dyDescent="0.15">
      <c r="A101" s="17" t="str">
        <f t="shared" si="327"/>
        <v>14004_1-3/347&lt;lv10&gt;s2</v>
      </c>
      <c r="B101" s="104">
        <v>14004</v>
      </c>
      <c r="C101" s="112">
        <f t="shared" si="307"/>
        <v>1</v>
      </c>
      <c r="D101" s="112" t="str">
        <f t="shared" si="328"/>
        <v>14004_1</v>
      </c>
      <c r="E101" s="113" t="str">
        <f ca="1">VLOOKUP($B101,OFFSET([2]quests!$A$1,0,0,COUNTA([2]quests!$A:$A),MATCH(E$1,[2]quests!$1:$1,0)-MATCH($B$1,[2]quests!$1:$1,0)+1),MATCH(E$1,[2]quests!$1:$1,0)-MATCH($B$1,[2]quests!$1:$1,0)+1,FALSE)</f>
        <v>【ロック】経験値/LINEマルチ</v>
      </c>
      <c r="F101" s="113" t="str">
        <f ca="1">VLOOKUP($D101,OFFSET([2]stages!$A$1,0,0,COUNTA([2]stages!$A:$A),MATCH(F$1,[2]stages!$2:$2,0)-MATCH($D$1,[2]stages!$2:$2,0)+1),MATCH(F$1,[2]stages!$2:$2,0)-MATCH($D$1,[2]stages!$2:$2,0)+1,FALSE)</f>
        <v>【超級】雷ファミリー（ハートなし）</v>
      </c>
      <c r="G101" s="112">
        <v>3</v>
      </c>
      <c r="H101" s="16" t="str">
        <f t="shared" si="329"/>
        <v>14004_1-3</v>
      </c>
      <c r="I101" s="5">
        <f ca="1">VLOOKUP($H101,OFFSET(floors!$A$1,0,0,COUNTA(floors!$A:$A),MATCH(I$1,floors!$1:$1,0)-MATCH($H$1,floors!$1:$1,0)+1),MATCH(I$1,floors!$1:$1,0)-MATCH($H$1,floors!$1:$1,0)+1,FALSE)</f>
        <v>50</v>
      </c>
      <c r="J101" s="5">
        <f ca="1">VLOOKUP($H101,OFFSET(floors!$A$1,0,0,COUNTA(floors!$A:$A),MATCH(J$1,floors!$1:$1,0)-MATCH($H$1,floors!$1:$1,0)+1),MATCH(J$1,floors!$1:$1,0)-MATCH($H$1,floors!$1:$1,0)+1,FALSE)</f>
        <v>50</v>
      </c>
      <c r="K101" s="8" t="s">
        <v>142</v>
      </c>
      <c r="L101" s="2">
        <f t="shared" si="200"/>
        <v>347</v>
      </c>
      <c r="M101" s="20" t="str">
        <f ca="1">VLOOKUP($L101,OFFSET([3]enemies!$A$1,0,0,COUNTA([3]enemies!$A:$A),MATCH(M$1,[3]enemies!$1:$1,0)-MATCH($L$1,[3]enemies!$1:$1,0)+1),MATCH(M$1,[3]enemies!$1:$1,0)-MATCH($L$1,[3]enemies!$1:$1,0)+1,FALSE)</f>
        <v>雷のメタルジェントル</v>
      </c>
      <c r="N101" s="20" t="str">
        <f ca="1">VLOOKUP($L101,OFFSET([3]enemies!$A$1,0,0,COUNTA([3]enemies!$A:$A),MATCH(N$1,[3]enemies!$1:$1,0)-MATCH($L$1,[3]enemies!$1:$1,0)+1),MATCH(N$1,[3]enemies!$1:$1,0)-MATCH($L$1,[3]enemies!$1:$1,0)+1,FALSE)</f>
        <v>yellow</v>
      </c>
      <c r="O101" s="20" t="str">
        <f ca="1">VLOOKUP($L101,OFFSET([4]characters!$A$1,0,0,COUNTA([4]characters!$A:$A),MATCH(O$1,[4]characters!$1:$1,0)-MATCH($L$1,[4]characters!$1:$1,0)+1),MATCH(O$1,[4]characters!$1:$1,0)-MATCH($L$1,[4]characters!$1:$1,0)+1,FALSE)</f>
        <v>Material</v>
      </c>
      <c r="P101" s="20" t="str">
        <f ca="1">VLOOKUP($L101,OFFSET([3]enemies!$A$1,0,0,COUNTA([3]enemies!$A:$A),MATCH(P$1,[3]enemies!$1:$1,0)-MATCH($L$1,[3]enemies!$1:$1,0)+1),MATCH(P$1,[3]enemies!$1:$1,0)-MATCH($L$1,[3]enemies!$1:$1,0)+1,FALSE)</f>
        <v>unknown</v>
      </c>
      <c r="Q101" s="20">
        <f ca="1">VLOOKUP($L101,OFFSET([3]enemies!$A$1,0,0,COUNTA([3]enemies!$A:$A),MATCH(Q$1,[3]enemies!$1:$1,0)-MATCH($L$1,[3]enemies!$1:$1,0)+1),MATCH(Q$1,[3]enemies!$1:$1,0)-MATCH($L$1,[3]enemies!$1:$1,0)+1,FALSE)</f>
        <v>20</v>
      </c>
      <c r="R101" s="107">
        <f t="shared" ref="R101:U101" si="335">R88</f>
        <v>10</v>
      </c>
      <c r="S101" s="107">
        <f t="shared" si="335"/>
        <v>0.2</v>
      </c>
      <c r="T101" s="108">
        <f t="shared" si="335"/>
        <v>50</v>
      </c>
      <c r="U101" s="107">
        <f t="shared" si="335"/>
        <v>-30889</v>
      </c>
      <c r="V101" s="5" t="str">
        <f ca="1">VLOOKUP($W101,OFFSET(enemy_skill_sets!$B$1,0,0,COUNTA(enemy_skill_sets!$B:$B),MATCH(M$1,enemy_skill_sets!$1:$1,0)-MATCH($W$1,enemy_skill_sets!$1:$1,0)+2),MATCH(M$1,enemy_skill_sets!$1:$1,0)-MATCH($W$1,enemy_skill_sets!$1:$1,0)+2,FALSE)</f>
        <v>なんと ジェントルがあらわれた！</v>
      </c>
      <c r="W101" s="109">
        <f t="shared" ref="W101:AA101" si="336">W88</f>
        <v>14001030</v>
      </c>
      <c r="X101" s="109">
        <f t="shared" si="336"/>
        <v>0</v>
      </c>
      <c r="Y101" s="109">
        <f t="shared" si="336"/>
        <v>66</v>
      </c>
      <c r="Z101" s="109">
        <f t="shared" si="336"/>
        <v>1</v>
      </c>
      <c r="AA101" s="109">
        <f t="shared" si="336"/>
        <v>2</v>
      </c>
      <c r="AB101" s="2">
        <f t="shared" si="332"/>
        <v>347</v>
      </c>
      <c r="AC101" s="5" t="str">
        <f ca="1">VLOOKUP($AB101,OFFSET([4]characters!$A$1,0,0,COUNTA([4]characters!$A:$A),MATCH(AC$1,[4]characters!$1:$1,0)-MATCH("character_id",[4]characters!$1:$1,0)+1),MATCH(AC$1,[4]characters!$1:$1,0)-MATCH("character_id",[4]characters!$1:$1,0)+1,FALSE)</f>
        <v>雷のメタルジェントル</v>
      </c>
      <c r="AD101" s="5">
        <f ca="1">VLOOKUP($AB101,OFFSET([4]characters!$A$1,0,0,COUNTA([4]characters!$A:$A),MATCH(AD$1,[4]characters!$1:$1,0)-MATCH("character_id",[4]characters!$1:$1,0)+1),MATCH(AD$1,[4]characters!$1:$1,0)-MATCH("character_id",[4]characters!$1:$1,0)+1,FALSE)</f>
        <v>6</v>
      </c>
      <c r="AE101" s="5" t="str">
        <f ca="1">VLOOKUP($AB101,OFFSET([4]characters!$A$1,0,0,COUNTA([4]characters!$A:$A),MATCH(AE$1,[4]characters!$1:$1,0)-MATCH("character_id",[4]characters!$1:$1,0)+1),MATCH(AE$1,[4]characters!$1:$1,0)-MATCH("character_id",[4]characters!$1:$1,0)+1,FALSE)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1" s="27">
        <f t="shared" si="203"/>
        <v>1</v>
      </c>
      <c r="AG101" s="27">
        <f t="shared" ca="1" si="333"/>
        <v>6</v>
      </c>
      <c r="AH101" s="27">
        <f t="shared" ref="AH101:AM101" si="337">AH88</f>
        <v>100</v>
      </c>
      <c r="AI101" s="27">
        <f t="shared" si="337"/>
        <v>0</v>
      </c>
      <c r="AJ101" s="27">
        <f t="shared" si="337"/>
        <v>0</v>
      </c>
      <c r="AK101" s="27">
        <f t="shared" si="337"/>
        <v>0</v>
      </c>
      <c r="AL101" s="27">
        <f t="shared" si="337"/>
        <v>0</v>
      </c>
      <c r="AM101" s="27">
        <f t="shared" si="337"/>
        <v>1</v>
      </c>
    </row>
    <row r="102" spans="1:39" ht="21" customHeight="1" x14ac:dyDescent="0.15">
      <c r="A102" s="17" t="str">
        <f t="shared" si="327"/>
        <v>14004_1-4/346&lt;lv10&gt;s2</v>
      </c>
      <c r="B102" s="104">
        <v>14004</v>
      </c>
      <c r="C102" s="112">
        <f t="shared" si="307"/>
        <v>1</v>
      </c>
      <c r="D102" s="112" t="str">
        <f t="shared" si="328"/>
        <v>14004_1</v>
      </c>
      <c r="E102" s="113" t="str">
        <f ca="1">VLOOKUP($B102,OFFSET([2]quests!$A$1,0,0,COUNTA([2]quests!$A:$A),MATCH(E$1,[2]quests!$1:$1,0)-MATCH($B$1,[2]quests!$1:$1,0)+1),MATCH(E$1,[2]quests!$1:$1,0)-MATCH($B$1,[2]quests!$1:$1,0)+1,FALSE)</f>
        <v>【ロック】経験値/LINEマルチ</v>
      </c>
      <c r="F102" s="113" t="str">
        <f ca="1">VLOOKUP($D102,OFFSET([2]stages!$A$1,0,0,COUNTA([2]stages!$A:$A),MATCH(F$1,[2]stages!$2:$2,0)-MATCH($D$1,[2]stages!$2:$2,0)+1),MATCH(F$1,[2]stages!$2:$2,0)-MATCH($D$1,[2]stages!$2:$2,0)+1,FALSE)</f>
        <v>【超級】雷ファミリー（ハートなし）</v>
      </c>
      <c r="G102" s="112">
        <v>4</v>
      </c>
      <c r="H102" s="16" t="str">
        <f t="shared" si="329"/>
        <v>14004_1-4</v>
      </c>
      <c r="I102" s="5">
        <f ca="1">VLOOKUP($H102,OFFSET(floors!$A$1,0,0,COUNTA(floors!$A:$A),MATCH(I$1,floors!$1:$1,0)-MATCH($H$1,floors!$1:$1,0)+1),MATCH(I$1,floors!$1:$1,0)-MATCH($H$1,floors!$1:$1,0)+1,FALSE)</f>
        <v>59</v>
      </c>
      <c r="J102" s="5">
        <f ca="1">VLOOKUP($H102,OFFSET(floors!$A$1,0,0,COUNTA(floors!$A:$A),MATCH(J$1,floors!$1:$1,0)-MATCH($H$1,floors!$1:$1,0)+1),MATCH(J$1,floors!$1:$1,0)-MATCH($H$1,floors!$1:$1,0)+1,FALSE)</f>
        <v>60</v>
      </c>
      <c r="K102" s="8" t="s">
        <v>142</v>
      </c>
      <c r="L102" s="2">
        <f t="shared" si="200"/>
        <v>346</v>
      </c>
      <c r="M102" s="20" t="str">
        <f ca="1">VLOOKUP($L102,OFFSET([3]enemies!$A$1,0,0,COUNTA([3]enemies!$A:$A),MATCH(M$1,[3]enemies!$1:$1,0)-MATCH($L$1,[3]enemies!$1:$1,0)+1),MATCH(M$1,[3]enemies!$1:$1,0)-MATCH($L$1,[3]enemies!$1:$1,0)+1,FALSE)</f>
        <v>雷のメタルダック</v>
      </c>
      <c r="N102" s="20" t="str">
        <f ca="1">VLOOKUP($L102,OFFSET([3]enemies!$A$1,0,0,COUNTA([3]enemies!$A:$A),MATCH(N$1,[3]enemies!$1:$1,0)-MATCH($L$1,[3]enemies!$1:$1,0)+1),MATCH(N$1,[3]enemies!$1:$1,0)-MATCH($L$1,[3]enemies!$1:$1,0)+1,FALSE)</f>
        <v>yellow</v>
      </c>
      <c r="O102" s="20" t="str">
        <f ca="1">VLOOKUP($L102,OFFSET([4]characters!$A$1,0,0,COUNTA([4]characters!$A:$A),MATCH(O$1,[4]characters!$1:$1,0)-MATCH($L$1,[4]characters!$1:$1,0)+1),MATCH(O$1,[4]characters!$1:$1,0)-MATCH($L$1,[4]characters!$1:$1,0)+1,FALSE)</f>
        <v>Material</v>
      </c>
      <c r="P102" s="20" t="str">
        <f ca="1">VLOOKUP($L102,OFFSET([3]enemies!$A$1,0,0,COUNTA([3]enemies!$A:$A),MATCH(P$1,[3]enemies!$1:$1,0)-MATCH($L$1,[3]enemies!$1:$1,0)+1),MATCH(P$1,[3]enemies!$1:$1,0)-MATCH($L$1,[3]enemies!$1:$1,0)+1,FALSE)</f>
        <v>unknown</v>
      </c>
      <c r="Q102" s="20">
        <f ca="1">VLOOKUP($L102,OFFSET([3]enemies!$A$1,0,0,COUNTA([3]enemies!$A:$A),MATCH(Q$1,[3]enemies!$1:$1,0)-MATCH($L$1,[3]enemies!$1:$1,0)+1),MATCH(Q$1,[3]enemies!$1:$1,0)-MATCH($L$1,[3]enemies!$1:$1,0)+1,FALSE)</f>
        <v>20</v>
      </c>
      <c r="R102" s="107">
        <f t="shared" ref="R102:U102" si="338">R89</f>
        <v>10</v>
      </c>
      <c r="S102" s="107">
        <f t="shared" si="338"/>
        <v>0.4</v>
      </c>
      <c r="T102" s="108">
        <f t="shared" si="338"/>
        <v>40</v>
      </c>
      <c r="U102" s="107">
        <f t="shared" si="338"/>
        <v>-20223</v>
      </c>
      <c r="V102" s="5" t="str">
        <f ca="1">VLOOKUP($W102,OFFSET([5]enemy_skill_sets!$B$1,0,0,COUNTA([5]enemy_skill_sets!$B:$B),MATCH(M$1,[5]enemy_skill_sets!$1:$1,0)-MATCH($W$1,[5]enemy_skill_sets!$1:$1,0)+2),MATCH(M$1,[5]enemy_skill_sets!$1:$1,0)-MATCH($W$1,[5]enemy_skill_sets!$1:$1,0)+2,FALSE)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2" s="109">
        <f t="shared" ref="W102:AA102" ca="1" si="339">W89</f>
        <v>0</v>
      </c>
      <c r="X102" s="109">
        <f t="shared" si="339"/>
        <v>0</v>
      </c>
      <c r="Y102" s="109">
        <f t="shared" si="339"/>
        <v>100</v>
      </c>
      <c r="Z102" s="109">
        <f t="shared" si="339"/>
        <v>0</v>
      </c>
      <c r="AA102" s="109">
        <f t="shared" si="339"/>
        <v>2</v>
      </c>
      <c r="AB102" s="2">
        <f t="shared" si="332"/>
        <v>346</v>
      </c>
      <c r="AC102" s="5" t="str">
        <f ca="1">VLOOKUP($AB102,OFFSET([4]characters!$A$1,0,0,COUNTA([4]characters!$A:$A),MATCH(AC$1,[4]characters!$1:$1,0)-MATCH("character_id",[4]characters!$1:$1,0)+1),MATCH(AC$1,[4]characters!$1:$1,0)-MATCH("character_id",[4]characters!$1:$1,0)+1,FALSE)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102" s="5">
        <f ca="1">VLOOKUP($AB102,OFFSET([4]characters!$A$1,0,0,COUNTA([4]characters!$A:$A),MATCH(AD$1,[4]characters!$1:$1,0)-MATCH("character_id",[4]characters!$1:$1,0)+1),MATCH(AD$1,[4]characters!$1:$1,0)-MATCH("character_id",[4]characters!$1:$1,0)+1,FALSE)</f>
        <v>5</v>
      </c>
      <c r="AE102" s="5" t="str">
        <f ca="1">VLOOKUP($AB102,OFFSET([4]characters!$A$1,0,0,COUNTA([4]characters!$A:$A),MATCH(AE$1,[4]characters!$1:$1,0)-MATCH("character_id",[4]characters!$1:$1,0)+1),MATCH(AE$1,[4]characters!$1:$1,0)-MATCH("character_id",[4]characters!$1:$1,0)+1,FALSE)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2" s="27">
        <f t="shared" si="203"/>
        <v>1</v>
      </c>
      <c r="AG102" s="27">
        <f t="shared" ca="1" si="333"/>
        <v>5</v>
      </c>
      <c r="AH102" s="27">
        <f t="shared" ref="AH102:AM102" si="340">AH89</f>
        <v>100</v>
      </c>
      <c r="AI102" s="27">
        <f t="shared" si="340"/>
        <v>0</v>
      </c>
      <c r="AJ102" s="27">
        <f t="shared" si="340"/>
        <v>0</v>
      </c>
      <c r="AK102" s="27">
        <f t="shared" si="340"/>
        <v>0</v>
      </c>
      <c r="AL102" s="27">
        <f t="shared" si="340"/>
        <v>0</v>
      </c>
      <c r="AM102" s="27">
        <f t="shared" si="340"/>
        <v>1</v>
      </c>
    </row>
    <row r="103" spans="1:39" ht="21" customHeight="1" x14ac:dyDescent="0.15">
      <c r="A103" s="17" t="str">
        <f t="shared" si="327"/>
        <v>14004_1-5/345&lt;lv10&gt;s2</v>
      </c>
      <c r="B103" s="104">
        <v>14004</v>
      </c>
      <c r="C103" s="112">
        <f t="shared" si="307"/>
        <v>1</v>
      </c>
      <c r="D103" s="112" t="str">
        <f t="shared" si="328"/>
        <v>14004_1</v>
      </c>
      <c r="E103" s="113" t="str">
        <f ca="1">VLOOKUP($B103,OFFSET([2]quests!$A$1,0,0,COUNTA([2]quests!$A:$A),MATCH(E$1,[2]quests!$1:$1,0)-MATCH($B$1,[2]quests!$1:$1,0)+1),MATCH(E$1,[2]quests!$1:$1,0)-MATCH($B$1,[2]quests!$1:$1,0)+1,FALSE)</f>
        <v>【ロック】経験値/LINEマルチ</v>
      </c>
      <c r="F103" s="113" t="str">
        <f ca="1">VLOOKUP($D103,OFFSET([2]stages!$A$1,0,0,COUNTA([2]stages!$A:$A),MATCH(F$1,[2]stages!$2:$2,0)-MATCH($D$1,[2]stages!$2:$2,0)+1),MATCH(F$1,[2]stages!$2:$2,0)-MATCH($D$1,[2]stages!$2:$2,0)+1,FALSE)</f>
        <v>【超級】雷ファミリー（ハートなし）</v>
      </c>
      <c r="G103" s="112">
        <v>5</v>
      </c>
      <c r="H103" s="16" t="str">
        <f t="shared" si="329"/>
        <v>14004_1-5</v>
      </c>
      <c r="I103" s="5">
        <f ca="1">VLOOKUP($H103,OFFSET(floors!$A$1,0,0,COUNTA(floors!$A:$A),MATCH(I$1,floors!$1:$1,0)-MATCH($H$1,floors!$1:$1,0)+1),MATCH(I$1,floors!$1:$1,0)-MATCH($H$1,floors!$1:$1,0)+1,FALSE)</f>
        <v>55</v>
      </c>
      <c r="J103" s="5">
        <f ca="1">VLOOKUP($H103,OFFSET(floors!$A$1,0,0,COUNTA(floors!$A:$A),MATCH(J$1,floors!$1:$1,0)-MATCH($H$1,floors!$1:$1,0)+1),MATCH(J$1,floors!$1:$1,0)-MATCH($H$1,floors!$1:$1,0)+1,FALSE)</f>
        <v>55</v>
      </c>
      <c r="K103" s="8" t="s">
        <v>142</v>
      </c>
      <c r="L103" s="2">
        <f t="shared" si="200"/>
        <v>345</v>
      </c>
      <c r="M103" s="20" t="str">
        <f ca="1">VLOOKUP($L103,OFFSET([3]enemies!$A$1,0,0,COUNTA([3]enemies!$A:$A),MATCH(M$1,[3]enemies!$1:$1,0)-MATCH($L$1,[3]enemies!$1:$1,0)+1),MATCH(M$1,[3]enemies!$1:$1,0)-MATCH($L$1,[3]enemies!$1:$1,0)+1,FALSE)</f>
        <v>雷のメタルチック</v>
      </c>
      <c r="N103" s="20" t="str">
        <f ca="1">VLOOKUP($L103,OFFSET([3]enemies!$A$1,0,0,COUNTA([3]enemies!$A:$A),MATCH(N$1,[3]enemies!$1:$1,0)-MATCH($L$1,[3]enemies!$1:$1,0)+1),MATCH(N$1,[3]enemies!$1:$1,0)-MATCH($L$1,[3]enemies!$1:$1,0)+1,FALSE)</f>
        <v>yellow</v>
      </c>
      <c r="O103" s="20" t="str">
        <f ca="1">VLOOKUP($L103,OFFSET([4]characters!$A$1,0,0,COUNTA([4]characters!$A:$A),MATCH(O$1,[4]characters!$1:$1,0)-MATCH($L$1,[4]characters!$1:$1,0)+1),MATCH(O$1,[4]characters!$1:$1,0)-MATCH($L$1,[4]characters!$1:$1,0)+1,FALSE)</f>
        <v>Material</v>
      </c>
      <c r="P103" s="20" t="str">
        <f ca="1">VLOOKUP($L103,OFFSET([3]enemies!$A$1,0,0,COUNTA([3]enemies!$A:$A),MATCH(P$1,[3]enemies!$1:$1,0)-MATCH($L$1,[3]enemies!$1:$1,0)+1),MATCH(P$1,[3]enemies!$1:$1,0)-MATCH($L$1,[3]enemies!$1:$1,0)+1,FALSE)</f>
        <v>unknown</v>
      </c>
      <c r="Q103" s="20">
        <f ca="1">VLOOKUP($L103,OFFSET([3]enemies!$A$1,0,0,COUNTA([3]enemies!$A:$A),MATCH(Q$1,[3]enemies!$1:$1,0)-MATCH($L$1,[3]enemies!$1:$1,0)+1),MATCH(Q$1,[3]enemies!$1:$1,0)-MATCH($L$1,[3]enemies!$1:$1,0)+1,FALSE)</f>
        <v>15</v>
      </c>
      <c r="R103" s="107">
        <f t="shared" ref="R103:U103" si="341">R90</f>
        <v>10</v>
      </c>
      <c r="S103" s="107">
        <f t="shared" si="341"/>
        <v>0.4</v>
      </c>
      <c r="T103" s="108">
        <f t="shared" si="341"/>
        <v>40</v>
      </c>
      <c r="U103" s="107">
        <f t="shared" si="341"/>
        <v>-2845</v>
      </c>
      <c r="V103" s="5" t="str">
        <f ca="1">VLOOKUP($W103,OFFSET([5]enemy_skill_sets!$B$1,0,0,COUNTA([5]enemy_skill_sets!$B:$B),MATCH(M$1,[5]enemy_skill_sets!$1:$1,0)-MATCH($W$1,[5]enemy_skill_sets!$1:$1,0)+2),MATCH(M$1,[5]enemy_skill_sets!$1:$1,0)-MATCH($W$1,[5]enemy_skill_sets!$1:$1,0)+2,FALSE)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3" s="109">
        <f t="shared" ref="W103:AA103" ca="1" si="342">W90</f>
        <v>0</v>
      </c>
      <c r="X103" s="109">
        <f t="shared" si="342"/>
        <v>1</v>
      </c>
      <c r="Y103" s="109">
        <f t="shared" si="342"/>
        <v>0</v>
      </c>
      <c r="Z103" s="109">
        <f t="shared" si="342"/>
        <v>2</v>
      </c>
      <c r="AA103" s="109">
        <f t="shared" si="342"/>
        <v>2</v>
      </c>
      <c r="AB103" s="2">
        <f t="shared" si="332"/>
        <v>345</v>
      </c>
      <c r="AC103" s="5" t="str">
        <f ca="1">VLOOKUP($AB103,OFFSET([4]characters!$A$1,0,0,COUNTA([4]characters!$A:$A),MATCH(AC$1,[4]characters!$1:$1,0)-MATCH("character_id",[4]characters!$1:$1,0)+1),MATCH(AC$1,[4]characters!$1:$1,0)-MATCH("character_id",[4]characters!$1:$1,0)+1,FALSE)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103" s="5">
        <f ca="1">VLOOKUP($AB103,OFFSET([4]characters!$A$1,0,0,COUNTA([4]characters!$A:$A),MATCH(AD$1,[4]characters!$1:$1,0)-MATCH("character_id",[4]characters!$1:$1,0)+1),MATCH(AD$1,[4]characters!$1:$1,0)-MATCH("character_id",[4]characters!$1:$1,0)+1,FALSE)</f>
        <v>4</v>
      </c>
      <c r="AE103" s="5" t="str">
        <f ca="1">VLOOKUP($AB103,OFFSET([4]characters!$A$1,0,0,COUNTA([4]characters!$A:$A),MATCH(AE$1,[4]characters!$1:$1,0)-MATCH("character_id",[4]characters!$1:$1,0)+1),MATCH(AE$1,[4]characters!$1:$1,0)-MATCH("character_id",[4]characters!$1:$1,0)+1,FALSE)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3" s="27">
        <f t="shared" si="203"/>
        <v>1</v>
      </c>
      <c r="AG103" s="27">
        <f t="shared" ca="1" si="333"/>
        <v>4</v>
      </c>
      <c r="AH103" s="27">
        <f t="shared" ref="AH103:AM103" si="343">AH90</f>
        <v>0</v>
      </c>
      <c r="AI103" s="27">
        <f t="shared" si="343"/>
        <v>0</v>
      </c>
      <c r="AJ103" s="27">
        <f t="shared" si="343"/>
        <v>0</v>
      </c>
      <c r="AK103" s="27">
        <f t="shared" si="343"/>
        <v>0</v>
      </c>
      <c r="AL103" s="27">
        <f t="shared" si="343"/>
        <v>0</v>
      </c>
      <c r="AM103" s="27">
        <f t="shared" si="343"/>
        <v>1</v>
      </c>
    </row>
    <row r="104" spans="1:39" ht="21" customHeight="1" x14ac:dyDescent="0.15">
      <c r="A104" s="17" t="str">
        <f t="shared" si="327"/>
        <v>14004_1-5/346&lt;lv10&gt;s2</v>
      </c>
      <c r="B104" s="104">
        <v>14004</v>
      </c>
      <c r="C104" s="112">
        <f t="shared" si="307"/>
        <v>1</v>
      </c>
      <c r="D104" s="112" t="str">
        <f t="shared" si="328"/>
        <v>14004_1</v>
      </c>
      <c r="E104" s="113" t="str">
        <f ca="1">VLOOKUP($B104,OFFSET([2]quests!$A$1,0,0,COUNTA([2]quests!$A:$A),MATCH(E$1,[2]quests!$1:$1,0)-MATCH($B$1,[2]quests!$1:$1,0)+1),MATCH(E$1,[2]quests!$1:$1,0)-MATCH($B$1,[2]quests!$1:$1,0)+1,FALSE)</f>
        <v>【ロック】経験値/LINEマルチ</v>
      </c>
      <c r="F104" s="113" t="str">
        <f ca="1">VLOOKUP($D104,OFFSET([2]stages!$A$1,0,0,COUNTA([2]stages!$A:$A),MATCH(F$1,[2]stages!$2:$2,0)-MATCH($D$1,[2]stages!$2:$2,0)+1),MATCH(F$1,[2]stages!$2:$2,0)-MATCH($D$1,[2]stages!$2:$2,0)+1,FALSE)</f>
        <v>【超級】雷ファミリー（ハートなし）</v>
      </c>
      <c r="G104" s="112">
        <v>5</v>
      </c>
      <c r="H104" s="16" t="str">
        <f t="shared" si="329"/>
        <v>14004_1-5</v>
      </c>
      <c r="I104" s="5">
        <f ca="1">VLOOKUP($H104,OFFSET(floors!$A$1,0,0,COUNTA(floors!$A:$A),MATCH(I$1,floors!$1:$1,0)-MATCH($H$1,floors!$1:$1,0)+1),MATCH(I$1,floors!$1:$1,0)-MATCH($H$1,floors!$1:$1,0)+1,FALSE)</f>
        <v>55</v>
      </c>
      <c r="J104" s="5">
        <f ca="1">VLOOKUP($H104,OFFSET(floors!$A$1,0,0,COUNTA(floors!$A:$A),MATCH(J$1,floors!$1:$1,0)-MATCH($H$1,floors!$1:$1,0)+1),MATCH(J$1,floors!$1:$1,0)-MATCH($H$1,floors!$1:$1,0)+1,FALSE)</f>
        <v>55</v>
      </c>
      <c r="K104" s="8" t="s">
        <v>142</v>
      </c>
      <c r="L104" s="2">
        <f t="shared" si="200"/>
        <v>346</v>
      </c>
      <c r="M104" s="20" t="str">
        <f ca="1">VLOOKUP($L104,OFFSET([3]enemies!$A$1,0,0,COUNTA([3]enemies!$A:$A),MATCH(M$1,[3]enemies!$1:$1,0)-MATCH($L$1,[3]enemies!$1:$1,0)+1),MATCH(M$1,[3]enemies!$1:$1,0)-MATCH($L$1,[3]enemies!$1:$1,0)+1,FALSE)</f>
        <v>雷のメタルダック</v>
      </c>
      <c r="N104" s="20" t="str">
        <f ca="1">VLOOKUP($L104,OFFSET([3]enemies!$A$1,0,0,COUNTA([3]enemies!$A:$A),MATCH(N$1,[3]enemies!$1:$1,0)-MATCH($L$1,[3]enemies!$1:$1,0)+1),MATCH(N$1,[3]enemies!$1:$1,0)-MATCH($L$1,[3]enemies!$1:$1,0)+1,FALSE)</f>
        <v>yellow</v>
      </c>
      <c r="O104" s="20" t="str">
        <f ca="1">VLOOKUP($L104,OFFSET([4]characters!$A$1,0,0,COUNTA([4]characters!$A:$A),MATCH(O$1,[4]characters!$1:$1,0)-MATCH($L$1,[4]characters!$1:$1,0)+1),MATCH(O$1,[4]characters!$1:$1,0)-MATCH($L$1,[4]characters!$1:$1,0)+1,FALSE)</f>
        <v>Material</v>
      </c>
      <c r="P104" s="20" t="str">
        <f ca="1">VLOOKUP($L104,OFFSET([3]enemies!$A$1,0,0,COUNTA([3]enemies!$A:$A),MATCH(P$1,[3]enemies!$1:$1,0)-MATCH($L$1,[3]enemies!$1:$1,0)+1),MATCH(P$1,[3]enemies!$1:$1,0)-MATCH($L$1,[3]enemies!$1:$1,0)+1,FALSE)</f>
        <v>unknown</v>
      </c>
      <c r="Q104" s="20">
        <f ca="1">VLOOKUP($L104,OFFSET([3]enemies!$A$1,0,0,COUNTA([3]enemies!$A:$A),MATCH(Q$1,[3]enemies!$1:$1,0)-MATCH($L$1,[3]enemies!$1:$1,0)+1),MATCH(Q$1,[3]enemies!$1:$1,0)-MATCH($L$1,[3]enemies!$1:$1,0)+1,FALSE)</f>
        <v>20</v>
      </c>
      <c r="R104" s="107">
        <f t="shared" ref="R104:U104" si="344">R91</f>
        <v>10</v>
      </c>
      <c r="S104" s="107">
        <f t="shared" si="344"/>
        <v>0.4</v>
      </c>
      <c r="T104" s="108">
        <f t="shared" si="344"/>
        <v>40</v>
      </c>
      <c r="U104" s="107">
        <f t="shared" si="344"/>
        <v>-20223</v>
      </c>
      <c r="V104" s="5" t="str">
        <f ca="1">VLOOKUP($W104,OFFSET([5]enemy_skill_sets!$B$1,0,0,COUNTA([5]enemy_skill_sets!$B:$B),MATCH(M$1,[5]enemy_skill_sets!$1:$1,0)-MATCH($W$1,[5]enemy_skill_sets!$1:$1,0)+2),MATCH(M$1,[5]enemy_skill_sets!$1:$1,0)-MATCH($W$1,[5]enemy_skill_sets!$1:$1,0)+2,FALSE)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4" s="109">
        <f t="shared" ref="W104:AA104" ca="1" si="345">W91</f>
        <v>0</v>
      </c>
      <c r="X104" s="109">
        <f t="shared" si="345"/>
        <v>1</v>
      </c>
      <c r="Y104" s="109">
        <f t="shared" si="345"/>
        <v>0</v>
      </c>
      <c r="Z104" s="109">
        <f t="shared" si="345"/>
        <v>1</v>
      </c>
      <c r="AA104" s="109">
        <f t="shared" si="345"/>
        <v>2</v>
      </c>
      <c r="AB104" s="2">
        <f t="shared" si="332"/>
        <v>346</v>
      </c>
      <c r="AC104" s="5" t="str">
        <f ca="1">VLOOKUP($AB104,OFFSET([4]characters!$A$1,0,0,COUNTA([4]characters!$A:$A),MATCH(AC$1,[4]characters!$1:$1,0)-MATCH("character_id",[4]characters!$1:$1,0)+1),MATCH(AC$1,[4]characters!$1:$1,0)-MATCH("character_id",[4]characters!$1:$1,0)+1,FALSE)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104" s="5">
        <f ca="1">VLOOKUP($AB104,OFFSET([4]characters!$A$1,0,0,COUNTA([4]characters!$A:$A),MATCH(AD$1,[4]characters!$1:$1,0)-MATCH("character_id",[4]characters!$1:$1,0)+1),MATCH(AD$1,[4]characters!$1:$1,0)-MATCH("character_id",[4]characters!$1:$1,0)+1,FALSE)</f>
        <v>5</v>
      </c>
      <c r="AE104" s="5" t="str">
        <f ca="1">VLOOKUP($AB104,OFFSET([4]characters!$A$1,0,0,COUNTA([4]characters!$A:$A),MATCH(AE$1,[4]characters!$1:$1,0)-MATCH("character_id",[4]characters!$1:$1,0)+1),MATCH(AE$1,[4]characters!$1:$1,0)-MATCH("character_id",[4]characters!$1:$1,0)+1,FALSE)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4" s="27">
        <f t="shared" si="203"/>
        <v>1</v>
      </c>
      <c r="AG104" s="27">
        <f t="shared" ca="1" si="333"/>
        <v>5</v>
      </c>
      <c r="AH104" s="27">
        <f t="shared" ref="AH104:AM104" si="346">AH91</f>
        <v>0</v>
      </c>
      <c r="AI104" s="27">
        <f t="shared" si="346"/>
        <v>0</v>
      </c>
      <c r="AJ104" s="27">
        <f t="shared" si="346"/>
        <v>0</v>
      </c>
      <c r="AK104" s="27">
        <f t="shared" si="346"/>
        <v>0</v>
      </c>
      <c r="AL104" s="27">
        <f t="shared" si="346"/>
        <v>0</v>
      </c>
      <c r="AM104" s="27">
        <f t="shared" si="346"/>
        <v>1</v>
      </c>
    </row>
    <row r="105" spans="1:39" ht="21" customHeight="1" x14ac:dyDescent="0.15">
      <c r="A105" s="17" t="str">
        <f t="shared" si="327"/>
        <v>14004_1-5/347&lt;lv10&gt;s2</v>
      </c>
      <c r="B105" s="104">
        <v>14004</v>
      </c>
      <c r="C105" s="112">
        <f t="shared" si="307"/>
        <v>1</v>
      </c>
      <c r="D105" s="112" t="str">
        <f t="shared" si="328"/>
        <v>14004_1</v>
      </c>
      <c r="E105" s="113" t="str">
        <f ca="1">VLOOKUP($B105,OFFSET([2]quests!$A$1,0,0,COUNTA([2]quests!$A:$A),MATCH(E$1,[2]quests!$1:$1,0)-MATCH($B$1,[2]quests!$1:$1,0)+1),MATCH(E$1,[2]quests!$1:$1,0)-MATCH($B$1,[2]quests!$1:$1,0)+1,FALSE)</f>
        <v>【ロック】経験値/LINEマルチ</v>
      </c>
      <c r="F105" s="113" t="str">
        <f ca="1">VLOOKUP($D105,OFFSET([2]stages!$A$1,0,0,COUNTA([2]stages!$A:$A),MATCH(F$1,[2]stages!$2:$2,0)-MATCH($D$1,[2]stages!$2:$2,0)+1),MATCH(F$1,[2]stages!$2:$2,0)-MATCH($D$1,[2]stages!$2:$2,0)+1,FALSE)</f>
        <v>【超級】雷ファミリー（ハートなし）</v>
      </c>
      <c r="G105" s="112">
        <v>5</v>
      </c>
      <c r="H105" s="16" t="str">
        <f t="shared" si="329"/>
        <v>14004_1-5</v>
      </c>
      <c r="I105" s="5">
        <f ca="1">VLOOKUP($H105,OFFSET(floors!$A$1,0,0,COUNTA(floors!$A:$A),MATCH(I$1,floors!$1:$1,0)-MATCH($H$1,floors!$1:$1,0)+1),MATCH(I$1,floors!$1:$1,0)-MATCH($H$1,floors!$1:$1,0)+1,FALSE)</f>
        <v>55</v>
      </c>
      <c r="J105" s="5">
        <f ca="1">VLOOKUP($H105,OFFSET(floors!$A$1,0,0,COUNTA(floors!$A:$A),MATCH(J$1,floors!$1:$1,0)-MATCH($H$1,floors!$1:$1,0)+1),MATCH(J$1,floors!$1:$1,0)-MATCH($H$1,floors!$1:$1,0)+1,FALSE)</f>
        <v>55</v>
      </c>
      <c r="K105" s="8" t="s">
        <v>142</v>
      </c>
      <c r="L105" s="2">
        <f t="shared" si="200"/>
        <v>347</v>
      </c>
      <c r="M105" s="20" t="str">
        <f ca="1">VLOOKUP($L105,OFFSET([3]enemies!$A$1,0,0,COUNTA([3]enemies!$A:$A),MATCH(M$1,[3]enemies!$1:$1,0)-MATCH($L$1,[3]enemies!$1:$1,0)+1),MATCH(M$1,[3]enemies!$1:$1,0)-MATCH($L$1,[3]enemies!$1:$1,0)+1,FALSE)</f>
        <v>雷のメタルジェントル</v>
      </c>
      <c r="N105" s="20" t="str">
        <f ca="1">VLOOKUP($L105,OFFSET([3]enemies!$A$1,0,0,COUNTA([3]enemies!$A:$A),MATCH(N$1,[3]enemies!$1:$1,0)-MATCH($L$1,[3]enemies!$1:$1,0)+1),MATCH(N$1,[3]enemies!$1:$1,0)-MATCH($L$1,[3]enemies!$1:$1,0)+1,FALSE)</f>
        <v>yellow</v>
      </c>
      <c r="O105" s="20" t="str">
        <f ca="1">VLOOKUP($L105,OFFSET([4]characters!$A$1,0,0,COUNTA([4]characters!$A:$A),MATCH(O$1,[4]characters!$1:$1,0)-MATCH($L$1,[4]characters!$1:$1,0)+1),MATCH(O$1,[4]characters!$1:$1,0)-MATCH($L$1,[4]characters!$1:$1,0)+1,FALSE)</f>
        <v>Material</v>
      </c>
      <c r="P105" s="20" t="str">
        <f ca="1">VLOOKUP($L105,OFFSET([3]enemies!$A$1,0,0,COUNTA([3]enemies!$A:$A),MATCH(P$1,[3]enemies!$1:$1,0)-MATCH($L$1,[3]enemies!$1:$1,0)+1),MATCH(P$1,[3]enemies!$1:$1,0)-MATCH($L$1,[3]enemies!$1:$1,0)+1,FALSE)</f>
        <v>unknown</v>
      </c>
      <c r="Q105" s="20">
        <f ca="1">VLOOKUP($L105,OFFSET([3]enemies!$A$1,0,0,COUNTA([3]enemies!$A:$A),MATCH(Q$1,[3]enemies!$1:$1,0)-MATCH($L$1,[3]enemies!$1:$1,0)+1),MATCH(Q$1,[3]enemies!$1:$1,0)-MATCH($L$1,[3]enemies!$1:$1,0)+1,FALSE)</f>
        <v>20</v>
      </c>
      <c r="R105" s="107">
        <f t="shared" ref="R105:U105" si="347">R92</f>
        <v>10</v>
      </c>
      <c r="S105" s="107">
        <f t="shared" si="347"/>
        <v>0.2</v>
      </c>
      <c r="T105" s="108">
        <f t="shared" si="347"/>
        <v>50</v>
      </c>
      <c r="U105" s="107">
        <f t="shared" si="347"/>
        <v>-30889</v>
      </c>
      <c r="V105" s="5" t="str">
        <f ca="1">VLOOKUP($W105,OFFSET(enemy_skill_sets!$B$1,0,0,COUNTA(enemy_skill_sets!$B:$B),MATCH(M$1,enemy_skill_sets!$1:$1,0)-MATCH($W$1,enemy_skill_sets!$1:$1,0)+2),MATCH(M$1,enemy_skill_sets!$1:$1,0)-MATCH($W$1,enemy_skill_sets!$1:$1,0)+2,FALSE)</f>
        <v>メタルファミリーが あらわれた！</v>
      </c>
      <c r="W105" s="109">
        <f t="shared" ref="W105:AA105" si="348">W92</f>
        <v>14001050</v>
      </c>
      <c r="X105" s="109">
        <f t="shared" si="348"/>
        <v>1</v>
      </c>
      <c r="Y105" s="109">
        <f t="shared" si="348"/>
        <v>0</v>
      </c>
      <c r="Z105" s="109">
        <f t="shared" si="348"/>
        <v>0</v>
      </c>
      <c r="AA105" s="109">
        <f t="shared" si="348"/>
        <v>2</v>
      </c>
      <c r="AB105" s="2">
        <f t="shared" si="332"/>
        <v>347</v>
      </c>
      <c r="AC105" s="5" t="str">
        <f ca="1">VLOOKUP($AB105,OFFSET([4]characters!$A$1,0,0,COUNTA([4]characters!$A:$A),MATCH(AC$1,[4]characters!$1:$1,0)-MATCH("character_id",[4]characters!$1:$1,0)+1),MATCH(AC$1,[4]characters!$1:$1,0)-MATCH("character_id",[4]characters!$1:$1,0)+1,FALSE)</f>
        <v>雷のメタルジェントル</v>
      </c>
      <c r="AD105" s="5">
        <f ca="1">VLOOKUP($AB105,OFFSET([4]characters!$A$1,0,0,COUNTA([4]characters!$A:$A),MATCH(AD$1,[4]characters!$1:$1,0)-MATCH("character_id",[4]characters!$1:$1,0)+1),MATCH(AD$1,[4]characters!$1:$1,0)-MATCH("character_id",[4]characters!$1:$1,0)+1,FALSE)</f>
        <v>6</v>
      </c>
      <c r="AE105" s="5" t="str">
        <f ca="1">VLOOKUP($AB105,OFFSET([4]characters!$A$1,0,0,COUNTA([4]characters!$A:$A),MATCH(AE$1,[4]characters!$1:$1,0)-MATCH("character_id",[4]characters!$1:$1,0)+1),MATCH(AE$1,[4]characters!$1:$1,0)-MATCH("character_id",[4]characters!$1:$1,0)+1,FALSE)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5" s="27">
        <f t="shared" si="203"/>
        <v>1</v>
      </c>
      <c r="AG105" s="27">
        <f t="shared" ca="1" si="333"/>
        <v>6</v>
      </c>
      <c r="AH105" s="27">
        <f t="shared" ref="AH105:AM105" si="349">AH92</f>
        <v>100</v>
      </c>
      <c r="AI105" s="27">
        <f t="shared" si="349"/>
        <v>0</v>
      </c>
      <c r="AJ105" s="27">
        <f t="shared" si="349"/>
        <v>0</v>
      </c>
      <c r="AK105" s="27">
        <f t="shared" si="349"/>
        <v>0</v>
      </c>
      <c r="AL105" s="27">
        <f t="shared" si="349"/>
        <v>0</v>
      </c>
      <c r="AM105" s="27">
        <f t="shared" si="349"/>
        <v>1</v>
      </c>
    </row>
  </sheetData>
  <sheetProtection selectLockedCells="1" selectUnlockedCells="1"/>
  <autoFilter ref="B1:AH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zoomScale="75" zoomScaleNormal="75" zoomScalePageLayoutView="75" workbookViewId="0">
      <pane xSplit="18" ySplit="1" topLeftCell="U2" activePane="bottomRight" state="frozen"/>
      <selection activeCell="E25" sqref="E25"/>
      <selection pane="topRight" activeCell="E25" sqref="E25"/>
      <selection pane="bottomLeft" activeCell="E25" sqref="E25"/>
      <selection pane="bottomRight" activeCell="X5" sqref="X5"/>
    </sheetView>
  </sheetViews>
  <sheetFormatPr baseColWidth="12" defaultColWidth="13" defaultRowHeight="21" customHeight="1" outlineLevelCol="1" x14ac:dyDescent="0.15"/>
  <cols>
    <col min="1" max="1" width="17" style="23" bestFit="1" customWidth="1"/>
    <col min="2" max="2" width="10.83203125" style="4" bestFit="1" customWidth="1"/>
    <col min="3" max="3" width="10.6640625" style="4" bestFit="1" customWidth="1"/>
    <col min="4" max="4" width="13" style="15" bestFit="1" customWidth="1" outlineLevel="1"/>
    <col min="5" max="5" width="11.6640625" style="4" bestFit="1" customWidth="1" outlineLevel="1"/>
    <col min="6" max="6" width="16.1640625" style="4" bestFit="1" customWidth="1" outlineLevel="1"/>
    <col min="7" max="7" width="10" style="4" bestFit="1" customWidth="1"/>
    <col min="8" max="9" width="12.33203125" style="4" bestFit="1" customWidth="1" outlineLevel="1"/>
    <col min="10" max="10" width="12.33203125" style="4" customWidth="1" outlineLevel="1"/>
    <col min="11" max="11" width="12.33203125" style="4" customWidth="1"/>
    <col min="12" max="12" width="11" style="4" bestFit="1" customWidth="1"/>
    <col min="13" max="13" width="13.5" style="10" bestFit="1" customWidth="1"/>
    <col min="14" max="14" width="12.1640625" style="4" customWidth="1" outlineLevel="1"/>
    <col min="15" max="15" width="8.6640625" style="4" customWidth="1" outlineLevel="1"/>
    <col min="16" max="16" width="12" style="4" customWidth="1" outlineLevel="1"/>
    <col min="17" max="17" width="21" style="4" customWidth="1" outlineLevel="1"/>
    <col min="18" max="18" width="8" style="4" customWidth="1" outlineLevel="1"/>
    <col min="19" max="19" width="8.33203125" style="4" bestFit="1" customWidth="1"/>
    <col min="20" max="20" width="14.83203125" style="4" bestFit="1" customWidth="1"/>
    <col min="21" max="21" width="17.5" style="4" bestFit="1" customWidth="1"/>
    <col min="22" max="22" width="18.33203125" style="4" bestFit="1" customWidth="1"/>
    <col min="23" max="23" width="10" style="4" bestFit="1" customWidth="1"/>
    <col min="24" max="24" width="12.1640625" style="4" bestFit="1" customWidth="1" outlineLevel="1"/>
    <col min="25" max="25" width="9.33203125" style="4" bestFit="1" customWidth="1"/>
    <col min="26" max="16384" width="13" style="4"/>
  </cols>
  <sheetData>
    <row r="1" spans="1:25" s="42" customFormat="1" ht="21" customHeight="1" x14ac:dyDescent="0.15">
      <c r="A1" s="37" t="s">
        <v>102</v>
      </c>
      <c r="B1" s="28" t="s">
        <v>0</v>
      </c>
      <c r="C1" s="28" t="s">
        <v>1</v>
      </c>
      <c r="D1" s="38" t="s">
        <v>103</v>
      </c>
      <c r="E1" s="38" t="s">
        <v>104</v>
      </c>
      <c r="F1" s="38" t="s">
        <v>105</v>
      </c>
      <c r="G1" s="28" t="s">
        <v>106</v>
      </c>
      <c r="H1" s="38" t="s">
        <v>107</v>
      </c>
      <c r="I1" s="38" t="s">
        <v>14</v>
      </c>
      <c r="J1" s="38" t="s">
        <v>15</v>
      </c>
      <c r="K1" s="39" t="s">
        <v>108</v>
      </c>
      <c r="L1" s="39" t="s">
        <v>109</v>
      </c>
      <c r="M1" s="39" t="s">
        <v>2</v>
      </c>
      <c r="N1" s="40" t="s">
        <v>105</v>
      </c>
      <c r="O1" s="38" t="s">
        <v>110</v>
      </c>
      <c r="P1" s="38" t="s">
        <v>111</v>
      </c>
      <c r="Q1" s="41" t="s">
        <v>112</v>
      </c>
      <c r="R1" s="38" t="s">
        <v>24</v>
      </c>
      <c r="S1" s="28" t="s">
        <v>3</v>
      </c>
      <c r="T1" s="28" t="s">
        <v>47</v>
      </c>
      <c r="U1" s="28" t="s">
        <v>48</v>
      </c>
      <c r="V1" s="28" t="s">
        <v>49</v>
      </c>
      <c r="W1" s="28" t="s">
        <v>72</v>
      </c>
      <c r="X1" s="38" t="s">
        <v>30</v>
      </c>
      <c r="Y1" s="28" t="s">
        <v>8</v>
      </c>
    </row>
    <row r="2" spans="1:25" ht="21" customHeight="1" x14ac:dyDescent="0.15">
      <c r="A2" s="17" t="str">
        <f t="shared" ref="A2:A5" si="0">B2&amp;"_"&amp;C2&amp;"-"&amp;G2&amp;"/"&amp;M2&amp;"&lt;lv"&amp;S2&amp;"&gt;sq"&amp;K2&amp;"st"&amp;L2</f>
        <v>14001_4-4/334&lt;lv10&gt;sq1st2</v>
      </c>
      <c r="B2" s="65">
        <v>14001</v>
      </c>
      <c r="C2" s="66">
        <v>4</v>
      </c>
      <c r="D2" s="2" t="str">
        <f t="shared" ref="D2" si="1">B2&amp;"_"&amp;C2</f>
        <v>14001_4</v>
      </c>
      <c r="E2" s="5" t="str">
        <f ca="1">VLOOKUP($B2,OFFSET([2]quests!$A$1,0,0,COUNTA([2]quests!$A:$A),MATCH(E$1,[2]quests!$1:$1,0)-MATCH($B$1,[2]quests!$1:$1,0)+1),MATCH(E$1,[2]quests!$1:$1,0)-MATCH($B$1,[2]quests!$1:$1,0)+1,FALSE)</f>
        <v>【ロック】経験値/ソロ</v>
      </c>
      <c r="F2" s="5" t="str">
        <f ca="1">VLOOKUP($D2,OFFSET([2]stages!$A$1,0,0,COUNTA([2]stages!$A:$A),MATCH(F$1,[2]stages!$2:$2,0)-MATCH($D$1,[2]stages!$2:$2,0)+1),MATCH(F$1,[2]stages!$2:$2,0)-MATCH($D$1,[2]stages!$2:$2,0)+1,FALSE)</f>
        <v>【超級】炎ファミリー（ハートなし）</v>
      </c>
      <c r="G2" s="43">
        <v>4</v>
      </c>
      <c r="H2" s="16" t="str">
        <f t="shared" ref="H2:H5" si="2">B2&amp;"_"&amp;C2&amp;"-"&amp;G2</f>
        <v>14001_4-4</v>
      </c>
      <c r="I2" s="5">
        <f ca="1">VLOOKUP($H2,OFFSET(floors!$A$1,0,0,COUNTA(floors!$A:$A),MATCH(I$1,floors!$1:$1,0)-MATCH($H$1,floors!$1:$1,0)+1),MATCH(I$1,floors!$1:$1,0)-MATCH($H$1,floors!$1:$1,0)+1,FALSE)</f>
        <v>59</v>
      </c>
      <c r="J2" s="5">
        <f ca="1">VLOOKUP($H2,OFFSET(floors!$A$1,0,0,COUNTA(floors!$A:$A),MATCH(J$1,floors!$1:$1,0)-MATCH($H$1,floors!$1:$1,0)+1),MATCH(J$1,floors!$1:$1,0)-MATCH($H$1,floors!$1:$1,0)+1,FALSE)</f>
        <v>60</v>
      </c>
      <c r="K2" s="44">
        <v>1</v>
      </c>
      <c r="L2" s="44">
        <v>2</v>
      </c>
      <c r="M2" s="45">
        <v>334</v>
      </c>
      <c r="N2" s="20" t="str">
        <f ca="1">VLOOKUP($M2,OFFSET([3]enemies!$A$1,0,0,COUNTA([3]enemies!$A:$A),MATCH(N$1,[3]enemies!$1:$1,0)-MATCH($M$1,[3]enemies!$1:$1,0)+1),MATCH(N$1,[3]enemies!$1:$1,0)-MATCH($M$1,[3]enemies!$1:$1,0)+1,FALSE)</f>
        <v>炎のメタルダック</v>
      </c>
      <c r="O2" s="20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20" t="str">
        <f ca="1">VLOOKUP($M2,OFFSET([4]characters!$A$1,0,0,COUNTA([4]characters!$A:$A),MATCH(P$1,[4]characters!$1:$1,0)-MATCH($M$1,[4]characters!$1:$1,0)+1),MATCH(P$1,[4]characters!$1:$1,0)-MATCH($M$1,[4]characters!$1:$1,0)+1,FALSE)</f>
        <v>Material</v>
      </c>
      <c r="Q2" s="20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20">
        <f ca="1">VLOOKUP($M2,OFFSET([3]enemies!$A$1,0,0,COUNTA([3]enemies!$A:$A),MATCH(R$1,[3]enemies!$1:$1,0)-MATCH($M$1,[3]enemies!$1:$1,0)+1),MATCH(R$1,[3]enemies!$1:$1,0)-MATCH($M$1,[3]enemies!$1:$1,0)+1,FALSE)</f>
        <v>20</v>
      </c>
      <c r="S2" s="6">
        <v>10</v>
      </c>
      <c r="T2" s="29">
        <v>0.5</v>
      </c>
      <c r="U2" s="29">
        <v>99</v>
      </c>
      <c r="V2" s="6">
        <v>-16889</v>
      </c>
      <c r="W2" s="57">
        <v>14001111</v>
      </c>
      <c r="X2" s="5" t="e">
        <f ca="1">VLOOKUP($W2,OFFSET(enemy_skill_sets!$B$1,0,0,COUNTA(enemy_skill_sets!$B:$B),MATCH("name",enemy_skill_sets!$1:$1,0)-MATCH($W$1,enemy_skill_sets!$1:$1,0)+2),MATCH("name",enemy_skill_sets!$1:$1,0)-MATCH($W$1,enemy_skill_sets!$1:$1,0)+2,FALSE)</f>
        <v>#N/A</v>
      </c>
      <c r="Y2" s="57">
        <v>2</v>
      </c>
    </row>
    <row r="3" spans="1:25" ht="21" customHeight="1" x14ac:dyDescent="0.15">
      <c r="A3" s="17" t="str">
        <f t="shared" si="0"/>
        <v>14001_4-4/335&lt;lv10&gt;sq2st2</v>
      </c>
      <c r="B3" s="65">
        <v>14001</v>
      </c>
      <c r="C3" s="66">
        <v>4</v>
      </c>
      <c r="D3" s="2" t="str">
        <f t="shared" ref="D3" si="3">B3&amp;"_"&amp;C3</f>
        <v>14001_4</v>
      </c>
      <c r="E3" s="5" t="str">
        <f ca="1">VLOOKUP($B3,OFFSET([2]quests!$A$1,0,0,COUNTA([2]quests!$A:$A),MATCH(E$1,[2]quests!$1:$1,0)-MATCH($B$1,[2]quests!$1:$1,0)+1),MATCH(E$1,[2]quests!$1:$1,0)-MATCH($B$1,[2]quests!$1:$1,0)+1,FALSE)</f>
        <v>【ロック】経験値/ソロ</v>
      </c>
      <c r="F3" s="5" t="str">
        <f ca="1">VLOOKUP($D3,OFFSET([2]stages!$A$1,0,0,COUNTA([2]stages!$A:$A),MATCH(F$1,[2]stages!$2:$2,0)-MATCH($D$1,[2]stages!$2:$2,0)+1),MATCH(F$1,[2]stages!$2:$2,0)-MATCH($D$1,[2]stages!$2:$2,0)+1,FALSE)</f>
        <v>【超級】炎ファミリー（ハートなし）</v>
      </c>
      <c r="G3" s="43">
        <v>4</v>
      </c>
      <c r="H3" s="16" t="str">
        <f t="shared" si="2"/>
        <v>14001_4-4</v>
      </c>
      <c r="I3" s="5">
        <f ca="1">VLOOKUP($H3,OFFSET(floors!$A$1,0,0,COUNTA(floors!$A:$A),MATCH(I$1,floors!$1:$1,0)-MATCH($H$1,floors!$1:$1,0)+1),MATCH(I$1,floors!$1:$1,0)-MATCH($H$1,floors!$1:$1,0)+1,FALSE)</f>
        <v>59</v>
      </c>
      <c r="J3" s="5">
        <f ca="1">VLOOKUP($H3,OFFSET(floors!$A$1,0,0,COUNTA(floors!$A:$A),MATCH(J$1,floors!$1:$1,0)-MATCH($H$1,floors!$1:$1,0)+1),MATCH(J$1,floors!$1:$1,0)-MATCH($H$1,floors!$1:$1,0)+1,FALSE)</f>
        <v>60</v>
      </c>
      <c r="K3" s="44">
        <v>2</v>
      </c>
      <c r="L3" s="44">
        <v>2</v>
      </c>
      <c r="M3" s="45">
        <v>335</v>
      </c>
      <c r="N3" s="20" t="str">
        <f ca="1">VLOOKUP($M3,OFFSET([3]enemies!$A$1,0,0,COUNTA([3]enemies!$A:$A),MATCH(N$1,[3]enemies!$1:$1,0)-MATCH($M$1,[3]enemies!$1:$1,0)+1),MATCH(N$1,[3]enemies!$1:$1,0)-MATCH($M$1,[3]enemies!$1:$1,0)+1,FALSE)</f>
        <v>炎のメタルジェントル</v>
      </c>
      <c r="O3" s="20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20" t="str">
        <f ca="1">VLOOKUP($M3,OFFSET([4]characters!$A$1,0,0,COUNTA([4]characters!$A:$A),MATCH(P$1,[4]characters!$1:$1,0)-MATCH($M$1,[4]characters!$1:$1,0)+1),MATCH(P$1,[4]characters!$1:$1,0)-MATCH($M$1,[4]characters!$1:$1,0)+1,FALSE)</f>
        <v>Material</v>
      </c>
      <c r="Q3" s="20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20">
        <f ca="1">VLOOKUP($M3,OFFSET([3]enemies!$A$1,0,0,COUNTA([3]enemies!$A:$A),MATCH(R$1,[3]enemies!$1:$1,0)-MATCH($M$1,[3]enemies!$1:$1,0)+1),MATCH(R$1,[3]enemies!$1:$1,0)-MATCH($M$1,[3]enemies!$1:$1,0)+1,FALSE)</f>
        <v>20</v>
      </c>
      <c r="S3" s="6">
        <v>10</v>
      </c>
      <c r="T3" s="29">
        <v>0.2</v>
      </c>
      <c r="U3" s="29">
        <v>99</v>
      </c>
      <c r="V3" s="6">
        <v>-19778</v>
      </c>
      <c r="W3" s="57">
        <v>14001112</v>
      </c>
      <c r="X3" s="5" t="e">
        <f ca="1">VLOOKUP($W3,OFFSET(enemy_skill_sets!$B$1,0,0,COUNTA(enemy_skill_sets!$B:$B),MATCH("name",enemy_skill_sets!$1:$1,0)-MATCH($W$1,enemy_skill_sets!$1:$1,0)+2),MATCH("name",enemy_skill_sets!$1:$1,0)-MATCH($W$1,enemy_skill_sets!$1:$1,0)+2,FALSE)</f>
        <v>#N/A</v>
      </c>
      <c r="Y3" s="57">
        <v>3</v>
      </c>
    </row>
    <row r="4" spans="1:25" ht="21" customHeight="1" x14ac:dyDescent="0.15">
      <c r="A4" s="17" t="str">
        <f t="shared" si="0"/>
        <v>14001_4-5/334&lt;lv10&gt;sq1st2</v>
      </c>
      <c r="B4" s="65">
        <v>14001</v>
      </c>
      <c r="C4" s="66">
        <v>4</v>
      </c>
      <c r="D4" s="2" t="str">
        <f t="shared" ref="D4" si="4">B4&amp;"_"&amp;C4</f>
        <v>14001_4</v>
      </c>
      <c r="E4" s="5" t="str">
        <f ca="1">VLOOKUP($B4,OFFSET([2]quests!$A$1,0,0,COUNTA([2]quests!$A:$A),MATCH(E$1,[2]quests!$1:$1,0)-MATCH($B$1,[2]quests!$1:$1,0)+1),MATCH(E$1,[2]quests!$1:$1,0)-MATCH($B$1,[2]quests!$1:$1,0)+1,FALSE)</f>
        <v>【ロック】経験値/ソロ</v>
      </c>
      <c r="F4" s="5" t="str">
        <f ca="1">VLOOKUP($D4,OFFSET([2]stages!$A$1,0,0,COUNTA([2]stages!$A:$A),MATCH(F$1,[2]stages!$2:$2,0)-MATCH($D$1,[2]stages!$2:$2,0)+1),MATCH(F$1,[2]stages!$2:$2,0)-MATCH($D$1,[2]stages!$2:$2,0)+1,FALSE)</f>
        <v>【超級】炎ファミリー（ハートなし）</v>
      </c>
      <c r="G4" s="43">
        <v>5</v>
      </c>
      <c r="H4" s="16" t="str">
        <f t="shared" si="2"/>
        <v>14001_4-5</v>
      </c>
      <c r="I4" s="5">
        <f ca="1">VLOOKUP($H4,OFFSET(floors!$A$1,0,0,COUNTA(floors!$A:$A),MATCH(I$1,floors!$1:$1,0)-MATCH($H$1,floors!$1:$1,0)+1),MATCH(I$1,floors!$1:$1,0)-MATCH($H$1,floors!$1:$1,0)+1,FALSE)</f>
        <v>55</v>
      </c>
      <c r="J4" s="5">
        <f ca="1">VLOOKUP($H4,OFFSET(floors!$A$1,0,0,COUNTA(floors!$A:$A),MATCH(J$1,floors!$1:$1,0)-MATCH($H$1,floors!$1:$1,0)+1),MATCH(J$1,floors!$1:$1,0)-MATCH($H$1,floors!$1:$1,0)+1,FALSE)</f>
        <v>55</v>
      </c>
      <c r="K4" s="44">
        <v>1</v>
      </c>
      <c r="L4" s="44">
        <v>2</v>
      </c>
      <c r="M4" s="45">
        <v>334</v>
      </c>
      <c r="N4" s="20" t="str">
        <f ca="1">VLOOKUP($M4,OFFSET([3]enemies!$A$1,0,0,COUNTA([3]enemies!$A:$A),MATCH(N$1,[3]enemies!$1:$1,0)-MATCH($M$1,[3]enemies!$1:$1,0)+1),MATCH(N$1,[3]enemies!$1:$1,0)-MATCH($M$1,[3]enemies!$1:$1,0)+1,FALSE)</f>
        <v>炎のメタルダック</v>
      </c>
      <c r="O4" s="20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20" t="str">
        <f ca="1">VLOOKUP($M4,OFFSET([4]characters!$A$1,0,0,COUNTA([4]characters!$A:$A),MATCH(P$1,[4]characters!$1:$1,0)-MATCH($M$1,[4]characters!$1:$1,0)+1),MATCH(P$1,[4]characters!$1:$1,0)-MATCH($M$1,[4]characters!$1:$1,0)+1,FALSE)</f>
        <v>Material</v>
      </c>
      <c r="Q4" s="20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20">
        <f ca="1">VLOOKUP($M4,OFFSET([3]enemies!$A$1,0,0,COUNTA([3]enemies!$A:$A),MATCH(R$1,[3]enemies!$1:$1,0)-MATCH($M$1,[3]enemies!$1:$1,0)+1),MATCH(R$1,[3]enemies!$1:$1,0)-MATCH($M$1,[3]enemies!$1:$1,0)+1,FALSE)</f>
        <v>20</v>
      </c>
      <c r="S4" s="6">
        <v>10</v>
      </c>
      <c r="T4" s="29">
        <v>0.5</v>
      </c>
      <c r="U4" s="29">
        <v>99</v>
      </c>
      <c r="V4" s="6">
        <v>-16889</v>
      </c>
      <c r="W4" s="57">
        <v>14001121</v>
      </c>
      <c r="X4" s="5" t="e">
        <f ca="1">VLOOKUP($W4,OFFSET(enemy_skill_sets!$B$1,0,0,COUNTA(enemy_skill_sets!$B:$B),MATCH("name",enemy_skill_sets!$1:$1,0)-MATCH($W$1,enemy_skill_sets!$1:$1,0)+2),MATCH("name",enemy_skill_sets!$1:$1,0)-MATCH($W$1,enemy_skill_sets!$1:$1,0)+2,FALSE)</f>
        <v>#N/A</v>
      </c>
      <c r="Y4" s="57">
        <v>2</v>
      </c>
    </row>
    <row r="5" spans="1:25" ht="21" customHeight="1" x14ac:dyDescent="0.15">
      <c r="A5" s="17" t="str">
        <f t="shared" si="0"/>
        <v>14001_4-5/335&lt;lv10&gt;sq1st3</v>
      </c>
      <c r="B5" s="65">
        <v>14001</v>
      </c>
      <c r="C5" s="66">
        <v>4</v>
      </c>
      <c r="D5" s="2" t="str">
        <f t="shared" ref="D5" si="5">B5&amp;"_"&amp;C5</f>
        <v>14001_4</v>
      </c>
      <c r="E5" s="5" t="str">
        <f ca="1">VLOOKUP($B5,OFFSET([2]quests!$A$1,0,0,COUNTA([2]quests!$A:$A),MATCH(E$1,[2]quests!$1:$1,0)-MATCH($B$1,[2]quests!$1:$1,0)+1),MATCH(E$1,[2]quests!$1:$1,0)-MATCH($B$1,[2]quests!$1:$1,0)+1,FALSE)</f>
        <v>【ロック】経験値/ソロ</v>
      </c>
      <c r="F5" s="5" t="str">
        <f ca="1">VLOOKUP($D5,OFFSET([2]stages!$A$1,0,0,COUNTA([2]stages!$A:$A),MATCH(F$1,[2]stages!$2:$2,0)-MATCH($D$1,[2]stages!$2:$2,0)+1),MATCH(F$1,[2]stages!$2:$2,0)-MATCH($D$1,[2]stages!$2:$2,0)+1,FALSE)</f>
        <v>【超級】炎ファミリー（ハートなし）</v>
      </c>
      <c r="G5" s="43">
        <v>5</v>
      </c>
      <c r="H5" s="16" t="str">
        <f t="shared" si="2"/>
        <v>14001_4-5</v>
      </c>
      <c r="I5" s="5">
        <f ca="1">VLOOKUP($H5,OFFSET(floors!$A$1,0,0,COUNTA(floors!$A:$A),MATCH(I$1,floors!$1:$1,0)-MATCH($H$1,floors!$1:$1,0)+1),MATCH(I$1,floors!$1:$1,0)-MATCH($H$1,floors!$1:$1,0)+1,FALSE)</f>
        <v>55</v>
      </c>
      <c r="J5" s="5">
        <f ca="1">VLOOKUP($H5,OFFSET(floors!$A$1,0,0,COUNTA(floors!$A:$A),MATCH(J$1,floors!$1:$1,0)-MATCH($H$1,floors!$1:$1,0)+1),MATCH(J$1,floors!$1:$1,0)-MATCH($H$1,floors!$1:$1,0)+1,FALSE)</f>
        <v>55</v>
      </c>
      <c r="K5" s="44">
        <v>1</v>
      </c>
      <c r="L5" s="44">
        <v>3</v>
      </c>
      <c r="M5" s="45">
        <v>335</v>
      </c>
      <c r="N5" s="20" t="str">
        <f ca="1">VLOOKUP($M5,OFFSET([3]enemies!$A$1,0,0,COUNTA([3]enemies!$A:$A),MATCH(N$1,[3]enemies!$1:$1,0)-MATCH($M$1,[3]enemies!$1:$1,0)+1),MATCH(N$1,[3]enemies!$1:$1,0)-MATCH($M$1,[3]enemies!$1:$1,0)+1,FALSE)</f>
        <v>炎のメタルジェントル</v>
      </c>
      <c r="O5" s="20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20" t="str">
        <f ca="1">VLOOKUP($M5,OFFSET([4]characters!$A$1,0,0,COUNTA([4]characters!$A:$A),MATCH(P$1,[4]characters!$1:$1,0)-MATCH($M$1,[4]characters!$1:$1,0)+1),MATCH(P$1,[4]characters!$1:$1,0)-MATCH($M$1,[4]characters!$1:$1,0)+1,FALSE)</f>
        <v>Material</v>
      </c>
      <c r="Q5" s="20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20">
        <f ca="1">VLOOKUP($M5,OFFSET([3]enemies!$A$1,0,0,COUNTA([3]enemies!$A:$A),MATCH(R$1,[3]enemies!$1:$1,0)-MATCH($M$1,[3]enemies!$1:$1,0)+1),MATCH(R$1,[3]enemies!$1:$1,0)-MATCH($M$1,[3]enemies!$1:$1,0)+1,FALSE)</f>
        <v>20</v>
      </c>
      <c r="S5" s="6">
        <v>10</v>
      </c>
      <c r="T5" s="29">
        <v>1</v>
      </c>
      <c r="U5" s="29">
        <v>1</v>
      </c>
      <c r="V5" s="6">
        <v>0</v>
      </c>
      <c r="W5" s="57">
        <v>14001122</v>
      </c>
      <c r="X5" s="5" t="e">
        <f ca="1">VLOOKUP($W5,OFFSET(enemy_skill_sets!$B$1,0,0,COUNTA(enemy_skill_sets!$B:$B),MATCH("name",enemy_skill_sets!$1:$1,0)-MATCH($W$1,enemy_skill_sets!$1:$1,0)+2),MATCH("name",enemy_skill_sets!$1:$1,0)-MATCH($W$1,enemy_skill_sets!$1:$1,0)+2,FALSE)</f>
        <v>#N/A</v>
      </c>
      <c r="Y5" s="5">
        <f ca="1">VLOOKUP(M5,[3]enemies!$A:$V,22,FALSE)</f>
        <v>4</v>
      </c>
    </row>
  </sheetData>
  <sheetProtection selectLockedCells="1" selectUnlockedCells="1"/>
  <autoFilter ref="B1:Y2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1:P5"/>
  <sheetViews>
    <sheetView workbookViewId="0">
      <selection activeCell="O2" sqref="O2"/>
    </sheetView>
  </sheetViews>
  <sheetFormatPr baseColWidth="12" defaultRowHeight="15" x14ac:dyDescent="0.15"/>
  <cols>
    <col min="3" max="3" width="4" bestFit="1" customWidth="1"/>
    <col min="4" max="7" width="7.83203125" customWidth="1"/>
    <col min="8" max="8" width="4" customWidth="1"/>
    <col min="9" max="9" width="13" bestFit="1" customWidth="1"/>
    <col min="10" max="10" width="16.1640625" bestFit="1" customWidth="1"/>
    <col min="11" max="11" width="17.33203125" bestFit="1" customWidth="1"/>
    <col min="12" max="12" width="4" customWidth="1"/>
    <col min="13" max="16" width="8.5" customWidth="1"/>
  </cols>
  <sheetData>
    <row r="1" spans="2:16" x14ac:dyDescent="0.15">
      <c r="C1" t="s">
        <v>151</v>
      </c>
      <c r="D1" t="s">
        <v>152</v>
      </c>
      <c r="E1" t="s">
        <v>153</v>
      </c>
      <c r="F1" t="s">
        <v>154</v>
      </c>
      <c r="G1" t="s">
        <v>155</v>
      </c>
      <c r="I1" t="s">
        <v>50</v>
      </c>
      <c r="J1" t="s">
        <v>51</v>
      </c>
      <c r="K1" t="s">
        <v>52</v>
      </c>
      <c r="M1" t="s">
        <v>152</v>
      </c>
      <c r="N1" t="s">
        <v>153</v>
      </c>
      <c r="O1" t="s">
        <v>154</v>
      </c>
      <c r="P1" t="s">
        <v>155</v>
      </c>
    </row>
    <row r="2" spans="2:16" x14ac:dyDescent="0.15">
      <c r="B2" t="s">
        <v>147</v>
      </c>
      <c r="C2">
        <v>10</v>
      </c>
      <c r="D2">
        <v>35</v>
      </c>
      <c r="E2">
        <v>20</v>
      </c>
      <c r="F2">
        <v>2800</v>
      </c>
      <c r="G2">
        <v>1</v>
      </c>
      <c r="I2">
        <v>0.6</v>
      </c>
      <c r="J2">
        <v>40</v>
      </c>
      <c r="K2">
        <v>533</v>
      </c>
      <c r="M2">
        <f>ROUND(D2*I2,0)</f>
        <v>21</v>
      </c>
      <c r="N2">
        <f>ROUND(E2*J2,0)</f>
        <v>800</v>
      </c>
      <c r="O2">
        <f>F2+K2</f>
        <v>3333</v>
      </c>
      <c r="P2">
        <v>1</v>
      </c>
    </row>
    <row r="3" spans="2:16" x14ac:dyDescent="0.15">
      <c r="B3" t="s">
        <v>148</v>
      </c>
      <c r="C3">
        <v>10</v>
      </c>
      <c r="D3">
        <v>69</v>
      </c>
      <c r="E3">
        <v>27</v>
      </c>
      <c r="F3">
        <v>8400</v>
      </c>
      <c r="G3">
        <v>2</v>
      </c>
      <c r="I3">
        <v>0.4</v>
      </c>
      <c r="J3">
        <v>40</v>
      </c>
      <c r="K3">
        <v>-2845</v>
      </c>
      <c r="M3">
        <f t="shared" ref="M3:M5" si="0">ROUND(D3*I3,0)</f>
        <v>28</v>
      </c>
      <c r="N3">
        <f t="shared" ref="N3:N5" si="1">ROUND(E3*J3,0)</f>
        <v>1080</v>
      </c>
      <c r="O3">
        <f t="shared" ref="O3:O5" si="2">F3+K3</f>
        <v>5555</v>
      </c>
      <c r="P3">
        <v>2</v>
      </c>
    </row>
    <row r="4" spans="2:16" x14ac:dyDescent="0.15">
      <c r="B4" t="s">
        <v>149</v>
      </c>
      <c r="C4">
        <v>10</v>
      </c>
      <c r="D4">
        <v>89</v>
      </c>
      <c r="E4">
        <v>43</v>
      </c>
      <c r="F4">
        <v>28000</v>
      </c>
      <c r="G4">
        <v>2</v>
      </c>
      <c r="I4">
        <v>0.4</v>
      </c>
      <c r="J4">
        <v>40</v>
      </c>
      <c r="K4">
        <f>-16889-11111+7777</f>
        <v>-20223</v>
      </c>
      <c r="M4">
        <f t="shared" si="0"/>
        <v>36</v>
      </c>
      <c r="N4">
        <f t="shared" si="1"/>
        <v>1720</v>
      </c>
      <c r="O4">
        <f t="shared" si="2"/>
        <v>7777</v>
      </c>
      <c r="P4">
        <v>2</v>
      </c>
    </row>
    <row r="5" spans="2:16" x14ac:dyDescent="0.15">
      <c r="B5" t="s">
        <v>150</v>
      </c>
      <c r="C5">
        <v>10</v>
      </c>
      <c r="D5">
        <v>253</v>
      </c>
      <c r="E5">
        <v>51</v>
      </c>
      <c r="F5">
        <v>42000</v>
      </c>
      <c r="G5">
        <v>3</v>
      </c>
      <c r="I5">
        <v>0.2</v>
      </c>
      <c r="J5">
        <v>50</v>
      </c>
      <c r="K5">
        <f>-19778-11111</f>
        <v>-30889</v>
      </c>
      <c r="M5">
        <f t="shared" si="0"/>
        <v>51</v>
      </c>
      <c r="N5">
        <f t="shared" si="1"/>
        <v>2550</v>
      </c>
      <c r="O5">
        <f t="shared" si="2"/>
        <v>11111</v>
      </c>
      <c r="P5">
        <v>3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S6"/>
  <sheetViews>
    <sheetView showGridLines="0" zoomScale="75" zoomScaleNormal="75" zoomScalePageLayoutView="75" workbookViewId="0">
      <pane xSplit="5" ySplit="1" topLeftCell="F2" activePane="bottomRight" state="frozen"/>
      <selection activeCell="E25" sqref="E25"/>
      <selection pane="topRight" activeCell="E25" sqref="E25"/>
      <selection pane="bottomLeft" activeCell="E25" sqref="E25"/>
      <selection pane="bottomRight" activeCell="J24" sqref="J24"/>
    </sheetView>
  </sheetViews>
  <sheetFormatPr baseColWidth="12" defaultColWidth="12.83203125" defaultRowHeight="21" customHeight="1" outlineLevelCol="1" x14ac:dyDescent="0.15"/>
  <cols>
    <col min="1" max="1" width="11.33203125" style="46" bestFit="1" customWidth="1"/>
    <col min="2" max="2" width="14" style="55" bestFit="1" customWidth="1"/>
    <col min="3" max="3" width="11.1640625" style="55" bestFit="1" customWidth="1"/>
    <col min="4" max="4" width="25.6640625" style="55" customWidth="1" outlineLevel="1"/>
    <col min="5" max="5" width="44.1640625" style="55" bestFit="1" customWidth="1" outlineLevel="1"/>
    <col min="6" max="6" width="10.83203125" style="55" bestFit="1" customWidth="1"/>
    <col min="7" max="7" width="9.5" style="55" bestFit="1" customWidth="1" outlineLevel="1"/>
    <col min="8" max="9" width="12.83203125" style="55" outlineLevel="1"/>
    <col min="10" max="10" width="17.6640625" style="55" bestFit="1" customWidth="1" outlineLevel="1"/>
    <col min="11" max="16" width="12.83203125" style="55" outlineLevel="1"/>
    <col min="17" max="18" width="13.6640625" style="52" bestFit="1" customWidth="1"/>
    <col min="19" max="19" width="56.5" style="52" bestFit="1" customWidth="1"/>
    <col min="20" max="16384" width="12.83203125" style="52"/>
  </cols>
  <sheetData>
    <row r="1" spans="1:19" ht="21" customHeight="1" x14ac:dyDescent="0.15">
      <c r="A1" s="46" t="s">
        <v>113</v>
      </c>
      <c r="B1" s="47" t="s">
        <v>114</v>
      </c>
      <c r="C1" s="47" t="s">
        <v>115</v>
      </c>
      <c r="D1" s="48" t="s">
        <v>116</v>
      </c>
      <c r="E1" s="48" t="s">
        <v>117</v>
      </c>
      <c r="F1" s="49" t="s">
        <v>118</v>
      </c>
      <c r="G1" s="50" t="s">
        <v>119</v>
      </c>
      <c r="H1" s="50" t="s">
        <v>101</v>
      </c>
      <c r="I1" s="50" t="s">
        <v>120</v>
      </c>
      <c r="J1" s="50" t="s">
        <v>121</v>
      </c>
      <c r="K1" s="51" t="s">
        <v>122</v>
      </c>
      <c r="L1" s="51" t="s">
        <v>123</v>
      </c>
      <c r="M1" s="50" t="s">
        <v>124</v>
      </c>
      <c r="N1" s="50" t="s">
        <v>125</v>
      </c>
      <c r="O1" s="50" t="s">
        <v>146</v>
      </c>
      <c r="P1" s="50" t="s">
        <v>126</v>
      </c>
      <c r="Q1" s="48" t="s">
        <v>127</v>
      </c>
      <c r="R1" s="48" t="s">
        <v>128</v>
      </c>
      <c r="S1" s="48" t="s">
        <v>129</v>
      </c>
    </row>
    <row r="2" spans="1:19" ht="21" customHeight="1" x14ac:dyDescent="0.15">
      <c r="A2" s="46" t="str">
        <f t="shared" ref="A2:A3" si="0">B2&amp;"_"&amp;C2</f>
        <v>14001010_14001010</v>
      </c>
      <c r="B2" s="59">
        <v>14001010</v>
      </c>
      <c r="C2" s="59">
        <v>14001010</v>
      </c>
      <c r="D2" s="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いらっしゃいませ！</v>
      </c>
      <c r="E2" s="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チックが お出迎えした！</v>
      </c>
      <c r="F2" s="59">
        <v>14001000</v>
      </c>
      <c r="G2" s="5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5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5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" s="5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5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5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5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5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5" t="str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" s="5">
        <f ca="1">VLOOKUP($F2,OFFSET(enemy_skill_triggers!$A$1,0,0,COUNTA(enemy_skill_triggers!$A:$A),MATCH(P$1,enemy_skill_triggers!$1:$1,0)-MATCH($F$1,enemy_skill_triggers!$1:$1,0)+1),MATCH(P$1,enemy_skill_triggers!$1:$1,0)-MATCH($F$1,enemy_skill_triggers!$1:$1,0)+1,FALSE)</f>
        <v>0</v>
      </c>
      <c r="Q2" s="53"/>
      <c r="R2" s="53"/>
      <c r="S2" s="53"/>
    </row>
    <row r="3" spans="1:19" ht="21" customHeight="1" x14ac:dyDescent="0.15">
      <c r="A3" s="46" t="str">
        <f t="shared" si="0"/>
        <v>14001011_14001011</v>
      </c>
      <c r="B3" s="59">
        <v>14001011</v>
      </c>
      <c r="C3" s="59">
        <v>14001011</v>
      </c>
      <c r="D3" s="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ゆっくりしていくクヮ</v>
      </c>
      <c r="E3" s="5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ダックが お出迎えした！</v>
      </c>
      <c r="F3" s="59">
        <v>14001000</v>
      </c>
      <c r="G3" s="5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5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5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3" s="5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5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5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5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5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5" t="str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3" s="5">
        <f ca="1">VLOOKUP($F3,OFFSET(enemy_skill_triggers!$A$1,0,0,COUNTA(enemy_skill_triggers!$A:$A),MATCH(P$1,enemy_skill_triggers!$1:$1,0)-MATCH($F$1,enemy_skill_triggers!$1:$1,0)+1),MATCH(P$1,enemy_skill_triggers!$1:$1,0)-MATCH($F$1,enemy_skill_triggers!$1:$1,0)+1,FALSE)</f>
        <v>0</v>
      </c>
      <c r="Q3" s="53"/>
      <c r="R3" s="53"/>
      <c r="S3" s="53"/>
    </row>
    <row r="4" spans="1:19" ht="21" customHeight="1" x14ac:dyDescent="0.15">
      <c r="A4" s="46" t="str">
        <f t="shared" ref="A4" si="1">B4&amp;"_"&amp;C4</f>
        <v>14001012_14001012</v>
      </c>
      <c r="B4" s="59">
        <v>14001012</v>
      </c>
      <c r="C4" s="59">
        <v>14001012</v>
      </c>
      <c r="D4" s="5" t="str">
        <f ca="1">VLOOKUP($C4,OFFSET(enemy_skills!$A$1,0,0,COUNTA(enemy_skills!$A:$A),MATCH(D$1,enemy_skills!$1:$1,0)-MATCH("enemy_skill_id",enemy_skills!$1:$1,0)+1),MATCH(D$1,enemy_skills!$1:$1,0)-MATCH("enemy_skill_id",enemy_skills!$1:$1,0)+1,FALSE)</f>
        <v>出番 早すぎたグヮ！？</v>
      </c>
      <c r="E4" s="5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なんと ジェントルがあらわれた！</v>
      </c>
      <c r="F4" s="59">
        <v>14001000</v>
      </c>
      <c r="G4" s="5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5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5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4" s="5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5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5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5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5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5" t="str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4" s="5">
        <f ca="1">VLOOKUP($F4,OFFSET(enemy_skill_triggers!$A$1,0,0,COUNTA(enemy_skill_triggers!$A:$A),MATCH(P$1,enemy_skill_triggers!$1:$1,0)-MATCH($F$1,enemy_skill_triggers!$1:$1,0)+1),MATCH(P$1,enemy_skill_triggers!$1:$1,0)-MATCH($F$1,enemy_skill_triggers!$1:$1,0)+1,FALSE)</f>
        <v>0</v>
      </c>
      <c r="Q4" s="53"/>
      <c r="R4" s="53"/>
      <c r="S4" s="53"/>
    </row>
    <row r="5" spans="1:19" ht="21" customHeight="1" x14ac:dyDescent="0.15">
      <c r="A5" s="46" t="str">
        <f t="shared" ref="A5" si="2">B5&amp;"_"&amp;C5</f>
        <v>14001030_14001030</v>
      </c>
      <c r="B5" s="59">
        <v>14001030</v>
      </c>
      <c r="C5" s="59">
        <v>14001030</v>
      </c>
      <c r="D5" s="5" t="str">
        <f ca="1">VLOOKUP($C5,OFFSET(enemy_skills!$A$1,0,0,COUNTA(enemy_skills!$A:$A),MATCH(D$1,enemy_skills!$1:$1,0)-MATCH("enemy_skill_id",enemy_skills!$1:$1,0)+1),MATCH(D$1,enemy_skills!$1:$1,0)-MATCH("enemy_skill_id",enemy_skills!$1:$1,0)+1,FALSE)</f>
        <v>出番 間違えたグヮ！？</v>
      </c>
      <c r="E5" s="5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なんと ジェントルがあらわれた！</v>
      </c>
      <c r="F5" s="59">
        <v>14001000</v>
      </c>
      <c r="G5" s="5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5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5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5" s="5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5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5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5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5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5" t="str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5" s="5">
        <f ca="1">VLOOKUP($F5,OFFSET(enemy_skill_triggers!$A$1,0,0,COUNTA(enemy_skill_triggers!$A:$A),MATCH(P$1,enemy_skill_triggers!$1:$1,0)-MATCH($F$1,enemy_skill_triggers!$1:$1,0)+1),MATCH(P$1,enemy_skill_triggers!$1:$1,0)-MATCH($F$1,enemy_skill_triggers!$1:$1,0)+1,FALSE)</f>
        <v>0</v>
      </c>
      <c r="Q5" s="53"/>
      <c r="R5" s="53"/>
      <c r="S5" s="53"/>
    </row>
    <row r="6" spans="1:19" ht="21" customHeight="1" x14ac:dyDescent="0.15">
      <c r="A6" s="46" t="str">
        <f t="shared" ref="A6" si="3">B6&amp;"_"&amp;C6</f>
        <v>14001050_14001050</v>
      </c>
      <c r="B6" s="59">
        <v>14001050</v>
      </c>
      <c r="C6" s="59">
        <v>14001050</v>
      </c>
      <c r="D6" s="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よく来たグワッ！</v>
      </c>
      <c r="E6" s="5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メタルファミリーが あらわれた！</v>
      </c>
      <c r="F6" s="59">
        <v>14001000</v>
      </c>
      <c r="G6" s="5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5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5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6" s="5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5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5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5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5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5" t="str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6" s="5">
        <f ca="1">VLOOKUP($F6,OFFSET(enemy_skill_triggers!$A$1,0,0,COUNTA(enemy_skill_triggers!$A:$A),MATCH(P$1,enemy_skill_triggers!$1:$1,0)-MATCH($F$1,enemy_skill_triggers!$1:$1,0)+1),MATCH(P$1,enemy_skill_triggers!$1:$1,0)-MATCH($F$1,enemy_skill_triggers!$1:$1,0)+1,FALSE)</f>
        <v>0</v>
      </c>
      <c r="Q6" s="53"/>
      <c r="R6" s="53"/>
      <c r="S6" s="53"/>
    </row>
  </sheetData>
  <autoFilter ref="A1:S1"/>
  <phoneticPr fontId="4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I6"/>
  <sheetViews>
    <sheetView showGridLines="0" zoomScale="75" zoomScaleNormal="75" zoomScalePageLayoutView="75" workbookViewId="0">
      <pane ySplit="1" topLeftCell="A2" activePane="bottomLeft" state="frozenSplit"/>
      <selection activeCell="E25" sqref="E25"/>
      <selection pane="bottomLeft" activeCell="E7" sqref="E7"/>
    </sheetView>
  </sheetViews>
  <sheetFormatPr baseColWidth="12" defaultColWidth="12.83203125" defaultRowHeight="21" customHeight="1" x14ac:dyDescent="0.15"/>
  <cols>
    <col min="1" max="1" width="12.83203125" style="55"/>
    <col min="2" max="2" width="67.1640625" style="55" customWidth="1"/>
    <col min="3" max="4" width="12.83203125" style="55"/>
    <col min="5" max="5" width="29" style="55" bestFit="1" customWidth="1"/>
    <col min="6" max="6" width="44.1640625" style="55" bestFit="1" customWidth="1"/>
    <col min="7" max="8" width="12.83203125" style="55"/>
    <col min="9" max="9" width="44.5" style="55" customWidth="1"/>
    <col min="10" max="16384" width="12.83203125" style="55"/>
  </cols>
  <sheetData>
    <row r="1" spans="1:9" ht="21" customHeight="1" x14ac:dyDescent="0.15">
      <c r="A1" s="47" t="s">
        <v>81</v>
      </c>
      <c r="B1" s="47" t="s">
        <v>130</v>
      </c>
      <c r="C1" s="47" t="s">
        <v>83</v>
      </c>
      <c r="D1" s="47" t="s">
        <v>131</v>
      </c>
      <c r="E1" s="47" t="s">
        <v>132</v>
      </c>
      <c r="F1" s="47" t="s">
        <v>133</v>
      </c>
      <c r="G1" s="48" t="s">
        <v>127</v>
      </c>
      <c r="H1" s="48" t="s">
        <v>128</v>
      </c>
      <c r="I1" s="48" t="s">
        <v>129</v>
      </c>
    </row>
    <row r="2" spans="1:9" s="63" customFormat="1" ht="21" customHeight="1" x14ac:dyDescent="0.15">
      <c r="A2" s="59">
        <v>14001010</v>
      </c>
      <c r="B2" s="59" t="s">
        <v>209</v>
      </c>
      <c r="C2" s="60">
        <v>3</v>
      </c>
      <c r="D2" s="60" t="s">
        <v>134</v>
      </c>
      <c r="E2" s="61" t="s">
        <v>215</v>
      </c>
      <c r="F2" s="61" t="s">
        <v>216</v>
      </c>
      <c r="G2" s="60" t="s">
        <v>145</v>
      </c>
      <c r="H2" s="62"/>
      <c r="I2" s="60"/>
    </row>
    <row r="3" spans="1:9" s="63" customFormat="1" ht="21" customHeight="1" x14ac:dyDescent="0.15">
      <c r="A3" s="59">
        <v>14001011</v>
      </c>
      <c r="B3" s="59" t="s">
        <v>209</v>
      </c>
      <c r="C3" s="60">
        <v>3</v>
      </c>
      <c r="D3" s="60" t="s">
        <v>134</v>
      </c>
      <c r="E3" s="61" t="s">
        <v>217</v>
      </c>
      <c r="F3" s="61" t="s">
        <v>218</v>
      </c>
      <c r="G3" s="60" t="s">
        <v>145</v>
      </c>
      <c r="H3" s="62"/>
      <c r="I3" s="60"/>
    </row>
    <row r="4" spans="1:9" s="63" customFormat="1" ht="21" customHeight="1" x14ac:dyDescent="0.15">
      <c r="A4" s="59">
        <v>14001012</v>
      </c>
      <c r="B4" s="59" t="s">
        <v>209</v>
      </c>
      <c r="C4" s="60">
        <v>3</v>
      </c>
      <c r="D4" s="60" t="s">
        <v>134</v>
      </c>
      <c r="E4" s="61" t="s">
        <v>213</v>
      </c>
      <c r="F4" s="61" t="s">
        <v>211</v>
      </c>
      <c r="G4" s="60" t="s">
        <v>145</v>
      </c>
      <c r="H4" s="62"/>
      <c r="I4" s="60"/>
    </row>
    <row r="5" spans="1:9" s="63" customFormat="1" ht="21" customHeight="1" x14ac:dyDescent="0.15">
      <c r="A5" s="59">
        <v>14001030</v>
      </c>
      <c r="B5" s="59" t="s">
        <v>209</v>
      </c>
      <c r="C5" s="60">
        <v>3</v>
      </c>
      <c r="D5" s="60" t="s">
        <v>134</v>
      </c>
      <c r="E5" s="61" t="s">
        <v>210</v>
      </c>
      <c r="F5" s="61" t="s">
        <v>211</v>
      </c>
      <c r="G5" s="60" t="s">
        <v>145</v>
      </c>
      <c r="H5" s="62"/>
      <c r="I5" s="60"/>
    </row>
    <row r="6" spans="1:9" s="63" customFormat="1" ht="21" customHeight="1" x14ac:dyDescent="0.15">
      <c r="A6" s="59">
        <v>14001050</v>
      </c>
      <c r="B6" s="59" t="s">
        <v>209</v>
      </c>
      <c r="C6" s="60">
        <v>3</v>
      </c>
      <c r="D6" s="60" t="s">
        <v>134</v>
      </c>
      <c r="E6" s="61" t="s">
        <v>219</v>
      </c>
      <c r="F6" s="61" t="s">
        <v>214</v>
      </c>
      <c r="G6" s="60" t="s">
        <v>145</v>
      </c>
      <c r="H6" s="62"/>
      <c r="I6" s="60"/>
    </row>
  </sheetData>
  <autoFilter ref="A1:I1"/>
  <phoneticPr fontId="4"/>
  <pageMargins left="0.75" right="0.75" top="1" bottom="1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"/>
  <sheetViews>
    <sheetView showGridLines="0" zoomScale="75" zoomScaleNormal="75" zoomScalePageLayoutView="75" workbookViewId="0">
      <pane ySplit="1" topLeftCell="A2" activePane="bottomLeft" state="frozenSplit"/>
      <selection activeCell="E25" sqref="E25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6.1640625" style="55" bestFit="1" customWidth="1"/>
    <col min="2" max="2" width="13.33203125" style="55" bestFit="1" customWidth="1"/>
    <col min="3" max="3" width="11.83203125" style="55" bestFit="1" customWidth="1"/>
    <col min="4" max="4" width="14.6640625" style="55" bestFit="1" customWidth="1"/>
    <col min="5" max="5" width="15.6640625" style="55" bestFit="1" customWidth="1"/>
    <col min="6" max="6" width="17" style="55" bestFit="1" customWidth="1"/>
    <col min="7" max="7" width="15.6640625" style="55" bestFit="1" customWidth="1"/>
    <col min="8" max="9" width="14.6640625" style="55" customWidth="1"/>
    <col min="10" max="10" width="16.1640625" style="55" bestFit="1" customWidth="1" outlineLevel="1"/>
    <col min="11" max="11" width="14.6640625" style="55" bestFit="1" customWidth="1"/>
    <col min="12" max="16384" width="12.83203125" style="52"/>
  </cols>
  <sheetData>
    <row r="1" spans="1:11" ht="21" customHeight="1" x14ac:dyDescent="0.15">
      <c r="A1" s="49" t="s">
        <v>135</v>
      </c>
      <c r="B1" s="49" t="s">
        <v>136</v>
      </c>
      <c r="C1" s="49" t="s">
        <v>101</v>
      </c>
      <c r="D1" s="49" t="s">
        <v>120</v>
      </c>
      <c r="E1" s="49" t="s">
        <v>137</v>
      </c>
      <c r="F1" s="56" t="s">
        <v>138</v>
      </c>
      <c r="G1" s="56" t="s">
        <v>139</v>
      </c>
      <c r="H1" s="49" t="s">
        <v>140</v>
      </c>
      <c r="I1" s="49" t="s">
        <v>100</v>
      </c>
      <c r="J1" s="50" t="s">
        <v>146</v>
      </c>
      <c r="K1" s="49" t="s">
        <v>141</v>
      </c>
    </row>
    <row r="2" spans="1:11" ht="21" customHeight="1" x14ac:dyDescent="0.15">
      <c r="A2" s="59">
        <v>14001000</v>
      </c>
      <c r="B2" s="59">
        <v>1</v>
      </c>
      <c r="C2" s="59" t="s">
        <v>142</v>
      </c>
      <c r="D2" s="59">
        <v>0</v>
      </c>
      <c r="E2" s="59" t="s">
        <v>144</v>
      </c>
      <c r="F2" s="59" t="s">
        <v>142</v>
      </c>
      <c r="G2" s="59">
        <v>1</v>
      </c>
      <c r="H2" s="59" t="s">
        <v>142</v>
      </c>
      <c r="I2" s="59" t="s">
        <v>212</v>
      </c>
      <c r="J2" s="20" t="str">
        <f ca="1">IFERROR(VLOOKUP($I2,OFFSET([3]enemies!$A$1,0,0,COUNTA([3]enemies!$A:$A),MATCH(J$1,[3]enemies!$1:$1,0)-MATCH("character_id",[3]enemies!$1:$1,0)+1),MATCH(J$1,[3]enemies!$1:$1,0)-MATCH("character_id",[3]enemies!$1:$1,0)+1,FALSE),"")</f>
        <v/>
      </c>
      <c r="K2" s="54">
        <f t="shared" ref="K2" si="0">D2</f>
        <v>0</v>
      </c>
    </row>
  </sheetData>
  <autoFilter ref="A1:G1"/>
  <phoneticPr fontId="4"/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</sheetPr>
  <dimension ref="A1:R9"/>
  <sheetViews>
    <sheetView zoomScale="75" zoomScaleNormal="75" zoomScalePageLayoutView="75" workbookViewId="0">
      <selection activeCell="O8" sqref="O8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8" t="s">
        <v>156</v>
      </c>
      <c r="B1" s="68" t="s">
        <v>157</v>
      </c>
      <c r="C1" s="69" t="s">
        <v>158</v>
      </c>
      <c r="D1" s="70" t="s">
        <v>159</v>
      </c>
      <c r="E1" s="71" t="s">
        <v>160</v>
      </c>
      <c r="F1" s="68" t="s">
        <v>161</v>
      </c>
      <c r="G1" s="68" t="s">
        <v>162</v>
      </c>
      <c r="H1" s="68" t="s">
        <v>163</v>
      </c>
      <c r="I1" s="68" t="s">
        <v>70</v>
      </c>
      <c r="J1" s="68" t="s">
        <v>164</v>
      </c>
      <c r="K1" s="68" t="s">
        <v>37</v>
      </c>
      <c r="L1" s="68" t="s">
        <v>39</v>
      </c>
      <c r="M1" s="68" t="s">
        <v>41</v>
      </c>
      <c r="N1" s="68" t="s">
        <v>43</v>
      </c>
      <c r="O1" s="68" t="s">
        <v>45</v>
      </c>
      <c r="P1" s="68" t="s">
        <v>165</v>
      </c>
      <c r="Q1" s="68" t="s">
        <v>166</v>
      </c>
      <c r="R1" s="68" t="s">
        <v>167</v>
      </c>
    </row>
    <row r="2" spans="1:18" x14ac:dyDescent="0.15">
      <c r="A2" s="117">
        <v>14001</v>
      </c>
      <c r="B2" s="117">
        <v>4</v>
      </c>
      <c r="C2" s="72" t="str">
        <f t="shared" ref="C2:C5" si="0">A2&amp; "_"&amp;B2</f>
        <v>14001_4</v>
      </c>
      <c r="D2" s="22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34">
        <v>1</v>
      </c>
      <c r="F2" s="34" t="s">
        <v>168</v>
      </c>
      <c r="G2" s="34">
        <v>335</v>
      </c>
      <c r="H2" s="34">
        <v>1</v>
      </c>
      <c r="I2" s="73">
        <v>1</v>
      </c>
      <c r="J2" s="34">
        <v>1</v>
      </c>
      <c r="K2" s="34">
        <v>0</v>
      </c>
      <c r="L2" s="34">
        <v>0</v>
      </c>
      <c r="M2" s="34">
        <v>0</v>
      </c>
      <c r="N2" s="34">
        <v>0</v>
      </c>
      <c r="O2" s="73">
        <v>1</v>
      </c>
      <c r="P2" s="34">
        <v>100</v>
      </c>
      <c r="Q2" s="34" t="s">
        <v>169</v>
      </c>
      <c r="R2" s="34" t="s">
        <v>170</v>
      </c>
    </row>
    <row r="3" spans="1:18" x14ac:dyDescent="0.15">
      <c r="A3" s="117">
        <v>14001</v>
      </c>
      <c r="B3" s="117">
        <v>3</v>
      </c>
      <c r="C3" s="72" t="str">
        <f t="shared" si="0"/>
        <v>14001_3</v>
      </c>
      <c r="D3" s="22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34">
        <v>1</v>
      </c>
      <c r="F3" s="34" t="s">
        <v>168</v>
      </c>
      <c r="G3" s="72">
        <f>G2+4</f>
        <v>339</v>
      </c>
      <c r="H3" s="34">
        <v>1</v>
      </c>
      <c r="I3" s="73">
        <v>1</v>
      </c>
      <c r="J3" s="34">
        <v>1</v>
      </c>
      <c r="K3" s="34">
        <v>0</v>
      </c>
      <c r="L3" s="34">
        <v>0</v>
      </c>
      <c r="M3" s="34">
        <v>0</v>
      </c>
      <c r="N3" s="34">
        <v>0</v>
      </c>
      <c r="O3" s="73">
        <v>1</v>
      </c>
      <c r="P3" s="34">
        <v>100</v>
      </c>
      <c r="Q3" s="34" t="s">
        <v>169</v>
      </c>
      <c r="R3" s="34" t="s">
        <v>170</v>
      </c>
    </row>
    <row r="4" spans="1:18" x14ac:dyDescent="0.15">
      <c r="A4" s="117">
        <v>14001</v>
      </c>
      <c r="B4" s="117">
        <v>2</v>
      </c>
      <c r="C4" s="72" t="str">
        <f t="shared" si="0"/>
        <v>14001_2</v>
      </c>
      <c r="D4" s="22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34">
        <v>1</v>
      </c>
      <c r="F4" s="34" t="s">
        <v>168</v>
      </c>
      <c r="G4" s="72">
        <f>G3+4</f>
        <v>343</v>
      </c>
      <c r="H4" s="34">
        <v>1</v>
      </c>
      <c r="I4" s="73">
        <v>1</v>
      </c>
      <c r="J4" s="34">
        <v>1</v>
      </c>
      <c r="K4" s="34">
        <v>0</v>
      </c>
      <c r="L4" s="34">
        <v>0</v>
      </c>
      <c r="M4" s="34">
        <v>0</v>
      </c>
      <c r="N4" s="34">
        <v>0</v>
      </c>
      <c r="O4" s="73">
        <v>1</v>
      </c>
      <c r="P4" s="34">
        <v>100</v>
      </c>
      <c r="Q4" s="34" t="s">
        <v>169</v>
      </c>
      <c r="R4" s="34" t="s">
        <v>170</v>
      </c>
    </row>
    <row r="5" spans="1:18" x14ac:dyDescent="0.15">
      <c r="A5" s="117">
        <v>14001</v>
      </c>
      <c r="B5" s="117">
        <v>1</v>
      </c>
      <c r="C5" s="72" t="str">
        <f t="shared" si="0"/>
        <v>14001_1</v>
      </c>
      <c r="D5" s="22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34">
        <v>1</v>
      </c>
      <c r="F5" s="34" t="s">
        <v>168</v>
      </c>
      <c r="G5" s="72">
        <f>G4+4</f>
        <v>347</v>
      </c>
      <c r="H5" s="34">
        <v>1</v>
      </c>
      <c r="I5" s="73">
        <v>1</v>
      </c>
      <c r="J5" s="34">
        <v>1</v>
      </c>
      <c r="K5" s="34">
        <v>0</v>
      </c>
      <c r="L5" s="34">
        <v>0</v>
      </c>
      <c r="M5" s="34">
        <v>0</v>
      </c>
      <c r="N5" s="34">
        <v>0</v>
      </c>
      <c r="O5" s="73">
        <v>1</v>
      </c>
      <c r="P5" s="34">
        <v>100</v>
      </c>
      <c r="Q5" s="34" t="s">
        <v>169</v>
      </c>
      <c r="R5" s="34" t="s">
        <v>170</v>
      </c>
    </row>
    <row r="6" spans="1:18" x14ac:dyDescent="0.15">
      <c r="A6" s="118">
        <v>14004</v>
      </c>
      <c r="B6" s="118">
        <v>4</v>
      </c>
      <c r="C6" s="72" t="str">
        <f t="shared" ref="C6:C9" si="1">A6&amp; "_"&amp;B6</f>
        <v>14004_4</v>
      </c>
      <c r="D6" s="44" t="s">
        <v>228</v>
      </c>
      <c r="E6" s="72">
        <f t="shared" ref="E6:R6" si="2">E2</f>
        <v>1</v>
      </c>
      <c r="F6" s="72" t="str">
        <f t="shared" si="2"/>
        <v>unit</v>
      </c>
      <c r="G6" s="72">
        <f t="shared" si="2"/>
        <v>335</v>
      </c>
      <c r="H6" s="72">
        <f t="shared" si="2"/>
        <v>1</v>
      </c>
      <c r="I6" s="72">
        <f t="shared" si="2"/>
        <v>1</v>
      </c>
      <c r="J6" s="72">
        <f t="shared" si="2"/>
        <v>1</v>
      </c>
      <c r="K6" s="72">
        <f t="shared" si="2"/>
        <v>0</v>
      </c>
      <c r="L6" s="72">
        <f t="shared" si="2"/>
        <v>0</v>
      </c>
      <c r="M6" s="72">
        <f t="shared" si="2"/>
        <v>0</v>
      </c>
      <c r="N6" s="72">
        <f t="shared" si="2"/>
        <v>0</v>
      </c>
      <c r="O6" s="72">
        <f t="shared" si="2"/>
        <v>1</v>
      </c>
      <c r="P6" s="72">
        <f t="shared" si="2"/>
        <v>100</v>
      </c>
      <c r="Q6" s="72" t="str">
        <f t="shared" si="2"/>
        <v>2015-03-27 00:00:00</v>
      </c>
      <c r="R6" s="72" t="str">
        <f t="shared" si="2"/>
        <v>2970-01-01 09:00:00</v>
      </c>
    </row>
    <row r="7" spans="1:18" x14ac:dyDescent="0.15">
      <c r="A7" s="118">
        <v>14004</v>
      </c>
      <c r="B7" s="118">
        <v>3</v>
      </c>
      <c r="C7" s="72" t="str">
        <f t="shared" si="1"/>
        <v>14004_3</v>
      </c>
      <c r="D7" s="44" t="s">
        <v>228</v>
      </c>
      <c r="E7" s="72">
        <f t="shared" ref="E7:R7" si="3">E3</f>
        <v>1</v>
      </c>
      <c r="F7" s="72" t="str">
        <f t="shared" si="3"/>
        <v>unit</v>
      </c>
      <c r="G7" s="72">
        <f t="shared" si="3"/>
        <v>339</v>
      </c>
      <c r="H7" s="72">
        <f t="shared" si="3"/>
        <v>1</v>
      </c>
      <c r="I7" s="72">
        <f t="shared" si="3"/>
        <v>1</v>
      </c>
      <c r="J7" s="72">
        <f t="shared" si="3"/>
        <v>1</v>
      </c>
      <c r="K7" s="72">
        <f t="shared" si="3"/>
        <v>0</v>
      </c>
      <c r="L7" s="72">
        <f t="shared" si="3"/>
        <v>0</v>
      </c>
      <c r="M7" s="72">
        <f t="shared" si="3"/>
        <v>0</v>
      </c>
      <c r="N7" s="72">
        <f t="shared" si="3"/>
        <v>0</v>
      </c>
      <c r="O7" s="72">
        <f t="shared" si="3"/>
        <v>1</v>
      </c>
      <c r="P7" s="72">
        <f t="shared" si="3"/>
        <v>100</v>
      </c>
      <c r="Q7" s="72" t="str">
        <f t="shared" si="3"/>
        <v>2015-03-27 00:00:00</v>
      </c>
      <c r="R7" s="72" t="str">
        <f t="shared" si="3"/>
        <v>2970-01-01 09:00:00</v>
      </c>
    </row>
    <row r="8" spans="1:18" x14ac:dyDescent="0.15">
      <c r="A8" s="118">
        <v>14004</v>
      </c>
      <c r="B8" s="118">
        <v>2</v>
      </c>
      <c r="C8" s="72" t="str">
        <f t="shared" si="1"/>
        <v>14004_2</v>
      </c>
      <c r="D8" s="44" t="s">
        <v>228</v>
      </c>
      <c r="E8" s="72">
        <f t="shared" ref="E8:R8" si="4">E4</f>
        <v>1</v>
      </c>
      <c r="F8" s="72" t="str">
        <f t="shared" si="4"/>
        <v>unit</v>
      </c>
      <c r="G8" s="72">
        <f t="shared" si="4"/>
        <v>343</v>
      </c>
      <c r="H8" s="72">
        <f t="shared" si="4"/>
        <v>1</v>
      </c>
      <c r="I8" s="72">
        <f t="shared" si="4"/>
        <v>1</v>
      </c>
      <c r="J8" s="72">
        <f t="shared" si="4"/>
        <v>1</v>
      </c>
      <c r="K8" s="72">
        <f t="shared" si="4"/>
        <v>0</v>
      </c>
      <c r="L8" s="72">
        <f t="shared" si="4"/>
        <v>0</v>
      </c>
      <c r="M8" s="72">
        <f t="shared" si="4"/>
        <v>0</v>
      </c>
      <c r="N8" s="72">
        <f t="shared" si="4"/>
        <v>0</v>
      </c>
      <c r="O8" s="72">
        <f t="shared" si="4"/>
        <v>1</v>
      </c>
      <c r="P8" s="72">
        <f t="shared" si="4"/>
        <v>100</v>
      </c>
      <c r="Q8" s="72" t="str">
        <f t="shared" si="4"/>
        <v>2015-03-27 00:00:00</v>
      </c>
      <c r="R8" s="72" t="str">
        <f t="shared" si="4"/>
        <v>2970-01-01 09:00:00</v>
      </c>
    </row>
    <row r="9" spans="1:18" x14ac:dyDescent="0.15">
      <c r="A9" s="118">
        <v>14004</v>
      </c>
      <c r="B9" s="118">
        <v>1</v>
      </c>
      <c r="C9" s="72" t="str">
        <f t="shared" si="1"/>
        <v>14004_1</v>
      </c>
      <c r="D9" s="44" t="s">
        <v>228</v>
      </c>
      <c r="E9" s="72">
        <f t="shared" ref="E9:R9" si="5">E5</f>
        <v>1</v>
      </c>
      <c r="F9" s="72" t="str">
        <f t="shared" si="5"/>
        <v>unit</v>
      </c>
      <c r="G9" s="72">
        <f t="shared" si="5"/>
        <v>347</v>
      </c>
      <c r="H9" s="72">
        <f t="shared" si="5"/>
        <v>1</v>
      </c>
      <c r="I9" s="72">
        <f t="shared" si="5"/>
        <v>1</v>
      </c>
      <c r="J9" s="72">
        <f t="shared" si="5"/>
        <v>1</v>
      </c>
      <c r="K9" s="72">
        <f t="shared" si="5"/>
        <v>0</v>
      </c>
      <c r="L9" s="72">
        <f t="shared" si="5"/>
        <v>0</v>
      </c>
      <c r="M9" s="72">
        <f t="shared" si="5"/>
        <v>0</v>
      </c>
      <c r="N9" s="72">
        <f t="shared" si="5"/>
        <v>0</v>
      </c>
      <c r="O9" s="72">
        <f t="shared" si="5"/>
        <v>1</v>
      </c>
      <c r="P9" s="72">
        <f t="shared" si="5"/>
        <v>100</v>
      </c>
      <c r="Q9" s="72" t="str">
        <f t="shared" si="5"/>
        <v>2015-03-27 00:00:00</v>
      </c>
      <c r="R9" s="72" t="str">
        <f t="shared" si="5"/>
        <v>2970-01-01 09:00:00</v>
      </c>
    </row>
  </sheetData>
  <phoneticPr fontId="4"/>
  <dataValidations count="1">
    <dataValidation type="list" allowBlank="1" showInputMessage="1" showErrorMessage="1" sqref="F2:F5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P18"/>
  <sheetViews>
    <sheetView showGridLines="0" tabSelected="1" topLeftCell="C1" zoomScale="125" zoomScaleNormal="75" zoomScalePageLayoutView="75" workbookViewId="0">
      <pane ySplit="1" topLeftCell="A13" activePane="bottomLeft" state="frozen"/>
      <selection activeCell="I2" sqref="I2"/>
      <selection pane="bottomLeft" activeCell="N14" sqref="N14"/>
    </sheetView>
  </sheetViews>
  <sheetFormatPr baseColWidth="12" defaultColWidth="13" defaultRowHeight="15" outlineLevelCol="1" x14ac:dyDescent="0.15"/>
  <cols>
    <col min="2" max="2" width="13" style="92"/>
    <col min="3" max="3" width="13" collapsed="1"/>
    <col min="4" max="4" width="17" hidden="1" customWidth="1" outlineLevel="1"/>
    <col min="5" max="5" width="18.83203125" hidden="1" customWidth="1" outlineLevel="1"/>
    <col min="6" max="6" width="13" collapsed="1"/>
    <col min="7" max="7" width="22.5" hidden="1" customWidth="1" outlineLevel="1"/>
    <col min="8" max="8" width="22" hidden="1" customWidth="1" outlineLevel="1"/>
    <col min="9" max="9" width="22" customWidth="1"/>
    <col min="10" max="10" width="11.1640625" bestFit="1" customWidth="1"/>
    <col min="11" max="12" width="11.1640625" customWidth="1"/>
    <col min="13" max="14" width="29.33203125" bestFit="1" customWidth="1"/>
  </cols>
  <sheetData>
    <row r="1" spans="1:16" x14ac:dyDescent="0.15">
      <c r="A1" s="74" t="s">
        <v>171</v>
      </c>
      <c r="B1" s="75" t="s">
        <v>172</v>
      </c>
      <c r="C1" s="76" t="s">
        <v>173</v>
      </c>
      <c r="D1" s="77" t="s">
        <v>174</v>
      </c>
      <c r="E1" s="77" t="s">
        <v>32</v>
      </c>
      <c r="F1" s="76" t="s">
        <v>175</v>
      </c>
      <c r="G1" s="77" t="s">
        <v>176</v>
      </c>
      <c r="H1" s="77" t="s">
        <v>32</v>
      </c>
      <c r="I1" s="76" t="s">
        <v>177</v>
      </c>
      <c r="J1" s="78" t="s">
        <v>178</v>
      </c>
      <c r="K1" s="79" t="s">
        <v>179</v>
      </c>
      <c r="L1" s="80" t="s">
        <v>180</v>
      </c>
      <c r="M1" s="80" t="s">
        <v>181</v>
      </c>
      <c r="N1" s="81" t="s">
        <v>182</v>
      </c>
      <c r="O1" s="82" t="s">
        <v>183</v>
      </c>
    </row>
    <row r="2" spans="1:16" ht="42" x14ac:dyDescent="0.15">
      <c r="A2" s="83" t="str">
        <f t="shared" ref="A2:A3" si="0">C2&amp;"_"&amp;F2&amp;"_"&amp;J2</f>
        <v>14001_1_1</v>
      </c>
      <c r="B2" s="84" t="s">
        <v>184</v>
      </c>
      <c r="C2" s="122">
        <v>14001</v>
      </c>
      <c r="D2" s="85" t="str">
        <f ca="1">VLOOKUP($C2,OFFSET([2]quests!$A$1,0,0,COUNTA([2]quests!$A:$A),MATCH(D$1,[2]quests!$1:$1,0)-MATCH($C$1,[2]quests!$1:$1,0)+1),MATCH(D$1,[2]quests!$1:$1,0)-MATCH($C$1,[2]quests!$1:$1,0)+1,FALSE)</f>
        <v>【ロック】経験値/ソロ</v>
      </c>
      <c r="E2" s="85" t="str">
        <f ca="1">VLOOKUP($C2,OFFSET([2]quests!$A$1,0,0,COUNTA([2]quests!$A:$A),MATCH(E$1,[2]quests!$1:$1,0)-MATCH($C$1,[2]quests!$1:$1,0)+1),MATCH(E$1,[2]quests!$1:$1,0)-MATCH($C$1,[2]quests!$1:$1,0)+1,FALSE)</f>
        <v>【ロック】経験値/ソロ</v>
      </c>
      <c r="F2" s="86">
        <v>1</v>
      </c>
      <c r="G2" s="85" t="str">
        <f ca="1">VLOOKUP($C2&amp;"_"&amp;$F2,OFFSET([2]stages!$A$1,0,0,COUNTA([2]stages!$A:$A),MATCH(G$1,[2]stages!$2:$2,0)-MATCH("temp_stage",[2]stages!$2:$2,0)+1),MATCH(G$1,[2]stages!$2:$2,0)-MATCH("temp_stage",[2]stages!$2:$2,0)+1,FALSE)</f>
        <v>【超級】雷ファミリー（ハートなし）</v>
      </c>
      <c r="H2" s="85" t="str">
        <f ca="1">VLOOKUP($C2&amp;"_"&amp;$F2,OFFSET([2]stages!$A$1,0,0,COUNTA([2]stages!$A:$A),MATCH(H$1,[2]stages!$2:$2,0)-MATCH("temp_stage",[2]stages!$2:$2,0)+1),MATCH(H$1,[2]stages!$2:$2,0)-MATCH("temp_stage",[2]stages!$2:$2,0)+1,FALSE)</f>
        <v>【ロック】経験値/ソロ</v>
      </c>
      <c r="I2" s="87">
        <v>0</v>
      </c>
      <c r="J2" s="88">
        <f t="shared" ref="J2:J17" si="1">ROW()-1</f>
        <v>1</v>
      </c>
      <c r="K2" s="89" t="str">
        <f t="shared" ref="K2:K3" si="2">C2&amp;TEXT(J2,"00")</f>
        <v>1400101</v>
      </c>
      <c r="L2" s="86" t="s">
        <v>185</v>
      </c>
      <c r="M2" s="90" t="s">
        <v>224</v>
      </c>
      <c r="N2" s="91" t="s">
        <v>225</v>
      </c>
      <c r="O2" s="34" t="s">
        <v>186</v>
      </c>
      <c r="P2">
        <f t="shared" ref="P2:P3" si="3">LEN(N2)</f>
        <v>40</v>
      </c>
    </row>
    <row r="3" spans="1:16" ht="28" x14ac:dyDescent="0.15">
      <c r="A3" s="83" t="str">
        <f t="shared" si="0"/>
        <v>14001_1_2</v>
      </c>
      <c r="B3" s="84" t="s">
        <v>184</v>
      </c>
      <c r="C3" s="122">
        <v>14001</v>
      </c>
      <c r="D3" s="85" t="str">
        <f ca="1">VLOOKUP($C3,OFFSET([2]quests!$A$1,0,0,COUNTA([2]quests!$A:$A),MATCH(D$1,[2]quests!$1:$1,0)-MATCH($C$1,[2]quests!$1:$1,0)+1),MATCH(D$1,[2]quests!$1:$1,0)-MATCH($C$1,[2]quests!$1:$1,0)+1,FALSE)</f>
        <v>【ロック】経験値/ソロ</v>
      </c>
      <c r="E3" s="85" t="str">
        <f ca="1">VLOOKUP($C3,OFFSET([2]quests!$A$1,0,0,COUNTA([2]quests!$A:$A),MATCH(E$1,[2]quests!$1:$1,0)-MATCH($C$1,[2]quests!$1:$1,0)+1),MATCH(E$1,[2]quests!$1:$1,0)-MATCH($C$1,[2]quests!$1:$1,0)+1,FALSE)</f>
        <v>【ロック】経験値/ソロ</v>
      </c>
      <c r="F3" s="86">
        <v>1</v>
      </c>
      <c r="G3" s="85" t="str">
        <f ca="1">VLOOKUP($C3&amp;"_"&amp;$F3,OFFSET([2]stages!$A$1,0,0,COUNTA([2]stages!$A:$A),MATCH(G$1,[2]stages!$2:$2,0)-MATCH("temp_stage",[2]stages!$2:$2,0)+1),MATCH(G$1,[2]stages!$2:$2,0)-MATCH("temp_stage",[2]stages!$2:$2,0)+1,FALSE)</f>
        <v>【超級】雷ファミリー（ハートなし）</v>
      </c>
      <c r="H3" s="85" t="str">
        <f ca="1">VLOOKUP($C3&amp;"_"&amp;$F3,OFFSET([2]stages!$A$1,0,0,COUNTA([2]stages!$A:$A),MATCH(H$1,[2]stages!$2:$2,0)-MATCH("temp_stage",[2]stages!$2:$2,0)+1),MATCH(H$1,[2]stages!$2:$2,0)-MATCH("temp_stage",[2]stages!$2:$2,0)+1,FALSE)</f>
        <v>【ロック】経験値/ソロ</v>
      </c>
      <c r="I3" s="87">
        <v>0</v>
      </c>
      <c r="J3" s="88">
        <f t="shared" si="1"/>
        <v>2</v>
      </c>
      <c r="K3" s="89" t="str">
        <f t="shared" si="2"/>
        <v>1400102</v>
      </c>
      <c r="L3" s="86" t="s">
        <v>220</v>
      </c>
      <c r="M3" s="114" t="s">
        <v>226</v>
      </c>
      <c r="N3" s="114" t="s">
        <v>229</v>
      </c>
      <c r="O3" s="34" t="s">
        <v>221</v>
      </c>
      <c r="P3">
        <f t="shared" si="3"/>
        <v>33</v>
      </c>
    </row>
    <row r="4" spans="1:16" ht="42" x14ac:dyDescent="0.15">
      <c r="A4" s="83" t="str">
        <f t="shared" ref="A4:A5" si="4">C4&amp;"_"&amp;F4&amp;"_"&amp;J4</f>
        <v>14001_2_3</v>
      </c>
      <c r="B4" s="84" t="s">
        <v>184</v>
      </c>
      <c r="C4" s="122">
        <v>14001</v>
      </c>
      <c r="D4" s="85" t="str">
        <f ca="1">VLOOKUP($C4,OFFSET([2]quests!$A$1,0,0,COUNTA([2]quests!$A:$A),MATCH(D$1,[2]quests!$1:$1,0)-MATCH($C$1,[2]quests!$1:$1,0)+1),MATCH(D$1,[2]quests!$1:$1,0)-MATCH($C$1,[2]quests!$1:$1,0)+1,FALSE)</f>
        <v>【ロック】経験値/ソロ</v>
      </c>
      <c r="E4" s="85" t="str">
        <f ca="1">VLOOKUP($C4,OFFSET([2]quests!$A$1,0,0,COUNTA([2]quests!$A:$A),MATCH(E$1,[2]quests!$1:$1,0)-MATCH($C$1,[2]quests!$1:$1,0)+1),MATCH(E$1,[2]quests!$1:$1,0)-MATCH($C$1,[2]quests!$1:$1,0)+1,FALSE)</f>
        <v>【ロック】経験値/ソロ</v>
      </c>
      <c r="F4" s="86">
        <v>2</v>
      </c>
      <c r="G4" s="85" t="str">
        <f ca="1">VLOOKUP($C4&amp;"_"&amp;$F4,OFFSET([2]stages!$A$1,0,0,COUNTA([2]stages!$A:$A),MATCH(G$1,[2]stages!$2:$2,0)-MATCH("temp_stage",[2]stages!$2:$2,0)+1),MATCH(G$1,[2]stages!$2:$2,0)-MATCH("temp_stage",[2]stages!$2:$2,0)+1,FALSE)</f>
        <v>【超級】水ファミリー（ハートなし）</v>
      </c>
      <c r="H4" s="85" t="str">
        <f ca="1">VLOOKUP($C4&amp;"_"&amp;$F4,OFFSET([2]stages!$A$1,0,0,COUNTA([2]stages!$A:$A),MATCH(H$1,[2]stages!$2:$2,0)-MATCH("temp_stage",[2]stages!$2:$2,0)+1),MATCH(H$1,[2]stages!$2:$2,0)-MATCH("temp_stage",[2]stages!$2:$2,0)+1,FALSE)</f>
        <v>【ロック】経験値/ソロ</v>
      </c>
      <c r="I4" s="87">
        <v>0</v>
      </c>
      <c r="J4" s="88">
        <f t="shared" si="1"/>
        <v>3</v>
      </c>
      <c r="K4" s="89" t="str">
        <f t="shared" ref="K4:K5" si="5">C4&amp;TEXT(J4,"00")</f>
        <v>1400103</v>
      </c>
      <c r="L4" s="86" t="s">
        <v>185</v>
      </c>
      <c r="M4" s="116" t="str">
        <f t="shared" ref="M4:N9" si="6">M2</f>
        <v>あわてんぼうの紳士</v>
      </c>
      <c r="N4" s="116" t="str">
        <f t="shared" si="6"/>
        <v>ステージの最後に待ち構える_x000D_ファミリーの長 ジェントルは_x000D_たまに出番を間違えます</v>
      </c>
      <c r="O4" s="34" t="s">
        <v>186</v>
      </c>
      <c r="P4">
        <f t="shared" ref="P4:P5" si="7">LEN(N4)</f>
        <v>40</v>
      </c>
    </row>
    <row r="5" spans="1:16" ht="28" x14ac:dyDescent="0.15">
      <c r="A5" s="83" t="str">
        <f t="shared" si="4"/>
        <v>14001_2_4</v>
      </c>
      <c r="B5" s="84" t="s">
        <v>184</v>
      </c>
      <c r="C5" s="122">
        <v>14001</v>
      </c>
      <c r="D5" s="85" t="str">
        <f ca="1">VLOOKUP($C5,OFFSET([2]quests!$A$1,0,0,COUNTA([2]quests!$A:$A),MATCH(D$1,[2]quests!$1:$1,0)-MATCH($C$1,[2]quests!$1:$1,0)+1),MATCH(D$1,[2]quests!$1:$1,0)-MATCH($C$1,[2]quests!$1:$1,0)+1,FALSE)</f>
        <v>【ロック】経験値/ソロ</v>
      </c>
      <c r="E5" s="85" t="str">
        <f ca="1">VLOOKUP($C5,OFFSET([2]quests!$A$1,0,0,COUNTA([2]quests!$A:$A),MATCH(E$1,[2]quests!$1:$1,0)-MATCH($C$1,[2]quests!$1:$1,0)+1),MATCH(E$1,[2]quests!$1:$1,0)-MATCH($C$1,[2]quests!$1:$1,0)+1,FALSE)</f>
        <v>【ロック】経験値/ソロ</v>
      </c>
      <c r="F5" s="86">
        <v>2</v>
      </c>
      <c r="G5" s="85" t="str">
        <f ca="1">VLOOKUP($C5&amp;"_"&amp;$F5,OFFSET([2]stages!$A$1,0,0,COUNTA([2]stages!$A:$A),MATCH(G$1,[2]stages!$2:$2,0)-MATCH("temp_stage",[2]stages!$2:$2,0)+1),MATCH(G$1,[2]stages!$2:$2,0)-MATCH("temp_stage",[2]stages!$2:$2,0)+1,FALSE)</f>
        <v>【超級】水ファミリー（ハートなし）</v>
      </c>
      <c r="H5" s="85" t="str">
        <f ca="1">VLOOKUP($C5&amp;"_"&amp;$F5,OFFSET([2]stages!$A$1,0,0,COUNTA([2]stages!$A:$A),MATCH(H$1,[2]stages!$2:$2,0)-MATCH("temp_stage",[2]stages!$2:$2,0)+1),MATCH(H$1,[2]stages!$2:$2,0)-MATCH("temp_stage",[2]stages!$2:$2,0)+1,FALSE)</f>
        <v>【ロック】経験値/ソロ</v>
      </c>
      <c r="I5" s="87">
        <v>0</v>
      </c>
      <c r="J5" s="88">
        <f t="shared" si="1"/>
        <v>4</v>
      </c>
      <c r="K5" s="89" t="str">
        <f t="shared" si="5"/>
        <v>1400104</v>
      </c>
      <c r="L5" s="86" t="s">
        <v>220</v>
      </c>
      <c r="M5" s="116" t="str">
        <f t="shared" si="6"/>
        <v>ソロプレイのロッククエスト</v>
      </c>
      <c r="N5" s="123" t="str">
        <f>N3</f>
        <v>いつでも遊べるロッククエストは_x000D_ソロの場合 1日5回プレイできます</v>
      </c>
      <c r="O5" s="34" t="s">
        <v>221</v>
      </c>
      <c r="P5">
        <f t="shared" si="7"/>
        <v>33</v>
      </c>
    </row>
    <row r="6" spans="1:16" ht="42" x14ac:dyDescent="0.15">
      <c r="A6" s="83" t="str">
        <f t="shared" ref="A6:A13" si="8">C6&amp;"_"&amp;F6&amp;"_"&amp;J6</f>
        <v>14001_3_5</v>
      </c>
      <c r="B6" s="84" t="s">
        <v>184</v>
      </c>
      <c r="C6" s="122">
        <v>14001</v>
      </c>
      <c r="D6" s="85" t="str">
        <f ca="1">VLOOKUP($C6,OFFSET([2]quests!$A$1,0,0,COUNTA([2]quests!$A:$A),MATCH(D$1,[2]quests!$1:$1,0)-MATCH($C$1,[2]quests!$1:$1,0)+1),MATCH(D$1,[2]quests!$1:$1,0)-MATCH($C$1,[2]quests!$1:$1,0)+1,FALSE)</f>
        <v>【ロック】経験値/ソロ</v>
      </c>
      <c r="E6" s="85" t="str">
        <f ca="1">VLOOKUP($C6,OFFSET([2]quests!$A$1,0,0,COUNTA([2]quests!$A:$A),MATCH(E$1,[2]quests!$1:$1,0)-MATCH($C$1,[2]quests!$1:$1,0)+1),MATCH(E$1,[2]quests!$1:$1,0)-MATCH($C$1,[2]quests!$1:$1,0)+1,FALSE)</f>
        <v>【ロック】経験値/ソロ</v>
      </c>
      <c r="F6" s="86">
        <v>3</v>
      </c>
      <c r="G6" s="85" t="str">
        <f ca="1">VLOOKUP($C6&amp;"_"&amp;$F6,OFFSET([2]stages!$A$1,0,0,COUNTA([2]stages!$A:$A),MATCH(G$1,[2]stages!$2:$2,0)-MATCH("temp_stage",[2]stages!$2:$2,0)+1),MATCH(G$1,[2]stages!$2:$2,0)-MATCH("temp_stage",[2]stages!$2:$2,0)+1,FALSE)</f>
        <v>【超級】森ファミリー（ハートなし）</v>
      </c>
      <c r="H6" s="85" t="str">
        <f ca="1">VLOOKUP($C6&amp;"_"&amp;$F6,OFFSET([2]stages!$A$1,0,0,COUNTA([2]stages!$A:$A),MATCH(H$1,[2]stages!$2:$2,0)-MATCH("temp_stage",[2]stages!$2:$2,0)+1),MATCH(H$1,[2]stages!$2:$2,0)-MATCH("temp_stage",[2]stages!$2:$2,0)+1,FALSE)</f>
        <v>【ロック】経験値/ソロ</v>
      </c>
      <c r="I6" s="87">
        <v>0</v>
      </c>
      <c r="J6" s="88">
        <f t="shared" si="1"/>
        <v>5</v>
      </c>
      <c r="K6" s="89" t="str">
        <f t="shared" ref="K6:K13" si="9">C6&amp;TEXT(J6,"00")</f>
        <v>1400105</v>
      </c>
      <c r="L6" s="86" t="s">
        <v>185</v>
      </c>
      <c r="M6" s="116" t="str">
        <f t="shared" si="6"/>
        <v>あわてんぼうの紳士</v>
      </c>
      <c r="N6" s="116" t="str">
        <f t="shared" si="6"/>
        <v>ステージの最後に待ち構える_x000D_ファミリーの長 ジェントルは_x000D_たまに出番を間違えます</v>
      </c>
      <c r="O6" s="34" t="s">
        <v>186</v>
      </c>
      <c r="P6">
        <f t="shared" ref="P6:P13" si="10">LEN(N6)</f>
        <v>40</v>
      </c>
    </row>
    <row r="7" spans="1:16" ht="28" x14ac:dyDescent="0.15">
      <c r="A7" s="83" t="str">
        <f t="shared" si="8"/>
        <v>14001_3_6</v>
      </c>
      <c r="B7" s="84" t="s">
        <v>184</v>
      </c>
      <c r="C7" s="122">
        <v>14001</v>
      </c>
      <c r="D7" s="85" t="str">
        <f ca="1">VLOOKUP($C7,OFFSET([2]quests!$A$1,0,0,COUNTA([2]quests!$A:$A),MATCH(D$1,[2]quests!$1:$1,0)-MATCH($C$1,[2]quests!$1:$1,0)+1),MATCH(D$1,[2]quests!$1:$1,0)-MATCH($C$1,[2]quests!$1:$1,0)+1,FALSE)</f>
        <v>【ロック】経験値/ソロ</v>
      </c>
      <c r="E7" s="85" t="str">
        <f ca="1">VLOOKUP($C7,OFFSET([2]quests!$A$1,0,0,COUNTA([2]quests!$A:$A),MATCH(E$1,[2]quests!$1:$1,0)-MATCH($C$1,[2]quests!$1:$1,0)+1),MATCH(E$1,[2]quests!$1:$1,0)-MATCH($C$1,[2]quests!$1:$1,0)+1,FALSE)</f>
        <v>【ロック】経験値/ソロ</v>
      </c>
      <c r="F7" s="86">
        <v>3</v>
      </c>
      <c r="G7" s="85" t="str">
        <f ca="1">VLOOKUP($C7&amp;"_"&amp;$F7,OFFSET([2]stages!$A$1,0,0,COUNTA([2]stages!$A:$A),MATCH(G$1,[2]stages!$2:$2,0)-MATCH("temp_stage",[2]stages!$2:$2,0)+1),MATCH(G$1,[2]stages!$2:$2,0)-MATCH("temp_stage",[2]stages!$2:$2,0)+1,FALSE)</f>
        <v>【超級】森ファミリー（ハートなし）</v>
      </c>
      <c r="H7" s="85" t="str">
        <f ca="1">VLOOKUP($C7&amp;"_"&amp;$F7,OFFSET([2]stages!$A$1,0,0,COUNTA([2]stages!$A:$A),MATCH(H$1,[2]stages!$2:$2,0)-MATCH("temp_stage",[2]stages!$2:$2,0)+1),MATCH(H$1,[2]stages!$2:$2,0)-MATCH("temp_stage",[2]stages!$2:$2,0)+1,FALSE)</f>
        <v>【ロック】経験値/ソロ</v>
      </c>
      <c r="I7" s="87">
        <v>0</v>
      </c>
      <c r="J7" s="88">
        <f t="shared" si="1"/>
        <v>6</v>
      </c>
      <c r="K7" s="89" t="str">
        <f t="shared" si="9"/>
        <v>1400106</v>
      </c>
      <c r="L7" s="86" t="s">
        <v>220</v>
      </c>
      <c r="M7" s="116" t="str">
        <f t="shared" si="6"/>
        <v>ソロプレイのロッククエスト</v>
      </c>
      <c r="N7" s="116" t="str">
        <f>N5</f>
        <v>いつでも遊べるロッククエストは_x000D_ソロの場合 1日5回プレイできます</v>
      </c>
      <c r="O7" s="34" t="s">
        <v>221</v>
      </c>
      <c r="P7">
        <f t="shared" si="10"/>
        <v>33</v>
      </c>
    </row>
    <row r="8" spans="1:16" ht="42" x14ac:dyDescent="0.15">
      <c r="A8" s="83" t="str">
        <f t="shared" si="8"/>
        <v>14001_4_7</v>
      </c>
      <c r="B8" s="84" t="s">
        <v>184</v>
      </c>
      <c r="C8" s="122">
        <v>14001</v>
      </c>
      <c r="D8" s="85" t="str">
        <f ca="1">VLOOKUP($C8,OFFSET([2]quests!$A$1,0,0,COUNTA([2]quests!$A:$A),MATCH(D$1,[2]quests!$1:$1,0)-MATCH($C$1,[2]quests!$1:$1,0)+1),MATCH(D$1,[2]quests!$1:$1,0)-MATCH($C$1,[2]quests!$1:$1,0)+1,FALSE)</f>
        <v>【ロック】経験値/ソロ</v>
      </c>
      <c r="E8" s="85" t="str">
        <f ca="1">VLOOKUP($C8,OFFSET([2]quests!$A$1,0,0,COUNTA([2]quests!$A:$A),MATCH(E$1,[2]quests!$1:$1,0)-MATCH($C$1,[2]quests!$1:$1,0)+1),MATCH(E$1,[2]quests!$1:$1,0)-MATCH($C$1,[2]quests!$1:$1,0)+1,FALSE)</f>
        <v>【ロック】経験値/ソロ</v>
      </c>
      <c r="F8" s="86">
        <v>4</v>
      </c>
      <c r="G8" s="85" t="str">
        <f ca="1">VLOOKUP($C8&amp;"_"&amp;$F8,OFFSET([2]stages!$A$1,0,0,COUNTA([2]stages!$A:$A),MATCH(G$1,[2]stages!$2:$2,0)-MATCH("temp_stage",[2]stages!$2:$2,0)+1),MATCH(G$1,[2]stages!$2:$2,0)-MATCH("temp_stage",[2]stages!$2:$2,0)+1,FALSE)</f>
        <v>【超級】炎ファミリー（ハートなし）</v>
      </c>
      <c r="H8" s="85" t="str">
        <f ca="1">VLOOKUP($C8&amp;"_"&amp;$F8,OFFSET([2]stages!$A$1,0,0,COUNTA([2]stages!$A:$A),MATCH(H$1,[2]stages!$2:$2,0)-MATCH("temp_stage",[2]stages!$2:$2,0)+1),MATCH(H$1,[2]stages!$2:$2,0)-MATCH("temp_stage",[2]stages!$2:$2,0)+1,FALSE)</f>
        <v>【ロック】経験値/ソロ</v>
      </c>
      <c r="I8" s="87">
        <v>0</v>
      </c>
      <c r="J8" s="88">
        <f t="shared" si="1"/>
        <v>7</v>
      </c>
      <c r="K8" s="89" t="str">
        <f t="shared" si="9"/>
        <v>1400107</v>
      </c>
      <c r="L8" s="86" t="s">
        <v>185</v>
      </c>
      <c r="M8" s="116" t="str">
        <f t="shared" si="6"/>
        <v>あわてんぼうの紳士</v>
      </c>
      <c r="N8" s="116" t="str">
        <f t="shared" si="6"/>
        <v>ステージの最後に待ち構える_x000D_ファミリーの長 ジェントルは_x000D_たまに出番を間違えます</v>
      </c>
      <c r="O8" s="34" t="s">
        <v>186</v>
      </c>
      <c r="P8">
        <f t="shared" si="10"/>
        <v>40</v>
      </c>
    </row>
    <row r="9" spans="1:16" ht="28" x14ac:dyDescent="0.15">
      <c r="A9" s="83" t="str">
        <f t="shared" si="8"/>
        <v>14001_4_8</v>
      </c>
      <c r="B9" s="84" t="s">
        <v>184</v>
      </c>
      <c r="C9" s="122">
        <v>14001</v>
      </c>
      <c r="D9" s="85" t="str">
        <f ca="1">VLOOKUP($C9,OFFSET([2]quests!$A$1,0,0,COUNTA([2]quests!$A:$A),MATCH(D$1,[2]quests!$1:$1,0)-MATCH($C$1,[2]quests!$1:$1,0)+1),MATCH(D$1,[2]quests!$1:$1,0)-MATCH($C$1,[2]quests!$1:$1,0)+1,FALSE)</f>
        <v>【ロック】経験値/ソロ</v>
      </c>
      <c r="E9" s="85" t="str">
        <f ca="1">VLOOKUP($C9,OFFSET([2]quests!$A$1,0,0,COUNTA([2]quests!$A:$A),MATCH(E$1,[2]quests!$1:$1,0)-MATCH($C$1,[2]quests!$1:$1,0)+1),MATCH(E$1,[2]quests!$1:$1,0)-MATCH($C$1,[2]quests!$1:$1,0)+1,FALSE)</f>
        <v>【ロック】経験値/ソロ</v>
      </c>
      <c r="F9" s="86">
        <v>4</v>
      </c>
      <c r="G9" s="85" t="str">
        <f ca="1">VLOOKUP($C9&amp;"_"&amp;$F9,OFFSET([2]stages!$A$1,0,0,COUNTA([2]stages!$A:$A),MATCH(G$1,[2]stages!$2:$2,0)-MATCH("temp_stage",[2]stages!$2:$2,0)+1),MATCH(G$1,[2]stages!$2:$2,0)-MATCH("temp_stage",[2]stages!$2:$2,0)+1,FALSE)</f>
        <v>【超級】炎ファミリー（ハートなし）</v>
      </c>
      <c r="H9" s="85" t="str">
        <f ca="1">VLOOKUP($C9&amp;"_"&amp;$F9,OFFSET([2]stages!$A$1,0,0,COUNTA([2]stages!$A:$A),MATCH(H$1,[2]stages!$2:$2,0)-MATCH("temp_stage",[2]stages!$2:$2,0)+1),MATCH(H$1,[2]stages!$2:$2,0)-MATCH("temp_stage",[2]stages!$2:$2,0)+1,FALSE)</f>
        <v>【ロック】経験値/ソロ</v>
      </c>
      <c r="I9" s="87">
        <v>0</v>
      </c>
      <c r="J9" s="88">
        <f t="shared" si="1"/>
        <v>8</v>
      </c>
      <c r="K9" s="89" t="str">
        <f t="shared" si="9"/>
        <v>1400108</v>
      </c>
      <c r="L9" s="86" t="s">
        <v>220</v>
      </c>
      <c r="M9" s="116" t="str">
        <f t="shared" si="6"/>
        <v>ソロプレイのロッククエスト</v>
      </c>
      <c r="N9" s="116" t="str">
        <f>N7</f>
        <v>いつでも遊べるロッククエストは_x000D_ソロの場合 1日5回プレイできます</v>
      </c>
      <c r="O9" s="34" t="s">
        <v>221</v>
      </c>
      <c r="P9">
        <f t="shared" si="10"/>
        <v>33</v>
      </c>
    </row>
    <row r="10" spans="1:16" ht="42" x14ac:dyDescent="0.15">
      <c r="A10" s="83" t="str">
        <f t="shared" si="8"/>
        <v>14004_1_9</v>
      </c>
      <c r="B10" s="84" t="s">
        <v>184</v>
      </c>
      <c r="C10" s="121">
        <v>14004</v>
      </c>
      <c r="D10" s="85" t="str">
        <f ca="1">VLOOKUP($C10,OFFSET([2]quests!$A$1,0,0,COUNTA([2]quests!$A:$A),MATCH(D$1,[2]quests!$1:$1,0)-MATCH($C$1,[2]quests!$1:$1,0)+1),MATCH(D$1,[2]quests!$1:$1,0)-MATCH($C$1,[2]quests!$1:$1,0)+1,FALSE)</f>
        <v>【ロック】経験値/LINEマルチ</v>
      </c>
      <c r="E10" s="85" t="str">
        <f ca="1">VLOOKUP($C10,OFFSET([2]quests!$A$1,0,0,COUNTA([2]quests!$A:$A),MATCH(E$1,[2]quests!$1:$1,0)-MATCH($C$1,[2]quests!$1:$1,0)+1),MATCH(E$1,[2]quests!$1:$1,0)-MATCH($C$1,[2]quests!$1:$1,0)+1,FALSE)</f>
        <v>【ロック】経験値/LINEマルチ</v>
      </c>
      <c r="F10" s="86">
        <v>1</v>
      </c>
      <c r="G10" s="85" t="str">
        <f ca="1">VLOOKUP($C10&amp;"_"&amp;$F10,OFFSET([2]stages!$A$1,0,0,COUNTA([2]stages!$A:$A),MATCH(G$1,[2]stages!$2:$2,0)-MATCH("temp_stage",[2]stages!$2:$2,0)+1),MATCH(G$1,[2]stages!$2:$2,0)-MATCH("temp_stage",[2]stages!$2:$2,0)+1,FALSE)</f>
        <v>【超級】雷ファミリー（ハートなし）</v>
      </c>
      <c r="H10" s="85" t="str">
        <f ca="1">VLOOKUP($C10&amp;"_"&amp;$F10,OFFSET([2]stages!$A$1,0,0,COUNTA([2]stages!$A:$A),MATCH(H$1,[2]stages!$2:$2,0)-MATCH("temp_stage",[2]stages!$2:$2,0)+1),MATCH(H$1,[2]stages!$2:$2,0)-MATCH("temp_stage",[2]stages!$2:$2,0)+1,FALSE)</f>
        <v>【ロック】経験値/LINEマルチ</v>
      </c>
      <c r="I10" s="87">
        <v>0</v>
      </c>
      <c r="J10" s="88">
        <f t="shared" si="1"/>
        <v>9</v>
      </c>
      <c r="K10" s="89" t="str">
        <f t="shared" si="9"/>
        <v>1400409</v>
      </c>
      <c r="L10" s="86" t="s">
        <v>185</v>
      </c>
      <c r="M10" s="116" t="str">
        <f>M2</f>
        <v>あわてんぼうの紳士</v>
      </c>
      <c r="N10" s="116" t="str">
        <f>N2</f>
        <v>ステージの最後に待ち構える_x000D_ファミリーの長 ジェントルは_x000D_たまに出番を間違えます</v>
      </c>
      <c r="O10" s="34" t="s">
        <v>186</v>
      </c>
      <c r="P10">
        <f t="shared" si="10"/>
        <v>40</v>
      </c>
    </row>
    <row r="11" spans="1:16" ht="84" x14ac:dyDescent="0.15">
      <c r="A11" s="83" t="str">
        <f t="shared" si="8"/>
        <v>14004_1_10</v>
      </c>
      <c r="B11" s="84" t="s">
        <v>184</v>
      </c>
      <c r="C11" s="121">
        <v>14004</v>
      </c>
      <c r="D11" s="85" t="str">
        <f ca="1">VLOOKUP($C11,OFFSET([2]quests!$A$1,0,0,COUNTA([2]quests!$A:$A),MATCH(D$1,[2]quests!$1:$1,0)-MATCH($C$1,[2]quests!$1:$1,0)+1),MATCH(D$1,[2]quests!$1:$1,0)-MATCH($C$1,[2]quests!$1:$1,0)+1,FALSE)</f>
        <v>【ロック】経験値/LINEマルチ</v>
      </c>
      <c r="E11" s="85" t="str">
        <f ca="1">VLOOKUP($C11,OFFSET([2]quests!$A$1,0,0,COUNTA([2]quests!$A:$A),MATCH(E$1,[2]quests!$1:$1,0)-MATCH($C$1,[2]quests!$1:$1,0)+1),MATCH(E$1,[2]quests!$1:$1,0)-MATCH($C$1,[2]quests!$1:$1,0)+1,FALSE)</f>
        <v>【ロック】経験値/LINEマルチ</v>
      </c>
      <c r="F11" s="86">
        <v>1</v>
      </c>
      <c r="G11" s="85" t="str">
        <f ca="1">VLOOKUP($C11&amp;"_"&amp;$F11,OFFSET([2]stages!$A$1,0,0,COUNTA([2]stages!$A:$A),MATCH(G$1,[2]stages!$2:$2,0)-MATCH("temp_stage",[2]stages!$2:$2,0)+1),MATCH(G$1,[2]stages!$2:$2,0)-MATCH("temp_stage",[2]stages!$2:$2,0)+1,FALSE)</f>
        <v>【超級】雷ファミリー（ハートなし）</v>
      </c>
      <c r="H11" s="85" t="str">
        <f ca="1">VLOOKUP($C11&amp;"_"&amp;$F11,OFFSET([2]stages!$A$1,0,0,COUNTA([2]stages!$A:$A),MATCH(H$1,[2]stages!$2:$2,0)-MATCH("temp_stage",[2]stages!$2:$2,0)+1),MATCH(H$1,[2]stages!$2:$2,0)-MATCH("temp_stage",[2]stages!$2:$2,0)+1,FALSE)</f>
        <v>【ロック】経験値/LINEマルチ</v>
      </c>
      <c r="I11" s="87">
        <v>0</v>
      </c>
      <c r="J11" s="88">
        <f t="shared" si="1"/>
        <v>10</v>
      </c>
      <c r="K11" s="89" t="str">
        <f t="shared" si="9"/>
        <v>1400410</v>
      </c>
      <c r="L11" s="86" t="s">
        <v>220</v>
      </c>
      <c r="M11" s="114" t="s">
        <v>227</v>
      </c>
      <c r="N11" s="114" t="s">
        <v>230</v>
      </c>
      <c r="O11" s="34" t="s">
        <v>221</v>
      </c>
      <c r="P11">
        <f t="shared" si="10"/>
        <v>64</v>
      </c>
    </row>
    <row r="12" spans="1:16" ht="42" x14ac:dyDescent="0.15">
      <c r="A12" s="83" t="str">
        <f t="shared" si="8"/>
        <v>14004_2_11</v>
      </c>
      <c r="B12" s="84" t="s">
        <v>184</v>
      </c>
      <c r="C12" s="121">
        <v>14004</v>
      </c>
      <c r="D12" s="85" t="str">
        <f ca="1">VLOOKUP($C12,OFFSET([2]quests!$A$1,0,0,COUNTA([2]quests!$A:$A),MATCH(D$1,[2]quests!$1:$1,0)-MATCH($C$1,[2]quests!$1:$1,0)+1),MATCH(D$1,[2]quests!$1:$1,0)-MATCH($C$1,[2]quests!$1:$1,0)+1,FALSE)</f>
        <v>【ロック】経験値/LINEマルチ</v>
      </c>
      <c r="E12" s="85" t="str">
        <f ca="1">VLOOKUP($C12,OFFSET([2]quests!$A$1,0,0,COUNTA([2]quests!$A:$A),MATCH(E$1,[2]quests!$1:$1,0)-MATCH($C$1,[2]quests!$1:$1,0)+1),MATCH(E$1,[2]quests!$1:$1,0)-MATCH($C$1,[2]quests!$1:$1,0)+1,FALSE)</f>
        <v>【ロック】経験値/LINEマルチ</v>
      </c>
      <c r="F12" s="86">
        <v>2</v>
      </c>
      <c r="G12" s="85" t="str">
        <f ca="1">VLOOKUP($C12&amp;"_"&amp;$F12,OFFSET([2]stages!$A$1,0,0,COUNTA([2]stages!$A:$A),MATCH(G$1,[2]stages!$2:$2,0)-MATCH("temp_stage",[2]stages!$2:$2,0)+1),MATCH(G$1,[2]stages!$2:$2,0)-MATCH("temp_stage",[2]stages!$2:$2,0)+1,FALSE)</f>
        <v>【超級】水ファミリー（ハートなし）</v>
      </c>
      <c r="H12" s="85" t="str">
        <f ca="1">VLOOKUP($C12&amp;"_"&amp;$F12,OFFSET([2]stages!$A$1,0,0,COUNTA([2]stages!$A:$A),MATCH(H$1,[2]stages!$2:$2,0)-MATCH("temp_stage",[2]stages!$2:$2,0)+1),MATCH(H$1,[2]stages!$2:$2,0)-MATCH("temp_stage",[2]stages!$2:$2,0)+1,FALSE)</f>
        <v>【ロック】経験値/LINEマルチ</v>
      </c>
      <c r="I12" s="87">
        <v>0</v>
      </c>
      <c r="J12" s="88">
        <f t="shared" si="1"/>
        <v>11</v>
      </c>
      <c r="K12" s="89" t="str">
        <f t="shared" si="9"/>
        <v>1400411</v>
      </c>
      <c r="L12" s="86" t="s">
        <v>185</v>
      </c>
      <c r="M12" s="116" t="str">
        <f t="shared" ref="M12:N17" si="11">M10</f>
        <v>あわてんぼうの紳士</v>
      </c>
      <c r="N12" s="116" t="str">
        <f t="shared" si="11"/>
        <v>ステージの最後に待ち構える_x000D_ファミリーの長 ジェントルは_x000D_たまに出番を間違えます</v>
      </c>
      <c r="O12" s="34" t="s">
        <v>186</v>
      </c>
      <c r="P12">
        <f t="shared" si="10"/>
        <v>40</v>
      </c>
    </row>
    <row r="13" spans="1:16" ht="84" x14ac:dyDescent="0.15">
      <c r="A13" s="83" t="str">
        <f t="shared" si="8"/>
        <v>14004_2_12</v>
      </c>
      <c r="B13" s="84" t="s">
        <v>184</v>
      </c>
      <c r="C13" s="121">
        <v>14004</v>
      </c>
      <c r="D13" s="85" t="str">
        <f ca="1">VLOOKUP($C13,OFFSET([2]quests!$A$1,0,0,COUNTA([2]quests!$A:$A),MATCH(D$1,[2]quests!$1:$1,0)-MATCH($C$1,[2]quests!$1:$1,0)+1),MATCH(D$1,[2]quests!$1:$1,0)-MATCH($C$1,[2]quests!$1:$1,0)+1,FALSE)</f>
        <v>【ロック】経験値/LINEマルチ</v>
      </c>
      <c r="E13" s="85" t="str">
        <f ca="1">VLOOKUP($C13,OFFSET([2]quests!$A$1,0,0,COUNTA([2]quests!$A:$A),MATCH(E$1,[2]quests!$1:$1,0)-MATCH($C$1,[2]quests!$1:$1,0)+1),MATCH(E$1,[2]quests!$1:$1,0)-MATCH($C$1,[2]quests!$1:$1,0)+1,FALSE)</f>
        <v>【ロック】経験値/LINEマルチ</v>
      </c>
      <c r="F13" s="86">
        <v>2</v>
      </c>
      <c r="G13" s="85" t="str">
        <f ca="1">VLOOKUP($C13&amp;"_"&amp;$F13,OFFSET([2]stages!$A$1,0,0,COUNTA([2]stages!$A:$A),MATCH(G$1,[2]stages!$2:$2,0)-MATCH("temp_stage",[2]stages!$2:$2,0)+1),MATCH(G$1,[2]stages!$2:$2,0)-MATCH("temp_stage",[2]stages!$2:$2,0)+1,FALSE)</f>
        <v>【超級】水ファミリー（ハートなし）</v>
      </c>
      <c r="H13" s="85" t="str">
        <f ca="1">VLOOKUP($C13&amp;"_"&amp;$F13,OFFSET([2]stages!$A$1,0,0,COUNTA([2]stages!$A:$A),MATCH(H$1,[2]stages!$2:$2,0)-MATCH("temp_stage",[2]stages!$2:$2,0)+1),MATCH(H$1,[2]stages!$2:$2,0)-MATCH("temp_stage",[2]stages!$2:$2,0)+1,FALSE)</f>
        <v>【ロック】経験値/LINEマルチ</v>
      </c>
      <c r="I13" s="87">
        <v>0</v>
      </c>
      <c r="J13" s="88">
        <f t="shared" si="1"/>
        <v>12</v>
      </c>
      <c r="K13" s="89" t="str">
        <f t="shared" si="9"/>
        <v>1400412</v>
      </c>
      <c r="L13" s="86" t="s">
        <v>220</v>
      </c>
      <c r="M13" s="116" t="str">
        <f t="shared" si="11"/>
        <v>LINEマルチのロッククエスト</v>
      </c>
      <c r="N13" s="116" t="str">
        <f t="shared" si="11"/>
        <v>いつでも遊べるロッククエストは_x000D_LINEマルチの場合 1日5回プレイできます_x000D__x000D_マルチプレイに参加する場合_x000D_回数制限はありません</v>
      </c>
      <c r="O13" s="34" t="s">
        <v>221</v>
      </c>
      <c r="P13">
        <f t="shared" si="10"/>
        <v>64</v>
      </c>
    </row>
    <row r="14" spans="1:16" ht="42" x14ac:dyDescent="0.15">
      <c r="A14" s="83" t="str">
        <f t="shared" ref="A14:A17" si="12">C14&amp;"_"&amp;F14&amp;"_"&amp;J14</f>
        <v>14004_3_13</v>
      </c>
      <c r="B14" s="84" t="s">
        <v>184</v>
      </c>
      <c r="C14" s="121">
        <v>14004</v>
      </c>
      <c r="D14" s="85" t="str">
        <f ca="1">VLOOKUP($C14,OFFSET([2]quests!$A$1,0,0,COUNTA([2]quests!$A:$A),MATCH(D$1,[2]quests!$1:$1,0)-MATCH($C$1,[2]quests!$1:$1,0)+1),MATCH(D$1,[2]quests!$1:$1,0)-MATCH($C$1,[2]quests!$1:$1,0)+1,FALSE)</f>
        <v>【ロック】経験値/LINEマルチ</v>
      </c>
      <c r="E14" s="85" t="str">
        <f ca="1">VLOOKUP($C14,OFFSET([2]quests!$A$1,0,0,COUNTA([2]quests!$A:$A),MATCH(E$1,[2]quests!$1:$1,0)-MATCH($C$1,[2]quests!$1:$1,0)+1),MATCH(E$1,[2]quests!$1:$1,0)-MATCH($C$1,[2]quests!$1:$1,0)+1,FALSE)</f>
        <v>【ロック】経験値/LINEマルチ</v>
      </c>
      <c r="F14" s="86">
        <v>3</v>
      </c>
      <c r="G14" s="85" t="str">
        <f ca="1">VLOOKUP($C14&amp;"_"&amp;$F14,OFFSET([2]stages!$A$1,0,0,COUNTA([2]stages!$A:$A),MATCH(G$1,[2]stages!$2:$2,0)-MATCH("temp_stage",[2]stages!$2:$2,0)+1),MATCH(G$1,[2]stages!$2:$2,0)-MATCH("temp_stage",[2]stages!$2:$2,0)+1,FALSE)</f>
        <v>【超級】森ファミリー（ハートなし）</v>
      </c>
      <c r="H14" s="85" t="str">
        <f ca="1">VLOOKUP($C14&amp;"_"&amp;$F14,OFFSET([2]stages!$A$1,0,0,COUNTA([2]stages!$A:$A),MATCH(H$1,[2]stages!$2:$2,0)-MATCH("temp_stage",[2]stages!$2:$2,0)+1),MATCH(H$1,[2]stages!$2:$2,0)-MATCH("temp_stage",[2]stages!$2:$2,0)+1,FALSE)</f>
        <v>【ロック】経験値/LINEマルチ</v>
      </c>
      <c r="I14" s="87">
        <v>0</v>
      </c>
      <c r="J14" s="88">
        <f t="shared" si="1"/>
        <v>13</v>
      </c>
      <c r="K14" s="89" t="str">
        <f t="shared" ref="K14:K17" si="13">C14&amp;TEXT(J14,"00")</f>
        <v>1400413</v>
      </c>
      <c r="L14" s="86" t="s">
        <v>185</v>
      </c>
      <c r="M14" s="116" t="str">
        <f t="shared" si="11"/>
        <v>あわてんぼうの紳士</v>
      </c>
      <c r="N14" s="116" t="str">
        <f t="shared" si="11"/>
        <v>ステージの最後に待ち構える_x000D_ファミリーの長 ジェントルは_x000D_たまに出番を間違えます</v>
      </c>
      <c r="O14" s="34" t="s">
        <v>186</v>
      </c>
      <c r="P14">
        <f t="shared" ref="P14:P17" si="14">LEN(N14)</f>
        <v>40</v>
      </c>
    </row>
    <row r="15" spans="1:16" ht="84" x14ac:dyDescent="0.15">
      <c r="A15" s="83" t="str">
        <f t="shared" si="12"/>
        <v>14004_3_14</v>
      </c>
      <c r="B15" s="84" t="s">
        <v>184</v>
      </c>
      <c r="C15" s="121">
        <v>14004</v>
      </c>
      <c r="D15" s="85" t="str">
        <f ca="1">VLOOKUP($C15,OFFSET([2]quests!$A$1,0,0,COUNTA([2]quests!$A:$A),MATCH(D$1,[2]quests!$1:$1,0)-MATCH($C$1,[2]quests!$1:$1,0)+1),MATCH(D$1,[2]quests!$1:$1,0)-MATCH($C$1,[2]quests!$1:$1,0)+1,FALSE)</f>
        <v>【ロック】経験値/LINEマルチ</v>
      </c>
      <c r="E15" s="85" t="str">
        <f ca="1">VLOOKUP($C15,OFFSET([2]quests!$A$1,0,0,COUNTA([2]quests!$A:$A),MATCH(E$1,[2]quests!$1:$1,0)-MATCH($C$1,[2]quests!$1:$1,0)+1),MATCH(E$1,[2]quests!$1:$1,0)-MATCH($C$1,[2]quests!$1:$1,0)+1,FALSE)</f>
        <v>【ロック】経験値/LINEマルチ</v>
      </c>
      <c r="F15" s="86">
        <v>3</v>
      </c>
      <c r="G15" s="85" t="str">
        <f ca="1">VLOOKUP($C15&amp;"_"&amp;$F15,OFFSET([2]stages!$A$1,0,0,COUNTA([2]stages!$A:$A),MATCH(G$1,[2]stages!$2:$2,0)-MATCH("temp_stage",[2]stages!$2:$2,0)+1),MATCH(G$1,[2]stages!$2:$2,0)-MATCH("temp_stage",[2]stages!$2:$2,0)+1,FALSE)</f>
        <v>【超級】森ファミリー（ハートなし）</v>
      </c>
      <c r="H15" s="85" t="str">
        <f ca="1">VLOOKUP($C15&amp;"_"&amp;$F15,OFFSET([2]stages!$A$1,0,0,COUNTA([2]stages!$A:$A),MATCH(H$1,[2]stages!$2:$2,0)-MATCH("temp_stage",[2]stages!$2:$2,0)+1),MATCH(H$1,[2]stages!$2:$2,0)-MATCH("temp_stage",[2]stages!$2:$2,0)+1,FALSE)</f>
        <v>【ロック】経験値/LINEマルチ</v>
      </c>
      <c r="I15" s="87">
        <v>0</v>
      </c>
      <c r="J15" s="88">
        <f t="shared" si="1"/>
        <v>14</v>
      </c>
      <c r="K15" s="89" t="str">
        <f t="shared" si="13"/>
        <v>1400414</v>
      </c>
      <c r="L15" s="86" t="s">
        <v>220</v>
      </c>
      <c r="M15" s="116" t="str">
        <f t="shared" si="11"/>
        <v>LINEマルチのロッククエスト</v>
      </c>
      <c r="N15" s="116" t="str">
        <f t="shared" si="11"/>
        <v>いつでも遊べるロッククエストは_x000D_LINEマルチの場合 1日5回プレイできます_x000D__x000D_マルチプレイに参加する場合_x000D_回数制限はありません</v>
      </c>
      <c r="O15" s="34" t="s">
        <v>221</v>
      </c>
      <c r="P15">
        <f t="shared" si="14"/>
        <v>64</v>
      </c>
    </row>
    <row r="16" spans="1:16" ht="42" x14ac:dyDescent="0.15">
      <c r="A16" s="83" t="str">
        <f t="shared" si="12"/>
        <v>14004_4_15</v>
      </c>
      <c r="B16" s="84" t="s">
        <v>184</v>
      </c>
      <c r="C16" s="121">
        <v>14004</v>
      </c>
      <c r="D16" s="85" t="str">
        <f ca="1">VLOOKUP($C16,OFFSET([2]quests!$A$1,0,0,COUNTA([2]quests!$A:$A),MATCH(D$1,[2]quests!$1:$1,0)-MATCH($C$1,[2]quests!$1:$1,0)+1),MATCH(D$1,[2]quests!$1:$1,0)-MATCH($C$1,[2]quests!$1:$1,0)+1,FALSE)</f>
        <v>【ロック】経験値/LINEマルチ</v>
      </c>
      <c r="E16" s="85" t="str">
        <f ca="1">VLOOKUP($C16,OFFSET([2]quests!$A$1,0,0,COUNTA([2]quests!$A:$A),MATCH(E$1,[2]quests!$1:$1,0)-MATCH($C$1,[2]quests!$1:$1,0)+1),MATCH(E$1,[2]quests!$1:$1,0)-MATCH($C$1,[2]quests!$1:$1,0)+1,FALSE)</f>
        <v>【ロック】経験値/LINEマルチ</v>
      </c>
      <c r="F16" s="86">
        <v>4</v>
      </c>
      <c r="G16" s="85" t="str">
        <f ca="1">VLOOKUP($C16&amp;"_"&amp;$F16,OFFSET([2]stages!$A$1,0,0,COUNTA([2]stages!$A:$A),MATCH(G$1,[2]stages!$2:$2,0)-MATCH("temp_stage",[2]stages!$2:$2,0)+1),MATCH(G$1,[2]stages!$2:$2,0)-MATCH("temp_stage",[2]stages!$2:$2,0)+1,FALSE)</f>
        <v>【超級】炎ファミリー（ハートなし）</v>
      </c>
      <c r="H16" s="85" t="str">
        <f ca="1">VLOOKUP($C16&amp;"_"&amp;$F16,OFFSET([2]stages!$A$1,0,0,COUNTA([2]stages!$A:$A),MATCH(H$1,[2]stages!$2:$2,0)-MATCH("temp_stage",[2]stages!$2:$2,0)+1),MATCH(H$1,[2]stages!$2:$2,0)-MATCH("temp_stage",[2]stages!$2:$2,0)+1,FALSE)</f>
        <v>【ロック】経験値/LINEマルチ</v>
      </c>
      <c r="I16" s="87">
        <v>0</v>
      </c>
      <c r="J16" s="88">
        <f t="shared" si="1"/>
        <v>15</v>
      </c>
      <c r="K16" s="89" t="str">
        <f t="shared" si="13"/>
        <v>1400415</v>
      </c>
      <c r="L16" s="86" t="s">
        <v>185</v>
      </c>
      <c r="M16" s="116" t="str">
        <f t="shared" si="11"/>
        <v>あわてんぼうの紳士</v>
      </c>
      <c r="N16" s="116" t="str">
        <f t="shared" si="11"/>
        <v>ステージの最後に待ち構える_x000D_ファミリーの長 ジェントルは_x000D_たまに出番を間違えます</v>
      </c>
      <c r="O16" s="34" t="s">
        <v>186</v>
      </c>
      <c r="P16">
        <f t="shared" si="14"/>
        <v>40</v>
      </c>
    </row>
    <row r="17" spans="1:16" ht="84" x14ac:dyDescent="0.15">
      <c r="A17" s="83" t="str">
        <f t="shared" si="12"/>
        <v>14004_4_16</v>
      </c>
      <c r="B17" s="84" t="s">
        <v>184</v>
      </c>
      <c r="C17" s="121">
        <v>14004</v>
      </c>
      <c r="D17" s="85" t="str">
        <f ca="1">VLOOKUP($C17,OFFSET([2]quests!$A$1,0,0,COUNTA([2]quests!$A:$A),MATCH(D$1,[2]quests!$1:$1,0)-MATCH($C$1,[2]quests!$1:$1,0)+1),MATCH(D$1,[2]quests!$1:$1,0)-MATCH($C$1,[2]quests!$1:$1,0)+1,FALSE)</f>
        <v>【ロック】経験値/LINEマルチ</v>
      </c>
      <c r="E17" s="85" t="str">
        <f ca="1">VLOOKUP($C17,OFFSET([2]quests!$A$1,0,0,COUNTA([2]quests!$A:$A),MATCH(E$1,[2]quests!$1:$1,0)-MATCH($C$1,[2]quests!$1:$1,0)+1),MATCH(E$1,[2]quests!$1:$1,0)-MATCH($C$1,[2]quests!$1:$1,0)+1,FALSE)</f>
        <v>【ロック】経験値/LINEマルチ</v>
      </c>
      <c r="F17" s="86">
        <v>4</v>
      </c>
      <c r="G17" s="85" t="str">
        <f ca="1">VLOOKUP($C17&amp;"_"&amp;$F17,OFFSET([2]stages!$A$1,0,0,COUNTA([2]stages!$A:$A),MATCH(G$1,[2]stages!$2:$2,0)-MATCH("temp_stage",[2]stages!$2:$2,0)+1),MATCH(G$1,[2]stages!$2:$2,0)-MATCH("temp_stage",[2]stages!$2:$2,0)+1,FALSE)</f>
        <v>【超級】炎ファミリー（ハートなし）</v>
      </c>
      <c r="H17" s="85" t="str">
        <f ca="1">VLOOKUP($C17&amp;"_"&amp;$F17,OFFSET([2]stages!$A$1,0,0,COUNTA([2]stages!$A:$A),MATCH(H$1,[2]stages!$2:$2,0)-MATCH("temp_stage",[2]stages!$2:$2,0)+1),MATCH(H$1,[2]stages!$2:$2,0)-MATCH("temp_stage",[2]stages!$2:$2,0)+1,FALSE)</f>
        <v>【ロック】経験値/LINEマルチ</v>
      </c>
      <c r="I17" s="87">
        <v>0</v>
      </c>
      <c r="J17" s="88">
        <f t="shared" si="1"/>
        <v>16</v>
      </c>
      <c r="K17" s="89" t="str">
        <f t="shared" si="13"/>
        <v>1400416</v>
      </c>
      <c r="L17" s="86" t="s">
        <v>220</v>
      </c>
      <c r="M17" s="116" t="str">
        <f t="shared" si="11"/>
        <v>LINEマルチのロッククエスト</v>
      </c>
      <c r="N17" s="116" t="str">
        <f t="shared" si="11"/>
        <v>いつでも遊べるロッククエストは_x000D_LINEマルチの場合 1日5回プレイできます_x000D__x000D_マルチプレイに参加する場合_x000D_回数制限はありません</v>
      </c>
      <c r="O17" s="34" t="s">
        <v>221</v>
      </c>
      <c r="P17">
        <f t="shared" si="14"/>
        <v>64</v>
      </c>
    </row>
    <row r="18" spans="1:16" x14ac:dyDescent="0.15">
      <c r="M18" s="115" t="s">
        <v>222</v>
      </c>
      <c r="N18" s="115" t="s">
        <v>223</v>
      </c>
    </row>
  </sheetData>
  <phoneticPr fontId="4"/>
  <dataValidations count="1">
    <dataValidation type="list" allowBlank="1" showInputMessage="1" showErrorMessage="1" sqref="B2:B1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調整用</vt:lpstr>
      <vt:lpstr>enemy_skill_sets</vt:lpstr>
      <vt:lpstr>enemy_skills</vt:lpstr>
      <vt:lpstr>enemy_skill_triggers</vt:lpstr>
      <vt:lpstr>bugbonuses</vt:lpstr>
      <vt:lpstr>stage_hints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2017-01-25T03:06:34Z</dcterms:modified>
</cp:coreProperties>
</file>