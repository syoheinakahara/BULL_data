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426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b-test/GitHub/BULL_data/master_excel/"/>
    </mc:Choice>
  </mc:AlternateContent>
  <bookViews>
    <workbookView xWindow="2960" yWindow="4880" windowWidth="29900" windowHeight="12320" tabRatio="936" activeTab="1"/>
  </bookViews>
  <sheets>
    <sheet name="output" sheetId="16" r:id="rId1"/>
    <sheet name="score_attack_expanded_floors" sheetId="2" r:id="rId2"/>
    <sheet name="score_attack_expanded_stages" sheetId="24" r:id="rId3"/>
    <sheet name="score_attack_params_damage_give" sheetId="30" r:id="rId4"/>
    <sheet name="score_attack_params_heal" sheetId="40" r:id="rId5"/>
    <sheet name="stage_evaluations" sheetId="28" r:id="rId6"/>
    <sheet name="stage_evaluation_gifts" sheetId="29" r:id="rId7"/>
    <sheet name="ranking_ACH" sheetId="22" r:id="rId8"/>
    <sheet name="unit_bonus_conditions" sheetId="32" r:id="rId9"/>
    <sheet name="floors" sheetId="41" r:id="rId10"/>
    <sheet name="enemy_habitats" sheetId="42" r:id="rId11"/>
    <sheet name="enemy_habitat_S" sheetId="43" r:id="rId12"/>
    <sheet name="enemy_skill_sets" sheetId="44" r:id="rId13"/>
    <sheet name="enemy_skills" sheetId="45" r:id="rId14"/>
    <sheet name="enemy_skill_triggers" sheetId="46" r:id="rId15"/>
    <sheet name="bugbonuses" sheetId="47" r:id="rId16"/>
    <sheet name="stage_hints_complete" sheetId="61" r:id="rId17"/>
    <sheet name="stage_hints_failure" sheetId="49" r:id="rId18"/>
    <sheet name="stage_bonuses" sheetId="50" r:id="rId19"/>
  </sheets>
  <externalReferences>
    <externalReference r:id="rId20"/>
    <externalReference r:id="rId21"/>
    <externalReference r:id="rId22"/>
    <externalReference r:id="rId23"/>
  </externalReferences>
  <definedNames>
    <definedName name="_xlnm._FilterDatabase" localSheetId="11" hidden="1">enemy_habitat_S!$B$1:$Y$2</definedName>
    <definedName name="_xlnm._FilterDatabase" localSheetId="10" hidden="1">enemy_habitats!$B$1:$AH$1</definedName>
    <definedName name="_xlnm._FilterDatabase" localSheetId="12" hidden="1">enemy_skill_sets!$A$1:$R$1</definedName>
    <definedName name="_xlnm._FilterDatabase" localSheetId="14" hidden="1">enemy_skill_triggers!$A$1:$G$1</definedName>
    <definedName name="_xlnm._FilterDatabase" localSheetId="13" hidden="1">enemy_skills!$A$1:$AB$1</definedName>
    <definedName name="_xlnm._FilterDatabase" localSheetId="18" hidden="1">stage_bonuses!$B$1:$I$1</definedName>
    <definedName name="_xlnm._FilterDatabase" localSheetId="16" hidden="1">stage_hints_complete!$B$1:$L$1</definedName>
    <definedName name="_xlnm._FilterDatabase" localSheetId="17" hidden="1">stage_hints_failure!$B$1:$M$1</definedName>
    <definedName name="Excel_BuiltIn__FilterDatabase_6_1" localSheetId="12">[1]unit_skills!#REF!</definedName>
    <definedName name="Excel_BuiltIn__FilterDatabase_6_1" localSheetId="14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40" l="1"/>
  <c r="G3" i="40"/>
  <c r="I3" i="40"/>
  <c r="G13" i="40"/>
  <c r="I13" i="40"/>
  <c r="F12" i="40"/>
  <c r="G12" i="40"/>
  <c r="I12" i="40"/>
  <c r="G10" i="40"/>
  <c r="I10" i="40"/>
  <c r="F9" i="40"/>
  <c r="G9" i="40"/>
  <c r="I9" i="40"/>
  <c r="G7" i="40"/>
  <c r="I7" i="40"/>
  <c r="F6" i="40"/>
  <c r="G6" i="40"/>
  <c r="I6" i="40"/>
  <c r="G4" i="40"/>
  <c r="I4" i="40"/>
  <c r="G13" i="30"/>
  <c r="I13" i="30"/>
  <c r="F12" i="30"/>
  <c r="G12" i="30"/>
  <c r="I12" i="30"/>
  <c r="G10" i="30"/>
  <c r="I10" i="30"/>
  <c r="F9" i="30"/>
  <c r="G9" i="30"/>
  <c r="I9" i="30"/>
  <c r="G7" i="30"/>
  <c r="I7" i="30"/>
  <c r="F6" i="30"/>
  <c r="G6" i="30"/>
  <c r="I6" i="30"/>
  <c r="G4" i="30"/>
  <c r="I4" i="30"/>
  <c r="F3" i="30"/>
  <c r="G3" i="30"/>
  <c r="I3" i="30"/>
  <c r="E16" i="40"/>
  <c r="Q6" i="2"/>
  <c r="P6" i="2"/>
  <c r="D16" i="30"/>
  <c r="D16" i="40"/>
  <c r="F2" i="30"/>
  <c r="A2" i="30"/>
  <c r="A3" i="30"/>
  <c r="B3" i="30"/>
  <c r="C2" i="30"/>
  <c r="C3" i="30"/>
  <c r="F11" i="40"/>
  <c r="F8" i="40"/>
  <c r="F5" i="40"/>
  <c r="F2" i="40"/>
  <c r="A2" i="40"/>
  <c r="A11" i="40"/>
  <c r="C11" i="40"/>
  <c r="C13" i="40"/>
  <c r="B13" i="40"/>
  <c r="A13" i="40"/>
  <c r="C12" i="40"/>
  <c r="B12" i="40"/>
  <c r="A12" i="40"/>
  <c r="G11" i="40"/>
  <c r="A8" i="40"/>
  <c r="C8" i="40"/>
  <c r="C10" i="40"/>
  <c r="B10" i="40"/>
  <c r="A10" i="40"/>
  <c r="C9" i="40"/>
  <c r="B9" i="40"/>
  <c r="A9" i="40"/>
  <c r="G8" i="40"/>
  <c r="A5" i="40"/>
  <c r="C5" i="40"/>
  <c r="C7" i="40"/>
  <c r="B7" i="40"/>
  <c r="A7" i="40"/>
  <c r="C6" i="40"/>
  <c r="B6" i="40"/>
  <c r="A6" i="40"/>
  <c r="G5" i="40"/>
  <c r="C2" i="40"/>
  <c r="C4" i="40"/>
  <c r="B4" i="40"/>
  <c r="A4" i="40"/>
  <c r="C3" i="40"/>
  <c r="B3" i="40"/>
  <c r="A3" i="40"/>
  <c r="G2" i="40"/>
  <c r="E16" i="30"/>
  <c r="C16" i="16"/>
  <c r="C15" i="16"/>
  <c r="C14" i="16"/>
  <c r="H4" i="43"/>
  <c r="C2" i="41"/>
  <c r="G2" i="41"/>
  <c r="A2" i="41"/>
  <c r="C3" i="41"/>
  <c r="G3" i="41"/>
  <c r="A3" i="41"/>
  <c r="C4" i="41"/>
  <c r="G4" i="41"/>
  <c r="A4" i="41"/>
  <c r="C5" i="41"/>
  <c r="G5" i="41"/>
  <c r="A5" i="41"/>
  <c r="J4" i="43"/>
  <c r="H3" i="43"/>
  <c r="J3" i="43"/>
  <c r="H2" i="43"/>
  <c r="J2" i="43"/>
  <c r="I4" i="43"/>
  <c r="I3" i="43"/>
  <c r="I2" i="43"/>
  <c r="H3" i="42"/>
  <c r="J3" i="42"/>
  <c r="H4" i="42"/>
  <c r="J4" i="42"/>
  <c r="H5" i="42"/>
  <c r="J5" i="42"/>
  <c r="H6" i="42"/>
  <c r="J6" i="42"/>
  <c r="H7" i="42"/>
  <c r="J7" i="42"/>
  <c r="H8" i="42"/>
  <c r="J8" i="42"/>
  <c r="H9" i="42"/>
  <c r="J9" i="42"/>
  <c r="H2" i="42"/>
  <c r="J2" i="42"/>
  <c r="I9" i="42"/>
  <c r="I8" i="42"/>
  <c r="I7" i="42"/>
  <c r="I6" i="42"/>
  <c r="I5" i="42"/>
  <c r="I4" i="42"/>
  <c r="I3" i="42"/>
  <c r="I2" i="42"/>
  <c r="R4" i="43"/>
  <c r="Q4" i="43"/>
  <c r="P4" i="43"/>
  <c r="O4" i="43"/>
  <c r="N4" i="43"/>
  <c r="D4" i="43"/>
  <c r="F4" i="43"/>
  <c r="E4" i="43"/>
  <c r="A4" i="43"/>
  <c r="R3" i="43"/>
  <c r="Q3" i="43"/>
  <c r="P3" i="43"/>
  <c r="O3" i="43"/>
  <c r="N3" i="43"/>
  <c r="D3" i="43"/>
  <c r="F3" i="43"/>
  <c r="E3" i="43"/>
  <c r="A3" i="43"/>
  <c r="R2" i="43"/>
  <c r="Q2" i="43"/>
  <c r="P2" i="43"/>
  <c r="O2" i="43"/>
  <c r="N2" i="43"/>
  <c r="D2" i="43"/>
  <c r="F2" i="43"/>
  <c r="E2" i="43"/>
  <c r="A2" i="43"/>
  <c r="AD9" i="42"/>
  <c r="AG9" i="42"/>
  <c r="AE9" i="42"/>
  <c r="AC9" i="42"/>
  <c r="Q9" i="42"/>
  <c r="P9" i="42"/>
  <c r="O9" i="42"/>
  <c r="N9" i="42"/>
  <c r="M9" i="42"/>
  <c r="D9" i="42"/>
  <c r="F9" i="42"/>
  <c r="E9" i="42"/>
  <c r="A9" i="42"/>
  <c r="AB8" i="42"/>
  <c r="AD8" i="42"/>
  <c r="AG8" i="42"/>
  <c r="AE8" i="42"/>
  <c r="AC8" i="42"/>
  <c r="Q8" i="42"/>
  <c r="P8" i="42"/>
  <c r="O8" i="42"/>
  <c r="N8" i="42"/>
  <c r="M8" i="42"/>
  <c r="D8" i="42"/>
  <c r="F8" i="42"/>
  <c r="E8" i="42"/>
  <c r="A8" i="42"/>
  <c r="AB7" i="42"/>
  <c r="AD7" i="42"/>
  <c r="AG7" i="42"/>
  <c r="AE7" i="42"/>
  <c r="AC7" i="42"/>
  <c r="Q7" i="42"/>
  <c r="P7" i="42"/>
  <c r="O7" i="42"/>
  <c r="N7" i="42"/>
  <c r="M7" i="42"/>
  <c r="D7" i="42"/>
  <c r="F7" i="42"/>
  <c r="E7" i="42"/>
  <c r="A7" i="42"/>
  <c r="AB6" i="42"/>
  <c r="AD6" i="42"/>
  <c r="AG6" i="42"/>
  <c r="AE6" i="42"/>
  <c r="AC6" i="42"/>
  <c r="Q6" i="42"/>
  <c r="P6" i="42"/>
  <c r="O6" i="42"/>
  <c r="N6" i="42"/>
  <c r="M6" i="42"/>
  <c r="D6" i="42"/>
  <c r="F6" i="42"/>
  <c r="E6" i="42"/>
  <c r="A6" i="42"/>
  <c r="AB5" i="42"/>
  <c r="AD5" i="42"/>
  <c r="AG5" i="42"/>
  <c r="AE5" i="42"/>
  <c r="AC5" i="42"/>
  <c r="Q5" i="42"/>
  <c r="P5" i="42"/>
  <c r="O5" i="42"/>
  <c r="N5" i="42"/>
  <c r="M5" i="42"/>
  <c r="D5" i="42"/>
  <c r="F5" i="42"/>
  <c r="E5" i="42"/>
  <c r="A5" i="42"/>
  <c r="AB4" i="42"/>
  <c r="AD4" i="42"/>
  <c r="AG4" i="42"/>
  <c r="AE4" i="42"/>
  <c r="AC4" i="42"/>
  <c r="Q4" i="42"/>
  <c r="P4" i="42"/>
  <c r="O4" i="42"/>
  <c r="N4" i="42"/>
  <c r="M4" i="42"/>
  <c r="D4" i="42"/>
  <c r="F4" i="42"/>
  <c r="E4" i="42"/>
  <c r="A4" i="42"/>
  <c r="AB3" i="42"/>
  <c r="AD3" i="42"/>
  <c r="AG3" i="42"/>
  <c r="AE3" i="42"/>
  <c r="AC3" i="42"/>
  <c r="Q3" i="42"/>
  <c r="P3" i="42"/>
  <c r="O3" i="42"/>
  <c r="N3" i="42"/>
  <c r="M3" i="42"/>
  <c r="D3" i="42"/>
  <c r="F3" i="42"/>
  <c r="E3" i="42"/>
  <c r="A3" i="42"/>
  <c r="AB2" i="42"/>
  <c r="AD2" i="42"/>
  <c r="AG2" i="42"/>
  <c r="AE2" i="42"/>
  <c r="AC2" i="42"/>
  <c r="Q2" i="42"/>
  <c r="P2" i="42"/>
  <c r="O2" i="42"/>
  <c r="N2" i="42"/>
  <c r="M2" i="42"/>
  <c r="D2" i="42"/>
  <c r="F2" i="42"/>
  <c r="E2" i="42"/>
  <c r="A2" i="42"/>
  <c r="H5" i="41"/>
  <c r="E5" i="41"/>
  <c r="D5" i="41"/>
  <c r="B5" i="41"/>
  <c r="A11" i="30"/>
  <c r="C11" i="30"/>
  <c r="C13" i="30"/>
  <c r="C12" i="30"/>
  <c r="B13" i="30"/>
  <c r="B12" i="30"/>
  <c r="A8" i="30"/>
  <c r="C8" i="30"/>
  <c r="A13" i="30"/>
  <c r="A12" i="30"/>
  <c r="F11" i="30"/>
  <c r="G11" i="30"/>
  <c r="C2" i="2"/>
  <c r="C5" i="2"/>
  <c r="G5" i="2"/>
  <c r="H5" i="2"/>
  <c r="E5" i="2"/>
  <c r="D5" i="2"/>
  <c r="A5" i="2"/>
  <c r="B5" i="2"/>
  <c r="B2" i="32"/>
  <c r="B2" i="29"/>
  <c r="E9" i="29"/>
  <c r="E8" i="29"/>
  <c r="E7" i="29"/>
  <c r="E6" i="29"/>
  <c r="E5" i="29"/>
  <c r="E4" i="29"/>
  <c r="E2" i="29"/>
  <c r="E3" i="29"/>
  <c r="B9" i="29"/>
  <c r="B4" i="29"/>
  <c r="B5" i="29"/>
  <c r="B6" i="29"/>
  <c r="B7" i="29"/>
  <c r="B8" i="29"/>
  <c r="B3" i="29"/>
  <c r="B2" i="28"/>
  <c r="B7" i="28"/>
  <c r="B4" i="28"/>
  <c r="B5" i="28"/>
  <c r="B6" i="28"/>
  <c r="B3" i="28"/>
  <c r="C10" i="30"/>
  <c r="C9" i="30"/>
  <c r="A5" i="30"/>
  <c r="C5" i="30"/>
  <c r="C7" i="30"/>
  <c r="C6" i="30"/>
  <c r="C4" i="30"/>
  <c r="B10" i="30"/>
  <c r="B9" i="30"/>
  <c r="B7" i="30"/>
  <c r="B6" i="30"/>
  <c r="B4" i="30"/>
  <c r="A4" i="30"/>
  <c r="A6" i="30"/>
  <c r="A7" i="30"/>
  <c r="A9" i="30"/>
  <c r="A10" i="30"/>
  <c r="A2" i="24"/>
  <c r="H4" i="41"/>
  <c r="E4" i="41"/>
  <c r="D4" i="41"/>
  <c r="B4" i="41"/>
  <c r="H3" i="41"/>
  <c r="E3" i="41"/>
  <c r="D3" i="41"/>
  <c r="B3" i="41"/>
  <c r="C4" i="2"/>
  <c r="C3" i="2"/>
  <c r="G4" i="2"/>
  <c r="A4" i="2"/>
  <c r="B4" i="2"/>
  <c r="G3" i="2"/>
  <c r="A3" i="2"/>
  <c r="B3" i="2"/>
  <c r="G2" i="2"/>
  <c r="A2" i="2"/>
  <c r="B2" i="2"/>
  <c r="H2" i="41"/>
  <c r="E2" i="41"/>
  <c r="D2" i="41"/>
  <c r="B2" i="41"/>
  <c r="C25" i="16"/>
  <c r="E25" i="16"/>
  <c r="C24" i="16"/>
  <c r="E24" i="16"/>
  <c r="C23" i="16"/>
  <c r="E23" i="16"/>
  <c r="C22" i="16"/>
  <c r="E22" i="16"/>
  <c r="C21" i="16"/>
  <c r="E21" i="16"/>
  <c r="C20" i="16"/>
  <c r="E20" i="16"/>
  <c r="C19" i="16"/>
  <c r="E19" i="16"/>
  <c r="C18" i="16"/>
  <c r="E18" i="16"/>
  <c r="C17" i="16"/>
  <c r="E17" i="16"/>
  <c r="E16" i="16"/>
  <c r="E15" i="16"/>
  <c r="E14" i="16"/>
  <c r="C4" i="16"/>
  <c r="E4" i="16"/>
  <c r="C3" i="16"/>
  <c r="C5" i="16"/>
  <c r="C7" i="16"/>
  <c r="C8" i="16"/>
  <c r="C6" i="16"/>
  <c r="C9" i="16"/>
  <c r="C10" i="16"/>
  <c r="C11" i="16"/>
  <c r="C12" i="16"/>
  <c r="C13" i="16"/>
  <c r="E3" i="16"/>
  <c r="E2" i="16"/>
  <c r="E10" i="16"/>
  <c r="E13" i="16"/>
  <c r="A2" i="22"/>
  <c r="B2" i="22"/>
  <c r="F8" i="30"/>
  <c r="G8" i="30"/>
  <c r="F5" i="30"/>
  <c r="G5" i="30"/>
  <c r="G2" i="30"/>
  <c r="E5" i="16"/>
  <c r="A42" i="22"/>
  <c r="F42" i="22"/>
  <c r="F2" i="22"/>
  <c r="A3" i="22"/>
  <c r="F3" i="22"/>
  <c r="A4" i="22"/>
  <c r="F4" i="22"/>
  <c r="A5" i="22"/>
  <c r="F5" i="22"/>
  <c r="A6" i="22"/>
  <c r="F6" i="22"/>
  <c r="A7" i="22"/>
  <c r="F7" i="22"/>
  <c r="A8" i="22"/>
  <c r="F8" i="22"/>
  <c r="A9" i="22"/>
  <c r="F9" i="22"/>
  <c r="A10" i="22"/>
  <c r="F10" i="22"/>
  <c r="A11" i="22"/>
  <c r="F11" i="22"/>
  <c r="A12" i="22"/>
  <c r="F12" i="22"/>
  <c r="A13" i="22"/>
  <c r="F13" i="22"/>
  <c r="A14" i="22"/>
  <c r="F14" i="22"/>
  <c r="A15" i="22"/>
  <c r="F15" i="22"/>
  <c r="A16" i="22"/>
  <c r="F16" i="22"/>
  <c r="A17" i="22"/>
  <c r="F17" i="22"/>
  <c r="A18" i="22"/>
  <c r="F18" i="22"/>
  <c r="A19" i="22"/>
  <c r="F19" i="22"/>
  <c r="A20" i="22"/>
  <c r="F20" i="22"/>
  <c r="A21" i="22"/>
  <c r="F21" i="22"/>
  <c r="A22" i="22"/>
  <c r="F22" i="22"/>
  <c r="A23" i="22"/>
  <c r="F23" i="22"/>
  <c r="A24" i="22"/>
  <c r="F24" i="22"/>
  <c r="A25" i="22"/>
  <c r="F25" i="22"/>
  <c r="A26" i="22"/>
  <c r="F26" i="22"/>
  <c r="A27" i="22"/>
  <c r="F27" i="22"/>
  <c r="A28" i="22"/>
  <c r="F28" i="22"/>
  <c r="A29" i="22"/>
  <c r="F29" i="22"/>
  <c r="A30" i="22"/>
  <c r="F30" i="22"/>
  <c r="A31" i="22"/>
  <c r="F31" i="22"/>
  <c r="A32" i="22"/>
  <c r="F32" i="22"/>
  <c r="A33" i="22"/>
  <c r="F33" i="22"/>
  <c r="A34" i="22"/>
  <c r="F34" i="22"/>
  <c r="A35" i="22"/>
  <c r="F35" i="22"/>
  <c r="A36" i="22"/>
  <c r="F36" i="22"/>
  <c r="A37" i="22"/>
  <c r="F37" i="22"/>
  <c r="A38" i="22"/>
  <c r="F38" i="22"/>
  <c r="A39" i="22"/>
  <c r="F39" i="22"/>
  <c r="A40" i="22"/>
  <c r="F40" i="22"/>
  <c r="A41" i="22"/>
  <c r="F41" i="22"/>
  <c r="G42" i="22"/>
  <c r="C42" i="22"/>
  <c r="B42" i="22"/>
  <c r="G41" i="22"/>
  <c r="C41" i="22"/>
  <c r="B41" i="22"/>
  <c r="G40" i="22"/>
  <c r="C40" i="22"/>
  <c r="B40" i="22"/>
  <c r="G39" i="22"/>
  <c r="C39" i="22"/>
  <c r="B39" i="22"/>
  <c r="G38" i="22"/>
  <c r="C38" i="22"/>
  <c r="B38" i="22"/>
  <c r="G37" i="22"/>
  <c r="C37" i="22"/>
  <c r="B37" i="22"/>
  <c r="G36" i="22"/>
  <c r="C36" i="22"/>
  <c r="B36" i="22"/>
  <c r="G35" i="22"/>
  <c r="C35" i="22"/>
  <c r="B35" i="22"/>
  <c r="G34" i="22"/>
  <c r="C34" i="22"/>
  <c r="B34" i="22"/>
  <c r="G33" i="22"/>
  <c r="C33" i="22"/>
  <c r="B33" i="22"/>
  <c r="G32" i="22"/>
  <c r="C32" i="22"/>
  <c r="B32" i="22"/>
  <c r="G31" i="22"/>
  <c r="C31" i="22"/>
  <c r="B31" i="22"/>
  <c r="G30" i="22"/>
  <c r="C30" i="22"/>
  <c r="B30" i="22"/>
  <c r="G29" i="22"/>
  <c r="C29" i="22"/>
  <c r="B29" i="22"/>
  <c r="G28" i="22"/>
  <c r="C28" i="22"/>
  <c r="B28" i="22"/>
  <c r="G27" i="22"/>
  <c r="C27" i="22"/>
  <c r="B27" i="22"/>
  <c r="G26" i="22"/>
  <c r="C26" i="22"/>
  <c r="B26" i="22"/>
  <c r="G25" i="22"/>
  <c r="C25" i="22"/>
  <c r="B25" i="22"/>
  <c r="G24" i="22"/>
  <c r="C24" i="22"/>
  <c r="B24" i="22"/>
  <c r="G23" i="22"/>
  <c r="C23" i="22"/>
  <c r="B23" i="22"/>
  <c r="G22" i="22"/>
  <c r="C22" i="22"/>
  <c r="B22" i="22"/>
  <c r="G21" i="22"/>
  <c r="C21" i="22"/>
  <c r="B21" i="22"/>
  <c r="G20" i="22"/>
  <c r="C20" i="22"/>
  <c r="B20" i="22"/>
  <c r="G19" i="22"/>
  <c r="C19" i="22"/>
  <c r="B19" i="22"/>
  <c r="G18" i="22"/>
  <c r="C18" i="22"/>
  <c r="B18" i="22"/>
  <c r="G17" i="22"/>
  <c r="C17" i="22"/>
  <c r="B17" i="22"/>
  <c r="G16" i="22"/>
  <c r="C16" i="22"/>
  <c r="B16" i="22"/>
  <c r="G15" i="22"/>
  <c r="C15" i="22"/>
  <c r="B15" i="22"/>
  <c r="G14" i="22"/>
  <c r="C14" i="22"/>
  <c r="B14" i="22"/>
  <c r="G13" i="22"/>
  <c r="C13" i="22"/>
  <c r="B13" i="22"/>
  <c r="G12" i="22"/>
  <c r="C12" i="22"/>
  <c r="B12" i="22"/>
  <c r="G11" i="22"/>
  <c r="C11" i="22"/>
  <c r="B11" i="22"/>
  <c r="G10" i="22"/>
  <c r="C10" i="22"/>
  <c r="B10" i="22"/>
  <c r="G9" i="22"/>
  <c r="C9" i="22"/>
  <c r="B9" i="22"/>
  <c r="G8" i="22"/>
  <c r="C8" i="22"/>
  <c r="B8" i="22"/>
  <c r="G7" i="22"/>
  <c r="C7" i="22"/>
  <c r="B7" i="22"/>
  <c r="G6" i="22"/>
  <c r="C6" i="22"/>
  <c r="B6" i="22"/>
  <c r="G5" i="22"/>
  <c r="C5" i="22"/>
  <c r="B5" i="22"/>
  <c r="G4" i="22"/>
  <c r="C4" i="22"/>
  <c r="B4" i="22"/>
  <c r="G3" i="22"/>
  <c r="C3" i="22"/>
  <c r="B3" i="22"/>
  <c r="H4" i="2"/>
  <c r="E4" i="2"/>
  <c r="D4" i="2"/>
  <c r="H3" i="2"/>
  <c r="E3" i="2"/>
  <c r="D3" i="2"/>
  <c r="E12" i="16"/>
  <c r="E11" i="16"/>
  <c r="E6" i="16"/>
  <c r="E7" i="16"/>
  <c r="E2" i="24"/>
  <c r="B2" i="24"/>
  <c r="D2" i="2"/>
  <c r="F2" i="24"/>
  <c r="C2" i="24"/>
  <c r="E2" i="2"/>
  <c r="E9" i="16"/>
  <c r="E8" i="16"/>
  <c r="G2" i="22"/>
  <c r="C2" i="22"/>
  <c r="H2" i="2"/>
</calcChain>
</file>

<file path=xl/comments1.xml><?xml version="1.0" encoding="utf-8"?>
<comments xmlns="http://schemas.openxmlformats.org/spreadsheetml/2006/main">
  <authors>
    <author>Microsoft Office ユーザー</author>
  </authors>
  <commentList>
    <comment ref="E1" authorId="0">
      <text>
        <r>
          <rPr>
            <b/>
            <sz val="11"/>
            <color indexed="81"/>
            <rFont val="ＭＳ Ｐゴシック"/>
            <family val="3"/>
            <charset val="128"/>
          </rPr>
          <t>ここを入力</t>
        </r>
      </text>
    </comment>
  </commentList>
</comments>
</file>

<file path=xl/comments2.xml><?xml version="1.0" encoding="utf-8"?>
<comments xmlns="http://schemas.openxmlformats.org/spreadsheetml/2006/main">
  <authors>
    <author>Microsoft Office ユーザー</author>
  </authors>
  <commentList>
    <comment ref="E1" authorId="0">
      <text>
        <r>
          <rPr>
            <b/>
            <sz val="11"/>
            <color indexed="81"/>
            <rFont val="ＭＳ Ｐゴシック"/>
            <family val="3"/>
            <charset val="128"/>
          </rPr>
          <t>ここを入力</t>
        </r>
      </text>
    </comment>
  </commentList>
</comments>
</file>

<file path=xl/comments3.xml><?xml version="1.0" encoding="utf-8"?>
<comments xmlns="http://schemas.openxmlformats.org/spreadsheetml/2006/main">
  <authors>
    <author>Microsoft Office ユーザー</author>
  </authors>
  <commentList>
    <comment ref="A2" authorId="0">
      <text>
        <r>
          <rPr>
            <b/>
            <sz val="11"/>
            <color indexed="81"/>
            <rFont val="ＭＳ Ｐゴシック"/>
            <family val="3"/>
            <charset val="128"/>
          </rPr>
          <t>"quest_id+3桁"の形になっておりませんが
これは実装時のid上限が"65535"だったためで意図通りです。</t>
        </r>
      </text>
    </comment>
  </commentList>
</comments>
</file>

<file path=xl/comments4.xml><?xml version="1.0" encoding="utf-8"?>
<comments xmlns="http://schemas.openxmlformats.org/spreadsheetml/2006/main">
  <authors>
    <author>Microsoft Office ユーザー</author>
  </authors>
  <commentList>
    <comment ref="A2" authorId="0">
      <text>
        <r>
          <rPr>
            <b/>
            <sz val="11"/>
            <color indexed="81"/>
            <rFont val="ＭＳ Ｐゴシック"/>
            <family val="3"/>
            <charset val="128"/>
          </rPr>
          <t>"quest_id+3桁"の形になっておりませんが
これは実装時のid上限が"65535"だったためで意図通りです。</t>
        </r>
        <r>
          <rPr>
            <sz val="11"/>
            <color indexed="81"/>
            <rFont val="ＭＳ Ｐゴシック"/>
            <charset val="128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Microsoft Office ユーザー</author>
  </authors>
  <commentList>
    <comment ref="A2" authorId="0">
      <text>
        <r>
          <rPr>
            <sz val="11"/>
            <color indexed="81"/>
            <rFont val="ＭＳ Ｐゴシック"/>
            <charset val="128"/>
          </rPr>
          <t>"quest_id+3桁"の形になっておりませんが
これは実装時のid上限が"65535"だったためで意図通りです。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7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8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9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10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11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<sst xmlns="http://schemas.openxmlformats.org/spreadsheetml/2006/main" count="887" uniqueCount="477">
  <si>
    <t>quest_id</t>
  </si>
  <si>
    <t>stage_id</t>
  </si>
  <si>
    <t>character_id</t>
  </si>
  <si>
    <t>level</t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</si>
  <si>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</si>
  <si>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</si>
  <si>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</si>
  <si>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</si>
  <si>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</si>
  <si>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</si>
  <si>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</si>
  <si>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</si>
  <si>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</si>
  <si>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</si>
  <si>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</si>
  <si>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11"/>
  </si>
  <si>
    <t>name</t>
    <phoneticPr fontId="11"/>
  </si>
  <si>
    <t>temp_stage</t>
    <phoneticPr fontId="11"/>
  </si>
  <si>
    <t>temp_floor</t>
    <phoneticPr fontId="11"/>
  </si>
  <si>
    <t>temp_stage</t>
    <phoneticPr fontId="11"/>
  </si>
  <si>
    <t>位置付け</t>
    <rPh sb="0" eb="3">
      <t>イチヅ</t>
    </rPh>
    <phoneticPr fontId="11"/>
  </si>
  <si>
    <t>name</t>
    <phoneticPr fontId="11"/>
  </si>
  <si>
    <t>status</t>
    <phoneticPr fontId="11"/>
  </si>
  <si>
    <t>hp_plus</t>
  </si>
  <si>
    <t>attack_plus</t>
  </si>
  <si>
    <t>defense_plus</t>
  </si>
  <si>
    <t>heal_plus</t>
  </si>
  <si>
    <t>bug</t>
  </si>
  <si>
    <t>作成者</t>
    <rPh sb="0" eb="3">
      <t>サクセイシャ</t>
    </rPh>
    <phoneticPr fontId="11"/>
  </si>
  <si>
    <t>更新日</t>
    <rPh sb="0" eb="3">
      <t>コウシンニチジ</t>
    </rPh>
    <phoneticPr fontId="11"/>
  </si>
  <si>
    <t>備考（使用箇所）</t>
    <rPh sb="0" eb="2">
      <t>ビコウ</t>
    </rPh>
    <rPh sb="3" eb="7">
      <t>シヨウカショ</t>
    </rPh>
    <phoneticPr fontId="11"/>
  </si>
  <si>
    <t>enemy_skill_id</t>
  </si>
  <si>
    <t>valid_flg</t>
  </si>
  <si>
    <t>重複チェック</t>
    <rPh sb="0" eb="2">
      <t>チョウフク</t>
    </rPh>
    <phoneticPr fontId="11"/>
  </si>
  <si>
    <t>接頭語</t>
    <rPh sb="0" eb="3">
      <t>セットウゴ</t>
    </rPh>
    <phoneticPr fontId="11"/>
  </si>
  <si>
    <t>識別子</t>
    <rPh sb="0" eb="3">
      <t>シキベツシ</t>
    </rPh>
    <phoneticPr fontId="11"/>
  </si>
  <si>
    <t>形式</t>
    <rPh sb="0" eb="2">
      <t>ケイシキ</t>
    </rPh>
    <phoneticPr fontId="11"/>
  </si>
  <si>
    <t>出力ファイル名</t>
    <rPh sb="0" eb="2">
      <t>シュツリョク</t>
    </rPh>
    <rPh sb="6" eb="7">
      <t>メイ</t>
    </rPh>
    <phoneticPr fontId="11"/>
  </si>
  <si>
    <t>入力シート名</t>
    <rPh sb="0" eb="2">
      <t>ニュウリョク</t>
    </rPh>
    <rPh sb="5" eb="6">
      <t>メイ</t>
    </rPh>
    <phoneticPr fontId="11"/>
  </si>
  <si>
    <t>出力データ</t>
    <rPh sb="0" eb="2">
      <t>シュツリョク</t>
    </rPh>
    <phoneticPr fontId="11"/>
  </si>
  <si>
    <t>.tmp</t>
    <phoneticPr fontId="11"/>
  </si>
  <si>
    <t>.tmp</t>
    <phoneticPr fontId="11"/>
  </si>
  <si>
    <t>出力flg</t>
    <rPh sb="0" eb="2">
      <t>シュツリョク</t>
    </rPh>
    <phoneticPr fontId="11"/>
  </si>
  <si>
    <t>中間文字列１</t>
    <rPh sb="0" eb="2">
      <t>チュウカン</t>
    </rPh>
    <rPh sb="2" eb="5">
      <t>モジレツ</t>
    </rPh>
    <phoneticPr fontId="11"/>
  </si>
  <si>
    <t>効果１文字列</t>
    <rPh sb="0" eb="2">
      <t>コウカ</t>
    </rPh>
    <rPh sb="3" eb="6">
      <t>モジレツ</t>
    </rPh>
    <phoneticPr fontId="11"/>
  </si>
  <si>
    <t>効果１簡易デコード</t>
    <rPh sb="0" eb="2">
      <t>コウカ</t>
    </rPh>
    <rPh sb="3" eb="5">
      <t>カンイ</t>
    </rPh>
    <phoneticPr fontId="11"/>
  </si>
  <si>
    <t>効果２文字列</t>
    <rPh sb="0" eb="2">
      <t>コウカ</t>
    </rPh>
    <rPh sb="3" eb="6">
      <t>モジレツ</t>
    </rPh>
    <phoneticPr fontId="11"/>
  </si>
  <si>
    <t>効果２簡易デコード</t>
    <rPh sb="0" eb="2">
      <t>コウカ</t>
    </rPh>
    <rPh sb="3" eb="5">
      <t>カンイ</t>
    </rPh>
    <phoneticPr fontId="11"/>
  </si>
  <si>
    <t>効果３文字列</t>
    <rPh sb="0" eb="2">
      <t>コウカ</t>
    </rPh>
    <rPh sb="3" eb="6">
      <t>モジレツ</t>
    </rPh>
    <phoneticPr fontId="11"/>
  </si>
  <si>
    <t>効果３簡易デコード</t>
    <rPh sb="0" eb="2">
      <t>コウカ</t>
    </rPh>
    <rPh sb="3" eb="5">
      <t>カンイ</t>
    </rPh>
    <phoneticPr fontId="11"/>
  </si>
  <si>
    <t>効果１efect位置</t>
    <rPh sb="0" eb="2">
      <t>コウカ</t>
    </rPh>
    <rPh sb="8" eb="10">
      <t>イチ</t>
    </rPh>
    <phoneticPr fontId="11"/>
  </si>
  <si>
    <t>効果１target位置</t>
    <rPh sb="0" eb="2">
      <t>コウカ</t>
    </rPh>
    <rPh sb="9" eb="11">
      <t>イチ</t>
    </rPh>
    <phoneticPr fontId="11"/>
  </si>
  <si>
    <t>効果1終了位置</t>
    <rPh sb="0" eb="2">
      <t>コウカ</t>
    </rPh>
    <rPh sb="3" eb="5">
      <t>シュウリョウ</t>
    </rPh>
    <rPh sb="5" eb="7">
      <t>イチ</t>
    </rPh>
    <phoneticPr fontId="11"/>
  </si>
  <si>
    <t>効果1target終了位置</t>
    <rPh sb="0" eb="2">
      <t>コウカ</t>
    </rPh>
    <rPh sb="9" eb="11">
      <t>シュウリョウ</t>
    </rPh>
    <rPh sb="11" eb="13">
      <t>イチ</t>
    </rPh>
    <phoneticPr fontId="11"/>
  </si>
  <si>
    <t>効果2efect位置</t>
    <rPh sb="0" eb="2">
      <t>コウカ</t>
    </rPh>
    <rPh sb="8" eb="10">
      <t>イチ</t>
    </rPh>
    <phoneticPr fontId="11"/>
  </si>
  <si>
    <t>効果2終了位置</t>
    <rPh sb="0" eb="2">
      <t>コウカ</t>
    </rPh>
    <rPh sb="3" eb="5">
      <t>シュウリョウ</t>
    </rPh>
    <rPh sb="5" eb="7">
      <t>イチ</t>
    </rPh>
    <phoneticPr fontId="11"/>
  </si>
  <si>
    <t>効果2target位置</t>
    <rPh sb="0" eb="2">
      <t>コウカ</t>
    </rPh>
    <rPh sb="9" eb="11">
      <t>イチ</t>
    </rPh>
    <phoneticPr fontId="11"/>
  </si>
  <si>
    <t>効果2target終了位置</t>
    <rPh sb="0" eb="2">
      <t>コウカ</t>
    </rPh>
    <rPh sb="9" eb="11">
      <t>シュウリョウ</t>
    </rPh>
    <rPh sb="11" eb="13">
      <t>イチ</t>
    </rPh>
    <phoneticPr fontId="11"/>
  </si>
  <si>
    <t>効果3efect位置</t>
    <rPh sb="0" eb="2">
      <t>コウカ</t>
    </rPh>
    <rPh sb="8" eb="10">
      <t>イチ</t>
    </rPh>
    <phoneticPr fontId="11"/>
  </si>
  <si>
    <t>効果3終了位置</t>
    <rPh sb="0" eb="2">
      <t>コウカ</t>
    </rPh>
    <rPh sb="3" eb="5">
      <t>シュウリョウ</t>
    </rPh>
    <rPh sb="5" eb="7">
      <t>イチ</t>
    </rPh>
    <phoneticPr fontId="11"/>
  </si>
  <si>
    <t>効果3target位置</t>
    <rPh sb="0" eb="2">
      <t>コウカ</t>
    </rPh>
    <rPh sb="9" eb="11">
      <t>イチ</t>
    </rPh>
    <phoneticPr fontId="11"/>
  </si>
  <si>
    <t>効果3target終了位置</t>
    <rPh sb="0" eb="2">
      <t>コウカ</t>
    </rPh>
    <rPh sb="9" eb="11">
      <t>シュウリョウ</t>
    </rPh>
    <rPh sb="11" eb="13">
      <t>イチ</t>
    </rPh>
    <phoneticPr fontId="11"/>
  </si>
  <si>
    <t>quest_id</t>
    <phoneticPr fontId="11"/>
  </si>
  <si>
    <t>bit</t>
  </si>
  <si>
    <t>upper_ranking</t>
    <phoneticPr fontId="11"/>
  </si>
  <si>
    <t>lower_ranking</t>
    <phoneticPr fontId="11"/>
  </si>
  <si>
    <t>gift_id</t>
    <phoneticPr fontId="11"/>
  </si>
  <si>
    <t>gift_type</t>
    <phoneticPr fontId="13"/>
  </si>
  <si>
    <t>gift_value</t>
    <phoneticPr fontId="13"/>
  </si>
  <si>
    <t>gift_count</t>
    <phoneticPr fontId="13"/>
  </si>
  <si>
    <t>language</t>
    <phoneticPr fontId="13"/>
  </si>
  <si>
    <t>title</t>
    <phoneticPr fontId="13"/>
  </si>
  <si>
    <t>detail</t>
    <phoneticPr fontId="13"/>
  </si>
  <si>
    <t>message</t>
    <phoneticPr fontId="13"/>
  </si>
  <si>
    <t>temp_gift_id</t>
    <phoneticPr fontId="11"/>
  </si>
  <si>
    <t>ranking_ACH</t>
    <phoneticPr fontId="11"/>
  </si>
  <si>
    <t>gifts_tmp_</t>
    <phoneticPr fontId="13"/>
  </si>
  <si>
    <t>gift_id</t>
    <phoneticPr fontId="13"/>
  </si>
  <si>
    <t>gifts_i18n_</t>
    <phoneticPr fontId="13"/>
  </si>
  <si>
    <t>title</t>
    <phoneticPr fontId="13"/>
  </si>
  <si>
    <t>detail</t>
    <phoneticPr fontId="13"/>
  </si>
  <si>
    <t>clear_bonus</t>
    <phoneticPr fontId="11"/>
  </si>
  <si>
    <t>param_code</t>
    <phoneticPr fontId="11"/>
  </si>
  <si>
    <t>x</t>
    <phoneticPr fontId="11"/>
  </si>
  <si>
    <t>a</t>
    <phoneticPr fontId="11"/>
  </si>
  <si>
    <t>b</t>
    <phoneticPr fontId="11"/>
  </si>
  <si>
    <t>evaluation_id</t>
    <phoneticPr fontId="11"/>
  </si>
  <si>
    <t>quest_id</t>
    <phoneticPr fontId="11"/>
  </si>
  <si>
    <t>stage_id</t>
    <phoneticPr fontId="11"/>
  </si>
  <si>
    <t>score</t>
    <phoneticPr fontId="11"/>
  </si>
  <si>
    <t>language</t>
    <phoneticPr fontId="11"/>
  </si>
  <si>
    <t>evaluation</t>
    <phoneticPr fontId="11"/>
  </si>
  <si>
    <t>animation_file_name</t>
    <phoneticPr fontId="11"/>
  </si>
  <si>
    <t>hp_plus</t>
    <phoneticPr fontId="11"/>
  </si>
  <si>
    <t>attack_plus</t>
    <phoneticPr fontId="11"/>
  </si>
  <si>
    <t>heal_plus</t>
    <phoneticPr fontId="11"/>
  </si>
  <si>
    <t>defense_plus</t>
    <phoneticPr fontId="11"/>
  </si>
  <si>
    <t>level</t>
    <phoneticPr fontId="11"/>
  </si>
  <si>
    <t>skill_level</t>
  </si>
  <si>
    <t>skill_level</t>
    <phoneticPr fontId="11"/>
  </si>
  <si>
    <t>bug</t>
    <phoneticPr fontId="11"/>
  </si>
  <si>
    <t>evaluation_id</t>
    <phoneticPr fontId="11"/>
  </si>
  <si>
    <t>quest_id</t>
    <phoneticPr fontId="11"/>
  </si>
  <si>
    <t>gift_id</t>
    <phoneticPr fontId="11"/>
  </si>
  <si>
    <t xml:space="preserve">gift_limit </t>
    <phoneticPr fontId="11"/>
  </si>
  <si>
    <t>gifts_tmp_</t>
    <phoneticPr fontId="11"/>
  </si>
  <si>
    <t>.tmp</t>
    <phoneticPr fontId="11"/>
  </si>
  <si>
    <t>gift_id</t>
    <phoneticPr fontId="13"/>
  </si>
  <si>
    <t>gift_type</t>
    <phoneticPr fontId="13"/>
  </si>
  <si>
    <t>gift_value</t>
    <phoneticPr fontId="13"/>
  </si>
  <si>
    <t>gift_count</t>
    <phoneticPr fontId="13"/>
  </si>
  <si>
    <t>gifts_i18n_</t>
    <phoneticPr fontId="11"/>
  </si>
  <si>
    <t>.tmp</t>
    <phoneticPr fontId="11"/>
  </si>
  <si>
    <t>language</t>
    <phoneticPr fontId="13"/>
  </si>
  <si>
    <t>title</t>
    <phoneticPr fontId="13"/>
  </si>
  <si>
    <t>detail</t>
    <phoneticPr fontId="13"/>
  </si>
  <si>
    <t>message</t>
    <phoneticPr fontId="13"/>
  </si>
  <si>
    <t>.tmp</t>
    <phoneticPr fontId="11"/>
  </si>
  <si>
    <t>quest_id</t>
    <phoneticPr fontId="11"/>
  </si>
  <si>
    <t>stage_id</t>
    <phoneticPr fontId="11"/>
  </si>
  <si>
    <t>score</t>
    <phoneticPr fontId="11"/>
  </si>
  <si>
    <t>gift_id</t>
    <phoneticPr fontId="11"/>
  </si>
  <si>
    <t>gift_type</t>
    <phoneticPr fontId="13"/>
  </si>
  <si>
    <t>gift_value</t>
    <phoneticPr fontId="13"/>
  </si>
  <si>
    <t>gift_count</t>
    <phoneticPr fontId="13"/>
  </si>
  <si>
    <t>hp_plus</t>
    <phoneticPr fontId="11"/>
  </si>
  <si>
    <t>attack_plus</t>
    <phoneticPr fontId="11"/>
  </si>
  <si>
    <t>heal_plus</t>
    <phoneticPr fontId="11"/>
  </si>
  <si>
    <t>defense_plus</t>
    <phoneticPr fontId="11"/>
  </si>
  <si>
    <t>level</t>
    <phoneticPr fontId="11"/>
  </si>
  <si>
    <t>skill_level</t>
    <phoneticPr fontId="11"/>
  </si>
  <si>
    <t>bug</t>
    <phoneticPr fontId="11"/>
  </si>
  <si>
    <t>language</t>
    <phoneticPr fontId="13"/>
  </si>
  <si>
    <t>title</t>
    <phoneticPr fontId="13"/>
  </si>
  <si>
    <t>detail</t>
    <phoneticPr fontId="13"/>
  </si>
  <si>
    <t>message</t>
    <phoneticPr fontId="13"/>
  </si>
  <si>
    <t xml:space="preserve">gift_limit </t>
    <phoneticPr fontId="11"/>
  </si>
  <si>
    <t>ja</t>
  </si>
  <si>
    <t>SSS</t>
  </si>
  <si>
    <t>View/RankingBattle_Evelution_SSS.ccbi</t>
  </si>
  <si>
    <t>SS</t>
  </si>
  <si>
    <t>View/RankingBattle_Evelution_SS.ccbi</t>
  </si>
  <si>
    <t>S</t>
  </si>
  <si>
    <t>View/RankingBattle_Evelution_S.ccbi</t>
  </si>
  <si>
    <t>A</t>
  </si>
  <si>
    <t>View/RankingBattle_Evelution_A.ccbi</t>
  </si>
  <si>
    <t>B</t>
  </si>
  <si>
    <t>View/RankingBattle_Evelution_B.ccbi</t>
  </si>
  <si>
    <t>C</t>
  </si>
  <si>
    <t>View/RankingBattle_Evelution_C.ccbi</t>
  </si>
  <si>
    <t>ja</t>
    <phoneticPr fontId="13"/>
  </si>
  <si>
    <t>item</t>
    <phoneticPr fontId="13"/>
  </si>
  <si>
    <t>polygon</t>
    <phoneticPr fontId="13"/>
  </si>
  <si>
    <t>null</t>
    <phoneticPr fontId="11"/>
  </si>
  <si>
    <t>bit</t>
    <phoneticPr fontId="13"/>
  </si>
  <si>
    <t>item</t>
  </si>
  <si>
    <t>刀のランキングチケット × 1</t>
  </si>
  <si>
    <t>ランキングクエスト報酬</t>
    <rPh sb="9" eb="11">
      <t>ホウシュウ</t>
    </rPh>
    <phoneticPr fontId="14"/>
  </si>
  <si>
    <t>オイラーチャレンジ
順位報酬</t>
    <rPh sb="10" eb="12">
      <t>ジュンイ</t>
    </rPh>
    <rPh sb="12" eb="14">
      <t>ホウシュウ</t>
    </rPh>
    <phoneticPr fontId="14"/>
  </si>
  <si>
    <t>刀のチケットピース × 2</t>
  </si>
  <si>
    <t>polygon</t>
  </si>
  <si>
    <t>null</t>
  </si>
  <si>
    <t>ポリゴン×10</t>
  </si>
  <si>
    <t>unit</t>
  </si>
  <si>
    <t>リトルハンプティ×1</t>
  </si>
  <si>
    <t>ギガ秘術の果実×1</t>
    <rPh sb="2" eb="4">
      <t>ヒジュツ</t>
    </rPh>
    <rPh sb="5" eb="7">
      <t>カジツ</t>
    </rPh>
    <phoneticPr fontId="14"/>
  </si>
  <si>
    <t>刀のチケットピース × 1</t>
  </si>
  <si>
    <t>ポリゴン×5</t>
  </si>
  <si>
    <t>メガ秘術の果実 ×1</t>
    <rPh sb="2" eb="4">
      <t>ヒジュツ</t>
    </rPh>
    <rPh sb="5" eb="7">
      <t>カジツ</t>
    </rPh>
    <phoneticPr fontId="14"/>
  </si>
  <si>
    <t>マスターキー×3</t>
  </si>
  <si>
    <t>刀のチケットピース × 3</t>
  </si>
  <si>
    <t>炎のメタルジェントル ×1</t>
    <rPh sb="0" eb="1">
      <t>ホノオ</t>
    </rPh>
    <phoneticPr fontId="14"/>
  </si>
  <si>
    <t>森のメタルジェントル ×1</t>
    <rPh sb="0" eb="1">
      <t>モリノ</t>
    </rPh>
    <phoneticPr fontId="14"/>
  </si>
  <si>
    <t>水のメタルジェントル ×1</t>
    <rPh sb="0" eb="1">
      <t>ミズノ</t>
    </rPh>
    <phoneticPr fontId="14"/>
  </si>
  <si>
    <t>雷のメタルジェントル ×1</t>
    <rPh sb="0" eb="1">
      <t>カミナリ</t>
    </rPh>
    <phoneticPr fontId="14"/>
  </si>
  <si>
    <t>秘術の果実 ×1</t>
    <rPh sb="0" eb="2">
      <t>ヒジュツ</t>
    </rPh>
    <rPh sb="3" eb="5">
      <t>カジツ</t>
    </rPh>
    <phoneticPr fontId="14"/>
  </si>
  <si>
    <t>マスターキー×1</t>
  </si>
  <si>
    <t>link</t>
  </si>
  <si>
    <t>2000リンク</t>
  </si>
  <si>
    <t>炎のメタルダック ×1</t>
    <rPh sb="0" eb="1">
      <t>ホノオ</t>
    </rPh>
    <phoneticPr fontId="14"/>
  </si>
  <si>
    <t>森のメタルダック ×1</t>
    <rPh sb="0" eb="1">
      <t>モリノ</t>
    </rPh>
    <phoneticPr fontId="14"/>
  </si>
  <si>
    <t>水のメタルダック ×1</t>
    <rPh sb="0" eb="1">
      <t>ミズノ</t>
    </rPh>
    <phoneticPr fontId="14"/>
  </si>
  <si>
    <t>雷のメタルダック ×1</t>
    <rPh sb="0" eb="1">
      <t>カミナリ</t>
    </rPh>
    <phoneticPr fontId="14"/>
  </si>
  <si>
    <t>ポリゴン×3</t>
  </si>
  <si>
    <t>20万ビット</t>
    <rPh sb="2" eb="3">
      <t>マン</t>
    </rPh>
    <phoneticPr fontId="14"/>
  </si>
  <si>
    <t>ポリゴン×2</t>
  </si>
  <si>
    <t>1000リンク</t>
  </si>
  <si>
    <t>15万ビット</t>
    <rPh sb="2" eb="3">
      <t>マン</t>
    </rPh>
    <phoneticPr fontId="14"/>
  </si>
  <si>
    <t>ポリゴン×1</t>
  </si>
  <si>
    <t>10万ビット</t>
    <rPh sb="2" eb="3">
      <t>マン</t>
    </rPh>
    <phoneticPr fontId="14"/>
  </si>
  <si>
    <t>param_code</t>
    <phoneticPr fontId="11"/>
  </si>
  <si>
    <t>x</t>
    <phoneticPr fontId="11"/>
  </si>
  <si>
    <t>y</t>
    <phoneticPr fontId="11"/>
  </si>
  <si>
    <t>a</t>
    <phoneticPr fontId="11"/>
  </si>
  <si>
    <t>b</t>
    <phoneticPr fontId="11"/>
  </si>
  <si>
    <t>score_attack_expanded_floors</t>
  </si>
  <si>
    <t>param_code_damage_given</t>
    <phoneticPr fontId="11"/>
  </si>
  <si>
    <t>param_code_heal</t>
    <phoneticPr fontId="11"/>
  </si>
  <si>
    <t>clear_turn_border</t>
  </si>
  <si>
    <t>clear_turn_border</t>
    <phoneticPr fontId="11"/>
  </si>
  <si>
    <t>clear_turn_param</t>
  </si>
  <si>
    <t>clear_turn_param</t>
    <phoneticPr fontId="11"/>
  </si>
  <si>
    <t>damage_given_upper_limit</t>
  </si>
  <si>
    <t>damage_given_upper_limit</t>
    <phoneticPr fontId="11"/>
  </si>
  <si>
    <t>heal_upper_limit</t>
  </si>
  <si>
    <t>heal_upper_limit</t>
    <phoneticPr fontId="11"/>
  </si>
  <si>
    <t>score_attack_expanded_stages_</t>
    <phoneticPr fontId="11"/>
  </si>
  <si>
    <t>score_attack_expanded_stages</t>
  </si>
  <si>
    <t>score_attack_params_damage_give</t>
  </si>
  <si>
    <t>stage_evaluations</t>
    <phoneticPr fontId="11"/>
  </si>
  <si>
    <t>score_attack_stage_evaluations_i18n_</t>
    <phoneticPr fontId="11"/>
  </si>
  <si>
    <t>stage_evaluation_gifts</t>
  </si>
  <si>
    <t>stage_evaluation_gifts</t>
    <phoneticPr fontId="11"/>
  </si>
  <si>
    <t>score_attack_unit_bonus_condition_id</t>
  </si>
  <si>
    <t>bonus_type</t>
  </si>
  <si>
    <t>condition</t>
  </si>
  <si>
    <t>operator</t>
  </si>
  <si>
    <t>param</t>
  </si>
  <si>
    <t>start_date</t>
  </si>
  <si>
    <t>end_date</t>
  </si>
  <si>
    <t>unit_bonus_conditions</t>
    <phoneticPr fontId="11"/>
  </si>
  <si>
    <t>score_attack_unit_bonus_conditions_</t>
    <phoneticPr fontId="11"/>
  </si>
  <si>
    <t>マスターキー × 1</t>
    <phoneticPr fontId="13"/>
  </si>
  <si>
    <t>ポリゴン × 3</t>
    <phoneticPr fontId="13"/>
  </si>
  <si>
    <t>ポリゴン × 2</t>
    <phoneticPr fontId="13"/>
  </si>
  <si>
    <t>unit</t>
    <phoneticPr fontId="13"/>
  </si>
  <si>
    <t>炎のメタルジェントル × 1</t>
    <phoneticPr fontId="13"/>
  </si>
  <si>
    <t>森のメタルジェントル × 1</t>
    <phoneticPr fontId="11"/>
  </si>
  <si>
    <t>水のメタルジェントル × 1</t>
    <phoneticPr fontId="11"/>
  </si>
  <si>
    <t>雷のメタルジェントル × 1</t>
    <phoneticPr fontId="11"/>
  </si>
  <si>
    <t>100000ビット</t>
    <phoneticPr fontId="13"/>
  </si>
  <si>
    <t>スコア評価報酬</t>
    <rPh sb="3" eb="5">
      <t>ヒョウカ</t>
    </rPh>
    <rPh sb="5" eb="7">
      <t>ホウシュウ</t>
    </rPh>
    <phoneticPr fontId="13"/>
  </si>
  <si>
    <t>SSS</t>
    <phoneticPr fontId="13"/>
  </si>
  <si>
    <t>SS</t>
    <phoneticPr fontId="13"/>
  </si>
  <si>
    <t>S</t>
    <phoneticPr fontId="13"/>
  </si>
  <si>
    <t>A</t>
    <phoneticPr fontId="13"/>
  </si>
  <si>
    <t>A</t>
    <phoneticPr fontId="13"/>
  </si>
  <si>
    <t>A</t>
    <phoneticPr fontId="13"/>
  </si>
  <si>
    <t>B</t>
    <phoneticPr fontId="13"/>
  </si>
  <si>
    <t>stage_evaluation_gifts</t>
    <phoneticPr fontId="11"/>
  </si>
  <si>
    <t>score_attack_stage_evaluations_tmp_</t>
    <phoneticPr fontId="11"/>
  </si>
  <si>
    <t>score_attack_params_heal_</t>
    <phoneticPr fontId="11"/>
  </si>
  <si>
    <t>score_attack_params_heal</t>
    <phoneticPr fontId="11"/>
  </si>
  <si>
    <t xml:space="preserve"> </t>
    <phoneticPr fontId="11"/>
  </si>
  <si>
    <t>score_attack_stage_evaluation_gifts_</t>
    <phoneticPr fontId="11"/>
  </si>
  <si>
    <t>score_attack_expanded_floors_</t>
    <phoneticPr fontId="11"/>
  </si>
  <si>
    <t>score_attack_params_damage_given_</t>
    <phoneticPr fontId="11"/>
  </si>
  <si>
    <t>skip</t>
  </si>
  <si>
    <t>floors_</t>
    <phoneticPr fontId="11"/>
  </si>
  <si>
    <t>.tmp</t>
    <phoneticPr fontId="11"/>
  </si>
  <si>
    <t>floors</t>
    <phoneticPr fontId="11"/>
  </si>
  <si>
    <t>enemy_habitats_</t>
    <phoneticPr fontId="11"/>
  </si>
  <si>
    <t>.tmp</t>
    <phoneticPr fontId="11"/>
  </si>
  <si>
    <t>enemy_habitats</t>
    <phoneticPr fontId="11"/>
  </si>
  <si>
    <t>hp_coefficient</t>
  </si>
  <si>
    <t>attack_coefficient</t>
  </si>
  <si>
    <t>defense_correction</t>
  </si>
  <si>
    <t>skill_set_id</t>
  </si>
  <si>
    <t>seq_no</t>
    <phoneticPr fontId="11"/>
  </si>
  <si>
    <t>skill_level</t>
    <phoneticPr fontId="11"/>
  </si>
  <si>
    <t>enemy_habitat_S_</t>
    <phoneticPr fontId="11"/>
  </si>
  <si>
    <t>enemy_habitat_S</t>
    <phoneticPr fontId="11"/>
  </si>
  <si>
    <t>seq_no</t>
    <phoneticPr fontId="11"/>
  </si>
  <si>
    <t>state_no</t>
    <phoneticPr fontId="11"/>
  </si>
  <si>
    <t>character_id</t>
    <phoneticPr fontId="11"/>
  </si>
  <si>
    <t>level</t>
    <phoneticPr fontId="11"/>
  </si>
  <si>
    <t>speed</t>
    <phoneticPr fontId="11"/>
  </si>
  <si>
    <t>skill_set_id</t>
    <phoneticPr fontId="11"/>
  </si>
  <si>
    <t>hp_coefficient</t>
    <phoneticPr fontId="11"/>
  </si>
  <si>
    <t>attack_coefficient</t>
    <phoneticPr fontId="11"/>
  </si>
  <si>
    <t>defense_correction</t>
    <phoneticPr fontId="11"/>
  </si>
  <si>
    <t>enemy_skill_sets_</t>
    <phoneticPr fontId="11"/>
  </si>
  <si>
    <t>.tmp</t>
    <phoneticPr fontId="11"/>
  </si>
  <si>
    <t>enemy_skill_sets</t>
    <phoneticPr fontId="11"/>
  </si>
  <si>
    <t>skill_id</t>
  </si>
  <si>
    <t>skill_trigger_id</t>
  </si>
  <si>
    <t>enemy_skills_tmp_</t>
    <phoneticPr fontId="11"/>
  </si>
  <si>
    <t>.tmp</t>
    <phoneticPr fontId="11"/>
  </si>
  <si>
    <t>enemy_skills</t>
    <phoneticPr fontId="11"/>
  </si>
  <si>
    <t>effect_param</t>
    <phoneticPr fontId="11"/>
  </si>
  <si>
    <t>enemy_skills_i18n_</t>
    <phoneticPr fontId="11"/>
  </si>
  <si>
    <t>.tmp</t>
    <phoneticPr fontId="11"/>
  </si>
  <si>
    <t>enemy_skills</t>
    <phoneticPr fontId="11"/>
  </si>
  <si>
    <t>language</t>
  </si>
  <si>
    <t>name</t>
  </si>
  <si>
    <t>comment</t>
  </si>
  <si>
    <t>enemy_skill_triggers_</t>
    <phoneticPr fontId="11"/>
  </si>
  <si>
    <t>enemy_skill_triggers</t>
    <phoneticPr fontId="11"/>
  </si>
  <si>
    <t>first_time</t>
  </si>
  <si>
    <t>invoke_rate</t>
  </si>
  <si>
    <t>hp_threshold</t>
  </si>
  <si>
    <t>hp_termination</t>
    <phoneticPr fontId="11"/>
  </si>
  <si>
    <t>invoke_times</t>
  </si>
  <si>
    <t>invoke_weight</t>
    <phoneticPr fontId="11"/>
  </si>
  <si>
    <t>every_time_count</t>
    <phoneticPr fontId="11"/>
  </si>
  <si>
    <t>neighbor_dead_id</t>
    <phoneticPr fontId="11"/>
  </si>
  <si>
    <t>priority</t>
    <phoneticPr fontId="11"/>
  </si>
  <si>
    <t>stage_bug_bonuses_</t>
    <phoneticPr fontId="11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</si>
  <si>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11"/>
  </si>
  <si>
    <t>bugbonuses</t>
    <phoneticPr fontId="11"/>
  </si>
  <si>
    <t>quest_id</t>
    <phoneticPr fontId="11"/>
  </si>
  <si>
    <t>stage_id</t>
    <phoneticPr fontId="11"/>
  </si>
  <si>
    <t>stage_target</t>
    <phoneticPr fontId="11"/>
  </si>
  <si>
    <t>bonus_id</t>
    <phoneticPr fontId="11"/>
  </si>
  <si>
    <t>bonus_type</t>
    <phoneticPr fontId="11"/>
  </si>
  <si>
    <t>bonus_value</t>
    <phoneticPr fontId="11"/>
  </si>
  <si>
    <t>bonus_count</t>
    <phoneticPr fontId="11"/>
  </si>
  <si>
    <t>skill_level</t>
    <phoneticPr fontId="11"/>
  </si>
  <si>
    <t>hp_plus</t>
    <phoneticPr fontId="11"/>
  </si>
  <si>
    <t>attack_plus</t>
    <phoneticPr fontId="11"/>
  </si>
  <si>
    <t>defense_plus</t>
    <phoneticPr fontId="11"/>
  </si>
  <si>
    <t>heal_plus</t>
    <phoneticPr fontId="11"/>
  </si>
  <si>
    <t>bug</t>
    <phoneticPr fontId="11"/>
  </si>
  <si>
    <t>weight</t>
    <phoneticPr fontId="11"/>
  </si>
  <si>
    <t>definite_start_date</t>
    <phoneticPr fontId="11"/>
  </si>
  <si>
    <t>definite_end_date</t>
    <phoneticPr fontId="11"/>
  </si>
  <si>
    <t>stage_hints_data_c_</t>
    <phoneticPr fontId="11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</si>
  <si>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11"/>
  </si>
  <si>
    <t>hint_id</t>
    <phoneticPr fontId="11"/>
  </si>
  <si>
    <t>floor_id</t>
    <phoneticPr fontId="11"/>
  </si>
  <si>
    <t>hint_type</t>
    <phoneticPr fontId="11"/>
  </si>
  <si>
    <t>stage_hints_data_f_</t>
    <phoneticPr fontId="11"/>
  </si>
  <si>
    <t>stage_hints_failure</t>
    <phoneticPr fontId="11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</si>
  <si>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</si>
  <si>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t>language</t>
    <phoneticPr fontId="11"/>
  </si>
  <si>
    <t>hint</t>
    <phoneticPr fontId="11"/>
  </si>
  <si>
    <t>filename</t>
  </si>
  <si>
    <t>title</t>
    <phoneticPr fontId="11"/>
  </si>
  <si>
    <t>stage_bonuses_</t>
    <phoneticPr fontId="11"/>
  </si>
  <si>
    <t>stage_bonuses</t>
    <phoneticPr fontId="11"/>
  </si>
  <si>
    <t>quest_id</t>
    <phoneticPr fontId="11"/>
  </si>
  <si>
    <t>stage_id</t>
    <phoneticPr fontId="11"/>
  </si>
  <si>
    <t>stage_target</t>
    <phoneticPr fontId="11"/>
  </si>
  <si>
    <t>bonus_category</t>
    <phoneticPr fontId="11"/>
  </si>
  <si>
    <t>bonus_id</t>
    <phoneticPr fontId="11"/>
  </si>
  <si>
    <t>bonus_type</t>
    <phoneticPr fontId="11"/>
  </si>
  <si>
    <t>bonus_value</t>
    <phoneticPr fontId="11"/>
  </si>
  <si>
    <t>bonus_count</t>
    <phoneticPr fontId="11"/>
  </si>
  <si>
    <t>level</t>
    <phoneticPr fontId="11"/>
  </si>
  <si>
    <t>skill_level</t>
    <phoneticPr fontId="11"/>
  </si>
  <si>
    <t>hp_plus</t>
    <phoneticPr fontId="11"/>
  </si>
  <si>
    <t>attack_plus</t>
    <phoneticPr fontId="11"/>
  </si>
  <si>
    <t>defense_plus</t>
    <phoneticPr fontId="11"/>
  </si>
  <si>
    <t>heal_plus</t>
    <phoneticPr fontId="11"/>
  </si>
  <si>
    <t>bug</t>
    <phoneticPr fontId="11"/>
  </si>
  <si>
    <t>weight</t>
    <phoneticPr fontId="11"/>
  </si>
  <si>
    <t>definite_start_date</t>
    <phoneticPr fontId="11"/>
  </si>
  <si>
    <t>definite_end_date</t>
    <phoneticPr fontId="11"/>
  </si>
  <si>
    <t>temp_floor</t>
    <phoneticPr fontId="11"/>
  </si>
  <si>
    <t>status</t>
    <phoneticPr fontId="11"/>
  </si>
  <si>
    <t>name</t>
    <phoneticPr fontId="11"/>
  </si>
  <si>
    <t>temp_stage</t>
    <phoneticPr fontId="11"/>
  </si>
  <si>
    <t>temp_habitats</t>
    <phoneticPr fontId="11"/>
  </si>
  <si>
    <t>temp_stage</t>
    <phoneticPr fontId="11"/>
  </si>
  <si>
    <t>name</t>
    <phoneticPr fontId="11"/>
  </si>
  <si>
    <t>floor_id</t>
    <phoneticPr fontId="11"/>
  </si>
  <si>
    <t>temp_floor</t>
    <phoneticPr fontId="11"/>
  </si>
  <si>
    <t>seq_no</t>
    <phoneticPr fontId="11"/>
  </si>
  <si>
    <t>color</t>
    <phoneticPr fontId="11"/>
  </si>
  <si>
    <t>drop_label</t>
    <phoneticPr fontId="11"/>
  </si>
  <si>
    <t>character_main_tribe_id</t>
    <phoneticPr fontId="11"/>
  </si>
  <si>
    <t>size</t>
    <phoneticPr fontId="11"/>
  </si>
  <si>
    <t>hp_coefficient</t>
    <phoneticPr fontId="11"/>
  </si>
  <si>
    <t>attack_coefficient</t>
    <phoneticPr fontId="11"/>
  </si>
  <si>
    <t>defense_correction</t>
    <phoneticPr fontId="11"/>
  </si>
  <si>
    <t>スキル</t>
    <phoneticPr fontId="11"/>
  </si>
  <si>
    <t>skill_set_id</t>
    <phoneticPr fontId="11"/>
  </si>
  <si>
    <t>name</t>
    <phoneticPr fontId="11"/>
  </si>
  <si>
    <t>rare</t>
    <phoneticPr fontId="11"/>
  </si>
  <si>
    <t>drop_label</t>
    <phoneticPr fontId="13"/>
  </si>
  <si>
    <t>state_no</t>
    <phoneticPr fontId="11"/>
  </si>
  <si>
    <t>hp_coefficient</t>
    <phoneticPr fontId="11"/>
  </si>
  <si>
    <t>attack_coefficient</t>
    <phoneticPr fontId="11"/>
  </si>
  <si>
    <t>defense_correction</t>
    <phoneticPr fontId="11"/>
  </si>
  <si>
    <t>スキル</t>
    <phoneticPr fontId="11"/>
  </si>
  <si>
    <t>skill_set_id</t>
    <phoneticPr fontId="11"/>
  </si>
  <si>
    <t>temp_id</t>
    <phoneticPr fontId="11"/>
  </si>
  <si>
    <t>skill_set_id</t>
    <phoneticPr fontId="13"/>
  </si>
  <si>
    <t>skill_id</t>
    <phoneticPr fontId="13"/>
  </si>
  <si>
    <t>name</t>
    <phoneticPr fontId="13"/>
  </si>
  <si>
    <t>comment</t>
    <phoneticPr fontId="13"/>
  </si>
  <si>
    <t>skill_trigger_id</t>
    <phoneticPr fontId="13"/>
  </si>
  <si>
    <t>first_time</t>
    <phoneticPr fontId="11"/>
  </si>
  <si>
    <t>priority</t>
    <phoneticPr fontId="11"/>
  </si>
  <si>
    <t>invoke_rate</t>
    <phoneticPr fontId="11"/>
  </si>
  <si>
    <t>hp_threshold</t>
    <phoneticPr fontId="11"/>
  </si>
  <si>
    <t>hp_termination</t>
    <phoneticPr fontId="11"/>
  </si>
  <si>
    <t>invoke_times</t>
    <phoneticPr fontId="11"/>
  </si>
  <si>
    <t>every_time_count</t>
    <phoneticPr fontId="11"/>
  </si>
  <si>
    <t>neighbor_dead_id</t>
    <phoneticPr fontId="11"/>
  </si>
  <si>
    <t>invoke_weight</t>
    <phoneticPr fontId="11"/>
  </si>
  <si>
    <t>effect_param</t>
    <phoneticPr fontId="11"/>
  </si>
  <si>
    <t>language</t>
    <phoneticPr fontId="11"/>
  </si>
  <si>
    <t>name</t>
    <phoneticPr fontId="13"/>
  </si>
  <si>
    <t>comment</t>
    <phoneticPr fontId="13"/>
  </si>
  <si>
    <t>skill_trigger_id</t>
    <phoneticPr fontId="13"/>
  </si>
  <si>
    <t>first_time</t>
    <phoneticPr fontId="11"/>
  </si>
  <si>
    <t>hp_termination</t>
    <phoneticPr fontId="11"/>
  </si>
  <si>
    <t>invoke_times</t>
    <phoneticPr fontId="11"/>
  </si>
  <si>
    <t>every_time_count</t>
    <phoneticPr fontId="11"/>
  </si>
  <si>
    <t>neighbor_dead_id</t>
    <phoneticPr fontId="11"/>
  </si>
  <si>
    <t>invoke_weight</t>
    <phoneticPr fontId="11"/>
  </si>
  <si>
    <t>quest_id</t>
    <phoneticPr fontId="11"/>
  </si>
  <si>
    <t>stage_id</t>
    <phoneticPr fontId="11"/>
  </si>
  <si>
    <t>temp_stage</t>
    <phoneticPr fontId="13"/>
  </si>
  <si>
    <t>stage_target</t>
    <phoneticPr fontId="11"/>
  </si>
  <si>
    <t>bonus_id</t>
    <phoneticPr fontId="11"/>
  </si>
  <si>
    <t>bonus_type</t>
    <phoneticPr fontId="11"/>
  </si>
  <si>
    <t>bonus_value</t>
    <phoneticPr fontId="11"/>
  </si>
  <si>
    <t>bonus_count</t>
    <phoneticPr fontId="11"/>
  </si>
  <si>
    <t>level</t>
    <phoneticPr fontId="11"/>
  </si>
  <si>
    <t>skill_level</t>
    <phoneticPr fontId="11"/>
  </si>
  <si>
    <t>hp_plus</t>
    <phoneticPr fontId="11"/>
  </si>
  <si>
    <t>attack_plus</t>
    <phoneticPr fontId="11"/>
  </si>
  <si>
    <t>defense_plus</t>
    <phoneticPr fontId="11"/>
  </si>
  <si>
    <t>heal_plus</t>
    <phoneticPr fontId="11"/>
  </si>
  <si>
    <t>bug</t>
    <phoneticPr fontId="11"/>
  </si>
  <si>
    <t>weight</t>
    <phoneticPr fontId="11"/>
  </si>
  <si>
    <t>definite_start_date</t>
    <phoneticPr fontId="11"/>
  </si>
  <si>
    <t>definite_end_date</t>
    <phoneticPr fontId="11"/>
  </si>
  <si>
    <t>quest_id</t>
    <phoneticPr fontId="11"/>
  </si>
  <si>
    <t>hint_type</t>
    <phoneticPr fontId="11"/>
  </si>
  <si>
    <t>quest_id</t>
    <phoneticPr fontId="11"/>
  </si>
  <si>
    <t>name</t>
    <phoneticPr fontId="11"/>
  </si>
  <si>
    <t>stage_id</t>
    <phoneticPr fontId="11"/>
  </si>
  <si>
    <t>floor_id</t>
    <phoneticPr fontId="11"/>
  </si>
  <si>
    <t>tmp_hint_id</t>
    <phoneticPr fontId="11"/>
  </si>
  <si>
    <t>hint_id</t>
    <phoneticPr fontId="11"/>
  </si>
  <si>
    <t>language</t>
    <phoneticPr fontId="11"/>
  </si>
  <si>
    <t>title</t>
    <phoneticPr fontId="11"/>
  </si>
  <si>
    <t>hint</t>
    <phoneticPr fontId="11"/>
  </si>
  <si>
    <t>filename</t>
    <phoneticPr fontId="11"/>
  </si>
  <si>
    <t>temp_id</t>
    <phoneticPr fontId="11"/>
  </si>
  <si>
    <t>quest_id</t>
    <phoneticPr fontId="11"/>
  </si>
  <si>
    <t>name</t>
    <phoneticPr fontId="11"/>
  </si>
  <si>
    <t>stage_id</t>
    <phoneticPr fontId="11"/>
  </si>
  <si>
    <t>stage_target</t>
    <phoneticPr fontId="11"/>
  </si>
  <si>
    <t>bonus_category</t>
    <phoneticPr fontId="11"/>
  </si>
  <si>
    <t>bonus_id</t>
    <phoneticPr fontId="11"/>
  </si>
  <si>
    <t>weight</t>
    <phoneticPr fontId="11"/>
  </si>
  <si>
    <t>bonus_type</t>
    <phoneticPr fontId="11"/>
  </si>
  <si>
    <t>bonus_value</t>
    <phoneticPr fontId="11"/>
  </si>
  <si>
    <t>bonus_count</t>
    <phoneticPr fontId="11"/>
  </si>
  <si>
    <t>level</t>
    <phoneticPr fontId="11"/>
  </si>
  <si>
    <t>skill_level</t>
    <phoneticPr fontId="11"/>
  </si>
  <si>
    <t>hp_plus</t>
    <phoneticPr fontId="11"/>
  </si>
  <si>
    <t>attack_plus</t>
    <phoneticPr fontId="11"/>
  </si>
  <si>
    <t>defense_plus</t>
    <phoneticPr fontId="11"/>
  </si>
  <si>
    <t>heal_plus</t>
    <phoneticPr fontId="11"/>
  </si>
  <si>
    <t>bug</t>
    <phoneticPr fontId="11"/>
  </si>
  <si>
    <t>definite_start_date</t>
    <phoneticPr fontId="11"/>
  </si>
  <si>
    <t>definite_end_date</t>
    <phoneticPr fontId="11"/>
  </si>
  <si>
    <t>quest_id</t>
    <phoneticPr fontId="11"/>
  </si>
  <si>
    <t>number</t>
    <phoneticPr fontId="11"/>
  </si>
  <si>
    <t>hint_type</t>
    <phoneticPr fontId="11"/>
  </si>
  <si>
    <t>name</t>
    <phoneticPr fontId="11"/>
  </si>
  <si>
    <t>stage_id</t>
    <phoneticPr fontId="11"/>
  </si>
  <si>
    <t>floor_id</t>
    <phoneticPr fontId="11"/>
  </si>
  <si>
    <t>hint_id</t>
    <phoneticPr fontId="11"/>
  </si>
  <si>
    <t>language</t>
    <phoneticPr fontId="11"/>
  </si>
  <si>
    <t>title</t>
    <phoneticPr fontId="11"/>
  </si>
  <si>
    <t>hint</t>
    <phoneticPr fontId="11"/>
  </si>
  <si>
    <t>filename</t>
    <phoneticPr fontId="11"/>
  </si>
  <si>
    <t>null</t>
    <phoneticPr fontId="11"/>
  </si>
  <si>
    <t>null</t>
    <phoneticPr fontId="11"/>
  </si>
  <si>
    <t>null</t>
    <phoneticPr fontId="11"/>
  </si>
  <si>
    <t>null</t>
    <phoneticPr fontId="11"/>
  </si>
  <si>
    <t>null</t>
    <phoneticPr fontId="11"/>
  </si>
  <si>
    <t>old</t>
  </si>
  <si>
    <t>old</t>
    <phoneticPr fontId="11"/>
  </si>
  <si>
    <t>score_attack_unit_bonus_condition_id</t>
    <phoneticPr fontId="11"/>
  </si>
  <si>
    <t>evaluation_id</t>
    <phoneticPr fontId="11"/>
  </si>
  <si>
    <t>cost</t>
    <phoneticPr fontId="11"/>
  </si>
  <si>
    <t>&lt;=</t>
    <phoneticPr fontId="11"/>
  </si>
  <si>
    <t>与ダメ</t>
    <phoneticPr fontId="11"/>
  </si>
  <si>
    <t>スコア</t>
    <phoneticPr fontId="11"/>
  </si>
  <si>
    <t>回復量</t>
    <phoneticPr fontId="1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</si>
</sst>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6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theme="1"/>
      <name val="ＭＳ Ｐゴシック"/>
      <family val="2"/>
      <charset val="128"/>
    </font>
    <font>
      <b/>
      <sz val="11"/>
      <color indexed="81"/>
      <name val="ＭＳ Ｐゴシック"/>
      <family val="3"/>
      <charset val="128"/>
    </font>
    <font>
      <sz val="10"/>
      <color theme="1"/>
      <name val="Liberation Sans"/>
      <family val="2"/>
    </font>
    <font>
      <sz val="13"/>
      <color rgb="FF000000"/>
      <name val="Helvetica Neue"/>
    </font>
    <font>
      <sz val="12"/>
      <color rgb="FF000000"/>
      <name val="ＭＳ Ｐゴシック"/>
      <family val="3"/>
      <charset val="128"/>
      <scheme val="minor"/>
    </font>
    <font>
      <b/>
      <sz val="10"/>
      <color theme="1"/>
      <name val="ＭＳ Ｐゴシック"/>
      <family val="3"/>
      <charset val="128"/>
      <scheme val="minor"/>
    </font>
    <font>
      <b/>
      <sz val="10"/>
      <name val="ＭＳ Ｐゴシック"/>
      <family val="3"/>
      <charset val="128"/>
    </font>
    <font>
      <sz val="11"/>
      <color indexed="81"/>
      <name val="ＭＳ Ｐゴシック"/>
      <charset val="128"/>
    </font>
  </fonts>
  <fills count="4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34998626667073579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0"/>
        <bgColor indexed="2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24"/>
      </patternFill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</borders>
  <cellStyleXfs count="737">
    <xf numFmtId="0" fontId="0" fillId="0" borderId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9" fillId="0" borderId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24" fillId="0" borderId="0"/>
    <xf numFmtId="38" fontId="25" fillId="0" borderId="0" applyFill="0" applyBorder="0" applyAlignment="0" applyProtection="0"/>
    <xf numFmtId="0" fontId="26" fillId="8" borderId="0" applyNumberFormat="0" applyBorder="0" applyAlignment="0" applyProtection="0"/>
    <xf numFmtId="0" fontId="27" fillId="9" borderId="0" applyNumberFormat="0" applyBorder="0" applyAlignment="0" applyProtection="0"/>
    <xf numFmtId="0" fontId="28" fillId="0" borderId="0"/>
    <xf numFmtId="0" fontId="29" fillId="0" borderId="0">
      <alignment vertical="center"/>
    </xf>
    <xf numFmtId="0" fontId="30" fillId="0" borderId="0">
      <alignment vertical="center"/>
    </xf>
    <xf numFmtId="0" fontId="31" fillId="10" borderId="0" applyNumberFormat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8" fillId="0" borderId="0"/>
    <xf numFmtId="0" fontId="8" fillId="0" borderId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38" fontId="7" fillId="0" borderId="0" applyFont="0" applyFill="0" applyBorder="0" applyAlignment="0" applyProtection="0">
      <alignment vertical="center"/>
    </xf>
    <xf numFmtId="0" fontId="35" fillId="15" borderId="5" applyNumberFormat="0" applyAlignment="0" applyProtection="0"/>
    <xf numFmtId="0" fontId="36" fillId="16" borderId="0" applyNumberFormat="0" applyBorder="0" applyAlignment="0" applyProtection="0"/>
    <xf numFmtId="0" fontId="37" fillId="17" borderId="6" applyNumberFormat="0" applyAlignment="0" applyProtection="0"/>
    <xf numFmtId="0" fontId="38" fillId="0" borderId="0" applyNumberFormat="0" applyFill="0" applyBorder="0" applyAlignment="0" applyProtection="0"/>
    <xf numFmtId="0" fontId="39" fillId="18" borderId="0" applyNumberFormat="0" applyBorder="0" applyAlignment="0" applyProtection="0"/>
    <xf numFmtId="0" fontId="40" fillId="19" borderId="7" applyNumberFormat="0" applyAlignment="0" applyProtection="0"/>
    <xf numFmtId="0" fontId="41" fillId="0" borderId="0" applyNumberFormat="0" applyFill="0" applyBorder="0" applyAlignment="0" applyProtection="0"/>
    <xf numFmtId="0" fontId="42" fillId="0" borderId="8" applyNumberFormat="0" applyFill="0" applyAlignment="0" applyProtection="0"/>
    <xf numFmtId="0" fontId="43" fillId="0" borderId="9" applyNumberFormat="0" applyFill="0" applyAlignment="0" applyProtection="0"/>
    <xf numFmtId="0" fontId="44" fillId="0" borderId="10" applyNumberFormat="0" applyFill="0" applyAlignment="0" applyProtection="0"/>
    <xf numFmtId="0" fontId="44" fillId="0" borderId="0" applyNumberFormat="0" applyFill="0" applyBorder="0" applyAlignment="0" applyProtection="0"/>
    <xf numFmtId="0" fontId="45" fillId="17" borderId="0" applyNumberFormat="0" applyBorder="0" applyAlignment="0" applyProtection="0"/>
    <xf numFmtId="0" fontId="45" fillId="16" borderId="0" applyNumberFormat="0" applyBorder="0" applyAlignment="0" applyProtection="0"/>
    <xf numFmtId="0" fontId="45" fillId="20" borderId="0" applyNumberFormat="0" applyBorder="0" applyAlignment="0" applyProtection="0"/>
    <xf numFmtId="0" fontId="45" fillId="17" borderId="0" applyNumberFormat="0" applyBorder="0" applyAlignment="0" applyProtection="0"/>
    <xf numFmtId="0" fontId="45" fillId="21" borderId="0" applyNumberFormat="0" applyBorder="0" applyAlignment="0" applyProtection="0"/>
    <xf numFmtId="0" fontId="45" fillId="15" borderId="0" applyNumberFormat="0" applyBorder="0" applyAlignment="0" applyProtection="0"/>
    <xf numFmtId="0" fontId="45" fillId="17" borderId="0" applyNumberFormat="0" applyBorder="0" applyAlignment="0" applyProtection="0"/>
    <xf numFmtId="0" fontId="45" fillId="22" borderId="0" applyNumberFormat="0" applyBorder="0" applyAlignment="0" applyProtection="0"/>
    <xf numFmtId="0" fontId="45" fillId="20" borderId="0" applyNumberFormat="0" applyBorder="0" applyAlignment="0" applyProtection="0"/>
    <xf numFmtId="0" fontId="45" fillId="17" borderId="0" applyNumberFormat="0" applyBorder="0" applyAlignment="0" applyProtection="0"/>
    <xf numFmtId="0" fontId="45" fillId="23" borderId="0" applyNumberFormat="0" applyBorder="0" applyAlignment="0" applyProtection="0"/>
    <xf numFmtId="0" fontId="45" fillId="16" borderId="0" applyNumberFormat="0" applyBorder="0" applyAlignment="0" applyProtection="0"/>
    <xf numFmtId="0" fontId="46" fillId="24" borderId="0" applyNumberFormat="0" applyBorder="0" applyAlignment="0" applyProtection="0"/>
    <xf numFmtId="0" fontId="46" fillId="22" borderId="0" applyNumberFormat="0" applyBorder="0" applyAlignment="0" applyProtection="0"/>
    <xf numFmtId="0" fontId="46" fillId="20" borderId="0" applyNumberFormat="0" applyBorder="0" applyAlignment="0" applyProtection="0"/>
    <xf numFmtId="0" fontId="46" fillId="17" borderId="0" applyNumberFormat="0" applyBorder="0" applyAlignment="0" applyProtection="0"/>
    <xf numFmtId="0" fontId="46" fillId="24" borderId="0" applyNumberFormat="0" applyBorder="0" applyAlignment="0" applyProtection="0"/>
    <xf numFmtId="0" fontId="46" fillId="16" borderId="0" applyNumberFormat="0" applyBorder="0" applyAlignment="0" applyProtection="0"/>
    <xf numFmtId="0" fontId="38" fillId="0" borderId="0" applyNumberFormat="0" applyFill="0" applyBorder="0" applyAlignment="0" applyProtection="0"/>
    <xf numFmtId="0" fontId="46" fillId="24" borderId="0" applyNumberFormat="0" applyBorder="0" applyAlignment="0" applyProtection="0"/>
    <xf numFmtId="0" fontId="46" fillId="25" borderId="0" applyNumberFormat="0" applyBorder="0" applyAlignment="0" applyProtection="0"/>
    <xf numFmtId="0" fontId="46" fillId="20" borderId="0" applyNumberFormat="0" applyBorder="0" applyAlignment="0" applyProtection="0"/>
    <xf numFmtId="0" fontId="46" fillId="26" borderId="0" applyNumberFormat="0" applyBorder="0" applyAlignment="0" applyProtection="0"/>
    <xf numFmtId="0" fontId="46" fillId="24" borderId="0" applyNumberFormat="0" applyBorder="0" applyAlignment="0" applyProtection="0"/>
    <xf numFmtId="0" fontId="46" fillId="22" borderId="0" applyNumberFormat="0" applyBorder="0" applyAlignment="0" applyProtection="0"/>
    <xf numFmtId="0" fontId="47" fillId="27" borderId="0" applyNumberFormat="0" applyBorder="0" applyAlignment="0" applyProtection="0"/>
    <xf numFmtId="0" fontId="36" fillId="16" borderId="0" applyNumberFormat="0" applyBorder="0" applyAlignment="0" applyProtection="0"/>
    <xf numFmtId="0" fontId="48" fillId="0" borderId="11" applyNumberFormat="0" applyFill="0" applyAlignment="0" applyProtection="0"/>
    <xf numFmtId="0" fontId="49" fillId="17" borderId="12" applyNumberFormat="0" applyAlignment="0" applyProtection="0"/>
    <xf numFmtId="0" fontId="49" fillId="28" borderId="12" applyNumberFormat="0" applyAlignment="0" applyProtection="0"/>
    <xf numFmtId="0" fontId="37" fillId="16" borderId="6" applyNumberFormat="0" applyAlignment="0" applyProtection="0"/>
    <xf numFmtId="0" fontId="50" fillId="0" borderId="13" applyNumberFormat="0" applyFill="0" applyAlignment="0" applyProtection="0"/>
    <xf numFmtId="0" fontId="51" fillId="28" borderId="6" applyNumberFormat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3" fillId="0" borderId="14" applyNumberFormat="0" applyFill="0" applyAlignment="0" applyProtection="0"/>
    <xf numFmtId="0" fontId="7" fillId="0" borderId="0"/>
    <xf numFmtId="0" fontId="7" fillId="0" borderId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38" fontId="4" fillId="0" borderId="0" applyFont="0" applyFill="0" applyBorder="0" applyAlignment="0" applyProtection="0"/>
    <xf numFmtId="38" fontId="3" fillId="0" borderId="0" applyFon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2" fillId="0" borderId="0"/>
    <xf numFmtId="0" fontId="2" fillId="0" borderId="0"/>
    <xf numFmtId="0" fontId="1" fillId="0" borderId="0"/>
    <xf numFmtId="0" fontId="1" fillId="0" borderId="0"/>
    <xf numFmtId="38" fontId="1" fillId="0" borderId="0" applyFont="0" applyFill="0" applyBorder="0" applyAlignment="0" applyProtection="0">
      <alignment vertical="center"/>
    </xf>
  </cellStyleXfs>
  <cellXfs count="151">
    <xf numFmtId="0" fontId="0" fillId="0" borderId="0" xfId="0"/>
    <xf numFmtId="0" fontId="10" fillId="2" borderId="1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10" fillId="0" borderId="0" xfId="0" applyFont="1" applyAlignment="1">
      <alignment vertical="center"/>
    </xf>
    <xf numFmtId="0" fontId="10" fillId="0" borderId="1" xfId="0" applyFont="1" applyFill="1" applyBorder="1" applyAlignment="1">
      <alignment vertical="center"/>
    </xf>
    <xf numFmtId="0" fontId="10" fillId="0" borderId="0" xfId="0" applyFont="1" applyAlignment="1">
      <alignment horizontal="center" vertical="center"/>
    </xf>
    <xf numFmtId="0" fontId="10" fillId="0" borderId="0" xfId="0" applyFont="1" applyFill="1" applyAlignment="1">
      <alignment vertical="center"/>
    </xf>
    <xf numFmtId="0" fontId="12" fillId="5" borderId="1" xfId="0" applyFont="1" applyFill="1" applyBorder="1" applyAlignment="1">
      <alignment vertical="center"/>
    </xf>
    <xf numFmtId="0" fontId="10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vertical="center"/>
    </xf>
    <xf numFmtId="0" fontId="10" fillId="3" borderId="3" xfId="0" applyFont="1" applyFill="1" applyBorder="1" applyAlignment="1">
      <alignment horizontal="center" vertical="center"/>
    </xf>
    <xf numFmtId="0" fontId="18" fillId="7" borderId="0" xfId="0" applyFont="1" applyFill="1" applyAlignment="1">
      <alignment vertical="center"/>
    </xf>
    <xf numFmtId="0" fontId="12" fillId="5" borderId="3" xfId="0" applyFont="1" applyFill="1" applyBorder="1" applyAlignment="1">
      <alignment vertical="center"/>
    </xf>
    <xf numFmtId="0" fontId="18" fillId="0" borderId="0" xfId="0" applyFont="1" applyFill="1" applyAlignment="1">
      <alignment vertical="center"/>
    </xf>
    <xf numFmtId="0" fontId="10" fillId="0" borderId="1" xfId="0" applyFont="1" applyFill="1" applyBorder="1" applyAlignment="1">
      <alignment horizontal="center" vertical="center"/>
    </xf>
    <xf numFmtId="0" fontId="12" fillId="3" borderId="3" xfId="0" applyFont="1" applyFill="1" applyBorder="1" applyAlignment="1">
      <alignment vertical="center"/>
    </xf>
    <xf numFmtId="0" fontId="10" fillId="2" borderId="3" xfId="0" applyFont="1" applyFill="1" applyBorder="1" applyAlignment="1">
      <alignment horizontal="left" vertical="center"/>
    </xf>
    <xf numFmtId="0" fontId="10" fillId="3" borderId="3" xfId="0" applyFont="1" applyFill="1" applyBorder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10" fillId="6" borderId="3" xfId="0" applyFont="1" applyFill="1" applyBorder="1" applyAlignment="1">
      <alignment horizontal="left" vertical="center"/>
    </xf>
    <xf numFmtId="0" fontId="10" fillId="6" borderId="1" xfId="0" applyFont="1" applyFill="1" applyBorder="1" applyAlignment="1">
      <alignment horizontal="left" vertical="center"/>
    </xf>
    <xf numFmtId="0" fontId="12" fillId="0" borderId="3" xfId="0" applyFont="1" applyFill="1" applyBorder="1" applyAlignment="1">
      <alignment vertical="center"/>
    </xf>
    <xf numFmtId="0" fontId="20" fillId="7" borderId="0" xfId="0" applyFont="1" applyFill="1" applyAlignment="1">
      <alignment vertical="center"/>
    </xf>
    <xf numFmtId="0" fontId="22" fillId="6" borderId="3" xfId="0" applyFont="1" applyFill="1" applyBorder="1" applyAlignment="1">
      <alignment horizontal="center" vertical="center"/>
    </xf>
    <xf numFmtId="0" fontId="22" fillId="3" borderId="3" xfId="0" applyFont="1" applyFill="1" applyBorder="1" applyAlignment="1">
      <alignment horizontal="center" vertical="center"/>
    </xf>
    <xf numFmtId="0" fontId="17" fillId="6" borderId="3" xfId="0" applyFont="1" applyFill="1" applyBorder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0" fontId="17" fillId="3" borderId="2" xfId="0" applyFont="1" applyFill="1" applyBorder="1" applyAlignment="1">
      <alignment horizontal="center" vertical="center"/>
    </xf>
    <xf numFmtId="0" fontId="22" fillId="0" borderId="0" xfId="0" applyFont="1" applyAlignment="1">
      <alignment vertical="center"/>
    </xf>
    <xf numFmtId="0" fontId="22" fillId="0" borderId="0" xfId="0" applyFont="1" applyFill="1" applyAlignment="1">
      <alignment vertical="center"/>
    </xf>
    <xf numFmtId="0" fontId="17" fillId="6" borderId="2" xfId="0" applyFont="1" applyFill="1" applyBorder="1" applyAlignment="1">
      <alignment horizontal="center" vertical="center"/>
    </xf>
    <xf numFmtId="0" fontId="20" fillId="7" borderId="0" xfId="0" applyFont="1" applyFill="1" applyAlignment="1">
      <alignment horizontal="center" vertical="center"/>
    </xf>
    <xf numFmtId="0" fontId="19" fillId="11" borderId="3" xfId="0" applyFont="1" applyFill="1" applyBorder="1"/>
    <xf numFmtId="0" fontId="0" fillId="11" borderId="3" xfId="0" applyFill="1" applyBorder="1"/>
    <xf numFmtId="0" fontId="0" fillId="0" borderId="3" xfId="0" applyBorder="1"/>
    <xf numFmtId="0" fontId="0" fillId="6" borderId="3" xfId="0" applyFill="1" applyBorder="1"/>
    <xf numFmtId="0" fontId="19" fillId="11" borderId="3" xfId="434" applyFont="1" applyFill="1" applyBorder="1" applyAlignment="1"/>
    <xf numFmtId="0" fontId="0" fillId="0" borderId="3" xfId="615" applyFont="1" applyBorder="1"/>
    <xf numFmtId="0" fontId="10" fillId="0" borderId="3" xfId="0" applyFont="1" applyBorder="1" applyAlignment="1">
      <alignment vertical="center"/>
    </xf>
    <xf numFmtId="0" fontId="22" fillId="6" borderId="3" xfId="0" applyFont="1" applyFill="1" applyBorder="1" applyAlignment="1">
      <alignment horizontal="center"/>
    </xf>
    <xf numFmtId="0" fontId="32" fillId="6" borderId="3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13" borderId="3" xfId="0" applyFont="1" applyFill="1" applyBorder="1" applyAlignment="1">
      <alignment horizontal="center"/>
    </xf>
    <xf numFmtId="0" fontId="22" fillId="14" borderId="3" xfId="0" applyFont="1" applyFill="1" applyBorder="1" applyAlignment="1">
      <alignment horizontal="center"/>
    </xf>
    <xf numFmtId="0" fontId="0" fillId="14" borderId="3" xfId="0" applyFill="1" applyBorder="1"/>
    <xf numFmtId="0" fontId="33" fillId="0" borderId="3" xfId="0" applyFont="1" applyFill="1" applyBorder="1"/>
    <xf numFmtId="0" fontId="34" fillId="3" borderId="4" xfId="0" applyFont="1" applyFill="1" applyBorder="1" applyAlignment="1">
      <alignment vertical="center"/>
    </xf>
    <xf numFmtId="0" fontId="32" fillId="0" borderId="0" xfId="0" applyFont="1" applyFill="1"/>
    <xf numFmtId="0" fontId="22" fillId="29" borderId="3" xfId="0" applyFont="1" applyFill="1" applyBorder="1" applyAlignment="1">
      <alignment horizontal="center"/>
    </xf>
    <xf numFmtId="0" fontId="22" fillId="12" borderId="3" xfId="0" applyFont="1" applyFill="1" applyBorder="1" applyAlignment="1">
      <alignment horizontal="center"/>
    </xf>
    <xf numFmtId="56" fontId="22" fillId="13" borderId="3" xfId="0" applyNumberFormat="1" applyFont="1" applyFill="1" applyBorder="1" applyAlignment="1">
      <alignment horizontal="center"/>
    </xf>
    <xf numFmtId="0" fontId="10" fillId="30" borderId="3" xfId="0" applyFont="1" applyFill="1" applyBorder="1" applyAlignment="1">
      <alignment vertical="center"/>
    </xf>
    <xf numFmtId="0" fontId="22" fillId="6" borderId="15" xfId="0" applyFont="1" applyFill="1" applyBorder="1" applyAlignment="1">
      <alignment horizontal="center"/>
    </xf>
    <xf numFmtId="0" fontId="14" fillId="32" borderId="3" xfId="0" applyFont="1" applyFill="1" applyBorder="1" applyAlignment="1">
      <alignment horizontal="left" vertical="center"/>
    </xf>
    <xf numFmtId="0" fontId="22" fillId="31" borderId="3" xfId="432" applyFont="1" applyFill="1" applyBorder="1" applyAlignment="1">
      <alignment horizontal="left" vertical="center"/>
    </xf>
    <xf numFmtId="0" fontId="34" fillId="0" borderId="0" xfId="0" applyFont="1" applyFill="1" applyBorder="1" applyAlignment="1">
      <alignment vertical="center"/>
    </xf>
    <xf numFmtId="0" fontId="22" fillId="13" borderId="15" xfId="0" applyFont="1" applyFill="1" applyBorder="1" applyAlignment="1">
      <alignment horizontal="center"/>
    </xf>
    <xf numFmtId="0" fontId="22" fillId="0" borderId="0" xfId="432" applyFont="1" applyAlignment="1">
      <alignment vertical="center"/>
    </xf>
    <xf numFmtId="0" fontId="22" fillId="0" borderId="0" xfId="432" applyFont="1" applyAlignment="1">
      <alignment vertical="center" wrapText="1"/>
    </xf>
    <xf numFmtId="0" fontId="7" fillId="0" borderId="3" xfId="676" applyBorder="1"/>
    <xf numFmtId="0" fontId="7" fillId="11" borderId="3" xfId="676" applyFill="1" applyBorder="1"/>
    <xf numFmtId="0" fontId="6" fillId="6" borderId="3" xfId="434" applyFont="1" applyFill="1" applyBorder="1" applyAlignment="1"/>
    <xf numFmtId="0" fontId="0" fillId="0" borderId="0" xfId="0" applyFill="1" applyBorder="1"/>
    <xf numFmtId="0" fontId="0" fillId="31" borderId="3" xfId="0" applyFill="1" applyBorder="1"/>
    <xf numFmtId="0" fontId="0" fillId="33" borderId="3" xfId="0" applyFill="1" applyBorder="1"/>
    <xf numFmtId="0" fontId="7" fillId="33" borderId="3" xfId="676" applyFill="1" applyBorder="1"/>
    <xf numFmtId="0" fontId="0" fillId="6" borderId="0" xfId="0" applyFill="1"/>
    <xf numFmtId="0" fontId="0" fillId="33" borderId="3" xfId="676" applyFont="1" applyFill="1" applyBorder="1"/>
    <xf numFmtId="0" fontId="0" fillId="0" borderId="3" xfId="615" applyFont="1" applyFill="1" applyBorder="1"/>
    <xf numFmtId="0" fontId="5" fillId="6" borderId="3" xfId="434" applyFont="1" applyFill="1" applyBorder="1" applyAlignment="1"/>
    <xf numFmtId="0" fontId="0" fillId="0" borderId="3" xfId="676" applyFont="1" applyFill="1" applyBorder="1"/>
    <xf numFmtId="0" fontId="54" fillId="34" borderId="3" xfId="0" applyFont="1" applyFill="1" applyBorder="1"/>
    <xf numFmtId="0" fontId="22" fillId="0" borderId="3" xfId="0" applyFont="1" applyBorder="1" applyAlignment="1">
      <alignment horizontal="left" vertical="center"/>
    </xf>
    <xf numFmtId="0" fontId="22" fillId="0" borderId="3" xfId="432" applyFont="1" applyBorder="1" applyAlignment="1">
      <alignment horizontal="left" vertical="center"/>
    </xf>
    <xf numFmtId="0" fontId="22" fillId="0" borderId="3" xfId="432" applyFont="1" applyBorder="1" applyAlignment="1">
      <alignment horizontal="left" vertical="center" wrapText="1"/>
    </xf>
    <xf numFmtId="3" fontId="10" fillId="0" borderId="3" xfId="0" applyNumberFormat="1" applyFont="1" applyFill="1" applyBorder="1" applyAlignment="1">
      <alignment horizontal="center" vertical="center"/>
    </xf>
    <xf numFmtId="0" fontId="33" fillId="0" borderId="3" xfId="0" applyFont="1" applyFill="1" applyBorder="1" applyAlignment="1">
      <alignment horizontal="left" vertical="center"/>
    </xf>
    <xf numFmtId="0" fontId="34" fillId="0" borderId="4" xfId="0" applyFont="1" applyFill="1" applyBorder="1" applyAlignment="1">
      <alignment horizontal="left" vertical="center"/>
    </xf>
    <xf numFmtId="0" fontId="10" fillId="0" borderId="3" xfId="0" applyFont="1" applyFill="1" applyBorder="1" applyAlignment="1">
      <alignment horizontal="center" vertical="center"/>
    </xf>
    <xf numFmtId="38" fontId="0" fillId="37" borderId="3" xfId="0" applyNumberFormat="1" applyFill="1" applyBorder="1"/>
    <xf numFmtId="40" fontId="0" fillId="35" borderId="3" xfId="0" applyNumberFormat="1" applyFill="1" applyBorder="1"/>
    <xf numFmtId="38" fontId="0" fillId="12" borderId="3" xfId="724" applyFont="1" applyFill="1" applyBorder="1"/>
    <xf numFmtId="40" fontId="0" fillId="37" borderId="3" xfId="725" applyNumberFormat="1" applyFont="1" applyFill="1" applyBorder="1"/>
    <xf numFmtId="38" fontId="0" fillId="0" borderId="16" xfId="725" applyFont="1" applyFill="1" applyBorder="1"/>
    <xf numFmtId="38" fontId="0" fillId="0" borderId="0" xfId="725" applyFont="1" applyFill="1" applyBorder="1"/>
    <xf numFmtId="38" fontId="0" fillId="36" borderId="3" xfId="724" applyFont="1" applyFill="1" applyBorder="1"/>
    <xf numFmtId="38" fontId="0" fillId="6" borderId="3" xfId="724" applyFont="1" applyFill="1" applyBorder="1"/>
    <xf numFmtId="38" fontId="0" fillId="30" borderId="3" xfId="724" applyFont="1" applyFill="1" applyBorder="1"/>
    <xf numFmtId="0" fontId="0" fillId="38" borderId="3" xfId="0" applyFill="1" applyBorder="1"/>
    <xf numFmtId="0" fontId="54" fillId="39" borderId="3" xfId="0" applyFont="1" applyFill="1" applyBorder="1"/>
    <xf numFmtId="0" fontId="22" fillId="38" borderId="0" xfId="0" applyFont="1" applyFill="1" applyBorder="1" applyAlignment="1">
      <alignment horizontal="left" vertical="center"/>
    </xf>
    <xf numFmtId="0" fontId="0" fillId="38" borderId="0" xfId="0" applyFill="1"/>
    <xf numFmtId="0" fontId="56" fillId="6" borderId="3" xfId="0" applyFont="1" applyFill="1" applyBorder="1"/>
    <xf numFmtId="0" fontId="56" fillId="0" borderId="3" xfId="0" applyFont="1" applyBorder="1"/>
    <xf numFmtId="22" fontId="56" fillId="0" borderId="3" xfId="0" applyNumberFormat="1" applyFont="1" applyBorder="1"/>
    <xf numFmtId="0" fontId="10" fillId="6" borderId="3" xfId="0" applyFont="1" applyFill="1" applyBorder="1" applyAlignment="1">
      <alignment vertical="center"/>
    </xf>
    <xf numFmtId="0" fontId="0" fillId="0" borderId="17" xfId="0" applyBorder="1"/>
    <xf numFmtId="0" fontId="57" fillId="0" borderId="0" xfId="0" applyFont="1"/>
    <xf numFmtId="0" fontId="54" fillId="34" borderId="17" xfId="0" applyFont="1" applyFill="1" applyBorder="1"/>
    <xf numFmtId="0" fontId="54" fillId="39" borderId="17" xfId="0" applyFont="1" applyFill="1" applyBorder="1"/>
    <xf numFmtId="0" fontId="0" fillId="38" borderId="17" xfId="0" applyFill="1" applyBorder="1"/>
    <xf numFmtId="0" fontId="22" fillId="0" borderId="17" xfId="0" applyFont="1" applyBorder="1" applyAlignment="1">
      <alignment horizontal="left" vertical="center"/>
    </xf>
    <xf numFmtId="0" fontId="22" fillId="0" borderId="17" xfId="432" applyFont="1" applyBorder="1" applyAlignment="1">
      <alignment horizontal="left" vertical="center"/>
    </xf>
    <xf numFmtId="0" fontId="22" fillId="0" borderId="17" xfId="432" applyFont="1" applyBorder="1" applyAlignment="1">
      <alignment horizontal="left" vertical="center" wrapText="1"/>
    </xf>
    <xf numFmtId="0" fontId="10" fillId="0" borderId="3" xfId="0" applyFont="1" applyBorder="1" applyAlignment="1">
      <alignment horizontal="center" vertical="center"/>
    </xf>
    <xf numFmtId="0" fontId="10" fillId="3" borderId="3" xfId="0" applyFont="1" applyFill="1" applyBorder="1" applyAlignment="1">
      <alignment vertical="center"/>
    </xf>
    <xf numFmtId="0" fontId="10" fillId="0" borderId="3" xfId="0" applyFont="1" applyFill="1" applyBorder="1" applyAlignment="1">
      <alignment vertical="center"/>
    </xf>
    <xf numFmtId="0" fontId="30" fillId="6" borderId="3" xfId="434" applyFill="1" applyBorder="1" applyAlignment="1"/>
    <xf numFmtId="0" fontId="0" fillId="12" borderId="3" xfId="0" applyFill="1" applyBorder="1" applyAlignment="1">
      <alignment horizontal="right"/>
    </xf>
    <xf numFmtId="0" fontId="0" fillId="41" borderId="3" xfId="0" applyFill="1" applyBorder="1" applyAlignment="1">
      <alignment horizontal="right"/>
    </xf>
    <xf numFmtId="0" fontId="0" fillId="41" borderId="3" xfId="0" applyFont="1" applyFill="1" applyBorder="1" applyAlignment="1">
      <alignment horizontal="right"/>
    </xf>
    <xf numFmtId="0" fontId="0" fillId="12" borderId="3" xfId="0" applyFill="1" applyBorder="1"/>
    <xf numFmtId="0" fontId="58" fillId="40" borderId="3" xfId="0" applyFont="1" applyFill="1" applyBorder="1"/>
    <xf numFmtId="0" fontId="8" fillId="11" borderId="3" xfId="615" applyFill="1" applyBorder="1"/>
    <xf numFmtId="0" fontId="22" fillId="6" borderId="3" xfId="614" applyFont="1" applyFill="1" applyBorder="1" applyAlignment="1">
      <alignment horizontal="left"/>
    </xf>
    <xf numFmtId="0" fontId="0" fillId="6" borderId="3" xfId="615" applyFont="1" applyFill="1" applyBorder="1"/>
    <xf numFmtId="56" fontId="22" fillId="6" borderId="3" xfId="0" applyNumberFormat="1" applyFont="1" applyFill="1" applyBorder="1" applyAlignment="1">
      <alignment horizontal="center"/>
    </xf>
    <xf numFmtId="0" fontId="8" fillId="0" borderId="3" xfId="615" applyBorder="1"/>
    <xf numFmtId="0" fontId="22" fillId="6" borderId="3" xfId="11" applyFont="1" applyFill="1" applyBorder="1" applyAlignment="1">
      <alignment horizontal="left"/>
    </xf>
    <xf numFmtId="0" fontId="8" fillId="6" borderId="3" xfId="615" applyFill="1" applyBorder="1"/>
    <xf numFmtId="0" fontId="10" fillId="2" borderId="3" xfId="0" applyFont="1" applyFill="1" applyBorder="1" applyAlignment="1">
      <alignment horizontal="center" vertical="center"/>
    </xf>
    <xf numFmtId="0" fontId="22" fillId="6" borderId="3" xfId="734" applyFont="1" applyFill="1" applyBorder="1" applyAlignment="1">
      <alignment horizontal="left"/>
    </xf>
    <xf numFmtId="0" fontId="20" fillId="7" borderId="0" xfId="734" applyFont="1" applyFill="1" applyAlignment="1">
      <alignment horizontal="center" vertical="center"/>
    </xf>
    <xf numFmtId="0" fontId="22" fillId="3" borderId="3" xfId="734" applyFont="1" applyFill="1" applyBorder="1" applyAlignment="1">
      <alignment horizontal="left"/>
    </xf>
    <xf numFmtId="0" fontId="0" fillId="6" borderId="3" xfId="735" applyFont="1" applyFill="1" applyBorder="1"/>
    <xf numFmtId="0" fontId="19" fillId="7" borderId="0" xfId="0" applyFont="1" applyFill="1" applyAlignment="1">
      <alignment horizontal="center"/>
    </xf>
    <xf numFmtId="0" fontId="59" fillId="6" borderId="3" xfId="0" applyFont="1" applyFill="1" applyBorder="1" applyAlignment="1">
      <alignment horizontal="center"/>
    </xf>
    <xf numFmtId="0" fontId="0" fillId="41" borderId="3" xfId="0" applyFill="1" applyBorder="1"/>
    <xf numFmtId="0" fontId="0" fillId="42" borderId="3" xfId="0" applyFill="1" applyBorder="1"/>
    <xf numFmtId="0" fontId="0" fillId="42" borderId="3" xfId="615" applyFont="1" applyFill="1" applyBorder="1"/>
    <xf numFmtId="0" fontId="0" fillId="35" borderId="3" xfId="0" applyFill="1" applyBorder="1" applyAlignment="1">
      <alignment horizontal="right"/>
    </xf>
    <xf numFmtId="0" fontId="0" fillId="30" borderId="3" xfId="0" applyFill="1" applyBorder="1" applyAlignment="1">
      <alignment horizontal="right"/>
    </xf>
    <xf numFmtId="0" fontId="0" fillId="0" borderId="0" xfId="0" applyAlignment="1"/>
    <xf numFmtId="0" fontId="30" fillId="43" borderId="3" xfId="434" applyFill="1" applyBorder="1" applyAlignment="1"/>
    <xf numFmtId="0" fontId="18" fillId="7" borderId="3" xfId="0" applyFont="1" applyFill="1" applyBorder="1" applyAlignment="1">
      <alignment vertical="center"/>
    </xf>
    <xf numFmtId="0" fontId="10" fillId="38" borderId="3" xfId="0" applyFont="1" applyFill="1" applyBorder="1" applyAlignment="1">
      <alignment horizontal="center" vertical="center"/>
    </xf>
    <xf numFmtId="0" fontId="12" fillId="38" borderId="3" xfId="0" applyFont="1" applyFill="1" applyBorder="1" applyAlignment="1">
      <alignment vertical="center"/>
    </xf>
    <xf numFmtId="0" fontId="54" fillId="44" borderId="3" xfId="0" applyFont="1" applyFill="1" applyBorder="1"/>
    <xf numFmtId="176" fontId="10" fillId="0" borderId="3" xfId="0" applyNumberFormat="1" applyFont="1" applyFill="1" applyBorder="1" applyAlignment="1">
      <alignment horizontal="center" vertical="center"/>
    </xf>
    <xf numFmtId="0" fontId="14" fillId="0" borderId="3" xfId="0" applyFont="1" applyBorder="1" applyAlignment="1">
      <alignment vertical="center"/>
    </xf>
    <xf numFmtId="177" fontId="14" fillId="0" borderId="3" xfId="0" applyNumberFormat="1" applyFont="1" applyBorder="1" applyAlignment="1">
      <alignment vertical="center"/>
    </xf>
    <xf numFmtId="0" fontId="12" fillId="45" borderId="3" xfId="0" applyFont="1" applyFill="1" applyBorder="1" applyAlignment="1">
      <alignment vertical="center"/>
    </xf>
    <xf numFmtId="0" fontId="60" fillId="45" borderId="3" xfId="0" applyFont="1" applyFill="1" applyBorder="1" applyAlignment="1">
      <alignment vertical="center"/>
    </xf>
    <xf numFmtId="0" fontId="10" fillId="46" borderId="3" xfId="0" applyFont="1" applyFill="1" applyBorder="1" applyAlignment="1">
      <alignment vertical="center"/>
    </xf>
    <xf numFmtId="0" fontId="18" fillId="7" borderId="3" xfId="0" applyFont="1" applyFill="1" applyBorder="1" applyAlignment="1">
      <alignment horizontal="left" vertical="center"/>
    </xf>
    <xf numFmtId="0" fontId="12" fillId="4" borderId="3" xfId="0" applyFont="1" applyFill="1" applyBorder="1" applyAlignment="1">
      <alignment horizontal="left" vertical="center"/>
    </xf>
    <xf numFmtId="0" fontId="12" fillId="47" borderId="3" xfId="0" applyFont="1" applyFill="1" applyBorder="1" applyAlignment="1">
      <alignment vertical="center"/>
    </xf>
    <xf numFmtId="0" fontId="56" fillId="12" borderId="3" xfId="0" applyFont="1" applyFill="1" applyBorder="1"/>
    <xf numFmtId="0" fontId="30" fillId="0" borderId="3" xfId="434" applyFill="1" applyBorder="1" applyAlignment="1"/>
    <xf numFmtId="0" fontId="10" fillId="12" borderId="3" xfId="0" applyFont="1" applyFill="1" applyBorder="1" applyAlignment="1">
      <alignment vertical="center"/>
    </xf>
    <xf numFmtId="38" fontId="0" fillId="0" borderId="0" xfId="0" applyNumberFormat="1"/>
  </cellXfs>
  <cellStyles count="737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桁区切り 2" xfId="429"/>
    <cellStyle name="桁区切り 2 2" xfId="628"/>
    <cellStyle name="桁区切り 2 2 2" xfId="736"/>
    <cellStyle name="桁区切り [0]" xfId="724" builtinId="6"/>
    <cellStyle name="桁区切り [0] 2" xfId="725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4 2 2" xfId="732"/>
    <cellStyle name="標準 4 2 3" xfId="734"/>
    <cellStyle name="標準 5" xfId="676"/>
    <cellStyle name="標準 5 2" xfId="677"/>
    <cellStyle name="標準 6" xfId="615"/>
    <cellStyle name="標準 6 2" xfId="733"/>
    <cellStyle name="標準 6 3" xfId="73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赤字強調" xfId="431"/>
    <cellStyle name="青字強調" xfId="43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externalLink" Target="externalLinks/externalLink1.xml"/><Relationship Id="rId21" Type="http://schemas.openxmlformats.org/officeDocument/2006/relationships/externalLink" Target="externalLinks/externalLink2.xml"/><Relationship Id="rId22" Type="http://schemas.openxmlformats.org/officeDocument/2006/relationships/externalLink" Target="externalLinks/externalLink3.xml"/><Relationship Id="rId23" Type="http://schemas.openxmlformats.org/officeDocument/2006/relationships/externalLink" Target="externalLinks/externalLink4.xml"/><Relationship Id="rId24" Type="http://schemas.openxmlformats.org/officeDocument/2006/relationships/theme" Target="theme/theme1.xml"/><Relationship Id="rId25" Type="http://schemas.openxmlformats.org/officeDocument/2006/relationships/styles" Target="styles.xml"/><Relationship Id="rId26" Type="http://schemas.openxmlformats.org/officeDocument/2006/relationships/sharedStrings" Target="sharedStrings.xml"/><Relationship Id="rId27" Type="http://schemas.openxmlformats.org/officeDocument/2006/relationships/calcChain" Target="calcChain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30050</v>
          </cell>
        </row>
        <row r="183">
          <cell r="A183">
            <v>38101</v>
          </cell>
        </row>
        <row r="184">
          <cell r="A184">
            <v>39001</v>
          </cell>
        </row>
        <row r="185">
          <cell r="A185">
            <v>39002</v>
          </cell>
        </row>
        <row r="186">
          <cell r="A186">
            <v>39003</v>
          </cell>
        </row>
        <row r="187">
          <cell r="A187">
            <v>39004</v>
          </cell>
        </row>
        <row r="188">
          <cell r="A188">
            <v>39005</v>
          </cell>
        </row>
        <row r="189">
          <cell r="A189">
            <v>39006</v>
          </cell>
        </row>
        <row r="190">
          <cell r="A190">
            <v>39007</v>
          </cell>
        </row>
        <row r="191">
          <cell r="A191">
            <v>39008</v>
          </cell>
        </row>
        <row r="192">
          <cell r="A192">
            <v>39009</v>
          </cell>
        </row>
        <row r="193">
          <cell r="A193">
            <v>39010</v>
          </cell>
        </row>
        <row r="194">
          <cell r="A194">
            <v>39011</v>
          </cell>
        </row>
        <row r="195">
          <cell r="A195">
            <v>39012</v>
          </cell>
        </row>
        <row r="196">
          <cell r="A196">
            <v>39013</v>
          </cell>
        </row>
        <row r="197">
          <cell r="A197">
            <v>39014</v>
          </cell>
        </row>
        <row r="198">
          <cell r="A198">
            <v>40001</v>
          </cell>
        </row>
        <row r="199">
          <cell r="A199">
            <v>40002</v>
          </cell>
        </row>
        <row r="200">
          <cell r="A200">
            <v>40003</v>
          </cell>
        </row>
        <row r="201">
          <cell r="A201">
            <v>40004</v>
          </cell>
        </row>
        <row r="202">
          <cell r="A202">
            <v>40005</v>
          </cell>
        </row>
        <row r="203">
          <cell r="A203">
            <v>40006</v>
          </cell>
        </row>
        <row r="204">
          <cell r="A204">
            <v>40007</v>
          </cell>
        </row>
        <row r="205">
          <cell r="A205">
            <v>40008</v>
          </cell>
        </row>
        <row r="206">
          <cell r="A206">
            <v>40009</v>
          </cell>
        </row>
        <row r="207">
          <cell r="A207">
            <v>40010</v>
          </cell>
        </row>
        <row r="208">
          <cell r="A208">
            <v>40011</v>
          </cell>
        </row>
        <row r="209">
          <cell r="A209">
            <v>40012</v>
          </cell>
        </row>
        <row r="210">
          <cell r="A210">
            <v>40013</v>
          </cell>
        </row>
        <row r="211">
          <cell r="A211">
            <v>40014</v>
          </cell>
        </row>
        <row r="212">
          <cell r="A212">
            <v>40015</v>
          </cell>
        </row>
        <row r="213">
          <cell r="A213">
            <v>40016</v>
          </cell>
        </row>
        <row r="214">
          <cell r="A214">
            <v>40017</v>
          </cell>
        </row>
        <row r="215">
          <cell r="A215">
            <v>40018</v>
          </cell>
        </row>
        <row r="216">
          <cell r="A216">
            <v>40019</v>
          </cell>
        </row>
        <row r="217">
          <cell r="A217">
            <v>40021</v>
          </cell>
        </row>
        <row r="218">
          <cell r="A218">
            <v>40022</v>
          </cell>
        </row>
        <row r="219">
          <cell r="A219">
            <v>40023</v>
          </cell>
        </row>
        <row r="220">
          <cell r="A220">
            <v>40024</v>
          </cell>
        </row>
        <row r="221">
          <cell r="A221">
            <v>40025</v>
          </cell>
        </row>
        <row r="222">
          <cell r="A222">
            <v>40026</v>
          </cell>
        </row>
        <row r="223">
          <cell r="A223">
            <v>40027</v>
          </cell>
        </row>
        <row r="224">
          <cell r="A224">
            <v>40028</v>
          </cell>
        </row>
        <row r="225">
          <cell r="A225">
            <v>40029</v>
          </cell>
        </row>
        <row r="226">
          <cell r="A226">
            <v>40030</v>
          </cell>
        </row>
        <row r="227">
          <cell r="A227">
            <v>40031</v>
          </cell>
        </row>
        <row r="228">
          <cell r="A228">
            <v>40032</v>
          </cell>
        </row>
        <row r="229">
          <cell r="A229">
            <v>40033</v>
          </cell>
        </row>
        <row r="230">
          <cell r="A230">
            <v>40034</v>
          </cell>
        </row>
        <row r="231">
          <cell r="A231">
            <v>40035</v>
          </cell>
        </row>
        <row r="232">
          <cell r="A232">
            <v>40036</v>
          </cell>
        </row>
        <row r="233">
          <cell r="A233">
            <v>40037</v>
          </cell>
        </row>
        <row r="234">
          <cell r="A234">
            <v>40038</v>
          </cell>
        </row>
        <row r="235">
          <cell r="A235">
            <v>40039</v>
          </cell>
        </row>
        <row r="236">
          <cell r="A236">
            <v>40040</v>
          </cell>
        </row>
        <row r="237">
          <cell r="A237">
            <v>40041</v>
          </cell>
        </row>
        <row r="238">
          <cell r="A238">
            <v>40042</v>
          </cell>
        </row>
        <row r="239">
          <cell r="A239">
            <v>40043</v>
          </cell>
        </row>
        <row r="240">
          <cell r="A240">
            <v>40044</v>
          </cell>
        </row>
        <row r="241">
          <cell r="A241">
            <v>40045</v>
          </cell>
        </row>
        <row r="242">
          <cell r="A242">
            <v>40046</v>
          </cell>
        </row>
        <row r="243">
          <cell r="A243">
            <v>48001</v>
          </cell>
        </row>
        <row r="244">
          <cell r="A244">
            <v>48002</v>
          </cell>
        </row>
        <row r="245">
          <cell r="A245">
            <v>48003</v>
          </cell>
        </row>
        <row r="246">
          <cell r="A246">
            <v>48004</v>
          </cell>
        </row>
        <row r="247">
          <cell r="A247">
            <v>48005</v>
          </cell>
        </row>
        <row r="248">
          <cell r="A248">
            <v>48006</v>
          </cell>
        </row>
        <row r="249">
          <cell r="A249">
            <v>48007</v>
          </cell>
        </row>
        <row r="250">
          <cell r="A250">
            <v>48008</v>
          </cell>
        </row>
        <row r="251">
          <cell r="A251">
            <v>48009</v>
          </cell>
        </row>
        <row r="252">
          <cell r="A252">
            <v>48010</v>
          </cell>
        </row>
        <row r="253">
          <cell r="A253">
            <v>48011</v>
          </cell>
        </row>
        <row r="254">
          <cell r="A254">
            <v>48012</v>
          </cell>
        </row>
        <row r="255">
          <cell r="A255">
            <v>48013</v>
          </cell>
        </row>
        <row r="256">
          <cell r="A256">
            <v>48014</v>
          </cell>
        </row>
        <row r="257">
          <cell r="A257">
            <v>48015</v>
          </cell>
        </row>
        <row r="258">
          <cell r="A258">
            <v>48016</v>
          </cell>
        </row>
        <row r="259">
          <cell r="A259">
            <v>48101</v>
          </cell>
        </row>
        <row r="260">
          <cell r="A260">
            <v>48501</v>
          </cell>
        </row>
        <row r="261">
          <cell r="A261">
            <v>48502</v>
          </cell>
        </row>
        <row r="262">
          <cell r="A262">
            <v>48503</v>
          </cell>
        </row>
        <row r="263">
          <cell r="A263">
            <v>48504</v>
          </cell>
        </row>
        <row r="264">
          <cell r="A264">
            <v>48701</v>
          </cell>
        </row>
        <row r="265">
          <cell r="A265">
            <v>48702</v>
          </cell>
        </row>
        <row r="266">
          <cell r="A266">
            <v>48703</v>
          </cell>
        </row>
        <row r="267">
          <cell r="A267">
            <v>41001</v>
          </cell>
        </row>
        <row r="268">
          <cell r="A268">
            <v>41002</v>
          </cell>
        </row>
        <row r="269">
          <cell r="A269">
            <v>41003</v>
          </cell>
        </row>
        <row r="270">
          <cell r="A270">
            <v>41004</v>
          </cell>
        </row>
        <row r="271">
          <cell r="A271">
            <v>41005</v>
          </cell>
        </row>
        <row r="272">
          <cell r="A272">
            <v>41006</v>
          </cell>
        </row>
        <row r="273">
          <cell r="A273">
            <v>41007</v>
          </cell>
        </row>
        <row r="274">
          <cell r="A274">
            <v>41008</v>
          </cell>
        </row>
        <row r="275">
          <cell r="A275">
            <v>41009</v>
          </cell>
        </row>
        <row r="276">
          <cell r="A276">
            <v>41010</v>
          </cell>
        </row>
        <row r="277">
          <cell r="A277">
            <v>41011</v>
          </cell>
        </row>
        <row r="278">
          <cell r="A278">
            <v>41012</v>
          </cell>
        </row>
        <row r="279">
          <cell r="A279">
            <v>41013</v>
          </cell>
        </row>
        <row r="280">
          <cell r="A280">
            <v>41014</v>
          </cell>
        </row>
        <row r="281">
          <cell r="A281">
            <v>41015</v>
          </cell>
        </row>
        <row r="282">
          <cell r="A282">
            <v>47001</v>
          </cell>
        </row>
        <row r="283">
          <cell r="A283">
            <v>47002</v>
          </cell>
        </row>
        <row r="284">
          <cell r="A284">
            <v>47003</v>
          </cell>
        </row>
        <row r="285">
          <cell r="A285">
            <v>47004</v>
          </cell>
        </row>
        <row r="286">
          <cell r="A286">
            <v>47005</v>
          </cell>
        </row>
        <row r="287">
          <cell r="A287">
            <v>47006</v>
          </cell>
        </row>
        <row r="288">
          <cell r="A288">
            <v>47007</v>
          </cell>
        </row>
        <row r="289">
          <cell r="A289">
            <v>47008</v>
          </cell>
        </row>
        <row r="290">
          <cell r="A290">
            <v>47009</v>
          </cell>
        </row>
        <row r="291">
          <cell r="A291">
            <v>47010</v>
          </cell>
        </row>
        <row r="292">
          <cell r="A292">
            <v>47011</v>
          </cell>
        </row>
        <row r="293">
          <cell r="A293">
            <v>47012</v>
          </cell>
        </row>
        <row r="294">
          <cell r="A294">
            <v>47013</v>
          </cell>
        </row>
        <row r="295">
          <cell r="A295">
            <v>47014</v>
          </cell>
        </row>
        <row r="296">
          <cell r="A296">
            <v>47015</v>
          </cell>
        </row>
        <row r="297">
          <cell r="A297">
            <v>47016</v>
          </cell>
        </row>
        <row r="298">
          <cell r="A298">
            <v>49001</v>
          </cell>
        </row>
        <row r="299">
          <cell r="A299">
            <v>49002</v>
          </cell>
        </row>
        <row r="300">
          <cell r="A300">
            <v>49003</v>
          </cell>
        </row>
        <row r="301">
          <cell r="A301">
            <v>49004</v>
          </cell>
        </row>
        <row r="302">
          <cell r="A302">
            <v>49005</v>
          </cell>
        </row>
        <row r="303">
          <cell r="A303">
            <v>49006</v>
          </cell>
        </row>
        <row r="304">
          <cell r="A304">
            <v>49007</v>
          </cell>
        </row>
        <row r="305">
          <cell r="A305">
            <v>49008</v>
          </cell>
        </row>
        <row r="306">
          <cell r="A306">
            <v>49009</v>
          </cell>
        </row>
        <row r="307">
          <cell r="A307">
            <v>49010</v>
          </cell>
        </row>
        <row r="308">
          <cell r="A308">
            <v>49011</v>
          </cell>
        </row>
        <row r="309">
          <cell r="A309">
            <v>49012</v>
          </cell>
        </row>
        <row r="310">
          <cell r="A310">
            <v>49013</v>
          </cell>
        </row>
        <row r="311">
          <cell r="A311">
            <v>49014</v>
          </cell>
        </row>
        <row r="312">
          <cell r="A312">
            <v>49015</v>
          </cell>
        </row>
        <row r="313">
          <cell r="A313">
            <v>49016</v>
          </cell>
        </row>
        <row r="314">
          <cell r="A314">
            <v>50001</v>
          </cell>
        </row>
        <row r="315">
          <cell r="A315">
            <v>50002</v>
          </cell>
        </row>
        <row r="316">
          <cell r="A316">
            <v>50003</v>
          </cell>
        </row>
        <row r="317">
          <cell r="A317">
            <v>50004</v>
          </cell>
        </row>
        <row r="318">
          <cell r="A318">
            <v>50005</v>
          </cell>
        </row>
        <row r="319">
          <cell r="A319">
            <v>50006</v>
          </cell>
        </row>
        <row r="320">
          <cell r="A320">
            <v>50007</v>
          </cell>
        </row>
        <row r="321">
          <cell r="A321">
            <v>50008</v>
          </cell>
        </row>
        <row r="322">
          <cell r="A322">
            <v>50009</v>
          </cell>
        </row>
        <row r="323">
          <cell r="A323">
            <v>50010</v>
          </cell>
        </row>
        <row r="324">
          <cell r="A324">
            <v>50011</v>
          </cell>
        </row>
        <row r="325">
          <cell r="A325">
            <v>50012</v>
          </cell>
        </row>
        <row r="326">
          <cell r="A326">
            <v>50013</v>
          </cell>
        </row>
        <row r="327">
          <cell r="A327">
            <v>50014</v>
          </cell>
        </row>
        <row r="328">
          <cell r="A328">
            <v>50015</v>
          </cell>
        </row>
        <row r="329">
          <cell r="A329">
            <v>50016</v>
          </cell>
        </row>
        <row r="330">
          <cell r="A330">
            <v>51001</v>
          </cell>
        </row>
        <row r="331">
          <cell r="A331">
            <v>51002</v>
          </cell>
        </row>
        <row r="332">
          <cell r="A332">
            <v>58001</v>
          </cell>
        </row>
        <row r="333">
          <cell r="A333">
            <v>58002</v>
          </cell>
        </row>
        <row r="334">
          <cell r="A334">
            <v>58003</v>
          </cell>
        </row>
        <row r="335">
          <cell r="A335">
            <v>58101</v>
          </cell>
        </row>
        <row r="336">
          <cell r="A336">
            <v>59001</v>
          </cell>
        </row>
        <row r="337">
          <cell r="A337">
            <v>59002</v>
          </cell>
        </row>
        <row r="338">
          <cell r="A338">
            <v>59003</v>
          </cell>
        </row>
        <row r="339">
          <cell r="A339">
            <v>60001</v>
          </cell>
        </row>
        <row r="340">
          <cell r="A340">
            <v>60002</v>
          </cell>
        </row>
        <row r="341">
          <cell r="A341">
            <v>60003</v>
          </cell>
        </row>
        <row r="342">
          <cell r="A342">
            <v>60004</v>
          </cell>
        </row>
        <row r="343">
          <cell r="A343">
            <v>60005</v>
          </cell>
        </row>
        <row r="344">
          <cell r="A344">
            <v>60006</v>
          </cell>
        </row>
        <row r="345">
          <cell r="A345">
            <v>60007</v>
          </cell>
        </row>
        <row r="346">
          <cell r="A346">
            <v>60010</v>
          </cell>
        </row>
        <row r="347">
          <cell r="A347">
            <v>60011</v>
          </cell>
        </row>
        <row r="348">
          <cell r="A348">
            <v>61011</v>
          </cell>
        </row>
        <row r="349">
          <cell r="A349">
            <v>60012</v>
          </cell>
        </row>
        <row r="350">
          <cell r="A350">
            <v>60013</v>
          </cell>
        </row>
        <row r="351">
          <cell r="A351">
            <v>60014</v>
          </cell>
        </row>
        <row r="352">
          <cell r="A352">
            <v>60015</v>
          </cell>
        </row>
        <row r="353">
          <cell r="A353">
            <v>60016</v>
          </cell>
        </row>
        <row r="354">
          <cell r="A354">
            <v>60017</v>
          </cell>
        </row>
        <row r="355">
          <cell r="A355">
            <v>60018</v>
          </cell>
        </row>
        <row r="356">
          <cell r="A356">
            <v>60019</v>
          </cell>
        </row>
        <row r="357">
          <cell r="A357">
            <v>60020</v>
          </cell>
        </row>
        <row r="358">
          <cell r="A358">
            <v>60025</v>
          </cell>
        </row>
        <row r="359">
          <cell r="A359">
            <v>60026</v>
          </cell>
        </row>
        <row r="360">
          <cell r="A360">
            <v>60027</v>
          </cell>
        </row>
        <row r="361">
          <cell r="A361">
            <v>60028</v>
          </cell>
        </row>
        <row r="362">
          <cell r="A362">
            <v>60029</v>
          </cell>
        </row>
        <row r="363">
          <cell r="A363">
            <v>60030</v>
          </cell>
        </row>
        <row r="364">
          <cell r="A364">
            <v>60031</v>
          </cell>
        </row>
        <row r="365">
          <cell r="A365">
            <v>60032</v>
          </cell>
        </row>
        <row r="366">
          <cell r="A366">
            <v>61001</v>
          </cell>
        </row>
        <row r="367">
          <cell r="A367">
            <v>65523</v>
          </cell>
        </row>
        <row r="368">
          <cell r="A368">
            <v>65524</v>
          </cell>
        </row>
        <row r="369">
          <cell r="A369">
            <v>65525</v>
          </cell>
        </row>
        <row r="370">
          <cell r="A370">
            <v>65526</v>
          </cell>
        </row>
        <row r="371">
          <cell r="A371">
            <v>65527</v>
          </cell>
        </row>
        <row r="372">
          <cell r="A372">
            <v>65528</v>
          </cell>
        </row>
        <row r="373">
          <cell r="A373">
            <v>65529</v>
          </cell>
        </row>
        <row r="374">
          <cell r="A374">
            <v>65530</v>
          </cell>
        </row>
        <row r="375">
          <cell r="A375">
            <v>65531</v>
          </cell>
        </row>
        <row r="376">
          <cell r="A376">
            <v>65532</v>
          </cell>
        </row>
        <row r="377">
          <cell r="A377">
            <v>65533</v>
          </cell>
        </row>
        <row r="378">
          <cell r="A378">
            <v>65534</v>
          </cell>
        </row>
        <row r="379">
          <cell r="A379">
            <v>65535</v>
          </cell>
        </row>
        <row r="380">
          <cell r="A380">
            <v>60021</v>
          </cell>
        </row>
        <row r="381">
          <cell r="A381">
            <v>60022</v>
          </cell>
        </row>
        <row r="382">
          <cell r="A382">
            <v>60023</v>
          </cell>
        </row>
        <row r="383">
          <cell r="A383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  <cell r="AM2" t="str">
            <v>stage_type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30050_1</v>
          </cell>
        </row>
        <row r="665">
          <cell r="A665" t="str">
            <v>30050_2</v>
          </cell>
        </row>
        <row r="666">
          <cell r="A666" t="str">
            <v>30050_3</v>
          </cell>
        </row>
        <row r="667">
          <cell r="A667" t="str">
            <v>38101_1</v>
          </cell>
        </row>
        <row r="668">
          <cell r="A668" t="str">
            <v>38101_2</v>
          </cell>
        </row>
        <row r="669">
          <cell r="A669" t="str">
            <v>38101_3</v>
          </cell>
        </row>
        <row r="670">
          <cell r="A670" t="str">
            <v>39001_1</v>
          </cell>
        </row>
        <row r="671">
          <cell r="A671" t="str">
            <v>39001_2</v>
          </cell>
        </row>
        <row r="672">
          <cell r="A672" t="str">
            <v>39001_3</v>
          </cell>
        </row>
        <row r="673">
          <cell r="A673" t="str">
            <v>39001_4</v>
          </cell>
        </row>
        <row r="674">
          <cell r="A674" t="str">
            <v>39001_5</v>
          </cell>
        </row>
        <row r="675">
          <cell r="A675" t="str">
            <v>39002_1</v>
          </cell>
        </row>
        <row r="676">
          <cell r="A676" t="str">
            <v>39002_2</v>
          </cell>
        </row>
        <row r="677">
          <cell r="A677" t="str">
            <v>39002_3</v>
          </cell>
        </row>
        <row r="678">
          <cell r="A678" t="str">
            <v>39002_4</v>
          </cell>
        </row>
        <row r="679">
          <cell r="A679" t="str">
            <v>39003_1</v>
          </cell>
        </row>
        <row r="680">
          <cell r="A680" t="str">
            <v>39003_2</v>
          </cell>
        </row>
        <row r="681">
          <cell r="A681" t="str">
            <v>39003_3</v>
          </cell>
        </row>
        <row r="682">
          <cell r="A682" t="str">
            <v>39003_4</v>
          </cell>
        </row>
        <row r="683">
          <cell r="A683" t="str">
            <v>39004_1</v>
          </cell>
        </row>
        <row r="684">
          <cell r="A684" t="str">
            <v>39004_2</v>
          </cell>
        </row>
        <row r="685">
          <cell r="A685" t="str">
            <v>39004_3</v>
          </cell>
        </row>
        <row r="686">
          <cell r="A686" t="str">
            <v>39004_4</v>
          </cell>
        </row>
        <row r="687">
          <cell r="A687" t="str">
            <v>39005_1</v>
          </cell>
        </row>
        <row r="688">
          <cell r="A688" t="str">
            <v>39005_2</v>
          </cell>
        </row>
        <row r="689">
          <cell r="A689" t="str">
            <v>39005_3</v>
          </cell>
        </row>
        <row r="690">
          <cell r="A690" t="str">
            <v>39005_4</v>
          </cell>
        </row>
        <row r="691">
          <cell r="A691" t="str">
            <v>39005_5</v>
          </cell>
        </row>
        <row r="692">
          <cell r="A692" t="str">
            <v>39006_1</v>
          </cell>
        </row>
        <row r="693">
          <cell r="A693" t="str">
            <v>39006_2</v>
          </cell>
        </row>
        <row r="694">
          <cell r="A694" t="str">
            <v>39006_3</v>
          </cell>
        </row>
        <row r="695">
          <cell r="A695" t="str">
            <v>39006_4</v>
          </cell>
        </row>
        <row r="696">
          <cell r="A696" t="str">
            <v>39007_1</v>
          </cell>
        </row>
        <row r="697">
          <cell r="A697" t="str">
            <v>39007_2</v>
          </cell>
        </row>
        <row r="698">
          <cell r="A698" t="str">
            <v>39007_3</v>
          </cell>
        </row>
        <row r="699">
          <cell r="A699" t="str">
            <v>39007_4</v>
          </cell>
        </row>
        <row r="700">
          <cell r="A700" t="str">
            <v>39008_1</v>
          </cell>
        </row>
        <row r="701">
          <cell r="A701" t="str">
            <v>39008_2</v>
          </cell>
        </row>
        <row r="702">
          <cell r="A702" t="str">
            <v>39008_3</v>
          </cell>
        </row>
        <row r="703">
          <cell r="A703" t="str">
            <v>39008_4</v>
          </cell>
        </row>
        <row r="704">
          <cell r="A704" t="str">
            <v>39008_5</v>
          </cell>
        </row>
        <row r="705">
          <cell r="A705" t="str">
            <v>39009_1</v>
          </cell>
        </row>
        <row r="706">
          <cell r="A706" t="str">
            <v>39009_2</v>
          </cell>
        </row>
        <row r="707">
          <cell r="A707" t="str">
            <v>39009_3</v>
          </cell>
        </row>
        <row r="708">
          <cell r="A708" t="str">
            <v>39009_4</v>
          </cell>
        </row>
        <row r="709">
          <cell r="A709" t="str">
            <v>39009_5</v>
          </cell>
        </row>
        <row r="710">
          <cell r="A710" t="str">
            <v>39010_1</v>
          </cell>
        </row>
        <row r="711">
          <cell r="A711" t="str">
            <v>39010_2</v>
          </cell>
        </row>
        <row r="712">
          <cell r="A712" t="str">
            <v>39010_3</v>
          </cell>
        </row>
        <row r="713">
          <cell r="A713" t="str">
            <v>39010_4</v>
          </cell>
        </row>
        <row r="714">
          <cell r="A714" t="str">
            <v>39011_1</v>
          </cell>
        </row>
        <row r="715">
          <cell r="A715" t="str">
            <v>39011_2</v>
          </cell>
        </row>
        <row r="716">
          <cell r="A716" t="str">
            <v>39011_3</v>
          </cell>
        </row>
        <row r="717">
          <cell r="A717" t="str">
            <v>39011_4</v>
          </cell>
        </row>
        <row r="718">
          <cell r="A718" t="str">
            <v>39012_1</v>
          </cell>
        </row>
        <row r="719">
          <cell r="A719" t="str">
            <v>39012_2</v>
          </cell>
        </row>
        <row r="720">
          <cell r="A720" t="str">
            <v>39012_3</v>
          </cell>
        </row>
        <row r="721">
          <cell r="A721" t="str">
            <v>39012_4</v>
          </cell>
        </row>
        <row r="722">
          <cell r="A722" t="str">
            <v>39012_5</v>
          </cell>
        </row>
        <row r="723">
          <cell r="A723" t="str">
            <v>39013_1</v>
          </cell>
        </row>
        <row r="724">
          <cell r="A724" t="str">
            <v>39013_2</v>
          </cell>
        </row>
        <row r="725">
          <cell r="A725" t="str">
            <v>39013_3</v>
          </cell>
        </row>
        <row r="726">
          <cell r="A726" t="str">
            <v>39013_4</v>
          </cell>
        </row>
        <row r="727">
          <cell r="A727" t="str">
            <v>39014_1</v>
          </cell>
        </row>
        <row r="728">
          <cell r="A728" t="str">
            <v>39014_2</v>
          </cell>
        </row>
        <row r="729">
          <cell r="A729" t="str">
            <v>40001_1</v>
          </cell>
        </row>
        <row r="730">
          <cell r="A730" t="str">
            <v>40002_1</v>
          </cell>
        </row>
        <row r="731">
          <cell r="A731" t="str">
            <v>40002_2</v>
          </cell>
        </row>
        <row r="732">
          <cell r="A732" t="str">
            <v>40002_3</v>
          </cell>
        </row>
        <row r="733">
          <cell r="A733" t="str">
            <v>40003_1</v>
          </cell>
        </row>
        <row r="734">
          <cell r="A734" t="str">
            <v>40004_1</v>
          </cell>
        </row>
        <row r="735">
          <cell r="A735" t="str">
            <v>40005_1</v>
          </cell>
        </row>
        <row r="736">
          <cell r="A736" t="str">
            <v>40006_1</v>
          </cell>
        </row>
        <row r="737">
          <cell r="A737" t="str">
            <v>40007_1</v>
          </cell>
        </row>
        <row r="738">
          <cell r="A738" t="str">
            <v>40008_1</v>
          </cell>
        </row>
        <row r="739">
          <cell r="A739" t="str">
            <v>40009_1</v>
          </cell>
        </row>
        <row r="740">
          <cell r="A740" t="str">
            <v>40010_1</v>
          </cell>
        </row>
        <row r="741">
          <cell r="A741" t="str">
            <v>40011_1</v>
          </cell>
        </row>
        <row r="742">
          <cell r="A742" t="str">
            <v>40012_1</v>
          </cell>
        </row>
        <row r="743">
          <cell r="A743" t="str">
            <v>40013_1</v>
          </cell>
        </row>
        <row r="744">
          <cell r="A744" t="str">
            <v>40014_1</v>
          </cell>
        </row>
        <row r="745">
          <cell r="A745" t="str">
            <v>40015_1</v>
          </cell>
        </row>
        <row r="746">
          <cell r="A746" t="str">
            <v>40016_1</v>
          </cell>
        </row>
        <row r="747">
          <cell r="A747" t="str">
            <v>40016_2</v>
          </cell>
        </row>
        <row r="748">
          <cell r="A748" t="str">
            <v>40017_1</v>
          </cell>
        </row>
        <row r="749">
          <cell r="A749" t="str">
            <v>40017_2</v>
          </cell>
        </row>
        <row r="750">
          <cell r="A750" t="str">
            <v>40017_3</v>
          </cell>
        </row>
        <row r="751">
          <cell r="A751" t="str">
            <v>40018_1</v>
          </cell>
        </row>
        <row r="752">
          <cell r="A752" t="str">
            <v>40018_2</v>
          </cell>
        </row>
        <row r="753">
          <cell r="A753" t="str">
            <v>40018_3</v>
          </cell>
        </row>
        <row r="754">
          <cell r="A754" t="str">
            <v>40019_1</v>
          </cell>
        </row>
        <row r="755">
          <cell r="A755" t="str">
            <v>40019_2</v>
          </cell>
        </row>
        <row r="756">
          <cell r="A756" t="str">
            <v>40019_3</v>
          </cell>
        </row>
        <row r="757">
          <cell r="A757" t="str">
            <v>40021_1</v>
          </cell>
        </row>
        <row r="758">
          <cell r="A758" t="str">
            <v>40021_2</v>
          </cell>
        </row>
        <row r="759">
          <cell r="A759" t="str">
            <v>40022_1</v>
          </cell>
        </row>
        <row r="760">
          <cell r="A760" t="str">
            <v>40022_2</v>
          </cell>
        </row>
        <row r="761">
          <cell r="A761" t="str">
            <v>40023_1</v>
          </cell>
        </row>
        <row r="762">
          <cell r="A762" t="str">
            <v>40023_2</v>
          </cell>
        </row>
        <row r="763">
          <cell r="A763" t="str">
            <v>40024_1</v>
          </cell>
        </row>
        <row r="764">
          <cell r="A764" t="str">
            <v>40024_2</v>
          </cell>
        </row>
        <row r="765">
          <cell r="A765" t="str">
            <v>40025_1</v>
          </cell>
        </row>
        <row r="766">
          <cell r="A766" t="str">
            <v>40025_2</v>
          </cell>
        </row>
        <row r="767">
          <cell r="A767" t="str">
            <v>40026_1</v>
          </cell>
        </row>
        <row r="768">
          <cell r="A768" t="str">
            <v>40026_2</v>
          </cell>
        </row>
        <row r="769">
          <cell r="A769" t="str">
            <v>40027_1</v>
          </cell>
        </row>
        <row r="770">
          <cell r="A770" t="str">
            <v>40027_2</v>
          </cell>
        </row>
        <row r="771">
          <cell r="A771" t="str">
            <v>40028_1</v>
          </cell>
        </row>
        <row r="772">
          <cell r="A772" t="str">
            <v>40028_2</v>
          </cell>
        </row>
        <row r="773">
          <cell r="A773" t="str">
            <v>40029_1</v>
          </cell>
        </row>
        <row r="774">
          <cell r="A774" t="str">
            <v>40029_2</v>
          </cell>
        </row>
        <row r="775">
          <cell r="A775" t="str">
            <v>40030_1</v>
          </cell>
        </row>
        <row r="776">
          <cell r="A776" t="str">
            <v>40030_2</v>
          </cell>
        </row>
        <row r="777">
          <cell r="A777" t="str">
            <v>40031_1</v>
          </cell>
        </row>
        <row r="778">
          <cell r="A778" t="str">
            <v>40031_2</v>
          </cell>
        </row>
        <row r="779">
          <cell r="A779" t="str">
            <v>40032_1</v>
          </cell>
        </row>
        <row r="780">
          <cell r="A780" t="str">
            <v>40032_2</v>
          </cell>
        </row>
        <row r="781">
          <cell r="A781" t="str">
            <v>40033_1</v>
          </cell>
        </row>
        <row r="782">
          <cell r="A782" t="str">
            <v>40033_2</v>
          </cell>
        </row>
        <row r="783">
          <cell r="A783" t="str">
            <v>40034_1</v>
          </cell>
        </row>
        <row r="784">
          <cell r="A784" t="str">
            <v>40034_2</v>
          </cell>
        </row>
        <row r="785">
          <cell r="A785" t="str">
            <v>40035_1</v>
          </cell>
        </row>
        <row r="786">
          <cell r="A786" t="str">
            <v>40035_2</v>
          </cell>
        </row>
        <row r="787">
          <cell r="A787" t="str">
            <v>40036_1</v>
          </cell>
        </row>
        <row r="788">
          <cell r="A788" t="str">
            <v>40036_2</v>
          </cell>
        </row>
        <row r="789">
          <cell r="A789" t="str">
            <v>40037_1</v>
          </cell>
        </row>
        <row r="790">
          <cell r="A790" t="str">
            <v>40037_2</v>
          </cell>
        </row>
        <row r="791">
          <cell r="A791" t="str">
            <v>40038_1</v>
          </cell>
        </row>
        <row r="792">
          <cell r="A792" t="str">
            <v>40038_2</v>
          </cell>
        </row>
        <row r="793">
          <cell r="A793" t="str">
            <v>40039_1</v>
          </cell>
        </row>
        <row r="794">
          <cell r="A794" t="str">
            <v>40039_2</v>
          </cell>
        </row>
        <row r="795">
          <cell r="A795" t="str">
            <v>40040_1</v>
          </cell>
        </row>
        <row r="796">
          <cell r="A796" t="str">
            <v>40040_2</v>
          </cell>
        </row>
        <row r="797">
          <cell r="A797" t="str">
            <v>40041_1</v>
          </cell>
        </row>
        <row r="798">
          <cell r="A798" t="str">
            <v>40041_2</v>
          </cell>
        </row>
        <row r="799">
          <cell r="A799" t="str">
            <v>40042_1</v>
          </cell>
        </row>
        <row r="800">
          <cell r="A800" t="str">
            <v>40042_2</v>
          </cell>
        </row>
        <row r="801">
          <cell r="A801" t="str">
            <v>40043_1</v>
          </cell>
        </row>
        <row r="802">
          <cell r="A802" t="str">
            <v>40043_2</v>
          </cell>
        </row>
        <row r="803">
          <cell r="A803" t="str">
            <v>40044_1</v>
          </cell>
        </row>
        <row r="804">
          <cell r="A804" t="str">
            <v>40044_2</v>
          </cell>
        </row>
        <row r="805">
          <cell r="A805" t="str">
            <v>40045_1</v>
          </cell>
        </row>
        <row r="806">
          <cell r="A806" t="str">
            <v>40045_2</v>
          </cell>
        </row>
        <row r="807">
          <cell r="A807" t="str">
            <v>40046_1</v>
          </cell>
        </row>
        <row r="808">
          <cell r="A808" t="str">
            <v>40046_2</v>
          </cell>
        </row>
        <row r="809">
          <cell r="A809" t="str">
            <v>41001_1</v>
          </cell>
        </row>
        <row r="810">
          <cell r="A810" t="str">
            <v>41001_2</v>
          </cell>
        </row>
        <row r="811">
          <cell r="A811" t="str">
            <v>41001_3</v>
          </cell>
        </row>
        <row r="812">
          <cell r="A812" t="str">
            <v>41001_4</v>
          </cell>
        </row>
        <row r="813">
          <cell r="A813" t="str">
            <v>41002_1</v>
          </cell>
        </row>
        <row r="814">
          <cell r="A814" t="str">
            <v>41002_2</v>
          </cell>
        </row>
        <row r="815">
          <cell r="A815" t="str">
            <v>41002_3</v>
          </cell>
        </row>
        <row r="816">
          <cell r="A816" t="str">
            <v>41002_4</v>
          </cell>
        </row>
        <row r="817">
          <cell r="A817" t="str">
            <v>41003_1</v>
          </cell>
        </row>
        <row r="818">
          <cell r="A818" t="str">
            <v>41003_2</v>
          </cell>
        </row>
        <row r="819">
          <cell r="A819" t="str">
            <v>41003_3</v>
          </cell>
        </row>
        <row r="820">
          <cell r="A820" t="str">
            <v>41003_4</v>
          </cell>
        </row>
        <row r="821">
          <cell r="A821" t="str">
            <v>41004_1</v>
          </cell>
        </row>
        <row r="822">
          <cell r="A822" t="str">
            <v>41004_2</v>
          </cell>
        </row>
        <row r="823">
          <cell r="A823" t="str">
            <v>41004_3</v>
          </cell>
        </row>
        <row r="824">
          <cell r="A824" t="str">
            <v>41005_1</v>
          </cell>
        </row>
        <row r="825">
          <cell r="A825" t="str">
            <v>41005_2</v>
          </cell>
        </row>
        <row r="826">
          <cell r="A826" t="str">
            <v>41005_3</v>
          </cell>
        </row>
        <row r="827">
          <cell r="A827" t="str">
            <v>41006_1</v>
          </cell>
        </row>
        <row r="828">
          <cell r="A828" t="str">
            <v>41006_2</v>
          </cell>
        </row>
        <row r="829">
          <cell r="A829" t="str">
            <v>41006_3</v>
          </cell>
        </row>
        <row r="830">
          <cell r="A830" t="str">
            <v>41007_1</v>
          </cell>
        </row>
        <row r="831">
          <cell r="A831" t="str">
            <v>41007_2</v>
          </cell>
        </row>
        <row r="832">
          <cell r="A832" t="str">
            <v>41007_3</v>
          </cell>
        </row>
        <row r="833">
          <cell r="A833" t="str">
            <v>41008_1</v>
          </cell>
        </row>
        <row r="834">
          <cell r="A834" t="str">
            <v>41008_2</v>
          </cell>
        </row>
        <row r="835">
          <cell r="A835" t="str">
            <v>41008_3</v>
          </cell>
        </row>
        <row r="836">
          <cell r="A836" t="str">
            <v>41009_1</v>
          </cell>
        </row>
        <row r="837">
          <cell r="A837" t="str">
            <v>41009_2</v>
          </cell>
        </row>
        <row r="838">
          <cell r="A838" t="str">
            <v>41009_3</v>
          </cell>
        </row>
        <row r="839">
          <cell r="A839" t="str">
            <v>41010_1</v>
          </cell>
        </row>
        <row r="840">
          <cell r="A840" t="str">
            <v>41010_2</v>
          </cell>
        </row>
        <row r="841">
          <cell r="A841" t="str">
            <v>41010_3</v>
          </cell>
        </row>
        <row r="842">
          <cell r="A842" t="str">
            <v>41011_1</v>
          </cell>
        </row>
        <row r="843">
          <cell r="A843" t="str">
            <v>41011_2</v>
          </cell>
        </row>
        <row r="844">
          <cell r="A844" t="str">
            <v>41012_1</v>
          </cell>
        </row>
        <row r="845">
          <cell r="A845" t="str">
            <v>41012_2</v>
          </cell>
        </row>
        <row r="846">
          <cell r="A846" t="str">
            <v>41013_1</v>
          </cell>
        </row>
        <row r="847">
          <cell r="A847" t="str">
            <v>41013_2</v>
          </cell>
        </row>
        <row r="848">
          <cell r="A848" t="str">
            <v>41014_1</v>
          </cell>
        </row>
        <row r="849">
          <cell r="A849" t="str">
            <v>41014_2</v>
          </cell>
        </row>
        <row r="850">
          <cell r="A850" t="str">
            <v>41015_1</v>
          </cell>
        </row>
        <row r="851">
          <cell r="A851" t="str">
            <v>41015_2</v>
          </cell>
        </row>
        <row r="852">
          <cell r="A852" t="str">
            <v>47001_1</v>
          </cell>
        </row>
        <row r="853">
          <cell r="A853" t="str">
            <v>47001_2</v>
          </cell>
        </row>
        <row r="854">
          <cell r="A854" t="str">
            <v>47002_1</v>
          </cell>
        </row>
        <row r="855">
          <cell r="A855" t="str">
            <v>47002_2</v>
          </cell>
        </row>
        <row r="856">
          <cell r="A856" t="str">
            <v>47003_1</v>
          </cell>
        </row>
        <row r="857">
          <cell r="A857" t="str">
            <v>47003_2</v>
          </cell>
        </row>
        <row r="858">
          <cell r="A858" t="str">
            <v>47003_3</v>
          </cell>
        </row>
        <row r="859">
          <cell r="A859" t="str">
            <v>47003_4</v>
          </cell>
        </row>
        <row r="860">
          <cell r="A860" t="str">
            <v>47004_1</v>
          </cell>
        </row>
        <row r="861">
          <cell r="A861" t="str">
            <v>47004_2</v>
          </cell>
        </row>
        <row r="862">
          <cell r="A862" t="str">
            <v>47004_3</v>
          </cell>
        </row>
        <row r="863">
          <cell r="A863" t="str">
            <v>47004_4</v>
          </cell>
        </row>
        <row r="864">
          <cell r="A864" t="str">
            <v>47005_1</v>
          </cell>
        </row>
        <row r="865">
          <cell r="A865" t="str">
            <v>47006_1</v>
          </cell>
        </row>
        <row r="866">
          <cell r="A866" t="str">
            <v>47006_2</v>
          </cell>
        </row>
        <row r="867">
          <cell r="A867" t="str">
            <v>47007_1</v>
          </cell>
        </row>
        <row r="868">
          <cell r="A868" t="str">
            <v>47007_2</v>
          </cell>
        </row>
        <row r="869">
          <cell r="A869" t="str">
            <v>47008_1</v>
          </cell>
        </row>
        <row r="870">
          <cell r="A870" t="str">
            <v>47008_2</v>
          </cell>
        </row>
        <row r="871">
          <cell r="A871" t="str">
            <v>47009_1</v>
          </cell>
        </row>
        <row r="872">
          <cell r="A872" t="str">
            <v>47009_2</v>
          </cell>
        </row>
        <row r="873">
          <cell r="A873" t="str">
            <v>47010_1</v>
          </cell>
        </row>
        <row r="874">
          <cell r="A874" t="str">
            <v>47010_2</v>
          </cell>
        </row>
        <row r="875">
          <cell r="A875" t="str">
            <v>47011_1</v>
          </cell>
        </row>
        <row r="876">
          <cell r="A876" t="str">
            <v>47012_1</v>
          </cell>
        </row>
        <row r="877">
          <cell r="A877" t="str">
            <v>47012_2</v>
          </cell>
        </row>
        <row r="878">
          <cell r="A878" t="str">
            <v>47013_1</v>
          </cell>
        </row>
        <row r="879">
          <cell r="A879" t="str">
            <v>47013_2</v>
          </cell>
        </row>
        <row r="880">
          <cell r="A880" t="str">
            <v>47013_3</v>
          </cell>
        </row>
        <row r="881">
          <cell r="A881" t="str">
            <v>47013_4</v>
          </cell>
        </row>
        <row r="882">
          <cell r="A882" t="str">
            <v>47014_1</v>
          </cell>
        </row>
        <row r="883">
          <cell r="A883" t="str">
            <v>47014_2</v>
          </cell>
        </row>
        <row r="884">
          <cell r="A884" t="str">
            <v>47014_3</v>
          </cell>
        </row>
        <row r="885">
          <cell r="A885" t="str">
            <v>47015_1</v>
          </cell>
        </row>
        <row r="886">
          <cell r="A886" t="str">
            <v>47015_2</v>
          </cell>
        </row>
        <row r="887">
          <cell r="A887" t="str">
            <v>47015_3</v>
          </cell>
        </row>
        <row r="888">
          <cell r="A888" t="str">
            <v>47016_1</v>
          </cell>
        </row>
        <row r="889">
          <cell r="A889" t="str">
            <v>47016_2</v>
          </cell>
        </row>
        <row r="890">
          <cell r="A890" t="str">
            <v>47016_3</v>
          </cell>
        </row>
        <row r="891">
          <cell r="A891" t="str">
            <v>48001_1</v>
          </cell>
        </row>
        <row r="892">
          <cell r="A892" t="str">
            <v>48002_1</v>
          </cell>
        </row>
        <row r="893">
          <cell r="A893" t="str">
            <v>48002_2</v>
          </cell>
        </row>
        <row r="894">
          <cell r="A894" t="str">
            <v>48002_3</v>
          </cell>
        </row>
        <row r="895">
          <cell r="A895" t="str">
            <v>48003_1</v>
          </cell>
        </row>
        <row r="896">
          <cell r="A896" t="str">
            <v>48003_2</v>
          </cell>
        </row>
        <row r="897">
          <cell r="A897" t="str">
            <v>48004_1</v>
          </cell>
        </row>
        <row r="898">
          <cell r="A898" t="str">
            <v>48004_2</v>
          </cell>
        </row>
        <row r="899">
          <cell r="A899" t="str">
            <v>48005_1</v>
          </cell>
        </row>
        <row r="900">
          <cell r="A900" t="str">
            <v>48005_2</v>
          </cell>
        </row>
        <row r="901">
          <cell r="A901" t="str">
            <v>48006_1</v>
          </cell>
        </row>
        <row r="902">
          <cell r="A902" t="str">
            <v>48006_2</v>
          </cell>
        </row>
        <row r="903">
          <cell r="A903" t="str">
            <v>48007_1</v>
          </cell>
        </row>
        <row r="904">
          <cell r="A904" t="str">
            <v>48007_2</v>
          </cell>
        </row>
        <row r="905">
          <cell r="A905" t="str">
            <v>48008_1</v>
          </cell>
        </row>
        <row r="906">
          <cell r="A906" t="str">
            <v>48008_2</v>
          </cell>
        </row>
        <row r="907">
          <cell r="A907" t="str">
            <v>48009_1</v>
          </cell>
        </row>
        <row r="908">
          <cell r="A908" t="str">
            <v>48009_2</v>
          </cell>
        </row>
        <row r="909">
          <cell r="A909" t="str">
            <v>48010_1</v>
          </cell>
        </row>
        <row r="910">
          <cell r="A910" t="str">
            <v>48011_1</v>
          </cell>
        </row>
        <row r="911">
          <cell r="A911" t="str">
            <v>48011_2</v>
          </cell>
        </row>
        <row r="912">
          <cell r="A912" t="str">
            <v>48012_1</v>
          </cell>
        </row>
        <row r="913">
          <cell r="A913" t="str">
            <v>48012_2</v>
          </cell>
        </row>
        <row r="914">
          <cell r="A914" t="str">
            <v>48013_1</v>
          </cell>
        </row>
        <row r="915">
          <cell r="A915" t="str">
            <v>48013_2</v>
          </cell>
        </row>
        <row r="916">
          <cell r="A916" t="str">
            <v>48014_1</v>
          </cell>
        </row>
        <row r="917">
          <cell r="A917" t="str">
            <v>48014_2</v>
          </cell>
        </row>
        <row r="918">
          <cell r="A918" t="str">
            <v>48015_1</v>
          </cell>
        </row>
        <row r="919">
          <cell r="A919" t="str">
            <v>48015_2</v>
          </cell>
        </row>
        <row r="920">
          <cell r="A920" t="str">
            <v>48016_1</v>
          </cell>
        </row>
        <row r="921">
          <cell r="A921" t="str">
            <v>48016_2</v>
          </cell>
        </row>
        <row r="922">
          <cell r="A922" t="str">
            <v>48101_1</v>
          </cell>
        </row>
        <row r="923">
          <cell r="A923" t="str">
            <v>48101_2</v>
          </cell>
        </row>
        <row r="924">
          <cell r="A924" t="str">
            <v>48501_1</v>
          </cell>
        </row>
        <row r="925">
          <cell r="A925" t="str">
            <v>48501_2</v>
          </cell>
        </row>
        <row r="926">
          <cell r="A926" t="str">
            <v>48502_1</v>
          </cell>
        </row>
        <row r="927">
          <cell r="A927" t="str">
            <v>48502_2</v>
          </cell>
        </row>
        <row r="928">
          <cell r="A928" t="str">
            <v>48503_1</v>
          </cell>
        </row>
        <row r="929">
          <cell r="A929" t="str">
            <v>48503_2</v>
          </cell>
        </row>
        <row r="930">
          <cell r="A930" t="str">
            <v>48504_1</v>
          </cell>
        </row>
        <row r="931">
          <cell r="A931" t="str">
            <v>48504_2</v>
          </cell>
        </row>
        <row r="932">
          <cell r="A932" t="str">
            <v>48701_1</v>
          </cell>
        </row>
        <row r="933">
          <cell r="A933" t="str">
            <v>48701_2</v>
          </cell>
        </row>
        <row r="934">
          <cell r="A934" t="str">
            <v>48702_1</v>
          </cell>
        </row>
        <row r="935">
          <cell r="A935" t="str">
            <v>48702_2</v>
          </cell>
        </row>
        <row r="936">
          <cell r="A936" t="str">
            <v>48703_1</v>
          </cell>
        </row>
        <row r="937">
          <cell r="A937" t="str">
            <v>49001_1</v>
          </cell>
        </row>
        <row r="938">
          <cell r="A938" t="str">
            <v>49002_1</v>
          </cell>
        </row>
        <row r="939">
          <cell r="A939" t="str">
            <v>49002_2</v>
          </cell>
        </row>
        <row r="940">
          <cell r="A940" t="str">
            <v>49003_1</v>
          </cell>
        </row>
        <row r="941">
          <cell r="A941" t="str">
            <v>49003_2</v>
          </cell>
        </row>
        <row r="942">
          <cell r="A942" t="str">
            <v>49004_1</v>
          </cell>
        </row>
        <row r="943">
          <cell r="A943" t="str">
            <v>49004_2</v>
          </cell>
        </row>
        <row r="944">
          <cell r="A944" t="str">
            <v>49004_3</v>
          </cell>
        </row>
        <row r="945">
          <cell r="A945" t="str">
            <v>49005_1</v>
          </cell>
        </row>
        <row r="946">
          <cell r="A946" t="str">
            <v>49006_1</v>
          </cell>
        </row>
        <row r="947">
          <cell r="A947" t="str">
            <v>49006_2</v>
          </cell>
        </row>
        <row r="948">
          <cell r="A948" t="str">
            <v>49007_1</v>
          </cell>
        </row>
        <row r="949">
          <cell r="A949" t="str">
            <v>49007_2</v>
          </cell>
        </row>
        <row r="950">
          <cell r="A950" t="str">
            <v>49007_3</v>
          </cell>
        </row>
        <row r="951">
          <cell r="A951" t="str">
            <v>49008_1</v>
          </cell>
        </row>
        <row r="952">
          <cell r="A952" t="str">
            <v>49009_1</v>
          </cell>
        </row>
        <row r="953">
          <cell r="A953" t="str">
            <v>49010_1</v>
          </cell>
        </row>
        <row r="954">
          <cell r="A954" t="str">
            <v>49011_1</v>
          </cell>
        </row>
        <row r="955">
          <cell r="A955" t="str">
            <v>49012_1</v>
          </cell>
        </row>
        <row r="956">
          <cell r="A956" t="str">
            <v>49013_1</v>
          </cell>
        </row>
        <row r="957">
          <cell r="A957" t="str">
            <v>49014_1</v>
          </cell>
        </row>
        <row r="958">
          <cell r="A958" t="str">
            <v>49014_2</v>
          </cell>
        </row>
        <row r="959">
          <cell r="A959" t="str">
            <v>49015_1</v>
          </cell>
        </row>
        <row r="960">
          <cell r="A960" t="str">
            <v>49015_2</v>
          </cell>
        </row>
        <row r="961">
          <cell r="A961" t="str">
            <v>49015_3</v>
          </cell>
        </row>
        <row r="962">
          <cell r="A962" t="str">
            <v>49016_1</v>
          </cell>
        </row>
        <row r="963">
          <cell r="A963" t="str">
            <v>49016_2</v>
          </cell>
        </row>
        <row r="964">
          <cell r="A964" t="str">
            <v>50001_1</v>
          </cell>
        </row>
        <row r="965">
          <cell r="A965" t="str">
            <v>50002_1</v>
          </cell>
        </row>
        <row r="966">
          <cell r="A966" t="str">
            <v>50003_1</v>
          </cell>
        </row>
        <row r="967">
          <cell r="A967" t="str">
            <v>50004_1</v>
          </cell>
        </row>
        <row r="968">
          <cell r="A968" t="str">
            <v>50005_1</v>
          </cell>
        </row>
        <row r="969">
          <cell r="A969" t="str">
            <v>50006_1</v>
          </cell>
        </row>
        <row r="970">
          <cell r="A970" t="str">
            <v>50007_1</v>
          </cell>
        </row>
        <row r="971">
          <cell r="A971" t="str">
            <v>50008_1</v>
          </cell>
        </row>
        <row r="972">
          <cell r="A972" t="str">
            <v>50009_1</v>
          </cell>
        </row>
        <row r="973">
          <cell r="A973" t="str">
            <v>50010_1</v>
          </cell>
        </row>
        <row r="974">
          <cell r="A974" t="str">
            <v>50011_1</v>
          </cell>
        </row>
        <row r="975">
          <cell r="A975" t="str">
            <v>50012_1</v>
          </cell>
        </row>
        <row r="976">
          <cell r="A976" t="str">
            <v>50013_1</v>
          </cell>
        </row>
        <row r="977">
          <cell r="A977" t="str">
            <v>50014_1</v>
          </cell>
        </row>
        <row r="978">
          <cell r="A978" t="str">
            <v>50015_1</v>
          </cell>
        </row>
        <row r="979">
          <cell r="A979" t="str">
            <v>50016_1</v>
          </cell>
        </row>
        <row r="980">
          <cell r="A980" t="str">
            <v>51001_1</v>
          </cell>
        </row>
        <row r="981">
          <cell r="A981" t="str">
            <v>51002_1</v>
          </cell>
        </row>
        <row r="982">
          <cell r="A982" t="str">
            <v>58001_1</v>
          </cell>
        </row>
        <row r="983">
          <cell r="A983" t="str">
            <v>58002_1</v>
          </cell>
        </row>
        <row r="984">
          <cell r="A984" t="str">
            <v>58003_1</v>
          </cell>
        </row>
        <row r="985">
          <cell r="A985" t="str">
            <v>58101_1</v>
          </cell>
        </row>
        <row r="986">
          <cell r="A986" t="str">
            <v>59001_1</v>
          </cell>
        </row>
        <row r="987">
          <cell r="A987" t="str">
            <v>59002_1</v>
          </cell>
        </row>
        <row r="988">
          <cell r="A988" t="str">
            <v>59003_1</v>
          </cell>
        </row>
        <row r="989">
          <cell r="A989" t="str">
            <v>59003_2</v>
          </cell>
        </row>
        <row r="990">
          <cell r="A990" t="str">
            <v>60001_1</v>
          </cell>
        </row>
        <row r="991">
          <cell r="A991" t="str">
            <v>60002_1</v>
          </cell>
        </row>
        <row r="992">
          <cell r="A992" t="str">
            <v>60002_2</v>
          </cell>
        </row>
        <row r="993">
          <cell r="A993" t="str">
            <v>60003_1</v>
          </cell>
        </row>
        <row r="994">
          <cell r="A994" t="str">
            <v>60003_2</v>
          </cell>
        </row>
        <row r="995">
          <cell r="A995" t="str">
            <v>60003_3</v>
          </cell>
        </row>
        <row r="996">
          <cell r="A996" t="str">
            <v>60004_1</v>
          </cell>
        </row>
        <row r="997">
          <cell r="A997" t="str">
            <v>60005_1</v>
          </cell>
        </row>
        <row r="998">
          <cell r="A998" t="str">
            <v>60006_1</v>
          </cell>
        </row>
        <row r="999">
          <cell r="A999" t="str">
            <v>60006_2</v>
          </cell>
        </row>
        <row r="1000">
          <cell r="A1000" t="str">
            <v>60006_3</v>
          </cell>
        </row>
        <row r="1001">
          <cell r="A1001" t="str">
            <v>60007_1</v>
          </cell>
        </row>
        <row r="1002">
          <cell r="A1002" t="str">
            <v>60007_2</v>
          </cell>
        </row>
        <row r="1003">
          <cell r="A1003" t="str">
            <v>60007_3</v>
          </cell>
        </row>
        <row r="1004">
          <cell r="A1004" t="str">
            <v>60010_1</v>
          </cell>
        </row>
        <row r="1005">
          <cell r="A1005" t="str">
            <v>60011_1</v>
          </cell>
        </row>
        <row r="1006">
          <cell r="A1006" t="str">
            <v>60011_2</v>
          </cell>
        </row>
        <row r="1007">
          <cell r="A1007" t="str">
            <v>60012_1</v>
          </cell>
        </row>
        <row r="1008">
          <cell r="A1008" t="str">
            <v>60013_1</v>
          </cell>
        </row>
        <row r="1009">
          <cell r="A1009" t="str">
            <v>60013_2</v>
          </cell>
        </row>
        <row r="1010">
          <cell r="A1010" t="str">
            <v>60013_3</v>
          </cell>
        </row>
        <row r="1011">
          <cell r="A1011" t="str">
            <v>60014_1</v>
          </cell>
        </row>
        <row r="1012">
          <cell r="A1012" t="str">
            <v>60015_1</v>
          </cell>
        </row>
        <row r="1013">
          <cell r="A1013" t="str">
            <v>60016_1</v>
          </cell>
        </row>
        <row r="1014">
          <cell r="A1014" t="str">
            <v>60017_1</v>
          </cell>
        </row>
        <row r="1015">
          <cell r="A1015" t="str">
            <v>60018_1</v>
          </cell>
        </row>
        <row r="1016">
          <cell r="A1016" t="str">
            <v>60019_1</v>
          </cell>
        </row>
        <row r="1017">
          <cell r="A1017" t="str">
            <v>60020_1</v>
          </cell>
        </row>
        <row r="1018">
          <cell r="A1018" t="str">
            <v>60021_3</v>
          </cell>
        </row>
        <row r="1019">
          <cell r="A1019" t="str">
            <v>60022_3</v>
          </cell>
        </row>
        <row r="1020">
          <cell r="A1020" t="str">
            <v>60023_3</v>
          </cell>
        </row>
        <row r="1021">
          <cell r="A1021" t="str">
            <v>60024_3</v>
          </cell>
        </row>
        <row r="1022">
          <cell r="A1022" t="str">
            <v>60025_1</v>
          </cell>
        </row>
        <row r="1023">
          <cell r="A1023" t="str">
            <v>60026_1</v>
          </cell>
        </row>
        <row r="1024">
          <cell r="A1024" t="str">
            <v>61011_1</v>
          </cell>
        </row>
        <row r="1025">
          <cell r="A1025" t="str">
            <v>60027_1</v>
          </cell>
        </row>
        <row r="1026">
          <cell r="A1026" t="str">
            <v>60028_1</v>
          </cell>
        </row>
        <row r="1027">
          <cell r="A1027" t="str">
            <v>60029_1</v>
          </cell>
        </row>
        <row r="1028">
          <cell r="A1028" t="str">
            <v>60030_1</v>
          </cell>
        </row>
        <row r="1029">
          <cell r="A1029" t="str">
            <v>60031_1</v>
          </cell>
        </row>
        <row r="1030">
          <cell r="A1030" t="str">
            <v>60032_1</v>
          </cell>
        </row>
        <row r="1031">
          <cell r="A1031" t="str">
            <v>61001_1</v>
          </cell>
        </row>
        <row r="1032">
          <cell r="A1032" t="str">
            <v>61001_2</v>
          </cell>
        </row>
        <row r="1033">
          <cell r="A1033" t="str">
            <v>61001_3</v>
          </cell>
        </row>
        <row r="1034">
          <cell r="A1034" t="str">
            <v>61001_4</v>
          </cell>
        </row>
        <row r="1035">
          <cell r="A1035" t="str">
            <v>61001_5</v>
          </cell>
        </row>
        <row r="1036">
          <cell r="A1036" t="str">
            <v>61001_6</v>
          </cell>
        </row>
        <row r="1037">
          <cell r="A1037" t="str">
            <v>61001_7</v>
          </cell>
        </row>
        <row r="1038">
          <cell r="A1038" t="str">
            <v>65523_1</v>
          </cell>
        </row>
        <row r="1039">
          <cell r="A1039" t="str">
            <v>65523_2</v>
          </cell>
        </row>
        <row r="1040">
          <cell r="A1040" t="str">
            <v>65523_3</v>
          </cell>
        </row>
        <row r="1041">
          <cell r="A1041" t="str">
            <v>65524_1</v>
          </cell>
        </row>
        <row r="1042">
          <cell r="A1042" t="str">
            <v>65524_2</v>
          </cell>
        </row>
        <row r="1043">
          <cell r="A1043" t="str">
            <v>65525_1</v>
          </cell>
        </row>
        <row r="1044">
          <cell r="A1044" t="str">
            <v>65526_1</v>
          </cell>
        </row>
        <row r="1045">
          <cell r="A1045" t="str">
            <v>65526_2</v>
          </cell>
        </row>
        <row r="1046">
          <cell r="A1046" t="str">
            <v>65527_1</v>
          </cell>
        </row>
        <row r="1047">
          <cell r="A1047" t="str">
            <v>65528_1</v>
          </cell>
        </row>
        <row r="1048">
          <cell r="A1048" t="str">
            <v>65529_1</v>
          </cell>
        </row>
        <row r="1049">
          <cell r="A1049" t="str">
            <v>65530_1</v>
          </cell>
        </row>
        <row r="1050">
          <cell r="A1050" t="str">
            <v>65531_1</v>
          </cell>
        </row>
        <row r="1051">
          <cell r="A1051" t="str">
            <v>65531_2</v>
          </cell>
        </row>
        <row r="1052">
          <cell r="A1052" t="str">
            <v>65532_1</v>
          </cell>
        </row>
        <row r="1053">
          <cell r="A1053" t="str">
            <v>65532_2</v>
          </cell>
        </row>
        <row r="1054">
          <cell r="A1054" t="str">
            <v>65533_1</v>
          </cell>
        </row>
        <row r="1055">
          <cell r="A1055" t="str">
            <v>65533_2</v>
          </cell>
        </row>
        <row r="1056">
          <cell r="A1056" t="str">
            <v>65534_1</v>
          </cell>
        </row>
        <row r="1057">
          <cell r="A1057" t="str">
            <v>65535_1</v>
          </cell>
        </row>
        <row r="1058">
          <cell r="A1058" t="str">
            <v>65535_2</v>
          </cell>
        </row>
        <row r="1059">
          <cell r="A1059" t="str">
            <v>65535_3</v>
          </cell>
        </row>
        <row r="1060">
          <cell r="A1060" t="str">
            <v>65535_4</v>
          </cell>
        </row>
        <row r="1061">
          <cell r="A1061" t="str">
            <v>65535_5</v>
          </cell>
        </row>
        <row r="1062">
          <cell r="A1062" t="str">
            <v>65535_6</v>
          </cell>
        </row>
        <row r="1063">
          <cell r="A1063" t="str">
            <v>65535_7</v>
          </cell>
        </row>
        <row r="1064">
          <cell r="A1064" t="str">
            <v>65535_8</v>
          </cell>
        </row>
        <row r="1065">
          <cell r="A1065" t="str">
            <v>65535_9</v>
          </cell>
        </row>
        <row r="1066">
          <cell r="A1066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1342</v>
          </cell>
        </row>
        <row r="1324">
          <cell r="A1324">
            <v>1343</v>
          </cell>
        </row>
        <row r="1325">
          <cell r="A1325">
            <v>1351</v>
          </cell>
        </row>
        <row r="1326">
          <cell r="A1326">
            <v>1352</v>
          </cell>
        </row>
        <row r="1327">
          <cell r="A1327">
            <v>1353</v>
          </cell>
        </row>
        <row r="1328">
          <cell r="A1328">
            <v>1354</v>
          </cell>
        </row>
        <row r="1329">
          <cell r="A1329">
            <v>1355</v>
          </cell>
        </row>
        <row r="1330">
          <cell r="A1330">
            <v>1356</v>
          </cell>
        </row>
        <row r="1331">
          <cell r="A1331">
            <v>1357</v>
          </cell>
        </row>
        <row r="1332">
          <cell r="A1332">
            <v>1358</v>
          </cell>
        </row>
        <row r="1333">
          <cell r="A1333">
            <v>1359</v>
          </cell>
        </row>
        <row r="1334">
          <cell r="A1334">
            <v>1360</v>
          </cell>
        </row>
        <row r="1335">
          <cell r="A1335">
            <v>1362</v>
          </cell>
        </row>
        <row r="1336">
          <cell r="A1336">
            <v>1363</v>
          </cell>
        </row>
        <row r="1337">
          <cell r="A1337">
            <v>1364</v>
          </cell>
        </row>
        <row r="1338">
          <cell r="A1338">
            <v>1373</v>
          </cell>
        </row>
        <row r="1339">
          <cell r="A1339">
            <v>1374</v>
          </cell>
        </row>
        <row r="1340">
          <cell r="A1340">
            <v>1375</v>
          </cell>
        </row>
        <row r="1341">
          <cell r="A1341">
            <v>1376</v>
          </cell>
        </row>
        <row r="1342">
          <cell r="A1342">
            <v>1379</v>
          </cell>
        </row>
        <row r="1343">
          <cell r="A1343">
            <v>1380</v>
          </cell>
        </row>
        <row r="1344">
          <cell r="A1344">
            <v>1405</v>
          </cell>
        </row>
        <row r="1345">
          <cell r="A1345">
            <v>1407</v>
          </cell>
        </row>
        <row r="1346">
          <cell r="A1346">
            <v>1408</v>
          </cell>
        </row>
        <row r="1347">
          <cell r="A1347">
            <v>1409</v>
          </cell>
        </row>
        <row r="1348">
          <cell r="A1348">
            <v>1410</v>
          </cell>
        </row>
        <row r="1349">
          <cell r="A1349">
            <v>1431</v>
          </cell>
        </row>
        <row r="1350">
          <cell r="A1350">
            <v>1432</v>
          </cell>
        </row>
        <row r="1351">
          <cell r="A1351">
            <v>1436</v>
          </cell>
        </row>
        <row r="1352">
          <cell r="A1352">
            <v>1437</v>
          </cell>
        </row>
        <row r="1353">
          <cell r="A1353">
            <v>1438</v>
          </cell>
        </row>
        <row r="1354">
          <cell r="A1354">
            <v>1439</v>
          </cell>
        </row>
        <row r="1355">
          <cell r="A1355">
            <v>1440</v>
          </cell>
        </row>
        <row r="1356">
          <cell r="A1356">
            <v>1441</v>
          </cell>
        </row>
        <row r="1357">
          <cell r="A1357">
            <v>1442</v>
          </cell>
        </row>
        <row r="1358">
          <cell r="A1358">
            <v>1443</v>
          </cell>
        </row>
        <row r="1359">
          <cell r="A1359">
            <v>1444</v>
          </cell>
        </row>
        <row r="1360">
          <cell r="A1360">
            <v>1445</v>
          </cell>
        </row>
        <row r="1361">
          <cell r="A1361">
            <v>1446</v>
          </cell>
        </row>
        <row r="1362">
          <cell r="A1362">
            <v>1447</v>
          </cell>
        </row>
        <row r="1363">
          <cell r="A1363">
            <v>1448</v>
          </cell>
        </row>
        <row r="1364">
          <cell r="A1364">
            <v>1449</v>
          </cell>
        </row>
        <row r="1365">
          <cell r="A1365">
            <v>1450</v>
          </cell>
        </row>
        <row r="1366">
          <cell r="A1366">
            <v>1451</v>
          </cell>
        </row>
        <row r="1367">
          <cell r="A1367">
            <v>1466</v>
          </cell>
        </row>
        <row r="1368">
          <cell r="A1368">
            <v>1467</v>
          </cell>
        </row>
        <row r="1369">
          <cell r="A1369">
            <v>1468</v>
          </cell>
        </row>
        <row r="1370">
          <cell r="A1370">
            <v>1469</v>
          </cell>
        </row>
        <row r="1371">
          <cell r="A1371">
            <v>1470</v>
          </cell>
        </row>
        <row r="1372">
          <cell r="A1372">
            <v>1471</v>
          </cell>
        </row>
        <row r="1373">
          <cell r="A1373">
            <v>1495</v>
          </cell>
        </row>
        <row r="1374">
          <cell r="A1374">
            <v>1496</v>
          </cell>
        </row>
        <row r="1375">
          <cell r="A1375">
            <v>1497</v>
          </cell>
        </row>
        <row r="1376">
          <cell r="A1376">
            <v>1498</v>
          </cell>
        </row>
        <row r="1377">
          <cell r="A1377">
            <v>1499</v>
          </cell>
        </row>
        <row r="1378">
          <cell r="A1378">
            <v>1500</v>
          </cell>
        </row>
        <row r="1379">
          <cell r="A1379">
            <v>1501</v>
          </cell>
        </row>
        <row r="1380">
          <cell r="A1380">
            <v>1502</v>
          </cell>
        </row>
        <row r="1381">
          <cell r="A1381">
            <v>1503</v>
          </cell>
        </row>
        <row r="1382">
          <cell r="A1382">
            <v>1504</v>
          </cell>
        </row>
        <row r="1383">
          <cell r="A1383">
            <v>1505</v>
          </cell>
        </row>
        <row r="1384">
          <cell r="A1384">
            <v>1506</v>
          </cell>
        </row>
        <row r="1385">
          <cell r="A1385">
            <v>1507</v>
          </cell>
        </row>
        <row r="1386">
          <cell r="A1386">
            <v>1508</v>
          </cell>
        </row>
        <row r="1387">
          <cell r="A1387">
            <v>1509</v>
          </cell>
        </row>
        <row r="1388">
          <cell r="A1388">
            <v>1510</v>
          </cell>
        </row>
        <row r="1389">
          <cell r="A1389">
            <v>1511</v>
          </cell>
        </row>
        <row r="1390">
          <cell r="A1390">
            <v>1512</v>
          </cell>
        </row>
        <row r="1391">
          <cell r="A1391">
            <v>1523</v>
          </cell>
        </row>
        <row r="1392">
          <cell r="A1392">
            <v>1524</v>
          </cell>
        </row>
        <row r="1393">
          <cell r="A1393">
            <v>1525</v>
          </cell>
        </row>
        <row r="1394">
          <cell r="A1394">
            <v>1526</v>
          </cell>
        </row>
        <row r="1395">
          <cell r="A1395">
            <v>1551</v>
          </cell>
        </row>
        <row r="1396">
          <cell r="A1396">
            <v>1552</v>
          </cell>
        </row>
        <row r="1397">
          <cell r="A1397">
            <v>1553</v>
          </cell>
        </row>
        <row r="1398">
          <cell r="A1398">
            <v>1554</v>
          </cell>
        </row>
        <row r="1399">
          <cell r="A1399">
            <v>1555</v>
          </cell>
        </row>
        <row r="1400">
          <cell r="A1400">
            <v>1556</v>
          </cell>
        </row>
        <row r="1401">
          <cell r="A1401">
            <v>1557</v>
          </cell>
        </row>
        <row r="1402">
          <cell r="A1402">
            <v>1558</v>
          </cell>
        </row>
        <row r="1403">
          <cell r="A1403">
            <v>1559</v>
          </cell>
        </row>
        <row r="1404">
          <cell r="A1404">
            <v>1560</v>
          </cell>
        </row>
        <row r="1405">
          <cell r="A1405">
            <v>1561</v>
          </cell>
        </row>
        <row r="1406">
          <cell r="A1406">
            <v>1562</v>
          </cell>
        </row>
        <row r="1407">
          <cell r="A1407">
            <v>1563</v>
          </cell>
        </row>
        <row r="1408">
          <cell r="A1408">
            <v>1564</v>
          </cell>
        </row>
        <row r="1409">
          <cell r="A1409">
            <v>1565</v>
          </cell>
        </row>
        <row r="1410">
          <cell r="A1410">
            <v>1566</v>
          </cell>
        </row>
        <row r="1411">
          <cell r="A1411">
            <v>1567</v>
          </cell>
        </row>
        <row r="1412">
          <cell r="A1412">
            <v>1568</v>
          </cell>
        </row>
        <row r="1413">
          <cell r="A1413">
            <v>1569</v>
          </cell>
        </row>
        <row r="1414">
          <cell r="A1414">
            <v>1570</v>
          </cell>
        </row>
        <row r="1415">
          <cell r="A1415">
            <v>1571</v>
          </cell>
        </row>
        <row r="1416">
          <cell r="A1416">
            <v>1572</v>
          </cell>
        </row>
        <row r="1417">
          <cell r="A1417">
            <v>1573</v>
          </cell>
        </row>
        <row r="1418">
          <cell r="A1418">
            <v>1574</v>
          </cell>
        </row>
        <row r="1419">
          <cell r="A1419">
            <v>1575</v>
          </cell>
        </row>
        <row r="1420">
          <cell r="A1420">
            <v>1576</v>
          </cell>
        </row>
        <row r="1421">
          <cell r="A1421">
            <v>1577</v>
          </cell>
        </row>
        <row r="1422">
          <cell r="A1422">
            <v>1578</v>
          </cell>
        </row>
        <row r="1423">
          <cell r="A1423">
            <v>1579</v>
          </cell>
        </row>
        <row r="1424">
          <cell r="A1424">
            <v>1580</v>
          </cell>
        </row>
        <row r="1425">
          <cell r="A1425">
            <v>1581</v>
          </cell>
        </row>
        <row r="1426">
          <cell r="A1426">
            <v>1582</v>
          </cell>
        </row>
        <row r="1427">
          <cell r="A1427">
            <v>1583</v>
          </cell>
        </row>
        <row r="1428">
          <cell r="A1428">
            <v>1584</v>
          </cell>
        </row>
        <row r="1429">
          <cell r="A1429">
            <v>1585</v>
          </cell>
        </row>
        <row r="1430">
          <cell r="A1430">
            <v>1586</v>
          </cell>
        </row>
        <row r="1431">
          <cell r="A1431">
            <v>1587</v>
          </cell>
        </row>
        <row r="1432">
          <cell r="A1432">
            <v>1588</v>
          </cell>
        </row>
        <row r="1433">
          <cell r="A1433">
            <v>1697</v>
          </cell>
        </row>
        <row r="1434">
          <cell r="A1434">
            <v>1698</v>
          </cell>
        </row>
        <row r="1435">
          <cell r="A1435">
            <v>1699</v>
          </cell>
        </row>
        <row r="1436">
          <cell r="A1436">
            <v>1700</v>
          </cell>
        </row>
        <row r="1437">
          <cell r="A1437">
            <v>1701</v>
          </cell>
        </row>
        <row r="1438">
          <cell r="A1438">
            <v>1702</v>
          </cell>
        </row>
        <row r="1439">
          <cell r="A1439">
            <v>1703</v>
          </cell>
        </row>
        <row r="1440">
          <cell r="A1440">
            <v>1704</v>
          </cell>
        </row>
        <row r="1441">
          <cell r="A1441">
            <v>1705</v>
          </cell>
        </row>
        <row r="1442">
          <cell r="A1442">
            <v>1706</v>
          </cell>
        </row>
        <row r="1443">
          <cell r="A1443">
            <v>1707</v>
          </cell>
        </row>
        <row r="1444">
          <cell r="A1444">
            <v>1708</v>
          </cell>
        </row>
        <row r="1445">
          <cell r="A1445">
            <v>1709</v>
          </cell>
        </row>
        <row r="1446">
          <cell r="A1446">
            <v>1710</v>
          </cell>
        </row>
        <row r="1447">
          <cell r="A1447">
            <v>1711</v>
          </cell>
        </row>
        <row r="1448">
          <cell r="A1448">
            <v>1712</v>
          </cell>
        </row>
        <row r="1449">
          <cell r="A1449">
            <v>1713</v>
          </cell>
        </row>
        <row r="1450">
          <cell r="A1450">
            <v>1714</v>
          </cell>
        </row>
        <row r="1451">
          <cell r="A1451">
            <v>1715</v>
          </cell>
        </row>
        <row r="1452">
          <cell r="A1452">
            <v>1716</v>
          </cell>
        </row>
        <row r="1453">
          <cell r="A1453">
            <v>1717</v>
          </cell>
        </row>
        <row r="1454">
          <cell r="A1454">
            <v>1718</v>
          </cell>
        </row>
        <row r="1455">
          <cell r="A1455">
            <v>1719</v>
          </cell>
        </row>
        <row r="1456">
          <cell r="A1456">
            <v>5001</v>
          </cell>
        </row>
        <row r="1457">
          <cell r="A1457">
            <v>5002</v>
          </cell>
        </row>
        <row r="1458">
          <cell r="A1458">
            <v>5003</v>
          </cell>
        </row>
        <row r="1459">
          <cell r="A1459">
            <v>5004</v>
          </cell>
        </row>
        <row r="1460">
          <cell r="A1460">
            <v>5005</v>
          </cell>
        </row>
        <row r="1461">
          <cell r="A1461">
            <v>5006</v>
          </cell>
        </row>
        <row r="1462">
          <cell r="A1462">
            <v>5007</v>
          </cell>
        </row>
        <row r="1463">
          <cell r="A1463">
            <v>5008</v>
          </cell>
        </row>
        <row r="1464">
          <cell r="A1464">
            <v>5011</v>
          </cell>
        </row>
        <row r="1465">
          <cell r="A1465">
            <v>5012</v>
          </cell>
        </row>
        <row r="1466">
          <cell r="A1466">
            <v>6001</v>
          </cell>
        </row>
        <row r="1467">
          <cell r="A1467">
            <v>6002</v>
          </cell>
        </row>
        <row r="1468">
          <cell r="A1468">
            <v>6003</v>
          </cell>
        </row>
        <row r="1469">
          <cell r="A1469">
            <v>6004</v>
          </cell>
        </row>
        <row r="1470">
          <cell r="A1470">
            <v>6005</v>
          </cell>
        </row>
        <row r="1471">
          <cell r="A1471">
            <v>6006</v>
          </cell>
        </row>
        <row r="1472">
          <cell r="A1472">
            <v>6007</v>
          </cell>
        </row>
        <row r="1473">
          <cell r="A1473">
            <v>6008</v>
          </cell>
        </row>
        <row r="1474">
          <cell r="A1474">
            <v>6009</v>
          </cell>
        </row>
        <row r="1475">
          <cell r="A1475">
            <v>6010</v>
          </cell>
        </row>
        <row r="1476">
          <cell r="A1476">
            <v>6011</v>
          </cell>
        </row>
        <row r="1477">
          <cell r="A1477">
            <v>6012</v>
          </cell>
        </row>
        <row r="1478">
          <cell r="A1478">
            <v>6013</v>
          </cell>
        </row>
        <row r="1479">
          <cell r="A1479">
            <v>6014</v>
          </cell>
        </row>
        <row r="1480">
          <cell r="A1480">
            <v>6015</v>
          </cell>
        </row>
        <row r="1481">
          <cell r="A1481">
            <v>6016</v>
          </cell>
        </row>
        <row r="1482">
          <cell r="A1482">
            <v>6017</v>
          </cell>
        </row>
        <row r="1483">
          <cell r="A1483">
            <v>6018</v>
          </cell>
        </row>
        <row r="1484">
          <cell r="A1484">
            <v>6019</v>
          </cell>
        </row>
        <row r="1485">
          <cell r="A1485">
            <v>6020</v>
          </cell>
        </row>
        <row r="1486">
          <cell r="A1486">
            <v>8001</v>
          </cell>
        </row>
        <row r="1487">
          <cell r="A1487">
            <v>8002</v>
          </cell>
        </row>
        <row r="1488">
          <cell r="A1488">
            <v>8003</v>
          </cell>
        </row>
        <row r="1489">
          <cell r="A1489">
            <v>8004</v>
          </cell>
        </row>
        <row r="1490">
          <cell r="A1490">
            <v>8005</v>
          </cell>
        </row>
        <row r="1491">
          <cell r="A1491">
            <v>8006</v>
          </cell>
        </row>
        <row r="1492">
          <cell r="A1492">
            <v>8007</v>
          </cell>
        </row>
        <row r="1493">
          <cell r="A1493">
            <v>8008</v>
          </cell>
        </row>
        <row r="1494">
          <cell r="A1494">
            <v>8009</v>
          </cell>
        </row>
        <row r="1495">
          <cell r="A1495">
            <v>8010</v>
          </cell>
        </row>
        <row r="1496">
          <cell r="A1496">
            <v>8011</v>
          </cell>
        </row>
        <row r="1497">
          <cell r="A1497">
            <v>8012</v>
          </cell>
        </row>
        <row r="1498">
          <cell r="A1498">
            <v>8013</v>
          </cell>
        </row>
        <row r="1499">
          <cell r="A1499">
            <v>8014</v>
          </cell>
        </row>
        <row r="1500">
          <cell r="A1500">
            <v>8015</v>
          </cell>
        </row>
        <row r="1501">
          <cell r="A1501">
            <v>8016</v>
          </cell>
        </row>
        <row r="1502">
          <cell r="A1502">
            <v>8017</v>
          </cell>
        </row>
        <row r="1503">
          <cell r="A1503">
            <v>8018</v>
          </cell>
        </row>
        <row r="1504">
          <cell r="A1504">
            <v>8019</v>
          </cell>
        </row>
        <row r="1505">
          <cell r="A1505">
            <v>8020</v>
          </cell>
        </row>
        <row r="1506">
          <cell r="A1506">
            <v>8021</v>
          </cell>
        </row>
        <row r="1507">
          <cell r="A1507">
            <v>8022</v>
          </cell>
        </row>
        <row r="1508">
          <cell r="A1508">
            <v>8023</v>
          </cell>
        </row>
        <row r="1509">
          <cell r="A1509">
            <v>8024</v>
          </cell>
        </row>
        <row r="1510">
          <cell r="A1510">
            <v>8025</v>
          </cell>
        </row>
        <row r="1511">
          <cell r="A1511">
            <v>8026</v>
          </cell>
        </row>
        <row r="1512">
          <cell r="A1512">
            <v>8027</v>
          </cell>
        </row>
        <row r="1513">
          <cell r="A1513">
            <v>8028</v>
          </cell>
        </row>
        <row r="1514">
          <cell r="A1514">
            <v>8029</v>
          </cell>
        </row>
        <row r="1515">
          <cell r="A1515">
            <v>8030</v>
          </cell>
        </row>
        <row r="1516">
          <cell r="A1516">
            <v>8031</v>
          </cell>
        </row>
        <row r="1517">
          <cell r="A1517">
            <v>8032</v>
          </cell>
        </row>
        <row r="1518">
          <cell r="A1518">
            <v>8033</v>
          </cell>
        </row>
        <row r="1519">
          <cell r="A1519">
            <v>8034</v>
          </cell>
        </row>
        <row r="1520">
          <cell r="A1520">
            <v>8035</v>
          </cell>
        </row>
        <row r="1521">
          <cell r="A1521">
            <v>8036</v>
          </cell>
        </row>
        <row r="1522">
          <cell r="A1522">
            <v>8037</v>
          </cell>
        </row>
        <row r="1523">
          <cell r="A1523">
            <v>8038</v>
          </cell>
        </row>
        <row r="1524">
          <cell r="A1524">
            <v>8039</v>
          </cell>
        </row>
        <row r="1525">
          <cell r="A1525">
            <v>8040</v>
          </cell>
        </row>
        <row r="1526">
          <cell r="A1526">
            <v>8041</v>
          </cell>
        </row>
        <row r="1527">
          <cell r="A1527">
            <v>8042</v>
          </cell>
        </row>
        <row r="1528">
          <cell r="A1528">
            <v>8043</v>
          </cell>
        </row>
        <row r="1529">
          <cell r="A1529">
            <v>8044</v>
          </cell>
        </row>
        <row r="1530">
          <cell r="A1530">
            <v>8045</v>
          </cell>
        </row>
        <row r="1531">
          <cell r="A1531">
            <v>8046</v>
          </cell>
        </row>
        <row r="1532">
          <cell r="A1532">
            <v>8047</v>
          </cell>
        </row>
        <row r="1533">
          <cell r="A1533">
            <v>8048</v>
          </cell>
        </row>
        <row r="1534">
          <cell r="A1534">
            <v>8049</v>
          </cell>
        </row>
        <row r="1535">
          <cell r="A1535">
            <v>8050</v>
          </cell>
        </row>
        <row r="1536">
          <cell r="A1536">
            <v>8051</v>
          </cell>
        </row>
        <row r="1537">
          <cell r="A1537">
            <v>8052</v>
          </cell>
        </row>
        <row r="1538">
          <cell r="A1538">
            <v>8053</v>
          </cell>
        </row>
        <row r="1539">
          <cell r="A1539">
            <v>8054</v>
          </cell>
        </row>
        <row r="1540">
          <cell r="A1540">
            <v>8055</v>
          </cell>
        </row>
        <row r="1541">
          <cell r="A1541">
            <v>8056</v>
          </cell>
        </row>
        <row r="1542">
          <cell r="A1542">
            <v>8057</v>
          </cell>
        </row>
        <row r="1543">
          <cell r="A1543">
            <v>8058</v>
          </cell>
        </row>
        <row r="1544">
          <cell r="A1544">
            <v>8059</v>
          </cell>
        </row>
        <row r="1545">
          <cell r="A1545">
            <v>8060</v>
          </cell>
        </row>
        <row r="1546">
          <cell r="A1546">
            <v>8061</v>
          </cell>
        </row>
        <row r="1547">
          <cell r="A1547">
            <v>8062</v>
          </cell>
        </row>
        <row r="1548">
          <cell r="A1548">
            <v>8063</v>
          </cell>
        </row>
        <row r="1549">
          <cell r="A1549">
            <v>8064</v>
          </cell>
        </row>
        <row r="1550">
          <cell r="A1550">
            <v>8065</v>
          </cell>
        </row>
        <row r="1551">
          <cell r="A1551">
            <v>8066</v>
          </cell>
        </row>
        <row r="1552">
          <cell r="A1552">
            <v>8067</v>
          </cell>
        </row>
        <row r="1553">
          <cell r="A1553">
            <v>8068</v>
          </cell>
        </row>
        <row r="1554">
          <cell r="A1554">
            <v>8069</v>
          </cell>
        </row>
        <row r="1555">
          <cell r="A1555">
            <v>8070</v>
          </cell>
        </row>
        <row r="1556">
          <cell r="A1556">
            <v>8071</v>
          </cell>
        </row>
        <row r="1557">
          <cell r="A1557">
            <v>8072</v>
          </cell>
        </row>
        <row r="1558">
          <cell r="A1558">
            <v>8073</v>
          </cell>
        </row>
        <row r="1559">
          <cell r="A1559">
            <v>8074</v>
          </cell>
        </row>
        <row r="1560">
          <cell r="A1560">
            <v>8077</v>
          </cell>
        </row>
        <row r="1561">
          <cell r="A1561">
            <v>8078</v>
          </cell>
        </row>
        <row r="1562">
          <cell r="A1562">
            <v>8079</v>
          </cell>
        </row>
        <row r="1563">
          <cell r="A1563">
            <v>8080</v>
          </cell>
        </row>
        <row r="1564">
          <cell r="A1564">
            <v>8081</v>
          </cell>
        </row>
        <row r="1565">
          <cell r="A1565">
            <v>8082</v>
          </cell>
        </row>
        <row r="1566">
          <cell r="A1566">
            <v>8083</v>
          </cell>
        </row>
        <row r="1567">
          <cell r="A1567">
            <v>8084</v>
          </cell>
        </row>
        <row r="1568">
          <cell r="A1568">
            <v>8085</v>
          </cell>
        </row>
        <row r="1569">
          <cell r="A1569">
            <v>8086</v>
          </cell>
        </row>
        <row r="1570">
          <cell r="A1570">
            <v>8087</v>
          </cell>
        </row>
        <row r="1571">
          <cell r="A1571">
            <v>8088</v>
          </cell>
        </row>
        <row r="1572">
          <cell r="A1572">
            <v>8089</v>
          </cell>
        </row>
        <row r="1573">
          <cell r="A1573">
            <v>8090</v>
          </cell>
        </row>
        <row r="1574">
          <cell r="A1574">
            <v>8095</v>
          </cell>
        </row>
        <row r="1575">
          <cell r="A1575">
            <v>8096</v>
          </cell>
        </row>
        <row r="1576">
          <cell r="A1576">
            <v>8097</v>
          </cell>
        </row>
        <row r="1577">
          <cell r="A1577">
            <v>8098</v>
          </cell>
        </row>
        <row r="1578">
          <cell r="A1578">
            <v>8099</v>
          </cell>
        </row>
        <row r="1579">
          <cell r="A1579">
            <v>8100</v>
          </cell>
        </row>
        <row r="1580">
          <cell r="A1580">
            <v>8101</v>
          </cell>
        </row>
        <row r="1581">
          <cell r="A1581">
            <v>8102</v>
          </cell>
        </row>
        <row r="1582">
          <cell r="A1582">
            <v>8103</v>
          </cell>
        </row>
        <row r="1583">
          <cell r="A1583">
            <v>8104</v>
          </cell>
        </row>
        <row r="1584">
          <cell r="A1584">
            <v>8105</v>
          </cell>
        </row>
        <row r="1585">
          <cell r="A1585">
            <v>8106</v>
          </cell>
        </row>
        <row r="1586">
          <cell r="A1586">
            <v>8111</v>
          </cell>
        </row>
        <row r="1587">
          <cell r="A1587">
            <v>8112</v>
          </cell>
        </row>
        <row r="1588">
          <cell r="A1588">
            <v>8113</v>
          </cell>
        </row>
        <row r="1589">
          <cell r="A1589">
            <v>8114</v>
          </cell>
        </row>
        <row r="1590">
          <cell r="A1590">
            <v>8115</v>
          </cell>
        </row>
        <row r="1591">
          <cell r="A1591">
            <v>8116</v>
          </cell>
        </row>
        <row r="1592">
          <cell r="A1592">
            <v>8117</v>
          </cell>
        </row>
        <row r="1593">
          <cell r="A1593">
            <v>8118</v>
          </cell>
        </row>
        <row r="1594">
          <cell r="A1594">
            <v>8119</v>
          </cell>
        </row>
        <row r="1595">
          <cell r="A1595">
            <v>8120</v>
          </cell>
        </row>
        <row r="1596">
          <cell r="A1596">
            <v>8121</v>
          </cell>
        </row>
        <row r="1597">
          <cell r="A1597">
            <v>8122</v>
          </cell>
        </row>
        <row r="1598">
          <cell r="A1598">
            <v>8127</v>
          </cell>
        </row>
        <row r="1599">
          <cell r="A1599">
            <v>8128</v>
          </cell>
        </row>
        <row r="1600">
          <cell r="A1600">
            <v>8129</v>
          </cell>
        </row>
        <row r="1601">
          <cell r="A1601">
            <v>8130</v>
          </cell>
        </row>
        <row r="1602">
          <cell r="A1602">
            <v>8131</v>
          </cell>
        </row>
        <row r="1603">
          <cell r="A1603">
            <v>8132</v>
          </cell>
        </row>
        <row r="1604">
          <cell r="A1604">
            <v>8133</v>
          </cell>
        </row>
        <row r="1605">
          <cell r="A1605">
            <v>8134</v>
          </cell>
        </row>
        <row r="1606">
          <cell r="A1606">
            <v>8135</v>
          </cell>
        </row>
        <row r="1607">
          <cell r="A1607">
            <v>8136</v>
          </cell>
        </row>
        <row r="1608">
          <cell r="A1608">
            <v>8137</v>
          </cell>
        </row>
        <row r="1609">
          <cell r="A1609">
            <v>8138</v>
          </cell>
        </row>
        <row r="1610">
          <cell r="A1610">
            <v>9001</v>
          </cell>
        </row>
        <row r="1611">
          <cell r="A1611">
            <v>9002</v>
          </cell>
        </row>
        <row r="1612">
          <cell r="A1612">
            <v>9003</v>
          </cell>
        </row>
        <row r="1613">
          <cell r="A1613">
            <v>9004</v>
          </cell>
        </row>
        <row r="1614">
          <cell r="A1614">
            <v>9005</v>
          </cell>
        </row>
        <row r="1615">
          <cell r="A1615">
            <v>9006</v>
          </cell>
        </row>
        <row r="1616">
          <cell r="A1616">
            <v>9007</v>
          </cell>
        </row>
        <row r="1617">
          <cell r="A1617">
            <v>9008</v>
          </cell>
        </row>
        <row r="1618">
          <cell r="A1618">
            <v>10101</v>
          </cell>
        </row>
        <row r="1619">
          <cell r="A1619">
            <v>10102</v>
          </cell>
        </row>
        <row r="1620">
          <cell r="A1620">
            <v>10103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1393</v>
          </cell>
        </row>
        <row r="1391">
          <cell r="A1391">
            <v>1394</v>
          </cell>
        </row>
        <row r="1392">
          <cell r="A1392">
            <v>1395</v>
          </cell>
        </row>
        <row r="1393">
          <cell r="A1393">
            <v>1399</v>
          </cell>
        </row>
        <row r="1394">
          <cell r="A1394">
            <v>1400</v>
          </cell>
        </row>
        <row r="1395">
          <cell r="A1395">
            <v>1401</v>
          </cell>
        </row>
        <row r="1396">
          <cell r="A1396">
            <v>1402</v>
          </cell>
        </row>
        <row r="1397">
          <cell r="A1397">
            <v>1403</v>
          </cell>
        </row>
        <row r="1398">
          <cell r="A1398">
            <v>1404</v>
          </cell>
        </row>
        <row r="1399">
          <cell r="A1399">
            <v>1405</v>
          </cell>
        </row>
        <row r="1400">
          <cell r="A1400">
            <v>1406</v>
          </cell>
        </row>
        <row r="1401">
          <cell r="A1401">
            <v>1407</v>
          </cell>
        </row>
        <row r="1402">
          <cell r="A1402">
            <v>1408</v>
          </cell>
        </row>
        <row r="1403">
          <cell r="A1403">
            <v>1409</v>
          </cell>
        </row>
        <row r="1404">
          <cell r="A1404">
            <v>1410</v>
          </cell>
        </row>
        <row r="1405">
          <cell r="A1405">
            <v>1411</v>
          </cell>
        </row>
        <row r="1406">
          <cell r="A1406">
            <v>1412</v>
          </cell>
        </row>
        <row r="1407">
          <cell r="A1407">
            <v>1413</v>
          </cell>
        </row>
        <row r="1408">
          <cell r="A1408">
            <v>1414</v>
          </cell>
        </row>
        <row r="1409">
          <cell r="A1409">
            <v>1415</v>
          </cell>
        </row>
        <row r="1410">
          <cell r="A1410">
            <v>1416</v>
          </cell>
        </row>
        <row r="1411">
          <cell r="A1411">
            <v>1417</v>
          </cell>
        </row>
        <row r="1412">
          <cell r="A1412">
            <v>1418</v>
          </cell>
        </row>
        <row r="1413">
          <cell r="A1413">
            <v>1419</v>
          </cell>
        </row>
        <row r="1414">
          <cell r="A1414">
            <v>1420</v>
          </cell>
        </row>
        <row r="1415">
          <cell r="A1415">
            <v>1421</v>
          </cell>
        </row>
        <row r="1416">
          <cell r="A1416">
            <v>1422</v>
          </cell>
        </row>
        <row r="1417">
          <cell r="A1417">
            <v>1423</v>
          </cell>
        </row>
        <row r="1418">
          <cell r="A1418">
            <v>1424</v>
          </cell>
        </row>
        <row r="1419">
          <cell r="A1419">
            <v>1425</v>
          </cell>
        </row>
        <row r="1420">
          <cell r="A1420">
            <v>1426</v>
          </cell>
        </row>
        <row r="1421">
          <cell r="A1421">
            <v>1427</v>
          </cell>
        </row>
        <row r="1422">
          <cell r="A1422">
            <v>1428</v>
          </cell>
        </row>
        <row r="1423">
          <cell r="A1423">
            <v>1431</v>
          </cell>
        </row>
        <row r="1424">
          <cell r="A1424">
            <v>1432</v>
          </cell>
        </row>
        <row r="1425">
          <cell r="A1425">
            <v>1433</v>
          </cell>
        </row>
        <row r="1426">
          <cell r="A1426">
            <v>1434</v>
          </cell>
        </row>
        <row r="1427">
          <cell r="A1427">
            <v>1435</v>
          </cell>
        </row>
        <row r="1428">
          <cell r="A1428">
            <v>1436</v>
          </cell>
        </row>
        <row r="1429">
          <cell r="A1429">
            <v>1437</v>
          </cell>
        </row>
        <row r="1430">
          <cell r="A1430">
            <v>1438</v>
          </cell>
        </row>
        <row r="1431">
          <cell r="A1431">
            <v>1439</v>
          </cell>
        </row>
        <row r="1432">
          <cell r="A1432">
            <v>1440</v>
          </cell>
        </row>
        <row r="1433">
          <cell r="A1433">
            <v>1441</v>
          </cell>
        </row>
        <row r="1434">
          <cell r="A1434">
            <v>1442</v>
          </cell>
        </row>
        <row r="1435">
          <cell r="A1435">
            <v>1443</v>
          </cell>
        </row>
        <row r="1436">
          <cell r="A1436">
            <v>1444</v>
          </cell>
        </row>
        <row r="1437">
          <cell r="A1437">
            <v>1445</v>
          </cell>
        </row>
        <row r="1438">
          <cell r="A1438">
            <v>1446</v>
          </cell>
        </row>
        <row r="1439">
          <cell r="A1439">
            <v>1447</v>
          </cell>
        </row>
        <row r="1440">
          <cell r="A1440">
            <v>1448</v>
          </cell>
        </row>
        <row r="1441">
          <cell r="A1441">
            <v>1449</v>
          </cell>
        </row>
        <row r="1442">
          <cell r="A1442">
            <v>1450</v>
          </cell>
        </row>
        <row r="1443">
          <cell r="A1443">
            <v>1451</v>
          </cell>
        </row>
        <row r="1444">
          <cell r="A1444">
            <v>1452</v>
          </cell>
        </row>
        <row r="1445">
          <cell r="A1445">
            <v>1453</v>
          </cell>
        </row>
        <row r="1446">
          <cell r="A1446">
            <v>1454</v>
          </cell>
        </row>
        <row r="1447">
          <cell r="A1447">
            <v>1455</v>
          </cell>
        </row>
        <row r="1448">
          <cell r="A1448">
            <v>1456</v>
          </cell>
        </row>
        <row r="1449">
          <cell r="A1449">
            <v>1457</v>
          </cell>
        </row>
        <row r="1450">
          <cell r="A1450">
            <v>1458</v>
          </cell>
        </row>
        <row r="1451">
          <cell r="A1451">
            <v>1459</v>
          </cell>
        </row>
        <row r="1452">
          <cell r="A1452">
            <v>1460</v>
          </cell>
        </row>
        <row r="1453">
          <cell r="A1453">
            <v>1461</v>
          </cell>
        </row>
        <row r="1454">
          <cell r="A1454">
            <v>1462</v>
          </cell>
        </row>
        <row r="1455">
          <cell r="A1455">
            <v>1463</v>
          </cell>
        </row>
        <row r="1456">
          <cell r="A1456">
            <v>1464</v>
          </cell>
        </row>
        <row r="1457">
          <cell r="A1457">
            <v>1465</v>
          </cell>
        </row>
        <row r="1458">
          <cell r="A1458">
            <v>1466</v>
          </cell>
        </row>
        <row r="1459">
          <cell r="A1459">
            <v>1467</v>
          </cell>
        </row>
        <row r="1460">
          <cell r="A1460">
            <v>1468</v>
          </cell>
        </row>
        <row r="1461">
          <cell r="A1461">
            <v>1469</v>
          </cell>
        </row>
        <row r="1462">
          <cell r="A1462">
            <v>1470</v>
          </cell>
        </row>
        <row r="1463">
          <cell r="A1463">
            <v>1471</v>
          </cell>
        </row>
        <row r="1464">
          <cell r="A1464">
            <v>1488</v>
          </cell>
        </row>
        <row r="1465">
          <cell r="A1465">
            <v>1489</v>
          </cell>
        </row>
        <row r="1466">
          <cell r="A1466">
            <v>1490</v>
          </cell>
        </row>
        <row r="1467">
          <cell r="A1467">
            <v>1491</v>
          </cell>
        </row>
        <row r="1468">
          <cell r="A1468">
            <v>1495</v>
          </cell>
        </row>
        <row r="1469">
          <cell r="A1469">
            <v>1496</v>
          </cell>
        </row>
        <row r="1470">
          <cell r="A1470">
            <v>1497</v>
          </cell>
        </row>
        <row r="1471">
          <cell r="A1471">
            <v>1498</v>
          </cell>
        </row>
        <row r="1472">
          <cell r="A1472">
            <v>1499</v>
          </cell>
        </row>
        <row r="1473">
          <cell r="A1473">
            <v>1500</v>
          </cell>
        </row>
        <row r="1474">
          <cell r="A1474">
            <v>1501</v>
          </cell>
        </row>
        <row r="1475">
          <cell r="A1475">
            <v>1502</v>
          </cell>
        </row>
        <row r="1476">
          <cell r="A1476">
            <v>1503</v>
          </cell>
        </row>
        <row r="1477">
          <cell r="A1477">
            <v>1504</v>
          </cell>
        </row>
        <row r="1478">
          <cell r="A1478">
            <v>1505</v>
          </cell>
        </row>
        <row r="1479">
          <cell r="A1479">
            <v>1506</v>
          </cell>
        </row>
        <row r="1480">
          <cell r="A1480">
            <v>1507</v>
          </cell>
        </row>
        <row r="1481">
          <cell r="A1481">
            <v>1508</v>
          </cell>
        </row>
        <row r="1482">
          <cell r="A1482">
            <v>1509</v>
          </cell>
        </row>
        <row r="1483">
          <cell r="A1483">
            <v>1510</v>
          </cell>
        </row>
        <row r="1484">
          <cell r="A1484">
            <v>1511</v>
          </cell>
        </row>
        <row r="1485">
          <cell r="A1485">
            <v>1512</v>
          </cell>
        </row>
        <row r="1486">
          <cell r="A1486">
            <v>1513</v>
          </cell>
        </row>
        <row r="1487">
          <cell r="A1487">
            <v>1514</v>
          </cell>
        </row>
        <row r="1488">
          <cell r="A1488">
            <v>1515</v>
          </cell>
        </row>
        <row r="1489">
          <cell r="A1489">
            <v>1516</v>
          </cell>
        </row>
        <row r="1490">
          <cell r="A1490">
            <v>1517</v>
          </cell>
        </row>
        <row r="1491">
          <cell r="A1491">
            <v>1518</v>
          </cell>
        </row>
        <row r="1492">
          <cell r="A1492">
            <v>1519</v>
          </cell>
        </row>
        <row r="1493">
          <cell r="A1493">
            <v>1520</v>
          </cell>
        </row>
        <row r="1494">
          <cell r="A1494">
            <v>1521</v>
          </cell>
        </row>
        <row r="1495">
          <cell r="A1495">
            <v>1522</v>
          </cell>
        </row>
        <row r="1496">
          <cell r="A1496">
            <v>1523</v>
          </cell>
        </row>
        <row r="1497">
          <cell r="A1497">
            <v>1524</v>
          </cell>
        </row>
        <row r="1498">
          <cell r="A1498">
            <v>1525</v>
          </cell>
        </row>
        <row r="1499">
          <cell r="A1499">
            <v>1526</v>
          </cell>
        </row>
        <row r="1500">
          <cell r="A1500">
            <v>1527</v>
          </cell>
        </row>
        <row r="1501">
          <cell r="A1501">
            <v>1528</v>
          </cell>
        </row>
        <row r="1502">
          <cell r="A1502">
            <v>1529</v>
          </cell>
        </row>
        <row r="1503">
          <cell r="A1503">
            <v>1530</v>
          </cell>
        </row>
        <row r="1504">
          <cell r="A1504">
            <v>1531</v>
          </cell>
        </row>
        <row r="1505">
          <cell r="A1505">
            <v>1532</v>
          </cell>
        </row>
        <row r="1506">
          <cell r="A1506">
            <v>1533</v>
          </cell>
        </row>
        <row r="1507">
          <cell r="A1507">
            <v>1534</v>
          </cell>
        </row>
        <row r="1508">
          <cell r="A1508">
            <v>1535</v>
          </cell>
        </row>
        <row r="1509">
          <cell r="A1509">
            <v>1536</v>
          </cell>
        </row>
        <row r="1510">
          <cell r="A1510">
            <v>1537</v>
          </cell>
        </row>
        <row r="1511">
          <cell r="A1511">
            <v>1538</v>
          </cell>
        </row>
        <row r="1512">
          <cell r="A1512">
            <v>1539</v>
          </cell>
        </row>
        <row r="1513">
          <cell r="A1513">
            <v>1540</v>
          </cell>
        </row>
        <row r="1514">
          <cell r="A1514">
            <v>1541</v>
          </cell>
        </row>
        <row r="1515">
          <cell r="A1515">
            <v>1542</v>
          </cell>
        </row>
        <row r="1516">
          <cell r="A1516">
            <v>1543</v>
          </cell>
        </row>
        <row r="1517">
          <cell r="A1517">
            <v>1544</v>
          </cell>
        </row>
        <row r="1518">
          <cell r="A1518">
            <v>1545</v>
          </cell>
        </row>
        <row r="1519">
          <cell r="A1519">
            <v>1546</v>
          </cell>
        </row>
        <row r="1520">
          <cell r="A1520">
            <v>1547</v>
          </cell>
        </row>
        <row r="1521">
          <cell r="A1521">
            <v>1548</v>
          </cell>
        </row>
        <row r="1522">
          <cell r="A1522">
            <v>1549</v>
          </cell>
        </row>
        <row r="1523">
          <cell r="A1523">
            <v>1550</v>
          </cell>
        </row>
        <row r="1524">
          <cell r="A1524">
            <v>1551</v>
          </cell>
        </row>
        <row r="1525">
          <cell r="A1525">
            <v>1552</v>
          </cell>
        </row>
        <row r="1526">
          <cell r="A1526">
            <v>1553</v>
          </cell>
        </row>
        <row r="1527">
          <cell r="A1527">
            <v>1554</v>
          </cell>
        </row>
        <row r="1528">
          <cell r="A1528">
            <v>1555</v>
          </cell>
        </row>
        <row r="1529">
          <cell r="A1529">
            <v>1556</v>
          </cell>
        </row>
        <row r="1530">
          <cell r="A1530">
            <v>1557</v>
          </cell>
        </row>
        <row r="1531">
          <cell r="A1531">
            <v>1558</v>
          </cell>
        </row>
        <row r="1532">
          <cell r="A1532">
            <v>1559</v>
          </cell>
        </row>
        <row r="1533">
          <cell r="A1533">
            <v>1560</v>
          </cell>
        </row>
        <row r="1534">
          <cell r="A1534">
            <v>1561</v>
          </cell>
        </row>
        <row r="1535">
          <cell r="A1535">
            <v>1562</v>
          </cell>
        </row>
        <row r="1536">
          <cell r="A1536">
            <v>1563</v>
          </cell>
        </row>
        <row r="1537">
          <cell r="A1537">
            <v>1564</v>
          </cell>
        </row>
        <row r="1538">
          <cell r="A1538">
            <v>1565</v>
          </cell>
        </row>
        <row r="1539">
          <cell r="A1539">
            <v>1566</v>
          </cell>
        </row>
        <row r="1540">
          <cell r="A1540">
            <v>1567</v>
          </cell>
        </row>
        <row r="1541">
          <cell r="A1541">
            <v>1568</v>
          </cell>
        </row>
        <row r="1542">
          <cell r="A1542">
            <v>1569</v>
          </cell>
        </row>
        <row r="1543">
          <cell r="A1543">
            <v>1570</v>
          </cell>
        </row>
        <row r="1544">
          <cell r="A1544">
            <v>1571</v>
          </cell>
        </row>
        <row r="1545">
          <cell r="A1545">
            <v>1572</v>
          </cell>
        </row>
        <row r="1546">
          <cell r="A1546">
            <v>1573</v>
          </cell>
        </row>
        <row r="1547">
          <cell r="A1547">
            <v>1574</v>
          </cell>
        </row>
        <row r="1548">
          <cell r="A1548">
            <v>1575</v>
          </cell>
        </row>
        <row r="1549">
          <cell r="A1549">
            <v>1576</v>
          </cell>
        </row>
        <row r="1550">
          <cell r="A1550">
            <v>1577</v>
          </cell>
        </row>
        <row r="1551">
          <cell r="A1551">
            <v>1578</v>
          </cell>
        </row>
        <row r="1552">
          <cell r="A1552">
            <v>1579</v>
          </cell>
        </row>
        <row r="1553">
          <cell r="A1553">
            <v>1580</v>
          </cell>
        </row>
        <row r="1554">
          <cell r="A1554">
            <v>1581</v>
          </cell>
        </row>
        <row r="1555">
          <cell r="A1555">
            <v>1582</v>
          </cell>
        </row>
        <row r="1556">
          <cell r="A1556">
            <v>1583</v>
          </cell>
        </row>
        <row r="1557">
          <cell r="A1557">
            <v>1584</v>
          </cell>
        </row>
        <row r="1558">
          <cell r="A1558">
            <v>1585</v>
          </cell>
        </row>
        <row r="1559">
          <cell r="A1559">
            <v>1586</v>
          </cell>
        </row>
        <row r="1560">
          <cell r="A1560">
            <v>1587</v>
          </cell>
        </row>
        <row r="1561">
          <cell r="A1561">
            <v>1588</v>
          </cell>
        </row>
        <row r="1562">
          <cell r="A1562">
            <v>1603</v>
          </cell>
        </row>
        <row r="1563">
          <cell r="A1563">
            <v>1604</v>
          </cell>
        </row>
        <row r="1564">
          <cell r="A1564">
            <v>1613</v>
          </cell>
        </row>
        <row r="1565">
          <cell r="A1565">
            <v>1614</v>
          </cell>
        </row>
        <row r="1566">
          <cell r="A1566">
            <v>1615</v>
          </cell>
        </row>
        <row r="1567">
          <cell r="A1567">
            <v>1616</v>
          </cell>
        </row>
        <row r="1568">
          <cell r="A1568">
            <v>1617</v>
          </cell>
        </row>
        <row r="1569">
          <cell r="A1569">
            <v>1618</v>
          </cell>
        </row>
        <row r="1570">
          <cell r="A1570">
            <v>1619</v>
          </cell>
        </row>
        <row r="1571">
          <cell r="A1571">
            <v>1620</v>
          </cell>
        </row>
        <row r="1572">
          <cell r="A1572">
            <v>1621</v>
          </cell>
        </row>
        <row r="1573">
          <cell r="A1573">
            <v>1622</v>
          </cell>
        </row>
        <row r="1574">
          <cell r="A1574">
            <v>1623</v>
          </cell>
        </row>
        <row r="1575">
          <cell r="A1575">
            <v>1624</v>
          </cell>
        </row>
        <row r="1576">
          <cell r="A1576">
            <v>1687</v>
          </cell>
        </row>
        <row r="1577">
          <cell r="A1577">
            <v>1688</v>
          </cell>
        </row>
        <row r="1578">
          <cell r="A1578">
            <v>1689</v>
          </cell>
        </row>
        <row r="1579">
          <cell r="A1579">
            <v>1690</v>
          </cell>
        </row>
        <row r="1580">
          <cell r="A1580">
            <v>1691</v>
          </cell>
        </row>
        <row r="1581">
          <cell r="A1581">
            <v>1692</v>
          </cell>
        </row>
        <row r="1582">
          <cell r="A1582">
            <v>1693</v>
          </cell>
        </row>
        <row r="1583">
          <cell r="A1583">
            <v>1694</v>
          </cell>
        </row>
        <row r="1584">
          <cell r="A1584">
            <v>1695</v>
          </cell>
        </row>
        <row r="1585">
          <cell r="A1585">
            <v>1696</v>
          </cell>
        </row>
        <row r="1586">
          <cell r="A1586">
            <v>1697</v>
          </cell>
        </row>
        <row r="1587">
          <cell r="A1587">
            <v>1698</v>
          </cell>
        </row>
        <row r="1588">
          <cell r="A1588">
            <v>1699</v>
          </cell>
        </row>
        <row r="1589">
          <cell r="A1589">
            <v>1700</v>
          </cell>
        </row>
        <row r="1590">
          <cell r="A1590">
            <v>1701</v>
          </cell>
        </row>
        <row r="1591">
          <cell r="A1591">
            <v>1702</v>
          </cell>
        </row>
        <row r="1592">
          <cell r="A1592">
            <v>1703</v>
          </cell>
        </row>
        <row r="1593">
          <cell r="A1593">
            <v>1704</v>
          </cell>
        </row>
        <row r="1594">
          <cell r="A1594">
            <v>1705</v>
          </cell>
        </row>
        <row r="1595">
          <cell r="A1595">
            <v>1706</v>
          </cell>
        </row>
        <row r="1596">
          <cell r="A1596">
            <v>1707</v>
          </cell>
        </row>
        <row r="1597">
          <cell r="A1597">
            <v>1708</v>
          </cell>
        </row>
        <row r="1598">
          <cell r="A1598">
            <v>1709</v>
          </cell>
        </row>
        <row r="1599">
          <cell r="A1599">
            <v>1710</v>
          </cell>
        </row>
        <row r="1600">
          <cell r="A1600">
            <v>1711</v>
          </cell>
        </row>
        <row r="1601">
          <cell r="A1601">
            <v>1712</v>
          </cell>
        </row>
        <row r="1602">
          <cell r="A1602">
            <v>1713</v>
          </cell>
        </row>
        <row r="1603">
          <cell r="A1603">
            <v>1714</v>
          </cell>
        </row>
        <row r="1604">
          <cell r="A1604">
            <v>1715</v>
          </cell>
        </row>
        <row r="1605">
          <cell r="A1605">
            <v>1716</v>
          </cell>
        </row>
        <row r="1606">
          <cell r="A1606">
            <v>1717</v>
          </cell>
        </row>
        <row r="1607">
          <cell r="A1607">
            <v>1718</v>
          </cell>
        </row>
        <row r="1608">
          <cell r="A1608">
            <v>1719</v>
          </cell>
        </row>
        <row r="1609">
          <cell r="A1609">
            <v>5001</v>
          </cell>
        </row>
        <row r="1610">
          <cell r="A1610">
            <v>5002</v>
          </cell>
        </row>
        <row r="1611">
          <cell r="A1611">
            <v>5003</v>
          </cell>
        </row>
        <row r="1612">
          <cell r="A1612">
            <v>5004</v>
          </cell>
        </row>
        <row r="1613">
          <cell r="A1613">
            <v>5005</v>
          </cell>
        </row>
        <row r="1614">
          <cell r="A1614">
            <v>5006</v>
          </cell>
        </row>
        <row r="1615">
          <cell r="A1615">
            <v>5007</v>
          </cell>
        </row>
        <row r="1616">
          <cell r="A1616">
            <v>5008</v>
          </cell>
        </row>
        <row r="1617">
          <cell r="A1617">
            <v>5009</v>
          </cell>
        </row>
        <row r="1618">
          <cell r="A1618">
            <v>5010</v>
          </cell>
        </row>
        <row r="1619">
          <cell r="A1619">
            <v>5011</v>
          </cell>
        </row>
        <row r="1620">
          <cell r="A1620">
            <v>5012</v>
          </cell>
        </row>
        <row r="1621">
          <cell r="A1621">
            <v>6001</v>
          </cell>
        </row>
        <row r="1622">
          <cell r="A1622">
            <v>6002</v>
          </cell>
        </row>
        <row r="1623">
          <cell r="A1623">
            <v>6003</v>
          </cell>
        </row>
        <row r="1624">
          <cell r="A1624">
            <v>6004</v>
          </cell>
        </row>
        <row r="1625">
          <cell r="A1625">
            <v>6005</v>
          </cell>
        </row>
        <row r="1626">
          <cell r="A1626">
            <v>6006</v>
          </cell>
        </row>
        <row r="1627">
          <cell r="A1627">
            <v>6007</v>
          </cell>
        </row>
        <row r="1628">
          <cell r="A1628">
            <v>6008</v>
          </cell>
        </row>
        <row r="1629">
          <cell r="A1629">
            <v>6009</v>
          </cell>
        </row>
        <row r="1630">
          <cell r="A1630">
            <v>6010</v>
          </cell>
        </row>
        <row r="1631">
          <cell r="A1631">
            <v>6011</v>
          </cell>
        </row>
        <row r="1632">
          <cell r="A1632">
            <v>6012</v>
          </cell>
        </row>
        <row r="1633">
          <cell r="A1633">
            <v>6013</v>
          </cell>
        </row>
        <row r="1634">
          <cell r="A1634">
            <v>6014</v>
          </cell>
        </row>
        <row r="1635">
          <cell r="A1635">
            <v>6015</v>
          </cell>
        </row>
        <row r="1636">
          <cell r="A1636">
            <v>6016</v>
          </cell>
        </row>
        <row r="1637">
          <cell r="A1637">
            <v>6017</v>
          </cell>
        </row>
        <row r="1638">
          <cell r="A1638">
            <v>6018</v>
          </cell>
        </row>
        <row r="1639">
          <cell r="A1639">
            <v>6019</v>
          </cell>
        </row>
        <row r="1640">
          <cell r="A1640">
            <v>6020</v>
          </cell>
        </row>
        <row r="1641">
          <cell r="A1641">
            <v>8001</v>
          </cell>
        </row>
        <row r="1642">
          <cell r="A1642">
            <v>8002</v>
          </cell>
        </row>
        <row r="1643">
          <cell r="A1643">
            <v>8003</v>
          </cell>
        </row>
        <row r="1644">
          <cell r="A1644">
            <v>8004</v>
          </cell>
        </row>
        <row r="1645">
          <cell r="A1645">
            <v>8005</v>
          </cell>
        </row>
        <row r="1646">
          <cell r="A1646">
            <v>8006</v>
          </cell>
        </row>
        <row r="1647">
          <cell r="A1647">
            <v>8007</v>
          </cell>
        </row>
        <row r="1648">
          <cell r="A1648">
            <v>8008</v>
          </cell>
        </row>
        <row r="1649">
          <cell r="A1649">
            <v>8009</v>
          </cell>
        </row>
        <row r="1650">
          <cell r="A1650">
            <v>8010</v>
          </cell>
        </row>
        <row r="1651">
          <cell r="A1651">
            <v>8011</v>
          </cell>
        </row>
        <row r="1652">
          <cell r="A1652">
            <v>8012</v>
          </cell>
        </row>
        <row r="1653">
          <cell r="A1653">
            <v>8013</v>
          </cell>
        </row>
        <row r="1654">
          <cell r="A1654">
            <v>8014</v>
          </cell>
        </row>
        <row r="1655">
          <cell r="A1655">
            <v>8015</v>
          </cell>
        </row>
        <row r="1656">
          <cell r="A1656">
            <v>8016</v>
          </cell>
        </row>
        <row r="1657">
          <cell r="A1657">
            <v>8017</v>
          </cell>
        </row>
        <row r="1658">
          <cell r="A1658">
            <v>8018</v>
          </cell>
        </row>
        <row r="1659">
          <cell r="A1659">
            <v>8019</v>
          </cell>
        </row>
        <row r="1660">
          <cell r="A1660">
            <v>8020</v>
          </cell>
        </row>
        <row r="1661">
          <cell r="A1661">
            <v>8021</v>
          </cell>
        </row>
        <row r="1662">
          <cell r="A1662">
            <v>8022</v>
          </cell>
        </row>
        <row r="1663">
          <cell r="A1663">
            <v>8023</v>
          </cell>
        </row>
        <row r="1664">
          <cell r="A1664">
            <v>8024</v>
          </cell>
        </row>
        <row r="1665">
          <cell r="A1665">
            <v>8025</v>
          </cell>
        </row>
        <row r="1666">
          <cell r="A1666">
            <v>8026</v>
          </cell>
        </row>
        <row r="1667">
          <cell r="A1667">
            <v>8027</v>
          </cell>
        </row>
        <row r="1668">
          <cell r="A1668">
            <v>8028</v>
          </cell>
        </row>
        <row r="1669">
          <cell r="A1669">
            <v>8029</v>
          </cell>
        </row>
        <row r="1670">
          <cell r="A1670">
            <v>8030</v>
          </cell>
        </row>
        <row r="1671">
          <cell r="A1671">
            <v>8031</v>
          </cell>
        </row>
        <row r="1672">
          <cell r="A1672">
            <v>8032</v>
          </cell>
        </row>
        <row r="1673">
          <cell r="A1673">
            <v>8033</v>
          </cell>
        </row>
        <row r="1674">
          <cell r="A1674">
            <v>8034</v>
          </cell>
        </row>
        <row r="1675">
          <cell r="A1675">
            <v>8035</v>
          </cell>
        </row>
        <row r="1676">
          <cell r="A1676">
            <v>8036</v>
          </cell>
        </row>
        <row r="1677">
          <cell r="A1677">
            <v>8037</v>
          </cell>
        </row>
        <row r="1678">
          <cell r="A1678">
            <v>8038</v>
          </cell>
        </row>
        <row r="1679">
          <cell r="A1679">
            <v>8039</v>
          </cell>
        </row>
        <row r="1680">
          <cell r="A1680">
            <v>8040</v>
          </cell>
        </row>
        <row r="1681">
          <cell r="A1681">
            <v>8041</v>
          </cell>
        </row>
        <row r="1682">
          <cell r="A1682">
            <v>8042</v>
          </cell>
        </row>
        <row r="1683">
          <cell r="A1683">
            <v>8043</v>
          </cell>
        </row>
        <row r="1684">
          <cell r="A1684">
            <v>8044</v>
          </cell>
        </row>
        <row r="1685">
          <cell r="A1685">
            <v>8045</v>
          </cell>
        </row>
        <row r="1686">
          <cell r="A1686">
            <v>8046</v>
          </cell>
        </row>
        <row r="1687">
          <cell r="A1687">
            <v>8047</v>
          </cell>
        </row>
        <row r="1688">
          <cell r="A1688">
            <v>8048</v>
          </cell>
        </row>
        <row r="1689">
          <cell r="A1689">
            <v>8049</v>
          </cell>
        </row>
        <row r="1690">
          <cell r="A1690">
            <v>8050</v>
          </cell>
        </row>
        <row r="1691">
          <cell r="A1691">
            <v>8051</v>
          </cell>
        </row>
        <row r="1692">
          <cell r="A1692">
            <v>8052</v>
          </cell>
        </row>
        <row r="1693">
          <cell r="A1693">
            <v>8053</v>
          </cell>
        </row>
        <row r="1694">
          <cell r="A1694">
            <v>8054</v>
          </cell>
        </row>
        <row r="1695">
          <cell r="A1695">
            <v>8055</v>
          </cell>
        </row>
        <row r="1696">
          <cell r="A1696">
            <v>8056</v>
          </cell>
        </row>
        <row r="1697">
          <cell r="A1697">
            <v>8057</v>
          </cell>
        </row>
        <row r="1698">
          <cell r="A1698">
            <v>8058</v>
          </cell>
        </row>
        <row r="1699">
          <cell r="A1699">
            <v>8059</v>
          </cell>
        </row>
        <row r="1700">
          <cell r="A1700">
            <v>8060</v>
          </cell>
        </row>
        <row r="1701">
          <cell r="A1701">
            <v>8061</v>
          </cell>
        </row>
        <row r="1702">
          <cell r="A1702">
            <v>8062</v>
          </cell>
        </row>
        <row r="1703">
          <cell r="A1703">
            <v>8063</v>
          </cell>
        </row>
        <row r="1704">
          <cell r="A1704">
            <v>8064</v>
          </cell>
        </row>
        <row r="1705">
          <cell r="A1705">
            <v>8065</v>
          </cell>
        </row>
        <row r="1706">
          <cell r="A1706">
            <v>8066</v>
          </cell>
        </row>
        <row r="1707">
          <cell r="A1707">
            <v>8067</v>
          </cell>
        </row>
        <row r="1708">
          <cell r="A1708">
            <v>8068</v>
          </cell>
        </row>
        <row r="1709">
          <cell r="A1709">
            <v>8069</v>
          </cell>
        </row>
        <row r="1710">
          <cell r="A1710">
            <v>8070</v>
          </cell>
        </row>
        <row r="1711">
          <cell r="A1711">
            <v>8071</v>
          </cell>
        </row>
        <row r="1712">
          <cell r="A1712">
            <v>8072</v>
          </cell>
        </row>
        <row r="1713">
          <cell r="A1713">
            <v>8073</v>
          </cell>
        </row>
        <row r="1714">
          <cell r="A1714">
            <v>8074</v>
          </cell>
        </row>
        <row r="1715">
          <cell r="A1715">
            <v>8075</v>
          </cell>
        </row>
        <row r="1716">
          <cell r="A1716">
            <v>8076</v>
          </cell>
        </row>
        <row r="1717">
          <cell r="A1717">
            <v>8077</v>
          </cell>
        </row>
        <row r="1718">
          <cell r="A1718">
            <v>8078</v>
          </cell>
        </row>
        <row r="1719">
          <cell r="A1719">
            <v>8079</v>
          </cell>
        </row>
        <row r="1720">
          <cell r="A1720">
            <v>8080</v>
          </cell>
        </row>
        <row r="1721">
          <cell r="A1721">
            <v>8081</v>
          </cell>
        </row>
        <row r="1722">
          <cell r="A1722">
            <v>8082</v>
          </cell>
        </row>
        <row r="1723">
          <cell r="A1723">
            <v>8083</v>
          </cell>
        </row>
        <row r="1724">
          <cell r="A1724">
            <v>8084</v>
          </cell>
        </row>
        <row r="1725">
          <cell r="A1725">
            <v>8085</v>
          </cell>
        </row>
        <row r="1726">
          <cell r="A1726">
            <v>8086</v>
          </cell>
        </row>
        <row r="1727">
          <cell r="A1727">
            <v>8087</v>
          </cell>
        </row>
        <row r="1728">
          <cell r="A1728">
            <v>8088</v>
          </cell>
        </row>
        <row r="1729">
          <cell r="A1729">
            <v>8089</v>
          </cell>
        </row>
        <row r="1730">
          <cell r="A1730">
            <v>8090</v>
          </cell>
        </row>
        <row r="1731">
          <cell r="A1731">
            <v>8095</v>
          </cell>
        </row>
        <row r="1732">
          <cell r="A1732">
            <v>8096</v>
          </cell>
        </row>
        <row r="1733">
          <cell r="A1733">
            <v>8097</v>
          </cell>
        </row>
        <row r="1734">
          <cell r="A1734">
            <v>8098</v>
          </cell>
        </row>
        <row r="1735">
          <cell r="A1735">
            <v>8099</v>
          </cell>
        </row>
        <row r="1736">
          <cell r="A1736">
            <v>8100</v>
          </cell>
        </row>
        <row r="1737">
          <cell r="A1737">
            <v>8101</v>
          </cell>
        </row>
        <row r="1738">
          <cell r="A1738">
            <v>8102</v>
          </cell>
        </row>
        <row r="1739">
          <cell r="A1739">
            <v>8103</v>
          </cell>
        </row>
        <row r="1740">
          <cell r="A1740">
            <v>8104</v>
          </cell>
        </row>
        <row r="1741">
          <cell r="A1741">
            <v>8105</v>
          </cell>
        </row>
        <row r="1742">
          <cell r="A1742">
            <v>8106</v>
          </cell>
        </row>
        <row r="1743">
          <cell r="A1743">
            <v>8111</v>
          </cell>
        </row>
        <row r="1744">
          <cell r="A1744">
            <v>8112</v>
          </cell>
        </row>
        <row r="1745">
          <cell r="A1745">
            <v>8113</v>
          </cell>
        </row>
        <row r="1746">
          <cell r="A1746">
            <v>8114</v>
          </cell>
        </row>
        <row r="1747">
          <cell r="A1747">
            <v>8115</v>
          </cell>
        </row>
        <row r="1748">
          <cell r="A1748">
            <v>8116</v>
          </cell>
        </row>
        <row r="1749">
          <cell r="A1749">
            <v>8117</v>
          </cell>
        </row>
        <row r="1750">
          <cell r="A1750">
            <v>8118</v>
          </cell>
        </row>
        <row r="1751">
          <cell r="A1751">
            <v>8119</v>
          </cell>
        </row>
        <row r="1752">
          <cell r="A1752">
            <v>8120</v>
          </cell>
        </row>
        <row r="1753">
          <cell r="A1753">
            <v>8121</v>
          </cell>
        </row>
        <row r="1754">
          <cell r="A1754">
            <v>8122</v>
          </cell>
        </row>
        <row r="1755">
          <cell r="A1755">
            <v>8123</v>
          </cell>
        </row>
        <row r="1756">
          <cell r="A1756">
            <v>8124</v>
          </cell>
        </row>
        <row r="1757">
          <cell r="A1757">
            <v>8125</v>
          </cell>
        </row>
        <row r="1758">
          <cell r="A1758">
            <v>8126</v>
          </cell>
        </row>
        <row r="1759">
          <cell r="A1759">
            <v>8127</v>
          </cell>
        </row>
        <row r="1760">
          <cell r="A1760">
            <v>8128</v>
          </cell>
        </row>
        <row r="1761">
          <cell r="A1761">
            <v>8129</v>
          </cell>
        </row>
        <row r="1762">
          <cell r="A1762">
            <v>8130</v>
          </cell>
        </row>
        <row r="1763">
          <cell r="A1763">
            <v>8131</v>
          </cell>
        </row>
        <row r="1764">
          <cell r="A1764">
            <v>8132</v>
          </cell>
        </row>
        <row r="1765">
          <cell r="A1765">
            <v>8133</v>
          </cell>
        </row>
        <row r="1766">
          <cell r="A1766">
            <v>8134</v>
          </cell>
        </row>
        <row r="1767">
          <cell r="A1767">
            <v>8135</v>
          </cell>
        </row>
        <row r="1768">
          <cell r="A1768">
            <v>8136</v>
          </cell>
        </row>
        <row r="1769">
          <cell r="A1769">
            <v>8137</v>
          </cell>
        </row>
        <row r="1770">
          <cell r="A1770">
            <v>8138</v>
          </cell>
        </row>
        <row r="1771">
          <cell r="A1771">
            <v>9001</v>
          </cell>
        </row>
        <row r="1772">
          <cell r="A1772">
            <v>9002</v>
          </cell>
        </row>
        <row r="1773">
          <cell r="A1773">
            <v>9003</v>
          </cell>
        </row>
        <row r="1774">
          <cell r="A1774">
            <v>9004</v>
          </cell>
        </row>
        <row r="1775">
          <cell r="A1775">
            <v>9005</v>
          </cell>
        </row>
        <row r="1776">
          <cell r="A1776">
            <v>9006</v>
          </cell>
        </row>
        <row r="1777">
          <cell r="A1777">
            <v>9007</v>
          </cell>
        </row>
        <row r="1778">
          <cell r="A1778">
            <v>9008</v>
          </cell>
        </row>
        <row r="1779">
          <cell r="A1779">
            <v>9009</v>
          </cell>
        </row>
        <row r="1780">
          <cell r="A1780">
            <v>9010</v>
          </cell>
        </row>
        <row r="1781">
          <cell r="A1781">
            <v>9011</v>
          </cell>
        </row>
        <row r="1782">
          <cell r="A1782">
            <v>9012</v>
          </cell>
        </row>
        <row r="1783">
          <cell r="A1783">
            <v>10001</v>
          </cell>
        </row>
        <row r="1784">
          <cell r="A1784">
            <v>10002</v>
          </cell>
        </row>
        <row r="1785">
          <cell r="A1785">
            <v>10003</v>
          </cell>
        </row>
        <row r="1786">
          <cell r="A1786">
            <v>10004</v>
          </cell>
        </row>
        <row r="1787">
          <cell r="A1787">
            <v>10005</v>
          </cell>
        </row>
        <row r="1788">
          <cell r="A1788">
            <v>10006</v>
          </cell>
        </row>
        <row r="1789">
          <cell r="A1789">
            <v>10007</v>
          </cell>
        </row>
        <row r="1790">
          <cell r="A1790">
            <v>10008</v>
          </cell>
        </row>
        <row r="1791">
          <cell r="A1791">
            <v>10009</v>
          </cell>
        </row>
        <row r="1792">
          <cell r="A1792">
            <v>10010</v>
          </cell>
        </row>
        <row r="1793">
          <cell r="A1793">
            <v>10011</v>
          </cell>
        </row>
        <row r="1794">
          <cell r="A1794">
            <v>10012</v>
          </cell>
        </row>
        <row r="1795">
          <cell r="A1795">
            <v>10013</v>
          </cell>
        </row>
        <row r="1796">
          <cell r="A1796">
            <v>10014</v>
          </cell>
        </row>
        <row r="1797">
          <cell r="A1797">
            <v>10015</v>
          </cell>
        </row>
        <row r="1798">
          <cell r="A1798">
            <v>10016</v>
          </cell>
        </row>
        <row r="1799">
          <cell r="A1799">
            <v>10017</v>
          </cell>
        </row>
        <row r="1800">
          <cell r="A1800">
            <v>10018</v>
          </cell>
        </row>
        <row r="1801">
          <cell r="A1801">
            <v>10019</v>
          </cell>
        </row>
        <row r="1802">
          <cell r="A1802">
            <v>10020</v>
          </cell>
        </row>
        <row r="1803">
          <cell r="A1803">
            <v>10021</v>
          </cell>
        </row>
        <row r="1804">
          <cell r="A1804">
            <v>10022</v>
          </cell>
        </row>
        <row r="1805">
          <cell r="A1805">
            <v>10023</v>
          </cell>
        </row>
        <row r="1806">
          <cell r="A1806">
            <v>10024</v>
          </cell>
        </row>
        <row r="1807">
          <cell r="A1807">
            <v>10025</v>
          </cell>
        </row>
        <row r="1808">
          <cell r="A1808">
            <v>10026</v>
          </cell>
        </row>
        <row r="1809">
          <cell r="A1809">
            <v>10027</v>
          </cell>
        </row>
        <row r="1810">
          <cell r="A1810">
            <v>10028</v>
          </cell>
        </row>
        <row r="1811">
          <cell r="A1811">
            <v>10029</v>
          </cell>
        </row>
        <row r="1812">
          <cell r="A1812">
            <v>10030</v>
          </cell>
        </row>
        <row r="1813">
          <cell r="A1813">
            <v>10031</v>
          </cell>
        </row>
        <row r="1814">
          <cell r="A1814">
            <v>10032</v>
          </cell>
        </row>
        <row r="1815">
          <cell r="A1815">
            <v>10033</v>
          </cell>
        </row>
        <row r="1816">
          <cell r="A1816">
            <v>10034</v>
          </cell>
        </row>
        <row r="1817">
          <cell r="A1817">
            <v>10035</v>
          </cell>
        </row>
        <row r="1818">
          <cell r="A1818">
            <v>10036</v>
          </cell>
        </row>
        <row r="1819">
          <cell r="A1819">
            <v>10037</v>
          </cell>
        </row>
        <row r="1820">
          <cell r="A1820">
            <v>10038</v>
          </cell>
        </row>
        <row r="1821">
          <cell r="A1821">
            <v>10039</v>
          </cell>
        </row>
        <row r="1822">
          <cell r="A1822">
            <v>10040</v>
          </cell>
        </row>
        <row r="1823">
          <cell r="A1823">
            <v>10041</v>
          </cell>
        </row>
        <row r="1824">
          <cell r="A1824">
            <v>10042</v>
          </cell>
        </row>
        <row r="1825">
          <cell r="A1825">
            <v>10043</v>
          </cell>
        </row>
        <row r="1826">
          <cell r="A1826">
            <v>10044</v>
          </cell>
        </row>
        <row r="1827">
          <cell r="A1827">
            <v>10045</v>
          </cell>
        </row>
        <row r="1828">
          <cell r="A1828">
            <v>10046</v>
          </cell>
        </row>
        <row r="1829">
          <cell r="A1829">
            <v>10047</v>
          </cell>
        </row>
        <row r="1830">
          <cell r="A1830">
            <v>10048</v>
          </cell>
        </row>
        <row r="1831">
          <cell r="A1831">
            <v>10049</v>
          </cell>
        </row>
        <row r="1832">
          <cell r="A1832">
            <v>10050</v>
          </cell>
        </row>
        <row r="1833">
          <cell r="A1833">
            <v>10051</v>
          </cell>
        </row>
        <row r="1834">
          <cell r="A1834">
            <v>10052</v>
          </cell>
        </row>
        <row r="1835">
          <cell r="A1835">
            <v>10053</v>
          </cell>
        </row>
        <row r="1836">
          <cell r="A1836">
            <v>10054</v>
          </cell>
        </row>
        <row r="1837">
          <cell r="A1837">
            <v>10055</v>
          </cell>
        </row>
        <row r="1838">
          <cell r="A1838">
            <v>10056</v>
          </cell>
        </row>
        <row r="1839">
          <cell r="A1839">
            <v>10057</v>
          </cell>
        </row>
        <row r="1840">
          <cell r="A1840">
            <v>10058</v>
          </cell>
        </row>
        <row r="1841">
          <cell r="A1841">
            <v>10059</v>
          </cell>
        </row>
        <row r="1842">
          <cell r="A1842">
            <v>10060</v>
          </cell>
        </row>
        <row r="1843">
          <cell r="A1843">
            <v>10061</v>
          </cell>
        </row>
        <row r="1844">
          <cell r="A1844">
            <v>10062</v>
          </cell>
        </row>
        <row r="1845">
          <cell r="A1845">
            <v>10063</v>
          </cell>
        </row>
        <row r="1846">
          <cell r="A1846">
            <v>10064</v>
          </cell>
        </row>
        <row r="1847">
          <cell r="A1847">
            <v>10065</v>
          </cell>
        </row>
        <row r="1848">
          <cell r="A1848">
            <v>10066</v>
          </cell>
        </row>
        <row r="1849">
          <cell r="A1849">
            <v>10067</v>
          </cell>
        </row>
        <row r="1850">
          <cell r="A1850">
            <v>10068</v>
          </cell>
        </row>
        <row r="1851">
          <cell r="A1851">
            <v>10069</v>
          </cell>
        </row>
        <row r="1852">
          <cell r="A1852">
            <v>10070</v>
          </cell>
        </row>
        <row r="1853">
          <cell r="A1853">
            <v>10071</v>
          </cell>
        </row>
        <row r="1854">
          <cell r="A1854">
            <v>10072</v>
          </cell>
        </row>
        <row r="1855">
          <cell r="A1855">
            <v>10073</v>
          </cell>
        </row>
        <row r="1856">
          <cell r="A1856">
            <v>10074</v>
          </cell>
        </row>
        <row r="1857">
          <cell r="A1857">
            <v>10075</v>
          </cell>
        </row>
        <row r="1858">
          <cell r="A1858">
            <v>10076</v>
          </cell>
        </row>
        <row r="1859">
          <cell r="A1859">
            <v>10077</v>
          </cell>
        </row>
        <row r="1860">
          <cell r="A1860">
            <v>10078</v>
          </cell>
        </row>
        <row r="1861">
          <cell r="A1861">
            <v>10079</v>
          </cell>
        </row>
        <row r="1862">
          <cell r="A1862">
            <v>10080</v>
          </cell>
        </row>
        <row r="1863">
          <cell r="A1863">
            <v>10081</v>
          </cell>
        </row>
        <row r="1864">
          <cell r="A1864">
            <v>10082</v>
          </cell>
        </row>
        <row r="1865">
          <cell r="A1865">
            <v>10083</v>
          </cell>
        </row>
        <row r="1866">
          <cell r="A1866">
            <v>10084</v>
          </cell>
        </row>
        <row r="1867">
          <cell r="A1867">
            <v>10085</v>
          </cell>
        </row>
        <row r="1868">
          <cell r="A1868">
            <v>10086</v>
          </cell>
        </row>
        <row r="1869">
          <cell r="A1869">
            <v>10087</v>
          </cell>
        </row>
        <row r="1870">
          <cell r="A1870">
            <v>10088</v>
          </cell>
        </row>
        <row r="1871">
          <cell r="A1871">
            <v>10089</v>
          </cell>
        </row>
        <row r="1872">
          <cell r="A1872">
            <v>10090</v>
          </cell>
        </row>
        <row r="1873">
          <cell r="A1873">
            <v>10101</v>
          </cell>
        </row>
        <row r="1874">
          <cell r="A1874">
            <v>10102</v>
          </cell>
        </row>
        <row r="1875">
          <cell r="A1875">
            <v>10103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7.vml"/><Relationship Id="rId2" Type="http://schemas.openxmlformats.org/officeDocument/2006/relationships/comments" Target="../comments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8.vml"/><Relationship Id="rId2" Type="http://schemas.openxmlformats.org/officeDocument/2006/relationships/comments" Target="../comments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9.vml"/><Relationship Id="rId2" Type="http://schemas.openxmlformats.org/officeDocument/2006/relationships/comments" Target="../comments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0.vml"/><Relationship Id="rId2" Type="http://schemas.openxmlformats.org/officeDocument/2006/relationships/comments" Target="../comments1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1.vml"/><Relationship Id="rId2" Type="http://schemas.openxmlformats.org/officeDocument/2006/relationships/comments" Target="../comments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25"/>
  <sheetViews>
    <sheetView workbookViewId="0">
      <selection activeCell="B13" sqref="B13"/>
    </sheetView>
  </sheetViews>
  <sheetFormatPr baseColWidth="12" defaultRowHeight="15" x14ac:dyDescent="0.15"/>
  <cols>
    <col min="2" max="2" width="39.83203125" customWidth="1"/>
    <col min="5" max="5" width="44.6640625" customWidth="1"/>
    <col min="6" max="6" width="31.1640625" customWidth="1"/>
  </cols>
  <sheetData>
    <row r="1" spans="1:30" x14ac:dyDescent="0.15">
      <c r="A1" s="36" t="s">
        <v>42</v>
      </c>
      <c r="B1" s="32" t="s">
        <v>34</v>
      </c>
      <c r="C1" s="32" t="s">
        <v>35</v>
      </c>
      <c r="D1" s="32" t="s">
        <v>36</v>
      </c>
      <c r="E1" s="32" t="s">
        <v>37</v>
      </c>
      <c r="F1" s="32" t="s">
        <v>38</v>
      </c>
      <c r="G1" s="32" t="s">
        <v>39</v>
      </c>
      <c r="H1" s="32"/>
      <c r="I1" s="32"/>
      <c r="J1" s="32"/>
      <c r="K1" s="32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</row>
    <row r="2" spans="1:30" x14ac:dyDescent="0.15">
      <c r="A2" s="107" t="s">
        <v>469</v>
      </c>
      <c r="B2" s="64" t="s">
        <v>245</v>
      </c>
      <c r="C2" s="108">
        <v>41003</v>
      </c>
      <c r="D2" s="34" t="s">
        <v>40</v>
      </c>
      <c r="E2" s="33" t="str">
        <f>B2&amp;C2&amp;D2</f>
        <v>score_attack_expanded_floors_41003.tmp</v>
      </c>
      <c r="F2" s="34" t="s">
        <v>195</v>
      </c>
      <c r="G2" s="35" t="s">
        <v>0</v>
      </c>
      <c r="H2" s="35" t="s">
        <v>1</v>
      </c>
      <c r="I2" s="35" t="s">
        <v>12</v>
      </c>
      <c r="J2" s="51" t="s">
        <v>196</v>
      </c>
      <c r="K2" s="51" t="s">
        <v>197</v>
      </c>
      <c r="L2" s="51" t="s">
        <v>199</v>
      </c>
      <c r="M2" s="34" t="s">
        <v>201</v>
      </c>
      <c r="N2" s="34" t="s">
        <v>203</v>
      </c>
      <c r="O2" s="34" t="s">
        <v>205</v>
      </c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</row>
    <row r="3" spans="1:30" x14ac:dyDescent="0.15">
      <c r="A3" s="107" t="s">
        <v>468</v>
      </c>
      <c r="B3" s="64" t="s">
        <v>206</v>
      </c>
      <c r="C3" s="109">
        <f t="shared" ref="C3:C10" si="0">$C$2</f>
        <v>41003</v>
      </c>
      <c r="D3" s="34" t="s">
        <v>40</v>
      </c>
      <c r="E3" s="33" t="str">
        <f>B3&amp;C3&amp;D3</f>
        <v>score_attack_expanded_stages_41003.tmp</v>
      </c>
      <c r="F3" s="34" t="s">
        <v>207</v>
      </c>
      <c r="G3" s="35" t="s">
        <v>0</v>
      </c>
      <c r="H3" s="35" t="s">
        <v>1</v>
      </c>
      <c r="I3" s="20" t="s">
        <v>81</v>
      </c>
      <c r="J3" s="35"/>
      <c r="K3" s="35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</row>
    <row r="4" spans="1:30" x14ac:dyDescent="0.15">
      <c r="A4" s="107" t="s">
        <v>468</v>
      </c>
      <c r="B4" s="64" t="s">
        <v>246</v>
      </c>
      <c r="C4" s="109">
        <f t="shared" si="0"/>
        <v>41003</v>
      </c>
      <c r="D4" s="34" t="s">
        <v>40</v>
      </c>
      <c r="E4" s="33" t="str">
        <f>B4&amp;C4&amp;D4</f>
        <v>score_attack_params_damage_given_41003.tmp</v>
      </c>
      <c r="F4" s="34" t="s">
        <v>208</v>
      </c>
      <c r="G4" s="35" t="s">
        <v>82</v>
      </c>
      <c r="H4" s="35" t="s">
        <v>83</v>
      </c>
      <c r="I4" s="35" t="s">
        <v>84</v>
      </c>
      <c r="J4" s="35" t="s">
        <v>85</v>
      </c>
      <c r="K4" s="35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</row>
    <row r="5" spans="1:30" x14ac:dyDescent="0.15">
      <c r="A5" s="107" t="s">
        <v>468</v>
      </c>
      <c r="B5" s="64" t="s">
        <v>241</v>
      </c>
      <c r="C5" s="109">
        <f t="shared" si="0"/>
        <v>41003</v>
      </c>
      <c r="D5" s="34" t="s">
        <v>40</v>
      </c>
      <c r="E5" s="33" t="str">
        <f t="shared" ref="E5" si="1">B5&amp;C5&amp;D5</f>
        <v>score_attack_params_heal_41003.tmp</v>
      </c>
      <c r="F5" s="34" t="s">
        <v>242</v>
      </c>
      <c r="G5" s="35" t="s">
        <v>82</v>
      </c>
      <c r="H5" s="35" t="s">
        <v>83</v>
      </c>
      <c r="I5" s="35" t="s">
        <v>84</v>
      </c>
      <c r="J5" s="35" t="s">
        <v>85</v>
      </c>
      <c r="K5" s="35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34"/>
      <c r="AC5" s="34"/>
    </row>
    <row r="6" spans="1:30" x14ac:dyDescent="0.15">
      <c r="A6" s="107" t="s">
        <v>468</v>
      </c>
      <c r="B6" s="64" t="s">
        <v>240</v>
      </c>
      <c r="C6" s="109">
        <f t="shared" si="0"/>
        <v>41003</v>
      </c>
      <c r="D6" s="34" t="s">
        <v>40</v>
      </c>
      <c r="E6" s="33" t="str">
        <f t="shared" ref="E6:E7" si="2">B6&amp;C6&amp;D6</f>
        <v>score_attack_stage_evaluations_tmp_41003.tmp</v>
      </c>
      <c r="F6" s="34" t="s">
        <v>209</v>
      </c>
      <c r="G6" s="35" t="s">
        <v>86</v>
      </c>
      <c r="H6" s="35" t="s">
        <v>87</v>
      </c>
      <c r="I6" s="35" t="s">
        <v>88</v>
      </c>
      <c r="J6" s="35" t="s">
        <v>89</v>
      </c>
      <c r="K6" s="35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4"/>
    </row>
    <row r="7" spans="1:30" x14ac:dyDescent="0.15">
      <c r="A7" s="107" t="s">
        <v>468</v>
      </c>
      <c r="B7" s="64" t="s">
        <v>210</v>
      </c>
      <c r="C7" s="109">
        <f t="shared" si="0"/>
        <v>41003</v>
      </c>
      <c r="D7" s="34" t="s">
        <v>40</v>
      </c>
      <c r="E7" s="33" t="str">
        <f t="shared" si="2"/>
        <v>score_attack_stage_evaluations_i18n_41003.tmp</v>
      </c>
      <c r="F7" s="34" t="s">
        <v>209</v>
      </c>
      <c r="G7" s="35" t="s">
        <v>86</v>
      </c>
      <c r="H7" s="63" t="s">
        <v>90</v>
      </c>
      <c r="I7" s="63" t="s">
        <v>91</v>
      </c>
      <c r="J7" s="63" t="s">
        <v>92</v>
      </c>
      <c r="K7" s="35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  <c r="AB7" s="34"/>
      <c r="AC7" s="34"/>
    </row>
    <row r="8" spans="1:30" x14ac:dyDescent="0.15">
      <c r="A8" s="107" t="s">
        <v>468</v>
      </c>
      <c r="B8" s="65" t="s">
        <v>76</v>
      </c>
      <c r="C8" s="109">
        <f t="shared" si="0"/>
        <v>41003</v>
      </c>
      <c r="D8" s="59" t="s">
        <v>41</v>
      </c>
      <c r="E8" s="60" t="str">
        <f>B8&amp;C8&amp;D8</f>
        <v>gifts_tmp_41003.tmp</v>
      </c>
      <c r="F8" s="37" t="s">
        <v>75</v>
      </c>
      <c r="G8" s="61" t="s">
        <v>77</v>
      </c>
      <c r="H8" s="61" t="s">
        <v>67</v>
      </c>
      <c r="I8" s="61" t="s">
        <v>68</v>
      </c>
      <c r="J8" s="61" t="s">
        <v>68</v>
      </c>
      <c r="K8" s="61" t="s">
        <v>68</v>
      </c>
      <c r="L8" s="61" t="s">
        <v>69</v>
      </c>
      <c r="M8" s="61" t="s">
        <v>69</v>
      </c>
      <c r="N8" s="61" t="s">
        <v>69</v>
      </c>
      <c r="O8" s="66" t="s">
        <v>25</v>
      </c>
      <c r="P8" s="66" t="s">
        <v>27</v>
      </c>
      <c r="Q8" s="66" t="s">
        <v>24</v>
      </c>
      <c r="R8" s="66" t="s">
        <v>98</v>
      </c>
      <c r="S8" s="66" t="s">
        <v>26</v>
      </c>
      <c r="T8" s="66" t="s">
        <v>3</v>
      </c>
      <c r="U8" s="66" t="s">
        <v>23</v>
      </c>
    </row>
    <row r="9" spans="1:30" x14ac:dyDescent="0.15">
      <c r="A9" s="107" t="s">
        <v>468</v>
      </c>
      <c r="B9" s="65" t="s">
        <v>78</v>
      </c>
      <c r="C9" s="109">
        <f t="shared" si="0"/>
        <v>41003</v>
      </c>
      <c r="D9" s="59" t="s">
        <v>41</v>
      </c>
      <c r="E9" s="60" t="str">
        <f>B9&amp;C9&amp;D9</f>
        <v>gifts_i18n_41003.tmp</v>
      </c>
      <c r="F9" s="37" t="s">
        <v>75</v>
      </c>
      <c r="G9" s="61" t="s">
        <v>77</v>
      </c>
      <c r="H9" s="61" t="s">
        <v>70</v>
      </c>
      <c r="I9" s="61" t="s">
        <v>79</v>
      </c>
      <c r="J9" s="61" t="s">
        <v>80</v>
      </c>
      <c r="K9" s="61" t="s">
        <v>73</v>
      </c>
      <c r="L9" s="61"/>
      <c r="M9" s="61"/>
      <c r="N9" s="61"/>
      <c r="O9" s="59"/>
    </row>
    <row r="10" spans="1:30" x14ac:dyDescent="0.15">
      <c r="A10" s="107" t="s">
        <v>468</v>
      </c>
      <c r="B10" s="67" t="s">
        <v>244</v>
      </c>
      <c r="C10" s="109">
        <f t="shared" si="0"/>
        <v>41003</v>
      </c>
      <c r="D10" s="70" t="s">
        <v>117</v>
      </c>
      <c r="E10" s="60" t="str">
        <f>B10&amp;C10&amp;D10</f>
        <v>score_attack_stage_evaluation_gifts_41003.tmp</v>
      </c>
      <c r="F10" s="68" t="s">
        <v>212</v>
      </c>
      <c r="G10" s="35" t="s">
        <v>101</v>
      </c>
      <c r="H10" s="35" t="s">
        <v>102</v>
      </c>
      <c r="I10" s="63" t="s">
        <v>103</v>
      </c>
      <c r="J10" s="54" t="s">
        <v>104</v>
      </c>
    </row>
    <row r="11" spans="1:30" x14ac:dyDescent="0.15">
      <c r="A11" s="107" t="s">
        <v>468</v>
      </c>
      <c r="B11" s="67" t="s">
        <v>105</v>
      </c>
      <c r="C11" s="110" t="str">
        <f>REPLACE($C$2,3,0,"0")</f>
        <v>410003</v>
      </c>
      <c r="D11" s="34" t="s">
        <v>106</v>
      </c>
      <c r="E11" s="60" t="str">
        <f t="shared" ref="E11:E12" si="3">B11&amp;C11&amp;D11</f>
        <v>gifts_tmp_410003.tmp</v>
      </c>
      <c r="F11" s="68" t="s">
        <v>239</v>
      </c>
      <c r="G11" s="69" t="s">
        <v>107</v>
      </c>
      <c r="H11" s="69" t="s">
        <v>108</v>
      </c>
      <c r="I11" s="69" t="s">
        <v>109</v>
      </c>
      <c r="J11" s="69" t="s">
        <v>109</v>
      </c>
      <c r="K11" s="69" t="s">
        <v>109</v>
      </c>
      <c r="L11" s="69" t="s">
        <v>110</v>
      </c>
      <c r="M11" s="69" t="s">
        <v>110</v>
      </c>
      <c r="N11" s="69" t="s">
        <v>110</v>
      </c>
      <c r="O11" s="66" t="s">
        <v>25</v>
      </c>
      <c r="P11" s="66" t="s">
        <v>27</v>
      </c>
      <c r="Q11" s="66" t="s">
        <v>24</v>
      </c>
      <c r="R11" s="66" t="s">
        <v>98</v>
      </c>
      <c r="S11" s="66" t="s">
        <v>26</v>
      </c>
      <c r="T11" s="66" t="s">
        <v>3</v>
      </c>
      <c r="U11" s="66" t="s">
        <v>23</v>
      </c>
    </row>
    <row r="12" spans="1:30" x14ac:dyDescent="0.15">
      <c r="A12" s="107" t="s">
        <v>468</v>
      </c>
      <c r="B12" s="67" t="s">
        <v>111</v>
      </c>
      <c r="C12" s="110" t="str">
        <f>REPLACE($C$2,3,0,"0")</f>
        <v>410003</v>
      </c>
      <c r="D12" s="34" t="s">
        <v>112</v>
      </c>
      <c r="E12" s="60" t="str">
        <f t="shared" si="3"/>
        <v>gifts_i18n_410003.tmp</v>
      </c>
      <c r="F12" s="68" t="s">
        <v>211</v>
      </c>
      <c r="G12" s="69" t="s">
        <v>107</v>
      </c>
      <c r="H12" s="69" t="s">
        <v>113</v>
      </c>
      <c r="I12" s="69" t="s">
        <v>114</v>
      </c>
      <c r="J12" s="69" t="s">
        <v>115</v>
      </c>
      <c r="K12" s="69" t="s">
        <v>116</v>
      </c>
      <c r="L12" s="69"/>
      <c r="M12" s="69"/>
      <c r="N12" s="69"/>
      <c r="O12" s="59"/>
    </row>
    <row r="13" spans="1:30" x14ac:dyDescent="0.15">
      <c r="A13" s="107" t="s">
        <v>468</v>
      </c>
      <c r="B13" s="67" t="s">
        <v>221</v>
      </c>
      <c r="C13" s="109">
        <f>$C$2</f>
        <v>41003</v>
      </c>
      <c r="D13" s="34" t="s">
        <v>40</v>
      </c>
      <c r="E13" s="60" t="str">
        <f>B13&amp;C13&amp;D13</f>
        <v>score_attack_unit_bonus_conditions_41003.tmp</v>
      </c>
      <c r="F13" s="68" t="s">
        <v>220</v>
      </c>
      <c r="G13" s="69" t="s">
        <v>213</v>
      </c>
      <c r="H13" s="69" t="s">
        <v>0</v>
      </c>
      <c r="I13" s="69" t="s">
        <v>1</v>
      </c>
      <c r="J13" s="69" t="s">
        <v>214</v>
      </c>
      <c r="K13" s="69" t="s">
        <v>215</v>
      </c>
      <c r="L13" s="69" t="s">
        <v>216</v>
      </c>
      <c r="M13" s="69" t="s">
        <v>217</v>
      </c>
      <c r="N13" s="69" t="s">
        <v>218</v>
      </c>
      <c r="O13" s="59" t="s">
        <v>219</v>
      </c>
    </row>
    <row r="14" spans="1:30" x14ac:dyDescent="0.15">
      <c r="A14" s="148" t="s">
        <v>468</v>
      </c>
      <c r="B14" s="128" t="s">
        <v>248</v>
      </c>
      <c r="C14" s="127" t="str">
        <f>C$2&amp;"_Score"</f>
        <v>41003_Score</v>
      </c>
      <c r="D14" s="34" t="s">
        <v>249</v>
      </c>
      <c r="E14" s="33" t="str">
        <f>B14&amp;C14&amp;D14</f>
        <v>floors_41003_Score.tmp</v>
      </c>
      <c r="F14" s="34" t="s">
        <v>250</v>
      </c>
      <c r="G14" s="35" t="s">
        <v>0</v>
      </c>
      <c r="H14" s="35" t="s">
        <v>1</v>
      </c>
      <c r="I14" s="35" t="s">
        <v>12</v>
      </c>
      <c r="J14" s="35" t="s">
        <v>13</v>
      </c>
      <c r="K14" s="35" t="s">
        <v>14</v>
      </c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</row>
    <row r="15" spans="1:30" x14ac:dyDescent="0.15">
      <c r="A15" s="148" t="s">
        <v>468</v>
      </c>
      <c r="B15" s="128" t="s">
        <v>251</v>
      </c>
      <c r="C15" s="127" t="str">
        <f>C$2&amp;"_Score"</f>
        <v>41003_Score</v>
      </c>
      <c r="D15" s="34" t="s">
        <v>252</v>
      </c>
      <c r="E15" s="33" t="str">
        <f>B15&amp;C15&amp;D15</f>
        <v>enemy_habitats_41003_Score.tmp</v>
      </c>
      <c r="F15" s="34" t="s">
        <v>253</v>
      </c>
      <c r="G15" s="35" t="s">
        <v>0</v>
      </c>
      <c r="H15" s="35" t="s">
        <v>1</v>
      </c>
      <c r="I15" s="35" t="s">
        <v>12</v>
      </c>
      <c r="J15" s="35" t="s">
        <v>2</v>
      </c>
      <c r="K15" s="35" t="s">
        <v>3</v>
      </c>
      <c r="L15" s="35" t="s">
        <v>254</v>
      </c>
      <c r="M15" s="35" t="s">
        <v>255</v>
      </c>
      <c r="N15" s="35" t="s">
        <v>256</v>
      </c>
      <c r="O15" s="35" t="s">
        <v>257</v>
      </c>
      <c r="P15" s="35" t="s">
        <v>4</v>
      </c>
      <c r="Q15" s="35" t="s">
        <v>5</v>
      </c>
      <c r="R15" s="35" t="s">
        <v>6</v>
      </c>
      <c r="S15" s="35" t="s">
        <v>7</v>
      </c>
      <c r="T15" s="35" t="s">
        <v>8</v>
      </c>
      <c r="U15" s="35" t="s">
        <v>9</v>
      </c>
      <c r="V15" s="35" t="s">
        <v>10</v>
      </c>
      <c r="W15" s="35" t="s">
        <v>11</v>
      </c>
      <c r="X15" s="35" t="s">
        <v>23</v>
      </c>
      <c r="Y15" s="35" t="s">
        <v>24</v>
      </c>
      <c r="Z15" s="35" t="s">
        <v>25</v>
      </c>
      <c r="AA15" s="35" t="s">
        <v>26</v>
      </c>
      <c r="AB15" s="35" t="s">
        <v>27</v>
      </c>
      <c r="AC15" s="35" t="s">
        <v>258</v>
      </c>
      <c r="AD15" s="35" t="s">
        <v>259</v>
      </c>
    </row>
    <row r="16" spans="1:30" x14ac:dyDescent="0.15">
      <c r="A16" s="148" t="s">
        <v>468</v>
      </c>
      <c r="B16" s="128" t="s">
        <v>260</v>
      </c>
      <c r="C16" s="127" t="str">
        <f>C$2&amp;"_Score"</f>
        <v>41003_Score</v>
      </c>
      <c r="D16" s="34" t="s">
        <v>249</v>
      </c>
      <c r="E16" s="33" t="str">
        <f>B16&amp;C16&amp;D16</f>
        <v>enemy_habitat_S_41003_Score.tmp</v>
      </c>
      <c r="F16" s="34" t="s">
        <v>261</v>
      </c>
      <c r="G16" s="35" t="s">
        <v>0</v>
      </c>
      <c r="H16" s="35" t="s">
        <v>1</v>
      </c>
      <c r="I16" s="35" t="s">
        <v>12</v>
      </c>
      <c r="J16" s="35" t="s">
        <v>262</v>
      </c>
      <c r="K16" s="35" t="s">
        <v>263</v>
      </c>
      <c r="L16" s="35" t="s">
        <v>264</v>
      </c>
      <c r="M16" s="35" t="s">
        <v>265</v>
      </c>
      <c r="N16" s="35" t="s">
        <v>266</v>
      </c>
      <c r="O16" s="35" t="s">
        <v>267</v>
      </c>
      <c r="P16" s="35" t="s">
        <v>268</v>
      </c>
      <c r="Q16" s="35" t="s">
        <v>269</v>
      </c>
      <c r="R16" s="35" t="s">
        <v>270</v>
      </c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</row>
    <row r="17" spans="1:30" x14ac:dyDescent="0.15">
      <c r="A17" s="133" t="s">
        <v>247</v>
      </c>
      <c r="B17" s="128" t="s">
        <v>271</v>
      </c>
      <c r="C17" s="127">
        <f t="shared" ref="C17:C25" si="4">C$2</f>
        <v>41003</v>
      </c>
      <c r="D17" s="34" t="s">
        <v>272</v>
      </c>
      <c r="E17" s="33" t="str">
        <f>B17&amp;C17&amp;D17</f>
        <v>enemy_skill_sets_41003.tmp</v>
      </c>
      <c r="F17" s="34" t="s">
        <v>273</v>
      </c>
      <c r="G17" s="112" t="s">
        <v>257</v>
      </c>
      <c r="H17" s="112" t="s">
        <v>274</v>
      </c>
      <c r="I17" s="112" t="s">
        <v>275</v>
      </c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</row>
    <row r="18" spans="1:30" x14ac:dyDescent="0.15">
      <c r="A18" s="133" t="s">
        <v>247</v>
      </c>
      <c r="B18" s="128" t="s">
        <v>276</v>
      </c>
      <c r="C18" s="127">
        <f t="shared" si="4"/>
        <v>41003</v>
      </c>
      <c r="D18" s="34" t="s">
        <v>277</v>
      </c>
      <c r="E18" s="33" t="str">
        <f t="shared" ref="E18:E25" si="5">B18&amp;C18&amp;D18</f>
        <v>enemy_skills_tmp_41003.tmp</v>
      </c>
      <c r="F18" s="34" t="s">
        <v>278</v>
      </c>
      <c r="G18" s="35" t="s">
        <v>31</v>
      </c>
      <c r="H18" s="35" t="s">
        <v>279</v>
      </c>
      <c r="I18" s="35" t="s">
        <v>32</v>
      </c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</row>
    <row r="19" spans="1:30" x14ac:dyDescent="0.15">
      <c r="A19" s="133" t="s">
        <v>247</v>
      </c>
      <c r="B19" s="128" t="s">
        <v>280</v>
      </c>
      <c r="C19" s="127">
        <f t="shared" si="4"/>
        <v>41003</v>
      </c>
      <c r="D19" s="34" t="s">
        <v>281</v>
      </c>
      <c r="E19" s="33" t="str">
        <f>B19&amp;C19&amp;D19</f>
        <v>enemy_skills_i18n_41003.tmp</v>
      </c>
      <c r="F19" s="34" t="s">
        <v>282</v>
      </c>
      <c r="G19" s="35" t="s">
        <v>31</v>
      </c>
      <c r="H19" s="35" t="s">
        <v>283</v>
      </c>
      <c r="I19" s="35" t="s">
        <v>284</v>
      </c>
      <c r="J19" s="35" t="s">
        <v>285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</row>
    <row r="20" spans="1:30" x14ac:dyDescent="0.15">
      <c r="A20" s="133" t="s">
        <v>247</v>
      </c>
      <c r="B20" s="128" t="s">
        <v>286</v>
      </c>
      <c r="C20" s="127">
        <f t="shared" si="4"/>
        <v>41003</v>
      </c>
      <c r="D20" s="34" t="s">
        <v>281</v>
      </c>
      <c r="E20" s="33" t="str">
        <f t="shared" si="5"/>
        <v>enemy_skill_triggers_41003.tmp</v>
      </c>
      <c r="F20" s="34" t="s">
        <v>287</v>
      </c>
      <c r="G20" s="35" t="s">
        <v>275</v>
      </c>
      <c r="H20" s="35" t="s">
        <v>288</v>
      </c>
      <c r="I20" s="35" t="s">
        <v>289</v>
      </c>
      <c r="J20" s="35" t="s">
        <v>290</v>
      </c>
      <c r="K20" s="35" t="s">
        <v>291</v>
      </c>
      <c r="L20" s="35" t="s">
        <v>292</v>
      </c>
      <c r="M20" s="35" t="s">
        <v>293</v>
      </c>
      <c r="N20" s="35" t="s">
        <v>294</v>
      </c>
      <c r="O20" s="35" t="s">
        <v>295</v>
      </c>
      <c r="P20" s="35" t="s">
        <v>296</v>
      </c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</row>
    <row r="21" spans="1:30" x14ac:dyDescent="0.15">
      <c r="A21" s="133" t="s">
        <v>247</v>
      </c>
      <c r="B21" s="129" t="s">
        <v>297</v>
      </c>
      <c r="C21" s="127">
        <f t="shared" si="4"/>
        <v>41003</v>
      </c>
      <c r="D21" s="37" t="s">
        <v>298</v>
      </c>
      <c r="E21" s="113" t="str">
        <f t="shared" si="5"/>
        <v>stage_bug_bonuses_41003.tmp</v>
      </c>
      <c r="F21" s="37" t="s">
        <v>299</v>
      </c>
      <c r="G21" s="114" t="s">
        <v>300</v>
      </c>
      <c r="H21" s="114" t="s">
        <v>301</v>
      </c>
      <c r="I21" s="114" t="s">
        <v>302</v>
      </c>
      <c r="J21" s="115" t="s">
        <v>303</v>
      </c>
      <c r="K21" s="114" t="s">
        <v>304</v>
      </c>
      <c r="L21" s="114" t="s">
        <v>305</v>
      </c>
      <c r="M21" s="114" t="s">
        <v>306</v>
      </c>
      <c r="N21" s="114" t="s">
        <v>265</v>
      </c>
      <c r="O21" s="114" t="s">
        <v>307</v>
      </c>
      <c r="P21" s="114" t="s">
        <v>308</v>
      </c>
      <c r="Q21" s="114" t="s">
        <v>309</v>
      </c>
      <c r="R21" s="114" t="s">
        <v>310</v>
      </c>
      <c r="S21" s="114" t="s">
        <v>311</v>
      </c>
      <c r="T21" s="114" t="s">
        <v>312</v>
      </c>
      <c r="U21" s="114" t="s">
        <v>313</v>
      </c>
      <c r="V21" s="114" t="s">
        <v>314</v>
      </c>
      <c r="W21" s="114" t="s">
        <v>315</v>
      </c>
      <c r="X21" s="34"/>
      <c r="Y21" s="34"/>
      <c r="Z21" s="34"/>
      <c r="AA21" s="34"/>
      <c r="AB21" s="34"/>
      <c r="AC21" s="34"/>
      <c r="AD21" s="34"/>
    </row>
    <row r="22" spans="1:30" x14ac:dyDescent="0.15">
      <c r="A22" s="133" t="s">
        <v>247</v>
      </c>
      <c r="B22" s="129" t="s">
        <v>316</v>
      </c>
      <c r="C22" s="127">
        <f>C$2</f>
        <v>41003</v>
      </c>
      <c r="D22" s="37" t="s">
        <v>298</v>
      </c>
      <c r="E22" s="113" t="str">
        <f t="shared" si="5"/>
        <v>stage_hints_data_c_41003.tmp</v>
      </c>
      <c r="F22" s="37" t="s">
        <v>317</v>
      </c>
      <c r="G22" s="39" t="s">
        <v>300</v>
      </c>
      <c r="H22" s="39" t="s">
        <v>301</v>
      </c>
      <c r="I22" s="116" t="s">
        <v>318</v>
      </c>
      <c r="J22" s="115" t="s">
        <v>319</v>
      </c>
      <c r="K22" s="115" t="s">
        <v>320</v>
      </c>
      <c r="L22" s="117"/>
      <c r="M22" s="117"/>
      <c r="N22" s="117"/>
      <c r="O22" s="117"/>
      <c r="P22" s="117"/>
      <c r="Q22" s="117"/>
      <c r="R22" s="117"/>
      <c r="S22" s="117"/>
      <c r="T22" s="117"/>
      <c r="U22" s="117"/>
      <c r="V22" s="117"/>
      <c r="W22" s="117"/>
      <c r="X22" s="117"/>
      <c r="Y22" s="117"/>
      <c r="Z22" s="117"/>
      <c r="AA22" s="117"/>
      <c r="AB22" s="117"/>
      <c r="AC22" s="117"/>
      <c r="AD22" s="117"/>
    </row>
    <row r="23" spans="1:30" x14ac:dyDescent="0.15">
      <c r="A23" s="133" t="s">
        <v>247</v>
      </c>
      <c r="B23" s="129" t="s">
        <v>321</v>
      </c>
      <c r="C23" s="127">
        <f t="shared" si="4"/>
        <v>41003</v>
      </c>
      <c r="D23" s="37" t="s">
        <v>298</v>
      </c>
      <c r="E23" s="113" t="str">
        <f t="shared" si="5"/>
        <v>stage_hints_data_f_41003.tmp</v>
      </c>
      <c r="F23" s="37" t="s">
        <v>322</v>
      </c>
      <c r="G23" s="39" t="s">
        <v>300</v>
      </c>
      <c r="H23" s="39" t="s">
        <v>301</v>
      </c>
      <c r="I23" s="116" t="s">
        <v>318</v>
      </c>
      <c r="J23" s="115" t="s">
        <v>319</v>
      </c>
      <c r="K23" s="115" t="s">
        <v>320</v>
      </c>
      <c r="L23" s="117"/>
      <c r="M23" s="117"/>
      <c r="N23" s="117"/>
      <c r="O23" s="117"/>
      <c r="P23" s="117"/>
      <c r="Q23" s="117"/>
      <c r="R23" s="117"/>
      <c r="S23" s="117"/>
      <c r="T23" s="117"/>
      <c r="U23" s="117"/>
      <c r="V23" s="117"/>
      <c r="W23" s="117"/>
      <c r="X23" s="117"/>
      <c r="Y23" s="117"/>
      <c r="Z23" s="117"/>
      <c r="AA23" s="117"/>
      <c r="AB23" s="117"/>
      <c r="AC23" s="117"/>
      <c r="AD23" s="117"/>
    </row>
    <row r="24" spans="1:30" x14ac:dyDescent="0.15">
      <c r="A24" s="133" t="s">
        <v>247</v>
      </c>
      <c r="B24" s="129" t="s">
        <v>323</v>
      </c>
      <c r="C24" s="127">
        <f t="shared" si="4"/>
        <v>41003</v>
      </c>
      <c r="D24" s="37" t="s">
        <v>298</v>
      </c>
      <c r="E24" s="113" t="str">
        <f t="shared" si="5"/>
        <v>stage_hints_i18n_41003.tmp</v>
      </c>
      <c r="F24" s="37" t="s">
        <v>322</v>
      </c>
      <c r="G24" s="116" t="s">
        <v>318</v>
      </c>
      <c r="H24" s="118" t="s">
        <v>324</v>
      </c>
      <c r="I24" s="39" t="s">
        <v>325</v>
      </c>
      <c r="J24" s="119" t="s">
        <v>326</v>
      </c>
      <c r="K24" s="115" t="s">
        <v>327</v>
      </c>
      <c r="L24" s="117"/>
      <c r="M24" s="117"/>
      <c r="N24" s="117"/>
      <c r="O24" s="117"/>
      <c r="P24" s="117"/>
      <c r="Q24" s="117"/>
      <c r="R24" s="117"/>
      <c r="S24" s="117"/>
      <c r="T24" s="117"/>
      <c r="U24" s="117"/>
      <c r="V24" s="117"/>
      <c r="W24" s="117"/>
      <c r="X24" s="117"/>
      <c r="Y24" s="117"/>
      <c r="Z24" s="117"/>
      <c r="AA24" s="117"/>
      <c r="AB24" s="117"/>
      <c r="AC24" s="117"/>
      <c r="AD24" s="117"/>
    </row>
    <row r="25" spans="1:30" x14ac:dyDescent="0.15">
      <c r="A25" s="133" t="s">
        <v>247</v>
      </c>
      <c r="B25" s="129" t="s">
        <v>328</v>
      </c>
      <c r="C25" s="127">
        <f t="shared" si="4"/>
        <v>41003</v>
      </c>
      <c r="D25" s="37" t="s">
        <v>281</v>
      </c>
      <c r="E25" s="113" t="str">
        <f t="shared" si="5"/>
        <v>stage_bonuses_41003.tmp</v>
      </c>
      <c r="F25" s="37" t="s">
        <v>329</v>
      </c>
      <c r="G25" s="39" t="s">
        <v>330</v>
      </c>
      <c r="H25" s="39" t="s">
        <v>331</v>
      </c>
      <c r="I25" s="39" t="s">
        <v>332</v>
      </c>
      <c r="J25" s="39" t="s">
        <v>333</v>
      </c>
      <c r="K25" s="39" t="s">
        <v>334</v>
      </c>
      <c r="L25" s="39" t="s">
        <v>335</v>
      </c>
      <c r="M25" s="39" t="s">
        <v>336</v>
      </c>
      <c r="N25" s="39" t="s">
        <v>337</v>
      </c>
      <c r="O25" s="39" t="s">
        <v>338</v>
      </c>
      <c r="P25" s="39" t="s">
        <v>339</v>
      </c>
      <c r="Q25" s="39" t="s">
        <v>340</v>
      </c>
      <c r="R25" s="39" t="s">
        <v>341</v>
      </c>
      <c r="S25" s="39" t="s">
        <v>342</v>
      </c>
      <c r="T25" s="39" t="s">
        <v>343</v>
      </c>
      <c r="U25" s="39" t="s">
        <v>344</v>
      </c>
      <c r="V25" s="39" t="s">
        <v>345</v>
      </c>
      <c r="W25" s="39" t="s">
        <v>346</v>
      </c>
      <c r="X25" s="39" t="s">
        <v>347</v>
      </c>
      <c r="Y25" s="117"/>
      <c r="Z25" s="117"/>
      <c r="AA25" s="117"/>
      <c r="AB25" s="117"/>
      <c r="AC25" s="117"/>
      <c r="AD25" s="117"/>
    </row>
  </sheetData>
  <phoneticPr fontId="11"/>
  <dataValidations count="1">
    <dataValidation type="list" allowBlank="1" showInputMessage="1" showErrorMessage="1" sqref="A2:A25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FF0000"/>
    <outlinePr summaryBelow="0" summaryRight="0"/>
  </sheetPr>
  <dimension ref="A1:Q7"/>
  <sheetViews>
    <sheetView showGridLines="0" tabSelected="1" workbookViewId="0">
      <pane ySplit="1" topLeftCell="A2" activePane="bottomLeft" state="frozen"/>
      <selection activeCell="V2" sqref="V2:X34"/>
      <selection pane="bottomLeft" activeCell="N4" sqref="N4"/>
    </sheetView>
  </sheetViews>
  <sheetFormatPr baseColWidth="12" defaultColWidth="13" defaultRowHeight="21" customHeight="1" outlineLevelCol="1" x14ac:dyDescent="0.15"/>
  <cols>
    <col min="1" max="1" width="8.83203125" style="13" bestFit="1" customWidth="1"/>
    <col min="2" max="2" width="7.6640625" style="13" bestFit="1" customWidth="1"/>
    <col min="3" max="3" width="7.1640625" style="3" bestFit="1" customWidth="1" collapsed="1"/>
    <col min="4" max="5" width="10.33203125" style="3" hidden="1" customWidth="1" outlineLevel="1"/>
    <col min="6" max="6" width="7" style="3" bestFit="1" customWidth="1" collapsed="1"/>
    <col min="7" max="7" width="8.83203125" style="13" hidden="1" customWidth="1" outlineLevel="1"/>
    <col min="8" max="8" width="27.1640625" style="3" hidden="1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2" width="18.83203125" style="3" bestFit="1" customWidth="1"/>
    <col min="13" max="13" width="22" style="3" bestFit="1" customWidth="1"/>
    <col min="14" max="14" width="17" style="3" bestFit="1" customWidth="1"/>
    <col min="15" max="15" width="13" style="3"/>
    <col min="16" max="16" width="18" style="3" customWidth="1"/>
    <col min="17" max="16384" width="13" style="3"/>
  </cols>
  <sheetData>
    <row r="1" spans="1:17" ht="21" customHeight="1" x14ac:dyDescent="0.15">
      <c r="A1" s="134" t="s">
        <v>18</v>
      </c>
      <c r="B1" s="134" t="s">
        <v>22</v>
      </c>
      <c r="C1" s="120" t="s">
        <v>0</v>
      </c>
      <c r="D1" s="10" t="s">
        <v>16</v>
      </c>
      <c r="E1" s="10" t="s">
        <v>20</v>
      </c>
      <c r="F1" s="120" t="s">
        <v>1</v>
      </c>
      <c r="G1" s="15" t="s">
        <v>19</v>
      </c>
      <c r="H1" s="10" t="s">
        <v>21</v>
      </c>
      <c r="I1" s="120" t="s">
        <v>12</v>
      </c>
      <c r="J1" s="135" t="s">
        <v>13</v>
      </c>
      <c r="K1" s="135" t="s">
        <v>14</v>
      </c>
      <c r="L1" s="51" t="s">
        <v>196</v>
      </c>
      <c r="M1" s="51" t="s">
        <v>197</v>
      </c>
      <c r="N1" s="51" t="s">
        <v>198</v>
      </c>
      <c r="O1" s="51" t="s">
        <v>200</v>
      </c>
      <c r="P1" s="51" t="s">
        <v>202</v>
      </c>
      <c r="Q1" s="51" t="s">
        <v>204</v>
      </c>
    </row>
    <row r="2" spans="1:17" ht="21" customHeight="1" x14ac:dyDescent="0.15">
      <c r="A2" s="134" t="str">
        <f>G2&amp;"-"&amp;I2</f>
        <v>41003_4-1</v>
      </c>
      <c r="B2" s="134" t="str">
        <f>IF(COUNTIF(enemy_habitats!$H:$H,A2),"OK","NG")</f>
        <v>OK</v>
      </c>
      <c r="C2" s="106">
        <f>output!C2</f>
        <v>41003</v>
      </c>
      <c r="D2" s="12" t="str">
        <f ca="1">VLOOKUP($C2,OFFSET([2]quests!$A$1,0,0,COUNTA([2]quests!$A:$A),MATCH(D$1,[2]quests!$1:$1,0)-MATCH($C$1,[2]quests!$1:$1,0)+1),MATCH(D$1,[2]quests!$1:$1,0)-MATCH($C$1,[2]quests!$1:$1,0)+1,FALSE)</f>
        <v>ジャンヌ襲来！</v>
      </c>
      <c r="E2" s="12" t="str">
        <f ca="1">VLOOKUP($C2,OFFSET([2]quests!$A$1,0,0,COUNTA([2]quests!$A:$A),MATCH(E$1,[2]quests!$1:$1,0)-MATCH($C$1,[2]quests!$1:$1,0)+1),MATCH(E$1,[2]quests!$1:$1,0)-MATCH($C$1,[2]quests!$1:$1,0)+1,FALSE)</f>
        <v>降臨1</v>
      </c>
      <c r="F2" s="78">
        <v>4</v>
      </c>
      <c r="G2" s="15" t="str">
        <f>C2&amp;"_"&amp;F2</f>
        <v>41003_4</v>
      </c>
      <c r="H2" s="10" t="str">
        <f ca="1">VLOOKUP($G2,OFFSET([2]stages!$A$1,0,0,COUNTA([2]stages!$A:$A),MATCH(H$1,[2]stages!$2:$2,0)-MATCH($G$1,[2]stages!$2:$2,0)+1),MATCH(H$1,[2]stages!$2:$2,0)-MATCH($G$1,[2]stages!$2:$2,0)+1,FALSE)</f>
        <v>【スコアアタック】ジャンヌ襲来</v>
      </c>
      <c r="I2" s="78">
        <v>1</v>
      </c>
      <c r="J2" s="136">
        <v>60</v>
      </c>
      <c r="K2" s="136">
        <v>60</v>
      </c>
      <c r="L2" s="95">
        <v>4100311</v>
      </c>
      <c r="M2" s="95">
        <v>4100321</v>
      </c>
      <c r="N2" s="38">
        <v>9</v>
      </c>
      <c r="O2" s="38">
        <v>-100000</v>
      </c>
      <c r="P2" s="38">
        <v>700000</v>
      </c>
      <c r="Q2" s="38">
        <v>450000</v>
      </c>
    </row>
    <row r="3" spans="1:17" ht="21" customHeight="1" x14ac:dyDescent="0.15">
      <c r="A3" s="134" t="str">
        <f t="shared" ref="A3:A4" si="0">G3&amp;"-"&amp;I3</f>
        <v>41003_4-2</v>
      </c>
      <c r="B3" s="134" t="str">
        <f>IF(COUNTIF(enemy_habitats!$H:$H,A3),"OK","NG")</f>
        <v>OK</v>
      </c>
      <c r="C3" s="106">
        <f>$C$2</f>
        <v>41003</v>
      </c>
      <c r="D3" s="12" t="str">
        <f ca="1">VLOOKUP($C3,OFFSET([2]quests!$A$1,0,0,COUNTA([2]quests!$A:$A),MATCH(D$1,[2]quests!$1:$1,0)-MATCH($C$1,[2]quests!$1:$1,0)+1),MATCH(D$1,[2]quests!$1:$1,0)-MATCH($C$1,[2]quests!$1:$1,0)+1,FALSE)</f>
        <v>ジャンヌ襲来！</v>
      </c>
      <c r="E3" s="12" t="str">
        <f ca="1">VLOOKUP($C3,OFFSET([2]quests!$A$1,0,0,COUNTA([2]quests!$A:$A),MATCH(E$1,[2]quests!$1:$1,0)-MATCH($C$1,[2]quests!$1:$1,0)+1),MATCH(E$1,[2]quests!$1:$1,0)-MATCH($C$1,[2]quests!$1:$1,0)+1,FALSE)</f>
        <v>降臨1</v>
      </c>
      <c r="F3" s="78">
        <v>4</v>
      </c>
      <c r="G3" s="15" t="str">
        <f t="shared" ref="G3:G4" si="1">C3&amp;"_"&amp;F3</f>
        <v>41003_4</v>
      </c>
      <c r="H3" s="10" t="str">
        <f ca="1">VLOOKUP($G3,OFFSET([2]stages!$A$1,0,0,COUNTA([2]stages!$A:$A),MATCH(H$1,[2]stages!$2:$2,0)-MATCH($G$1,[2]stages!$2:$2,0)+1),MATCH(H$1,[2]stages!$2:$2,0)-MATCH($G$1,[2]stages!$2:$2,0)+1,FALSE)</f>
        <v>【スコアアタック】ジャンヌ襲来</v>
      </c>
      <c r="I3" s="78">
        <v>2</v>
      </c>
      <c r="J3" s="136">
        <v>60</v>
      </c>
      <c r="K3" s="136">
        <v>60</v>
      </c>
      <c r="L3" s="95">
        <v>4100312</v>
      </c>
      <c r="M3" s="95">
        <v>4100322</v>
      </c>
      <c r="N3" s="38">
        <v>1</v>
      </c>
      <c r="O3" s="38">
        <v>-100000</v>
      </c>
      <c r="P3" s="38">
        <v>800000</v>
      </c>
      <c r="Q3" s="38">
        <v>350000</v>
      </c>
    </row>
    <row r="4" spans="1:17" ht="21" customHeight="1" x14ac:dyDescent="0.15">
      <c r="A4" s="134" t="str">
        <f t="shared" si="0"/>
        <v>41003_4-3</v>
      </c>
      <c r="B4" s="134" t="str">
        <f>IF(COUNTIF(enemy_habitats!$H:$H,A4),"OK","NG")</f>
        <v>OK</v>
      </c>
      <c r="C4" s="106">
        <f t="shared" ref="C4:C5" si="2">$C$2</f>
        <v>41003</v>
      </c>
      <c r="D4" s="12" t="str">
        <f ca="1">VLOOKUP($C4,OFFSET([2]quests!$A$1,0,0,COUNTA([2]quests!$A:$A),MATCH(D$1,[2]quests!$1:$1,0)-MATCH($C$1,[2]quests!$1:$1,0)+1),MATCH(D$1,[2]quests!$1:$1,0)-MATCH($C$1,[2]quests!$1:$1,0)+1,FALSE)</f>
        <v>ジャンヌ襲来！</v>
      </c>
      <c r="E4" s="12" t="str">
        <f ca="1">VLOOKUP($C4,OFFSET([2]quests!$A$1,0,0,COUNTA([2]quests!$A:$A),MATCH(E$1,[2]quests!$1:$1,0)-MATCH($C$1,[2]quests!$1:$1,0)+1),MATCH(E$1,[2]quests!$1:$1,0)-MATCH($C$1,[2]quests!$1:$1,0)+1,FALSE)</f>
        <v>降臨1</v>
      </c>
      <c r="F4" s="78">
        <v>4</v>
      </c>
      <c r="G4" s="15" t="str">
        <f t="shared" si="1"/>
        <v>41003_4</v>
      </c>
      <c r="H4" s="10" t="str">
        <f ca="1">VLOOKUP($G4,OFFSET([2]stages!$A$1,0,0,COUNTA([2]stages!$A:$A),MATCH(H$1,[2]stages!$2:$2,0)-MATCH($G$1,[2]stages!$2:$2,0)+1),MATCH(H$1,[2]stages!$2:$2,0)-MATCH($G$1,[2]stages!$2:$2,0)+1,FALSE)</f>
        <v>【スコアアタック】ジャンヌ襲来</v>
      </c>
      <c r="I4" s="78">
        <v>3</v>
      </c>
      <c r="J4" s="136">
        <v>60</v>
      </c>
      <c r="K4" s="136">
        <v>60</v>
      </c>
      <c r="L4" s="95">
        <v>4100313</v>
      </c>
      <c r="M4" s="95">
        <v>4100323</v>
      </c>
      <c r="N4" s="38">
        <v>7</v>
      </c>
      <c r="O4" s="38">
        <v>-150000</v>
      </c>
      <c r="P4" s="38">
        <v>1050000</v>
      </c>
      <c r="Q4" s="38">
        <v>550000</v>
      </c>
    </row>
    <row r="5" spans="1:17" ht="21" customHeight="1" x14ac:dyDescent="0.15">
      <c r="A5" s="134" t="str">
        <f t="shared" ref="A5" si="3">G5&amp;"-"&amp;I5</f>
        <v>41003_4-4</v>
      </c>
      <c r="B5" s="134" t="str">
        <f>IF(COUNTIF(enemy_habitats!$H:$H,A5),"OK","NG")</f>
        <v>OK</v>
      </c>
      <c r="C5" s="106">
        <f t="shared" si="2"/>
        <v>41003</v>
      </c>
      <c r="D5" s="12" t="str">
        <f ca="1">VLOOKUP($C5,OFFSET([2]quests!$A$1,0,0,COUNTA([2]quests!$A:$A),MATCH(D$1,[2]quests!$1:$1,0)-MATCH($C$1,[2]quests!$1:$1,0)+1),MATCH(D$1,[2]quests!$1:$1,0)-MATCH($C$1,[2]quests!$1:$1,0)+1,FALSE)</f>
        <v>ジャンヌ襲来！</v>
      </c>
      <c r="E5" s="12" t="str">
        <f ca="1">VLOOKUP($C5,OFFSET([2]quests!$A$1,0,0,COUNTA([2]quests!$A:$A),MATCH(E$1,[2]quests!$1:$1,0)-MATCH($C$1,[2]quests!$1:$1,0)+1),MATCH(E$1,[2]quests!$1:$1,0)-MATCH($C$1,[2]quests!$1:$1,0)+1,FALSE)</f>
        <v>降臨1</v>
      </c>
      <c r="F5" s="78">
        <v>4</v>
      </c>
      <c r="G5" s="15" t="str">
        <f t="shared" ref="G5" si="4">C5&amp;"_"&amp;F5</f>
        <v>41003_4</v>
      </c>
      <c r="H5" s="10" t="str">
        <f ca="1">VLOOKUP($G5,OFFSET([2]stages!$A$1,0,0,COUNTA([2]stages!$A:$A),MATCH(H$1,[2]stages!$2:$2,0)-MATCH($G$1,[2]stages!$2:$2,0)+1),MATCH(H$1,[2]stages!$2:$2,0)-MATCH($G$1,[2]stages!$2:$2,0)+1,FALSE)</f>
        <v>【スコアアタック】ジャンヌ襲来</v>
      </c>
      <c r="I5" s="78">
        <v>4</v>
      </c>
      <c r="J5" s="136">
        <v>60</v>
      </c>
      <c r="K5" s="136">
        <v>60</v>
      </c>
      <c r="L5" s="95">
        <v>4100314</v>
      </c>
      <c r="M5" s="95">
        <v>4100324</v>
      </c>
      <c r="N5" s="38">
        <v>14</v>
      </c>
      <c r="O5" s="38">
        <v>-200000</v>
      </c>
      <c r="P5" s="38">
        <v>1550000</v>
      </c>
      <c r="Q5" s="38">
        <v>950000</v>
      </c>
    </row>
    <row r="6" spans="1:17" ht="21" customHeight="1" x14ac:dyDescent="0.15">
      <c r="P6" s="3">
        <f>SUM(P2:P5)</f>
        <v>4100000</v>
      </c>
      <c r="Q6" s="3">
        <f>SUM(Q2:Q5)</f>
        <v>2300000</v>
      </c>
    </row>
    <row r="7" spans="1:17" ht="21" customHeight="1" x14ac:dyDescent="0.15">
      <c r="D7" s="3" t="s">
        <v>243</v>
      </c>
    </row>
  </sheetData>
  <sheetProtection selectLockedCells="1" selectUnlockedCells="1"/>
  <phoneticPr fontId="11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rgb="FFFF0000"/>
  </sheetPr>
  <dimension ref="A1:G2"/>
  <sheetViews>
    <sheetView workbookViewId="0">
      <selection activeCell="C9" sqref="C9"/>
    </sheetView>
  </sheetViews>
  <sheetFormatPr baseColWidth="12" defaultRowHeight="15" outlineLevelCol="1" x14ac:dyDescent="0.15"/>
  <cols>
    <col min="1" max="1" width="9" style="3" customWidth="1"/>
    <col min="2" max="2" width="16" style="3" customWidth="1" outlineLevel="1"/>
    <col min="3" max="3" width="13" style="3" customWidth="1" outlineLevel="1"/>
    <col min="4" max="4" width="8" style="3" customWidth="1"/>
    <col min="5" max="5" width="11.6640625" style="13" customWidth="1" outlineLevel="1"/>
    <col min="6" max="6" width="25.6640625" style="3" customWidth="1" outlineLevel="1"/>
    <col min="7" max="7" width="12.83203125" style="3" customWidth="1"/>
  </cols>
  <sheetData>
    <row r="1" spans="1:7" ht="24" customHeight="1" x14ac:dyDescent="0.15">
      <c r="A1" s="1" t="s">
        <v>0</v>
      </c>
      <c r="B1" s="2" t="s">
        <v>15</v>
      </c>
      <c r="C1" s="10" t="s">
        <v>20</v>
      </c>
      <c r="D1" s="1" t="s">
        <v>1</v>
      </c>
      <c r="E1" s="15" t="s">
        <v>17</v>
      </c>
      <c r="F1" s="10" t="s">
        <v>15</v>
      </c>
      <c r="G1" s="1" t="s">
        <v>81</v>
      </c>
    </row>
    <row r="2" spans="1:7" ht="24" customHeight="1" x14ac:dyDescent="0.15">
      <c r="A2" s="4">
        <f>output!C2</f>
        <v>41003</v>
      </c>
      <c r="B2" s="7" t="str">
        <f ca="1">VLOOKUP($A2,OFFSET([2]quests!$A$1,0,0,COUNTA([2]quests!$A:$A),MATCH(B$1,[2]quests!$1:$1,0)-MATCH($A$1,[2]quests!$1:$1,0)+1),MATCH(B$1,[2]quests!$1:$1,0)-MATCH($A$1,[2]quests!$1:$1,0)+1,FALSE)</f>
        <v>ジャンヌ襲来！</v>
      </c>
      <c r="C2" s="12">
        <f ca="1">VLOOKUP($A2,OFFSET([2]quests!$A$1,0,0,COUNTA([2]quests!$A:$A),MATCH(C$1,[2]quests!$1:$1,0)-MATCH($C$1,[2]quests!$1:$1,0)+1),MATCH(C$1,[2]quests!$1:$1,0)-MATCH($C$1,[2]quests!$1:$1,0)+1,FALSE)</f>
        <v>41003</v>
      </c>
      <c r="D2" s="14">
        <v>4</v>
      </c>
      <c r="E2" s="15" t="str">
        <f>A2&amp;"_"&amp;D2</f>
        <v>41003_4</v>
      </c>
      <c r="F2" s="10" t="str">
        <f ca="1">VLOOKUP($E2,OFFSET([2]stages!$A$1,0,0,COUNTA([2]stages!$A:$A),MATCH(F$1,[2]stages!$2:$2,0)-MATCH($E$1,[2]stages!$2:$2,0)+1),MATCH(F$1,[2]stages!$2:$2,0)-MATCH($E$1,[2]stages!$2:$2,0)+1,FALSE)</f>
        <v>【スコアアタック】ジャンヌ襲来</v>
      </c>
      <c r="G2" s="75">
        <v>2000000</v>
      </c>
    </row>
  </sheetData>
  <phoneticPr fontId="1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 enableFormatConditionsCalculation="0">
    <tabColor rgb="FFFF0000"/>
  </sheetPr>
  <dimension ref="A1:I20"/>
  <sheetViews>
    <sheetView topLeftCell="C1" workbookViewId="0">
      <selection activeCell="I13" sqref="I13"/>
    </sheetView>
  </sheetViews>
  <sheetFormatPr baseColWidth="12" defaultRowHeight="15" x14ac:dyDescent="0.15"/>
  <cols>
    <col min="5" max="5" width="13.83203125" bestFit="1" customWidth="1"/>
    <col min="8" max="8" width="10.6640625" customWidth="1"/>
    <col min="9" max="9" width="17" customWidth="1"/>
  </cols>
  <sheetData>
    <row r="1" spans="1:9" x14ac:dyDescent="0.15">
      <c r="A1" s="35" t="s">
        <v>420</v>
      </c>
      <c r="B1" s="35" t="s">
        <v>453</v>
      </c>
      <c r="C1" s="35" t="s">
        <v>190</v>
      </c>
      <c r="D1" s="35" t="s">
        <v>191</v>
      </c>
      <c r="E1" s="35" t="s">
        <v>192</v>
      </c>
      <c r="F1" s="35" t="s">
        <v>193</v>
      </c>
      <c r="G1" s="35" t="s">
        <v>194</v>
      </c>
      <c r="H1" t="s">
        <v>475</v>
      </c>
      <c r="I1" t="s">
        <v>474</v>
      </c>
    </row>
    <row r="2" spans="1:9" x14ac:dyDescent="0.15">
      <c r="A2" s="127">
        <f>output!C2</f>
        <v>41003</v>
      </c>
      <c r="B2" s="111">
        <v>11</v>
      </c>
      <c r="C2" s="131" t="str">
        <f>A2&amp;B2</f>
        <v>4100311</v>
      </c>
      <c r="D2" s="85">
        <v>0</v>
      </c>
      <c r="E2" s="81">
        <v>0</v>
      </c>
      <c r="F2" s="82">
        <f>(E3-E2)/(E3-D2)</f>
        <v>1</v>
      </c>
      <c r="G2" s="79">
        <f t="shared" ref="G2" si="0">E2-F2*D2</f>
        <v>0</v>
      </c>
    </row>
    <row r="3" spans="1:9" x14ac:dyDescent="0.15">
      <c r="A3" s="127">
        <f t="shared" ref="A3" si="1">$A$2</f>
        <v>41003</v>
      </c>
      <c r="B3" s="127">
        <f t="shared" ref="B3" si="2">$B$2</f>
        <v>11</v>
      </c>
      <c r="C3" s="131" t="str">
        <f t="shared" ref="C3" si="3">$C$2</f>
        <v>4100311</v>
      </c>
      <c r="D3" s="85">
        <v>400000</v>
      </c>
      <c r="E3" s="81">
        <v>500000</v>
      </c>
      <c r="F3" s="82">
        <f t="shared" ref="F3" si="4">(E4-E3)/(D4-D3)</f>
        <v>0.68181818181818177</v>
      </c>
      <c r="G3" s="79">
        <f t="shared" ref="G3" si="5">E3-F3*D3</f>
        <v>227272.72727272729</v>
      </c>
      <c r="I3" s="150">
        <f>(H3-G3)/F3</f>
        <v>-333333.33333333337</v>
      </c>
    </row>
    <row r="4" spans="1:9" x14ac:dyDescent="0.15">
      <c r="A4" s="127">
        <f t="shared" ref="A4:A13" si="6">$A$2</f>
        <v>41003</v>
      </c>
      <c r="B4" s="127">
        <f t="shared" ref="B4" si="7">$B$2</f>
        <v>11</v>
      </c>
      <c r="C4" s="131" t="str">
        <f t="shared" ref="C4" si="8">$C$2</f>
        <v>4100311</v>
      </c>
      <c r="D4" s="87">
        <v>620000</v>
      </c>
      <c r="E4" s="81">
        <v>650000</v>
      </c>
      <c r="F4" s="80">
        <v>0.02</v>
      </c>
      <c r="G4" s="79">
        <f>E4-F4*D4</f>
        <v>637600</v>
      </c>
      <c r="H4">
        <v>650820</v>
      </c>
      <c r="I4" s="150">
        <f>(H4-G4)/F4</f>
        <v>661000</v>
      </c>
    </row>
    <row r="5" spans="1:9" x14ac:dyDescent="0.15">
      <c r="A5" s="127">
        <f t="shared" si="6"/>
        <v>41003</v>
      </c>
      <c r="B5" s="111">
        <v>12</v>
      </c>
      <c r="C5" s="130" t="str">
        <f>A5&amp;B5</f>
        <v>4100312</v>
      </c>
      <c r="D5" s="86">
        <v>0</v>
      </c>
      <c r="E5" s="81">
        <v>0</v>
      </c>
      <c r="F5" s="82">
        <f t="shared" ref="F5:F6" si="9">(E6-E5)/(D6-D5)</f>
        <v>2.9411764705882355</v>
      </c>
      <c r="G5" s="79">
        <f t="shared" ref="G5:G6" si="10">E5-F5*D5</f>
        <v>0</v>
      </c>
    </row>
    <row r="6" spans="1:9" x14ac:dyDescent="0.15">
      <c r="A6" s="127">
        <f t="shared" si="6"/>
        <v>41003</v>
      </c>
      <c r="B6" s="127">
        <f>$B$5</f>
        <v>12</v>
      </c>
      <c r="C6" s="130" t="str">
        <f>$C$5</f>
        <v>4100312</v>
      </c>
      <c r="D6" s="85">
        <v>170000</v>
      </c>
      <c r="E6" s="81">
        <v>500000</v>
      </c>
      <c r="F6" s="82">
        <f t="shared" si="9"/>
        <v>1.9230769230769231</v>
      </c>
      <c r="G6" s="79">
        <f t="shared" si="10"/>
        <v>173076.92307692306</v>
      </c>
      <c r="I6" s="150">
        <f>(H6-G6)/F6</f>
        <v>-89999.999999999985</v>
      </c>
    </row>
    <row r="7" spans="1:9" x14ac:dyDescent="0.15">
      <c r="A7" s="127">
        <f t="shared" si="6"/>
        <v>41003</v>
      </c>
      <c r="B7" s="127">
        <f>$B$5</f>
        <v>12</v>
      </c>
      <c r="C7" s="130" t="str">
        <f>$C$5</f>
        <v>4100312</v>
      </c>
      <c r="D7" s="87">
        <v>300000</v>
      </c>
      <c r="E7" s="81">
        <v>750000</v>
      </c>
      <c r="F7" s="80">
        <v>0.02</v>
      </c>
      <c r="G7" s="79">
        <f>E7-F7*D7</f>
        <v>744000</v>
      </c>
      <c r="H7">
        <v>750770</v>
      </c>
      <c r="I7" s="150">
        <f>(H7-G7)/F7</f>
        <v>338500</v>
      </c>
    </row>
    <row r="8" spans="1:9" x14ac:dyDescent="0.15">
      <c r="A8" s="127">
        <f t="shared" si="6"/>
        <v>41003</v>
      </c>
      <c r="B8" s="111">
        <v>13</v>
      </c>
      <c r="C8" s="131" t="str">
        <f>A8&amp;B8</f>
        <v>4100313</v>
      </c>
      <c r="D8" s="85">
        <v>0</v>
      </c>
      <c r="E8" s="81">
        <v>0</v>
      </c>
      <c r="F8" s="82">
        <f t="shared" ref="F8" si="11">(E9-E8)/(D9-D8)</f>
        <v>1.4912280701754386</v>
      </c>
      <c r="G8" s="79">
        <f t="shared" ref="G8:G9" si="12">E8-F8*D8</f>
        <v>0</v>
      </c>
    </row>
    <row r="9" spans="1:9" x14ac:dyDescent="0.15">
      <c r="A9" s="127">
        <f t="shared" si="6"/>
        <v>41003</v>
      </c>
      <c r="B9" s="127">
        <f>$B$8</f>
        <v>13</v>
      </c>
      <c r="C9" s="131" t="str">
        <f>$C$8</f>
        <v>4100313</v>
      </c>
      <c r="D9" s="85">
        <v>570000</v>
      </c>
      <c r="E9" s="81">
        <v>850000</v>
      </c>
      <c r="F9" s="82">
        <f>(E10-E9)/(D10-D9)</f>
        <v>0.39473684210526316</v>
      </c>
      <c r="G9" s="79">
        <f t="shared" si="12"/>
        <v>625000</v>
      </c>
      <c r="I9" s="150">
        <f>(H9-G9)/F9</f>
        <v>-1583333.3333333333</v>
      </c>
    </row>
    <row r="10" spans="1:9" x14ac:dyDescent="0.15">
      <c r="A10" s="127">
        <f t="shared" si="6"/>
        <v>41003</v>
      </c>
      <c r="B10" s="127">
        <f>$B$8</f>
        <v>13</v>
      </c>
      <c r="C10" s="131" t="str">
        <f>$C$8</f>
        <v>4100313</v>
      </c>
      <c r="D10" s="87">
        <v>950000</v>
      </c>
      <c r="E10" s="81">
        <v>1000000</v>
      </c>
      <c r="F10" s="80">
        <v>0.02</v>
      </c>
      <c r="G10" s="79">
        <f>E10-F10*D10</f>
        <v>981000</v>
      </c>
      <c r="H10">
        <v>1005280</v>
      </c>
      <c r="I10" s="150">
        <f>(H10-G10)/F10</f>
        <v>1214000</v>
      </c>
    </row>
    <row r="11" spans="1:9" x14ac:dyDescent="0.15">
      <c r="A11" s="127">
        <f t="shared" si="6"/>
        <v>41003</v>
      </c>
      <c r="B11" s="111">
        <v>14</v>
      </c>
      <c r="C11" s="131" t="str">
        <f>A11&amp;B11</f>
        <v>4100314</v>
      </c>
      <c r="D11" s="85">
        <v>0</v>
      </c>
      <c r="E11" s="81">
        <v>0</v>
      </c>
      <c r="F11" s="82">
        <f t="shared" ref="F11" si="13">(E12-E11)/(D12-D11)</f>
        <v>0.75</v>
      </c>
      <c r="G11" s="79">
        <f t="shared" ref="G11:G12" si="14">E11-F11*D11</f>
        <v>0</v>
      </c>
    </row>
    <row r="12" spans="1:9" x14ac:dyDescent="0.15">
      <c r="A12" s="127">
        <f t="shared" si="6"/>
        <v>41003</v>
      </c>
      <c r="B12" s="127">
        <f>$B$11</f>
        <v>14</v>
      </c>
      <c r="C12" s="131" t="str">
        <f>$C$11</f>
        <v>4100314</v>
      </c>
      <c r="D12" s="85">
        <v>1600000</v>
      </c>
      <c r="E12" s="81">
        <v>1200000</v>
      </c>
      <c r="F12" s="82">
        <f>(E13-E12)/(D13-D12)</f>
        <v>0.5</v>
      </c>
      <c r="G12" s="79">
        <f t="shared" si="14"/>
        <v>400000</v>
      </c>
      <c r="I12" s="150">
        <f>(H12-G12)/F12</f>
        <v>-800000</v>
      </c>
    </row>
    <row r="13" spans="1:9" x14ac:dyDescent="0.15">
      <c r="A13" s="127">
        <f t="shared" si="6"/>
        <v>41003</v>
      </c>
      <c r="B13" s="127">
        <f>$B$11</f>
        <v>14</v>
      </c>
      <c r="C13" s="131" t="str">
        <f>$C$11</f>
        <v>4100314</v>
      </c>
      <c r="D13" s="87">
        <v>2200000</v>
      </c>
      <c r="E13" s="81">
        <v>1500000</v>
      </c>
      <c r="F13" s="80">
        <v>0.02</v>
      </c>
      <c r="G13" s="79">
        <f>E13-F13*D13</f>
        <v>1456000</v>
      </c>
      <c r="H13">
        <v>1506054</v>
      </c>
      <c r="I13" s="150">
        <f>(H13-G13)/F13</f>
        <v>2502700</v>
      </c>
    </row>
    <row r="16" spans="1:9" x14ac:dyDescent="0.15">
      <c r="D16" s="83">
        <f>SUM(D4,D7,D10,D13)</f>
        <v>4070000</v>
      </c>
      <c r="E16" s="83">
        <f>SUM(E4,E7,E10,E13)</f>
        <v>3900000</v>
      </c>
    </row>
    <row r="17" spans="4:6" x14ac:dyDescent="0.15">
      <c r="D17" s="62"/>
      <c r="E17" s="84"/>
    </row>
    <row r="18" spans="4:6" x14ac:dyDescent="0.15">
      <c r="D18" s="62"/>
      <c r="E18" s="84"/>
    </row>
    <row r="20" spans="4:6" x14ac:dyDescent="0.15">
      <c r="F20">
        <v>2.5299999999999998</v>
      </c>
    </row>
  </sheetData>
  <phoneticPr fontId="11"/>
  <pageMargins left="0.7" right="0.7" top="0.75" bottom="0.75" header="0.3" footer="0.3"/>
  <pageSetup paperSize="9" orientation="portrait" horizontalDpi="0" verticalDpi="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 enableFormatConditionsCalculation="0">
    <tabColor rgb="FFFF0000"/>
  </sheetPr>
  <dimension ref="A1:I18"/>
  <sheetViews>
    <sheetView workbookViewId="0">
      <selection activeCell="F15" sqref="F15"/>
    </sheetView>
  </sheetViews>
  <sheetFormatPr baseColWidth="12" defaultRowHeight="15" x14ac:dyDescent="0.15"/>
  <cols>
    <col min="5" max="5" width="13.83203125" bestFit="1" customWidth="1"/>
  </cols>
  <sheetData>
    <row r="1" spans="1:9" x14ac:dyDescent="0.15">
      <c r="A1" s="35" t="s">
        <v>402</v>
      </c>
      <c r="B1" s="35" t="s">
        <v>453</v>
      </c>
      <c r="C1" s="35" t="s">
        <v>190</v>
      </c>
      <c r="D1" s="35" t="s">
        <v>191</v>
      </c>
      <c r="E1" s="35" t="s">
        <v>192</v>
      </c>
      <c r="F1" s="35" t="s">
        <v>193</v>
      </c>
      <c r="G1" s="35" t="s">
        <v>194</v>
      </c>
      <c r="H1" t="s">
        <v>475</v>
      </c>
      <c r="I1" t="s">
        <v>476</v>
      </c>
    </row>
    <row r="2" spans="1:9" x14ac:dyDescent="0.15">
      <c r="A2" s="127">
        <f>output!C2</f>
        <v>41003</v>
      </c>
      <c r="B2" s="111">
        <v>21</v>
      </c>
      <c r="C2" s="131" t="str">
        <f>A2&amp;B2</f>
        <v>4100321</v>
      </c>
      <c r="D2" s="85">
        <v>0</v>
      </c>
      <c r="E2" s="81">
        <v>0</v>
      </c>
      <c r="F2" s="82">
        <f>(E3-E2)/(D3-D2)</f>
        <v>10</v>
      </c>
      <c r="G2" s="79">
        <f t="shared" ref="G2:G3" si="0">E2-F2*D2</f>
        <v>0</v>
      </c>
    </row>
    <row r="3" spans="1:9" x14ac:dyDescent="0.15">
      <c r="A3" s="127">
        <f>$A$2</f>
        <v>41003</v>
      </c>
      <c r="B3" s="127">
        <f>$B$2</f>
        <v>21</v>
      </c>
      <c r="C3" s="131" t="str">
        <f>$C$2</f>
        <v>4100321</v>
      </c>
      <c r="D3" s="85">
        <v>25000</v>
      </c>
      <c r="E3" s="81">
        <v>250000</v>
      </c>
      <c r="F3" s="82">
        <f>(E4-E3)/(D4-D3)</f>
        <v>4.2857142857142856</v>
      </c>
      <c r="G3" s="79">
        <f t="shared" si="0"/>
        <v>142857.14285714284</v>
      </c>
      <c r="I3" s="150">
        <f>(H3-G3)/F3</f>
        <v>-33333.333333333328</v>
      </c>
    </row>
    <row r="4" spans="1:9" x14ac:dyDescent="0.15">
      <c r="A4" s="127">
        <f t="shared" ref="A4:A13" si="1">$A$2</f>
        <v>41003</v>
      </c>
      <c r="B4" s="127">
        <f t="shared" ref="B4" si="2">$B$2</f>
        <v>21</v>
      </c>
      <c r="C4" s="131" t="str">
        <f t="shared" ref="C4" si="3">$C$2</f>
        <v>4100321</v>
      </c>
      <c r="D4" s="87">
        <v>60000</v>
      </c>
      <c r="E4" s="81">
        <v>400000</v>
      </c>
      <c r="F4" s="80">
        <v>0.03</v>
      </c>
      <c r="G4" s="79">
        <f>E4-F4*D4</f>
        <v>398200</v>
      </c>
      <c r="H4">
        <v>400450</v>
      </c>
      <c r="I4" s="150">
        <f>(H4-G4)/F4</f>
        <v>75000</v>
      </c>
    </row>
    <row r="5" spans="1:9" x14ac:dyDescent="0.15">
      <c r="A5" s="127">
        <f t="shared" si="1"/>
        <v>41003</v>
      </c>
      <c r="B5" s="111">
        <v>22</v>
      </c>
      <c r="C5" s="130" t="str">
        <f>A5&amp;B5</f>
        <v>4100322</v>
      </c>
      <c r="D5" s="86">
        <v>0</v>
      </c>
      <c r="E5" s="81">
        <v>0</v>
      </c>
      <c r="F5" s="82">
        <f t="shared" ref="F5:F6" si="4">(E6-E5)/(D6-D5)</f>
        <v>26.666666666666668</v>
      </c>
      <c r="G5" s="79">
        <f t="shared" ref="G5:G6" si="5">E5-F5*D5</f>
        <v>0</v>
      </c>
    </row>
    <row r="6" spans="1:9" x14ac:dyDescent="0.15">
      <c r="A6" s="127">
        <f t="shared" si="1"/>
        <v>41003</v>
      </c>
      <c r="B6" s="127">
        <f>$B$5</f>
        <v>22</v>
      </c>
      <c r="C6" s="130" t="str">
        <f>$C$5</f>
        <v>4100322</v>
      </c>
      <c r="D6" s="85">
        <v>7500</v>
      </c>
      <c r="E6" s="81">
        <v>200000</v>
      </c>
      <c r="F6" s="82">
        <f t="shared" si="4"/>
        <v>18.181818181818183</v>
      </c>
      <c r="G6" s="79">
        <f t="shared" si="5"/>
        <v>63636.363636363618</v>
      </c>
      <c r="I6" s="150">
        <f>(H6-G6)/F6</f>
        <v>-3499.9999999999986</v>
      </c>
    </row>
    <row r="7" spans="1:9" x14ac:dyDescent="0.15">
      <c r="A7" s="127">
        <f t="shared" si="1"/>
        <v>41003</v>
      </c>
      <c r="B7" s="127">
        <f>$B$5</f>
        <v>22</v>
      </c>
      <c r="C7" s="130" t="str">
        <f>$C$5</f>
        <v>4100322</v>
      </c>
      <c r="D7" s="87">
        <v>13000</v>
      </c>
      <c r="E7" s="81">
        <v>300000</v>
      </c>
      <c r="F7" s="80">
        <v>0.03</v>
      </c>
      <c r="G7" s="79">
        <f>E7-F7*D7</f>
        <v>299610</v>
      </c>
      <c r="H7">
        <v>300074</v>
      </c>
      <c r="I7" s="150">
        <f>(H7-G7)/F7</f>
        <v>15466.666666666668</v>
      </c>
    </row>
    <row r="8" spans="1:9" x14ac:dyDescent="0.15">
      <c r="A8" s="127">
        <f t="shared" si="1"/>
        <v>41003</v>
      </c>
      <c r="B8" s="111">
        <v>23</v>
      </c>
      <c r="C8" s="131" t="str">
        <f>A8&amp;B8</f>
        <v>4100323</v>
      </c>
      <c r="D8" s="85">
        <v>0</v>
      </c>
      <c r="E8" s="81">
        <v>0</v>
      </c>
      <c r="F8" s="82">
        <f t="shared" ref="F8" si="6">(E9-E8)/(D9-D8)</f>
        <v>10</v>
      </c>
      <c r="G8" s="79">
        <f t="shared" ref="G8:G9" si="7">E8-F8*D8</f>
        <v>0</v>
      </c>
    </row>
    <row r="9" spans="1:9" x14ac:dyDescent="0.15">
      <c r="A9" s="127">
        <f t="shared" si="1"/>
        <v>41003</v>
      </c>
      <c r="B9" s="127">
        <f>$B$8</f>
        <v>23</v>
      </c>
      <c r="C9" s="131" t="str">
        <f>$C$8</f>
        <v>4100323</v>
      </c>
      <c r="D9" s="85">
        <v>30000</v>
      </c>
      <c r="E9" s="81">
        <v>300000</v>
      </c>
      <c r="F9" s="82">
        <f>(E10-E9)/(D10-D9)</f>
        <v>6.666666666666667</v>
      </c>
      <c r="G9" s="79">
        <f t="shared" si="7"/>
        <v>100000</v>
      </c>
      <c r="H9">
        <v>457395</v>
      </c>
      <c r="I9" s="150">
        <f>(H9-G9)/F9</f>
        <v>53609.25</v>
      </c>
    </row>
    <row r="10" spans="1:9" x14ac:dyDescent="0.15">
      <c r="A10" s="127">
        <f t="shared" si="1"/>
        <v>41003</v>
      </c>
      <c r="B10" s="127">
        <f>$B$8</f>
        <v>23</v>
      </c>
      <c r="C10" s="131" t="str">
        <f>$C$8</f>
        <v>4100323</v>
      </c>
      <c r="D10" s="87">
        <v>60000</v>
      </c>
      <c r="E10" s="81">
        <v>500000</v>
      </c>
      <c r="F10" s="80">
        <v>0.03</v>
      </c>
      <c r="G10" s="79">
        <f>E10-F10*D10</f>
        <v>498200</v>
      </c>
      <c r="I10" s="150">
        <f>(H10-G10)/F10</f>
        <v>-16606666.666666668</v>
      </c>
    </row>
    <row r="11" spans="1:9" x14ac:dyDescent="0.15">
      <c r="A11" s="127">
        <f t="shared" si="1"/>
        <v>41003</v>
      </c>
      <c r="B11" s="111">
        <v>24</v>
      </c>
      <c r="C11" s="131" t="str">
        <f>A11&amp;B11</f>
        <v>4100324</v>
      </c>
      <c r="D11" s="85">
        <v>0</v>
      </c>
      <c r="E11" s="81">
        <v>0</v>
      </c>
      <c r="F11" s="82">
        <f t="shared" ref="F11" si="8">(E12-E11)/(D12-D11)</f>
        <v>10</v>
      </c>
      <c r="G11" s="79">
        <f t="shared" ref="G11:G12" si="9">E11-F11*D11</f>
        <v>0</v>
      </c>
    </row>
    <row r="12" spans="1:9" x14ac:dyDescent="0.15">
      <c r="A12" s="127">
        <f t="shared" si="1"/>
        <v>41003</v>
      </c>
      <c r="B12" s="127">
        <f>$B$11</f>
        <v>24</v>
      </c>
      <c r="C12" s="131" t="str">
        <f>$C$11</f>
        <v>4100324</v>
      </c>
      <c r="D12" s="85">
        <v>50000</v>
      </c>
      <c r="E12" s="81">
        <v>500000</v>
      </c>
      <c r="F12" s="82">
        <f>(E13-E12)/(D13-D12)</f>
        <v>6.666666666666667</v>
      </c>
      <c r="G12" s="79">
        <f t="shared" si="9"/>
        <v>166666.66666666663</v>
      </c>
      <c r="I12" s="150">
        <f>(H12-G12)/F12</f>
        <v>-24999.999999999993</v>
      </c>
    </row>
    <row r="13" spans="1:9" x14ac:dyDescent="0.15">
      <c r="A13" s="127">
        <f t="shared" si="1"/>
        <v>41003</v>
      </c>
      <c r="B13" s="127">
        <f>$B$11</f>
        <v>24</v>
      </c>
      <c r="C13" s="131" t="str">
        <f>$C$11</f>
        <v>4100324</v>
      </c>
      <c r="D13" s="87">
        <v>110000</v>
      </c>
      <c r="E13" s="81">
        <v>900000</v>
      </c>
      <c r="F13" s="80">
        <v>0.03</v>
      </c>
      <c r="G13" s="79">
        <f>E13-F13*D13</f>
        <v>896700</v>
      </c>
      <c r="H13">
        <v>901013</v>
      </c>
      <c r="I13" s="150">
        <f>(H13-G13)/F13</f>
        <v>143766.66666666669</v>
      </c>
    </row>
    <row r="16" spans="1:9" x14ac:dyDescent="0.15">
      <c r="D16" s="83">
        <f>SUM(D4,D7,D10,D13)</f>
        <v>243000</v>
      </c>
      <c r="E16" s="83">
        <f>SUM(E4,E7,E10,E13)</f>
        <v>2100000</v>
      </c>
    </row>
    <row r="17" spans="4:5" x14ac:dyDescent="0.15">
      <c r="D17" s="62"/>
      <c r="E17" s="84"/>
    </row>
    <row r="18" spans="4:5" x14ac:dyDescent="0.15">
      <c r="D18" s="62"/>
      <c r="E18" s="84"/>
    </row>
  </sheetData>
  <phoneticPr fontId="11"/>
  <pageMargins left="0.7" right="0.7" top="0.75" bottom="0.75" header="0.3" footer="0.3"/>
  <pageSetup paperSize="9" orientation="portrait" horizontalDpi="0" verticalDpi="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 enableFormatConditionsCalculation="0">
    <tabColor rgb="FFFF0000"/>
  </sheetPr>
  <dimension ref="A1:G8"/>
  <sheetViews>
    <sheetView workbookViewId="0">
      <selection activeCell="E17" sqref="E17"/>
    </sheetView>
  </sheetViews>
  <sheetFormatPr baseColWidth="12" defaultRowHeight="15" x14ac:dyDescent="0.15"/>
  <cols>
    <col min="7" max="7" width="34.5" bestFit="1" customWidth="1"/>
  </cols>
  <sheetData>
    <row r="1" spans="1:7" x14ac:dyDescent="0.15">
      <c r="A1" s="35" t="s">
        <v>86</v>
      </c>
      <c r="B1" s="35" t="s">
        <v>87</v>
      </c>
      <c r="C1" s="35" t="s">
        <v>88</v>
      </c>
      <c r="D1" s="35" t="s">
        <v>89</v>
      </c>
      <c r="E1" s="63" t="s">
        <v>90</v>
      </c>
      <c r="F1" s="63" t="s">
        <v>91</v>
      </c>
      <c r="G1" s="63" t="s">
        <v>92</v>
      </c>
    </row>
    <row r="2" spans="1:7" x14ac:dyDescent="0.15">
      <c r="A2" s="111">
        <v>300</v>
      </c>
      <c r="B2" s="34">
        <f>output!C2</f>
        <v>41003</v>
      </c>
      <c r="C2" s="34">
        <v>4</v>
      </c>
      <c r="D2" s="34">
        <v>10000000</v>
      </c>
      <c r="E2" s="34" t="s">
        <v>137</v>
      </c>
      <c r="F2" s="34" t="s">
        <v>138</v>
      </c>
      <c r="G2" s="34" t="s">
        <v>139</v>
      </c>
    </row>
    <row r="3" spans="1:7" x14ac:dyDescent="0.15">
      <c r="A3" s="111">
        <v>301</v>
      </c>
      <c r="B3" s="34">
        <f>$B$2</f>
        <v>41003</v>
      </c>
      <c r="C3" s="34">
        <v>4</v>
      </c>
      <c r="D3" s="34">
        <v>8500000</v>
      </c>
      <c r="E3" s="34" t="s">
        <v>137</v>
      </c>
      <c r="F3" s="34" t="s">
        <v>140</v>
      </c>
      <c r="G3" s="34" t="s">
        <v>141</v>
      </c>
    </row>
    <row r="4" spans="1:7" x14ac:dyDescent="0.15">
      <c r="A4" s="111">
        <v>302</v>
      </c>
      <c r="B4" s="34">
        <f t="shared" ref="B4:B6" si="0">$B$2</f>
        <v>41003</v>
      </c>
      <c r="C4" s="34">
        <v>4</v>
      </c>
      <c r="D4" s="34">
        <v>7000000</v>
      </c>
      <c r="E4" s="34" t="s">
        <v>137</v>
      </c>
      <c r="F4" s="34" t="s">
        <v>142</v>
      </c>
      <c r="G4" s="34" t="s">
        <v>143</v>
      </c>
    </row>
    <row r="5" spans="1:7" x14ac:dyDescent="0.15">
      <c r="A5" s="111">
        <v>303</v>
      </c>
      <c r="B5" s="34">
        <f t="shared" si="0"/>
        <v>41003</v>
      </c>
      <c r="C5" s="34">
        <v>4</v>
      </c>
      <c r="D5" s="34">
        <v>3000000</v>
      </c>
      <c r="E5" s="34" t="s">
        <v>137</v>
      </c>
      <c r="F5" s="34" t="s">
        <v>144</v>
      </c>
      <c r="G5" s="34" t="s">
        <v>145</v>
      </c>
    </row>
    <row r="6" spans="1:7" x14ac:dyDescent="0.15">
      <c r="A6" s="111">
        <v>304</v>
      </c>
      <c r="B6" s="34">
        <f t="shared" si="0"/>
        <v>41003</v>
      </c>
      <c r="C6" s="34">
        <v>4</v>
      </c>
      <c r="D6" s="34">
        <v>2000000</v>
      </c>
      <c r="E6" s="34" t="s">
        <v>137</v>
      </c>
      <c r="F6" s="34" t="s">
        <v>146</v>
      </c>
      <c r="G6" s="34" t="s">
        <v>147</v>
      </c>
    </row>
    <row r="7" spans="1:7" ht="16" thickBot="1" x14ac:dyDescent="0.2">
      <c r="A7" s="111">
        <v>305</v>
      </c>
      <c r="B7" s="96">
        <f>$B$2</f>
        <v>41003</v>
      </c>
      <c r="C7" s="96">
        <v>4</v>
      </c>
      <c r="D7" s="96">
        <v>0</v>
      </c>
      <c r="E7" s="96" t="s">
        <v>137</v>
      </c>
      <c r="F7" s="96" t="s">
        <v>148</v>
      </c>
      <c r="G7" s="96" t="s">
        <v>149</v>
      </c>
    </row>
    <row r="8" spans="1:7" ht="16" thickTop="1" x14ac:dyDescent="0.15"/>
  </sheetData>
  <phoneticPr fontId="11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 enableFormatConditionsCalculation="0">
    <tabColor rgb="FFFF0000"/>
  </sheetPr>
  <dimension ref="A1:T19"/>
  <sheetViews>
    <sheetView zoomScale="106" workbookViewId="0">
      <selection activeCell="J4" sqref="J4"/>
    </sheetView>
  </sheetViews>
  <sheetFormatPr baseColWidth="12" defaultRowHeight="15" x14ac:dyDescent="0.15"/>
  <cols>
    <col min="1" max="1" width="11.83203125" bestFit="1" customWidth="1"/>
    <col min="2" max="2" width="8" bestFit="1" customWidth="1"/>
    <col min="3" max="3" width="8" style="91" bestFit="1" customWidth="1"/>
    <col min="4" max="4" width="10.1640625" style="91" bestFit="1" customWidth="1"/>
    <col min="5" max="5" width="11.83203125" bestFit="1" customWidth="1"/>
    <col min="6" max="6" width="7.1640625" bestFit="1" customWidth="1"/>
    <col min="7" max="7" width="7.6640625" bestFit="1" customWidth="1"/>
    <col min="8" max="8" width="8" bestFit="1" customWidth="1"/>
    <col min="9" max="9" width="6.33203125" bestFit="1" customWidth="1"/>
    <col min="10" max="10" width="9" bestFit="1" customWidth="1"/>
    <col min="11" max="11" width="7.5" bestFit="1" customWidth="1"/>
    <col min="12" max="12" width="10.1640625" bestFit="1" customWidth="1"/>
    <col min="13" max="13" width="4.5" bestFit="1" customWidth="1"/>
    <col min="14" max="14" width="7.6640625" bestFit="1" customWidth="1"/>
    <col min="15" max="15" width="3.83203125" bestFit="1" customWidth="1"/>
    <col min="16" max="16" width="7.33203125" bestFit="1" customWidth="1"/>
    <col min="17" max="17" width="28.83203125" customWidth="1"/>
    <col min="18" max="18" width="16.83203125" customWidth="1"/>
    <col min="19" max="19" width="20.1640625" customWidth="1"/>
    <col min="20" max="20" width="7.5" bestFit="1" customWidth="1"/>
  </cols>
  <sheetData>
    <row r="1" spans="1:20" x14ac:dyDescent="0.15">
      <c r="A1" s="35" t="s">
        <v>471</v>
      </c>
      <c r="B1" s="35" t="s">
        <v>118</v>
      </c>
      <c r="C1" s="88" t="s">
        <v>119</v>
      </c>
      <c r="D1" s="88" t="s">
        <v>120</v>
      </c>
      <c r="E1" s="63" t="s">
        <v>121</v>
      </c>
      <c r="F1" s="53" t="s">
        <v>122</v>
      </c>
      <c r="G1" s="53" t="s">
        <v>123</v>
      </c>
      <c r="H1" s="53" t="s">
        <v>124</v>
      </c>
      <c r="I1" s="53" t="s">
        <v>125</v>
      </c>
      <c r="J1" s="53" t="s">
        <v>126</v>
      </c>
      <c r="K1" s="54" t="s">
        <v>127</v>
      </c>
      <c r="L1" s="54" t="s">
        <v>128</v>
      </c>
      <c r="M1" s="54" t="s">
        <v>129</v>
      </c>
      <c r="N1" s="54" t="s">
        <v>130</v>
      </c>
      <c r="O1" s="54" t="s">
        <v>131</v>
      </c>
      <c r="P1" s="54" t="s">
        <v>132</v>
      </c>
      <c r="Q1" s="54" t="s">
        <v>133</v>
      </c>
      <c r="R1" s="54" t="s">
        <v>134</v>
      </c>
      <c r="S1" s="54" t="s">
        <v>135</v>
      </c>
      <c r="T1" s="54" t="s">
        <v>136</v>
      </c>
    </row>
    <row r="2" spans="1:20" ht="47" customHeight="1" x14ac:dyDescent="0.15">
      <c r="A2" s="137">
        <v>300</v>
      </c>
      <c r="B2" s="71">
        <f>output!C2</f>
        <v>41003</v>
      </c>
      <c r="C2" s="89">
        <v>4</v>
      </c>
      <c r="D2" s="89">
        <v>10000000</v>
      </c>
      <c r="E2" s="72" t="str">
        <f>$B$2&amp;0&amp;1</f>
        <v>4100301</v>
      </c>
      <c r="F2" s="73" t="s">
        <v>152</v>
      </c>
      <c r="G2" s="73">
        <v>3</v>
      </c>
      <c r="H2" s="73" t="s">
        <v>153</v>
      </c>
      <c r="I2" s="73">
        <v>0</v>
      </c>
      <c r="J2" s="73">
        <v>0</v>
      </c>
      <c r="K2" s="73">
        <v>0</v>
      </c>
      <c r="L2" s="73">
        <v>0</v>
      </c>
      <c r="M2" s="73">
        <v>1</v>
      </c>
      <c r="N2" s="73">
        <v>1</v>
      </c>
      <c r="O2" s="73">
        <v>1</v>
      </c>
      <c r="P2" s="73" t="s">
        <v>150</v>
      </c>
      <c r="Q2" s="73" t="s">
        <v>223</v>
      </c>
      <c r="R2" s="73" t="s">
        <v>231</v>
      </c>
      <c r="S2" s="74" t="s">
        <v>232</v>
      </c>
      <c r="T2" s="34">
        <v>1</v>
      </c>
    </row>
    <row r="3" spans="1:20" ht="47" customHeight="1" x14ac:dyDescent="0.15">
      <c r="A3" s="137">
        <v>301</v>
      </c>
      <c r="B3" s="71">
        <f>$B$2</f>
        <v>41003</v>
      </c>
      <c r="C3" s="89">
        <v>4</v>
      </c>
      <c r="D3" s="89">
        <v>10000000</v>
      </c>
      <c r="E3" s="72" t="str">
        <f>$B$2&amp;0&amp;2</f>
        <v>4100302</v>
      </c>
      <c r="F3" s="73" t="s">
        <v>152</v>
      </c>
      <c r="G3" s="73">
        <v>2</v>
      </c>
      <c r="H3" s="73" t="s">
        <v>153</v>
      </c>
      <c r="I3" s="73">
        <v>0</v>
      </c>
      <c r="J3" s="73">
        <v>0</v>
      </c>
      <c r="K3" s="73">
        <v>0</v>
      </c>
      <c r="L3" s="73">
        <v>0</v>
      </c>
      <c r="M3" s="73">
        <v>1</v>
      </c>
      <c r="N3" s="73">
        <v>1</v>
      </c>
      <c r="O3" s="73">
        <v>1</v>
      </c>
      <c r="P3" s="73" t="s">
        <v>150</v>
      </c>
      <c r="Q3" s="73" t="s">
        <v>224</v>
      </c>
      <c r="R3" s="73" t="s">
        <v>231</v>
      </c>
      <c r="S3" s="74" t="s">
        <v>233</v>
      </c>
      <c r="T3" s="34">
        <v>1</v>
      </c>
    </row>
    <row r="4" spans="1:20" ht="47" customHeight="1" x14ac:dyDescent="0.15">
      <c r="A4" s="137">
        <v>302</v>
      </c>
      <c r="B4" s="71">
        <f t="shared" ref="B4:B8" si="0">$B$2</f>
        <v>41003</v>
      </c>
      <c r="C4" s="89">
        <v>4</v>
      </c>
      <c r="D4" s="89">
        <v>10000000</v>
      </c>
      <c r="E4" s="72" t="str">
        <f>$B$2&amp;0&amp;3</f>
        <v>4100303</v>
      </c>
      <c r="F4" s="73" t="s">
        <v>151</v>
      </c>
      <c r="G4" s="73">
        <v>1</v>
      </c>
      <c r="H4" s="73">
        <v>1</v>
      </c>
      <c r="I4" s="73">
        <v>0</v>
      </c>
      <c r="J4" s="73">
        <v>0</v>
      </c>
      <c r="K4" s="73">
        <v>0</v>
      </c>
      <c r="L4" s="73">
        <v>0</v>
      </c>
      <c r="M4" s="73">
        <v>1</v>
      </c>
      <c r="N4" s="73">
        <v>1</v>
      </c>
      <c r="O4" s="73">
        <v>1</v>
      </c>
      <c r="P4" s="73" t="s">
        <v>150</v>
      </c>
      <c r="Q4" s="73" t="s">
        <v>222</v>
      </c>
      <c r="R4" s="73" t="s">
        <v>231</v>
      </c>
      <c r="S4" s="74" t="s">
        <v>234</v>
      </c>
      <c r="T4" s="34">
        <v>1</v>
      </c>
    </row>
    <row r="5" spans="1:20" ht="47" customHeight="1" x14ac:dyDescent="0.15">
      <c r="A5" s="137">
        <v>303</v>
      </c>
      <c r="B5" s="71">
        <f t="shared" si="0"/>
        <v>41003</v>
      </c>
      <c r="C5" s="89">
        <v>4</v>
      </c>
      <c r="D5" s="89">
        <v>8500000</v>
      </c>
      <c r="E5" s="72" t="str">
        <f>$B$2&amp;0&amp;4</f>
        <v>4100304</v>
      </c>
      <c r="F5" s="73" t="s">
        <v>225</v>
      </c>
      <c r="G5" s="73">
        <v>335</v>
      </c>
      <c r="H5" s="73">
        <v>1</v>
      </c>
      <c r="I5" s="73">
        <v>0</v>
      </c>
      <c r="J5" s="73">
        <v>0</v>
      </c>
      <c r="K5" s="73">
        <v>0</v>
      </c>
      <c r="L5" s="73">
        <v>0</v>
      </c>
      <c r="M5" s="73">
        <v>1</v>
      </c>
      <c r="N5" s="73">
        <v>1</v>
      </c>
      <c r="O5" s="73">
        <v>1</v>
      </c>
      <c r="P5" s="73" t="s">
        <v>150</v>
      </c>
      <c r="Q5" s="73" t="s">
        <v>226</v>
      </c>
      <c r="R5" s="73" t="s">
        <v>231</v>
      </c>
      <c r="S5" s="74" t="s">
        <v>235</v>
      </c>
      <c r="T5" s="34">
        <v>1</v>
      </c>
    </row>
    <row r="6" spans="1:20" ht="47" customHeight="1" x14ac:dyDescent="0.15">
      <c r="A6" s="137">
        <v>304</v>
      </c>
      <c r="B6" s="71">
        <f t="shared" si="0"/>
        <v>41003</v>
      </c>
      <c r="C6" s="89">
        <v>4</v>
      </c>
      <c r="D6" s="89">
        <v>7000000</v>
      </c>
      <c r="E6" s="72" t="str">
        <f>$B$2&amp;0&amp;5</f>
        <v>4100305</v>
      </c>
      <c r="F6" s="73" t="s">
        <v>225</v>
      </c>
      <c r="G6" s="73">
        <v>339</v>
      </c>
      <c r="H6" s="73">
        <v>1</v>
      </c>
      <c r="I6" s="73">
        <v>0</v>
      </c>
      <c r="J6" s="73">
        <v>0</v>
      </c>
      <c r="K6" s="73">
        <v>0</v>
      </c>
      <c r="L6" s="73">
        <v>0</v>
      </c>
      <c r="M6" s="73">
        <v>1</v>
      </c>
      <c r="N6" s="73">
        <v>1</v>
      </c>
      <c r="O6" s="73">
        <v>1</v>
      </c>
      <c r="P6" s="73" t="s">
        <v>150</v>
      </c>
      <c r="Q6" s="73" t="s">
        <v>227</v>
      </c>
      <c r="R6" s="73" t="s">
        <v>231</v>
      </c>
      <c r="S6" s="74" t="s">
        <v>236</v>
      </c>
      <c r="T6" s="34">
        <v>1</v>
      </c>
    </row>
    <row r="7" spans="1:20" ht="47" customHeight="1" x14ac:dyDescent="0.15">
      <c r="A7" s="137">
        <v>305</v>
      </c>
      <c r="B7" s="71">
        <f t="shared" si="0"/>
        <v>41003</v>
      </c>
      <c r="C7" s="89">
        <v>4</v>
      </c>
      <c r="D7" s="89">
        <v>5500000</v>
      </c>
      <c r="E7" s="72" t="str">
        <f>$B$2&amp;0&amp;6</f>
        <v>4100306</v>
      </c>
      <c r="F7" s="73" t="s">
        <v>225</v>
      </c>
      <c r="G7" s="73">
        <v>343</v>
      </c>
      <c r="H7" s="73">
        <v>1</v>
      </c>
      <c r="I7" s="73">
        <v>0</v>
      </c>
      <c r="J7" s="73">
        <v>0</v>
      </c>
      <c r="K7" s="73">
        <v>0</v>
      </c>
      <c r="L7" s="73">
        <v>0</v>
      </c>
      <c r="M7" s="73">
        <v>1</v>
      </c>
      <c r="N7" s="73">
        <v>1</v>
      </c>
      <c r="O7" s="73">
        <v>1</v>
      </c>
      <c r="P7" s="73" t="s">
        <v>150</v>
      </c>
      <c r="Q7" s="73" t="s">
        <v>228</v>
      </c>
      <c r="R7" s="73" t="s">
        <v>231</v>
      </c>
      <c r="S7" s="74" t="s">
        <v>237</v>
      </c>
      <c r="T7" s="34">
        <v>1</v>
      </c>
    </row>
    <row r="8" spans="1:20" ht="47" customHeight="1" x14ac:dyDescent="0.15">
      <c r="A8" s="137">
        <v>306</v>
      </c>
      <c r="B8" s="71">
        <f t="shared" si="0"/>
        <v>41003</v>
      </c>
      <c r="C8" s="89">
        <v>4</v>
      </c>
      <c r="D8" s="89">
        <v>4000000</v>
      </c>
      <c r="E8" s="72" t="str">
        <f>$B$2&amp;0&amp;7</f>
        <v>4100307</v>
      </c>
      <c r="F8" s="73" t="s">
        <v>225</v>
      </c>
      <c r="G8" s="73">
        <v>347</v>
      </c>
      <c r="H8" s="73">
        <v>1</v>
      </c>
      <c r="I8" s="73">
        <v>0</v>
      </c>
      <c r="J8" s="73">
        <v>0</v>
      </c>
      <c r="K8" s="73">
        <v>0</v>
      </c>
      <c r="L8" s="73">
        <v>0</v>
      </c>
      <c r="M8" s="73">
        <v>1</v>
      </c>
      <c r="N8" s="73">
        <v>1</v>
      </c>
      <c r="O8" s="73">
        <v>1</v>
      </c>
      <c r="P8" s="73" t="s">
        <v>150</v>
      </c>
      <c r="Q8" s="73" t="s">
        <v>229</v>
      </c>
      <c r="R8" s="73" t="s">
        <v>231</v>
      </c>
      <c r="S8" s="74" t="s">
        <v>237</v>
      </c>
      <c r="T8" s="34">
        <v>1</v>
      </c>
    </row>
    <row r="9" spans="1:20" ht="47" customHeight="1" thickBot="1" x14ac:dyDescent="0.2">
      <c r="A9" s="137">
        <v>307</v>
      </c>
      <c r="B9" s="98">
        <f>$B$2</f>
        <v>41003</v>
      </c>
      <c r="C9" s="99">
        <v>4</v>
      </c>
      <c r="D9" s="100">
        <v>3000000</v>
      </c>
      <c r="E9" s="101" t="str">
        <f>$B$2&amp;0&amp;8</f>
        <v>4100308</v>
      </c>
      <c r="F9" s="102" t="s">
        <v>154</v>
      </c>
      <c r="G9" s="102">
        <v>100000</v>
      </c>
      <c r="H9" s="102" t="s">
        <v>153</v>
      </c>
      <c r="I9" s="102">
        <v>0</v>
      </c>
      <c r="J9" s="102">
        <v>0</v>
      </c>
      <c r="K9" s="102">
        <v>0</v>
      </c>
      <c r="L9" s="102">
        <v>0</v>
      </c>
      <c r="M9" s="102">
        <v>1</v>
      </c>
      <c r="N9" s="102">
        <v>1</v>
      </c>
      <c r="O9" s="102">
        <v>1</v>
      </c>
      <c r="P9" s="102" t="s">
        <v>150</v>
      </c>
      <c r="Q9" s="102" t="s">
        <v>230</v>
      </c>
      <c r="R9" s="102" t="s">
        <v>231</v>
      </c>
      <c r="S9" s="103" t="s">
        <v>238</v>
      </c>
      <c r="T9" s="96">
        <v>1</v>
      </c>
    </row>
    <row r="10" spans="1:20" ht="16" thickTop="1" x14ac:dyDescent="0.15"/>
    <row r="11" spans="1:20" x14ac:dyDescent="0.15">
      <c r="A11" s="132"/>
      <c r="C11" s="90"/>
    </row>
    <row r="14" spans="1:20" ht="17" x14ac:dyDescent="0.2">
      <c r="E14" s="97"/>
    </row>
    <row r="15" spans="1:20" ht="17" x14ac:dyDescent="0.2">
      <c r="E15" s="97"/>
    </row>
    <row r="16" spans="1:20" ht="17" x14ac:dyDescent="0.2">
      <c r="E16" s="97"/>
    </row>
    <row r="17" spans="5:5" ht="17" x14ac:dyDescent="0.2">
      <c r="E17" s="97"/>
    </row>
    <row r="18" spans="5:5" ht="17" x14ac:dyDescent="0.2">
      <c r="E18" s="97"/>
    </row>
    <row r="19" spans="5:5" ht="17" x14ac:dyDescent="0.2">
      <c r="E19" s="97"/>
    </row>
  </sheetData>
  <phoneticPr fontId="11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FF0000"/>
  </sheetPr>
  <dimension ref="A1:U42"/>
  <sheetViews>
    <sheetView workbookViewId="0">
      <selection activeCell="A2" sqref="A2"/>
    </sheetView>
  </sheetViews>
  <sheetFormatPr baseColWidth="12" defaultRowHeight="15" x14ac:dyDescent="0.15"/>
  <cols>
    <col min="21" max="21" width="41.5" customWidth="1"/>
  </cols>
  <sheetData>
    <row r="1" spans="1:21" x14ac:dyDescent="0.15">
      <c r="A1" s="39" t="s">
        <v>62</v>
      </c>
      <c r="B1" s="41" t="s">
        <v>15</v>
      </c>
      <c r="C1" s="41" t="s">
        <v>20</v>
      </c>
      <c r="D1" s="39" t="s">
        <v>64</v>
      </c>
      <c r="E1" s="39" t="s">
        <v>65</v>
      </c>
      <c r="F1" s="56" t="s">
        <v>74</v>
      </c>
      <c r="G1" s="52" t="s">
        <v>66</v>
      </c>
      <c r="H1" s="53" t="s">
        <v>67</v>
      </c>
      <c r="I1" s="53" t="s">
        <v>68</v>
      </c>
      <c r="J1" s="53" t="s">
        <v>69</v>
      </c>
      <c r="K1" s="53" t="s">
        <v>93</v>
      </c>
      <c r="L1" s="53" t="s">
        <v>94</v>
      </c>
      <c r="M1" s="54" t="s">
        <v>95</v>
      </c>
      <c r="N1" s="54" t="s">
        <v>96</v>
      </c>
      <c r="O1" s="54" t="s">
        <v>97</v>
      </c>
      <c r="P1" s="54" t="s">
        <v>99</v>
      </c>
      <c r="Q1" s="54" t="s">
        <v>100</v>
      </c>
      <c r="R1" s="54" t="s">
        <v>70</v>
      </c>
      <c r="S1" s="54" t="s">
        <v>71</v>
      </c>
      <c r="T1" s="54" t="s">
        <v>72</v>
      </c>
      <c r="U1" s="54" t="s">
        <v>73</v>
      </c>
    </row>
    <row r="2" spans="1:21" ht="28" x14ac:dyDescent="0.15">
      <c r="A2" s="45">
        <f>score_attack_expanded_floors!$C$2</f>
        <v>41003</v>
      </c>
      <c r="B2" s="46" t="str">
        <f ca="1">VLOOKUP($A2,OFFSET([2]quests!$A$1,0,0,COUNTA([2]quests!$A:$A),MATCH(B$1,[2]quests!$1:$1,0)-MATCH($A$1,[2]quests!$1:$1,0)+1),MATCH(B$1,[2]quests!$1:$1,0)-MATCH($A$1,[2]quests!$1:$1,0)+1,FALSE)</f>
        <v>ジャンヌ襲来！</v>
      </c>
      <c r="C2" s="46" t="str">
        <f ca="1">VLOOKUP($A2,OFFSET([2]quests!$A$1,0,0,COUNTA([2]quests!$A:$A),MATCH(C$1,[2]quests!$1:$1,0)-MATCH($A$1,[2]quests!$1:$1,0)+1),MATCH(C$1,[2]quests!$1:$1,0)-MATCH($A$1,[2]quests!$1:$1,0)+1,FALSE)</f>
        <v>降臨1</v>
      </c>
      <c r="D2" s="76">
        <v>1</v>
      </c>
      <c r="E2" s="77">
        <v>1</v>
      </c>
      <c r="F2" s="55" t="str">
        <f>A2&amp;TEXT(E2,"0000")</f>
        <v>410030001</v>
      </c>
      <c r="G2" t="str">
        <f>F2&amp;TEXT(COUNTIF(F$2:F2,F2),"00")</f>
        <v>41003000101</v>
      </c>
      <c r="H2" s="57" t="s">
        <v>155</v>
      </c>
      <c r="I2" s="57">
        <v>601</v>
      </c>
      <c r="J2" s="57">
        <v>1</v>
      </c>
      <c r="K2" s="57">
        <v>0</v>
      </c>
      <c r="L2" s="57">
        <v>0</v>
      </c>
      <c r="M2" s="57">
        <v>0</v>
      </c>
      <c r="N2" s="57">
        <v>0</v>
      </c>
      <c r="O2" s="57">
        <v>1</v>
      </c>
      <c r="P2" s="57">
        <v>1</v>
      </c>
      <c r="Q2" s="57">
        <v>1</v>
      </c>
      <c r="R2" s="57" t="s">
        <v>137</v>
      </c>
      <c r="S2" s="57" t="s">
        <v>156</v>
      </c>
      <c r="T2" s="57" t="s">
        <v>157</v>
      </c>
      <c r="U2" s="58" t="s">
        <v>158</v>
      </c>
    </row>
    <row r="3" spans="1:21" ht="28" x14ac:dyDescent="0.15">
      <c r="A3" s="45">
        <f>score_attack_expanded_floors!$C$2</f>
        <v>41003</v>
      </c>
      <c r="B3" s="46" t="str">
        <f ca="1">VLOOKUP($A3,OFFSET([2]quests!$A$1,0,0,COUNTA([2]quests!$A:$A),MATCH(B$1,[2]quests!$1:$1,0)-MATCH($A$1,[2]quests!$1:$1,0)+1),MATCH(B$1,[2]quests!$1:$1,0)-MATCH($A$1,[2]quests!$1:$1,0)+1,FALSE)</f>
        <v>ジャンヌ襲来！</v>
      </c>
      <c r="C3" s="46" t="str">
        <f ca="1">VLOOKUP($A3,OFFSET([2]quests!$A$1,0,0,COUNTA([2]quests!$A:$A),MATCH(C$1,[2]quests!$1:$1,0)-MATCH($A$1,[2]quests!$1:$1,0)+1),MATCH(C$1,[2]quests!$1:$1,0)-MATCH($A$1,[2]quests!$1:$1,0)+1,FALSE)</f>
        <v>降臨1</v>
      </c>
      <c r="D3" s="76">
        <v>1</v>
      </c>
      <c r="E3" s="77">
        <v>1</v>
      </c>
      <c r="F3" s="55" t="str">
        <f t="shared" ref="F3:F42" si="0">A3&amp;TEXT(E3,"0000")</f>
        <v>410030001</v>
      </c>
      <c r="G3" t="str">
        <f>F3&amp;TEXT(COUNTIF(F$2:F3,F3),"00")</f>
        <v>41003000102</v>
      </c>
      <c r="H3" s="57" t="s">
        <v>155</v>
      </c>
      <c r="I3" s="57">
        <v>600</v>
      </c>
      <c r="J3" s="57">
        <v>2</v>
      </c>
      <c r="K3" s="57">
        <v>0</v>
      </c>
      <c r="L3" s="57">
        <v>0</v>
      </c>
      <c r="M3" s="57">
        <v>0</v>
      </c>
      <c r="N3" s="57">
        <v>0</v>
      </c>
      <c r="O3" s="57">
        <v>1</v>
      </c>
      <c r="P3" s="57">
        <v>1</v>
      </c>
      <c r="Q3" s="57">
        <v>1</v>
      </c>
      <c r="R3" s="57" t="s">
        <v>137</v>
      </c>
      <c r="S3" s="57" t="s">
        <v>159</v>
      </c>
      <c r="T3" s="57" t="s">
        <v>157</v>
      </c>
      <c r="U3" s="58" t="s">
        <v>158</v>
      </c>
    </row>
    <row r="4" spans="1:21" ht="28" x14ac:dyDescent="0.15">
      <c r="A4" s="45">
        <f>score_attack_expanded_floors!$C$2</f>
        <v>41003</v>
      </c>
      <c r="B4" s="46" t="str">
        <f ca="1">VLOOKUP($A4,OFFSET([2]quests!$A$1,0,0,COUNTA([2]quests!$A:$A),MATCH(B$1,[2]quests!$1:$1,0)-MATCH($A$1,[2]quests!$1:$1,0)+1),MATCH(B$1,[2]quests!$1:$1,0)-MATCH($A$1,[2]quests!$1:$1,0)+1,FALSE)</f>
        <v>ジャンヌ襲来！</v>
      </c>
      <c r="C4" s="46" t="str">
        <f ca="1">VLOOKUP($A4,OFFSET([2]quests!$A$1,0,0,COUNTA([2]quests!$A:$A),MATCH(C$1,[2]quests!$1:$1,0)-MATCH($A$1,[2]quests!$1:$1,0)+1),MATCH(C$1,[2]quests!$1:$1,0)-MATCH($A$1,[2]quests!$1:$1,0)+1,FALSE)</f>
        <v>降臨1</v>
      </c>
      <c r="D4" s="76">
        <v>1</v>
      </c>
      <c r="E4" s="77">
        <v>1</v>
      </c>
      <c r="F4" s="55" t="str">
        <f t="shared" si="0"/>
        <v>410030001</v>
      </c>
      <c r="G4" t="str">
        <f>F4&amp;TEXT(COUNTIF(F$2:F4,F4),"00")</f>
        <v>41003000103</v>
      </c>
      <c r="H4" s="57" t="s">
        <v>160</v>
      </c>
      <c r="I4" s="57">
        <v>10</v>
      </c>
      <c r="J4" s="57" t="s">
        <v>161</v>
      </c>
      <c r="K4" s="57">
        <v>0</v>
      </c>
      <c r="L4" s="57">
        <v>0</v>
      </c>
      <c r="M4" s="57">
        <v>0</v>
      </c>
      <c r="N4" s="57">
        <v>0</v>
      </c>
      <c r="O4" s="57">
        <v>1</v>
      </c>
      <c r="P4" s="57">
        <v>1</v>
      </c>
      <c r="Q4" s="57">
        <v>1</v>
      </c>
      <c r="R4" s="57" t="s">
        <v>137</v>
      </c>
      <c r="S4" s="57" t="s">
        <v>162</v>
      </c>
      <c r="T4" s="57" t="s">
        <v>157</v>
      </c>
      <c r="U4" s="58" t="s">
        <v>158</v>
      </c>
    </row>
    <row r="5" spans="1:21" ht="28" x14ac:dyDescent="0.15">
      <c r="A5" s="45">
        <f>score_attack_expanded_floors!$C$2</f>
        <v>41003</v>
      </c>
      <c r="B5" s="46" t="str">
        <f ca="1">VLOOKUP($A5,OFFSET([2]quests!$A$1,0,0,COUNTA([2]quests!$A:$A),MATCH(B$1,[2]quests!$1:$1,0)-MATCH($A$1,[2]quests!$1:$1,0)+1),MATCH(B$1,[2]quests!$1:$1,0)-MATCH($A$1,[2]quests!$1:$1,0)+1,FALSE)</f>
        <v>ジャンヌ襲来！</v>
      </c>
      <c r="C5" s="46" t="str">
        <f ca="1">VLOOKUP($A5,OFFSET([2]quests!$A$1,0,0,COUNTA([2]quests!$A:$A),MATCH(C$1,[2]quests!$1:$1,0)-MATCH($A$1,[2]quests!$1:$1,0)+1),MATCH(C$1,[2]quests!$1:$1,0)-MATCH($A$1,[2]quests!$1:$1,0)+1,FALSE)</f>
        <v>降臨1</v>
      </c>
      <c r="D5" s="76">
        <v>1</v>
      </c>
      <c r="E5" s="77">
        <v>1</v>
      </c>
      <c r="F5" s="55" t="str">
        <f t="shared" si="0"/>
        <v>410030001</v>
      </c>
      <c r="G5" t="str">
        <f>F5&amp;TEXT(COUNTIF(F$2:F5,F5),"00")</f>
        <v>41003000104</v>
      </c>
      <c r="H5" s="57" t="s">
        <v>163</v>
      </c>
      <c r="I5" s="57">
        <v>837</v>
      </c>
      <c r="J5" s="57">
        <v>1</v>
      </c>
      <c r="K5" s="57">
        <v>0</v>
      </c>
      <c r="L5" s="57">
        <v>0</v>
      </c>
      <c r="M5" s="57">
        <v>0</v>
      </c>
      <c r="N5" s="57">
        <v>0</v>
      </c>
      <c r="O5" s="57">
        <v>1</v>
      </c>
      <c r="P5" s="57">
        <v>1</v>
      </c>
      <c r="Q5" s="57">
        <v>1</v>
      </c>
      <c r="R5" s="57" t="s">
        <v>137</v>
      </c>
      <c r="S5" s="57" t="s">
        <v>164</v>
      </c>
      <c r="T5" s="57" t="s">
        <v>157</v>
      </c>
      <c r="U5" s="58" t="s">
        <v>158</v>
      </c>
    </row>
    <row r="6" spans="1:21" ht="28" x14ac:dyDescent="0.15">
      <c r="A6" s="45">
        <f>score_attack_expanded_floors!$C$2</f>
        <v>41003</v>
      </c>
      <c r="B6" s="46" t="str">
        <f ca="1">VLOOKUP($A6,OFFSET([2]quests!$A$1,0,0,COUNTA([2]quests!$A:$A),MATCH(B$1,[2]quests!$1:$1,0)-MATCH($A$1,[2]quests!$1:$1,0)+1),MATCH(B$1,[2]quests!$1:$1,0)-MATCH($A$1,[2]quests!$1:$1,0)+1,FALSE)</f>
        <v>ジャンヌ襲来！</v>
      </c>
      <c r="C6" s="46" t="str">
        <f ca="1">VLOOKUP($A6,OFFSET([2]quests!$A$1,0,0,COUNTA([2]quests!$A:$A),MATCH(C$1,[2]quests!$1:$1,0)-MATCH($A$1,[2]quests!$1:$1,0)+1),MATCH(C$1,[2]quests!$1:$1,0)-MATCH($A$1,[2]quests!$1:$1,0)+1,FALSE)</f>
        <v>降臨1</v>
      </c>
      <c r="D6" s="76">
        <v>1</v>
      </c>
      <c r="E6" s="77">
        <v>1</v>
      </c>
      <c r="F6" s="55" t="str">
        <f t="shared" si="0"/>
        <v>410030001</v>
      </c>
      <c r="G6" t="str">
        <f>F6&amp;TEXT(COUNTIF(F$2:F6,F6),"00")</f>
        <v>41003000105</v>
      </c>
      <c r="H6" s="57" t="s">
        <v>163</v>
      </c>
      <c r="I6" s="57">
        <v>614</v>
      </c>
      <c r="J6" s="57">
        <v>1</v>
      </c>
      <c r="K6" s="57">
        <v>0</v>
      </c>
      <c r="L6" s="57">
        <v>0</v>
      </c>
      <c r="M6" s="57">
        <v>0</v>
      </c>
      <c r="N6" s="57">
        <v>0</v>
      </c>
      <c r="O6" s="57">
        <v>1</v>
      </c>
      <c r="P6" s="57">
        <v>1</v>
      </c>
      <c r="Q6" s="57">
        <v>1</v>
      </c>
      <c r="R6" s="57" t="s">
        <v>137</v>
      </c>
      <c r="S6" s="57" t="s">
        <v>165</v>
      </c>
      <c r="T6" s="57" t="s">
        <v>157</v>
      </c>
      <c r="U6" s="58" t="s">
        <v>158</v>
      </c>
    </row>
    <row r="7" spans="1:21" ht="28" x14ac:dyDescent="0.15">
      <c r="A7" s="45">
        <f>score_attack_expanded_floors!$C$2</f>
        <v>41003</v>
      </c>
      <c r="B7" s="46" t="str">
        <f ca="1">VLOOKUP($A7,OFFSET([2]quests!$A$1,0,0,COUNTA([2]quests!$A:$A),MATCH(B$1,[2]quests!$1:$1,0)-MATCH($A$1,[2]quests!$1:$1,0)+1),MATCH(B$1,[2]quests!$1:$1,0)-MATCH($A$1,[2]quests!$1:$1,0)+1,FALSE)</f>
        <v>ジャンヌ襲来！</v>
      </c>
      <c r="C7" s="46" t="str">
        <f ca="1">VLOOKUP($A7,OFFSET([2]quests!$A$1,0,0,COUNTA([2]quests!$A:$A),MATCH(C$1,[2]quests!$1:$1,0)-MATCH($A$1,[2]quests!$1:$1,0)+1),MATCH(C$1,[2]quests!$1:$1,0)-MATCH($A$1,[2]quests!$1:$1,0)+1,FALSE)</f>
        <v>降臨1</v>
      </c>
      <c r="D7" s="76">
        <v>2</v>
      </c>
      <c r="E7" s="77">
        <v>2</v>
      </c>
      <c r="F7" s="55" t="str">
        <f t="shared" si="0"/>
        <v>410030002</v>
      </c>
      <c r="G7" t="str">
        <f>F7&amp;TEXT(COUNTIF(F$2:F7,F7),"00")</f>
        <v>41003000201</v>
      </c>
      <c r="H7" s="57" t="s">
        <v>155</v>
      </c>
      <c r="I7" s="57">
        <v>601</v>
      </c>
      <c r="J7" s="57">
        <v>1</v>
      </c>
      <c r="K7" s="57">
        <v>0</v>
      </c>
      <c r="L7" s="57">
        <v>0</v>
      </c>
      <c r="M7" s="57">
        <v>0</v>
      </c>
      <c r="N7" s="57">
        <v>0</v>
      </c>
      <c r="O7" s="57">
        <v>1</v>
      </c>
      <c r="P7" s="57">
        <v>1</v>
      </c>
      <c r="Q7" s="57">
        <v>1</v>
      </c>
      <c r="R7" s="57" t="s">
        <v>137</v>
      </c>
      <c r="S7" s="57" t="s">
        <v>156</v>
      </c>
      <c r="T7" s="57" t="s">
        <v>157</v>
      </c>
      <c r="U7" s="58" t="s">
        <v>158</v>
      </c>
    </row>
    <row r="8" spans="1:21" ht="28" x14ac:dyDescent="0.15">
      <c r="A8" s="45">
        <f>score_attack_expanded_floors!$C$2</f>
        <v>41003</v>
      </c>
      <c r="B8" s="46" t="str">
        <f ca="1">VLOOKUP($A8,OFFSET([2]quests!$A$1,0,0,COUNTA([2]quests!$A:$A),MATCH(B$1,[2]quests!$1:$1,0)-MATCH($A$1,[2]quests!$1:$1,0)+1),MATCH(B$1,[2]quests!$1:$1,0)-MATCH($A$1,[2]quests!$1:$1,0)+1,FALSE)</f>
        <v>ジャンヌ襲来！</v>
      </c>
      <c r="C8" s="46" t="str">
        <f ca="1">VLOOKUP($A8,OFFSET([2]quests!$A$1,0,0,COUNTA([2]quests!$A:$A),MATCH(C$1,[2]quests!$1:$1,0)-MATCH($A$1,[2]quests!$1:$1,0)+1),MATCH(C$1,[2]quests!$1:$1,0)-MATCH($A$1,[2]quests!$1:$1,0)+1,FALSE)</f>
        <v>降臨1</v>
      </c>
      <c r="D8" s="76">
        <v>2</v>
      </c>
      <c r="E8" s="77">
        <v>2</v>
      </c>
      <c r="F8" s="55" t="str">
        <f t="shared" si="0"/>
        <v>410030002</v>
      </c>
      <c r="G8" t="str">
        <f>F8&amp;TEXT(COUNTIF(F$2:F8,F8),"00")</f>
        <v>41003000202</v>
      </c>
      <c r="H8" s="57" t="s">
        <v>155</v>
      </c>
      <c r="I8" s="57">
        <v>600</v>
      </c>
      <c r="J8" s="57">
        <v>1</v>
      </c>
      <c r="K8" s="57">
        <v>0</v>
      </c>
      <c r="L8" s="57">
        <v>0</v>
      </c>
      <c r="M8" s="57">
        <v>0</v>
      </c>
      <c r="N8" s="57">
        <v>0</v>
      </c>
      <c r="O8" s="57">
        <v>1</v>
      </c>
      <c r="P8" s="57">
        <v>1</v>
      </c>
      <c r="Q8" s="57">
        <v>1</v>
      </c>
      <c r="R8" s="57" t="s">
        <v>137</v>
      </c>
      <c r="S8" s="57" t="s">
        <v>166</v>
      </c>
      <c r="T8" s="57" t="s">
        <v>157</v>
      </c>
      <c r="U8" s="58" t="s">
        <v>158</v>
      </c>
    </row>
    <row r="9" spans="1:21" ht="28" x14ac:dyDescent="0.15">
      <c r="A9" s="45">
        <f>score_attack_expanded_floors!$C$2</f>
        <v>41003</v>
      </c>
      <c r="B9" s="46" t="str">
        <f ca="1">VLOOKUP($A9,OFFSET([2]quests!$A$1,0,0,COUNTA([2]quests!$A:$A),MATCH(B$1,[2]quests!$1:$1,0)-MATCH($A$1,[2]quests!$1:$1,0)+1),MATCH(B$1,[2]quests!$1:$1,0)-MATCH($A$1,[2]quests!$1:$1,0)+1,FALSE)</f>
        <v>ジャンヌ襲来！</v>
      </c>
      <c r="C9" s="46" t="str">
        <f ca="1">VLOOKUP($A9,OFFSET([2]quests!$A$1,0,0,COUNTA([2]quests!$A:$A),MATCH(C$1,[2]quests!$1:$1,0)-MATCH($A$1,[2]quests!$1:$1,0)+1),MATCH(C$1,[2]quests!$1:$1,0)-MATCH($A$1,[2]quests!$1:$1,0)+1,FALSE)</f>
        <v>降臨1</v>
      </c>
      <c r="D9" s="76">
        <v>2</v>
      </c>
      <c r="E9" s="77">
        <v>2</v>
      </c>
      <c r="F9" s="55" t="str">
        <f t="shared" si="0"/>
        <v>410030002</v>
      </c>
      <c r="G9" t="str">
        <f>F9&amp;TEXT(COUNTIF(F$2:F9,F9),"00")</f>
        <v>41003000203</v>
      </c>
      <c r="H9" s="57" t="s">
        <v>160</v>
      </c>
      <c r="I9" s="57">
        <v>5</v>
      </c>
      <c r="J9" s="57" t="s">
        <v>161</v>
      </c>
      <c r="K9" s="57">
        <v>0</v>
      </c>
      <c r="L9" s="57">
        <v>0</v>
      </c>
      <c r="M9" s="57">
        <v>0</v>
      </c>
      <c r="N9" s="57">
        <v>0</v>
      </c>
      <c r="O9" s="57">
        <v>1</v>
      </c>
      <c r="P9" s="57">
        <v>1</v>
      </c>
      <c r="Q9" s="57">
        <v>1</v>
      </c>
      <c r="R9" s="57" t="s">
        <v>137</v>
      </c>
      <c r="S9" s="57" t="s">
        <v>167</v>
      </c>
      <c r="T9" s="57" t="s">
        <v>157</v>
      </c>
      <c r="U9" s="58" t="s">
        <v>158</v>
      </c>
    </row>
    <row r="10" spans="1:21" ht="28" x14ac:dyDescent="0.15">
      <c r="A10" s="45">
        <f>score_attack_expanded_floors!$C$2</f>
        <v>41003</v>
      </c>
      <c r="B10" s="46" t="str">
        <f ca="1">VLOOKUP($A10,OFFSET([2]quests!$A$1,0,0,COUNTA([2]quests!$A:$A),MATCH(B$1,[2]quests!$1:$1,0)-MATCH($A$1,[2]quests!$1:$1,0)+1),MATCH(B$1,[2]quests!$1:$1,0)-MATCH($A$1,[2]quests!$1:$1,0)+1,FALSE)</f>
        <v>ジャンヌ襲来！</v>
      </c>
      <c r="C10" s="46" t="str">
        <f ca="1">VLOOKUP($A10,OFFSET([2]quests!$A$1,0,0,COUNTA([2]quests!$A:$A),MATCH(C$1,[2]quests!$1:$1,0)-MATCH($A$1,[2]quests!$1:$1,0)+1),MATCH(C$1,[2]quests!$1:$1,0)-MATCH($A$1,[2]quests!$1:$1,0)+1,FALSE)</f>
        <v>降臨1</v>
      </c>
      <c r="D10" s="76">
        <v>2</v>
      </c>
      <c r="E10" s="77">
        <v>2</v>
      </c>
      <c r="F10" s="55" t="str">
        <f t="shared" si="0"/>
        <v>410030002</v>
      </c>
      <c r="G10" t="str">
        <f>F10&amp;TEXT(COUNTIF(F$2:F10,F10),"00")</f>
        <v>41003000204</v>
      </c>
      <c r="H10" s="57" t="s">
        <v>163</v>
      </c>
      <c r="I10" s="57">
        <v>610</v>
      </c>
      <c r="J10" s="57">
        <v>1</v>
      </c>
      <c r="K10" s="57">
        <v>0</v>
      </c>
      <c r="L10" s="57">
        <v>0</v>
      </c>
      <c r="M10" s="57">
        <v>0</v>
      </c>
      <c r="N10" s="57">
        <v>0</v>
      </c>
      <c r="O10" s="57">
        <v>1</v>
      </c>
      <c r="P10" s="57">
        <v>1</v>
      </c>
      <c r="Q10" s="57">
        <v>1</v>
      </c>
      <c r="R10" s="57" t="s">
        <v>137</v>
      </c>
      <c r="S10" s="57" t="s">
        <v>168</v>
      </c>
      <c r="T10" s="57" t="s">
        <v>157</v>
      </c>
      <c r="U10" s="58" t="s">
        <v>158</v>
      </c>
    </row>
    <row r="11" spans="1:21" ht="28" x14ac:dyDescent="0.15">
      <c r="A11" s="45">
        <f>score_attack_expanded_floors!$C$2</f>
        <v>41003</v>
      </c>
      <c r="B11" s="46" t="str">
        <f ca="1">VLOOKUP($A11,OFFSET([2]quests!$A$1,0,0,COUNTA([2]quests!$A:$A),MATCH(B$1,[2]quests!$1:$1,0)-MATCH($A$1,[2]quests!$1:$1,0)+1),MATCH(B$1,[2]quests!$1:$1,0)-MATCH($A$1,[2]quests!$1:$1,0)+1,FALSE)</f>
        <v>ジャンヌ襲来！</v>
      </c>
      <c r="C11" s="46" t="str">
        <f ca="1">VLOOKUP($A11,OFFSET([2]quests!$A$1,0,0,COUNTA([2]quests!$A:$A),MATCH(C$1,[2]quests!$1:$1,0)-MATCH($A$1,[2]quests!$1:$1,0)+1),MATCH(C$1,[2]quests!$1:$1,0)-MATCH($A$1,[2]quests!$1:$1,0)+1,FALSE)</f>
        <v>降臨1</v>
      </c>
      <c r="D11" s="76">
        <v>2</v>
      </c>
      <c r="E11" s="77">
        <v>2</v>
      </c>
      <c r="F11" s="55" t="str">
        <f t="shared" si="0"/>
        <v>410030002</v>
      </c>
      <c r="G11" t="str">
        <f>F11&amp;TEXT(COUNTIF(F$2:F11,F11),"00")</f>
        <v>41003000205</v>
      </c>
      <c r="H11" s="57" t="s">
        <v>155</v>
      </c>
      <c r="I11" s="57">
        <v>1</v>
      </c>
      <c r="J11" s="57">
        <v>3</v>
      </c>
      <c r="K11" s="57">
        <v>0</v>
      </c>
      <c r="L11" s="57">
        <v>0</v>
      </c>
      <c r="M11" s="57">
        <v>0</v>
      </c>
      <c r="N11" s="57">
        <v>0</v>
      </c>
      <c r="O11" s="57">
        <v>1</v>
      </c>
      <c r="P11" s="57">
        <v>1</v>
      </c>
      <c r="Q11" s="57">
        <v>1</v>
      </c>
      <c r="R11" s="57" t="s">
        <v>137</v>
      </c>
      <c r="S11" s="57" t="s">
        <v>169</v>
      </c>
      <c r="T11" s="57" t="s">
        <v>157</v>
      </c>
      <c r="U11" s="58" t="s">
        <v>158</v>
      </c>
    </row>
    <row r="12" spans="1:21" ht="28" x14ac:dyDescent="0.15">
      <c r="A12" s="45">
        <f>score_attack_expanded_floors!$C$2</f>
        <v>41003</v>
      </c>
      <c r="B12" s="46" t="str">
        <f ca="1">VLOOKUP($A12,OFFSET([2]quests!$A$1,0,0,COUNTA([2]quests!$A:$A),MATCH(B$1,[2]quests!$1:$1,0)-MATCH($A$1,[2]quests!$1:$1,0)+1),MATCH(B$1,[2]quests!$1:$1,0)-MATCH($A$1,[2]quests!$1:$1,0)+1,FALSE)</f>
        <v>ジャンヌ襲来！</v>
      </c>
      <c r="C12" s="46" t="str">
        <f ca="1">VLOOKUP($A12,OFFSET([2]quests!$A$1,0,0,COUNTA([2]quests!$A:$A),MATCH(C$1,[2]quests!$1:$1,0)-MATCH($A$1,[2]quests!$1:$1,0)+1),MATCH(C$1,[2]quests!$1:$1,0)-MATCH($A$1,[2]quests!$1:$1,0)+1,FALSE)</f>
        <v>降臨1</v>
      </c>
      <c r="D12" s="76">
        <v>3</v>
      </c>
      <c r="E12" s="77">
        <v>3</v>
      </c>
      <c r="F12" s="55" t="str">
        <f t="shared" si="0"/>
        <v>410030003</v>
      </c>
      <c r="G12" t="str">
        <f>F12&amp;TEXT(COUNTIF(F$2:F12,F12),"00")</f>
        <v>41003000301</v>
      </c>
      <c r="H12" s="57" t="s">
        <v>155</v>
      </c>
      <c r="I12" s="57">
        <v>600</v>
      </c>
      <c r="J12" s="57">
        <v>3</v>
      </c>
      <c r="K12" s="57">
        <v>0</v>
      </c>
      <c r="L12" s="57">
        <v>0</v>
      </c>
      <c r="M12" s="57">
        <v>0</v>
      </c>
      <c r="N12" s="57">
        <v>0</v>
      </c>
      <c r="O12" s="57">
        <v>1</v>
      </c>
      <c r="P12" s="57">
        <v>1</v>
      </c>
      <c r="Q12" s="57">
        <v>1</v>
      </c>
      <c r="R12" s="57" t="s">
        <v>137</v>
      </c>
      <c r="S12" s="57" t="s">
        <v>170</v>
      </c>
      <c r="T12" s="57" t="s">
        <v>157</v>
      </c>
      <c r="U12" s="58" t="s">
        <v>158</v>
      </c>
    </row>
    <row r="13" spans="1:21" ht="28" x14ac:dyDescent="0.15">
      <c r="A13" s="45">
        <f>score_attack_expanded_floors!$C$2</f>
        <v>41003</v>
      </c>
      <c r="B13" s="46" t="str">
        <f ca="1">VLOOKUP($A13,OFFSET([2]quests!$A$1,0,0,COUNTA([2]quests!$A:$A),MATCH(B$1,[2]quests!$1:$1,0)-MATCH($A$1,[2]quests!$1:$1,0)+1),MATCH(B$1,[2]quests!$1:$1,0)-MATCH($A$1,[2]quests!$1:$1,0)+1,FALSE)</f>
        <v>ジャンヌ襲来！</v>
      </c>
      <c r="C13" s="46" t="str">
        <f ca="1">VLOOKUP($A13,OFFSET([2]quests!$A$1,0,0,COUNTA([2]quests!$A:$A),MATCH(C$1,[2]quests!$1:$1,0)-MATCH($A$1,[2]quests!$1:$1,0)+1),MATCH(C$1,[2]quests!$1:$1,0)-MATCH($A$1,[2]quests!$1:$1,0)+1,FALSE)</f>
        <v>降臨1</v>
      </c>
      <c r="D13" s="76">
        <v>3</v>
      </c>
      <c r="E13" s="77">
        <v>3</v>
      </c>
      <c r="F13" s="55" t="str">
        <f t="shared" si="0"/>
        <v>410030003</v>
      </c>
      <c r="G13" t="str">
        <f>F13&amp;TEXT(COUNTIF(F$2:F13,F13),"00")</f>
        <v>41003000302</v>
      </c>
      <c r="H13" s="57" t="s">
        <v>163</v>
      </c>
      <c r="I13" s="57">
        <v>335</v>
      </c>
      <c r="J13" s="57">
        <v>1</v>
      </c>
      <c r="K13" s="57">
        <v>0</v>
      </c>
      <c r="L13" s="57">
        <v>0</v>
      </c>
      <c r="M13" s="57">
        <v>0</v>
      </c>
      <c r="N13" s="57">
        <v>0</v>
      </c>
      <c r="O13" s="57">
        <v>1</v>
      </c>
      <c r="P13" s="57">
        <v>1</v>
      </c>
      <c r="Q13" s="57">
        <v>1</v>
      </c>
      <c r="R13" s="57" t="s">
        <v>137</v>
      </c>
      <c r="S13" s="57" t="s">
        <v>171</v>
      </c>
      <c r="T13" s="57" t="s">
        <v>157</v>
      </c>
      <c r="U13" s="58" t="s">
        <v>158</v>
      </c>
    </row>
    <row r="14" spans="1:21" ht="28" x14ac:dyDescent="0.15">
      <c r="A14" s="45">
        <f>score_attack_expanded_floors!$C$2</f>
        <v>41003</v>
      </c>
      <c r="B14" s="46" t="str">
        <f ca="1">VLOOKUP($A14,OFFSET([2]quests!$A$1,0,0,COUNTA([2]quests!$A:$A),MATCH(B$1,[2]quests!$1:$1,0)-MATCH($A$1,[2]quests!$1:$1,0)+1),MATCH(B$1,[2]quests!$1:$1,0)-MATCH($A$1,[2]quests!$1:$1,0)+1,FALSE)</f>
        <v>ジャンヌ襲来！</v>
      </c>
      <c r="C14" s="46" t="str">
        <f ca="1">VLOOKUP($A14,OFFSET([2]quests!$A$1,0,0,COUNTA([2]quests!$A:$A),MATCH(C$1,[2]quests!$1:$1,0)-MATCH($A$1,[2]quests!$1:$1,0)+1),MATCH(C$1,[2]quests!$1:$1,0)-MATCH($A$1,[2]quests!$1:$1,0)+1,FALSE)</f>
        <v>降臨1</v>
      </c>
      <c r="D14" s="76">
        <v>3</v>
      </c>
      <c r="E14" s="77">
        <v>3</v>
      </c>
      <c r="F14" s="55" t="str">
        <f t="shared" si="0"/>
        <v>410030003</v>
      </c>
      <c r="G14" t="str">
        <f>F14&amp;TEXT(COUNTIF(F$2:F14,F14),"00")</f>
        <v>41003000303</v>
      </c>
      <c r="H14" s="57" t="s">
        <v>163</v>
      </c>
      <c r="I14" s="57">
        <v>339</v>
      </c>
      <c r="J14" s="57">
        <v>1</v>
      </c>
      <c r="K14" s="57">
        <v>0</v>
      </c>
      <c r="L14" s="57">
        <v>0</v>
      </c>
      <c r="M14" s="57">
        <v>0</v>
      </c>
      <c r="N14" s="57">
        <v>0</v>
      </c>
      <c r="O14" s="57">
        <v>1</v>
      </c>
      <c r="P14" s="57">
        <v>1</v>
      </c>
      <c r="Q14" s="57">
        <v>1</v>
      </c>
      <c r="R14" s="57" t="s">
        <v>137</v>
      </c>
      <c r="S14" s="57" t="s">
        <v>172</v>
      </c>
      <c r="T14" s="57" t="s">
        <v>157</v>
      </c>
      <c r="U14" s="58" t="s">
        <v>158</v>
      </c>
    </row>
    <row r="15" spans="1:21" ht="28" x14ac:dyDescent="0.15">
      <c r="A15" s="45">
        <f>score_attack_expanded_floors!$C$2</f>
        <v>41003</v>
      </c>
      <c r="B15" s="46" t="str">
        <f ca="1">VLOOKUP($A15,OFFSET([2]quests!$A$1,0,0,COUNTA([2]quests!$A:$A),MATCH(B$1,[2]quests!$1:$1,0)-MATCH($A$1,[2]quests!$1:$1,0)+1),MATCH(B$1,[2]quests!$1:$1,0)-MATCH($A$1,[2]quests!$1:$1,0)+1,FALSE)</f>
        <v>ジャンヌ襲来！</v>
      </c>
      <c r="C15" s="46" t="str">
        <f ca="1">VLOOKUP($A15,OFFSET([2]quests!$A$1,0,0,COUNTA([2]quests!$A:$A),MATCH(C$1,[2]quests!$1:$1,0)-MATCH($A$1,[2]quests!$1:$1,0)+1),MATCH(C$1,[2]quests!$1:$1,0)-MATCH($A$1,[2]quests!$1:$1,0)+1,FALSE)</f>
        <v>降臨1</v>
      </c>
      <c r="D15" s="76">
        <v>3</v>
      </c>
      <c r="E15" s="77">
        <v>3</v>
      </c>
      <c r="F15" s="55" t="str">
        <f t="shared" si="0"/>
        <v>410030003</v>
      </c>
      <c r="G15" t="str">
        <f>F15&amp;TEXT(COUNTIF(F$2:F15,F15),"00")</f>
        <v>41003000304</v>
      </c>
      <c r="H15" s="57" t="s">
        <v>163</v>
      </c>
      <c r="I15" s="57">
        <v>343</v>
      </c>
      <c r="J15" s="57">
        <v>1</v>
      </c>
      <c r="K15" s="57">
        <v>0</v>
      </c>
      <c r="L15" s="57">
        <v>0</v>
      </c>
      <c r="M15" s="57">
        <v>0</v>
      </c>
      <c r="N15" s="57">
        <v>0</v>
      </c>
      <c r="O15" s="57">
        <v>1</v>
      </c>
      <c r="P15" s="57">
        <v>1</v>
      </c>
      <c r="Q15" s="57">
        <v>1</v>
      </c>
      <c r="R15" s="57" t="s">
        <v>137</v>
      </c>
      <c r="S15" s="57" t="s">
        <v>173</v>
      </c>
      <c r="T15" s="57" t="s">
        <v>157</v>
      </c>
      <c r="U15" s="58" t="s">
        <v>158</v>
      </c>
    </row>
    <row r="16" spans="1:21" ht="28" x14ac:dyDescent="0.15">
      <c r="A16" s="45">
        <f>score_attack_expanded_floors!$C$2</f>
        <v>41003</v>
      </c>
      <c r="B16" s="46" t="str">
        <f ca="1">VLOOKUP($A16,OFFSET([2]quests!$A$1,0,0,COUNTA([2]quests!$A:$A),MATCH(B$1,[2]quests!$1:$1,0)-MATCH($A$1,[2]quests!$1:$1,0)+1),MATCH(B$1,[2]quests!$1:$1,0)-MATCH($A$1,[2]quests!$1:$1,0)+1,FALSE)</f>
        <v>ジャンヌ襲来！</v>
      </c>
      <c r="C16" s="46" t="str">
        <f ca="1">VLOOKUP($A16,OFFSET([2]quests!$A$1,0,0,COUNTA([2]quests!$A:$A),MATCH(C$1,[2]quests!$1:$1,0)-MATCH($A$1,[2]quests!$1:$1,0)+1),MATCH(C$1,[2]quests!$1:$1,0)-MATCH($A$1,[2]quests!$1:$1,0)+1,FALSE)</f>
        <v>降臨1</v>
      </c>
      <c r="D16" s="76">
        <v>3</v>
      </c>
      <c r="E16" s="77">
        <v>3</v>
      </c>
      <c r="F16" s="55" t="str">
        <f t="shared" si="0"/>
        <v>410030003</v>
      </c>
      <c r="G16" t="str">
        <f>F16&amp;TEXT(COUNTIF(F$2:F16,F16),"00")</f>
        <v>41003000305</v>
      </c>
      <c r="H16" s="57" t="s">
        <v>163</v>
      </c>
      <c r="I16" s="57">
        <v>347</v>
      </c>
      <c r="J16" s="57">
        <v>1</v>
      </c>
      <c r="K16" s="57">
        <v>0</v>
      </c>
      <c r="L16" s="57">
        <v>0</v>
      </c>
      <c r="M16" s="57">
        <v>0</v>
      </c>
      <c r="N16" s="57">
        <v>0</v>
      </c>
      <c r="O16" s="57">
        <v>1</v>
      </c>
      <c r="P16" s="57">
        <v>1</v>
      </c>
      <c r="Q16" s="57">
        <v>1</v>
      </c>
      <c r="R16" s="57" t="s">
        <v>137</v>
      </c>
      <c r="S16" s="57" t="s">
        <v>174</v>
      </c>
      <c r="T16" s="57" t="s">
        <v>157</v>
      </c>
      <c r="U16" s="58" t="s">
        <v>158</v>
      </c>
    </row>
    <row r="17" spans="1:21" ht="28" x14ac:dyDescent="0.15">
      <c r="A17" s="45">
        <f>score_attack_expanded_floors!$C$2</f>
        <v>41003</v>
      </c>
      <c r="B17" s="46" t="str">
        <f ca="1">VLOOKUP($A17,OFFSET([2]quests!$A$1,0,0,COUNTA([2]quests!$A:$A),MATCH(B$1,[2]quests!$1:$1,0)-MATCH($A$1,[2]quests!$1:$1,0)+1),MATCH(B$1,[2]quests!$1:$1,0)-MATCH($A$1,[2]quests!$1:$1,0)+1,FALSE)</f>
        <v>ジャンヌ襲来！</v>
      </c>
      <c r="C17" s="46" t="str">
        <f ca="1">VLOOKUP($A17,OFFSET([2]quests!$A$1,0,0,COUNTA([2]quests!$A:$A),MATCH(C$1,[2]quests!$1:$1,0)-MATCH($A$1,[2]quests!$1:$1,0)+1),MATCH(C$1,[2]quests!$1:$1,0)-MATCH($A$1,[2]quests!$1:$1,0)+1,FALSE)</f>
        <v>降臨1</v>
      </c>
      <c r="D17" s="76">
        <v>3</v>
      </c>
      <c r="E17" s="77">
        <v>3</v>
      </c>
      <c r="F17" s="55" t="str">
        <f t="shared" si="0"/>
        <v>410030003</v>
      </c>
      <c r="G17" t="str">
        <f>F17&amp;TEXT(COUNTIF(F$2:F17,F17),"00")</f>
        <v>41003000306</v>
      </c>
      <c r="H17" s="57" t="s">
        <v>160</v>
      </c>
      <c r="I17" s="57">
        <v>5</v>
      </c>
      <c r="J17" s="57" t="s">
        <v>161</v>
      </c>
      <c r="K17" s="57">
        <v>0</v>
      </c>
      <c r="L17" s="57">
        <v>0</v>
      </c>
      <c r="M17" s="57">
        <v>0</v>
      </c>
      <c r="N17" s="57">
        <v>0</v>
      </c>
      <c r="O17" s="57">
        <v>1</v>
      </c>
      <c r="P17" s="57">
        <v>1</v>
      </c>
      <c r="Q17" s="57">
        <v>1</v>
      </c>
      <c r="R17" s="57" t="s">
        <v>137</v>
      </c>
      <c r="S17" s="57" t="s">
        <v>167</v>
      </c>
      <c r="T17" s="57" t="s">
        <v>157</v>
      </c>
      <c r="U17" s="58" t="s">
        <v>158</v>
      </c>
    </row>
    <row r="18" spans="1:21" ht="28" x14ac:dyDescent="0.15">
      <c r="A18" s="45">
        <f>score_attack_expanded_floors!$C$2</f>
        <v>41003</v>
      </c>
      <c r="B18" s="46" t="str">
        <f ca="1">VLOOKUP($A18,OFFSET([2]quests!$A$1,0,0,COUNTA([2]quests!$A:$A),MATCH(B$1,[2]quests!$1:$1,0)-MATCH($A$1,[2]quests!$1:$1,0)+1),MATCH(B$1,[2]quests!$1:$1,0)-MATCH($A$1,[2]quests!$1:$1,0)+1,FALSE)</f>
        <v>ジャンヌ襲来！</v>
      </c>
      <c r="C18" s="46" t="str">
        <f ca="1">VLOOKUP($A18,OFFSET([2]quests!$A$1,0,0,COUNTA([2]quests!$A:$A),MATCH(C$1,[2]quests!$1:$1,0)-MATCH($A$1,[2]quests!$1:$1,0)+1),MATCH(C$1,[2]quests!$1:$1,0)-MATCH($A$1,[2]quests!$1:$1,0)+1,FALSE)</f>
        <v>降臨1</v>
      </c>
      <c r="D18" s="76">
        <v>3</v>
      </c>
      <c r="E18" s="77">
        <v>3</v>
      </c>
      <c r="F18" s="55" t="str">
        <f t="shared" si="0"/>
        <v>410030003</v>
      </c>
      <c r="G18" t="str">
        <f>F18&amp;TEXT(COUNTIF(F$2:F18,F18),"00")</f>
        <v>41003000307</v>
      </c>
      <c r="H18" s="57" t="s">
        <v>163</v>
      </c>
      <c r="I18" s="57">
        <v>125</v>
      </c>
      <c r="J18" s="57">
        <v>1</v>
      </c>
      <c r="K18" s="57">
        <v>0</v>
      </c>
      <c r="L18" s="57">
        <v>0</v>
      </c>
      <c r="M18" s="57">
        <v>0</v>
      </c>
      <c r="N18" s="57">
        <v>0</v>
      </c>
      <c r="O18" s="57">
        <v>1</v>
      </c>
      <c r="P18" s="57">
        <v>1</v>
      </c>
      <c r="Q18" s="57">
        <v>1</v>
      </c>
      <c r="R18" s="57" t="s">
        <v>137</v>
      </c>
      <c r="S18" s="57" t="s">
        <v>175</v>
      </c>
      <c r="T18" s="57" t="s">
        <v>157</v>
      </c>
      <c r="U18" s="58" t="s">
        <v>158</v>
      </c>
    </row>
    <row r="19" spans="1:21" ht="28" x14ac:dyDescent="0.15">
      <c r="A19" s="45">
        <f>score_attack_expanded_floors!$C$2</f>
        <v>41003</v>
      </c>
      <c r="B19" s="46" t="str">
        <f ca="1">VLOOKUP($A19,OFFSET([2]quests!$A$1,0,0,COUNTA([2]quests!$A:$A),MATCH(B$1,[2]quests!$1:$1,0)-MATCH($A$1,[2]quests!$1:$1,0)+1),MATCH(B$1,[2]quests!$1:$1,0)-MATCH($A$1,[2]quests!$1:$1,0)+1,FALSE)</f>
        <v>ジャンヌ襲来！</v>
      </c>
      <c r="C19" s="46" t="str">
        <f ca="1">VLOOKUP($A19,OFFSET([2]quests!$A$1,0,0,COUNTA([2]quests!$A:$A),MATCH(C$1,[2]quests!$1:$1,0)-MATCH($A$1,[2]quests!$1:$1,0)+1),MATCH(C$1,[2]quests!$1:$1,0)-MATCH($A$1,[2]quests!$1:$1,0)+1,FALSE)</f>
        <v>降臨1</v>
      </c>
      <c r="D19" s="76">
        <v>3</v>
      </c>
      <c r="E19" s="77">
        <v>3</v>
      </c>
      <c r="F19" s="55" t="str">
        <f t="shared" si="0"/>
        <v>410030003</v>
      </c>
      <c r="G19" t="str">
        <f>F19&amp;TEXT(COUNTIF(F$2:F19,F19),"00")</f>
        <v>41003000308</v>
      </c>
      <c r="H19" s="57" t="s">
        <v>155</v>
      </c>
      <c r="I19" s="57">
        <v>1</v>
      </c>
      <c r="J19" s="57">
        <v>1</v>
      </c>
      <c r="K19" s="57">
        <v>0</v>
      </c>
      <c r="L19" s="57">
        <v>0</v>
      </c>
      <c r="M19" s="57">
        <v>0</v>
      </c>
      <c r="N19" s="57">
        <v>0</v>
      </c>
      <c r="O19" s="57">
        <v>1</v>
      </c>
      <c r="P19" s="57">
        <v>1</v>
      </c>
      <c r="Q19" s="57">
        <v>1</v>
      </c>
      <c r="R19" s="57" t="s">
        <v>137</v>
      </c>
      <c r="S19" s="57" t="s">
        <v>176</v>
      </c>
      <c r="T19" s="57" t="s">
        <v>157</v>
      </c>
      <c r="U19" s="58" t="s">
        <v>158</v>
      </c>
    </row>
    <row r="20" spans="1:21" ht="28" x14ac:dyDescent="0.15">
      <c r="A20" s="45">
        <f>score_attack_expanded_floors!$C$2</f>
        <v>41003</v>
      </c>
      <c r="B20" s="46" t="str">
        <f ca="1">VLOOKUP($A20,OFFSET([2]quests!$A$1,0,0,COUNTA([2]quests!$A:$A),MATCH(B$1,[2]quests!$1:$1,0)-MATCH($A$1,[2]quests!$1:$1,0)+1),MATCH(B$1,[2]quests!$1:$1,0)-MATCH($A$1,[2]quests!$1:$1,0)+1,FALSE)</f>
        <v>ジャンヌ襲来！</v>
      </c>
      <c r="C20" s="46" t="str">
        <f ca="1">VLOOKUP($A20,OFFSET([2]quests!$A$1,0,0,COUNTA([2]quests!$A:$A),MATCH(C$1,[2]quests!$1:$1,0)-MATCH($A$1,[2]quests!$1:$1,0)+1),MATCH(C$1,[2]quests!$1:$1,0)-MATCH($A$1,[2]quests!$1:$1,0)+1,FALSE)</f>
        <v>降臨1</v>
      </c>
      <c r="D20" s="76">
        <v>4</v>
      </c>
      <c r="E20" s="77">
        <v>5</v>
      </c>
      <c r="F20" s="55" t="str">
        <f t="shared" si="0"/>
        <v>410030005</v>
      </c>
      <c r="G20" t="str">
        <f>F20&amp;TEXT(COUNTIF(F$2:F20,F20),"00")</f>
        <v>41003000501</v>
      </c>
      <c r="H20" s="57" t="s">
        <v>155</v>
      </c>
      <c r="I20" s="57">
        <v>600</v>
      </c>
      <c r="J20" s="57">
        <v>2</v>
      </c>
      <c r="K20" s="57">
        <v>0</v>
      </c>
      <c r="L20" s="57">
        <v>0</v>
      </c>
      <c r="M20" s="57">
        <v>0</v>
      </c>
      <c r="N20" s="57">
        <v>0</v>
      </c>
      <c r="O20" s="57">
        <v>1</v>
      </c>
      <c r="P20" s="57">
        <v>1</v>
      </c>
      <c r="Q20" s="57">
        <v>1</v>
      </c>
      <c r="R20" s="57" t="s">
        <v>137</v>
      </c>
      <c r="S20" s="57" t="s">
        <v>159</v>
      </c>
      <c r="T20" s="57" t="s">
        <v>157</v>
      </c>
      <c r="U20" s="58" t="s">
        <v>158</v>
      </c>
    </row>
    <row r="21" spans="1:21" ht="28" x14ac:dyDescent="0.15">
      <c r="A21" s="45">
        <f>score_attack_expanded_floors!$C$2</f>
        <v>41003</v>
      </c>
      <c r="B21" s="46" t="str">
        <f ca="1">VLOOKUP($A21,OFFSET([2]quests!$A$1,0,0,COUNTA([2]quests!$A:$A),MATCH(B$1,[2]quests!$1:$1,0)-MATCH($A$1,[2]quests!$1:$1,0)+1),MATCH(B$1,[2]quests!$1:$1,0)-MATCH($A$1,[2]quests!$1:$1,0)+1,FALSE)</f>
        <v>ジャンヌ襲来！</v>
      </c>
      <c r="C21" s="46" t="str">
        <f ca="1">VLOOKUP($A21,OFFSET([2]quests!$A$1,0,0,COUNTA([2]quests!$A:$A),MATCH(C$1,[2]quests!$1:$1,0)-MATCH($A$1,[2]quests!$1:$1,0)+1),MATCH(C$1,[2]quests!$1:$1,0)-MATCH($A$1,[2]quests!$1:$1,0)+1,FALSE)</f>
        <v>降臨1</v>
      </c>
      <c r="D21" s="76">
        <v>4</v>
      </c>
      <c r="E21" s="77">
        <v>5</v>
      </c>
      <c r="F21" s="55" t="str">
        <f t="shared" si="0"/>
        <v>410030005</v>
      </c>
      <c r="G21" t="str">
        <f>F21&amp;TEXT(COUNTIF(F$2:F21,F21),"00")</f>
        <v>41003000502</v>
      </c>
      <c r="H21" s="57" t="s">
        <v>163</v>
      </c>
      <c r="I21" s="57">
        <v>335</v>
      </c>
      <c r="J21" s="57">
        <v>1</v>
      </c>
      <c r="K21" s="57">
        <v>0</v>
      </c>
      <c r="L21" s="57">
        <v>0</v>
      </c>
      <c r="M21" s="57">
        <v>0</v>
      </c>
      <c r="N21" s="57">
        <v>0</v>
      </c>
      <c r="O21" s="57">
        <v>1</v>
      </c>
      <c r="P21" s="57">
        <v>1</v>
      </c>
      <c r="Q21" s="57">
        <v>1</v>
      </c>
      <c r="R21" s="57" t="s">
        <v>137</v>
      </c>
      <c r="S21" s="57" t="s">
        <v>171</v>
      </c>
      <c r="T21" s="57" t="s">
        <v>157</v>
      </c>
      <c r="U21" s="58" t="s">
        <v>158</v>
      </c>
    </row>
    <row r="22" spans="1:21" ht="28" x14ac:dyDescent="0.15">
      <c r="A22" s="45">
        <f>score_attack_expanded_floors!$C$2</f>
        <v>41003</v>
      </c>
      <c r="B22" s="46" t="str">
        <f ca="1">VLOOKUP($A22,OFFSET([2]quests!$A$1,0,0,COUNTA([2]quests!$A:$A),MATCH(B$1,[2]quests!$1:$1,0)-MATCH($A$1,[2]quests!$1:$1,0)+1),MATCH(B$1,[2]quests!$1:$1,0)-MATCH($A$1,[2]quests!$1:$1,0)+1,FALSE)</f>
        <v>ジャンヌ襲来！</v>
      </c>
      <c r="C22" s="46" t="str">
        <f ca="1">VLOOKUP($A22,OFFSET([2]quests!$A$1,0,0,COUNTA([2]quests!$A:$A),MATCH(C$1,[2]quests!$1:$1,0)-MATCH($A$1,[2]quests!$1:$1,0)+1),MATCH(C$1,[2]quests!$1:$1,0)-MATCH($A$1,[2]quests!$1:$1,0)+1,FALSE)</f>
        <v>降臨1</v>
      </c>
      <c r="D22" s="76">
        <v>4</v>
      </c>
      <c r="E22" s="77">
        <v>5</v>
      </c>
      <c r="F22" s="55" t="str">
        <f t="shared" si="0"/>
        <v>410030005</v>
      </c>
      <c r="G22" t="str">
        <f>F22&amp;TEXT(COUNTIF(F$2:F22,F22),"00")</f>
        <v>41003000503</v>
      </c>
      <c r="H22" s="57" t="s">
        <v>163</v>
      </c>
      <c r="I22" s="57">
        <v>339</v>
      </c>
      <c r="J22" s="57">
        <v>1</v>
      </c>
      <c r="K22" s="57">
        <v>0</v>
      </c>
      <c r="L22" s="57">
        <v>0</v>
      </c>
      <c r="M22" s="57">
        <v>0</v>
      </c>
      <c r="N22" s="57">
        <v>0</v>
      </c>
      <c r="O22" s="57">
        <v>1</v>
      </c>
      <c r="P22" s="57">
        <v>1</v>
      </c>
      <c r="Q22" s="57">
        <v>1</v>
      </c>
      <c r="R22" s="57" t="s">
        <v>137</v>
      </c>
      <c r="S22" s="57" t="s">
        <v>172</v>
      </c>
      <c r="T22" s="57" t="s">
        <v>157</v>
      </c>
      <c r="U22" s="58" t="s">
        <v>158</v>
      </c>
    </row>
    <row r="23" spans="1:21" ht="28" x14ac:dyDescent="0.15">
      <c r="A23" s="45">
        <f>score_attack_expanded_floors!$C$2</f>
        <v>41003</v>
      </c>
      <c r="B23" s="46" t="str">
        <f ca="1">VLOOKUP($A23,OFFSET([2]quests!$A$1,0,0,COUNTA([2]quests!$A:$A),MATCH(B$1,[2]quests!$1:$1,0)-MATCH($A$1,[2]quests!$1:$1,0)+1),MATCH(B$1,[2]quests!$1:$1,0)-MATCH($A$1,[2]quests!$1:$1,0)+1,FALSE)</f>
        <v>ジャンヌ襲来！</v>
      </c>
      <c r="C23" s="46" t="str">
        <f ca="1">VLOOKUP($A23,OFFSET([2]quests!$A$1,0,0,COUNTA([2]quests!$A:$A),MATCH(C$1,[2]quests!$1:$1,0)-MATCH($A$1,[2]quests!$1:$1,0)+1),MATCH(C$1,[2]quests!$1:$1,0)-MATCH($A$1,[2]quests!$1:$1,0)+1,FALSE)</f>
        <v>降臨1</v>
      </c>
      <c r="D23" s="76">
        <v>4</v>
      </c>
      <c r="E23" s="77">
        <v>5</v>
      </c>
      <c r="F23" s="55" t="str">
        <f t="shared" si="0"/>
        <v>410030005</v>
      </c>
      <c r="G23" t="str">
        <f>F23&amp;TEXT(COUNTIF(F$2:F23,F23),"00")</f>
        <v>41003000504</v>
      </c>
      <c r="H23" s="57" t="s">
        <v>163</v>
      </c>
      <c r="I23" s="57">
        <v>343</v>
      </c>
      <c r="J23" s="57">
        <v>1</v>
      </c>
      <c r="K23" s="57">
        <v>0</v>
      </c>
      <c r="L23" s="57">
        <v>0</v>
      </c>
      <c r="M23" s="57">
        <v>0</v>
      </c>
      <c r="N23" s="57">
        <v>0</v>
      </c>
      <c r="O23" s="57">
        <v>1</v>
      </c>
      <c r="P23" s="57">
        <v>1</v>
      </c>
      <c r="Q23" s="57">
        <v>1</v>
      </c>
      <c r="R23" s="57" t="s">
        <v>137</v>
      </c>
      <c r="S23" s="57" t="s">
        <v>173</v>
      </c>
      <c r="T23" s="57" t="s">
        <v>157</v>
      </c>
      <c r="U23" s="58" t="s">
        <v>158</v>
      </c>
    </row>
    <row r="24" spans="1:21" ht="28" x14ac:dyDescent="0.15">
      <c r="A24" s="45">
        <f>score_attack_expanded_floors!$C$2</f>
        <v>41003</v>
      </c>
      <c r="B24" s="46" t="str">
        <f ca="1">VLOOKUP($A24,OFFSET([2]quests!$A$1,0,0,COUNTA([2]quests!$A:$A),MATCH(B$1,[2]quests!$1:$1,0)-MATCH($A$1,[2]quests!$1:$1,0)+1),MATCH(B$1,[2]quests!$1:$1,0)-MATCH($A$1,[2]quests!$1:$1,0)+1,FALSE)</f>
        <v>ジャンヌ襲来！</v>
      </c>
      <c r="C24" s="46" t="str">
        <f ca="1">VLOOKUP($A24,OFFSET([2]quests!$A$1,0,0,COUNTA([2]quests!$A:$A),MATCH(C$1,[2]quests!$1:$1,0)-MATCH($A$1,[2]quests!$1:$1,0)+1),MATCH(C$1,[2]quests!$1:$1,0)-MATCH($A$1,[2]quests!$1:$1,0)+1,FALSE)</f>
        <v>降臨1</v>
      </c>
      <c r="D24" s="76">
        <v>4</v>
      </c>
      <c r="E24" s="77">
        <v>5</v>
      </c>
      <c r="F24" s="55" t="str">
        <f t="shared" si="0"/>
        <v>410030005</v>
      </c>
      <c r="G24" t="str">
        <f>F24&amp;TEXT(COUNTIF(F$2:F24,F24),"00")</f>
        <v>41003000505</v>
      </c>
      <c r="H24" s="57" t="s">
        <v>163</v>
      </c>
      <c r="I24" s="57">
        <v>347</v>
      </c>
      <c r="J24" s="57">
        <v>1</v>
      </c>
      <c r="K24" s="57">
        <v>0</v>
      </c>
      <c r="L24" s="57">
        <v>0</v>
      </c>
      <c r="M24" s="57">
        <v>0</v>
      </c>
      <c r="N24" s="57">
        <v>0</v>
      </c>
      <c r="O24" s="57">
        <v>1</v>
      </c>
      <c r="P24" s="57">
        <v>1</v>
      </c>
      <c r="Q24" s="57">
        <v>1</v>
      </c>
      <c r="R24" s="57" t="s">
        <v>137</v>
      </c>
      <c r="S24" s="57" t="s">
        <v>174</v>
      </c>
      <c r="T24" s="57" t="s">
        <v>157</v>
      </c>
      <c r="U24" s="58" t="s">
        <v>158</v>
      </c>
    </row>
    <row r="25" spans="1:21" ht="28" x14ac:dyDescent="0.15">
      <c r="A25" s="45">
        <f>score_attack_expanded_floors!$C$2</f>
        <v>41003</v>
      </c>
      <c r="B25" s="46" t="str">
        <f ca="1">VLOOKUP($A25,OFFSET([2]quests!$A$1,0,0,COUNTA([2]quests!$A:$A),MATCH(B$1,[2]quests!$1:$1,0)-MATCH($A$1,[2]quests!$1:$1,0)+1),MATCH(B$1,[2]quests!$1:$1,0)-MATCH($A$1,[2]quests!$1:$1,0)+1,FALSE)</f>
        <v>ジャンヌ襲来！</v>
      </c>
      <c r="C25" s="46" t="str">
        <f ca="1">VLOOKUP($A25,OFFSET([2]quests!$A$1,0,0,COUNTA([2]quests!$A:$A),MATCH(C$1,[2]quests!$1:$1,0)-MATCH($A$1,[2]quests!$1:$1,0)+1),MATCH(C$1,[2]quests!$1:$1,0)-MATCH($A$1,[2]quests!$1:$1,0)+1,FALSE)</f>
        <v>降臨1</v>
      </c>
      <c r="D25" s="76">
        <v>4</v>
      </c>
      <c r="E25" s="77">
        <v>5</v>
      </c>
      <c r="F25" s="55" t="str">
        <f t="shared" si="0"/>
        <v>410030005</v>
      </c>
      <c r="G25" t="str">
        <f>F25&amp;TEXT(COUNTIF(F$2:F25,F25),"00")</f>
        <v>41003000506</v>
      </c>
      <c r="H25" s="57" t="s">
        <v>160</v>
      </c>
      <c r="I25" s="57">
        <v>5</v>
      </c>
      <c r="J25" s="57" t="s">
        <v>161</v>
      </c>
      <c r="K25" s="57">
        <v>0</v>
      </c>
      <c r="L25" s="57">
        <v>0</v>
      </c>
      <c r="M25" s="57">
        <v>0</v>
      </c>
      <c r="N25" s="57">
        <v>0</v>
      </c>
      <c r="O25" s="57">
        <v>1</v>
      </c>
      <c r="P25" s="57">
        <v>1</v>
      </c>
      <c r="Q25" s="57">
        <v>1</v>
      </c>
      <c r="R25" s="57" t="s">
        <v>137</v>
      </c>
      <c r="S25" s="57" t="s">
        <v>167</v>
      </c>
      <c r="T25" s="57" t="s">
        <v>157</v>
      </c>
      <c r="U25" s="58" t="s">
        <v>158</v>
      </c>
    </row>
    <row r="26" spans="1:21" ht="28" x14ac:dyDescent="0.15">
      <c r="A26" s="45">
        <f>score_attack_expanded_floors!$C$2</f>
        <v>41003</v>
      </c>
      <c r="B26" s="46" t="str">
        <f ca="1">VLOOKUP($A26,OFFSET([2]quests!$A$1,0,0,COUNTA([2]quests!$A:$A),MATCH(B$1,[2]quests!$1:$1,0)-MATCH($A$1,[2]quests!$1:$1,0)+1),MATCH(B$1,[2]quests!$1:$1,0)-MATCH($A$1,[2]quests!$1:$1,0)+1,FALSE)</f>
        <v>ジャンヌ襲来！</v>
      </c>
      <c r="C26" s="46" t="str">
        <f ca="1">VLOOKUP($A26,OFFSET([2]quests!$A$1,0,0,COUNTA([2]quests!$A:$A),MATCH(C$1,[2]quests!$1:$1,0)-MATCH($A$1,[2]quests!$1:$1,0)+1),MATCH(C$1,[2]quests!$1:$1,0)-MATCH($A$1,[2]quests!$1:$1,0)+1,FALSE)</f>
        <v>降臨1</v>
      </c>
      <c r="D26" s="76">
        <v>4</v>
      </c>
      <c r="E26" s="77">
        <v>5</v>
      </c>
      <c r="F26" s="55" t="str">
        <f t="shared" si="0"/>
        <v>410030005</v>
      </c>
      <c r="G26" t="str">
        <f>F26&amp;TEXT(COUNTIF(F$2:F26,F26),"00")</f>
        <v>41003000507</v>
      </c>
      <c r="H26" s="57" t="s">
        <v>177</v>
      </c>
      <c r="I26" s="57">
        <v>2000</v>
      </c>
      <c r="J26" s="57" t="s">
        <v>161</v>
      </c>
      <c r="K26" s="57">
        <v>0</v>
      </c>
      <c r="L26" s="57">
        <v>0</v>
      </c>
      <c r="M26" s="57">
        <v>0</v>
      </c>
      <c r="N26" s="57">
        <v>0</v>
      </c>
      <c r="O26" s="57">
        <v>1</v>
      </c>
      <c r="P26" s="57">
        <v>1</v>
      </c>
      <c r="Q26" s="57">
        <v>1</v>
      </c>
      <c r="R26" s="57" t="s">
        <v>137</v>
      </c>
      <c r="S26" s="57" t="s">
        <v>178</v>
      </c>
      <c r="T26" s="57" t="s">
        <v>157</v>
      </c>
      <c r="U26" s="58" t="s">
        <v>158</v>
      </c>
    </row>
    <row r="27" spans="1:21" ht="28" x14ac:dyDescent="0.15">
      <c r="A27" s="45">
        <f>score_attack_expanded_floors!$C$2</f>
        <v>41003</v>
      </c>
      <c r="B27" s="46" t="str">
        <f ca="1">VLOOKUP($A27,OFFSET([2]quests!$A$1,0,0,COUNTA([2]quests!$A:$A),MATCH(B$1,[2]quests!$1:$1,0)-MATCH($A$1,[2]quests!$1:$1,0)+1),MATCH(B$1,[2]quests!$1:$1,0)-MATCH($A$1,[2]quests!$1:$1,0)+1,FALSE)</f>
        <v>ジャンヌ襲来！</v>
      </c>
      <c r="C27" s="46" t="str">
        <f ca="1">VLOOKUP($A27,OFFSET([2]quests!$A$1,0,0,COUNTA([2]quests!$A:$A),MATCH(C$1,[2]quests!$1:$1,0)-MATCH($A$1,[2]quests!$1:$1,0)+1),MATCH(C$1,[2]quests!$1:$1,0)-MATCH($A$1,[2]quests!$1:$1,0)+1,FALSE)</f>
        <v>降臨1</v>
      </c>
      <c r="D27" s="76">
        <v>6</v>
      </c>
      <c r="E27" s="77">
        <v>10</v>
      </c>
      <c r="F27" s="55" t="str">
        <f t="shared" si="0"/>
        <v>410030010</v>
      </c>
      <c r="G27" t="str">
        <f>F27&amp;TEXT(COUNTIF(F$2:F27,F27),"00")</f>
        <v>41003001001</v>
      </c>
      <c r="H27" s="57" t="s">
        <v>155</v>
      </c>
      <c r="I27" s="57">
        <v>600</v>
      </c>
      <c r="J27" s="57">
        <v>1</v>
      </c>
      <c r="K27" s="57">
        <v>0</v>
      </c>
      <c r="L27" s="57">
        <v>0</v>
      </c>
      <c r="M27" s="57">
        <v>0</v>
      </c>
      <c r="N27" s="57">
        <v>0</v>
      </c>
      <c r="O27" s="57">
        <v>1</v>
      </c>
      <c r="P27" s="57">
        <v>1</v>
      </c>
      <c r="Q27" s="57">
        <v>1</v>
      </c>
      <c r="R27" s="57" t="s">
        <v>137</v>
      </c>
      <c r="S27" s="57" t="s">
        <v>166</v>
      </c>
      <c r="T27" s="57" t="s">
        <v>157</v>
      </c>
      <c r="U27" s="58" t="s">
        <v>158</v>
      </c>
    </row>
    <row r="28" spans="1:21" ht="28" x14ac:dyDescent="0.15">
      <c r="A28" s="45">
        <f>score_attack_expanded_floors!$C$2</f>
        <v>41003</v>
      </c>
      <c r="B28" s="46" t="str">
        <f ca="1">VLOOKUP($A28,OFFSET([2]quests!$A$1,0,0,COUNTA([2]quests!$A:$A),MATCH(B$1,[2]quests!$1:$1,0)-MATCH($A$1,[2]quests!$1:$1,0)+1),MATCH(B$1,[2]quests!$1:$1,0)-MATCH($A$1,[2]quests!$1:$1,0)+1,FALSE)</f>
        <v>ジャンヌ襲来！</v>
      </c>
      <c r="C28" s="46" t="str">
        <f ca="1">VLOOKUP($A28,OFFSET([2]quests!$A$1,0,0,COUNTA([2]quests!$A:$A),MATCH(C$1,[2]quests!$1:$1,0)-MATCH($A$1,[2]quests!$1:$1,0)+1),MATCH(C$1,[2]quests!$1:$1,0)-MATCH($A$1,[2]quests!$1:$1,0)+1,FALSE)</f>
        <v>降臨1</v>
      </c>
      <c r="D28" s="76">
        <v>6</v>
      </c>
      <c r="E28" s="77">
        <v>10</v>
      </c>
      <c r="F28" s="55" t="str">
        <f t="shared" si="0"/>
        <v>410030010</v>
      </c>
      <c r="G28" t="str">
        <f>F28&amp;TEXT(COUNTIF(F$2:F28,F28),"00")</f>
        <v>41003001002</v>
      </c>
      <c r="H28" s="57" t="s">
        <v>163</v>
      </c>
      <c r="I28" s="57">
        <v>334</v>
      </c>
      <c r="J28" s="57">
        <v>1</v>
      </c>
      <c r="K28" s="57">
        <v>0</v>
      </c>
      <c r="L28" s="57">
        <v>0</v>
      </c>
      <c r="M28" s="57">
        <v>0</v>
      </c>
      <c r="N28" s="57">
        <v>0</v>
      </c>
      <c r="O28" s="57">
        <v>1</v>
      </c>
      <c r="P28" s="57">
        <v>1</v>
      </c>
      <c r="Q28" s="57">
        <v>1</v>
      </c>
      <c r="R28" s="57" t="s">
        <v>137</v>
      </c>
      <c r="S28" s="57" t="s">
        <v>179</v>
      </c>
      <c r="T28" s="57" t="s">
        <v>157</v>
      </c>
      <c r="U28" s="58" t="s">
        <v>158</v>
      </c>
    </row>
    <row r="29" spans="1:21" ht="28" x14ac:dyDescent="0.15">
      <c r="A29" s="45">
        <f>score_attack_expanded_floors!$C$2</f>
        <v>41003</v>
      </c>
      <c r="B29" s="46" t="str">
        <f ca="1">VLOOKUP($A29,OFFSET([2]quests!$A$1,0,0,COUNTA([2]quests!$A:$A),MATCH(B$1,[2]quests!$1:$1,0)-MATCH($A$1,[2]quests!$1:$1,0)+1),MATCH(B$1,[2]quests!$1:$1,0)-MATCH($A$1,[2]quests!$1:$1,0)+1,FALSE)</f>
        <v>ジャンヌ襲来！</v>
      </c>
      <c r="C29" s="46" t="str">
        <f ca="1">VLOOKUP($A29,OFFSET([2]quests!$A$1,0,0,COUNTA([2]quests!$A:$A),MATCH(C$1,[2]quests!$1:$1,0)-MATCH($A$1,[2]quests!$1:$1,0)+1),MATCH(C$1,[2]quests!$1:$1,0)-MATCH($A$1,[2]quests!$1:$1,0)+1,FALSE)</f>
        <v>降臨1</v>
      </c>
      <c r="D29" s="76">
        <v>6</v>
      </c>
      <c r="E29" s="77">
        <v>10</v>
      </c>
      <c r="F29" s="55" t="str">
        <f t="shared" si="0"/>
        <v>410030010</v>
      </c>
      <c r="G29" t="str">
        <f>F29&amp;TEXT(COUNTIF(F$2:F29,F29),"00")</f>
        <v>41003001003</v>
      </c>
      <c r="H29" s="57" t="s">
        <v>163</v>
      </c>
      <c r="I29" s="57">
        <v>338</v>
      </c>
      <c r="J29" s="57">
        <v>1</v>
      </c>
      <c r="K29" s="57">
        <v>0</v>
      </c>
      <c r="L29" s="57">
        <v>0</v>
      </c>
      <c r="M29" s="57">
        <v>0</v>
      </c>
      <c r="N29" s="57">
        <v>0</v>
      </c>
      <c r="O29" s="57">
        <v>1</v>
      </c>
      <c r="P29" s="57">
        <v>1</v>
      </c>
      <c r="Q29" s="57">
        <v>1</v>
      </c>
      <c r="R29" s="57" t="s">
        <v>137</v>
      </c>
      <c r="S29" s="57" t="s">
        <v>180</v>
      </c>
      <c r="T29" s="57" t="s">
        <v>157</v>
      </c>
      <c r="U29" s="58" t="s">
        <v>158</v>
      </c>
    </row>
    <row r="30" spans="1:21" ht="28" x14ac:dyDescent="0.15">
      <c r="A30" s="45">
        <f>score_attack_expanded_floors!$C$2</f>
        <v>41003</v>
      </c>
      <c r="B30" s="46" t="str">
        <f ca="1">VLOOKUP($A30,OFFSET([2]quests!$A$1,0,0,COUNTA([2]quests!$A:$A),MATCH(B$1,[2]quests!$1:$1,0)-MATCH($A$1,[2]quests!$1:$1,0)+1),MATCH(B$1,[2]quests!$1:$1,0)-MATCH($A$1,[2]quests!$1:$1,0)+1,FALSE)</f>
        <v>ジャンヌ襲来！</v>
      </c>
      <c r="C30" s="46" t="str">
        <f ca="1">VLOOKUP($A30,OFFSET([2]quests!$A$1,0,0,COUNTA([2]quests!$A:$A),MATCH(C$1,[2]quests!$1:$1,0)-MATCH($A$1,[2]quests!$1:$1,0)+1),MATCH(C$1,[2]quests!$1:$1,0)-MATCH($A$1,[2]quests!$1:$1,0)+1,FALSE)</f>
        <v>降臨1</v>
      </c>
      <c r="D30" s="76">
        <v>6</v>
      </c>
      <c r="E30" s="77">
        <v>10</v>
      </c>
      <c r="F30" s="55" t="str">
        <f t="shared" si="0"/>
        <v>410030010</v>
      </c>
      <c r="G30" t="str">
        <f>F30&amp;TEXT(COUNTIF(F$2:F30,F30),"00")</f>
        <v>41003001004</v>
      </c>
      <c r="H30" s="57" t="s">
        <v>163</v>
      </c>
      <c r="I30" s="57">
        <v>342</v>
      </c>
      <c r="J30" s="57">
        <v>1</v>
      </c>
      <c r="K30" s="57">
        <v>0</v>
      </c>
      <c r="L30" s="57">
        <v>0</v>
      </c>
      <c r="M30" s="57">
        <v>0</v>
      </c>
      <c r="N30" s="57">
        <v>0</v>
      </c>
      <c r="O30" s="57">
        <v>1</v>
      </c>
      <c r="P30" s="57">
        <v>1</v>
      </c>
      <c r="Q30" s="57">
        <v>1</v>
      </c>
      <c r="R30" s="57" t="s">
        <v>137</v>
      </c>
      <c r="S30" s="57" t="s">
        <v>181</v>
      </c>
      <c r="T30" s="57" t="s">
        <v>157</v>
      </c>
      <c r="U30" s="58" t="s">
        <v>158</v>
      </c>
    </row>
    <row r="31" spans="1:21" ht="28" x14ac:dyDescent="0.15">
      <c r="A31" s="45">
        <f>score_attack_expanded_floors!$C$2</f>
        <v>41003</v>
      </c>
      <c r="B31" s="46" t="str">
        <f ca="1">VLOOKUP($A31,OFFSET([2]quests!$A$1,0,0,COUNTA([2]quests!$A:$A),MATCH(B$1,[2]quests!$1:$1,0)-MATCH($A$1,[2]quests!$1:$1,0)+1),MATCH(B$1,[2]quests!$1:$1,0)-MATCH($A$1,[2]quests!$1:$1,0)+1,FALSE)</f>
        <v>ジャンヌ襲来！</v>
      </c>
      <c r="C31" s="46" t="str">
        <f ca="1">VLOOKUP($A31,OFFSET([2]quests!$A$1,0,0,COUNTA([2]quests!$A:$A),MATCH(C$1,[2]quests!$1:$1,0)-MATCH($A$1,[2]quests!$1:$1,0)+1),MATCH(C$1,[2]quests!$1:$1,0)-MATCH($A$1,[2]quests!$1:$1,0)+1,FALSE)</f>
        <v>降臨1</v>
      </c>
      <c r="D31" s="76">
        <v>6</v>
      </c>
      <c r="E31" s="77">
        <v>10</v>
      </c>
      <c r="F31" s="55" t="str">
        <f t="shared" si="0"/>
        <v>410030010</v>
      </c>
      <c r="G31" t="str">
        <f>F31&amp;TEXT(COUNTIF(F$2:F31,F31),"00")</f>
        <v>41003001005</v>
      </c>
      <c r="H31" s="57" t="s">
        <v>163</v>
      </c>
      <c r="I31" s="57">
        <v>346</v>
      </c>
      <c r="J31" s="57">
        <v>1</v>
      </c>
      <c r="K31" s="57">
        <v>0</v>
      </c>
      <c r="L31" s="57">
        <v>0</v>
      </c>
      <c r="M31" s="57">
        <v>0</v>
      </c>
      <c r="N31" s="57">
        <v>0</v>
      </c>
      <c r="O31" s="57">
        <v>1</v>
      </c>
      <c r="P31" s="57">
        <v>1</v>
      </c>
      <c r="Q31" s="57">
        <v>1</v>
      </c>
      <c r="R31" s="57" t="s">
        <v>137</v>
      </c>
      <c r="S31" s="57" t="s">
        <v>182</v>
      </c>
      <c r="T31" s="57" t="s">
        <v>157</v>
      </c>
      <c r="U31" s="58" t="s">
        <v>158</v>
      </c>
    </row>
    <row r="32" spans="1:21" ht="28" x14ac:dyDescent="0.15">
      <c r="A32" s="45">
        <f>score_attack_expanded_floors!$C$2</f>
        <v>41003</v>
      </c>
      <c r="B32" s="46" t="str">
        <f ca="1">VLOOKUP($A32,OFFSET([2]quests!$A$1,0,0,COUNTA([2]quests!$A:$A),MATCH(B$1,[2]quests!$1:$1,0)-MATCH($A$1,[2]quests!$1:$1,0)+1),MATCH(B$1,[2]quests!$1:$1,0)-MATCH($A$1,[2]quests!$1:$1,0)+1,FALSE)</f>
        <v>ジャンヌ襲来！</v>
      </c>
      <c r="C32" s="46" t="str">
        <f ca="1">VLOOKUP($A32,OFFSET([2]quests!$A$1,0,0,COUNTA([2]quests!$A:$A),MATCH(C$1,[2]quests!$1:$1,0)-MATCH($A$1,[2]quests!$1:$1,0)+1),MATCH(C$1,[2]quests!$1:$1,0)-MATCH($A$1,[2]quests!$1:$1,0)+1,FALSE)</f>
        <v>降臨1</v>
      </c>
      <c r="D32" s="76">
        <v>6</v>
      </c>
      <c r="E32" s="77">
        <v>10</v>
      </c>
      <c r="F32" s="55" t="str">
        <f t="shared" si="0"/>
        <v>410030010</v>
      </c>
      <c r="G32" t="str">
        <f>F32&amp;TEXT(COUNTIF(F$2:F32,F32),"00")</f>
        <v>41003001006</v>
      </c>
      <c r="H32" s="57" t="s">
        <v>160</v>
      </c>
      <c r="I32" s="57">
        <v>3</v>
      </c>
      <c r="J32" s="57" t="s">
        <v>161</v>
      </c>
      <c r="K32" s="57">
        <v>0</v>
      </c>
      <c r="L32" s="57">
        <v>0</v>
      </c>
      <c r="M32" s="57">
        <v>0</v>
      </c>
      <c r="N32" s="57">
        <v>0</v>
      </c>
      <c r="O32" s="57">
        <v>1</v>
      </c>
      <c r="P32" s="57">
        <v>1</v>
      </c>
      <c r="Q32" s="57">
        <v>1</v>
      </c>
      <c r="R32" s="57" t="s">
        <v>137</v>
      </c>
      <c r="S32" s="57" t="s">
        <v>183</v>
      </c>
      <c r="T32" s="57" t="s">
        <v>157</v>
      </c>
      <c r="U32" s="58" t="s">
        <v>158</v>
      </c>
    </row>
    <row r="33" spans="1:21" ht="28" x14ac:dyDescent="0.15">
      <c r="A33" s="45">
        <f>score_attack_expanded_floors!$C$2</f>
        <v>41003</v>
      </c>
      <c r="B33" s="46" t="str">
        <f ca="1">VLOOKUP($A33,OFFSET([2]quests!$A$1,0,0,COUNTA([2]quests!$A:$A),MATCH(B$1,[2]quests!$1:$1,0)-MATCH($A$1,[2]quests!$1:$1,0)+1),MATCH(B$1,[2]quests!$1:$1,0)-MATCH($A$1,[2]quests!$1:$1,0)+1,FALSE)</f>
        <v>ジャンヌ襲来！</v>
      </c>
      <c r="C33" s="46" t="str">
        <f ca="1">VLOOKUP($A33,OFFSET([2]quests!$A$1,0,0,COUNTA([2]quests!$A:$A),MATCH(C$1,[2]quests!$1:$1,0)-MATCH($A$1,[2]quests!$1:$1,0)+1),MATCH(C$1,[2]quests!$1:$1,0)-MATCH($A$1,[2]quests!$1:$1,0)+1,FALSE)</f>
        <v>降臨1</v>
      </c>
      <c r="D33" s="76">
        <v>6</v>
      </c>
      <c r="E33" s="77">
        <v>10</v>
      </c>
      <c r="F33" s="55" t="str">
        <f t="shared" si="0"/>
        <v>410030010</v>
      </c>
      <c r="G33" t="str">
        <f>F33&amp;TEXT(COUNTIF(F$2:F33,F33),"00")</f>
        <v>41003001007</v>
      </c>
      <c r="H33" s="57" t="s">
        <v>177</v>
      </c>
      <c r="I33" s="57">
        <v>2000</v>
      </c>
      <c r="J33" s="57" t="s">
        <v>161</v>
      </c>
      <c r="K33" s="57">
        <v>0</v>
      </c>
      <c r="L33" s="57">
        <v>0</v>
      </c>
      <c r="M33" s="57">
        <v>0</v>
      </c>
      <c r="N33" s="57">
        <v>0</v>
      </c>
      <c r="O33" s="57">
        <v>1</v>
      </c>
      <c r="P33" s="57">
        <v>1</v>
      </c>
      <c r="Q33" s="57">
        <v>1</v>
      </c>
      <c r="R33" s="57" t="s">
        <v>137</v>
      </c>
      <c r="S33" s="57" t="s">
        <v>178</v>
      </c>
      <c r="T33" s="57" t="s">
        <v>157</v>
      </c>
      <c r="U33" s="58" t="s">
        <v>158</v>
      </c>
    </row>
    <row r="34" spans="1:21" ht="28" x14ac:dyDescent="0.15">
      <c r="A34" s="45">
        <f>score_attack_expanded_floors!$C$2</f>
        <v>41003</v>
      </c>
      <c r="B34" s="46" t="str">
        <f ca="1">VLOOKUP($A34,OFFSET([2]quests!$A$1,0,0,COUNTA([2]quests!$A:$A),MATCH(B$1,[2]quests!$1:$1,0)-MATCH($A$1,[2]quests!$1:$1,0)+1),MATCH(B$1,[2]quests!$1:$1,0)-MATCH($A$1,[2]quests!$1:$1,0)+1,FALSE)</f>
        <v>ジャンヌ襲来！</v>
      </c>
      <c r="C34" s="46" t="str">
        <f ca="1">VLOOKUP($A34,OFFSET([2]quests!$A$1,0,0,COUNTA([2]quests!$A:$A),MATCH(C$1,[2]quests!$1:$1,0)-MATCH($A$1,[2]quests!$1:$1,0)+1),MATCH(C$1,[2]quests!$1:$1,0)-MATCH($A$1,[2]quests!$1:$1,0)+1,FALSE)</f>
        <v>降臨1</v>
      </c>
      <c r="D34" s="76">
        <v>11</v>
      </c>
      <c r="E34" s="77">
        <v>25</v>
      </c>
      <c r="F34" s="55" t="str">
        <f t="shared" si="0"/>
        <v>410030025</v>
      </c>
      <c r="G34" t="str">
        <f>F34&amp;TEXT(COUNTIF(F$2:F34,F34),"00")</f>
        <v>41003002501</v>
      </c>
      <c r="H34" s="57" t="s">
        <v>160</v>
      </c>
      <c r="I34" s="57">
        <v>3</v>
      </c>
      <c r="J34" s="57" t="s">
        <v>161</v>
      </c>
      <c r="K34" s="57">
        <v>0</v>
      </c>
      <c r="L34" s="57">
        <v>0</v>
      </c>
      <c r="M34" s="57">
        <v>0</v>
      </c>
      <c r="N34" s="57">
        <v>0</v>
      </c>
      <c r="O34" s="57">
        <v>1</v>
      </c>
      <c r="P34" s="57">
        <v>1</v>
      </c>
      <c r="Q34" s="57">
        <v>1</v>
      </c>
      <c r="R34" s="57" t="s">
        <v>137</v>
      </c>
      <c r="S34" s="57" t="s">
        <v>183</v>
      </c>
      <c r="T34" s="57" t="s">
        <v>157</v>
      </c>
      <c r="U34" s="58" t="s">
        <v>158</v>
      </c>
    </row>
    <row r="35" spans="1:21" ht="28" x14ac:dyDescent="0.15">
      <c r="A35" s="45">
        <f>score_attack_expanded_floors!$C$2</f>
        <v>41003</v>
      </c>
      <c r="B35" s="46" t="str">
        <f ca="1">VLOOKUP($A35,OFFSET([2]quests!$A$1,0,0,COUNTA([2]quests!$A:$A),MATCH(B$1,[2]quests!$1:$1,0)-MATCH($A$1,[2]quests!$1:$1,0)+1),MATCH(B$1,[2]quests!$1:$1,0)-MATCH($A$1,[2]quests!$1:$1,0)+1,FALSE)</f>
        <v>ジャンヌ襲来！</v>
      </c>
      <c r="C35" s="46" t="str">
        <f ca="1">VLOOKUP($A35,OFFSET([2]quests!$A$1,0,0,COUNTA([2]quests!$A:$A),MATCH(C$1,[2]quests!$1:$1,0)-MATCH($A$1,[2]quests!$1:$1,0)+1),MATCH(C$1,[2]quests!$1:$1,0)-MATCH($A$1,[2]quests!$1:$1,0)+1,FALSE)</f>
        <v>降臨1</v>
      </c>
      <c r="D35" s="76">
        <v>11</v>
      </c>
      <c r="E35" s="77">
        <v>25</v>
      </c>
      <c r="F35" s="55" t="str">
        <f t="shared" si="0"/>
        <v>410030025</v>
      </c>
      <c r="G35" t="str">
        <f>F35&amp;TEXT(COUNTIF(F$2:F35,F35),"00")</f>
        <v>41003002502</v>
      </c>
      <c r="H35" s="57" t="s">
        <v>177</v>
      </c>
      <c r="I35" s="57">
        <v>2000</v>
      </c>
      <c r="J35" s="57" t="s">
        <v>161</v>
      </c>
      <c r="K35" s="57">
        <v>0</v>
      </c>
      <c r="L35" s="57">
        <v>0</v>
      </c>
      <c r="M35" s="57">
        <v>0</v>
      </c>
      <c r="N35" s="57">
        <v>0</v>
      </c>
      <c r="O35" s="57">
        <v>1</v>
      </c>
      <c r="P35" s="57">
        <v>1</v>
      </c>
      <c r="Q35" s="57">
        <v>1</v>
      </c>
      <c r="R35" s="57" t="s">
        <v>137</v>
      </c>
      <c r="S35" s="57" t="s">
        <v>178</v>
      </c>
      <c r="T35" s="57" t="s">
        <v>157</v>
      </c>
      <c r="U35" s="58" t="s">
        <v>158</v>
      </c>
    </row>
    <row r="36" spans="1:21" ht="28" x14ac:dyDescent="0.15">
      <c r="A36" s="45">
        <f>score_attack_expanded_floors!$C$2</f>
        <v>41003</v>
      </c>
      <c r="B36" s="46" t="str">
        <f ca="1">VLOOKUP($A36,OFFSET([2]quests!$A$1,0,0,COUNTA([2]quests!$A:$A),MATCH(B$1,[2]quests!$1:$1,0)-MATCH($A$1,[2]quests!$1:$1,0)+1),MATCH(B$1,[2]quests!$1:$1,0)-MATCH($A$1,[2]quests!$1:$1,0)+1,FALSE)</f>
        <v>ジャンヌ襲来！</v>
      </c>
      <c r="C36" s="46" t="str">
        <f ca="1">VLOOKUP($A36,OFFSET([2]quests!$A$1,0,0,COUNTA([2]quests!$A:$A),MATCH(C$1,[2]quests!$1:$1,0)-MATCH($A$1,[2]quests!$1:$1,0)+1),MATCH(C$1,[2]quests!$1:$1,0)-MATCH($A$1,[2]quests!$1:$1,0)+1,FALSE)</f>
        <v>降臨1</v>
      </c>
      <c r="D36" s="76">
        <v>11</v>
      </c>
      <c r="E36" s="77">
        <v>25</v>
      </c>
      <c r="F36" s="55" t="str">
        <f t="shared" si="0"/>
        <v>410030025</v>
      </c>
      <c r="G36" t="str">
        <f>F36&amp;TEXT(COUNTIF(F$2:F36,F36),"00")</f>
        <v>41003002503</v>
      </c>
      <c r="H36" s="57" t="s">
        <v>63</v>
      </c>
      <c r="I36" s="57">
        <v>200000</v>
      </c>
      <c r="J36" s="57" t="s">
        <v>161</v>
      </c>
      <c r="K36" s="57">
        <v>0</v>
      </c>
      <c r="L36" s="57">
        <v>0</v>
      </c>
      <c r="M36" s="57">
        <v>0</v>
      </c>
      <c r="N36" s="57">
        <v>0</v>
      </c>
      <c r="O36" s="57">
        <v>1</v>
      </c>
      <c r="P36" s="57">
        <v>1</v>
      </c>
      <c r="Q36" s="57">
        <v>1</v>
      </c>
      <c r="R36" s="57" t="s">
        <v>137</v>
      </c>
      <c r="S36" s="57" t="s">
        <v>184</v>
      </c>
      <c r="T36" s="57" t="s">
        <v>157</v>
      </c>
      <c r="U36" s="58" t="s">
        <v>158</v>
      </c>
    </row>
    <row r="37" spans="1:21" ht="28" x14ac:dyDescent="0.15">
      <c r="A37" s="45">
        <f>score_attack_expanded_floors!$C$2</f>
        <v>41003</v>
      </c>
      <c r="B37" s="46" t="str">
        <f ca="1">VLOOKUP($A37,OFFSET([2]quests!$A$1,0,0,COUNTA([2]quests!$A:$A),MATCH(B$1,[2]quests!$1:$1,0)-MATCH($A$1,[2]quests!$1:$1,0)+1),MATCH(B$1,[2]quests!$1:$1,0)-MATCH($A$1,[2]quests!$1:$1,0)+1,FALSE)</f>
        <v>ジャンヌ襲来！</v>
      </c>
      <c r="C37" s="46" t="str">
        <f ca="1">VLOOKUP($A37,OFFSET([2]quests!$A$1,0,0,COUNTA([2]quests!$A:$A),MATCH(C$1,[2]quests!$1:$1,0)-MATCH($A$1,[2]quests!$1:$1,0)+1),MATCH(C$1,[2]quests!$1:$1,0)-MATCH($A$1,[2]quests!$1:$1,0)+1,FALSE)</f>
        <v>降臨1</v>
      </c>
      <c r="D37" s="76">
        <v>26</v>
      </c>
      <c r="E37" s="77">
        <v>35</v>
      </c>
      <c r="F37" s="55" t="str">
        <f t="shared" si="0"/>
        <v>410030035</v>
      </c>
      <c r="G37" t="str">
        <f>F37&amp;TEXT(COUNTIF(F$2:F37,F37),"00")</f>
        <v>41003003501</v>
      </c>
      <c r="H37" s="57" t="s">
        <v>160</v>
      </c>
      <c r="I37" s="57">
        <v>2</v>
      </c>
      <c r="J37" s="57" t="s">
        <v>161</v>
      </c>
      <c r="K37" s="57">
        <v>0</v>
      </c>
      <c r="L37" s="57">
        <v>0</v>
      </c>
      <c r="M37" s="57">
        <v>0</v>
      </c>
      <c r="N37" s="57">
        <v>0</v>
      </c>
      <c r="O37" s="57">
        <v>1</v>
      </c>
      <c r="P37" s="57">
        <v>1</v>
      </c>
      <c r="Q37" s="57">
        <v>1</v>
      </c>
      <c r="R37" s="57" t="s">
        <v>137</v>
      </c>
      <c r="S37" s="57" t="s">
        <v>185</v>
      </c>
      <c r="T37" s="57" t="s">
        <v>157</v>
      </c>
      <c r="U37" s="58" t="s">
        <v>158</v>
      </c>
    </row>
    <row r="38" spans="1:21" ht="28" x14ac:dyDescent="0.15">
      <c r="A38" s="45">
        <f>score_attack_expanded_floors!$C$2</f>
        <v>41003</v>
      </c>
      <c r="B38" s="46" t="str">
        <f ca="1">VLOOKUP($A38,OFFSET([2]quests!$A$1,0,0,COUNTA([2]quests!$A:$A),MATCH(B$1,[2]quests!$1:$1,0)-MATCH($A$1,[2]quests!$1:$1,0)+1),MATCH(B$1,[2]quests!$1:$1,0)-MATCH($A$1,[2]quests!$1:$1,0)+1,FALSE)</f>
        <v>ジャンヌ襲来！</v>
      </c>
      <c r="C38" s="46" t="str">
        <f ca="1">VLOOKUP($A38,OFFSET([2]quests!$A$1,0,0,COUNTA([2]quests!$A:$A),MATCH(C$1,[2]quests!$1:$1,0)-MATCH($A$1,[2]quests!$1:$1,0)+1),MATCH(C$1,[2]quests!$1:$1,0)-MATCH($A$1,[2]quests!$1:$1,0)+1,FALSE)</f>
        <v>降臨1</v>
      </c>
      <c r="D38" s="76">
        <v>26</v>
      </c>
      <c r="E38" s="77">
        <v>35</v>
      </c>
      <c r="F38" s="55" t="str">
        <f t="shared" si="0"/>
        <v>410030035</v>
      </c>
      <c r="G38" t="str">
        <f>F38&amp;TEXT(COUNTIF(F$2:F38,F38),"00")</f>
        <v>41003003502</v>
      </c>
      <c r="H38" s="57" t="s">
        <v>177</v>
      </c>
      <c r="I38" s="57">
        <v>1000</v>
      </c>
      <c r="J38" s="57" t="s">
        <v>161</v>
      </c>
      <c r="K38" s="57">
        <v>0</v>
      </c>
      <c r="L38" s="57">
        <v>0</v>
      </c>
      <c r="M38" s="57">
        <v>0</v>
      </c>
      <c r="N38" s="57">
        <v>0</v>
      </c>
      <c r="O38" s="57">
        <v>1</v>
      </c>
      <c r="P38" s="57">
        <v>1</v>
      </c>
      <c r="Q38" s="57">
        <v>1</v>
      </c>
      <c r="R38" s="57" t="s">
        <v>137</v>
      </c>
      <c r="S38" s="57" t="s">
        <v>186</v>
      </c>
      <c r="T38" s="57" t="s">
        <v>157</v>
      </c>
      <c r="U38" s="58" t="s">
        <v>158</v>
      </c>
    </row>
    <row r="39" spans="1:21" ht="28" x14ac:dyDescent="0.15">
      <c r="A39" s="45">
        <f>score_attack_expanded_floors!$C$2</f>
        <v>41003</v>
      </c>
      <c r="B39" s="46" t="str">
        <f ca="1">VLOOKUP($A39,OFFSET([2]quests!$A$1,0,0,COUNTA([2]quests!$A:$A),MATCH(B$1,[2]quests!$1:$1,0)-MATCH($A$1,[2]quests!$1:$1,0)+1),MATCH(B$1,[2]quests!$1:$1,0)-MATCH($A$1,[2]quests!$1:$1,0)+1,FALSE)</f>
        <v>ジャンヌ襲来！</v>
      </c>
      <c r="C39" s="46" t="str">
        <f ca="1">VLOOKUP($A39,OFFSET([2]quests!$A$1,0,0,COUNTA([2]quests!$A:$A),MATCH(C$1,[2]quests!$1:$1,0)-MATCH($A$1,[2]quests!$1:$1,0)+1),MATCH(C$1,[2]quests!$1:$1,0)-MATCH($A$1,[2]quests!$1:$1,0)+1,FALSE)</f>
        <v>降臨1</v>
      </c>
      <c r="D39" s="76">
        <v>26</v>
      </c>
      <c r="E39" s="77">
        <v>35</v>
      </c>
      <c r="F39" s="55" t="str">
        <f t="shared" si="0"/>
        <v>410030035</v>
      </c>
      <c r="G39" t="str">
        <f>F39&amp;TEXT(COUNTIF(F$2:F39,F39),"00")</f>
        <v>41003003503</v>
      </c>
      <c r="H39" s="57" t="s">
        <v>63</v>
      </c>
      <c r="I39" s="57">
        <v>150000</v>
      </c>
      <c r="J39" s="57" t="s">
        <v>161</v>
      </c>
      <c r="K39" s="57">
        <v>0</v>
      </c>
      <c r="L39" s="57">
        <v>0</v>
      </c>
      <c r="M39" s="57">
        <v>0</v>
      </c>
      <c r="N39" s="57">
        <v>0</v>
      </c>
      <c r="O39" s="57">
        <v>1</v>
      </c>
      <c r="P39" s="57">
        <v>1</v>
      </c>
      <c r="Q39" s="57">
        <v>1</v>
      </c>
      <c r="R39" s="57" t="s">
        <v>137</v>
      </c>
      <c r="S39" s="57" t="s">
        <v>187</v>
      </c>
      <c r="T39" s="57" t="s">
        <v>157</v>
      </c>
      <c r="U39" s="58" t="s">
        <v>158</v>
      </c>
    </row>
    <row r="40" spans="1:21" ht="28" x14ac:dyDescent="0.15">
      <c r="A40" s="45">
        <f>score_attack_expanded_floors!$C$2</f>
        <v>41003</v>
      </c>
      <c r="B40" s="46" t="str">
        <f ca="1">VLOOKUP($A40,OFFSET([2]quests!$A$1,0,0,COUNTA([2]quests!$A:$A),MATCH(B$1,[2]quests!$1:$1,0)-MATCH($A$1,[2]quests!$1:$1,0)+1),MATCH(B$1,[2]quests!$1:$1,0)-MATCH($A$1,[2]quests!$1:$1,0)+1,FALSE)</f>
        <v>ジャンヌ襲来！</v>
      </c>
      <c r="C40" s="46" t="str">
        <f ca="1">VLOOKUP($A40,OFFSET([2]quests!$A$1,0,0,COUNTA([2]quests!$A:$A),MATCH(C$1,[2]quests!$1:$1,0)-MATCH($A$1,[2]quests!$1:$1,0)+1),MATCH(C$1,[2]quests!$1:$1,0)-MATCH($A$1,[2]quests!$1:$1,0)+1,FALSE)</f>
        <v>降臨1</v>
      </c>
      <c r="D40" s="76">
        <v>36</v>
      </c>
      <c r="E40" s="77">
        <v>1000</v>
      </c>
      <c r="F40" s="55" t="str">
        <f t="shared" si="0"/>
        <v>410031000</v>
      </c>
      <c r="G40" t="str">
        <f>F40&amp;TEXT(COUNTIF(F$2:F40,F40),"00")</f>
        <v>41003100001</v>
      </c>
      <c r="H40" s="57" t="s">
        <v>160</v>
      </c>
      <c r="I40" s="57">
        <v>1</v>
      </c>
      <c r="J40" s="57" t="s">
        <v>161</v>
      </c>
      <c r="K40" s="57">
        <v>0</v>
      </c>
      <c r="L40" s="57">
        <v>0</v>
      </c>
      <c r="M40" s="57">
        <v>0</v>
      </c>
      <c r="N40" s="57">
        <v>0</v>
      </c>
      <c r="O40" s="57">
        <v>1</v>
      </c>
      <c r="P40" s="57">
        <v>1</v>
      </c>
      <c r="Q40" s="57">
        <v>1</v>
      </c>
      <c r="R40" s="57" t="s">
        <v>137</v>
      </c>
      <c r="S40" s="57" t="s">
        <v>188</v>
      </c>
      <c r="T40" s="57" t="s">
        <v>157</v>
      </c>
      <c r="U40" s="58" t="s">
        <v>158</v>
      </c>
    </row>
    <row r="41" spans="1:21" ht="28" x14ac:dyDescent="0.15">
      <c r="A41" s="45">
        <f>score_attack_expanded_floors!$C$2</f>
        <v>41003</v>
      </c>
      <c r="B41" s="46" t="str">
        <f ca="1">VLOOKUP($A41,OFFSET([2]quests!$A$1,0,0,COUNTA([2]quests!$A:$A),MATCH(B$1,[2]quests!$1:$1,0)-MATCH($A$1,[2]quests!$1:$1,0)+1),MATCH(B$1,[2]quests!$1:$1,0)-MATCH($A$1,[2]quests!$1:$1,0)+1,FALSE)</f>
        <v>ジャンヌ襲来！</v>
      </c>
      <c r="C41" s="46" t="str">
        <f ca="1">VLOOKUP($A41,OFFSET([2]quests!$A$1,0,0,COUNTA([2]quests!$A:$A),MATCH(C$1,[2]quests!$1:$1,0)-MATCH($A$1,[2]quests!$1:$1,0)+1),MATCH(C$1,[2]quests!$1:$1,0)-MATCH($A$1,[2]quests!$1:$1,0)+1,FALSE)</f>
        <v>降臨1</v>
      </c>
      <c r="D41" s="76">
        <v>36</v>
      </c>
      <c r="E41" s="77">
        <v>1000</v>
      </c>
      <c r="F41" s="55" t="str">
        <f t="shared" si="0"/>
        <v>410031000</v>
      </c>
      <c r="G41" t="str">
        <f>F41&amp;TEXT(COUNTIF(F$2:F41,F41),"00")</f>
        <v>41003100002</v>
      </c>
      <c r="H41" s="57" t="s">
        <v>177</v>
      </c>
      <c r="I41" s="57">
        <v>1000</v>
      </c>
      <c r="J41" s="57" t="s">
        <v>161</v>
      </c>
      <c r="K41" s="57">
        <v>0</v>
      </c>
      <c r="L41" s="57">
        <v>0</v>
      </c>
      <c r="M41" s="57">
        <v>0</v>
      </c>
      <c r="N41" s="57">
        <v>0</v>
      </c>
      <c r="O41" s="57">
        <v>1</v>
      </c>
      <c r="P41" s="57">
        <v>1</v>
      </c>
      <c r="Q41" s="57">
        <v>1</v>
      </c>
      <c r="R41" s="57" t="s">
        <v>137</v>
      </c>
      <c r="S41" s="57" t="s">
        <v>186</v>
      </c>
      <c r="T41" s="57" t="s">
        <v>157</v>
      </c>
      <c r="U41" s="58" t="s">
        <v>158</v>
      </c>
    </row>
    <row r="42" spans="1:21" ht="28" x14ac:dyDescent="0.15">
      <c r="A42" s="45">
        <f>score_attack_expanded_floors!$C$2</f>
        <v>41003</v>
      </c>
      <c r="B42" s="46" t="str">
        <f ca="1">VLOOKUP($A42,OFFSET([2]quests!$A$1,0,0,COUNTA([2]quests!$A:$A),MATCH(B$1,[2]quests!$1:$1,0)-MATCH($A$1,[2]quests!$1:$1,0)+1),MATCH(B$1,[2]quests!$1:$1,0)-MATCH($A$1,[2]quests!$1:$1,0)+1,FALSE)</f>
        <v>ジャンヌ襲来！</v>
      </c>
      <c r="C42" s="46" t="str">
        <f ca="1">VLOOKUP($A42,OFFSET([2]quests!$A$1,0,0,COUNTA([2]quests!$A:$A),MATCH(C$1,[2]quests!$1:$1,0)-MATCH($A$1,[2]quests!$1:$1,0)+1),MATCH(C$1,[2]quests!$1:$1,0)-MATCH($A$1,[2]quests!$1:$1,0)+1,FALSE)</f>
        <v>降臨1</v>
      </c>
      <c r="D42" s="76">
        <v>36</v>
      </c>
      <c r="E42" s="77">
        <v>1000</v>
      </c>
      <c r="F42" s="55" t="str">
        <f t="shared" si="0"/>
        <v>410031000</v>
      </c>
      <c r="G42" t="str">
        <f>F42&amp;TEXT(COUNTIF(F$2:F42,F42),"00")</f>
        <v>41003100003</v>
      </c>
      <c r="H42" s="57" t="s">
        <v>63</v>
      </c>
      <c r="I42" s="57">
        <v>100000</v>
      </c>
      <c r="J42" s="57" t="s">
        <v>161</v>
      </c>
      <c r="K42" s="57">
        <v>0</v>
      </c>
      <c r="L42" s="57">
        <v>0</v>
      </c>
      <c r="M42" s="57">
        <v>0</v>
      </c>
      <c r="N42" s="57">
        <v>0</v>
      </c>
      <c r="O42" s="57">
        <v>1</v>
      </c>
      <c r="P42" s="57">
        <v>1</v>
      </c>
      <c r="Q42" s="57">
        <v>1</v>
      </c>
      <c r="R42" s="57" t="s">
        <v>137</v>
      </c>
      <c r="S42" s="57" t="s">
        <v>189</v>
      </c>
      <c r="T42" s="57" t="s">
        <v>157</v>
      </c>
      <c r="U42" s="58" t="s">
        <v>158</v>
      </c>
    </row>
  </sheetData>
  <phoneticPr fontId="11"/>
  <pageMargins left="0.7" right="0.7" top="0.75" bottom="0.75" header="0.3" footer="0.3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 enableFormatConditionsCalculation="0">
    <tabColor rgb="FFFF0000"/>
  </sheetPr>
  <dimension ref="A1:I2"/>
  <sheetViews>
    <sheetView workbookViewId="0">
      <selection activeCell="G3" sqref="G3"/>
    </sheetView>
  </sheetViews>
  <sheetFormatPr baseColWidth="12" defaultRowHeight="15" x14ac:dyDescent="0.15"/>
  <cols>
    <col min="1" max="1" width="27.1640625" bestFit="1" customWidth="1"/>
  </cols>
  <sheetData>
    <row r="1" spans="1:9" x14ac:dyDescent="0.15">
      <c r="A1" s="92" t="s">
        <v>470</v>
      </c>
      <c r="B1" s="92" t="s">
        <v>0</v>
      </c>
      <c r="C1" s="92" t="s">
        <v>1</v>
      </c>
      <c r="D1" s="92" t="s">
        <v>214</v>
      </c>
      <c r="E1" s="92" t="s">
        <v>215</v>
      </c>
      <c r="F1" s="92" t="s">
        <v>216</v>
      </c>
      <c r="G1" s="92" t="s">
        <v>217</v>
      </c>
      <c r="H1" s="92" t="s">
        <v>218</v>
      </c>
      <c r="I1" s="92" t="s">
        <v>219</v>
      </c>
    </row>
    <row r="2" spans="1:9" ht="26" customHeight="1" x14ac:dyDescent="0.15">
      <c r="A2" s="147">
        <v>300</v>
      </c>
      <c r="B2" s="93">
        <f>output!C2</f>
        <v>41003</v>
      </c>
      <c r="C2" s="93">
        <v>4</v>
      </c>
      <c r="D2" s="93" t="s">
        <v>472</v>
      </c>
      <c r="E2" s="93">
        <v>50</v>
      </c>
      <c r="F2" s="93" t="s">
        <v>473</v>
      </c>
      <c r="G2" s="93">
        <v>7.0000000000000007E-2</v>
      </c>
      <c r="H2" s="94">
        <v>36526</v>
      </c>
      <c r="I2" s="94">
        <v>371454</v>
      </c>
    </row>
  </sheetData>
  <phoneticPr fontId="11"/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K5"/>
  <sheetViews>
    <sheetView showGridLines="0" workbookViewId="0">
      <pane ySplit="1" topLeftCell="A2" activePane="bottomLeft" state="frozen"/>
      <selection activeCell="D2" sqref="D2"/>
      <selection pane="bottomLeft" activeCell="K5" sqref="K5"/>
    </sheetView>
  </sheetViews>
  <sheetFormatPr baseColWidth="12" defaultColWidth="13" defaultRowHeight="21" customHeight="1" outlineLevelCol="1" x14ac:dyDescent="0.15"/>
  <cols>
    <col min="1" max="1" width="8.83203125" style="13" bestFit="1" customWidth="1"/>
    <col min="2" max="2" width="5" style="13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3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1" t="s">
        <v>348</v>
      </c>
      <c r="B1" s="11" t="s">
        <v>349</v>
      </c>
      <c r="C1" s="120" t="s">
        <v>0</v>
      </c>
      <c r="D1" s="10" t="s">
        <v>350</v>
      </c>
      <c r="E1" s="10" t="s">
        <v>20</v>
      </c>
      <c r="F1" s="120" t="s">
        <v>1</v>
      </c>
      <c r="G1" s="15" t="s">
        <v>351</v>
      </c>
      <c r="H1" s="10" t="s">
        <v>350</v>
      </c>
      <c r="I1" s="120" t="s">
        <v>12</v>
      </c>
      <c r="J1" s="120" t="s">
        <v>13</v>
      </c>
      <c r="K1" s="120" t="s">
        <v>14</v>
      </c>
    </row>
    <row r="2" spans="1:11" ht="21" customHeight="1" x14ac:dyDescent="0.15">
      <c r="A2" s="11" t="str">
        <f>G2&amp;"-"&amp;I2</f>
        <v>41003_4-1</v>
      </c>
      <c r="B2" s="11" t="str">
        <f>IF(COUNTIF(enemy_habitats!$H:$H,A2),"OK","NG")</f>
        <v>OK</v>
      </c>
      <c r="C2" s="106">
        <f>output!C2</f>
        <v>41003</v>
      </c>
      <c r="D2" s="12" t="str">
        <f ca="1">VLOOKUP($C2,OFFSET([2]quests!$A$1,0,0,COUNTA([2]quests!$A:$A),MATCH(D$1,[2]quests!$1:$1,0)-MATCH($C$1,[2]quests!$1:$1,0)+1),MATCH(D$1,[2]quests!$1:$1,0)-MATCH($C$1,[2]quests!$1:$1,0)+1,FALSE)</f>
        <v>ジャンヌ襲来！</v>
      </c>
      <c r="E2" s="12" t="str">
        <f ca="1">VLOOKUP($C2,OFFSET([2]quests!$A$1,0,0,COUNTA([2]quests!$A:$A),MATCH(E$1,[2]quests!$1:$1,0)-MATCH($C$1,[2]quests!$1:$1,0)+1),MATCH(E$1,[2]quests!$1:$1,0)-MATCH($C$1,[2]quests!$1:$1,0)+1,FALSE)</f>
        <v>降臨1</v>
      </c>
      <c r="F2" s="78">
        <v>4</v>
      </c>
      <c r="G2" s="15" t="str">
        <f>C2&amp;"_"&amp;F2</f>
        <v>41003_4</v>
      </c>
      <c r="H2" s="10" t="str">
        <f ca="1">VLOOKUP($G2,OFFSET([2]stages!$A$1,0,0,COUNTA([2]stages!$A:$A),MATCH(H$1,[2]stages!$2:$2,0)-MATCH($G$1,[2]stages!$2:$2,0)+1),MATCH(H$1,[2]stages!$2:$2,0)-MATCH($G$1,[2]stages!$2:$2,0)+1,FALSE)</f>
        <v>【スコアアタック】ジャンヌ襲来</v>
      </c>
      <c r="I2" s="78">
        <v>1</v>
      </c>
      <c r="J2" s="21">
        <v>60</v>
      </c>
      <c r="K2" s="21">
        <v>60</v>
      </c>
    </row>
    <row r="3" spans="1:11" ht="21" customHeight="1" x14ac:dyDescent="0.15">
      <c r="A3" s="11" t="str">
        <f>G3&amp;"-"&amp;I3</f>
        <v>41003_4-2</v>
      </c>
      <c r="B3" s="11" t="str">
        <f>IF(COUNTIF(enemy_habitats!$H:$H,A3),"OK","NG")</f>
        <v>OK</v>
      </c>
      <c r="C3" s="106">
        <f>$C$2</f>
        <v>41003</v>
      </c>
      <c r="D3" s="12" t="str">
        <f ca="1">VLOOKUP($C3,OFFSET([2]quests!$A$1,0,0,COUNTA([2]quests!$A:$A),MATCH(D$1,[2]quests!$1:$1,0)-MATCH($C$1,[2]quests!$1:$1,0)+1),MATCH(D$1,[2]quests!$1:$1,0)-MATCH($C$1,[2]quests!$1:$1,0)+1,FALSE)</f>
        <v>ジャンヌ襲来！</v>
      </c>
      <c r="E3" s="12" t="str">
        <f ca="1">VLOOKUP($C3,OFFSET([2]quests!$A$1,0,0,COUNTA([2]quests!$A:$A),MATCH(E$1,[2]quests!$1:$1,0)-MATCH($C$1,[2]quests!$1:$1,0)+1),MATCH(E$1,[2]quests!$1:$1,0)-MATCH($C$1,[2]quests!$1:$1,0)+1,FALSE)</f>
        <v>降臨1</v>
      </c>
      <c r="F3" s="78">
        <v>4</v>
      </c>
      <c r="G3" s="15" t="str">
        <f>C3&amp;"_"&amp;F3</f>
        <v>41003_4</v>
      </c>
      <c r="H3" s="10" t="str">
        <f ca="1">VLOOKUP($G3,OFFSET([2]stages!$A$1,0,0,COUNTA([2]stages!$A:$A),MATCH(H$1,[2]stages!$2:$2,0)-MATCH($G$1,[2]stages!$2:$2,0)+1),MATCH(H$1,[2]stages!$2:$2,0)-MATCH($G$1,[2]stages!$2:$2,0)+1,FALSE)</f>
        <v>【スコアアタック】ジャンヌ襲来</v>
      </c>
      <c r="I3" s="78">
        <v>2</v>
      </c>
      <c r="J3" s="21">
        <v>60</v>
      </c>
      <c r="K3" s="21">
        <v>60</v>
      </c>
    </row>
    <row r="4" spans="1:11" ht="21" customHeight="1" x14ac:dyDescent="0.15">
      <c r="A4" s="11" t="str">
        <f>G4&amp;"-"&amp;I4</f>
        <v>41003_4-3</v>
      </c>
      <c r="B4" s="11" t="str">
        <f>IF(COUNTIF(enemy_habitats!$H:$H,A4),"OK","NG")</f>
        <v>OK</v>
      </c>
      <c r="C4" s="106">
        <f>$C$2</f>
        <v>41003</v>
      </c>
      <c r="D4" s="12" t="str">
        <f ca="1">VLOOKUP($C4,OFFSET([2]quests!$A$1,0,0,COUNTA([2]quests!$A:$A),MATCH(D$1,[2]quests!$1:$1,0)-MATCH($C$1,[2]quests!$1:$1,0)+1),MATCH(D$1,[2]quests!$1:$1,0)-MATCH($C$1,[2]quests!$1:$1,0)+1,FALSE)</f>
        <v>ジャンヌ襲来！</v>
      </c>
      <c r="E4" s="12" t="str">
        <f ca="1">VLOOKUP($C4,OFFSET([2]quests!$A$1,0,0,COUNTA([2]quests!$A:$A),MATCH(E$1,[2]quests!$1:$1,0)-MATCH($C$1,[2]quests!$1:$1,0)+1),MATCH(E$1,[2]quests!$1:$1,0)-MATCH($C$1,[2]quests!$1:$1,0)+1,FALSE)</f>
        <v>降臨1</v>
      </c>
      <c r="F4" s="78">
        <v>4</v>
      </c>
      <c r="G4" s="15" t="str">
        <f>C4&amp;"_"&amp;F4</f>
        <v>41003_4</v>
      </c>
      <c r="H4" s="10" t="str">
        <f ca="1">VLOOKUP($G4,OFFSET([2]stages!$A$1,0,0,COUNTA([2]stages!$A:$A),MATCH(H$1,[2]stages!$2:$2,0)-MATCH($G$1,[2]stages!$2:$2,0)+1),MATCH(H$1,[2]stages!$2:$2,0)-MATCH($G$1,[2]stages!$2:$2,0)+1,FALSE)</f>
        <v>【スコアアタック】ジャンヌ襲来</v>
      </c>
      <c r="I4" s="78">
        <v>3</v>
      </c>
      <c r="J4" s="21">
        <v>60</v>
      </c>
      <c r="K4" s="21">
        <v>60</v>
      </c>
    </row>
    <row r="5" spans="1:11" ht="21" customHeight="1" x14ac:dyDescent="0.15">
      <c r="A5" s="11" t="str">
        <f>G5&amp;"-"&amp;I5</f>
        <v>41003_4-4</v>
      </c>
      <c r="B5" s="11" t="str">
        <f>IF(COUNTIF(enemy_habitats!$H:$H,A5),"OK","NG")</f>
        <v>OK</v>
      </c>
      <c r="C5" s="106">
        <f>$C$2</f>
        <v>41003</v>
      </c>
      <c r="D5" s="12" t="str">
        <f ca="1">VLOOKUP($C5,OFFSET([2]quests!$A$1,0,0,COUNTA([2]quests!$A:$A),MATCH(D$1,[2]quests!$1:$1,0)-MATCH($C$1,[2]quests!$1:$1,0)+1),MATCH(D$1,[2]quests!$1:$1,0)-MATCH($C$1,[2]quests!$1:$1,0)+1,FALSE)</f>
        <v>ジャンヌ襲来！</v>
      </c>
      <c r="E5" s="12" t="str">
        <f ca="1">VLOOKUP($C5,OFFSET([2]quests!$A$1,0,0,COUNTA([2]quests!$A:$A),MATCH(E$1,[2]quests!$1:$1,0)-MATCH($C$1,[2]quests!$1:$1,0)+1),MATCH(E$1,[2]quests!$1:$1,0)-MATCH($C$1,[2]quests!$1:$1,0)+1,FALSE)</f>
        <v>降臨1</v>
      </c>
      <c r="F5" s="78">
        <v>4</v>
      </c>
      <c r="G5" s="15" t="str">
        <f>C5&amp;"_"&amp;F5</f>
        <v>41003_4</v>
      </c>
      <c r="H5" s="10" t="str">
        <f ca="1">VLOOKUP($G5,OFFSET([2]stages!$A$1,0,0,COUNTA([2]stages!$A:$A),MATCH(H$1,[2]stages!$2:$2,0)-MATCH($G$1,[2]stages!$2:$2,0)+1),MATCH(H$1,[2]stages!$2:$2,0)-MATCH($G$1,[2]stages!$2:$2,0)+1,FALSE)</f>
        <v>【スコアアタック】ジャンヌ襲来</v>
      </c>
      <c r="I5" s="78">
        <v>4</v>
      </c>
      <c r="J5" s="21">
        <v>60</v>
      </c>
      <c r="K5" s="21">
        <v>60</v>
      </c>
    </row>
  </sheetData>
  <sheetProtection selectLockedCells="1" selectUnlockedCells="1"/>
  <phoneticPr fontId="11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N9"/>
  <sheetViews>
    <sheetView showGridLines="0" workbookViewId="0">
      <pane xSplit="17" ySplit="1" topLeftCell="AG2" activePane="bottomRight" state="frozen"/>
      <selection activeCell="D2" sqref="D2"/>
      <selection pane="topRight" activeCell="D2" sqref="D2"/>
      <selection pane="bottomLeft" activeCell="D2" sqref="D2"/>
      <selection pane="bottomRight" activeCell="L12" sqref="L12"/>
    </sheetView>
  </sheetViews>
  <sheetFormatPr baseColWidth="12" defaultColWidth="13" defaultRowHeight="21" customHeight="1" outlineLevelCol="1" x14ac:dyDescent="0.15"/>
  <cols>
    <col min="1" max="1" width="15.83203125" style="13" bestFit="1" customWidth="1"/>
    <col min="2" max="2" width="10.83203125" style="3" bestFit="1" customWidth="1"/>
    <col min="3" max="3" width="10.6640625" style="3" bestFit="1" customWidth="1" collapsed="1"/>
    <col min="4" max="4" width="13" style="9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5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0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8" bestFit="1" customWidth="1" outlineLevel="1"/>
    <col min="30" max="30" width="8" style="9" bestFit="1" customWidth="1" outlineLevel="1"/>
    <col min="31" max="31" width="12" style="9" bestFit="1" customWidth="1" outlineLevel="1"/>
    <col min="32" max="32" width="15" style="6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18" customFormat="1" ht="21" customHeight="1" x14ac:dyDescent="0.15">
      <c r="A1" s="144" t="s">
        <v>352</v>
      </c>
      <c r="B1" s="16" t="s">
        <v>0</v>
      </c>
      <c r="C1" s="16" t="s">
        <v>1</v>
      </c>
      <c r="D1" s="17" t="s">
        <v>353</v>
      </c>
      <c r="E1" s="17" t="s">
        <v>354</v>
      </c>
      <c r="F1" s="17" t="s">
        <v>354</v>
      </c>
      <c r="G1" s="16" t="s">
        <v>355</v>
      </c>
      <c r="H1" s="17" t="s">
        <v>356</v>
      </c>
      <c r="I1" s="17" t="s">
        <v>13</v>
      </c>
      <c r="J1" s="17" t="s">
        <v>14</v>
      </c>
      <c r="K1" s="19" t="s">
        <v>357</v>
      </c>
      <c r="L1" s="19" t="s">
        <v>2</v>
      </c>
      <c r="M1" s="17" t="s">
        <v>354</v>
      </c>
      <c r="N1" s="17" t="s">
        <v>358</v>
      </c>
      <c r="O1" s="17" t="s">
        <v>359</v>
      </c>
      <c r="P1" s="17" t="s">
        <v>360</v>
      </c>
      <c r="Q1" s="17" t="s">
        <v>361</v>
      </c>
      <c r="R1" s="16" t="s">
        <v>3</v>
      </c>
      <c r="S1" s="16" t="s">
        <v>362</v>
      </c>
      <c r="T1" s="16" t="s">
        <v>363</v>
      </c>
      <c r="U1" s="16" t="s">
        <v>364</v>
      </c>
      <c r="V1" s="17" t="s">
        <v>365</v>
      </c>
      <c r="W1" s="16" t="s">
        <v>366</v>
      </c>
      <c r="X1" s="16" t="s">
        <v>4</v>
      </c>
      <c r="Y1" s="16" t="s">
        <v>5</v>
      </c>
      <c r="Z1" s="16" t="s">
        <v>6</v>
      </c>
      <c r="AA1" s="16" t="s">
        <v>7</v>
      </c>
      <c r="AB1" s="16" t="s">
        <v>8</v>
      </c>
      <c r="AC1" s="145" t="s">
        <v>367</v>
      </c>
      <c r="AD1" s="145" t="s">
        <v>368</v>
      </c>
      <c r="AE1" s="145" t="s">
        <v>369</v>
      </c>
      <c r="AF1" s="16" t="s">
        <v>9</v>
      </c>
      <c r="AG1" s="16" t="s">
        <v>10</v>
      </c>
      <c r="AH1" s="16" t="s">
        <v>11</v>
      </c>
      <c r="AI1" s="16" t="s">
        <v>340</v>
      </c>
      <c r="AJ1" s="16" t="s">
        <v>341</v>
      </c>
      <c r="AK1" s="16" t="s">
        <v>342</v>
      </c>
      <c r="AL1" s="16" t="s">
        <v>343</v>
      </c>
      <c r="AM1" s="16" t="s">
        <v>344</v>
      </c>
      <c r="AN1" s="19" t="s">
        <v>339</v>
      </c>
    </row>
    <row r="2" spans="1:40" ht="21" customHeight="1" x14ac:dyDescent="0.15">
      <c r="A2" s="134" t="str">
        <f>B2&amp;"_"&amp;C2&amp;"-"&amp;G2&amp;"/"&amp;L2&amp;"&lt;lv"&amp;R2&amp;"&gt;s"&amp;AA2</f>
        <v>41003_4-1/155&lt;lv70&gt;s2</v>
      </c>
      <c r="B2" s="138">
        <v>41003</v>
      </c>
      <c r="C2" s="78">
        <v>4</v>
      </c>
      <c r="D2" s="10" t="str">
        <f>B2&amp;"_"&amp;C2</f>
        <v>41003_4</v>
      </c>
      <c r="E2" s="12" t="str">
        <f ca="1">VLOOKUP($B2,OFFSET([2]quests!$A$1,0,0,COUNTA([2]quests!$A:$A),MATCH(E$1,[2]quests!$1:$1,0)-MATCH($B$1,[2]quests!$1:$1,0)+1),MATCH(E$1,[2]quests!$1:$1,0)-MATCH($B$1,[2]quests!$1:$1,0)+1,FALSE)</f>
        <v>ジャンヌ襲来！</v>
      </c>
      <c r="F2" s="12" t="str">
        <f ca="1">VLOOKUP($D2,OFFSET([2]stages!$A$1,0,0,COUNTA([2]stages!$A:$A),MATCH(F$1,[2]stages!$2:$2,0)-MATCH($D$1,[2]stages!$2:$2,0)+1),MATCH(F$1,[2]stages!$2:$2,0)-MATCH($D$1,[2]stages!$2:$2,0)+1,FALSE)</f>
        <v>【スコアアタック】ジャンヌ襲来</v>
      </c>
      <c r="G2" s="78">
        <v>1</v>
      </c>
      <c r="H2" s="10" t="str">
        <f>B2&amp;"_"&amp;C2&amp;"-"&amp;G2</f>
        <v>41003_4-1</v>
      </c>
      <c r="I2" s="12">
        <f ca="1">VLOOKUP($H2,OFFSET(floors!$A$1,0,0,COUNTA(floors!$A:$A),MATCH(I$1,floors!$1:$1,0)-MATCH($H$1,floors!$1:$1,0)+1),MATCH(I$1,floors!$1:$1,0)-MATCH($H$1,floors!$1:$1,0)+1,FALSE)</f>
        <v>60</v>
      </c>
      <c r="J2" s="12">
        <f ca="1">VLOOKUP($H2,OFFSET(floors!$A$1,0,0,COUNTA(floors!$A:$A),MATCH(J$1,floors!$1:$1,0)-MATCH($H$1,floors!$1:$1,0)+1),MATCH(J$1,floors!$1:$1,0)-MATCH($H$1,floors!$1:$1,0)+1,FALSE)</f>
        <v>60</v>
      </c>
      <c r="K2" s="21" t="s">
        <v>463</v>
      </c>
      <c r="L2" s="104">
        <v>155</v>
      </c>
      <c r="M2" s="12" t="str">
        <f ca="1">VLOOKUP($L2,OFFSET([3]enemies!$A$1,0,0,COUNTA([3]enemies!$A:$A),MATCH(M$1,[3]enemies!$1:$1,0)-MATCH($L$1,[3]enemies!$1:$1,0)+1),MATCH(M$1,[3]enemies!$1:$1,0)-MATCH($L$1,[3]enemies!$1:$1,0)+1,FALSE)</f>
        <v>隻眼の掃除屋 ハンナ</v>
      </c>
      <c r="N2" s="12" t="str">
        <f ca="1">VLOOKUP($L2,OFFSET([3]enemies!$A$1,0,0,COUNTA([3]enemies!$A:$A),MATCH(N$1,[3]enemies!$1:$1,0)-MATCH($L$1,[3]enemies!$1:$1,0)+1),MATCH(N$1,[3]enemies!$1:$1,0)-MATCH($L$1,[3]enemies!$1:$1,0)+1,FALSE)</f>
        <v>blue</v>
      </c>
      <c r="O2" s="12" t="str">
        <f ca="1">VLOOKUP($L2,OFFSET([4]characters!$A$1,0,0,COUNTA([4]characters!$A:$A),MATCH(O$1,[4]characters!$1:$1,0)-MATCH($L$1,[4]characters!$1:$1,0)+1),MATCH(O$1,[4]characters!$1:$1,0)-MATCH($L$1,[4]characters!$1:$1,0)+1,FALSE)</f>
        <v>PremiumW</v>
      </c>
      <c r="P2" s="12" t="str">
        <f ca="1">VLOOKUP($L2,OFFSET([3]enemies!$A$1,0,0,COUNTA([3]enemies!$A:$A),MATCH(P$1,[3]enemies!$1:$1,0)-MATCH($L$1,[3]enemies!$1:$1,0)+1),MATCH(P$1,[3]enemies!$1:$1,0)-MATCH($L$1,[3]enemies!$1:$1,0)+1,FALSE)</f>
        <v>human</v>
      </c>
      <c r="Q2" s="12">
        <f ca="1">VLOOKUP($L2,OFFSET([3]enemies!$A$1,0,0,COUNTA([3]enemies!$A:$A),MATCH(Q$1,[3]enemies!$1:$1,0)-MATCH($L$1,[3]enemies!$1:$1,0)+1),MATCH(Q$1,[3]enemies!$1:$1,0)-MATCH($L$1,[3]enemies!$1:$1,0)+1,FALSE)</f>
        <v>30</v>
      </c>
      <c r="R2" s="139">
        <v>70</v>
      </c>
      <c r="S2" s="140">
        <v>3</v>
      </c>
      <c r="T2" s="140">
        <v>1.2</v>
      </c>
      <c r="U2" s="139">
        <v>0</v>
      </c>
      <c r="V2" s="12"/>
      <c r="W2" s="141">
        <v>41003011</v>
      </c>
      <c r="X2" s="38">
        <v>1</v>
      </c>
      <c r="Y2" s="38">
        <v>100</v>
      </c>
      <c r="Z2" s="38">
        <v>0</v>
      </c>
      <c r="AA2" s="12">
        <v>2</v>
      </c>
      <c r="AB2" s="105">
        <f>L2</f>
        <v>155</v>
      </c>
      <c r="AC2" s="12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隻眼の掃除屋 ハンナ</v>
      </c>
      <c r="AD2" s="12">
        <f ca="1">VLOOKUP($AB2,OFFSET([4]characters!$A$1,0,0,COUNTA([4]characters!$A:$A),MATCH(AD$1,[4]characters!$1:$1,0)-MATCH("character_id",[4]characters!$1:$1,0)+1),MATCH(AD$1,[4]characters!$1:$1,0)-MATCH("character_id",[4]characters!$1:$1,0)+1,FALSE)</f>
        <v>4</v>
      </c>
      <c r="AE2" s="12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2" s="106">
        <v>1</v>
      </c>
      <c r="AG2" s="105">
        <f ca="1">AD2</f>
        <v>4</v>
      </c>
      <c r="AH2" s="38">
        <v>0</v>
      </c>
      <c r="AI2" s="106">
        <v>0</v>
      </c>
      <c r="AJ2" s="106">
        <v>0</v>
      </c>
      <c r="AK2" s="106">
        <v>0</v>
      </c>
      <c r="AL2" s="106">
        <v>0</v>
      </c>
      <c r="AM2" s="106">
        <v>1</v>
      </c>
      <c r="AN2" s="38">
        <v>1</v>
      </c>
    </row>
    <row r="3" spans="1:40" ht="21" customHeight="1" x14ac:dyDescent="0.15">
      <c r="A3" s="134" t="str">
        <f>B3&amp;"_"&amp;C3&amp;"-"&amp;G3&amp;"/"&amp;L3&amp;"&lt;lv"&amp;R3&amp;"&gt;s"&amp;AA3</f>
        <v>41003_4-1/92&lt;lv70&gt;s3</v>
      </c>
      <c r="B3" s="138">
        <v>41003</v>
      </c>
      <c r="C3" s="78">
        <v>4</v>
      </c>
      <c r="D3" s="10" t="str">
        <f>B3&amp;"_"&amp;C3</f>
        <v>41003_4</v>
      </c>
      <c r="E3" s="12" t="str">
        <f ca="1">VLOOKUP($B3,OFFSET([2]quests!$A$1,0,0,COUNTA([2]quests!$A:$A),MATCH(E$1,[2]quests!$1:$1,0)-MATCH($B$1,[2]quests!$1:$1,0)+1),MATCH(E$1,[2]quests!$1:$1,0)-MATCH($B$1,[2]quests!$1:$1,0)+1,FALSE)</f>
        <v>ジャンヌ襲来！</v>
      </c>
      <c r="F3" s="12" t="str">
        <f ca="1">VLOOKUP($D3,OFFSET([2]stages!$A$1,0,0,COUNTA([2]stages!$A:$A),MATCH(F$1,[2]stages!$2:$2,0)-MATCH($D$1,[2]stages!$2:$2,0)+1),MATCH(F$1,[2]stages!$2:$2,0)-MATCH($D$1,[2]stages!$2:$2,0)+1,FALSE)</f>
        <v>【スコアアタック】ジャンヌ襲来</v>
      </c>
      <c r="G3" s="78">
        <v>1</v>
      </c>
      <c r="H3" s="10" t="str">
        <f>B3&amp;"_"&amp;C3&amp;"-"&amp;G3</f>
        <v>41003_4-1</v>
      </c>
      <c r="I3" s="12">
        <f ca="1">VLOOKUP($H3,OFFSET(floors!$A$1,0,0,COUNTA(floors!$A:$A),MATCH(I$1,floors!$1:$1,0)-MATCH($H$1,floors!$1:$1,0)+1),MATCH(I$1,floors!$1:$1,0)-MATCH($H$1,floors!$1:$1,0)+1,FALSE)</f>
        <v>60</v>
      </c>
      <c r="J3" s="12">
        <f ca="1">VLOOKUP($H3,OFFSET(floors!$A$1,0,0,COUNTA(floors!$A:$A),MATCH(J$1,floors!$1:$1,0)-MATCH($H$1,floors!$1:$1,0)+1),MATCH(J$1,floors!$1:$1,0)-MATCH($H$1,floors!$1:$1,0)+1,FALSE)</f>
        <v>60</v>
      </c>
      <c r="K3" s="21" t="s">
        <v>464</v>
      </c>
      <c r="L3" s="104">
        <v>92</v>
      </c>
      <c r="M3" s="12" t="str">
        <f ca="1">VLOOKUP($L3,OFFSET([3]enemies!$A$1,0,0,COUNTA([3]enemies!$A:$A),MATCH(M$1,[3]enemies!$1:$1,0)-MATCH($L$1,[3]enemies!$1:$1,0)+1),MATCH(M$1,[3]enemies!$1:$1,0)-MATCH($L$1,[3]enemies!$1:$1,0)+1,FALSE)</f>
        <v>守護者 青龍</v>
      </c>
      <c r="N3" s="12" t="str">
        <f ca="1">VLOOKUP($L3,OFFSET([3]enemies!$A$1,0,0,COUNTA([3]enemies!$A:$A),MATCH(N$1,[3]enemies!$1:$1,0)-MATCH($L$1,[3]enemies!$1:$1,0)+1),MATCH(N$1,[3]enemies!$1:$1,0)-MATCH($L$1,[3]enemies!$1:$1,0)+1,FALSE)</f>
        <v>blue</v>
      </c>
      <c r="O3" s="12" t="str">
        <f ca="1">VLOOKUP($L3,OFFSET([4]characters!$A$1,0,0,COUNTA([4]characters!$A:$A),MATCH(O$1,[4]characters!$1:$1,0)-MATCH($L$1,[4]characters!$1:$1,0)+1),MATCH(O$1,[4]characters!$1:$1,0)-MATCH($L$1,[4]characters!$1:$1,0)+1,FALSE)</f>
        <v>Drop2N</v>
      </c>
      <c r="P3" s="12" t="str">
        <f ca="1">VLOOKUP($L3,OFFSET([3]enemies!$A$1,0,0,COUNTA([3]enemies!$A:$A),MATCH(P$1,[3]enemies!$1:$1,0)-MATCH($L$1,[3]enemies!$1:$1,0)+1),MATCH(P$1,[3]enemies!$1:$1,0)-MATCH($L$1,[3]enemies!$1:$1,0)+1,FALSE)</f>
        <v>dragon</v>
      </c>
      <c r="Q3" s="12">
        <f ca="1">VLOOKUP($L3,OFFSET([3]enemies!$A$1,0,0,COUNTA([3]enemies!$A:$A),MATCH(Q$1,[3]enemies!$1:$1,0)-MATCH($L$1,[3]enemies!$1:$1,0)+1),MATCH(Q$1,[3]enemies!$1:$1,0)-MATCH($L$1,[3]enemies!$1:$1,0)+1,FALSE)</f>
        <v>30</v>
      </c>
      <c r="R3" s="139">
        <v>70</v>
      </c>
      <c r="S3" s="140">
        <v>1.9</v>
      </c>
      <c r="T3" s="140">
        <v>1.2</v>
      </c>
      <c r="U3" s="139">
        <v>0</v>
      </c>
      <c r="V3" s="12"/>
      <c r="W3" s="141">
        <v>41003012</v>
      </c>
      <c r="X3" s="38">
        <v>1</v>
      </c>
      <c r="Y3" s="38">
        <v>100</v>
      </c>
      <c r="Z3" s="38">
        <v>0</v>
      </c>
      <c r="AA3" s="12">
        <v>3</v>
      </c>
      <c r="AB3" s="105">
        <f>L3</f>
        <v>92</v>
      </c>
      <c r="AC3" s="12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守護者 青龍</v>
      </c>
      <c r="AD3" s="12">
        <f ca="1">VLOOKUP($AB3,OFFSET([4]characters!$A$1,0,0,COUNTA([4]characters!$A:$A),MATCH(AD$1,[4]characters!$1:$1,0)-MATCH("character_id",[4]characters!$1:$1,0)+1),MATCH(AD$1,[4]characters!$1:$1,0)-MATCH("character_id",[4]characters!$1:$1,0)+1,FALSE)</f>
        <v>4</v>
      </c>
      <c r="AE3" s="12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Drop2N</v>
      </c>
      <c r="AF3" s="106">
        <v>1</v>
      </c>
      <c r="AG3" s="105">
        <f ca="1">AD3</f>
        <v>4</v>
      </c>
      <c r="AH3" s="38">
        <v>0</v>
      </c>
      <c r="AI3" s="106">
        <v>0</v>
      </c>
      <c r="AJ3" s="106">
        <v>0</v>
      </c>
      <c r="AK3" s="106">
        <v>0</v>
      </c>
      <c r="AL3" s="106">
        <v>0</v>
      </c>
      <c r="AM3" s="106">
        <v>1</v>
      </c>
      <c r="AN3" s="38">
        <v>1</v>
      </c>
    </row>
    <row r="4" spans="1:40" ht="21" customHeight="1" x14ac:dyDescent="0.15">
      <c r="A4" s="134" t="str">
        <f t="shared" ref="A4:A9" si="0">B4&amp;"_"&amp;C4&amp;"-"&amp;G4&amp;"/"&amp;L4&amp;"&lt;lv"&amp;R4&amp;"&gt;s"&amp;AA4</f>
        <v>41003_4-2/53&lt;lv60&gt;s2</v>
      </c>
      <c r="B4" s="138">
        <v>41003</v>
      </c>
      <c r="C4" s="78">
        <v>4</v>
      </c>
      <c r="D4" s="10" t="str">
        <f t="shared" ref="D4:D9" si="1">B4&amp;"_"&amp;C4</f>
        <v>41003_4</v>
      </c>
      <c r="E4" s="12" t="str">
        <f ca="1">VLOOKUP($B4,OFFSET([2]quests!$A$1,0,0,COUNTA([2]quests!$A:$A),MATCH(E$1,[2]quests!$1:$1,0)-MATCH($B$1,[2]quests!$1:$1,0)+1),MATCH(E$1,[2]quests!$1:$1,0)-MATCH($B$1,[2]quests!$1:$1,0)+1,FALSE)</f>
        <v>ジャンヌ襲来！</v>
      </c>
      <c r="F4" s="12" t="str">
        <f ca="1">VLOOKUP($D4,OFFSET([2]stages!$A$1,0,0,COUNTA([2]stages!$A:$A),MATCH(F$1,[2]stages!$2:$2,0)-MATCH($D$1,[2]stages!$2:$2,0)+1),MATCH(F$1,[2]stages!$2:$2,0)-MATCH($D$1,[2]stages!$2:$2,0)+1,FALSE)</f>
        <v>【スコアアタック】ジャンヌ襲来</v>
      </c>
      <c r="G4" s="78">
        <v>2</v>
      </c>
      <c r="H4" s="10" t="str">
        <f t="shared" ref="H4:H9" si="2">B4&amp;"_"&amp;C4&amp;"-"&amp;G4</f>
        <v>41003_4-2</v>
      </c>
      <c r="I4" s="12">
        <f ca="1">VLOOKUP($H4,OFFSET(floors!$A$1,0,0,COUNTA(floors!$A:$A),MATCH(I$1,floors!$1:$1,0)-MATCH($H$1,floors!$1:$1,0)+1),MATCH(I$1,floors!$1:$1,0)-MATCH($H$1,floors!$1:$1,0)+1,FALSE)</f>
        <v>60</v>
      </c>
      <c r="J4" s="12">
        <f ca="1">VLOOKUP($H4,OFFSET(floors!$A$1,0,0,COUNTA(floors!$A:$A),MATCH(J$1,floors!$1:$1,0)-MATCH($H$1,floors!$1:$1,0)+1),MATCH(J$1,floors!$1:$1,0)-MATCH($H$1,floors!$1:$1,0)+1,FALSE)</f>
        <v>60</v>
      </c>
      <c r="K4" s="21" t="s">
        <v>465</v>
      </c>
      <c r="L4" s="104">
        <v>53</v>
      </c>
      <c r="M4" s="12" t="str">
        <f ca="1">VLOOKUP($L4,OFFSET([3]enemies!$A$1,0,0,COUNTA([3]enemies!$A:$A),MATCH(M$1,[3]enemies!$1:$1,0)-MATCH($L$1,[3]enemies!$1:$1,0)+1),MATCH(M$1,[3]enemies!$1:$1,0)-MATCH($L$1,[3]enemies!$1:$1,0)+1,FALSE)</f>
        <v>ケンジ</v>
      </c>
      <c r="N4" s="12" t="str">
        <f ca="1">VLOOKUP($L4,OFFSET([3]enemies!$A$1,0,0,COUNTA([3]enemies!$A:$A),MATCH(N$1,[3]enemies!$1:$1,0)-MATCH($L$1,[3]enemies!$1:$1,0)+1),MATCH(N$1,[3]enemies!$1:$1,0)-MATCH($L$1,[3]enemies!$1:$1,0)+1,FALSE)</f>
        <v>blue</v>
      </c>
      <c r="O4" s="12" t="str">
        <f ca="1">VLOOKUP($L4,OFFSET([4]characters!$A$1,0,0,COUNTA([4]characters!$A:$A),MATCH(O$1,[4]characters!$1:$1,0)-MATCH($L$1,[4]characters!$1:$1,0)+1),MATCH(O$1,[4]characters!$1:$1,0)-MATCH($L$1,[4]characters!$1:$1,0)+1,FALSE)</f>
        <v>Drop1N</v>
      </c>
      <c r="P4" s="12" t="str">
        <f ca="1">VLOOKUP($L4,OFFSET([3]enemies!$A$1,0,0,COUNTA([3]enemies!$A:$A),MATCH(P$1,[3]enemies!$1:$1,0)-MATCH($L$1,[3]enemies!$1:$1,0)+1),MATCH(P$1,[3]enemies!$1:$1,0)-MATCH($L$1,[3]enemies!$1:$1,0)+1,FALSE)</f>
        <v>human</v>
      </c>
      <c r="Q4" s="12">
        <f ca="1">VLOOKUP($L4,OFFSET([3]enemies!$A$1,0,0,COUNTA([3]enemies!$A:$A),MATCH(Q$1,[3]enemies!$1:$1,0)-MATCH($L$1,[3]enemies!$1:$1,0)+1),MATCH(Q$1,[3]enemies!$1:$1,0)-MATCH($L$1,[3]enemies!$1:$1,0)+1,FALSE)</f>
        <v>15</v>
      </c>
      <c r="R4" s="139">
        <v>60</v>
      </c>
      <c r="S4" s="140">
        <v>2</v>
      </c>
      <c r="T4" s="140">
        <v>1</v>
      </c>
      <c r="U4" s="139">
        <v>0</v>
      </c>
      <c r="V4" s="12"/>
      <c r="W4" s="141">
        <v>0</v>
      </c>
      <c r="X4" s="38">
        <v>1</v>
      </c>
      <c r="Y4" s="38">
        <v>100</v>
      </c>
      <c r="Z4" s="38">
        <v>0</v>
      </c>
      <c r="AA4" s="12">
        <v>2</v>
      </c>
      <c r="AB4" s="105">
        <f t="shared" ref="AB4:AB8" si="3">L4</f>
        <v>53</v>
      </c>
      <c r="AC4" s="12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ケンジ</v>
      </c>
      <c r="AD4" s="12">
        <f ca="1">VLOOKUP($AB4,OFFSET([4]characters!$A$1,0,0,COUNTA([4]characters!$A:$A),MATCH(AD$1,[4]characters!$1:$1,0)-MATCH("character_id",[4]characters!$1:$1,0)+1),MATCH(AD$1,[4]characters!$1:$1,0)-MATCH("character_id",[4]characters!$1:$1,0)+1,FALSE)</f>
        <v>2</v>
      </c>
      <c r="AE4" s="12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Drop1N</v>
      </c>
      <c r="AF4" s="106">
        <v>1</v>
      </c>
      <c r="AG4" s="105">
        <f t="shared" ref="AG4:AG9" ca="1" si="4">AD4</f>
        <v>2</v>
      </c>
      <c r="AH4" s="38">
        <v>0</v>
      </c>
      <c r="AI4" s="106">
        <v>0</v>
      </c>
      <c r="AJ4" s="106">
        <v>0</v>
      </c>
      <c r="AK4" s="106">
        <v>0</v>
      </c>
      <c r="AL4" s="106">
        <v>0</v>
      </c>
      <c r="AM4" s="106">
        <v>1</v>
      </c>
      <c r="AN4" s="38">
        <v>1</v>
      </c>
    </row>
    <row r="5" spans="1:40" ht="21" customHeight="1" x14ac:dyDescent="0.15">
      <c r="A5" s="134" t="str">
        <f t="shared" si="0"/>
        <v>41003_4-2/49&lt;lv60&gt;s2</v>
      </c>
      <c r="B5" s="138">
        <v>41003</v>
      </c>
      <c r="C5" s="78">
        <v>4</v>
      </c>
      <c r="D5" s="10" t="str">
        <f t="shared" si="1"/>
        <v>41003_4</v>
      </c>
      <c r="E5" s="12" t="str">
        <f ca="1">VLOOKUP($B5,OFFSET([2]quests!$A$1,0,0,COUNTA([2]quests!$A:$A),MATCH(E$1,[2]quests!$1:$1,0)-MATCH($B$1,[2]quests!$1:$1,0)+1),MATCH(E$1,[2]quests!$1:$1,0)-MATCH($B$1,[2]quests!$1:$1,0)+1,FALSE)</f>
        <v>ジャンヌ襲来！</v>
      </c>
      <c r="F5" s="12" t="str">
        <f ca="1">VLOOKUP($D5,OFFSET([2]stages!$A$1,0,0,COUNTA([2]stages!$A:$A),MATCH(F$1,[2]stages!$2:$2,0)-MATCH($D$1,[2]stages!$2:$2,0)+1),MATCH(F$1,[2]stages!$2:$2,0)-MATCH($D$1,[2]stages!$2:$2,0)+1,FALSE)</f>
        <v>【スコアアタック】ジャンヌ襲来</v>
      </c>
      <c r="G5" s="78">
        <v>2</v>
      </c>
      <c r="H5" s="10" t="str">
        <f t="shared" si="2"/>
        <v>41003_4-2</v>
      </c>
      <c r="I5" s="12">
        <f ca="1">VLOOKUP($H5,OFFSET(floors!$A$1,0,0,COUNTA(floors!$A:$A),MATCH(I$1,floors!$1:$1,0)-MATCH($H$1,floors!$1:$1,0)+1),MATCH(I$1,floors!$1:$1,0)-MATCH($H$1,floors!$1:$1,0)+1,FALSE)</f>
        <v>60</v>
      </c>
      <c r="J5" s="12">
        <f ca="1">VLOOKUP($H5,OFFSET(floors!$A$1,0,0,COUNTA(floors!$A:$A),MATCH(J$1,floors!$1:$1,0)-MATCH($H$1,floors!$1:$1,0)+1),MATCH(J$1,floors!$1:$1,0)-MATCH($H$1,floors!$1:$1,0)+1,FALSE)</f>
        <v>60</v>
      </c>
      <c r="K5" s="21" t="s">
        <v>466</v>
      </c>
      <c r="L5" s="104">
        <v>49</v>
      </c>
      <c r="M5" s="12" t="str">
        <f ca="1">VLOOKUP($L5,OFFSET([3]enemies!$A$1,0,0,COUNTA([3]enemies!$A:$A),MATCH(M$1,[3]enemies!$1:$1,0)-MATCH($L$1,[3]enemies!$1:$1,0)+1),MATCH(M$1,[3]enemies!$1:$1,0)-MATCH($L$1,[3]enemies!$1:$1,0)+1,FALSE)</f>
        <v>ヨシタカ</v>
      </c>
      <c r="N5" s="12" t="str">
        <f ca="1">VLOOKUP($L5,OFFSET([3]enemies!$A$1,0,0,COUNTA([3]enemies!$A:$A),MATCH(N$1,[3]enemies!$1:$1,0)-MATCH($L$1,[3]enemies!$1:$1,0)+1),MATCH(N$1,[3]enemies!$1:$1,0)-MATCH($L$1,[3]enemies!$1:$1,0)+1,FALSE)</f>
        <v>red</v>
      </c>
      <c r="O5" s="12" t="str">
        <f ca="1">VLOOKUP($L5,OFFSET([4]characters!$A$1,0,0,COUNTA([4]characters!$A:$A),MATCH(O$1,[4]characters!$1:$1,0)-MATCH($L$1,[4]characters!$1:$1,0)+1),MATCH(O$1,[4]characters!$1:$1,0)-MATCH($L$1,[4]characters!$1:$1,0)+1,FALSE)</f>
        <v>Drop1N</v>
      </c>
      <c r="P5" s="12" t="str">
        <f ca="1">VLOOKUP($L5,OFFSET([3]enemies!$A$1,0,0,COUNTA([3]enemies!$A:$A),MATCH(P$1,[3]enemies!$1:$1,0)-MATCH($L$1,[3]enemies!$1:$1,0)+1),MATCH(P$1,[3]enemies!$1:$1,0)-MATCH($L$1,[3]enemies!$1:$1,0)+1,FALSE)</f>
        <v>human</v>
      </c>
      <c r="Q5" s="12">
        <f ca="1">VLOOKUP($L5,OFFSET([3]enemies!$A$1,0,0,COUNTA([3]enemies!$A:$A),MATCH(Q$1,[3]enemies!$1:$1,0)-MATCH($L$1,[3]enemies!$1:$1,0)+1),MATCH(Q$1,[3]enemies!$1:$1,0)-MATCH($L$1,[3]enemies!$1:$1,0)+1,FALSE)</f>
        <v>15</v>
      </c>
      <c r="R5" s="139">
        <v>60</v>
      </c>
      <c r="S5" s="140">
        <v>3.6</v>
      </c>
      <c r="T5" s="140">
        <v>1</v>
      </c>
      <c r="U5" s="139">
        <v>0</v>
      </c>
      <c r="V5" s="12"/>
      <c r="W5" s="141">
        <v>41003013</v>
      </c>
      <c r="X5" s="38">
        <v>1</v>
      </c>
      <c r="Y5" s="38">
        <v>100</v>
      </c>
      <c r="Z5" s="38">
        <v>0</v>
      </c>
      <c r="AA5" s="12">
        <v>2</v>
      </c>
      <c r="AB5" s="105">
        <f t="shared" si="3"/>
        <v>49</v>
      </c>
      <c r="AC5" s="12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ヨシタカ</v>
      </c>
      <c r="AD5" s="12">
        <f ca="1">VLOOKUP($AB5,OFFSET([4]characters!$A$1,0,0,COUNTA([4]characters!$A:$A),MATCH(AD$1,[4]characters!$1:$1,0)-MATCH("character_id",[4]characters!$1:$1,0)+1),MATCH(AD$1,[4]characters!$1:$1,0)-MATCH("character_id",[4]characters!$1:$1,0)+1,FALSE)</f>
        <v>2</v>
      </c>
      <c r="AE5" s="12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Drop1N</v>
      </c>
      <c r="AF5" s="106">
        <v>1</v>
      </c>
      <c r="AG5" s="105">
        <f t="shared" ca="1" si="4"/>
        <v>2</v>
      </c>
      <c r="AH5" s="38">
        <v>0</v>
      </c>
      <c r="AI5" s="106">
        <v>0</v>
      </c>
      <c r="AJ5" s="106">
        <v>0</v>
      </c>
      <c r="AK5" s="106">
        <v>0</v>
      </c>
      <c r="AL5" s="106">
        <v>0</v>
      </c>
      <c r="AM5" s="106">
        <v>1</v>
      </c>
      <c r="AN5" s="38">
        <v>1</v>
      </c>
    </row>
    <row r="6" spans="1:40" ht="21" customHeight="1" x14ac:dyDescent="0.15">
      <c r="A6" s="134" t="str">
        <f t="shared" si="0"/>
        <v>41003_4-2/51&lt;lv60&gt;s2</v>
      </c>
      <c r="B6" s="138">
        <v>41003</v>
      </c>
      <c r="C6" s="78">
        <v>4</v>
      </c>
      <c r="D6" s="10" t="str">
        <f t="shared" si="1"/>
        <v>41003_4</v>
      </c>
      <c r="E6" s="12" t="str">
        <f ca="1">VLOOKUP($B6,OFFSET([2]quests!$A$1,0,0,COUNTA([2]quests!$A:$A),MATCH(E$1,[2]quests!$1:$1,0)-MATCH($B$1,[2]quests!$1:$1,0)+1),MATCH(E$1,[2]quests!$1:$1,0)-MATCH($B$1,[2]quests!$1:$1,0)+1,FALSE)</f>
        <v>ジャンヌ襲来！</v>
      </c>
      <c r="F6" s="12" t="str">
        <f ca="1">VLOOKUP($D6,OFFSET([2]stages!$A$1,0,0,COUNTA([2]stages!$A:$A),MATCH(F$1,[2]stages!$2:$2,0)-MATCH($D$1,[2]stages!$2:$2,0)+1),MATCH(F$1,[2]stages!$2:$2,0)-MATCH($D$1,[2]stages!$2:$2,0)+1,FALSE)</f>
        <v>【スコアアタック】ジャンヌ襲来</v>
      </c>
      <c r="G6" s="78">
        <v>2</v>
      </c>
      <c r="H6" s="10" t="str">
        <f t="shared" si="2"/>
        <v>41003_4-2</v>
      </c>
      <c r="I6" s="12">
        <f ca="1">VLOOKUP($H6,OFFSET(floors!$A$1,0,0,COUNTA(floors!$A:$A),MATCH(I$1,floors!$1:$1,0)-MATCH($H$1,floors!$1:$1,0)+1),MATCH(I$1,floors!$1:$1,0)-MATCH($H$1,floors!$1:$1,0)+1,FALSE)</f>
        <v>60</v>
      </c>
      <c r="J6" s="12">
        <f ca="1">VLOOKUP($H6,OFFSET(floors!$A$1,0,0,COUNTA(floors!$A:$A),MATCH(J$1,floors!$1:$1,0)-MATCH($H$1,floors!$1:$1,0)+1),MATCH(J$1,floors!$1:$1,0)-MATCH($H$1,floors!$1:$1,0)+1,FALSE)</f>
        <v>60</v>
      </c>
      <c r="K6" s="21" t="s">
        <v>466</v>
      </c>
      <c r="L6" s="104">
        <v>51</v>
      </c>
      <c r="M6" s="12" t="str">
        <f ca="1">VLOOKUP($L6,OFFSET([3]enemies!$A$1,0,0,COUNTA([3]enemies!$A:$A),MATCH(M$1,[3]enemies!$1:$1,0)-MATCH($L$1,[3]enemies!$1:$1,0)+1),MATCH(M$1,[3]enemies!$1:$1,0)-MATCH($L$1,[3]enemies!$1:$1,0)+1,FALSE)</f>
        <v>マイ</v>
      </c>
      <c r="N6" s="12" t="str">
        <f ca="1">VLOOKUP($L6,OFFSET([3]enemies!$A$1,0,0,COUNTA([3]enemies!$A:$A),MATCH(N$1,[3]enemies!$1:$1,0)-MATCH($L$1,[3]enemies!$1:$1,0)+1),MATCH(N$1,[3]enemies!$1:$1,0)-MATCH($L$1,[3]enemies!$1:$1,0)+1,FALSE)</f>
        <v>green</v>
      </c>
      <c r="O6" s="12" t="str">
        <f ca="1">VLOOKUP($L6,OFFSET([4]characters!$A$1,0,0,COUNTA([4]characters!$A:$A),MATCH(O$1,[4]characters!$1:$1,0)-MATCH($L$1,[4]characters!$1:$1,0)+1),MATCH(O$1,[4]characters!$1:$1,0)-MATCH($L$1,[4]characters!$1:$1,0)+1,FALSE)</f>
        <v>Drop1N</v>
      </c>
      <c r="P6" s="12" t="str">
        <f ca="1">VLOOKUP($L6,OFFSET([3]enemies!$A$1,0,0,COUNTA([3]enemies!$A:$A),MATCH(P$1,[3]enemies!$1:$1,0)-MATCH($L$1,[3]enemies!$1:$1,0)+1),MATCH(P$1,[3]enemies!$1:$1,0)-MATCH($L$1,[3]enemies!$1:$1,0)+1,FALSE)</f>
        <v>human</v>
      </c>
      <c r="Q6" s="12">
        <f ca="1">VLOOKUP($L6,OFFSET([3]enemies!$A$1,0,0,COUNTA([3]enemies!$A:$A),MATCH(Q$1,[3]enemies!$1:$1,0)-MATCH($L$1,[3]enemies!$1:$1,0)+1),MATCH(Q$1,[3]enemies!$1:$1,0)-MATCH($L$1,[3]enemies!$1:$1,0)+1,FALSE)</f>
        <v>15</v>
      </c>
      <c r="R6" s="139">
        <v>60</v>
      </c>
      <c r="S6" s="140">
        <v>3.4</v>
      </c>
      <c r="T6" s="140">
        <v>0.7</v>
      </c>
      <c r="U6" s="139">
        <v>0</v>
      </c>
      <c r="V6" s="12"/>
      <c r="W6" s="142">
        <v>41003014</v>
      </c>
      <c r="X6" s="38">
        <v>1</v>
      </c>
      <c r="Y6" s="38">
        <v>100</v>
      </c>
      <c r="Z6" s="38">
        <v>0</v>
      </c>
      <c r="AA6" s="12">
        <v>2</v>
      </c>
      <c r="AB6" s="105">
        <f t="shared" si="3"/>
        <v>51</v>
      </c>
      <c r="AC6" s="12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マイ</v>
      </c>
      <c r="AD6" s="12">
        <f ca="1">VLOOKUP($AB6,OFFSET([4]characters!$A$1,0,0,COUNTA([4]characters!$A:$A),MATCH(AD$1,[4]characters!$1:$1,0)-MATCH("character_id",[4]characters!$1:$1,0)+1),MATCH(AD$1,[4]characters!$1:$1,0)-MATCH("character_id",[4]characters!$1:$1,0)+1,FALSE)</f>
        <v>2</v>
      </c>
      <c r="AE6" s="12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Drop1N</v>
      </c>
      <c r="AF6" s="106">
        <v>1</v>
      </c>
      <c r="AG6" s="105">
        <f t="shared" ca="1" si="4"/>
        <v>2</v>
      </c>
      <c r="AH6" s="38">
        <v>0</v>
      </c>
      <c r="AI6" s="106">
        <v>0</v>
      </c>
      <c r="AJ6" s="106">
        <v>0</v>
      </c>
      <c r="AK6" s="106">
        <v>0</v>
      </c>
      <c r="AL6" s="106">
        <v>0</v>
      </c>
      <c r="AM6" s="106">
        <v>1</v>
      </c>
      <c r="AN6" s="38">
        <v>1</v>
      </c>
    </row>
    <row r="7" spans="1:40" ht="21" customHeight="1" x14ac:dyDescent="0.15">
      <c r="A7" s="134" t="str">
        <f t="shared" si="0"/>
        <v>41003_4-2/55&lt;lv60&gt;s2</v>
      </c>
      <c r="B7" s="138">
        <v>41003</v>
      </c>
      <c r="C7" s="78">
        <v>4</v>
      </c>
      <c r="D7" s="10" t="str">
        <f t="shared" si="1"/>
        <v>41003_4</v>
      </c>
      <c r="E7" s="12" t="str">
        <f ca="1">VLOOKUP($B7,OFFSET([2]quests!$A$1,0,0,COUNTA([2]quests!$A:$A),MATCH(E$1,[2]quests!$1:$1,0)-MATCH($B$1,[2]quests!$1:$1,0)+1),MATCH(E$1,[2]quests!$1:$1,0)-MATCH($B$1,[2]quests!$1:$1,0)+1,FALSE)</f>
        <v>ジャンヌ襲来！</v>
      </c>
      <c r="F7" s="12" t="str">
        <f ca="1">VLOOKUP($D7,OFFSET([2]stages!$A$1,0,0,COUNTA([2]stages!$A:$A),MATCH(F$1,[2]stages!$2:$2,0)-MATCH($D$1,[2]stages!$2:$2,0)+1),MATCH(F$1,[2]stages!$2:$2,0)-MATCH($D$1,[2]stages!$2:$2,0)+1,FALSE)</f>
        <v>【スコアアタック】ジャンヌ襲来</v>
      </c>
      <c r="G7" s="78">
        <v>2</v>
      </c>
      <c r="H7" s="10" t="str">
        <f t="shared" si="2"/>
        <v>41003_4-2</v>
      </c>
      <c r="I7" s="12">
        <f ca="1">VLOOKUP($H7,OFFSET(floors!$A$1,0,0,COUNTA(floors!$A:$A),MATCH(I$1,floors!$1:$1,0)-MATCH($H$1,floors!$1:$1,0)+1),MATCH(I$1,floors!$1:$1,0)-MATCH($H$1,floors!$1:$1,0)+1,FALSE)</f>
        <v>60</v>
      </c>
      <c r="J7" s="12">
        <f ca="1">VLOOKUP($H7,OFFSET(floors!$A$1,0,0,COUNTA(floors!$A:$A),MATCH(J$1,floors!$1:$1,0)-MATCH($H$1,floors!$1:$1,0)+1),MATCH(J$1,floors!$1:$1,0)-MATCH($H$1,floors!$1:$1,0)+1,FALSE)</f>
        <v>60</v>
      </c>
      <c r="K7" s="21" t="s">
        <v>467</v>
      </c>
      <c r="L7" s="104">
        <v>55</v>
      </c>
      <c r="M7" s="12" t="str">
        <f ca="1">VLOOKUP($L7,OFFSET([3]enemies!$A$1,0,0,COUNTA([3]enemies!$A:$A),MATCH(M$1,[3]enemies!$1:$1,0)-MATCH($L$1,[3]enemies!$1:$1,0)+1),MATCH(M$1,[3]enemies!$1:$1,0)-MATCH($L$1,[3]enemies!$1:$1,0)+1,FALSE)</f>
        <v>マミコ</v>
      </c>
      <c r="N7" s="12" t="str">
        <f ca="1">VLOOKUP($L7,OFFSET([3]enemies!$A$1,0,0,COUNTA([3]enemies!$A:$A),MATCH(N$1,[3]enemies!$1:$1,0)-MATCH($L$1,[3]enemies!$1:$1,0)+1),MATCH(N$1,[3]enemies!$1:$1,0)-MATCH($L$1,[3]enemies!$1:$1,0)+1,FALSE)</f>
        <v>yellow</v>
      </c>
      <c r="O7" s="12" t="str">
        <f ca="1">VLOOKUP($L7,OFFSET([4]characters!$A$1,0,0,COUNTA([4]characters!$A:$A),MATCH(O$1,[4]characters!$1:$1,0)-MATCH($L$1,[4]characters!$1:$1,0)+1),MATCH(O$1,[4]characters!$1:$1,0)-MATCH($L$1,[4]characters!$1:$1,0)+1,FALSE)</f>
        <v>Drop1N</v>
      </c>
      <c r="P7" s="12" t="str">
        <f ca="1">VLOOKUP($L7,OFFSET([3]enemies!$A$1,0,0,COUNTA([3]enemies!$A:$A),MATCH(P$1,[3]enemies!$1:$1,0)-MATCH($L$1,[3]enemies!$1:$1,0)+1),MATCH(P$1,[3]enemies!$1:$1,0)-MATCH($L$1,[3]enemies!$1:$1,0)+1,FALSE)</f>
        <v>human</v>
      </c>
      <c r="Q7" s="12">
        <f ca="1">VLOOKUP($L7,OFFSET([3]enemies!$A$1,0,0,COUNTA([3]enemies!$A:$A),MATCH(Q$1,[3]enemies!$1:$1,0)-MATCH($L$1,[3]enemies!$1:$1,0)+1),MATCH(Q$1,[3]enemies!$1:$1,0)-MATCH($L$1,[3]enemies!$1:$1,0)+1,FALSE)</f>
        <v>15</v>
      </c>
      <c r="R7" s="139">
        <v>60</v>
      </c>
      <c r="S7" s="140">
        <v>4</v>
      </c>
      <c r="T7" s="140">
        <v>0.6</v>
      </c>
      <c r="U7" s="139">
        <v>0</v>
      </c>
      <c r="V7" s="12"/>
      <c r="W7" s="141">
        <v>41003015</v>
      </c>
      <c r="X7" s="38">
        <v>1</v>
      </c>
      <c r="Y7" s="38">
        <v>100</v>
      </c>
      <c r="Z7" s="38">
        <v>0</v>
      </c>
      <c r="AA7" s="12">
        <v>2</v>
      </c>
      <c r="AB7" s="105">
        <f t="shared" si="3"/>
        <v>55</v>
      </c>
      <c r="AC7" s="12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マミコ</v>
      </c>
      <c r="AD7" s="12">
        <f ca="1">VLOOKUP($AB7,OFFSET([4]characters!$A$1,0,0,COUNTA([4]characters!$A:$A),MATCH(AD$1,[4]characters!$1:$1,0)-MATCH("character_id",[4]characters!$1:$1,0)+1),MATCH(AD$1,[4]characters!$1:$1,0)-MATCH("character_id",[4]characters!$1:$1,0)+1,FALSE)</f>
        <v>2</v>
      </c>
      <c r="AE7" s="12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Drop1N</v>
      </c>
      <c r="AF7" s="106">
        <v>1</v>
      </c>
      <c r="AG7" s="105">
        <f t="shared" ca="1" si="4"/>
        <v>2</v>
      </c>
      <c r="AH7" s="38">
        <v>0</v>
      </c>
      <c r="AI7" s="106">
        <v>0</v>
      </c>
      <c r="AJ7" s="106">
        <v>0</v>
      </c>
      <c r="AK7" s="106">
        <v>0</v>
      </c>
      <c r="AL7" s="106">
        <v>0</v>
      </c>
      <c r="AM7" s="106">
        <v>1</v>
      </c>
      <c r="AN7" s="38">
        <v>1</v>
      </c>
    </row>
    <row r="8" spans="1:40" ht="21" customHeight="1" x14ac:dyDescent="0.15">
      <c r="A8" s="134" t="str">
        <f t="shared" si="0"/>
        <v>41003_4-3/258&lt;lv52&gt;s2</v>
      </c>
      <c r="B8" s="138">
        <v>41003</v>
      </c>
      <c r="C8" s="78">
        <v>4</v>
      </c>
      <c r="D8" s="10" t="str">
        <f t="shared" si="1"/>
        <v>41003_4</v>
      </c>
      <c r="E8" s="12" t="str">
        <f ca="1">VLOOKUP($B8,OFFSET([2]quests!$A$1,0,0,COUNTA([2]quests!$A:$A),MATCH(E$1,[2]quests!$1:$1,0)-MATCH($B$1,[2]quests!$1:$1,0)+1),MATCH(E$1,[2]quests!$1:$1,0)-MATCH($B$1,[2]quests!$1:$1,0)+1,FALSE)</f>
        <v>ジャンヌ襲来！</v>
      </c>
      <c r="F8" s="12" t="str">
        <f ca="1">VLOOKUP($D8,OFFSET([2]stages!$A$1,0,0,COUNTA([2]stages!$A:$A),MATCH(F$1,[2]stages!$2:$2,0)-MATCH($D$1,[2]stages!$2:$2,0)+1),MATCH(F$1,[2]stages!$2:$2,0)-MATCH($D$1,[2]stages!$2:$2,0)+1,FALSE)</f>
        <v>【スコアアタック】ジャンヌ襲来</v>
      </c>
      <c r="G8" s="78">
        <v>3</v>
      </c>
      <c r="H8" s="10" t="str">
        <f t="shared" si="2"/>
        <v>41003_4-3</v>
      </c>
      <c r="I8" s="12">
        <f ca="1">VLOOKUP($H8,OFFSET(floors!$A$1,0,0,COUNTA(floors!$A:$A),MATCH(I$1,floors!$1:$1,0)-MATCH($H$1,floors!$1:$1,0)+1),MATCH(I$1,floors!$1:$1,0)-MATCH($H$1,floors!$1:$1,0)+1,FALSE)</f>
        <v>60</v>
      </c>
      <c r="J8" s="12">
        <f ca="1">VLOOKUP($H8,OFFSET(floors!$A$1,0,0,COUNTA(floors!$A:$A),MATCH(J$1,floors!$1:$1,0)-MATCH($H$1,floors!$1:$1,0)+1),MATCH(J$1,floors!$1:$1,0)-MATCH($H$1,floors!$1:$1,0)+1,FALSE)</f>
        <v>60</v>
      </c>
      <c r="K8" s="21">
        <v>3</v>
      </c>
      <c r="L8" s="104">
        <v>258</v>
      </c>
      <c r="M8" s="12" t="str">
        <f ca="1">VLOOKUP($L8,OFFSET([3]enemies!$A$1,0,0,COUNTA([3]enemies!$A:$A),MATCH(M$1,[3]enemies!$1:$1,0)-MATCH($L$1,[3]enemies!$1:$1,0)+1),MATCH(M$1,[3]enemies!$1:$1,0)-MATCH($L$1,[3]enemies!$1:$1,0)+1,FALSE)</f>
        <v>色欲の源流 アスモデウス</v>
      </c>
      <c r="N8" s="12" t="str">
        <f ca="1">VLOOKUP($L8,OFFSET([3]enemies!$A$1,0,0,COUNTA([3]enemies!$A:$A),MATCH(N$1,[3]enemies!$1:$1,0)-MATCH($L$1,[3]enemies!$1:$1,0)+1),MATCH(N$1,[3]enemies!$1:$1,0)-MATCH($L$1,[3]enemies!$1:$1,0)+1,FALSE)</f>
        <v>blue</v>
      </c>
      <c r="O8" s="12" t="str">
        <f ca="1">VLOOKUP($L8,OFFSET([4]characters!$A$1,0,0,COUNTA([4]characters!$A:$A),MATCH(O$1,[4]characters!$1:$1,0)-MATCH($L$1,[4]characters!$1:$1,0)+1),MATCH(O$1,[4]characters!$1:$1,0)-MATCH($L$1,[4]characters!$1:$1,0)+1,FALSE)</f>
        <v>PremiumS</v>
      </c>
      <c r="P8" s="12" t="str">
        <f ca="1">VLOOKUP($L8,OFFSET([3]enemies!$A$1,0,0,COUNTA([3]enemies!$A:$A),MATCH(P$1,[3]enemies!$1:$1,0)-MATCH($L$1,[3]enemies!$1:$1,0)+1),MATCH(P$1,[3]enemies!$1:$1,0)-MATCH($L$1,[3]enemies!$1:$1,0)+1,FALSE)</f>
        <v>god</v>
      </c>
      <c r="Q8" s="12">
        <f ca="1">VLOOKUP($L8,OFFSET([3]enemies!$A$1,0,0,COUNTA([3]enemies!$A:$A),MATCH(Q$1,[3]enemies!$1:$1,0)-MATCH($L$1,[3]enemies!$1:$1,0)+1),MATCH(Q$1,[3]enemies!$1:$1,0)-MATCH($L$1,[3]enemies!$1:$1,0)+1,FALSE)</f>
        <v>60</v>
      </c>
      <c r="R8" s="139">
        <v>52</v>
      </c>
      <c r="S8" s="140">
        <v>2.5</v>
      </c>
      <c r="T8" s="140">
        <v>1.2</v>
      </c>
      <c r="U8" s="139">
        <v>0</v>
      </c>
      <c r="V8" s="12"/>
      <c r="W8" s="141">
        <v>41003016</v>
      </c>
      <c r="X8" s="38">
        <v>0</v>
      </c>
      <c r="Y8" s="38">
        <v>100</v>
      </c>
      <c r="Z8" s="38">
        <v>1</v>
      </c>
      <c r="AA8" s="12">
        <v>2</v>
      </c>
      <c r="AB8" s="105">
        <f t="shared" si="3"/>
        <v>258</v>
      </c>
      <c r="AC8" s="12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色欲の源流 アスモデウス</v>
      </c>
      <c r="AD8" s="12">
        <f ca="1">VLOOKUP($AB8,OFFSET([4]characters!$A$1,0,0,COUNTA([4]characters!$A:$A),MATCH(AD$1,[4]characters!$1:$1,0)-MATCH("character_id",[4]characters!$1:$1,0)+1),MATCH(AD$1,[4]characters!$1:$1,0)-MATCH("character_id",[4]characters!$1:$1,0)+1,FALSE)</f>
        <v>5</v>
      </c>
      <c r="AE8" s="12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8" s="106">
        <v>1</v>
      </c>
      <c r="AG8" s="105">
        <f t="shared" ca="1" si="4"/>
        <v>5</v>
      </c>
      <c r="AH8" s="38">
        <v>0</v>
      </c>
      <c r="AI8" s="106">
        <v>0</v>
      </c>
      <c r="AJ8" s="106">
        <v>0</v>
      </c>
      <c r="AK8" s="106">
        <v>0</v>
      </c>
      <c r="AL8" s="106">
        <v>0</v>
      </c>
      <c r="AM8" s="106">
        <v>1</v>
      </c>
      <c r="AN8" s="38">
        <v>1</v>
      </c>
    </row>
    <row r="9" spans="1:40" ht="21" customHeight="1" x14ac:dyDescent="0.15">
      <c r="A9" s="134" t="str">
        <f t="shared" si="0"/>
        <v>41003_4-4/315&lt;lv80&gt;s2</v>
      </c>
      <c r="B9" s="138">
        <v>41003</v>
      </c>
      <c r="C9" s="78">
        <v>4</v>
      </c>
      <c r="D9" s="10" t="str">
        <f t="shared" si="1"/>
        <v>41003_4</v>
      </c>
      <c r="E9" s="12" t="str">
        <f ca="1">VLOOKUP($B9,OFFSET([2]quests!$A$1,0,0,COUNTA([2]quests!$A:$A),MATCH(E$1,[2]quests!$1:$1,0)-MATCH($B$1,[2]quests!$1:$1,0)+1),MATCH(E$1,[2]quests!$1:$1,0)-MATCH($B$1,[2]quests!$1:$1,0)+1,FALSE)</f>
        <v>ジャンヌ襲来！</v>
      </c>
      <c r="F9" s="12" t="str">
        <f ca="1">VLOOKUP($D9,OFFSET([2]stages!$A$1,0,0,COUNTA([2]stages!$A:$A),MATCH(F$1,[2]stages!$2:$2,0)-MATCH($D$1,[2]stages!$2:$2,0)+1),MATCH(F$1,[2]stages!$2:$2,0)-MATCH($D$1,[2]stages!$2:$2,0)+1,FALSE)</f>
        <v>【スコアアタック】ジャンヌ襲来</v>
      </c>
      <c r="G9" s="78">
        <v>4</v>
      </c>
      <c r="H9" s="10" t="str">
        <f t="shared" si="2"/>
        <v>41003_4-4</v>
      </c>
      <c r="I9" s="12">
        <f ca="1">VLOOKUP($H9,OFFSET(floors!$A$1,0,0,COUNTA(floors!$A:$A),MATCH(I$1,floors!$1:$1,0)-MATCH($H$1,floors!$1:$1,0)+1),MATCH(I$1,floors!$1:$1,0)-MATCH($H$1,floors!$1:$1,0)+1,FALSE)</f>
        <v>60</v>
      </c>
      <c r="J9" s="12">
        <f ca="1">VLOOKUP($H9,OFFSET(floors!$A$1,0,0,COUNTA(floors!$A:$A),MATCH(J$1,floors!$1:$1,0)-MATCH($H$1,floors!$1:$1,0)+1),MATCH(J$1,floors!$1:$1,0)-MATCH($H$1,floors!$1:$1,0)+1,FALSE)</f>
        <v>60</v>
      </c>
      <c r="K9" s="21">
        <v>4</v>
      </c>
      <c r="L9" s="104">
        <v>315</v>
      </c>
      <c r="M9" s="12" t="str">
        <f ca="1">VLOOKUP($L9,OFFSET([3]enemies!$A$1,0,0,COUNTA([3]enemies!$A:$A),MATCH(M$1,[3]enemies!$1:$1,0)-MATCH($L$1,[3]enemies!$1:$1,0)+1),MATCH(M$1,[3]enemies!$1:$1,0)-MATCH($L$1,[3]enemies!$1:$1,0)+1,FALSE)</f>
        <v>鉄馬駆る聖女 ジャンヌ</v>
      </c>
      <c r="N9" s="12" t="str">
        <f ca="1">VLOOKUP($L9,OFFSET([3]enemies!$A$1,0,0,COUNTA([3]enemies!$A:$A),MATCH(N$1,[3]enemies!$1:$1,0)-MATCH($L$1,[3]enemies!$1:$1,0)+1),MATCH(N$1,[3]enemies!$1:$1,0)-MATCH($L$1,[3]enemies!$1:$1,0)+1,FALSE)</f>
        <v>blue</v>
      </c>
      <c r="O9" s="12" t="str">
        <f ca="1">VLOOKUP($L9,OFFSET([4]characters!$A$1,0,0,COUNTA([4]characters!$A:$A),MATCH(O$1,[4]characters!$1:$1,0)-MATCH($L$1,[4]characters!$1:$1,0)+1),MATCH(O$1,[4]characters!$1:$1,0)-MATCH($L$1,[4]characters!$1:$1,0)+1,FALSE)</f>
        <v>DropWizS</v>
      </c>
      <c r="P9" s="12" t="str">
        <f ca="1">VLOOKUP($L9,OFFSET([3]enemies!$A$1,0,0,COUNTA([3]enemies!$A:$A),MATCH(P$1,[3]enemies!$1:$1,0)-MATCH($L$1,[3]enemies!$1:$1,0)+1),MATCH(P$1,[3]enemies!$1:$1,0)-MATCH($L$1,[3]enemies!$1:$1,0)+1,FALSE)</f>
        <v>human</v>
      </c>
      <c r="Q9" s="12">
        <f ca="1">VLOOKUP($L9,OFFSET([3]enemies!$A$1,0,0,COUNTA([3]enemies!$A:$A),MATCH(Q$1,[3]enemies!$1:$1,0)-MATCH($L$1,[3]enemies!$1:$1,0)+1),MATCH(Q$1,[3]enemies!$1:$1,0)-MATCH($L$1,[3]enemies!$1:$1,0)+1,FALSE)</f>
        <v>60</v>
      </c>
      <c r="R9" s="139">
        <v>80</v>
      </c>
      <c r="S9" s="140">
        <v>3.4</v>
      </c>
      <c r="T9" s="140">
        <v>2</v>
      </c>
      <c r="U9" s="139">
        <v>0</v>
      </c>
      <c r="V9" s="12"/>
      <c r="W9" s="143">
        <v>41003017</v>
      </c>
      <c r="X9" s="38">
        <v>0</v>
      </c>
      <c r="Y9" s="38">
        <v>100</v>
      </c>
      <c r="Z9" s="38">
        <v>1</v>
      </c>
      <c r="AA9" s="12">
        <v>2</v>
      </c>
      <c r="AB9" s="105">
        <v>314</v>
      </c>
      <c r="AC9" s="12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ジャンヌ</v>
      </c>
      <c r="AD9" s="12">
        <f ca="1">VLOOKUP($AB9,OFFSET([4]characters!$A$1,0,0,COUNTA([4]characters!$A:$A),MATCH(AD$1,[4]characters!$1:$1,0)-MATCH("character_id",[4]characters!$1:$1,0)+1),MATCH(AD$1,[4]characters!$1:$1,0)-MATCH("character_id",[4]characters!$1:$1,0)+1,FALSE)</f>
        <v>4</v>
      </c>
      <c r="AE9" s="12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DropWizS</v>
      </c>
      <c r="AF9" s="106">
        <v>1</v>
      </c>
      <c r="AG9" s="105">
        <f t="shared" ca="1" si="4"/>
        <v>4</v>
      </c>
      <c r="AH9" s="149">
        <v>0</v>
      </c>
      <c r="AI9" s="106">
        <v>0</v>
      </c>
      <c r="AJ9" s="106">
        <v>0</v>
      </c>
      <c r="AK9" s="106">
        <v>0</v>
      </c>
      <c r="AL9" s="106">
        <v>0</v>
      </c>
      <c r="AM9" s="106">
        <v>1</v>
      </c>
      <c r="AN9" s="38">
        <v>1</v>
      </c>
    </row>
  </sheetData>
  <sheetProtection selectLockedCells="1" selectUnlockedCells="1"/>
  <autoFilter ref="B1:AH1"/>
  <phoneticPr fontId="11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  <outlinePr summaryBelow="0" summaryRight="0"/>
  </sheetPr>
  <dimension ref="A1:Y4"/>
  <sheetViews>
    <sheetView showGridLines="0" zoomScale="75" zoomScaleNormal="75" zoomScalePageLayoutView="75" workbookViewId="0">
      <pane xSplit="18" ySplit="1" topLeftCell="U2" activePane="bottomRight" state="frozen"/>
      <selection activeCell="D2" sqref="D2"/>
      <selection pane="topRight" activeCell="D2" sqref="D2"/>
      <selection pane="bottomLeft" activeCell="D2" sqref="D2"/>
      <selection pane="bottomRight" activeCell="E13" sqref="E13"/>
    </sheetView>
  </sheetViews>
  <sheetFormatPr baseColWidth="12" defaultColWidth="13" defaultRowHeight="21" customHeight="1" outlineLevelCol="1" x14ac:dyDescent="0.15"/>
  <cols>
    <col min="1" max="1" width="17" style="13" bestFit="1" customWidth="1"/>
    <col min="2" max="2" width="10.83203125" style="3" bestFit="1" customWidth="1"/>
    <col min="3" max="3" width="10.6640625" style="3" bestFit="1" customWidth="1"/>
    <col min="4" max="4" width="13" style="9" customWidth="1" outlineLevel="1"/>
    <col min="5" max="5" width="11.6640625" style="3" customWidth="1" outlineLevel="1"/>
    <col min="6" max="6" width="16.1640625" style="3" customWidth="1" outlineLevel="1"/>
    <col min="7" max="7" width="10" style="3" bestFit="1" customWidth="1"/>
    <col min="8" max="10" width="12.33203125" style="3" customWidth="1" outlineLevel="1"/>
    <col min="11" max="11" width="12.33203125" style="3" customWidth="1"/>
    <col min="12" max="12" width="11" style="3" bestFit="1" customWidth="1"/>
    <col min="13" max="13" width="13.5" style="5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18" customFormat="1" ht="21" customHeight="1" x14ac:dyDescent="0.15">
      <c r="A1" s="144" t="s">
        <v>352</v>
      </c>
      <c r="B1" s="16" t="s">
        <v>0</v>
      </c>
      <c r="C1" s="16" t="s">
        <v>1</v>
      </c>
      <c r="D1" s="17" t="s">
        <v>353</v>
      </c>
      <c r="E1" s="17" t="s">
        <v>354</v>
      </c>
      <c r="F1" s="17" t="s">
        <v>354</v>
      </c>
      <c r="G1" s="16" t="s">
        <v>355</v>
      </c>
      <c r="H1" s="17" t="s">
        <v>356</v>
      </c>
      <c r="I1" s="17" t="s">
        <v>13</v>
      </c>
      <c r="J1" s="17" t="s">
        <v>14</v>
      </c>
      <c r="K1" s="19" t="s">
        <v>357</v>
      </c>
      <c r="L1" s="19" t="s">
        <v>370</v>
      </c>
      <c r="M1" s="19" t="s">
        <v>2</v>
      </c>
      <c r="N1" s="17" t="s">
        <v>354</v>
      </c>
      <c r="O1" s="17" t="s">
        <v>358</v>
      </c>
      <c r="P1" s="17" t="s">
        <v>359</v>
      </c>
      <c r="Q1" s="17" t="s">
        <v>360</v>
      </c>
      <c r="R1" s="17" t="s">
        <v>361</v>
      </c>
      <c r="S1" s="16" t="s">
        <v>3</v>
      </c>
      <c r="T1" s="16" t="s">
        <v>371</v>
      </c>
      <c r="U1" s="16" t="s">
        <v>372</v>
      </c>
      <c r="V1" s="16" t="s">
        <v>373</v>
      </c>
      <c r="W1" s="16" t="s">
        <v>374</v>
      </c>
      <c r="X1" s="17" t="s">
        <v>375</v>
      </c>
      <c r="Y1" s="16" t="s">
        <v>7</v>
      </c>
    </row>
    <row r="2" spans="1:25" ht="21" customHeight="1" x14ac:dyDescent="0.15">
      <c r="A2" s="134" t="str">
        <f>B2&amp;"_"&amp;C2&amp;"-"&amp;G2&amp;"/"&amp;M2&amp;"&lt;lv"&amp;S2&amp;"&gt;sq"&amp;K2&amp;"st"&amp;L2</f>
        <v>41003_4-3/258&lt;lv52&gt;sq3st2</v>
      </c>
      <c r="B2" s="138">
        <v>41003</v>
      </c>
      <c r="C2" s="78">
        <v>4</v>
      </c>
      <c r="D2" s="10" t="str">
        <f>B2&amp;"_"&amp;C2</f>
        <v>41003_4</v>
      </c>
      <c r="E2" s="12" t="str">
        <f ca="1">VLOOKUP($B2,OFFSET([2]quests!$A$1,0,0,COUNTA([2]quests!$A:$A),MATCH(E$1,[2]quests!$1:$1,0)-MATCH($B$1,[2]quests!$1:$1,0)+1),MATCH(E$1,[2]quests!$1:$1,0)-MATCH($B$1,[2]quests!$1:$1,0)+1,FALSE)</f>
        <v>ジャンヌ襲来！</v>
      </c>
      <c r="F2" s="12" t="str">
        <f ca="1">VLOOKUP($D2,OFFSET([2]stages!$A$1,0,0,COUNTA([2]stages!$A:$A),MATCH(F$1,[2]stages!$2:$2,0)-MATCH($D$1,[2]stages!$2:$2,0)+1),MATCH(F$1,[2]stages!$2:$2,0)-MATCH($D$1,[2]stages!$2:$2,0)+1,FALSE)</f>
        <v>【スコアアタック】ジャンヌ襲来</v>
      </c>
      <c r="G2" s="78">
        <v>3</v>
      </c>
      <c r="H2" s="10" t="str">
        <f>B2&amp;"_"&amp;C2&amp;"-"&amp;G2</f>
        <v>41003_4-3</v>
      </c>
      <c r="I2" s="12">
        <f ca="1">VLOOKUP($H2,OFFSET(floors!$A$1,0,0,COUNTA(floors!$A:$A),MATCH(I$1,floors!$1:$1,0)-MATCH($H$1,floors!$1:$1,0)+1),MATCH(I$1,floors!$1:$1,0)-MATCH($H$1,floors!$1:$1,0)+1,FALSE)</f>
        <v>60</v>
      </c>
      <c r="J2" s="12">
        <f ca="1">VLOOKUP($H2,OFFSET(floors!$A$1,0,0,COUNTA(floors!$A:$A),MATCH(J$1,floors!$1:$1,0)-MATCH($H$1,floors!$1:$1,0)+1),MATCH(J$1,floors!$1:$1,0)-MATCH($H$1,floors!$1:$1,0)+1,FALSE)</f>
        <v>60</v>
      </c>
      <c r="K2" s="21">
        <v>3</v>
      </c>
      <c r="L2" s="21">
        <v>2</v>
      </c>
      <c r="M2" s="104">
        <v>258</v>
      </c>
      <c r="N2" s="12" t="str">
        <f ca="1">VLOOKUP($M2,OFFSET([3]enemies!$A$1,0,0,COUNTA([3]enemies!$A:$A),MATCH(N$1,[3]enemies!$1:$1,0)-MATCH($M$1,[3]enemies!$1:$1,0)+1),MATCH(N$1,[3]enemies!$1:$1,0)-MATCH($M$1,[3]enemies!$1:$1,0)+1,FALSE)</f>
        <v>色欲の源流 アスモデウス</v>
      </c>
      <c r="O2" s="12" t="str">
        <f ca="1">VLOOKUP($M2,OFFSET([3]enemies!$A$1,0,0,COUNTA([3]enemies!$A:$A),MATCH(O$1,[3]enemies!$1:$1,0)-MATCH($M$1,[3]enemies!$1:$1,0)+1),MATCH(O$1,[3]enemies!$1:$1,0)-MATCH($M$1,[3]enemies!$1:$1,0)+1,FALSE)</f>
        <v>blue</v>
      </c>
      <c r="P2" s="12" t="str">
        <f ca="1">VLOOKUP($M2,OFFSET([4]characters!$A$1,0,0,COUNTA([4]characters!$A:$A),MATCH(P$1,[4]characters!$1:$1,0)-MATCH($M$1,[4]characters!$1:$1,0)+1),MATCH(P$1,[4]characters!$1:$1,0)-MATCH($M$1,[4]characters!$1:$1,0)+1,FALSE)</f>
        <v>PremiumS</v>
      </c>
      <c r="Q2" s="12" t="str">
        <f ca="1">VLOOKUP($M2,OFFSET([3]enemies!$A$1,0,0,COUNTA([3]enemies!$A:$A),MATCH(Q$1,[3]enemies!$1:$1,0)-MATCH($M$1,[3]enemies!$1:$1,0)+1),MATCH(Q$1,[3]enemies!$1:$1,0)-MATCH($M$1,[3]enemies!$1:$1,0)+1,FALSE)</f>
        <v>god</v>
      </c>
      <c r="R2" s="12">
        <f ca="1">VLOOKUP($M2,OFFSET([3]enemies!$A$1,0,0,COUNTA([3]enemies!$A:$A),MATCH(R$1,[3]enemies!$1:$1,0)-MATCH($M$1,[3]enemies!$1:$1,0)+1),MATCH(R$1,[3]enemies!$1:$1,0)-MATCH($M$1,[3]enemies!$1:$1,0)+1,FALSE)</f>
        <v>60</v>
      </c>
      <c r="S2" s="139">
        <v>52</v>
      </c>
      <c r="T2" s="140">
        <v>4</v>
      </c>
      <c r="U2" s="140">
        <v>1</v>
      </c>
      <c r="V2" s="139">
        <v>0</v>
      </c>
      <c r="W2" s="12"/>
      <c r="X2" s="146">
        <v>41003018</v>
      </c>
      <c r="Y2" s="12">
        <v>2</v>
      </c>
    </row>
    <row r="3" spans="1:25" ht="21" customHeight="1" x14ac:dyDescent="0.15">
      <c r="A3" s="134" t="str">
        <f t="shared" ref="A3:A4" si="0">B3&amp;"_"&amp;C3&amp;"-"&amp;G3&amp;"/"&amp;M3&amp;"&lt;lv"&amp;S3&amp;"&gt;sq"&amp;K3&amp;"st"&amp;L3</f>
        <v>41003_4-4/814&lt;lv80&gt;sq4st2</v>
      </c>
      <c r="B3" s="138">
        <v>41003</v>
      </c>
      <c r="C3" s="78">
        <v>4</v>
      </c>
      <c r="D3" s="10" t="str">
        <f t="shared" ref="D3:D4" si="1">B3&amp;"_"&amp;C3</f>
        <v>41003_4</v>
      </c>
      <c r="E3" s="12" t="str">
        <f ca="1">VLOOKUP($B3,OFFSET([2]quests!$A$1,0,0,COUNTA([2]quests!$A:$A),MATCH(E$1,[2]quests!$1:$1,0)-MATCH($B$1,[2]quests!$1:$1,0)+1),MATCH(E$1,[2]quests!$1:$1,0)-MATCH($B$1,[2]quests!$1:$1,0)+1,FALSE)</f>
        <v>ジャンヌ襲来！</v>
      </c>
      <c r="F3" s="12" t="str">
        <f ca="1">VLOOKUP($D3,OFFSET([2]stages!$A$1,0,0,COUNTA([2]stages!$A:$A),MATCH(F$1,[2]stages!$2:$2,0)-MATCH($D$1,[2]stages!$2:$2,0)+1),MATCH(F$1,[2]stages!$2:$2,0)-MATCH($D$1,[2]stages!$2:$2,0)+1,FALSE)</f>
        <v>【スコアアタック】ジャンヌ襲来</v>
      </c>
      <c r="G3" s="78">
        <v>4</v>
      </c>
      <c r="H3" s="10" t="str">
        <f t="shared" ref="H3:H4" si="2">B3&amp;"_"&amp;C3&amp;"-"&amp;G3</f>
        <v>41003_4-4</v>
      </c>
      <c r="I3" s="12">
        <f ca="1">VLOOKUP($H3,OFFSET(floors!$A$1,0,0,COUNTA(floors!$A:$A),MATCH(I$1,floors!$1:$1,0)-MATCH($H$1,floors!$1:$1,0)+1),MATCH(I$1,floors!$1:$1,0)-MATCH($H$1,floors!$1:$1,0)+1,FALSE)</f>
        <v>60</v>
      </c>
      <c r="J3" s="12">
        <f ca="1">VLOOKUP($H3,OFFSET(floors!$A$1,0,0,COUNTA(floors!$A:$A),MATCH(J$1,floors!$1:$1,0)-MATCH($H$1,floors!$1:$1,0)+1),MATCH(J$1,floors!$1:$1,0)-MATCH($H$1,floors!$1:$1,0)+1,FALSE)</f>
        <v>60</v>
      </c>
      <c r="K3" s="21">
        <v>4</v>
      </c>
      <c r="L3" s="21">
        <v>2</v>
      </c>
      <c r="M3" s="104">
        <v>814</v>
      </c>
      <c r="N3" s="12" t="str">
        <f ca="1">VLOOKUP($M3,OFFSET([3]enemies!$A$1,0,0,COUNTA([3]enemies!$A:$A),MATCH(N$1,[3]enemies!$1:$1,0)-MATCH($M$1,[3]enemies!$1:$1,0)+1),MATCH(N$1,[3]enemies!$1:$1,0)-MATCH($M$1,[3]enemies!$1:$1,0)+1,FALSE)</f>
        <v>戦場疾駆の鋼蹄 ジャンヌ</v>
      </c>
      <c r="O3" s="12" t="str">
        <f ca="1">VLOOKUP($M3,OFFSET([3]enemies!$A$1,0,0,COUNTA([3]enemies!$A:$A),MATCH(O$1,[3]enemies!$1:$1,0)-MATCH($M$1,[3]enemies!$1:$1,0)+1),MATCH(O$1,[3]enemies!$1:$1,0)-MATCH($M$1,[3]enemies!$1:$1,0)+1,FALSE)</f>
        <v>blue</v>
      </c>
      <c r="P3" s="12" t="str">
        <f ca="1">VLOOKUP($M3,OFFSET([4]characters!$A$1,0,0,COUNTA([4]characters!$A:$A),MATCH(P$1,[4]characters!$1:$1,0)-MATCH($M$1,[4]characters!$1:$1,0)+1),MATCH(P$1,[4]characters!$1:$1,0)-MATCH($M$1,[4]characters!$1:$1,0)+1,FALSE)</f>
        <v>DropWizS</v>
      </c>
      <c r="Q3" s="12" t="str">
        <f ca="1">VLOOKUP($M3,OFFSET([3]enemies!$A$1,0,0,COUNTA([3]enemies!$A:$A),MATCH(Q$1,[3]enemies!$1:$1,0)-MATCH($M$1,[3]enemies!$1:$1,0)+1),MATCH(Q$1,[3]enemies!$1:$1,0)-MATCH($M$1,[3]enemies!$1:$1,0)+1,FALSE)</f>
        <v>human</v>
      </c>
      <c r="R3" s="12">
        <f ca="1">VLOOKUP($M3,OFFSET([3]enemies!$A$1,0,0,COUNTA([3]enemies!$A:$A),MATCH(R$1,[3]enemies!$1:$1,0)-MATCH($M$1,[3]enemies!$1:$1,0)+1),MATCH(R$1,[3]enemies!$1:$1,0)-MATCH($M$1,[3]enemies!$1:$1,0)+1,FALSE)</f>
        <v>60</v>
      </c>
      <c r="S3" s="139">
        <v>80</v>
      </c>
      <c r="T3" s="140">
        <v>5</v>
      </c>
      <c r="U3" s="140">
        <v>2.1</v>
      </c>
      <c r="V3" s="139">
        <v>0</v>
      </c>
      <c r="W3" s="12"/>
      <c r="X3" s="106">
        <v>41003019</v>
      </c>
      <c r="Y3" s="12">
        <v>2</v>
      </c>
    </row>
    <row r="4" spans="1:25" ht="21" customHeight="1" x14ac:dyDescent="0.15">
      <c r="A4" s="134" t="str">
        <f t="shared" si="0"/>
        <v>41003_4-4/814&lt;lv80&gt;sq4st3</v>
      </c>
      <c r="B4" s="138">
        <v>41003</v>
      </c>
      <c r="C4" s="78">
        <v>4</v>
      </c>
      <c r="D4" s="10" t="str">
        <f t="shared" si="1"/>
        <v>41003_4</v>
      </c>
      <c r="E4" s="12" t="str">
        <f ca="1">VLOOKUP($B4,OFFSET([2]quests!$A$1,0,0,COUNTA([2]quests!$A:$A),MATCH(E$1,[2]quests!$1:$1,0)-MATCH($B$1,[2]quests!$1:$1,0)+1),MATCH(E$1,[2]quests!$1:$1,0)-MATCH($B$1,[2]quests!$1:$1,0)+1,FALSE)</f>
        <v>ジャンヌ襲来！</v>
      </c>
      <c r="F4" s="12" t="str">
        <f ca="1">VLOOKUP($D4,OFFSET([2]stages!$A$1,0,0,COUNTA([2]stages!$A:$A),MATCH(F$1,[2]stages!$2:$2,0)-MATCH($D$1,[2]stages!$2:$2,0)+1),MATCH(F$1,[2]stages!$2:$2,0)-MATCH($D$1,[2]stages!$2:$2,0)+1,FALSE)</f>
        <v>【スコアアタック】ジャンヌ襲来</v>
      </c>
      <c r="G4" s="78">
        <v>4</v>
      </c>
      <c r="H4" s="10" t="str">
        <f t="shared" si="2"/>
        <v>41003_4-4</v>
      </c>
      <c r="I4" s="12">
        <f ca="1">VLOOKUP($H4,OFFSET(floors!$A$1,0,0,COUNTA(floors!$A:$A),MATCH(I$1,floors!$1:$1,0)-MATCH($H$1,floors!$1:$1,0)+1),MATCH(I$1,floors!$1:$1,0)-MATCH($H$1,floors!$1:$1,0)+1,FALSE)</f>
        <v>60</v>
      </c>
      <c r="J4" s="12">
        <f ca="1">VLOOKUP($H4,OFFSET(floors!$A$1,0,0,COUNTA(floors!$A:$A),MATCH(J$1,floors!$1:$1,0)-MATCH($H$1,floors!$1:$1,0)+1),MATCH(J$1,floors!$1:$1,0)-MATCH($H$1,floors!$1:$1,0)+1,FALSE)</f>
        <v>60</v>
      </c>
      <c r="K4" s="21">
        <v>4</v>
      </c>
      <c r="L4" s="21">
        <v>3</v>
      </c>
      <c r="M4" s="104">
        <v>814</v>
      </c>
      <c r="N4" s="12" t="str">
        <f ca="1">VLOOKUP($M4,OFFSET([3]enemies!$A$1,0,0,COUNTA([3]enemies!$A:$A),MATCH(N$1,[3]enemies!$1:$1,0)-MATCH($M$1,[3]enemies!$1:$1,0)+1),MATCH(N$1,[3]enemies!$1:$1,0)-MATCH($M$1,[3]enemies!$1:$1,0)+1,FALSE)</f>
        <v>戦場疾駆の鋼蹄 ジャンヌ</v>
      </c>
      <c r="O4" s="12" t="str">
        <f ca="1">VLOOKUP($M4,OFFSET([3]enemies!$A$1,0,0,COUNTA([3]enemies!$A:$A),MATCH(O$1,[3]enemies!$1:$1,0)-MATCH($M$1,[3]enemies!$1:$1,0)+1),MATCH(O$1,[3]enemies!$1:$1,0)-MATCH($M$1,[3]enemies!$1:$1,0)+1,FALSE)</f>
        <v>blue</v>
      </c>
      <c r="P4" s="12" t="str">
        <f ca="1">VLOOKUP($M4,OFFSET([4]characters!$A$1,0,0,COUNTA([4]characters!$A:$A),MATCH(P$1,[4]characters!$1:$1,0)-MATCH($M$1,[4]characters!$1:$1,0)+1),MATCH(P$1,[4]characters!$1:$1,0)-MATCH($M$1,[4]characters!$1:$1,0)+1,FALSE)</f>
        <v>DropWizS</v>
      </c>
      <c r="Q4" s="12" t="str">
        <f ca="1">VLOOKUP($M4,OFFSET([3]enemies!$A$1,0,0,COUNTA([3]enemies!$A:$A),MATCH(Q$1,[3]enemies!$1:$1,0)-MATCH($M$1,[3]enemies!$1:$1,0)+1),MATCH(Q$1,[3]enemies!$1:$1,0)-MATCH($M$1,[3]enemies!$1:$1,0)+1,FALSE)</f>
        <v>human</v>
      </c>
      <c r="R4" s="12">
        <f ca="1">VLOOKUP($M4,OFFSET([3]enemies!$A$1,0,0,COUNTA([3]enemies!$A:$A),MATCH(R$1,[3]enemies!$1:$1,0)-MATCH($M$1,[3]enemies!$1:$1,0)+1),MATCH(R$1,[3]enemies!$1:$1,0)-MATCH($M$1,[3]enemies!$1:$1,0)+1,FALSE)</f>
        <v>60</v>
      </c>
      <c r="S4" s="139">
        <v>80</v>
      </c>
      <c r="T4" s="140">
        <v>7</v>
      </c>
      <c r="U4" s="140">
        <v>2.2000000000000002</v>
      </c>
      <c r="V4" s="139">
        <v>0</v>
      </c>
      <c r="W4" s="12"/>
      <c r="X4" s="106">
        <v>41003020</v>
      </c>
      <c r="Y4" s="12">
        <v>2</v>
      </c>
    </row>
  </sheetData>
  <sheetProtection selectLockedCells="1" selectUnlockedCells="1"/>
  <autoFilter ref="B1:Y2"/>
  <phoneticPr fontId="11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1"/>
  <sheetViews>
    <sheetView showGridLines="0" workbookViewId="0">
      <pane xSplit="5" ySplit="1" topLeftCell="F2" activePane="bottomRight" state="frozen"/>
      <selection activeCell="D2" sqref="D2"/>
      <selection pane="topRight" activeCell="D2" sqref="D2"/>
      <selection pane="bottomLeft" activeCell="D2" sqref="D2"/>
      <selection pane="bottomRight" activeCell="A2" sqref="A2:XFD2"/>
    </sheetView>
  </sheetViews>
  <sheetFormatPr baseColWidth="12" defaultColWidth="12.83203125" defaultRowHeight="21" customHeight="1" outlineLevelCol="1" x14ac:dyDescent="0.15"/>
  <cols>
    <col min="1" max="1" width="11.33203125" style="22" bestFit="1" customWidth="1"/>
    <col min="2" max="2" width="9.5" style="29" bestFit="1" customWidth="1"/>
    <col min="3" max="3" width="9.6640625" style="29" customWidth="1"/>
    <col min="4" max="4" width="18.5" style="29" customWidth="1" outlineLevel="1"/>
    <col min="5" max="5" width="44.1640625" style="29" bestFit="1" customWidth="1" outlineLevel="1"/>
    <col min="6" max="6" width="10.83203125" style="29" bestFit="1" customWidth="1"/>
    <col min="7" max="7" width="8.33203125" style="29" bestFit="1" customWidth="1" outlineLevel="1"/>
    <col min="8" max="9" width="12.83203125" style="29" outlineLevel="1"/>
    <col min="10" max="10" width="17.6640625" style="29" bestFit="1" customWidth="1" outlineLevel="1"/>
    <col min="11" max="15" width="12.83203125" style="29" outlineLevel="1"/>
    <col min="16" max="16" width="8.33203125" style="28" bestFit="1" customWidth="1"/>
    <col min="17" max="17" width="9.6640625" style="28" customWidth="1"/>
    <col min="18" max="18" width="56.5" style="28" bestFit="1" customWidth="1"/>
    <col min="19" max="16384" width="12.83203125" style="28"/>
  </cols>
  <sheetData>
    <row r="1" spans="1:18" ht="21" customHeight="1" x14ac:dyDescent="0.15">
      <c r="A1" s="22" t="s">
        <v>376</v>
      </c>
      <c r="B1" s="23" t="s">
        <v>377</v>
      </c>
      <c r="C1" s="23" t="s">
        <v>378</v>
      </c>
      <c r="D1" s="24" t="s">
        <v>379</v>
      </c>
      <c r="E1" s="24" t="s">
        <v>380</v>
      </c>
      <c r="F1" s="25" t="s">
        <v>381</v>
      </c>
      <c r="G1" s="26" t="s">
        <v>382</v>
      </c>
      <c r="H1" s="26" t="s">
        <v>383</v>
      </c>
      <c r="I1" s="26" t="s">
        <v>384</v>
      </c>
      <c r="J1" s="26" t="s">
        <v>385</v>
      </c>
      <c r="K1" s="27" t="s">
        <v>386</v>
      </c>
      <c r="L1" s="27" t="s">
        <v>387</v>
      </c>
      <c r="M1" s="26" t="s">
        <v>388</v>
      </c>
      <c r="N1" s="26" t="s">
        <v>389</v>
      </c>
      <c r="O1" s="26" t="s">
        <v>390</v>
      </c>
      <c r="P1" s="24" t="s">
        <v>28</v>
      </c>
      <c r="Q1" s="24" t="s">
        <v>29</v>
      </c>
      <c r="R1" s="24" t="s">
        <v>30</v>
      </c>
    </row>
  </sheetData>
  <autoFilter ref="A1:R1"/>
  <phoneticPr fontId="1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1"/>
  <sheetViews>
    <sheetView showGridLines="0" workbookViewId="0">
      <pane ySplit="1" topLeftCell="A2" activePane="bottomLeft" state="frozenSplit"/>
      <selection activeCell="D2" sqref="D2"/>
      <selection pane="bottomLeft" activeCell="B12" sqref="B12"/>
    </sheetView>
  </sheetViews>
  <sheetFormatPr baseColWidth="12" defaultColWidth="12.83203125" defaultRowHeight="21" customHeight="1" outlineLevelCol="1" x14ac:dyDescent="0.15"/>
  <cols>
    <col min="1" max="1" width="12.83203125" style="29"/>
    <col min="2" max="2" width="67.1640625" style="29" customWidth="1"/>
    <col min="3" max="4" width="12.83203125" style="29"/>
    <col min="5" max="5" width="23.6640625" style="29" bestFit="1" customWidth="1"/>
    <col min="6" max="6" width="44.1640625" style="29" bestFit="1" customWidth="1"/>
    <col min="7" max="7" width="52" style="29" customWidth="1" outlineLevel="1"/>
    <col min="8" max="8" width="18.33203125" style="29" customWidth="1" outlineLevel="1"/>
    <col min="9" max="11" width="18.6640625" style="29" customWidth="1" outlineLevel="1"/>
    <col min="12" max="12" width="23.6640625" style="29" customWidth="1"/>
    <col min="13" max="18" width="23.6640625" style="29" customWidth="1" outlineLevel="1"/>
    <col min="19" max="19" width="23.6640625" style="29" customWidth="1"/>
    <col min="20" max="24" width="23.6640625" style="29" customWidth="1" outlineLevel="1"/>
    <col min="25" max="25" width="23.6640625" style="29" customWidth="1"/>
    <col min="26" max="27" width="12.83203125" style="29"/>
    <col min="28" max="28" width="44.5" style="29" customWidth="1"/>
    <col min="29" max="16384" width="12.83203125" style="29"/>
  </cols>
  <sheetData>
    <row r="1" spans="1:28" ht="21" customHeight="1" x14ac:dyDescent="0.15">
      <c r="A1" s="23" t="s">
        <v>31</v>
      </c>
      <c r="B1" s="23" t="s">
        <v>391</v>
      </c>
      <c r="C1" s="23" t="s">
        <v>32</v>
      </c>
      <c r="D1" s="23" t="s">
        <v>392</v>
      </c>
      <c r="E1" s="23" t="s">
        <v>393</v>
      </c>
      <c r="F1" s="23" t="s">
        <v>394</v>
      </c>
      <c r="G1" s="24" t="s">
        <v>44</v>
      </c>
      <c r="H1" s="24" t="s">
        <v>50</v>
      </c>
      <c r="I1" s="24" t="s">
        <v>52</v>
      </c>
      <c r="J1" s="24" t="s">
        <v>51</v>
      </c>
      <c r="K1" s="24" t="s">
        <v>53</v>
      </c>
      <c r="L1" s="24" t="s">
        <v>45</v>
      </c>
      <c r="M1" s="24" t="s">
        <v>43</v>
      </c>
      <c r="N1" s="24" t="s">
        <v>46</v>
      </c>
      <c r="O1" s="24" t="s">
        <v>54</v>
      </c>
      <c r="P1" s="24" t="s">
        <v>55</v>
      </c>
      <c r="Q1" s="24" t="s">
        <v>56</v>
      </c>
      <c r="R1" s="24" t="s">
        <v>57</v>
      </c>
      <c r="S1" s="24" t="s">
        <v>47</v>
      </c>
      <c r="T1" s="24" t="s">
        <v>48</v>
      </c>
      <c r="U1" s="24" t="s">
        <v>58</v>
      </c>
      <c r="V1" s="24" t="s">
        <v>59</v>
      </c>
      <c r="W1" s="24" t="s">
        <v>60</v>
      </c>
      <c r="X1" s="24" t="s">
        <v>61</v>
      </c>
      <c r="Y1" s="24" t="s">
        <v>49</v>
      </c>
      <c r="Z1" s="24" t="s">
        <v>28</v>
      </c>
      <c r="AA1" s="24" t="s">
        <v>29</v>
      </c>
      <c r="AB1" s="24" t="s">
        <v>30</v>
      </c>
    </row>
  </sheetData>
  <autoFilter ref="A1:AB1"/>
  <phoneticPr fontId="11"/>
  <pageMargins left="0.75" right="0.75" top="1" bottom="1" header="0.3" footer="0.3"/>
  <pageSetup paperSize="9" orientation="portrait" horizontalDpi="4294967292" verticalDpi="429496729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1"/>
  <sheetViews>
    <sheetView showGridLines="0" workbookViewId="0">
      <pane ySplit="1" topLeftCell="A2" activePane="bottomLeft" state="frozenSplit"/>
      <selection activeCell="D2" sqref="D2"/>
      <selection pane="bottomLeft" activeCell="I17" sqref="I17"/>
    </sheetView>
  </sheetViews>
  <sheetFormatPr baseColWidth="12" defaultColWidth="12.83203125" defaultRowHeight="21" customHeight="1" x14ac:dyDescent="0.15"/>
  <cols>
    <col min="1" max="1" width="16.1640625" style="29" bestFit="1" customWidth="1"/>
    <col min="2" max="2" width="13.33203125" style="29" bestFit="1" customWidth="1"/>
    <col min="3" max="3" width="11.83203125" style="29" bestFit="1" customWidth="1"/>
    <col min="4" max="4" width="14.6640625" style="29" bestFit="1" customWidth="1"/>
    <col min="5" max="5" width="15.6640625" style="29" bestFit="1" customWidth="1"/>
    <col min="6" max="6" width="17" style="29" bestFit="1" customWidth="1"/>
    <col min="7" max="7" width="15.6640625" style="29" bestFit="1" customWidth="1"/>
    <col min="8" max="9" width="14.6640625" style="29" customWidth="1"/>
    <col min="10" max="10" width="14.6640625" style="29" bestFit="1" customWidth="1"/>
    <col min="11" max="11" width="22.83203125" style="22" bestFit="1" customWidth="1"/>
    <col min="12" max="16384" width="12.83203125" style="28"/>
  </cols>
  <sheetData>
    <row r="1" spans="1:11" ht="21" customHeight="1" x14ac:dyDescent="0.15">
      <c r="A1" s="25" t="s">
        <v>395</v>
      </c>
      <c r="B1" s="25" t="s">
        <v>396</v>
      </c>
      <c r="C1" s="25" t="s">
        <v>383</v>
      </c>
      <c r="D1" s="25" t="s">
        <v>384</v>
      </c>
      <c r="E1" s="25" t="s">
        <v>385</v>
      </c>
      <c r="F1" s="30" t="s">
        <v>397</v>
      </c>
      <c r="G1" s="30" t="s">
        <v>398</v>
      </c>
      <c r="H1" s="25" t="s">
        <v>399</v>
      </c>
      <c r="I1" s="25" t="s">
        <v>400</v>
      </c>
      <c r="J1" s="25" t="s">
        <v>401</v>
      </c>
      <c r="K1" s="31" t="s">
        <v>33</v>
      </c>
    </row>
  </sheetData>
  <autoFilter ref="A1:G1"/>
  <phoneticPr fontId="11"/>
  <conditionalFormatting sqref="K1:K1048576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</sheetPr>
  <dimension ref="A1:R1"/>
  <sheetViews>
    <sheetView workbookViewId="0">
      <selection activeCell="L23" sqref="L23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121" t="s">
        <v>402</v>
      </c>
      <c r="B1" s="121" t="s">
        <v>403</v>
      </c>
      <c r="C1" s="122" t="s">
        <v>404</v>
      </c>
      <c r="D1" s="123" t="s">
        <v>405</v>
      </c>
      <c r="E1" s="124" t="s">
        <v>406</v>
      </c>
      <c r="F1" s="121" t="s">
        <v>407</v>
      </c>
      <c r="G1" s="121" t="s">
        <v>408</v>
      </c>
      <c r="H1" s="121" t="s">
        <v>409</v>
      </c>
      <c r="I1" s="121" t="s">
        <v>410</v>
      </c>
      <c r="J1" s="121" t="s">
        <v>411</v>
      </c>
      <c r="K1" s="121" t="s">
        <v>412</v>
      </c>
      <c r="L1" s="121" t="s">
        <v>413</v>
      </c>
      <c r="M1" s="121" t="s">
        <v>414</v>
      </c>
      <c r="N1" s="121" t="s">
        <v>415</v>
      </c>
      <c r="O1" s="121" t="s">
        <v>416</v>
      </c>
      <c r="P1" s="121" t="s">
        <v>417</v>
      </c>
      <c r="Q1" s="121" t="s">
        <v>418</v>
      </c>
      <c r="R1" s="121" t="s">
        <v>419</v>
      </c>
    </row>
  </sheetData>
  <phoneticPr fontId="11"/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activeCell="D2" sqref="D2"/>
      <selection pane="bottomLeft" activeCell="E11" sqref="E11"/>
    </sheetView>
  </sheetViews>
  <sheetFormatPr baseColWidth="12" defaultColWidth="13" defaultRowHeight="15" outlineLevelCol="1" x14ac:dyDescent="0.15"/>
  <cols>
    <col min="1" max="1" width="13" style="4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40" t="s">
        <v>454</v>
      </c>
      <c r="B1" s="39" t="s">
        <v>452</v>
      </c>
      <c r="C1" s="41" t="s">
        <v>455</v>
      </c>
      <c r="D1" s="41" t="s">
        <v>20</v>
      </c>
      <c r="E1" s="39" t="s">
        <v>456</v>
      </c>
      <c r="F1" s="41" t="s">
        <v>455</v>
      </c>
      <c r="G1" s="41" t="s">
        <v>20</v>
      </c>
      <c r="H1" s="39" t="s">
        <v>457</v>
      </c>
      <c r="I1" s="49" t="s">
        <v>458</v>
      </c>
      <c r="J1" s="43" t="s">
        <v>459</v>
      </c>
      <c r="K1" s="42" t="s">
        <v>460</v>
      </c>
      <c r="L1" s="50" t="s">
        <v>461</v>
      </c>
      <c r="M1" s="44" t="s">
        <v>462</v>
      </c>
    </row>
  </sheetData>
  <phoneticPr fontId="11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>
    <tabColor rgb="FF0000FF"/>
    <outlinePr summaryBelow="0" summaryRight="0"/>
  </sheetPr>
  <dimension ref="A1:N1"/>
  <sheetViews>
    <sheetView showGridLines="0" workbookViewId="0">
      <pane ySplit="1" topLeftCell="A2" activePane="bottomLeft" state="frozen"/>
      <selection activeCell="D2" sqref="D2"/>
      <selection pane="bottomLeft" activeCell="H10" sqref="H10"/>
    </sheetView>
  </sheetViews>
  <sheetFormatPr baseColWidth="12" defaultColWidth="13" defaultRowHeight="15" outlineLevelCol="1" x14ac:dyDescent="0.15"/>
  <cols>
    <col min="1" max="1" width="13" style="4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40" t="s">
        <v>421</v>
      </c>
      <c r="B1" s="39" t="s">
        <v>422</v>
      </c>
      <c r="C1" s="41" t="s">
        <v>423</v>
      </c>
      <c r="D1" s="41" t="s">
        <v>20</v>
      </c>
      <c r="E1" s="39" t="s">
        <v>424</v>
      </c>
      <c r="F1" s="41" t="s">
        <v>423</v>
      </c>
      <c r="G1" s="41" t="s">
        <v>20</v>
      </c>
      <c r="H1" s="39" t="s">
        <v>425</v>
      </c>
      <c r="I1" s="48" t="s">
        <v>426</v>
      </c>
      <c r="J1" s="49" t="s">
        <v>427</v>
      </c>
      <c r="K1" s="43" t="s">
        <v>428</v>
      </c>
      <c r="L1" s="42" t="s">
        <v>429</v>
      </c>
      <c r="M1" s="50" t="s">
        <v>430</v>
      </c>
      <c r="N1" s="44" t="s">
        <v>431</v>
      </c>
    </row>
  </sheetData>
  <phoneticPr fontId="11"/>
  <pageMargins left="0.7" right="0.7" top="0.75" bottom="0.75" header="0.3" footer="0.3"/>
  <pageSetup paperSize="9" orientation="portrait" horizontalDpi="4294967292" verticalDpi="429496729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 enableFormatConditionsCalculation="0">
    <tabColor rgb="FF0000FF"/>
    <outlinePr summaryBelow="0" summaryRight="0"/>
  </sheetPr>
  <dimension ref="A1:X1"/>
  <sheetViews>
    <sheetView showGridLines="0" topLeftCell="B1" workbookViewId="0">
      <pane ySplit="1" topLeftCell="A2" activePane="bottomLeft" state="frozen"/>
      <selection activeCell="D2" sqref="D2"/>
      <selection pane="bottomLeft" activeCell="E8" sqref="E8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125" t="s">
        <v>432</v>
      </c>
      <c r="B1" s="126" t="s">
        <v>433</v>
      </c>
      <c r="C1" s="41" t="s">
        <v>434</v>
      </c>
      <c r="D1" s="41" t="s">
        <v>20</v>
      </c>
      <c r="E1" s="126" t="s">
        <v>435</v>
      </c>
      <c r="F1" s="41" t="s">
        <v>434</v>
      </c>
      <c r="G1" s="41" t="s">
        <v>20</v>
      </c>
      <c r="H1" s="126" t="s">
        <v>436</v>
      </c>
      <c r="I1" s="126" t="s">
        <v>437</v>
      </c>
      <c r="J1" s="126" t="s">
        <v>438</v>
      </c>
      <c r="K1" s="39" t="s">
        <v>439</v>
      </c>
      <c r="L1" s="39" t="s">
        <v>440</v>
      </c>
      <c r="M1" s="39" t="s">
        <v>441</v>
      </c>
      <c r="N1" s="41" t="s">
        <v>434</v>
      </c>
      <c r="O1" s="39" t="s">
        <v>442</v>
      </c>
      <c r="P1" s="39" t="s">
        <v>443</v>
      </c>
      <c r="Q1" s="39" t="s">
        <v>444</v>
      </c>
      <c r="R1" s="39" t="s">
        <v>445</v>
      </c>
      <c r="S1" s="39" t="s">
        <v>446</v>
      </c>
      <c r="T1" s="39" t="s">
        <v>447</v>
      </c>
      <c r="U1" s="39" t="s">
        <v>448</v>
      </c>
      <c r="V1" s="39" t="s">
        <v>449</v>
      </c>
      <c r="W1" s="39" t="s">
        <v>450</v>
      </c>
      <c r="X1" s="39" t="s">
        <v>451</v>
      </c>
    </row>
  </sheetData>
  <phoneticPr fontId="11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19</vt:i4>
      </vt:variant>
    </vt:vector>
  </HeadingPairs>
  <TitlesOfParts>
    <vt:vector size="19" baseType="lpstr">
      <vt:lpstr>output</vt:lpstr>
      <vt:lpstr>score_attack_expanded_floors</vt:lpstr>
      <vt:lpstr>score_attack_expanded_stages</vt:lpstr>
      <vt:lpstr>score_attack_params_damage_give</vt:lpstr>
      <vt:lpstr>score_attack_params_heal</vt:lpstr>
      <vt:lpstr>stage_evaluations</vt:lpstr>
      <vt:lpstr>stage_evaluation_gifts</vt:lpstr>
      <vt:lpstr>ranking_ACH</vt:lpstr>
      <vt:lpstr>unit_bonus_conditions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2017-06-08T07:37:22Z</dcterms:modified>
</cp:coreProperties>
</file>