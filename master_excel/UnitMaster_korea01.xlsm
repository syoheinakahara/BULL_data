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huangfuhsiang/Desktop/BULL_data/master_excel/"/>
    </mc:Choice>
  </mc:AlternateContent>
  <bookViews>
    <workbookView xWindow="29320" yWindow="2560" windowWidth="27440" windowHeight="14520" tabRatio="963" activeTab="2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ghosts_label" sheetId="59" r:id="rId10"/>
    <sheet name="→base値" sheetId="51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fork_awake_units!$A$1:$U$1</definedName>
    <definedName name="_xlnm._FilterDatabase" localSheetId="2" hidden="1">unit_skills!$A$1:$S$1</definedName>
    <definedName name="_xlnm._FilterDatabase" localSheetId="1" hidden="1">units!$A$1:$BR$1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57" l="1"/>
  <c r="E7" i="57"/>
  <c r="B7" i="57"/>
  <c r="F6" i="57"/>
  <c r="E6" i="57"/>
  <c r="B6" i="57"/>
  <c r="F5" i="57"/>
  <c r="E5" i="57"/>
  <c r="B5" i="57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Q5" i="58"/>
  <c r="Q4" i="58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E37" i="54"/>
  <c r="B37" i="54"/>
  <c r="E36" i="54"/>
  <c r="B36" i="54"/>
  <c r="E35" i="54"/>
  <c r="B35" i="54"/>
  <c r="E34" i="54"/>
  <c r="B34" i="54"/>
  <c r="E33" i="54"/>
  <c r="B33" i="54"/>
  <c r="E32" i="54"/>
  <c r="B32" i="54"/>
  <c r="E31" i="54"/>
  <c r="B31" i="54"/>
  <c r="E30" i="54"/>
  <c r="B30" i="54"/>
  <c r="E29" i="54"/>
  <c r="B29" i="54"/>
  <c r="E28" i="54"/>
  <c r="B28" i="54"/>
  <c r="E27" i="54"/>
  <c r="B27" i="54"/>
  <c r="E26" i="54"/>
  <c r="B26" i="54"/>
  <c r="E25" i="54"/>
  <c r="B25" i="54"/>
  <c r="E24" i="54"/>
  <c r="B24" i="54"/>
  <c r="E23" i="54"/>
  <c r="B23" i="54"/>
  <c r="E22" i="54"/>
  <c r="B22" i="54"/>
  <c r="E21" i="54"/>
  <c r="B21" i="54"/>
  <c r="E20" i="54"/>
  <c r="B20" i="54"/>
  <c r="G9" i="53"/>
  <c r="E9" i="53"/>
  <c r="C9" i="53"/>
  <c r="G8" i="53"/>
  <c r="E8" i="53"/>
  <c r="C8" i="53"/>
  <c r="G7" i="53"/>
  <c r="E7" i="53"/>
  <c r="C7" i="53"/>
  <c r="G6" i="53"/>
  <c r="E6" i="53"/>
  <c r="C6" i="53"/>
  <c r="J9" i="52"/>
  <c r="H9" i="52"/>
  <c r="E9" i="52"/>
  <c r="C9" i="52"/>
  <c r="J8" i="52"/>
  <c r="H8" i="52"/>
  <c r="E8" i="52"/>
  <c r="C8" i="52"/>
  <c r="J7" i="52"/>
  <c r="H7" i="52"/>
  <c r="E7" i="52"/>
  <c r="C7" i="52"/>
  <c r="J6" i="52"/>
  <c r="H6" i="52"/>
  <c r="E6" i="52"/>
  <c r="C6" i="52"/>
  <c r="H9" i="23"/>
  <c r="BR9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BE9" i="23"/>
  <c r="BJ9" i="23"/>
  <c r="BI9" i="23"/>
  <c r="BH9" i="23"/>
  <c r="BG9" i="23"/>
  <c r="BF9" i="23"/>
  <c r="AX9" i="23"/>
  <c r="AT9" i="23"/>
  <c r="AW9" i="23"/>
  <c r="AV9" i="23"/>
  <c r="AU9" i="23"/>
  <c r="AP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H8" i="23"/>
  <c r="BR8" i="23"/>
  <c r="G8" i="23"/>
  <c r="BC8" i="23"/>
  <c r="BD8" i="23"/>
  <c r="Q8" i="23"/>
  <c r="V8" i="23"/>
  <c r="W8" i="23"/>
  <c r="AD8" i="23"/>
  <c r="I8" i="23"/>
  <c r="M8" i="23"/>
  <c r="BN8" i="23"/>
  <c r="U8" i="23"/>
  <c r="AC8" i="23"/>
  <c r="L8" i="23"/>
  <c r="BM8" i="23"/>
  <c r="T8" i="23"/>
  <c r="AB8" i="23"/>
  <c r="K8" i="23"/>
  <c r="BL8" i="23"/>
  <c r="S8" i="23"/>
  <c r="AA8" i="23"/>
  <c r="J8" i="23"/>
  <c r="BK8" i="23"/>
  <c r="BE8" i="23"/>
  <c r="BJ8" i="23"/>
  <c r="BI8" i="23"/>
  <c r="BH8" i="23"/>
  <c r="BG8" i="23"/>
  <c r="BF8" i="23"/>
  <c r="AX8" i="23"/>
  <c r="AT8" i="23"/>
  <c r="AW8" i="23"/>
  <c r="AV8" i="23"/>
  <c r="AU8" i="23"/>
  <c r="AP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BE7" i="23"/>
  <c r="BJ7" i="23"/>
  <c r="BI7" i="23"/>
  <c r="BH7" i="23"/>
  <c r="BG7" i="23"/>
  <c r="BF7" i="23"/>
  <c r="AX7" i="23"/>
  <c r="AT7" i="23"/>
  <c r="AW7" i="23"/>
  <c r="AV7" i="23"/>
  <c r="AU7" i="23"/>
  <c r="AP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H6" i="23"/>
  <c r="BR6" i="23"/>
  <c r="G6" i="23"/>
  <c r="BC6" i="23"/>
  <c r="BD6" i="23"/>
  <c r="Q6" i="23"/>
  <c r="V6" i="23"/>
  <c r="W6" i="23"/>
  <c r="AD6" i="23"/>
  <c r="I6" i="23"/>
  <c r="M6" i="23"/>
  <c r="BN6" i="23"/>
  <c r="U6" i="23"/>
  <c r="AC6" i="23"/>
  <c r="L6" i="23"/>
  <c r="BM6" i="23"/>
  <c r="T6" i="23"/>
  <c r="AB6" i="23"/>
  <c r="K6" i="23"/>
  <c r="BL6" i="23"/>
  <c r="S6" i="23"/>
  <c r="AA6" i="23"/>
  <c r="J6" i="23"/>
  <c r="BK6" i="23"/>
  <c r="BE6" i="23"/>
  <c r="BJ6" i="23"/>
  <c r="BI6" i="23"/>
  <c r="BH6" i="23"/>
  <c r="BG6" i="23"/>
  <c r="BF6" i="23"/>
  <c r="AX6" i="23"/>
  <c r="AT6" i="23"/>
  <c r="AW6" i="23"/>
  <c r="AV6" i="23"/>
  <c r="AU6" i="23"/>
  <c r="AP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F4" i="57"/>
  <c r="E4" i="57"/>
  <c r="B4" i="57"/>
  <c r="F3" i="57"/>
  <c r="E3" i="57"/>
  <c r="B3" i="57"/>
  <c r="Q3" i="58"/>
  <c r="Q2" i="58"/>
  <c r="AP5" i="23"/>
  <c r="H5" i="23"/>
  <c r="G5" i="23"/>
  <c r="BC5" i="23"/>
  <c r="Q4" i="23"/>
  <c r="Q5" i="23"/>
  <c r="C3" i="49"/>
  <c r="C4" i="49"/>
  <c r="C5" i="49"/>
  <c r="C6" i="49"/>
  <c r="C7" i="49"/>
  <c r="C8" i="49"/>
  <c r="C9" i="49"/>
  <c r="C10" i="49"/>
  <c r="C11" i="49"/>
  <c r="C12" i="49"/>
  <c r="C13" i="49"/>
  <c r="C14" i="49"/>
  <c r="C15" i="49"/>
  <c r="F2" i="57"/>
  <c r="E2" i="57"/>
  <c r="B2" i="57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J4" i="3"/>
  <c r="H4" i="3"/>
  <c r="C4" i="3"/>
  <c r="F4" i="3"/>
  <c r="E4" i="3"/>
  <c r="D4" i="3"/>
  <c r="A4" i="3"/>
  <c r="J3" i="3"/>
  <c r="H3" i="3"/>
  <c r="C3" i="3"/>
  <c r="F3" i="3"/>
  <c r="E3" i="3"/>
  <c r="D3" i="3"/>
  <c r="A3" i="3"/>
  <c r="J2" i="3"/>
  <c r="H2" i="3"/>
  <c r="C2" i="3"/>
  <c r="F2" i="3"/>
  <c r="E2" i="3"/>
  <c r="D2" i="3"/>
  <c r="A2" i="3"/>
  <c r="S3" i="58"/>
  <c r="S2" i="58"/>
  <c r="G3" i="58"/>
  <c r="U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G2" i="58"/>
  <c r="U2" i="58"/>
  <c r="T2" i="58"/>
  <c r="R2" i="58"/>
  <c r="P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H3" i="23"/>
  <c r="BR3" i="23"/>
  <c r="H4" i="23"/>
  <c r="BR4" i="23"/>
  <c r="BR5" i="23"/>
  <c r="H2" i="23"/>
  <c r="BR2" i="23"/>
  <c r="AT3" i="23"/>
  <c r="AT4" i="23"/>
  <c r="AT5" i="23"/>
  <c r="AT2" i="23"/>
  <c r="AP3" i="23"/>
  <c r="AP4" i="23"/>
  <c r="AP2" i="23"/>
  <c r="G3" i="53"/>
  <c r="E3" i="53"/>
  <c r="C3" i="53"/>
  <c r="G2" i="53"/>
  <c r="E2" i="53"/>
  <c r="C2" i="53"/>
  <c r="J3" i="52"/>
  <c r="H3" i="52"/>
  <c r="E3" i="52"/>
  <c r="C3" i="52"/>
  <c r="J2" i="52"/>
  <c r="H2" i="52"/>
  <c r="E2" i="52"/>
  <c r="C2" i="52"/>
  <c r="G3" i="23"/>
  <c r="BC3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G10" i="13"/>
  <c r="N3" i="23"/>
  <c r="F3" i="23"/>
  <c r="E3" i="23"/>
  <c r="D3" i="23"/>
  <c r="C3" i="23"/>
  <c r="B3" i="23"/>
  <c r="G2" i="23"/>
  <c r="BC2" i="23"/>
  <c r="BD2" i="23"/>
  <c r="Q2" i="23"/>
  <c r="V2" i="23"/>
  <c r="W2" i="23"/>
  <c r="AD2" i="23"/>
  <c r="I2" i="23"/>
  <c r="M2" i="23"/>
  <c r="BN2" i="23"/>
  <c r="U2" i="23"/>
  <c r="AC2" i="23"/>
  <c r="L2" i="23"/>
  <c r="BM2" i="23"/>
  <c r="T2" i="23"/>
  <c r="AB2" i="23"/>
  <c r="K2" i="23"/>
  <c r="BL2" i="23"/>
  <c r="S2" i="23"/>
  <c r="AA2" i="23"/>
  <c r="J2" i="23"/>
  <c r="BK2" i="23"/>
  <c r="BE2" i="23"/>
  <c r="BJ2" i="23"/>
  <c r="BI2" i="23"/>
  <c r="BH2" i="23"/>
  <c r="BG2" i="23"/>
  <c r="BF2" i="23"/>
  <c r="AX2" i="23"/>
  <c r="AW2" i="23"/>
  <c r="AV2" i="23"/>
  <c r="AU2" i="23"/>
  <c r="AS2" i="23"/>
  <c r="AR2" i="23"/>
  <c r="AQ2" i="23"/>
  <c r="AN2" i="23"/>
  <c r="AM2" i="23"/>
  <c r="AL2" i="23"/>
  <c r="AK2" i="23"/>
  <c r="AI2" i="23"/>
  <c r="AH2" i="23"/>
  <c r="AF2" i="23"/>
  <c r="Y2" i="23"/>
  <c r="Z2" i="23"/>
  <c r="X2" i="23"/>
  <c r="R2" i="23"/>
  <c r="P2" i="23"/>
  <c r="O2" i="23"/>
  <c r="N2" i="23"/>
  <c r="F2" i="23"/>
  <c r="E2" i="23"/>
  <c r="D2" i="23"/>
  <c r="C2" i="23"/>
  <c r="B2" i="23"/>
  <c r="E19" i="54"/>
  <c r="B19" i="54"/>
  <c r="E18" i="54"/>
  <c r="B18" i="54"/>
  <c r="E17" i="54"/>
  <c r="B17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E10" i="54"/>
  <c r="B10" i="54"/>
  <c r="E9" i="54"/>
  <c r="B9" i="54"/>
  <c r="E8" i="54"/>
  <c r="B8" i="54"/>
  <c r="E7" i="54"/>
  <c r="B7" i="54"/>
  <c r="E6" i="54"/>
  <c r="B6" i="54"/>
  <c r="E5" i="54"/>
  <c r="B5" i="54"/>
  <c r="E4" i="54"/>
  <c r="B4" i="54"/>
  <c r="E3" i="54"/>
  <c r="B3" i="54"/>
  <c r="E2" i="54"/>
  <c r="B2" i="54"/>
  <c r="G5" i="53"/>
  <c r="E5" i="53"/>
  <c r="C5" i="53"/>
  <c r="G4" i="53"/>
  <c r="E4" i="53"/>
  <c r="C4" i="53"/>
  <c r="J5" i="52"/>
  <c r="H5" i="52"/>
  <c r="E5" i="52"/>
  <c r="C5" i="52"/>
  <c r="J4" i="52"/>
  <c r="H4" i="52"/>
  <c r="E4" i="52"/>
  <c r="C4" i="52"/>
  <c r="BD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4" i="13"/>
  <c r="N5" i="23"/>
  <c r="F5" i="23"/>
  <c r="E5" i="23"/>
  <c r="D5" i="23"/>
  <c r="C5" i="23"/>
  <c r="B5" i="23"/>
  <c r="G9" i="13"/>
  <c r="E3" i="49"/>
  <c r="E5" i="49"/>
  <c r="E15" i="49"/>
  <c r="E14" i="49"/>
  <c r="E13" i="49"/>
  <c r="G4" i="23"/>
  <c r="P4" i="23"/>
  <c r="G11" i="13"/>
  <c r="G8" i="13"/>
  <c r="G3" i="13"/>
  <c r="G2" i="13"/>
  <c r="B4" i="23"/>
  <c r="C4" i="23"/>
  <c r="D4" i="23"/>
  <c r="E4" i="23"/>
  <c r="F4" i="23"/>
  <c r="I4" i="23"/>
  <c r="J4" i="23"/>
  <c r="K4" i="23"/>
  <c r="L4" i="23"/>
  <c r="M4" i="23"/>
  <c r="N4" i="23"/>
  <c r="O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<sst xmlns="http://schemas.openxmlformats.org/spreadsheetml/2006/main" count="996" uniqueCount="381">
  <si>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</si>
  <si>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</si>
  <si>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</si>
  <si>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</si>
  <si>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</si>
  <si>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</si>
  <si>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</si>
  <si>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</si>
  <si>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</si>
  <si>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</si>
  <si>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</si>
  <si>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</si>
  <si>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</si>
  <si>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</si>
  <si>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</si>
  <si>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</si>
  <si>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</si>
  <si>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</si>
  <si>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</si>
  <si>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</si>
  <si>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</si>
  <si>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</si>
  <si>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</si>
  <si>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</si>
  <si>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</si>
  <si>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</si>
  <si>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</si>
  <si>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</si>
  <si>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</si>
  <si>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</si>
  <si>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</si>
  <si>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</si>
  <si>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</si>
  <si>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</si>
  <si>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</si>
  <si>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</si>
  <si>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</si>
  <si>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</si>
  <si>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</si>
  <si>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</si>
  <si>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</si>
  <si>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</si>
  <si>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</si>
  <si>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</si>
  <si>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</si>
  <si>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</si>
  <si>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</si>
  <si>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</si>
  <si>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</si>
  <si>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</si>
  <si>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</si>
  <si>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</si>
  <si>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</si>
  <si>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</si>
  <si>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</si>
  <si>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</si>
  <si>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</si>
  <si>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</si>
  <si>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</si>
  <si>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</si>
  <si>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</si>
  <si>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</si>
  <si>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</si>
  <si>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</si>
  <si>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</si>
  <si>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</si>
  <si>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</si>
  <si>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</si>
  <si>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</si>
  <si>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</si>
  <si>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</si>
  <si>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</si>
  <si>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</si>
  <si>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</si>
  <si>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</si>
  <si>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</si>
  <si>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</si>
  <si>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</si>
  <si>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</si>
  <si>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</si>
  <si>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</si>
  <si>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</si>
  <si>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</si>
  <si>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</si>
  <si>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</si>
  <si>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</si>
  <si>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</si>
  <si>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</si>
  <si>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</si>
  <si>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</si>
  <si>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</si>
  <si>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</si>
  <si>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</si>
  <si>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</si>
  <si>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</si>
  <si>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</si>
  <si>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</si>
  <si>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</si>
  <si>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</si>
  <si>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</si>
  <si>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</si>
  <si>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</si>
  <si>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</si>
  <si>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</si>
  <si>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</si>
  <si>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</si>
  <si>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</si>
  <si>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</si>
  <si>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</si>
  <si>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</si>
  <si>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</si>
  <si>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</si>
  <si>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</si>
  <si>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</si>
  <si>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</si>
  <si>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</si>
  <si>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</si>
  <si>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</si>
  <si>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</si>
  <si>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</si>
  <si>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</si>
  <si>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</si>
  <si>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</si>
  <si>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</si>
  <si>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</si>
  <si>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</si>
  <si>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</si>
  <si>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</si>
  <si>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</si>
  <si>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</si>
  <si>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</si>
  <si>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</si>
  <si>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</si>
  <si>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</si>
  <si>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</si>
  <si>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</si>
  <si>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</si>
  <si>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</si>
  <si>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</si>
  <si>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</si>
  <si>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</si>
  <si>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</si>
  <si>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</si>
  <si>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</si>
  <si>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</si>
  <si>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</si>
  <si>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</si>
  <si>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</si>
  <si>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</si>
  <si>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</si>
  <si>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</si>
  <si>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</si>
  <si>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</si>
  <si>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</si>
  <si>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</si>
  <si>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</si>
  <si>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</si>
  <si>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</si>
  <si>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</si>
  <si>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</si>
  <si>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</si>
  <si>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</si>
  <si>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</si>
  <si>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</si>
  <si>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</si>
  <si>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</si>
  <si>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</si>
  <si>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</si>
  <si>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</si>
  <si>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</si>
  <si>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</si>
  <si>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</si>
  <si>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</si>
  <si>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</si>
  <si>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</si>
  <si>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</si>
  <si>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</si>
  <si>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</si>
  <si>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</si>
  <si>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</si>
  <si>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</si>
  <si>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</si>
  <si>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</si>
  <si>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</si>
  <si>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</si>
  <si>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</si>
  <si>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</si>
  <si>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</si>
  <si>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</si>
  <si>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</si>
  <si>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</si>
  <si>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</si>
  <si>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</si>
  <si>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</si>
  <si>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</si>
  <si>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</si>
  <si>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</si>
  <si>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</si>
  <si>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</si>
  <si>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</si>
  <si>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</si>
  <si>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</si>
  <si>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</si>
  <si>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</si>
  <si>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</si>
  <si>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</si>
  <si>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</si>
  <si>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</si>
  <si>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</si>
  <si>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</si>
  <si>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</si>
  <si>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</si>
  <si>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</si>
  <si>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</si>
  <si>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</si>
  <si>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</si>
  <si>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</si>
  <si>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</si>
  <si>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</si>
  <si>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</si>
  <si>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</si>
  <si>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</si>
  <si>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</si>
  <si>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</si>
  <si>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</si>
  <si>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</si>
  <si>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</si>
  <si>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</si>
  <si>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</si>
  <si>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</si>
  <si>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</si>
  <si>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</si>
  <si>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</si>
  <si>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</si>
  <si>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</si>
  <si>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</si>
  <si>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</si>
  <si>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</si>
  <si>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</si>
  <si>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</si>
  <si>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</si>
  <si>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</si>
  <si>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</si>
  <si>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</si>
  <si>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</si>
  <si>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</si>
  <si>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</si>
  <si>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</si>
  <si>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</si>
  <si>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</si>
  <si>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</si>
  <si>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</si>
  <si>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</si>
  <si>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</si>
  <si>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</si>
  <si>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</si>
  <si>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</si>
  <si>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</si>
  <si>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</si>
  <si>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</si>
  <si>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</si>
  <si>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</si>
  <si>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</si>
  <si>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</si>
  <si>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</si>
  <si>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</si>
  <si>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</si>
  <si>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</si>
  <si>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</si>
  <si>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</si>
  <si>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</si>
  <si>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</si>
  <si>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</si>
  <si>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</si>
  <si>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</si>
  <si>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</si>
  <si>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</si>
  <si>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</si>
  <si>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</si>
  <si>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</si>
  <si>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</si>
  <si>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</si>
  <si>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</si>
  <si>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</si>
  <si>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</si>
  <si>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</si>
  <si>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</si>
  <si>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</si>
  <si>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</si>
  <si>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</si>
  <si>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</si>
  <si>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</si>
  <si>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</si>
  <si>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</si>
  <si>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</si>
  <si>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</si>
  <si>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</si>
  <si>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</si>
  <si>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</si>
  <si>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</si>
  <si>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</si>
  <si>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</si>
  <si>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</si>
  <si>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</si>
  <si>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</si>
  <si>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</si>
  <si>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</si>
  <si>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</si>
  <si>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</si>
  <si>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</si>
  <si>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</si>
  <si>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</si>
  <si>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</si>
  <si>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</si>
  <si>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</si>
  <si>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</si>
  <si>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</si>
  <si>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maru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</si>
  <si>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</si>
  <si>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</si>
  <si>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</si>
  <si>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</si>
  <si>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</si>
  <si>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</si>
  <si>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old</t>
    <phoneticPr fontId="22"/>
  </si>
  <si>
    <t>skip</t>
    <phoneticPr fontId="22"/>
  </si>
  <si>
    <t>sell_ghosts</t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</si>
  <si>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</si>
  <si>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</si>
  <si>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</si>
  <si>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</si>
  <si>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</si>
  <si>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</si>
  <si>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</si>
  <si>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</si>
  <si>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</si>
  <si>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</si>
  <si>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</si>
  <si>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</si>
  <si>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</si>
  <si>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</si>
  <si>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</si>
  <si>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</si>
  <si>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</si>
  <si>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</si>
  <si>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</si>
  <si>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</si>
  <si>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[effect:force_change_block, new_block:crash, target:block_all, ignore01:crash, ignore02:crack_bomb, ignore03:color_break, ignore04:magnet, count:1, val:36, animation:change_block],[effect:cure, bad_status:dark, animation:dark_heal],[effect:enhance_unit, target:unit_red, turn:1, status:action, val:2, calc:add, animation:enhance_unit_one_action02],[effect:change_panel_ratio, turn:1, block_type:red, val:0.92, animation:block_incidence04],[effect:change_panel_ratio, turn:1, block_type:green, val:0.6]</t>
    <phoneticPr fontId="22"/>
  </si>
  <si>
    <t>1体に大ダメージ+
ドラゴンに効果特大</t>
    <phoneticPr fontId="22"/>
  </si>
  <si>
    <t>1体に特大ダメージ+
ドラゴンに効果超大</t>
    <phoneticPr fontId="22"/>
  </si>
  <si>
    <t>[effect:damage_anti_tribe, target:enemy_one, tribe:dragon, val1:3.375, val2:1.31, animation:damage_one_red04]</t>
    <phoneticPr fontId="22"/>
  </si>
  <si>
    <t>[effect:damage_anti_tribe, target:enemy_one, tribe:dragon, val1:3.75, val2:1.5, animation:damage_one_red04]</t>
    <phoneticPr fontId="22"/>
  </si>
  <si>
    <t>kor01</t>
    <phoneticPr fontId="22"/>
  </si>
  <si>
    <t>ランダムで最大1つSCP(大)に変換+暗闇解除+1ターン赤属性のタップ数1増加、赤パネル出現率特大UPし、緑パネル出現率大UP</t>
    <phoneticPr fontId="22"/>
  </si>
  <si>
    <t>ランダムで最大1つSCP(特大)に変換+暗闇解除+1ターン赤属性のタップ数2増加、赤パネル出現率特大UPし、緑パネル出現率大UP</t>
    <phoneticPr fontId="22"/>
  </si>
  <si>
    <t>青・黄パネルを赤パネルに変換+1ターン赤・緑属性の回復力を大UP</t>
    <phoneticPr fontId="22"/>
  </si>
  <si>
    <t>青・黄パネルを赤パネルに変換+1ターン赤・緑属性の回復力を大UPし、防御力を特大UP</t>
    <phoneticPr fontId="22"/>
  </si>
  <si>
    <t>[effect:force_change_block, new_block:block_red, target:block_blue, count:0, val:0, animation:change_block],[effect:force_change_block, new_block:block_red, target:block_yellow, count:0, val:0, animation:change_block],[effect:enhance_unit, target:unit_red/unit_green, turn:1, status:heal, val:0.315, calc:mul, animation:enhance_unit_all_heal03]</t>
    <phoneticPr fontId="22"/>
  </si>
  <si>
    <t>[effect:force_change_block, new_block:block_red, target:block_blue, count:0, val:0, animation:change_block],[effect:force_change_block, new_block:block_red, target:block_yellow, count:0, val:0, animation:change_block],[effect:enhance_unit, target:unit_red/unit_green, turn:1, status:heal, val:0.315, calc:mul, animation:enhance_unit_all_heal03],[effect:enhance_unit, target:unit_red/unit_green, turn:1, status:defense, val:1080, calc:add, animation:enhance_unit_all_defense04]</t>
    <phoneticPr fontId="22"/>
  </si>
  <si>
    <t>自身の回復力に比例して1体に大ダメージ</t>
    <phoneticPr fontId="22"/>
  </si>
  <si>
    <t>自身の回復力に比例して1体に特大ダメージ+HP小回復</t>
    <phoneticPr fontId="22"/>
  </si>
  <si>
    <t>[effect:damage_heal, target:enemy_one, color:green, val:2, animation:damage_one_green03]</t>
    <phoneticPr fontId="22"/>
  </si>
  <si>
    <t>[effect:damage_heal, target:enemy_one, color:green, val:1.5, animation:damage_one_green04],[effect:heal_ratio, val:0.18, animation:heal01_unit01]</t>
    <phoneticPr fontId="22"/>
  </si>
  <si>
    <t>30</t>
    <phoneticPr fontId="22"/>
  </si>
  <si>
    <t>[effect:force_change_block, new_block:crash, target:block_all, ignore01:crash, ignore02:crack_bomb, ignore03:color_break, ignore04:magnet, count:1, val:24, animation:change_block],[effect:cure, bad_status:dark, animation:dark_heal],[effect:enhance_unit, target:unit_red, turn:1, status:action, val:1, calc:add, animation:enhance_unit_one_action01],[effect:change_panel_ratio, turn:1, block_type:red, val:0.92, animation:block_incidence04],[effect:change_panel_ratio, turn:1, block_type:green, val:0.6]</t>
    <phoneticPr fontId="22"/>
  </si>
  <si>
    <t>赤・ダメージパネルをCPに、緑を最大1つ青ボム(大)に変換+3ターンタップ数1増加、回復力1313UP</t>
    <phoneticPr fontId="22"/>
  </si>
  <si>
    <t>赤・ダメージパネルをCPに、緑を最大1つ青ボム(特大)に変換+3ターンタップ数1増加、回復力1313UP+自身にバリア3500を展開</t>
    <phoneticPr fontId="22"/>
  </si>
  <si>
    <t>1体に超大ダメージ</t>
    <phoneticPr fontId="22"/>
  </si>
  <si>
    <t>1体に超大ダメージ+
1ターン全ユニットの攻撃力小UP</t>
    <phoneticPr fontId="22"/>
  </si>
  <si>
    <t>[effect:damage, target:enemy_one, color:blue, val:2.5, animation:damage_one_blue04]</t>
    <phoneticPr fontId="22"/>
  </si>
  <si>
    <t>[effect:damage, target:enemy_one, color:blue, val:2, animation:damage_one_blue04],[effect:enhance_unit, target:unit_all, turn:1, status:attack, val:0.018, calc:mul, animation:enhance_unit_all_attack01_unit01]</t>
    <phoneticPr fontId="22"/>
  </si>
  <si>
    <t>[effect:force_change_block, new_block:crash, target:block_red, count:0, val:6, animation:change_block],[effect:force_change_block, new_block:crash, target:damage, count:0, val:6],[effect:force_change_block, new_block:crack_bomb, target:block_green, color:block_blue, count:1, val:24],[effect:enhance_unit, target:unit_all, turn:3, status:action, val:1, calc:add, animation:enhance_unit_one_action01],[effect:enhance_unit, target:unit_all, turn:3, status:heal, val:1313, calc:add, animation:enhance_unit_all_heal03]</t>
    <phoneticPr fontId="22"/>
  </si>
  <si>
    <t>[effect:force_change_block, new_block:crash, target:block_red, count:0, val:6, animation:change_block],[effect:force_change_block, new_block:crash, target:damage, count:0, val:6],[effect:force_change_block, new_block:crack_bomb, target:block_green, color:block_blue, count:1, val:36],[effect:enhance_unit, target:unit_all, turn:3, status:action, val:1, calc:add, animation:enhance_unit_one_action01],[effect:enhance_unit, target:unit_all, turn:3, status:heal, val:1313, calc:add, animation:enhance_unit_all_heal03],[effect:damage_barrier, target:myself, turn:-1, val:3500, animation:activate_shield]</t>
    <phoneticPr fontId="22"/>
  </si>
  <si>
    <t>[effect:damage, target:enemy_one, color:red, val:0.5, animation:damage_one_red01],[effect:damage, target:enemy_one, color:red, val:0.5, animation:damage_one_red01],[effect:damage, target:enemy_one, color:red, val:0.5, animation:damage_one_red01],[effect:damage, target:enemy_one, color:red, val:0.5, animation:damage_one_red01]</t>
    <phoneticPr fontId="22"/>
  </si>
  <si>
    <t>単体に4連続ダメージ</t>
    <phoneticPr fontId="22"/>
  </si>
  <si>
    <t>単体に4連続小ダメージ</t>
    <phoneticPr fontId="22"/>
  </si>
  <si>
    <t>[effect:damage, target:enemy_one, color:red, val:0.6, animation:damage_one_red01],[effect:damage, target:enemy_one, color:red, val:0.6, animation:damage_one_red01],[effect:damage, target:enemy_one, color:red, val:0.6, animation:damage_one_red01],[effect:damage, target:enemy_one, color:red, val:0.6, animation:damage_one_red01]</t>
    <phoneticPr fontId="22"/>
  </si>
  <si>
    <t>HP5500回復(黄・お邪魔パネルを1つ吸収する毎にHPを300回復)+1ターン特大カウンター+フィーバーゲージ15%UP</t>
    <phoneticPr fontId="22"/>
  </si>
  <si>
    <t>HP5500回復(黄・お邪魔パネルを1つ吸収する毎にHPを300回復)+2ターン特大カウンター+フィーバーゲージ15%UP</t>
    <phoneticPr fontId="22"/>
  </si>
  <si>
    <t>[effect:break_heal_fix, val:300, lowest_val:5500, count:-1, block01:block_yellow, animation:heal03],[effect:break_heal_fix, val:300, lowest_val:0, count:-1, block01:jammer, animation:heal03],[effect:counter_new, target:unit_all, invoke_condition:enemy_all, counter_target:attacker, turn:1, val:3, animation:counter_buff04],[effect:enhance_fever, val:150, animation:fevergauge_up03]</t>
    <phoneticPr fontId="22"/>
  </si>
  <si>
    <t>[effect:break_heal_fix, val:300, lowest_val:5500, count:-1, block01:block_yellow, animation:heal03],[effect:break_heal_fix, val:300, lowest_val:0, count:-1, block01:jammer, animation:heal03],[effect:counter_new, target:unit_all, invoke_condition:enemy_all, counter_target:attacker, turn:2, val:3, animation:counter_buff04],[effect:enhance_fever, val:150, animation:fevergauge_up03]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</si>
</sst>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rgb="FF222222"/>
      <name val="Arial Unicode MS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5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60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3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4" fillId="7" borderId="4" xfId="0" applyFont="1" applyFill="1" applyBorder="1" applyAlignment="1">
      <alignment horizontal="right" vertical="center" wrapText="1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left" vertical="center"/>
    </xf>
    <xf numFmtId="0" fontId="29" fillId="0" borderId="4" xfId="0" applyFont="1" applyBorder="1" applyAlignment="1">
      <alignment wrapText="1"/>
    </xf>
    <xf numFmtId="0" fontId="13" fillId="0" borderId="4" xfId="0" applyFont="1" applyFill="1" applyBorder="1" applyAlignment="1">
      <alignment vertical="center" wrapText="1"/>
    </xf>
    <xf numFmtId="0" fontId="16" fillId="29" borderId="4" xfId="0" applyFont="1" applyFill="1" applyBorder="1" applyAlignment="1">
      <alignment horizontal="left" vertical="center"/>
    </xf>
    <xf numFmtId="0" fontId="16" fillId="0" borderId="4" xfId="0" applyFont="1" applyFill="1" applyBorder="1"/>
    <xf numFmtId="0" fontId="14" fillId="0" borderId="12" xfId="0" applyFont="1" applyBorder="1" applyAlignment="1">
      <alignment horizontal="right" vertical="center" wrapText="1"/>
    </xf>
    <xf numFmtId="0" fontId="14" fillId="7" borderId="12" xfId="0" applyFont="1" applyFill="1" applyBorder="1" applyAlignment="1">
      <alignment horizontal="right" vertical="center" wrapText="1"/>
    </xf>
    <xf numFmtId="0" fontId="16" fillId="7" borderId="2" xfId="0" applyFont="1" applyFill="1" applyBorder="1" applyAlignment="1">
      <alignment horizontal="left" vertical="center"/>
    </xf>
    <xf numFmtId="0" fontId="16" fillId="0" borderId="12" xfId="0" applyFont="1" applyFill="1" applyBorder="1"/>
    <xf numFmtId="0" fontId="16" fillId="0" borderId="12" xfId="0" applyFont="1" applyFill="1" applyBorder="1" applyAlignment="1">
      <alignment horizontal="right" vertical="center" wrapText="1"/>
    </xf>
    <xf numFmtId="0" fontId="0" fillId="0" borderId="12" xfId="0" applyFont="1" applyBorder="1"/>
    <xf numFmtId="0" fontId="23" fillId="18" borderId="28" xfId="0" applyFont="1" applyFill="1" applyBorder="1"/>
    <xf numFmtId="0" fontId="14" fillId="0" borderId="29" xfId="0" applyFont="1" applyBorder="1" applyAlignment="1">
      <alignment horizontal="right" vertical="center" wrapText="1"/>
    </xf>
    <xf numFmtId="0" fontId="14" fillId="7" borderId="29" xfId="0" applyFont="1" applyFill="1" applyBorder="1" applyAlignment="1">
      <alignment horizontal="right" vertical="center" wrapText="1"/>
    </xf>
    <xf numFmtId="0" fontId="16" fillId="7" borderId="30" xfId="0" applyFont="1" applyFill="1" applyBorder="1" applyAlignment="1">
      <alignment horizontal="left" vertical="center"/>
    </xf>
    <xf numFmtId="0" fontId="16" fillId="0" borderId="29" xfId="0" applyFont="1" applyFill="1" applyBorder="1"/>
    <xf numFmtId="0" fontId="16" fillId="0" borderId="29" xfId="0" applyFont="1" applyFill="1" applyBorder="1" applyAlignment="1">
      <alignment horizontal="right" vertical="center" wrapText="1"/>
    </xf>
    <xf numFmtId="0" fontId="0" fillId="0" borderId="29" xfId="0" applyFont="1" applyBorder="1"/>
    <xf numFmtId="0" fontId="0" fillId="0" borderId="31" xfId="0" applyFont="1" applyBorder="1"/>
    <xf numFmtId="0" fontId="23" fillId="18" borderId="32" xfId="0" applyFont="1" applyFill="1" applyBorder="1"/>
    <xf numFmtId="0" fontId="0" fillId="0" borderId="33" xfId="0" applyFont="1" applyBorder="1"/>
    <xf numFmtId="0" fontId="14" fillId="0" borderId="34" xfId="0" applyFont="1" applyBorder="1" applyAlignment="1">
      <alignment horizontal="right" vertical="center" wrapText="1"/>
    </xf>
    <xf numFmtId="0" fontId="14" fillId="7" borderId="34" xfId="0" applyFont="1" applyFill="1" applyBorder="1" applyAlignment="1">
      <alignment horizontal="right" vertical="center" wrapText="1"/>
    </xf>
    <xf numFmtId="0" fontId="16" fillId="7" borderId="35" xfId="0" applyFont="1" applyFill="1" applyBorder="1" applyAlignment="1">
      <alignment horizontal="left" vertical="center"/>
    </xf>
    <xf numFmtId="0" fontId="16" fillId="0" borderId="34" xfId="0" applyFont="1" applyFill="1" applyBorder="1"/>
    <xf numFmtId="0" fontId="16" fillId="0" borderId="34" xfId="0" applyFont="1" applyFill="1" applyBorder="1" applyAlignment="1">
      <alignment horizontal="right" vertical="center" wrapText="1"/>
    </xf>
    <xf numFmtId="0" fontId="0" fillId="0" borderId="34" xfId="0" applyFont="1" applyBorder="1"/>
    <xf numFmtId="0" fontId="13" fillId="12" borderId="12" xfId="0" applyFont="1" applyFill="1" applyBorder="1" applyAlignment="1">
      <alignment horizontal="center" vertical="center" wrapText="1"/>
    </xf>
    <xf numFmtId="0" fontId="13" fillId="26" borderId="12" xfId="0" applyFont="1" applyFill="1" applyBorder="1" applyAlignment="1">
      <alignment horizontal="center" vertical="center" wrapText="1"/>
    </xf>
    <xf numFmtId="0" fontId="12" fillId="9" borderId="12" xfId="0" applyFont="1" applyFill="1" applyBorder="1" applyAlignment="1">
      <alignment horizontal="center"/>
    </xf>
    <xf numFmtId="0" fontId="16" fillId="12" borderId="25" xfId="0" applyFont="1" applyFill="1" applyBorder="1" applyAlignment="1">
      <alignment horizontal="center" vertical="center" wrapText="1"/>
    </xf>
    <xf numFmtId="0" fontId="16" fillId="12" borderId="12" xfId="0" applyFont="1" applyFill="1" applyBorder="1" applyAlignment="1">
      <alignment horizontal="center" vertical="center" wrapText="1"/>
    </xf>
    <xf numFmtId="0" fontId="12" fillId="27" borderId="12" xfId="0" applyFont="1" applyFill="1" applyBorder="1" applyAlignment="1">
      <alignment horizontal="center"/>
    </xf>
    <xf numFmtId="0" fontId="12" fillId="28" borderId="12" xfId="0" applyFont="1" applyFill="1" applyBorder="1" applyAlignment="1">
      <alignment horizontal="center"/>
    </xf>
    <xf numFmtId="0" fontId="23" fillId="18" borderId="38" xfId="0" applyFont="1" applyFill="1" applyBorder="1"/>
    <xf numFmtId="0" fontId="16" fillId="7" borderId="29" xfId="0" applyFont="1" applyFill="1" applyBorder="1" applyAlignment="1">
      <alignment horizontal="left" vertical="center"/>
    </xf>
    <xf numFmtId="0" fontId="23" fillId="18" borderId="39" xfId="0" applyFont="1" applyFill="1" applyBorder="1"/>
    <xf numFmtId="0" fontId="23" fillId="18" borderId="40" xfId="0" applyFont="1" applyFill="1" applyBorder="1"/>
    <xf numFmtId="0" fontId="16" fillId="7" borderId="34" xfId="0" applyFont="1" applyFill="1" applyBorder="1" applyAlignment="1">
      <alignment horizontal="left" vertical="center"/>
    </xf>
    <xf numFmtId="0" fontId="0" fillId="14" borderId="37" xfId="0" applyFont="1" applyFill="1" applyBorder="1"/>
    <xf numFmtId="0" fontId="0" fillId="14" borderId="36" xfId="0" applyFont="1" applyFill="1" applyBorder="1"/>
    <xf numFmtId="0" fontId="13" fillId="11" borderId="22" xfId="0" applyFont="1" applyFill="1" applyBorder="1" applyAlignment="1">
      <alignment horizontal="center" vertical="center" wrapText="1"/>
    </xf>
    <xf numFmtId="0" fontId="25" fillId="0" borderId="0" xfId="0" applyFont="1" applyFill="1" applyAlignment="1">
      <alignment vertical="center" wrapText="1"/>
    </xf>
    <xf numFmtId="0" fontId="0" fillId="7" borderId="4" xfId="0" applyFill="1" applyBorder="1"/>
    <xf numFmtId="0" fontId="16" fillId="7" borderId="10" xfId="0" applyFont="1" applyFill="1" applyBorder="1" applyAlignment="1">
      <alignment horizontal="right" vertical="center"/>
    </xf>
    <xf numFmtId="0" fontId="26" fillId="7" borderId="7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26" fillId="7" borderId="7" xfId="0" applyFont="1" applyFill="1" applyBorder="1" applyAlignment="1">
      <alignment horizontal="right" vertical="center" wrapText="1"/>
    </xf>
    <xf numFmtId="0" fontId="14" fillId="7" borderId="4" xfId="0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left" vertical="center"/>
    </xf>
  </cellXfs>
  <cellStyles count="460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赤字強調" xfId="4"/>
    <cellStyle name="青字強調" xfId="3"/>
  </cellStyles>
  <dxfs count="41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  <cell r="N896" t="str">
            <v>ヒューマン</v>
          </cell>
          <cell r="O896" t="str">
            <v>none</v>
          </cell>
          <cell r="P896" t="str">
            <v>種族なし</v>
          </cell>
          <cell r="Q896" t="str">
            <v>アタッカー</v>
          </cell>
          <cell r="R896">
            <v>1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  <cell r="N899" t="str">
            <v>ヒューマン</v>
          </cell>
          <cell r="O899" t="str">
            <v>none</v>
          </cell>
          <cell r="P899" t="str">
            <v>種族なし</v>
          </cell>
          <cell r="Q899" t="str">
            <v>アタッカー</v>
          </cell>
          <cell r="R899">
            <v>1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  <cell r="N1343" t="str">
            <v>ヒューマン</v>
          </cell>
          <cell r="O1343" t="str">
            <v>none</v>
          </cell>
          <cell r="P1343" t="str">
            <v>種族なし</v>
          </cell>
          <cell r="R1343">
            <v>1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  <cell r="N1344" t="str">
            <v>ヒューマン</v>
          </cell>
          <cell r="O1344" t="str">
            <v>none</v>
          </cell>
          <cell r="P1344" t="str">
            <v>種族なし</v>
          </cell>
          <cell r="R1344">
            <v>1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  <cell r="N1347" t="str">
            <v>ヒューマン</v>
          </cell>
          <cell r="O1347" t="str">
            <v>none</v>
          </cell>
          <cell r="P1347" t="str">
            <v>種族なし</v>
          </cell>
          <cell r="R1347">
            <v>1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  <cell r="N1348" t="str">
            <v>ヒューマン</v>
          </cell>
          <cell r="O1348" t="str">
            <v>none</v>
          </cell>
          <cell r="P1348" t="str">
            <v>種族なし</v>
          </cell>
          <cell r="R1348">
            <v>1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1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1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1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1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1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none</v>
          </cell>
          <cell r="P1434" t="str">
            <v>種族なし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none</v>
          </cell>
          <cell r="P1435" t="str">
            <v>種族なし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1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1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1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1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1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1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1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1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1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1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1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1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1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  <cell r="N1562" t="str">
            <v>アカデミア</v>
          </cell>
          <cell r="O1562" t="str">
            <v>none</v>
          </cell>
          <cell r="P1562" t="str">
            <v>種族なし</v>
          </cell>
          <cell r="Q1562" t="str">
            <v>アタッカー</v>
          </cell>
          <cell r="R1562">
            <v>1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  <cell r="N1563" t="str">
            <v>アカデミア</v>
          </cell>
          <cell r="O1563" t="str">
            <v>none</v>
          </cell>
          <cell r="P1563" t="str">
            <v>種族なし</v>
          </cell>
          <cell r="Q1563" t="str">
            <v>アタッカー</v>
          </cell>
          <cell r="R1563">
            <v>1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  <cell r="N1564" t="str">
            <v>ゴッド</v>
          </cell>
          <cell r="O1564" t="str">
            <v>animal</v>
          </cell>
          <cell r="P1564" t="str">
            <v>アニマル</v>
          </cell>
          <cell r="Q1564" t="str">
            <v>アタッカー</v>
          </cell>
          <cell r="R1564">
            <v>3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  <cell r="N1565" t="str">
            <v>ゴッド</v>
          </cell>
          <cell r="O1565" t="str">
            <v>animal</v>
          </cell>
          <cell r="P1565" t="str">
            <v>アニマル</v>
          </cell>
          <cell r="Q1565" t="str">
            <v>アタッカー</v>
          </cell>
          <cell r="R1565">
            <v>3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  <cell r="N1566" t="str">
            <v>アニマル</v>
          </cell>
          <cell r="O1566" t="str">
            <v>dragon</v>
          </cell>
          <cell r="P1566" t="str">
            <v>ドラゴン</v>
          </cell>
          <cell r="Q1566" t="str">
            <v>アタッカー</v>
          </cell>
          <cell r="R1566">
            <v>3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  <cell r="N1567" t="str">
            <v>アニマル</v>
          </cell>
          <cell r="O1567" t="str">
            <v>dragon</v>
          </cell>
          <cell r="P1567" t="str">
            <v>ドラゴン</v>
          </cell>
          <cell r="Q1567" t="str">
            <v>アタッカー</v>
          </cell>
          <cell r="R1567">
            <v>3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  <cell r="N1568" t="str">
            <v>デーモン</v>
          </cell>
          <cell r="O1568" t="str">
            <v>none</v>
          </cell>
          <cell r="P1568" t="str">
            <v>種族なし</v>
          </cell>
          <cell r="Q1568" t="str">
            <v>アタッカー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  <cell r="N1569" t="str">
            <v>デーモン</v>
          </cell>
          <cell r="O1569" t="str">
            <v>none</v>
          </cell>
          <cell r="P1569" t="str">
            <v>種族なし</v>
          </cell>
          <cell r="Q1569" t="str">
            <v>アタッカー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  <cell r="N1570" t="str">
            <v>ヒューマン</v>
          </cell>
          <cell r="O1570" t="str">
            <v>none</v>
          </cell>
          <cell r="P1570" t="str">
            <v>種族なし</v>
          </cell>
          <cell r="Q1570" t="str">
            <v>アタッカー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  <cell r="N1571" t="str">
            <v>ヒューマン</v>
          </cell>
          <cell r="O1571" t="str">
            <v>none</v>
          </cell>
          <cell r="P1571" t="str">
            <v>種族なし</v>
          </cell>
          <cell r="Q1571" t="str">
            <v>アタッカー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  <cell r="N1572" t="str">
            <v>Unknown</v>
          </cell>
          <cell r="O1572" t="str">
            <v>none</v>
          </cell>
          <cell r="P1572" t="str">
            <v>種族なし</v>
          </cell>
          <cell r="Q1572" t="str">
            <v>アタッカー</v>
          </cell>
          <cell r="R1572">
            <v>3</v>
          </cell>
          <cell r="S1572" t="str">
            <v>enemy_only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  <cell r="N1573" t="str">
            <v>ヒューマン</v>
          </cell>
          <cell r="O1573" t="str">
            <v>none</v>
          </cell>
          <cell r="P1573" t="str">
            <v>種族なし</v>
          </cell>
          <cell r="Q1573" t="str">
            <v>バッファー</v>
          </cell>
          <cell r="R1573">
            <v>3</v>
          </cell>
          <cell r="S1573" t="str">
            <v>enemy_only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  <cell r="N1574" t="str">
            <v>アニマル</v>
          </cell>
          <cell r="O1574" t="str">
            <v>god</v>
          </cell>
          <cell r="P1574" t="str">
            <v>ゴッド</v>
          </cell>
          <cell r="Q1574" t="str">
            <v>アタッカー</v>
          </cell>
          <cell r="R1574">
            <v>3</v>
          </cell>
          <cell r="S1574" t="str">
            <v>enemy_only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  <cell r="N1575" t="str">
            <v>アニマル</v>
          </cell>
          <cell r="O1575" t="str">
            <v>none</v>
          </cell>
          <cell r="P1575" t="str">
            <v>種族なし</v>
          </cell>
          <cell r="Q1575" t="str">
            <v>アタッカー</v>
          </cell>
          <cell r="R1575">
            <v>3</v>
          </cell>
          <cell r="S1575" t="str">
            <v>enemy_only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  <cell r="N1576" t="str">
            <v>ゴッド</v>
          </cell>
          <cell r="O1576" t="str">
            <v>none</v>
          </cell>
          <cell r="P1576" t="str">
            <v>種族なし</v>
          </cell>
          <cell r="Q1576" t="str">
            <v>アタッカー</v>
          </cell>
          <cell r="R1576">
            <v>3</v>
          </cell>
          <cell r="S1576" t="str">
            <v>enemy_only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  <cell r="N1577" t="str">
            <v>ゴッド</v>
          </cell>
          <cell r="O1577" t="str">
            <v>none</v>
          </cell>
          <cell r="P1577" t="str">
            <v>種族なし</v>
          </cell>
          <cell r="Q1577" t="str">
            <v>アタッカー</v>
          </cell>
          <cell r="R1577">
            <v>3</v>
          </cell>
          <cell r="S1577" t="str">
            <v>enemy_only</v>
          </cell>
          <cell r="T1577" t="str">
            <v>normal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  <cell r="N1578" t="str">
            <v>アニマル</v>
          </cell>
          <cell r="O1578" t="str">
            <v>none</v>
          </cell>
          <cell r="P1578" t="str">
            <v>種族なし</v>
          </cell>
          <cell r="Q1578" t="str">
            <v>バッファー</v>
          </cell>
          <cell r="R1578">
            <v>3</v>
          </cell>
          <cell r="S1578" t="str">
            <v>enemy_only</v>
          </cell>
          <cell r="T1578" t="str">
            <v>normal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  <cell r="N1579" t="str">
            <v>ゴッド</v>
          </cell>
          <cell r="O1579" t="str">
            <v>none</v>
          </cell>
          <cell r="P1579" t="str">
            <v>種族なし</v>
          </cell>
          <cell r="Q1579" t="str">
            <v>アタッカー</v>
          </cell>
          <cell r="R1579">
            <v>3</v>
          </cell>
          <cell r="S1579" t="str">
            <v>enemy_only</v>
          </cell>
          <cell r="T1579" t="str">
            <v>normal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  <cell r="N1580" t="str">
            <v>ヒューマン</v>
          </cell>
          <cell r="O1580" t="str">
            <v>none</v>
          </cell>
          <cell r="P1580" t="str">
            <v>種族なし</v>
          </cell>
          <cell r="Q1580" t="str">
            <v>アタッカー</v>
          </cell>
          <cell r="R1580">
            <v>3</v>
          </cell>
          <cell r="S1580" t="str">
            <v>enemy_only</v>
          </cell>
          <cell r="T1580" t="str">
            <v>normal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  <cell r="N1581" t="str">
            <v>ヒューマン</v>
          </cell>
          <cell r="O1581" t="str">
            <v>none</v>
          </cell>
          <cell r="P1581" t="str">
            <v>種族なし</v>
          </cell>
          <cell r="Q1581" t="str">
            <v>アタッカー</v>
          </cell>
          <cell r="R1581">
            <v>3</v>
          </cell>
          <cell r="S1581" t="str">
            <v>enemy_only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Q1582" t="str">
            <v>アタッカー</v>
          </cell>
          <cell r="R1582">
            <v>3</v>
          </cell>
          <cell r="S1582" t="str">
            <v>enemy_only</v>
          </cell>
          <cell r="T1582" t="str">
            <v>normal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  <cell r="N1583" t="str">
            <v>アニマル</v>
          </cell>
          <cell r="O1583" t="str">
            <v>none</v>
          </cell>
          <cell r="P1583" t="str">
            <v>種族なし</v>
          </cell>
          <cell r="Q1583" t="str">
            <v>アタッカー</v>
          </cell>
          <cell r="R1583">
            <v>3</v>
          </cell>
          <cell r="S1583" t="str">
            <v>enemy_only</v>
          </cell>
          <cell r="T1583" t="str">
            <v>normal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  <cell r="N1584" t="str">
            <v>マシン</v>
          </cell>
          <cell r="O1584" t="str">
            <v>none</v>
          </cell>
          <cell r="P1584" t="str">
            <v>種族なし</v>
          </cell>
          <cell r="Q1584" t="str">
            <v>アタッカー</v>
          </cell>
          <cell r="R1584">
            <v>3</v>
          </cell>
          <cell r="S1584" t="str">
            <v>enemy_only</v>
          </cell>
          <cell r="T1584" t="str">
            <v>normal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  <cell r="N1585" t="str">
            <v>アニマル</v>
          </cell>
          <cell r="O1585" t="str">
            <v>none</v>
          </cell>
          <cell r="P1585" t="str">
            <v>種族なし</v>
          </cell>
          <cell r="Q1585" t="str">
            <v>アタッカー</v>
          </cell>
          <cell r="R1585">
            <v>3</v>
          </cell>
          <cell r="S1585" t="str">
            <v>enemy_only</v>
          </cell>
          <cell r="T1585" t="str">
            <v>normal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  <cell r="N1586" t="str">
            <v>アニマル</v>
          </cell>
          <cell r="O1586" t="str">
            <v>none</v>
          </cell>
          <cell r="P1586" t="str">
            <v>種族なし</v>
          </cell>
          <cell r="Q1586" t="str">
            <v>アタッカー</v>
          </cell>
          <cell r="R1586">
            <v>3</v>
          </cell>
          <cell r="S1586" t="str">
            <v>enemy_only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  <cell r="N1587" t="str">
            <v>ヒューマン</v>
          </cell>
          <cell r="O1587" t="str">
            <v>none</v>
          </cell>
          <cell r="P1587" t="str">
            <v>種族なし</v>
          </cell>
          <cell r="Q1587" t="str">
            <v>アタッカー</v>
          </cell>
          <cell r="R1587">
            <v>3</v>
          </cell>
          <cell r="S1587" t="str">
            <v>enemy_only</v>
          </cell>
          <cell r="T1587" t="str">
            <v>normal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  <cell r="N1588" t="str">
            <v>ヒューマン</v>
          </cell>
          <cell r="O1588" t="str">
            <v>none</v>
          </cell>
          <cell r="P1588" t="str">
            <v>種族なし</v>
          </cell>
          <cell r="Q1588" t="str">
            <v>アタッカー</v>
          </cell>
          <cell r="R1588">
            <v>3</v>
          </cell>
          <cell r="S1588" t="str">
            <v>enemy_only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  <cell r="N1589" t="str">
            <v>アニマル</v>
          </cell>
          <cell r="O1589" t="str">
            <v>none</v>
          </cell>
          <cell r="P1589" t="str">
            <v>種族なし</v>
          </cell>
          <cell r="Q1589" t="str">
            <v>アタッカー</v>
          </cell>
          <cell r="R1589">
            <v>3</v>
          </cell>
          <cell r="S1589" t="str">
            <v>enemy_only</v>
          </cell>
          <cell r="T1589" t="str">
            <v>normal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  <cell r="N1590" t="str">
            <v>アニマル</v>
          </cell>
          <cell r="O1590" t="str">
            <v>none</v>
          </cell>
          <cell r="P1590" t="str">
            <v>種族なし</v>
          </cell>
          <cell r="Q1590" t="str">
            <v>アタッカー</v>
          </cell>
          <cell r="R1590">
            <v>3</v>
          </cell>
          <cell r="S1590" t="str">
            <v>enemy_only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  <cell r="N1591" t="str">
            <v>ドラゴン</v>
          </cell>
          <cell r="O1591" t="str">
            <v>none</v>
          </cell>
          <cell r="P1591" t="str">
            <v>種族なし</v>
          </cell>
          <cell r="Q1591" t="str">
            <v>アタッカー</v>
          </cell>
          <cell r="R1591">
            <v>3</v>
          </cell>
          <cell r="S1591" t="str">
            <v>enemy_only</v>
          </cell>
          <cell r="T1591" t="str">
            <v>normal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  <cell r="N1592" t="str">
            <v>ゴッド</v>
          </cell>
          <cell r="O1592" t="str">
            <v>none</v>
          </cell>
          <cell r="P1592" t="str">
            <v>種族なし</v>
          </cell>
          <cell r="Q1592" t="str">
            <v>アタッカー</v>
          </cell>
          <cell r="R1592">
            <v>3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  <cell r="N1593" t="str">
            <v>ゴッド</v>
          </cell>
          <cell r="O1593" t="str">
            <v>none</v>
          </cell>
          <cell r="P1593" t="str">
            <v>種族なし</v>
          </cell>
          <cell r="Q1593" t="str">
            <v>アタッカー</v>
          </cell>
          <cell r="R1593">
            <v>3</v>
          </cell>
          <cell r="S1593" t="str">
            <v>NULL</v>
          </cell>
          <cell r="T1593" t="str">
            <v>normal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  <cell r="N1594" t="str">
            <v>ドラゴン</v>
          </cell>
          <cell r="O1594" t="str">
            <v>none</v>
          </cell>
          <cell r="P1594" t="str">
            <v>種族なし</v>
          </cell>
          <cell r="Q1594" t="str">
            <v>アタッカー</v>
          </cell>
          <cell r="R1594">
            <v>3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  <cell r="N1595" t="str">
            <v>ドラゴン</v>
          </cell>
          <cell r="O1595" t="str">
            <v>none</v>
          </cell>
          <cell r="P1595" t="str">
            <v>種族なし</v>
          </cell>
          <cell r="Q1595" t="str">
            <v>アタッカー</v>
          </cell>
          <cell r="R1595">
            <v>3</v>
          </cell>
          <cell r="S1595" t="str">
            <v>NULL</v>
          </cell>
          <cell r="T1595" t="str">
            <v>normal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  <cell r="N1596" t="str">
            <v>ヒューマン</v>
          </cell>
          <cell r="O1596" t="str">
            <v>animal</v>
          </cell>
          <cell r="P1596" t="str">
            <v>アニマル</v>
          </cell>
          <cell r="Q1596" t="str">
            <v>アタッカー</v>
          </cell>
          <cell r="R1596">
            <v>3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  <cell r="N1597" t="str">
            <v>ヒューマン</v>
          </cell>
          <cell r="O1597" t="str">
            <v>animal</v>
          </cell>
          <cell r="P1597" t="str">
            <v>アニマル</v>
          </cell>
          <cell r="Q1597" t="str">
            <v>アタッカー</v>
          </cell>
          <cell r="R1597">
            <v>3</v>
          </cell>
          <cell r="S1597" t="str">
            <v>NULL</v>
          </cell>
          <cell r="T1597" t="str">
            <v>normal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  <cell r="N1598" t="str">
            <v>アニマル</v>
          </cell>
          <cell r="O1598" t="str">
            <v>none</v>
          </cell>
          <cell r="P1598" t="str">
            <v>種族なし</v>
          </cell>
          <cell r="Q1598" t="str">
            <v>アタッカー</v>
          </cell>
          <cell r="R1598">
            <v>3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  <cell r="N1599" t="str">
            <v>アニマル</v>
          </cell>
          <cell r="O1599" t="str">
            <v>none</v>
          </cell>
          <cell r="P1599" t="str">
            <v>種族なし</v>
          </cell>
          <cell r="Q1599" t="str">
            <v>アタッカー</v>
          </cell>
          <cell r="R1599">
            <v>3</v>
          </cell>
          <cell r="S1599" t="str">
            <v>NULL</v>
          </cell>
          <cell r="T1599" t="str">
            <v>normal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  <cell r="N1600" t="str">
            <v>ゴッド</v>
          </cell>
          <cell r="O1600" t="str">
            <v>machine</v>
          </cell>
          <cell r="P1600" t="str">
            <v>マシン</v>
          </cell>
          <cell r="Q1600" t="str">
            <v>アタッカー</v>
          </cell>
          <cell r="R1600">
            <v>3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  <cell r="N1601" t="str">
            <v>ゴッド</v>
          </cell>
          <cell r="O1601" t="str">
            <v>machine</v>
          </cell>
          <cell r="P1601" t="str">
            <v>マシン</v>
          </cell>
          <cell r="Q1601" t="str">
            <v>アタッカー</v>
          </cell>
          <cell r="R1601">
            <v>3</v>
          </cell>
          <cell r="S1601" t="str">
            <v>NULL</v>
          </cell>
          <cell r="T1601" t="str">
            <v>normal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  <cell r="N1602" t="str">
            <v>ゴッド</v>
          </cell>
          <cell r="O1602" t="str">
            <v>none</v>
          </cell>
          <cell r="P1602" t="str">
            <v>種族なし</v>
          </cell>
          <cell r="Q1602" t="str">
            <v>アタッカー</v>
          </cell>
          <cell r="R1602">
            <v>3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  <cell r="N1603" t="str">
            <v>ゴッド</v>
          </cell>
          <cell r="O1603" t="str">
            <v>none</v>
          </cell>
          <cell r="P1603" t="str">
            <v>種族なし</v>
          </cell>
          <cell r="Q1603" t="str">
            <v>アタッカー</v>
          </cell>
          <cell r="R1603">
            <v>3</v>
          </cell>
          <cell r="S1603" t="str">
            <v>NULL</v>
          </cell>
          <cell r="T1603" t="str">
            <v>normal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  <cell r="N1604" t="str">
            <v>Unknown</v>
          </cell>
          <cell r="O1604" t="str">
            <v>none</v>
          </cell>
          <cell r="P1604" t="str">
            <v>種族なし</v>
          </cell>
          <cell r="Q1604" t="str">
            <v>アタッカー</v>
          </cell>
          <cell r="R1604">
            <v>1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  <cell r="N1605" t="str">
            <v>Unknown</v>
          </cell>
          <cell r="O1605" t="str">
            <v>none</v>
          </cell>
          <cell r="P1605" t="str">
            <v>種族なし</v>
          </cell>
          <cell r="Q1605" t="str">
            <v>アタッカー</v>
          </cell>
          <cell r="R1605">
            <v>1</v>
          </cell>
          <cell r="S1605" t="str">
            <v>NULL</v>
          </cell>
          <cell r="T1605" t="str">
            <v>normal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Q1606" t="str">
            <v>アタッカー</v>
          </cell>
          <cell r="R1606">
            <v>1</v>
          </cell>
          <cell r="S1606" t="str">
            <v>NULL</v>
          </cell>
          <cell r="T1606" t="str">
            <v>normal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Q1607" t="str">
            <v>アタッカー</v>
          </cell>
          <cell r="R1607">
            <v>1</v>
          </cell>
          <cell r="S1607" t="str">
            <v>NULL</v>
          </cell>
          <cell r="T1607" t="str">
            <v>normal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Q1608" t="str">
            <v>アタッカー</v>
          </cell>
          <cell r="R1608">
            <v>1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  <cell r="N1609" t="str">
            <v>Unknown</v>
          </cell>
          <cell r="O1609" t="str">
            <v>none</v>
          </cell>
          <cell r="P1609" t="str">
            <v>種族なし</v>
          </cell>
          <cell r="Q1609" t="str">
            <v>アタッカー</v>
          </cell>
          <cell r="R1609">
            <v>1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  <cell r="N1610" t="str">
            <v>Unknown</v>
          </cell>
          <cell r="O1610" t="str">
            <v>none</v>
          </cell>
          <cell r="P1610" t="str">
            <v>種族なし</v>
          </cell>
          <cell r="Q1610" t="str">
            <v>アタッカー</v>
          </cell>
          <cell r="R1610">
            <v>1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  <cell r="N1611" t="str">
            <v>Unknown</v>
          </cell>
          <cell r="O1611" t="str">
            <v>none</v>
          </cell>
          <cell r="P1611" t="str">
            <v>種族なし</v>
          </cell>
          <cell r="Q1611" t="str">
            <v>アタッカー</v>
          </cell>
          <cell r="R1611">
            <v>1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  <cell r="N1612" t="str">
            <v>Unknown</v>
          </cell>
          <cell r="O1612" t="str">
            <v>none</v>
          </cell>
          <cell r="P1612" t="str">
            <v>種族なし</v>
          </cell>
          <cell r="Q1612" t="str">
            <v>アタッカー</v>
          </cell>
          <cell r="R1612">
            <v>1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  <cell r="N1613" t="str">
            <v>Unknown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  <cell r="N1614" t="str">
            <v>Unknown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  <cell r="N1615" t="str">
            <v>Unknown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  <cell r="N1616" t="str">
            <v>Unknown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  <cell r="N1617" t="str">
            <v>Unknown</v>
          </cell>
          <cell r="O1617" t="str">
            <v>none</v>
          </cell>
          <cell r="P1617" t="str">
            <v>種族なし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none</v>
          </cell>
          <cell r="P1618" t="str">
            <v>種族なし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  <cell r="N1619" t="str">
            <v>Unknown</v>
          </cell>
          <cell r="O1619" t="str">
            <v>none</v>
          </cell>
          <cell r="P1619" t="str">
            <v>種族なし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  <cell r="N1620" t="str">
            <v>Unknown</v>
          </cell>
          <cell r="O1620" t="str">
            <v>none</v>
          </cell>
          <cell r="P1620" t="str">
            <v>種族なし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1</v>
          </cell>
          <cell r="S1621" t="str">
            <v>NULL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  <cell r="N1622" t="str">
            <v>ゴッド</v>
          </cell>
          <cell r="O1622" t="str">
            <v>machine</v>
          </cell>
          <cell r="P1622" t="str">
            <v>マシン</v>
          </cell>
          <cell r="Q1622" t="str">
            <v>アタッカー</v>
          </cell>
          <cell r="R1622">
            <v>3</v>
          </cell>
          <cell r="S1622" t="str">
            <v>NULL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  <cell r="N1623" t="str">
            <v>ゴッド</v>
          </cell>
          <cell r="O1623" t="str">
            <v>machine</v>
          </cell>
          <cell r="P1623" t="str">
            <v>マシン</v>
          </cell>
          <cell r="Q1623" t="str">
            <v>アタッカー</v>
          </cell>
          <cell r="R1623">
            <v>3</v>
          </cell>
          <cell r="S1623" t="str">
            <v>NULL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  <cell r="N1624" t="str">
            <v>ゴッド</v>
          </cell>
          <cell r="O1624" t="str">
            <v>animal</v>
          </cell>
          <cell r="P1624" t="str">
            <v>アニマル</v>
          </cell>
          <cell r="Q1624" t="str">
            <v>アタッカー</v>
          </cell>
          <cell r="R1624">
            <v>3</v>
          </cell>
          <cell r="S1624" t="str">
            <v>NULL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  <cell r="N1625" t="str">
            <v>ゴッド</v>
          </cell>
          <cell r="O1625" t="str">
            <v>animal</v>
          </cell>
          <cell r="P1625" t="str">
            <v>アニマル</v>
          </cell>
          <cell r="Q1625" t="str">
            <v>アタッカー</v>
          </cell>
          <cell r="R1625">
            <v>3</v>
          </cell>
          <cell r="S1625" t="str">
            <v>NULL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  <cell r="N1626" t="str">
            <v>ヒューマン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1</v>
          </cell>
          <cell r="S1626" t="str">
            <v>NULL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  <cell r="N1627" t="str">
            <v>ヒューマン</v>
          </cell>
          <cell r="O1627" t="str">
            <v>none</v>
          </cell>
          <cell r="P1627" t="str">
            <v>種族なし</v>
          </cell>
          <cell r="Q1627" t="str">
            <v>アタッカー</v>
          </cell>
          <cell r="R1627">
            <v>1</v>
          </cell>
          <cell r="S1627" t="str">
            <v>NULL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  <cell r="N1628" t="str">
            <v>ヒューマン</v>
          </cell>
          <cell r="O1628" t="str">
            <v>machine</v>
          </cell>
          <cell r="P1628" t="str">
            <v>マシン</v>
          </cell>
          <cell r="Q1628" t="str">
            <v>アタッカー</v>
          </cell>
          <cell r="R1628">
            <v>1</v>
          </cell>
          <cell r="S1628" t="str">
            <v>NULL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  <cell r="N1629" t="str">
            <v>ヒューマン</v>
          </cell>
          <cell r="O1629" t="str">
            <v>machine</v>
          </cell>
          <cell r="P1629" t="str">
            <v>マシン</v>
          </cell>
          <cell r="Q1629" t="str">
            <v>アタッカー</v>
          </cell>
          <cell r="R1629">
            <v>1</v>
          </cell>
          <cell r="S1629" t="str">
            <v>NULL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  <cell r="N1630" t="str">
            <v>ゴッド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NULL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  <cell r="N1631" t="str">
            <v>ゴッド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NULL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  <cell r="N1632" t="str">
            <v>ゴッド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NULL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  <cell r="N1633" t="str">
            <v>ゴッド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NULL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  <cell r="N1634" t="str">
            <v>サンリオキャラクターズ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1</v>
          </cell>
          <cell r="S1634" t="str">
            <v>NULL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  <cell r="N1635" t="str">
            <v>サンリオキャラクターズ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1</v>
          </cell>
          <cell r="S1635" t="str">
            <v>NULL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  <cell r="N1636" t="str">
            <v>サンリオキャラクターズ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1</v>
          </cell>
          <cell r="S1636" t="str">
            <v>NULL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  <cell r="N1637" t="str">
            <v>サンリオキャラクターズ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1</v>
          </cell>
          <cell r="S1637" t="str">
            <v>NULL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  <cell r="N1638" t="str">
            <v>サンリオキャラクターズ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1</v>
          </cell>
          <cell r="S1638" t="str">
            <v>NULL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  <cell r="N1639" t="str">
            <v>サンリオキャラクターズ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1</v>
          </cell>
          <cell r="S1639" t="str">
            <v>NULL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  <cell r="N1640" t="str">
            <v>サンリオキャラクターズ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1</v>
          </cell>
          <cell r="S1640" t="str">
            <v>NULL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  <cell r="N1641" t="str">
            <v>サンリオキャラクターズ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1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  <cell r="N1642" t="str">
            <v>サンリオキャラクターズ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1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  <cell r="N1643" t="str">
            <v>サンリオキャラクターズ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1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  <cell r="N1644" t="str">
            <v>サンリオキャラクターズ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1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  <cell r="N1645" t="str">
            <v>サンリオキャラクターズ</v>
          </cell>
          <cell r="O1645" t="str">
            <v>none</v>
          </cell>
          <cell r="P1645" t="str">
            <v>種族なし</v>
          </cell>
          <cell r="Q1645" t="str">
            <v>アタッカー</v>
          </cell>
          <cell r="R1645">
            <v>1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  <cell r="N1646" t="str">
            <v>サンリオキャラクターズ</v>
          </cell>
          <cell r="O1646" t="str">
            <v>none</v>
          </cell>
          <cell r="P1646" t="str">
            <v>種族なし</v>
          </cell>
          <cell r="Q1646" t="str">
            <v>アタッカー</v>
          </cell>
          <cell r="R1646">
            <v>1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  <cell r="N1647" t="str">
            <v>サンリオキャラクターズ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1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  <cell r="N1648" t="str">
            <v>サンリオキャラクターズ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1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  <cell r="N1649" t="str">
            <v>サンリオキャラクターズ</v>
          </cell>
          <cell r="O1649" t="str">
            <v>none</v>
          </cell>
          <cell r="P1649" t="str">
            <v>種族なし</v>
          </cell>
          <cell r="Q1649" t="str">
            <v>アタッカー</v>
          </cell>
          <cell r="R1649">
            <v>1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  <cell r="N1650" t="str">
            <v>サンリオキャラクターズ</v>
          </cell>
          <cell r="O1650" t="str">
            <v>none</v>
          </cell>
          <cell r="P1650" t="str">
            <v>種族なし</v>
          </cell>
          <cell r="Q1650" t="str">
            <v>アタッカー</v>
          </cell>
          <cell r="R1650">
            <v>1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  <cell r="N1651" t="str">
            <v>サンリオキャラクターズ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1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  <cell r="N1652" t="str">
            <v>サンリオキャラクターズ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1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  <cell r="N1653" t="str">
            <v>サンリオキャラクターズ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  <cell r="N1654" t="str">
            <v>サンリオキャラクターズ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  <cell r="N1655" t="str">
            <v>サンリオキャラクターズ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  <cell r="N1656" t="str">
            <v>サンリオキャラクターズ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  <cell r="N1657" t="str">
            <v>サンリオキャラクターズ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  <cell r="N1658" t="str">
            <v>サンリオキャラクターズ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  <cell r="N1659" t="str">
            <v>サンリオキャラクターズ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  <cell r="N1660" t="str">
            <v>サンリオキャラクターズ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  <cell r="N1661" t="str">
            <v>サンリオキャラクターズ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  <cell r="N1662" t="str">
            <v>サンリオキャラクターズ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  <cell r="N1663" t="str">
            <v>サンリオキャラクターズ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  <cell r="N1664" t="str">
            <v>ヒューマン</v>
          </cell>
          <cell r="O1664" t="str">
            <v>machine</v>
          </cell>
          <cell r="P1664" t="str">
            <v>マシン</v>
          </cell>
          <cell r="Q1664" t="str">
            <v>アタッカー</v>
          </cell>
          <cell r="R1664">
            <v>3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  <cell r="N1665" t="str">
            <v>ドラゴン</v>
          </cell>
          <cell r="O1665" t="str">
            <v>unknown</v>
          </cell>
          <cell r="P1665" t="str">
            <v>Unknown</v>
          </cell>
          <cell r="Q1665" t="str">
            <v>アタッカー</v>
          </cell>
          <cell r="R1665">
            <v>3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  <cell r="N1666" t="str">
            <v>ゴッド</v>
          </cell>
          <cell r="O1666" t="str">
            <v>animal</v>
          </cell>
          <cell r="P1666" t="str">
            <v>アニマル</v>
          </cell>
          <cell r="Q1666" t="str">
            <v>アタッカー</v>
          </cell>
          <cell r="R1666">
            <v>3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  <cell r="N1667" t="str">
            <v>Unknown</v>
          </cell>
          <cell r="O1667" t="str">
            <v>hero</v>
          </cell>
          <cell r="P1667" t="str">
            <v>ヒーロー</v>
          </cell>
          <cell r="Q1667" t="str">
            <v>アタッカー</v>
          </cell>
          <cell r="R1667">
            <v>3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  <cell r="N1668" t="str">
            <v>ヒューマン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  <cell r="N1669" t="str">
            <v>ヒューマン</v>
          </cell>
          <cell r="O1669" t="str">
            <v>hero</v>
          </cell>
          <cell r="P1669" t="str">
            <v>ヒーロー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  <cell r="N1670" t="str">
            <v>ドラゴン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  <cell r="N1671" t="str">
            <v>ドラゴン</v>
          </cell>
          <cell r="O1671" t="str">
            <v>unknown</v>
          </cell>
          <cell r="P1671" t="str">
            <v>Unknown</v>
          </cell>
          <cell r="Q1671" t="str">
            <v>アタッカー</v>
          </cell>
          <cell r="R1671">
            <v>1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  <cell r="N1672" t="str">
            <v>サムライ</v>
          </cell>
          <cell r="O1672" t="str">
            <v>human</v>
          </cell>
          <cell r="P1672" t="str">
            <v>ヒューマン</v>
          </cell>
          <cell r="Q1672" t="str">
            <v>アタッカー</v>
          </cell>
          <cell r="R1672">
            <v>1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  <cell r="N1673" t="str">
            <v>サムライ</v>
          </cell>
          <cell r="O1673" t="str">
            <v>human</v>
          </cell>
          <cell r="P1673" t="str">
            <v>ヒューマン</v>
          </cell>
          <cell r="Q1673" t="str">
            <v>アタッカー</v>
          </cell>
          <cell r="R1673">
            <v>1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  <cell r="N1674" t="str">
            <v>サムライ</v>
          </cell>
          <cell r="O1674" t="str">
            <v>human</v>
          </cell>
          <cell r="P1674" t="str">
            <v>ヒューマン</v>
          </cell>
          <cell r="Q1674" t="str">
            <v>アタッカー</v>
          </cell>
          <cell r="R1674">
            <v>1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  <cell r="N1675" t="str">
            <v>サムライ</v>
          </cell>
          <cell r="O1675" t="str">
            <v>human</v>
          </cell>
          <cell r="P1675" t="str">
            <v>ヒューマン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  <cell r="N1676" t="str">
            <v>ゴッド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3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  <cell r="N1677" t="str">
            <v>ゴッド</v>
          </cell>
          <cell r="O1677" t="str">
            <v>animal</v>
          </cell>
          <cell r="P1677" t="str">
            <v>アニマル</v>
          </cell>
          <cell r="Q1677" t="str">
            <v>アタッカー</v>
          </cell>
          <cell r="R1677">
            <v>3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  <cell r="N1678" t="str">
            <v>ゴッド</v>
          </cell>
          <cell r="O1678" t="str">
            <v>none</v>
          </cell>
          <cell r="P1678" t="str">
            <v>種族なし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1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  <cell r="N1680" t="str">
            <v>アニマル</v>
          </cell>
          <cell r="O1680" t="str">
            <v>unknown</v>
          </cell>
          <cell r="P1680" t="str">
            <v>Unknown</v>
          </cell>
          <cell r="Q1680" t="str">
            <v>アタッカー</v>
          </cell>
          <cell r="R1680">
            <v>1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  <cell r="N1681" t="str">
            <v>アニマル</v>
          </cell>
          <cell r="O1681" t="str">
            <v>unknown</v>
          </cell>
          <cell r="P1681" t="str">
            <v>Unknown</v>
          </cell>
          <cell r="Q1681" t="str">
            <v>アタッカー</v>
          </cell>
          <cell r="R1681">
            <v>1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  <cell r="N1682" t="str">
            <v>Unknown</v>
          </cell>
          <cell r="O1682" t="str">
            <v>none</v>
          </cell>
          <cell r="P1682" t="str">
            <v>種族なし</v>
          </cell>
          <cell r="Q1682" t="str">
            <v>強化素材</v>
          </cell>
          <cell r="R1682">
            <v>1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  <cell r="N1683" t="str">
            <v>Unknown</v>
          </cell>
          <cell r="O1683" t="str">
            <v>none</v>
          </cell>
          <cell r="P1683" t="str">
            <v>種族なし</v>
          </cell>
          <cell r="Q1683" t="str">
            <v>強化素材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  <cell r="N1684" t="str">
            <v>Unknown</v>
          </cell>
          <cell r="O1684" t="str">
            <v>none</v>
          </cell>
          <cell r="P1684" t="str">
            <v>種族なし</v>
          </cell>
          <cell r="Q1684" t="str">
            <v>強化素材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  <cell r="N1685" t="str">
            <v>Unknown</v>
          </cell>
          <cell r="O1685" t="str">
            <v>none</v>
          </cell>
          <cell r="P1685" t="str">
            <v>種族なし</v>
          </cell>
          <cell r="Q1685" t="str">
            <v>強化素材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  <cell r="N1686" t="str">
            <v>ゴッド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  <cell r="N1687" t="str">
            <v>ゴッド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  <cell r="N1688" t="str">
            <v>ゴッド</v>
          </cell>
          <cell r="O1688" t="str">
            <v>machine</v>
          </cell>
          <cell r="P1688" t="str">
            <v>マシン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  <cell r="N1689" t="str">
            <v>ゴッド</v>
          </cell>
          <cell r="O1689" t="str">
            <v>machine</v>
          </cell>
          <cell r="P1689" t="str">
            <v>マシン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  <cell r="N1690" t="str">
            <v>ゴッド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  <cell r="N1691" t="str">
            <v>ゴッド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  <cell r="N1692" t="str">
            <v>ゴッド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  <cell r="N1693" t="str">
            <v>ゴッド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  <cell r="N1694" t="str">
            <v>ゴッド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  <cell r="N1695" t="str">
            <v>ゴッド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  <cell r="N1696" t="str">
            <v>アカデミア</v>
          </cell>
          <cell r="O1696" t="str">
            <v>hero</v>
          </cell>
          <cell r="P1696" t="str">
            <v>ヒーロー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  <cell r="N1697" t="str">
            <v>アカデミア</v>
          </cell>
          <cell r="O1697" t="str">
            <v>hero</v>
          </cell>
          <cell r="P1697" t="str">
            <v>ヒーロー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  <cell r="N1698" t="str">
            <v>ヒューマン</v>
          </cell>
          <cell r="O1698" t="str">
            <v>dragon</v>
          </cell>
          <cell r="P1698" t="str">
            <v>ドラゴン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  <cell r="N1699" t="str">
            <v>ヒューマン</v>
          </cell>
          <cell r="O1699" t="str">
            <v>dragon</v>
          </cell>
          <cell r="P1699" t="str">
            <v>ドラゴン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  <cell r="N1700" t="str">
            <v>ドラゴン</v>
          </cell>
          <cell r="O1700" t="str">
            <v>fantasy</v>
          </cell>
          <cell r="P1700" t="str">
            <v>ファンタジー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  <cell r="N1701" t="str">
            <v>ドラゴン</v>
          </cell>
          <cell r="O1701" t="str">
            <v>fantasy</v>
          </cell>
          <cell r="P1701" t="str">
            <v>ファンタジー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  <cell r="N1702" t="str">
            <v>ドラゴン</v>
          </cell>
          <cell r="O1702" t="str">
            <v>fantasy</v>
          </cell>
          <cell r="P1702" t="str">
            <v>ファンタジー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  <cell r="N1703" t="str">
            <v>ドラゴン</v>
          </cell>
          <cell r="O1703" t="str">
            <v>fantasy</v>
          </cell>
          <cell r="P1703" t="str">
            <v>ファンタジー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  <cell r="N1704" t="str">
            <v>ヒューマン</v>
          </cell>
          <cell r="O1704" t="str">
            <v>machine</v>
          </cell>
          <cell r="P1704" t="str">
            <v>マシン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  <cell r="N1705" t="str">
            <v>ヒューマン</v>
          </cell>
          <cell r="O1705" t="str">
            <v>machine</v>
          </cell>
          <cell r="P1705" t="str">
            <v>マシン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  <cell r="N1706" t="str">
            <v>ヒューマン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  <cell r="N1707" t="str">
            <v>ヒューマン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  <cell r="N1708" t="str">
            <v>ドラゴン</v>
          </cell>
          <cell r="O1708" t="str">
            <v>human</v>
          </cell>
          <cell r="P1708" t="str">
            <v>ヒューマン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  <cell r="N1709" t="str">
            <v>ドラゴン</v>
          </cell>
          <cell r="O1709" t="str">
            <v>human</v>
          </cell>
          <cell r="P1709" t="str">
            <v>ヒューマン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  <cell r="N1710" t="str">
            <v>デーモン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  <cell r="N1711" t="str">
            <v>デーモン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  <cell r="N1712" t="str">
            <v>ヒーロー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  <cell r="N1713" t="str">
            <v>ヒーロー</v>
          </cell>
          <cell r="O1713" t="str">
            <v>none</v>
          </cell>
          <cell r="P1713" t="str">
            <v>種族なし</v>
          </cell>
          <cell r="Q1713" t="str">
            <v>アタッカー</v>
          </cell>
          <cell r="R1713">
            <v>1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  <cell r="N1714" t="str">
            <v>ヒューマン</v>
          </cell>
          <cell r="O1714" t="str">
            <v>samurai</v>
          </cell>
          <cell r="P1714" t="str">
            <v>サムライ</v>
          </cell>
          <cell r="R1714">
            <v>1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  <cell r="N1715" t="str">
            <v>アニマル</v>
          </cell>
          <cell r="O1715" t="str">
            <v>none</v>
          </cell>
          <cell r="P1715" t="str">
            <v>種族なし</v>
          </cell>
          <cell r="R1715">
            <v>1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  <cell r="N1716" t="str">
            <v>アカデミア</v>
          </cell>
          <cell r="O1716" t="str">
            <v>hero</v>
          </cell>
          <cell r="P1716" t="str">
            <v>ヒーロー</v>
          </cell>
          <cell r="R1716">
            <v>1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  <cell r="N1717" t="str">
            <v>アカデミア</v>
          </cell>
          <cell r="O1717" t="str">
            <v>hero</v>
          </cell>
          <cell r="P1717" t="str">
            <v>ヒーロー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  <cell r="N1718" t="str">
            <v>ヒューマン</v>
          </cell>
          <cell r="O1718" t="str">
            <v>samurai</v>
          </cell>
          <cell r="P1718" t="str">
            <v>サムライ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  <cell r="N1719" t="str">
            <v>アニマル</v>
          </cell>
          <cell r="O1719" t="str">
            <v>none</v>
          </cell>
          <cell r="P1719" t="str">
            <v>種族なし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  <cell r="N1720" t="str">
            <v>マシン</v>
          </cell>
          <cell r="O1720" t="str">
            <v>god</v>
          </cell>
          <cell r="P1720" t="str">
            <v>ゴッド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  <cell r="N1721" t="str">
            <v>マシン</v>
          </cell>
          <cell r="O1721" t="str">
            <v>god</v>
          </cell>
          <cell r="P1721" t="str">
            <v>ゴッド</v>
          </cell>
          <cell r="R1721">
            <v>1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  <cell r="N1722" t="str">
            <v>ヒューマン</v>
          </cell>
          <cell r="O1722" t="str">
            <v>none</v>
          </cell>
          <cell r="P1722" t="str">
            <v>種族なし</v>
          </cell>
          <cell r="R1722">
            <v>1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  <cell r="N1723" t="str">
            <v>ヒューマン</v>
          </cell>
          <cell r="O1723" t="str">
            <v>queen</v>
          </cell>
          <cell r="P1723" t="str">
            <v>QUEEN</v>
          </cell>
          <cell r="R1723">
            <v>1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  <cell r="N1724" t="str">
            <v>ヒューマン</v>
          </cell>
          <cell r="O1724" t="str">
            <v>god</v>
          </cell>
          <cell r="P1724" t="str">
            <v>ゴッド</v>
          </cell>
          <cell r="R1724">
            <v>1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  <cell r="N1725" t="str">
            <v>ヒューマン</v>
          </cell>
          <cell r="O1725" t="str">
            <v>god</v>
          </cell>
          <cell r="P1725" t="str">
            <v>ゴッド</v>
          </cell>
          <cell r="R1725">
            <v>1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  <cell r="N1726" t="str">
            <v>ドラゴン</v>
          </cell>
          <cell r="O1726" t="str">
            <v>none</v>
          </cell>
          <cell r="P1726" t="str">
            <v>種族なし</v>
          </cell>
          <cell r="R1726">
            <v>1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  <cell r="N1727" t="str">
            <v>ドラゴン</v>
          </cell>
          <cell r="O1727" t="str">
            <v>none</v>
          </cell>
          <cell r="P1727" t="str">
            <v>種族なし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  <cell r="N1728" t="str">
            <v>ヒューマン</v>
          </cell>
          <cell r="O1728" t="str">
            <v>unknown</v>
          </cell>
          <cell r="P1728" t="str">
            <v>Unknown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  <cell r="N1729" t="str">
            <v>ヒューマン</v>
          </cell>
          <cell r="O1729" t="str">
            <v>unknown</v>
          </cell>
          <cell r="P1729" t="str">
            <v>Unknown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  <cell r="N1730" t="str">
            <v>Unknown</v>
          </cell>
          <cell r="O1730" t="str">
            <v>none</v>
          </cell>
          <cell r="P1730" t="str">
            <v>種族なし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  <cell r="N1734" t="str">
            <v>デーモン</v>
          </cell>
          <cell r="O1734" t="str">
            <v>none</v>
          </cell>
          <cell r="P1734" t="str">
            <v>種族なし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  <cell r="N1735" t="str">
            <v>デーモン</v>
          </cell>
          <cell r="O1735" t="str">
            <v>none</v>
          </cell>
          <cell r="P1735" t="str">
            <v>種族なし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  <cell r="N1736" t="str">
            <v>ドラゴン</v>
          </cell>
          <cell r="O1736" t="str">
            <v>samurai</v>
          </cell>
          <cell r="P1736" t="str">
            <v>サムライ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  <cell r="N1737" t="str">
            <v>ドラゴン</v>
          </cell>
          <cell r="O1737" t="str">
            <v>samurai</v>
          </cell>
          <cell r="P1737" t="str">
            <v>サムライ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  <cell r="N1738" t="str">
            <v>ドラゴン</v>
          </cell>
          <cell r="O1738" t="str">
            <v>machine</v>
          </cell>
          <cell r="P1738" t="str">
            <v>マシン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  <cell r="N1739" t="str">
            <v>ドラゴン</v>
          </cell>
          <cell r="O1739" t="str">
            <v>machine</v>
          </cell>
          <cell r="P1739" t="str">
            <v>マシン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  <cell r="N1740" t="str">
            <v>Unknown</v>
          </cell>
          <cell r="O1740" t="str">
            <v>none</v>
          </cell>
          <cell r="P1740" t="str">
            <v>種族なし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  <cell r="N1741" t="str">
            <v>Unknown</v>
          </cell>
          <cell r="O1741" t="str">
            <v>none</v>
          </cell>
          <cell r="P1741" t="str">
            <v>種族なし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  <cell r="N1742" t="str">
            <v>Unknown</v>
          </cell>
          <cell r="O1742" t="str">
            <v>none</v>
          </cell>
          <cell r="P1742" t="str">
            <v>種族なし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  <cell r="N1743" t="str">
            <v>Unknown</v>
          </cell>
          <cell r="O1743" t="str">
            <v>none</v>
          </cell>
          <cell r="P1743" t="str">
            <v>種族なし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  <cell r="N1744" t="str">
            <v>Unknown</v>
          </cell>
          <cell r="O1744" t="str">
            <v>none</v>
          </cell>
          <cell r="P1744" t="str">
            <v>種族なし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  <cell r="N1745" t="str">
            <v>Unknown</v>
          </cell>
          <cell r="O1745" t="str">
            <v>none</v>
          </cell>
          <cell r="P1745" t="str">
            <v>種族なし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  <cell r="N1746" t="str">
            <v>Unknown</v>
          </cell>
          <cell r="O1746" t="str">
            <v>none</v>
          </cell>
          <cell r="P1746" t="str">
            <v>種族なし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  <cell r="N1747" t="str">
            <v>Unknown</v>
          </cell>
          <cell r="O1747" t="str">
            <v>none</v>
          </cell>
          <cell r="P1747" t="str">
            <v>種族なし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  <cell r="N1748" t="str">
            <v>Unknown</v>
          </cell>
          <cell r="O1748" t="str">
            <v>none</v>
          </cell>
          <cell r="P1748" t="str">
            <v>種族なし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  <cell r="N1749" t="str">
            <v>Unknown</v>
          </cell>
          <cell r="O1749" t="str">
            <v>none</v>
          </cell>
          <cell r="P1749" t="str">
            <v>種族なし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  <cell r="N1750" t="str">
            <v>Unknown</v>
          </cell>
          <cell r="O1750" t="str">
            <v>none</v>
          </cell>
          <cell r="P1750" t="str">
            <v>種族なし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  <cell r="N1751" t="str">
            <v>Unknown</v>
          </cell>
          <cell r="O1751" t="str">
            <v>none</v>
          </cell>
          <cell r="P1751" t="str">
            <v>種族なし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  <cell r="N1752" t="str">
            <v>Unknown</v>
          </cell>
          <cell r="O1752" t="str">
            <v>none</v>
          </cell>
          <cell r="P1752" t="str">
            <v>種族なし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  <cell r="N1753" t="str">
            <v>Unknown</v>
          </cell>
          <cell r="O1753" t="str">
            <v>none</v>
          </cell>
          <cell r="P1753" t="str">
            <v>種族なし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  <cell r="N1754" t="str">
            <v>Unknown</v>
          </cell>
          <cell r="O1754" t="str">
            <v>none</v>
          </cell>
          <cell r="P1754" t="str">
            <v>種族なし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  <cell r="N1755" t="str">
            <v>Unknown</v>
          </cell>
          <cell r="O1755" t="str">
            <v>none</v>
          </cell>
          <cell r="P1755" t="str">
            <v>種族なし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  <cell r="N1756" t="str">
            <v>Unknown</v>
          </cell>
          <cell r="O1756" t="str">
            <v>none</v>
          </cell>
          <cell r="P1756" t="str">
            <v>種族なし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  <cell r="N1757" t="str">
            <v>Unknown</v>
          </cell>
          <cell r="O1757" t="str">
            <v>none</v>
          </cell>
          <cell r="P1757" t="str">
            <v>種族なし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  <cell r="N1758" t="str">
            <v>Unknown</v>
          </cell>
          <cell r="O1758" t="str">
            <v>none</v>
          </cell>
          <cell r="P1758" t="str">
            <v>種族なし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  <cell r="N1759" t="str">
            <v>Unknown</v>
          </cell>
          <cell r="O1759" t="str">
            <v>none</v>
          </cell>
          <cell r="P1759" t="str">
            <v>種族なし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  <cell r="N1760" t="str">
            <v>Unknown</v>
          </cell>
          <cell r="O1760" t="str">
            <v>none</v>
          </cell>
          <cell r="P1760" t="str">
            <v>種族なし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  <cell r="N1761" t="str">
            <v>Unknown</v>
          </cell>
          <cell r="O1761" t="str">
            <v>none</v>
          </cell>
          <cell r="P1761" t="str">
            <v>種族なし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  <cell r="N1762" t="str">
            <v>Unknown</v>
          </cell>
          <cell r="O1762" t="str">
            <v>none</v>
          </cell>
          <cell r="P1762" t="str">
            <v>種族なし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  <cell r="N1763" t="str">
            <v>Unknown</v>
          </cell>
          <cell r="O1763" t="str">
            <v>none</v>
          </cell>
          <cell r="P1763" t="str">
            <v>種族なし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  <cell r="N1764" t="str">
            <v>Unknown</v>
          </cell>
          <cell r="O1764" t="str">
            <v>none</v>
          </cell>
          <cell r="P1764" t="str">
            <v>種族なし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  <cell r="N1765" t="str">
            <v>Unknown</v>
          </cell>
          <cell r="O1765" t="str">
            <v>none</v>
          </cell>
          <cell r="P1765" t="str">
            <v>種族なし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  <cell r="N1766" t="str">
            <v>Unknown</v>
          </cell>
          <cell r="O1766" t="str">
            <v>none</v>
          </cell>
          <cell r="P1766" t="str">
            <v>種族なし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  <cell r="N1767" t="str">
            <v>Unknown</v>
          </cell>
          <cell r="O1767" t="str">
            <v>none</v>
          </cell>
          <cell r="P1767" t="str">
            <v>種族なし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  <cell r="N1768" t="str">
            <v>Unknown</v>
          </cell>
          <cell r="O1768" t="str">
            <v>none</v>
          </cell>
          <cell r="P1768" t="str">
            <v>種族なし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  <cell r="N1769" t="str">
            <v>Unknown</v>
          </cell>
          <cell r="O1769" t="str">
            <v>none</v>
          </cell>
          <cell r="P1769" t="str">
            <v>種族なし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  <cell r="N1770" t="str">
            <v>Unknown</v>
          </cell>
          <cell r="O1770" t="str">
            <v>none</v>
          </cell>
          <cell r="P1770" t="str">
            <v>種族なし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  <cell r="N1771" t="str">
            <v>Unknown</v>
          </cell>
          <cell r="O1771" t="str">
            <v>none</v>
          </cell>
          <cell r="P1771" t="str">
            <v>種族なし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  <cell r="N1772" t="str">
            <v>Unknown</v>
          </cell>
          <cell r="O1772" t="str">
            <v>none</v>
          </cell>
          <cell r="P1772" t="str">
            <v>種族なし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  <cell r="N1773" t="str">
            <v>Unknown</v>
          </cell>
          <cell r="O1773" t="str">
            <v>none</v>
          </cell>
          <cell r="P1773" t="str">
            <v>種族なし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  <cell r="N1774" t="str">
            <v>Unknown</v>
          </cell>
          <cell r="O1774" t="str">
            <v>none</v>
          </cell>
          <cell r="P1774" t="str">
            <v>種族なし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  <cell r="N1775" t="str">
            <v>Unknown</v>
          </cell>
          <cell r="O1775" t="str">
            <v>none</v>
          </cell>
          <cell r="P1775" t="str">
            <v>種族なし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  <cell r="N1776" t="str">
            <v>Unknown</v>
          </cell>
          <cell r="O1776" t="str">
            <v>none</v>
          </cell>
          <cell r="P1776" t="str">
            <v>種族なし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  <cell r="N1777" t="str">
            <v>Unknown</v>
          </cell>
          <cell r="O1777" t="str">
            <v>none</v>
          </cell>
          <cell r="P1777" t="str">
            <v>種族なし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  <cell r="N1778" t="str">
            <v>Unknown</v>
          </cell>
          <cell r="O1778" t="str">
            <v>none</v>
          </cell>
          <cell r="P1778" t="str">
            <v>種族なし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  <cell r="N1779" t="str">
            <v>Unknown</v>
          </cell>
          <cell r="O1779" t="str">
            <v>none</v>
          </cell>
          <cell r="P1779" t="str">
            <v>種族なし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  <cell r="N1780" t="str">
            <v>Unknown</v>
          </cell>
          <cell r="O1780" t="str">
            <v>none</v>
          </cell>
          <cell r="P1780" t="str">
            <v>種族なし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  <cell r="N1781" t="str">
            <v>Unknown</v>
          </cell>
          <cell r="O1781" t="str">
            <v>none</v>
          </cell>
          <cell r="P1781" t="str">
            <v>種族なし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  <cell r="N1782" t="str">
            <v>Unknown</v>
          </cell>
          <cell r="O1782" t="str">
            <v>none</v>
          </cell>
          <cell r="P1782" t="str">
            <v>種族なし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  <cell r="N1783" t="str">
            <v>ヒューマン</v>
          </cell>
          <cell r="O1783" t="str">
            <v>none</v>
          </cell>
          <cell r="P1783" t="str">
            <v>種族なし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  <cell r="N1784" t="str">
            <v>デーモン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  <cell r="N1785" t="str">
            <v>Unknown</v>
          </cell>
          <cell r="O1785" t="str">
            <v>none</v>
          </cell>
          <cell r="P1785" t="str">
            <v>種族なし</v>
          </cell>
          <cell r="R1785">
            <v>1</v>
          </cell>
          <cell r="S1785" t="str">
            <v>NULL</v>
          </cell>
          <cell r="T1785" t="str">
            <v>super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  <cell r="N1786" t="str">
            <v>サムライ</v>
          </cell>
          <cell r="O1786" t="str">
            <v>none</v>
          </cell>
          <cell r="P1786" t="str">
            <v>種族なし</v>
          </cell>
          <cell r="R1786">
            <v>1</v>
          </cell>
          <cell r="S1786" t="str">
            <v>NULL</v>
          </cell>
          <cell r="T1786" t="str">
            <v>super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  <cell r="N1787" t="str">
            <v>ファンタジー</v>
          </cell>
          <cell r="O1787" t="str">
            <v>human</v>
          </cell>
          <cell r="P1787" t="str">
            <v>ヒューマン</v>
          </cell>
          <cell r="R1787">
            <v>1</v>
          </cell>
          <cell r="S1787" t="str">
            <v>NULL</v>
          </cell>
          <cell r="T1787" t="str">
            <v>super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  <cell r="N1788" t="str">
            <v>ヒューマン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super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red</v>
          </cell>
          <cell r="I1789">
            <v>6</v>
          </cell>
          <cell r="J1789" t="str">
            <v>DropWizSS</v>
          </cell>
          <cell r="K1789" t="str">
            <v>hp</v>
          </cell>
          <cell r="L1789" t="str">
            <v>体力タイプ</v>
          </cell>
          <cell r="M1789" t="str">
            <v>hero</v>
          </cell>
          <cell r="N1789" t="str">
            <v>ヒーロー</v>
          </cell>
          <cell r="O1789" t="str">
            <v>none</v>
          </cell>
          <cell r="P1789" t="str">
            <v>種族なし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red</v>
          </cell>
          <cell r="I1790">
            <v>6</v>
          </cell>
          <cell r="J1790" t="str">
            <v>DropWizSS</v>
          </cell>
          <cell r="K1790" t="str">
            <v>hp</v>
          </cell>
          <cell r="L1790" t="str">
            <v>体力タイプ</v>
          </cell>
          <cell r="M1790" t="str">
            <v>hero</v>
          </cell>
          <cell r="N1790" t="str">
            <v>ヒーロー</v>
          </cell>
          <cell r="O1790" t="str">
            <v>none</v>
          </cell>
          <cell r="P1790" t="str">
            <v>種族なし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DropWizSS</v>
          </cell>
          <cell r="K1791" t="str">
            <v>hp</v>
          </cell>
          <cell r="L1791" t="str">
            <v>体力タイプ</v>
          </cell>
          <cell r="M1791" t="str">
            <v>hero</v>
          </cell>
          <cell r="N1791" t="str">
            <v>ヒーロー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  <cell r="N1792" t="str">
            <v>ヒーロー</v>
          </cell>
          <cell r="O1792" t="str">
            <v>none</v>
          </cell>
          <cell r="P1792" t="str">
            <v>種族なし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  <cell r="N1793" t="str">
            <v>Unknown</v>
          </cell>
          <cell r="O1793" t="str">
            <v>none</v>
          </cell>
          <cell r="P1793" t="str">
            <v>種族なし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  <cell r="N1794" t="str">
            <v>Unknown</v>
          </cell>
          <cell r="O1794" t="str">
            <v>none</v>
          </cell>
          <cell r="P1794" t="str">
            <v>種族なし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  <cell r="N1795" t="str">
            <v>Unknown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  <cell r="N1796" t="str">
            <v>Unknown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  <cell r="N1797" t="str">
            <v>Unknown</v>
          </cell>
          <cell r="O1797" t="str">
            <v>none</v>
          </cell>
          <cell r="P1797" t="str">
            <v>種族なし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  <cell r="N1798" t="str">
            <v>Unknown</v>
          </cell>
          <cell r="O1798" t="str">
            <v>none</v>
          </cell>
          <cell r="P1798" t="str">
            <v>種族なし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  <cell r="N1803" t="str">
            <v>Unknown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  <cell r="N1804" t="str">
            <v>Unknown</v>
          </cell>
          <cell r="O1804" t="str">
            <v>none</v>
          </cell>
          <cell r="P1804" t="str">
            <v>種族なし</v>
          </cell>
          <cell r="R1804">
            <v>3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  <cell r="N1805" t="str">
            <v>QUEEN</v>
          </cell>
          <cell r="O1805" t="str">
            <v>demon</v>
          </cell>
          <cell r="P1805" t="str">
            <v>デーモン</v>
          </cell>
          <cell r="Q1805" t="str">
            <v>アタッカー</v>
          </cell>
          <cell r="R1805">
            <v>3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  <cell r="N1806" t="str">
            <v>QUEEN</v>
          </cell>
          <cell r="O1806" t="str">
            <v>demon</v>
          </cell>
          <cell r="P1806" t="str">
            <v>デーモン</v>
          </cell>
          <cell r="Q1806" t="str">
            <v>アタッカー</v>
          </cell>
          <cell r="R1806">
            <v>3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ターン経過 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700</v>
          </cell>
          <cell r="B133" t="str">
            <v>ja</v>
          </cell>
          <cell r="C133" t="str">
            <v>フロア 回復</v>
          </cell>
          <cell r="D133" t="str">
            <v>全フロアの1ターン目終了時にパーティの合計HPの20％を回復する</v>
          </cell>
        </row>
        <row r="134">
          <cell r="A134">
            <v>701</v>
          </cell>
          <cell r="B134" t="str">
            <v>ja</v>
          </cell>
          <cell r="C134" t="str">
            <v>フロア 防御力アップ</v>
          </cell>
          <cell r="D134" t="str">
            <v>全フロアの1ターン目終了時に全ユニットの防御力を1ターン400UP</v>
          </cell>
        </row>
        <row r="135">
          <cell r="A135">
            <v>702</v>
          </cell>
          <cell r="B135" t="str">
            <v>ja</v>
          </cell>
          <cell r="C135" t="str">
            <v>最終フロア時 HP回復</v>
          </cell>
          <cell r="D135" t="str">
            <v>最終フロア到達時にHPを100%回復する</v>
          </cell>
        </row>
        <row r="136">
          <cell r="A136">
            <v>800</v>
          </cell>
          <cell r="B136" t="str">
            <v>ja</v>
          </cell>
          <cell r="C136" t="str">
            <v>パネルブレイク30 攻撃力UP</v>
          </cell>
          <cell r="D136" t="str">
            <v>自身が先頭の時、1ターンの間に合計30個以上パネルを破壊した場合に攻撃力UP</v>
          </cell>
        </row>
        <row r="137">
          <cell r="A137">
            <v>801</v>
          </cell>
          <cell r="B137" t="str">
            <v>ja</v>
          </cell>
          <cell r="C137" t="str">
            <v>パネルブレイク30 回復力UP</v>
          </cell>
          <cell r="D137" t="str">
            <v>自身が先頭の時、1ターンの間に合計30個以上パネルを破壊した場合に回復力UP</v>
          </cell>
        </row>
        <row r="138">
          <cell r="A138">
            <v>802</v>
          </cell>
          <cell r="B138" t="str">
            <v>ja</v>
          </cell>
          <cell r="C138" t="str">
            <v>パネルブレイク30 防御力小UP</v>
          </cell>
          <cell r="D138" t="str">
            <v>自身が先頭の時、1ターンの間に合計30個以上パネルを破壊した場合に防御力小UP</v>
          </cell>
        </row>
        <row r="139">
          <cell r="A139">
            <v>803</v>
          </cell>
          <cell r="B139" t="str">
            <v>ja</v>
          </cell>
          <cell r="C139" t="str">
            <v>パネルブレイク30 防御力UP</v>
          </cell>
          <cell r="D139" t="str">
            <v>自身が先頭の時、1ターンの間に合計30個以上パネルを破壊した場合に防御力UP</v>
          </cell>
        </row>
        <row r="140">
          <cell r="A140">
            <v>804</v>
          </cell>
          <cell r="B140" t="str">
            <v>ja</v>
          </cell>
          <cell r="C140" t="str">
            <v>パネルブレイク30 防御力大UP</v>
          </cell>
          <cell r="D140" t="str">
            <v>自身が先頭の時、1ターンの間に合計30個以上パネルを破壊した場合に防御力大UP</v>
          </cell>
        </row>
        <row r="141">
          <cell r="A141">
            <v>805</v>
          </cell>
          <cell r="B141" t="str">
            <v>ja</v>
          </cell>
          <cell r="C141" t="str">
            <v>パネルブレイク30 防御力特大UP</v>
          </cell>
          <cell r="D141" t="str">
            <v>自身が先頭の時、1ターンの間に合計30個以上パネルを破壊した場合に防御力特大UP</v>
          </cell>
        </row>
        <row r="142">
          <cell r="A142">
            <v>806</v>
          </cell>
          <cell r="B142" t="str">
            <v>ja</v>
          </cell>
          <cell r="C142" t="str">
            <v>ボムブレイク10 防御力UP</v>
          </cell>
          <cell r="D142" t="str">
            <v>自身または味方が1ターンの間に合計10個以上ボムパネルを破壊した場合に防御力UP</v>
          </cell>
        </row>
        <row r="143">
          <cell r="A143">
            <v>807</v>
          </cell>
          <cell r="B143" t="str">
            <v>ja</v>
          </cell>
          <cell r="C143" t="str">
            <v>パネル18 破壊フィーバーゲージ上昇</v>
          </cell>
          <cell r="D143" t="str">
            <v>自身が先頭の時、1ターンの間に合計18個以上パネルを破壊した場合にフィーバーゲージ上昇</v>
          </cell>
        </row>
        <row r="144">
          <cell r="A144">
            <v>808</v>
          </cell>
          <cell r="B144" t="str">
            <v>ja</v>
          </cell>
          <cell r="C144" t="str">
            <v>パネルブレイク40 防御力UP</v>
          </cell>
          <cell r="D144" t="str">
            <v>自身が先頭の時、1ターンの間に合計40個以上パネルを破壊した場合に青属性ユニットの防御力を400UP</v>
          </cell>
        </row>
        <row r="145">
          <cell r="A145">
            <v>809</v>
          </cell>
          <cell r="B145" t="str">
            <v>ja</v>
          </cell>
          <cell r="C145" t="str">
            <v>パネルブレイク40 攻撃力UP</v>
          </cell>
          <cell r="D145" t="str">
            <v>自身が先頭の時、1ターンの間に合計40個以上パネルを破壊した場合に攻撃力UP</v>
          </cell>
        </row>
        <row r="146">
          <cell r="A146">
            <v>810</v>
          </cell>
          <cell r="B146" t="str">
            <v>ja</v>
          </cell>
          <cell r="C146" t="str">
            <v>パネルブレイク40 攻撃力小UP</v>
          </cell>
          <cell r="D146" t="str">
            <v>自身が先頭の時、1ターンの間に合計40個以上パネルを破壊した場合に攻撃力小UP</v>
          </cell>
        </row>
        <row r="147">
          <cell r="A147">
            <v>811</v>
          </cell>
          <cell r="B147" t="str">
            <v>ja</v>
          </cell>
          <cell r="C147" t="str">
            <v>パネルブレイク30 攻撃力小UP</v>
          </cell>
          <cell r="D147" t="str">
            <v>自身が先頭の時、1ターンの間に合計30個以上パネルを破壊した場合に攻撃力小UP</v>
          </cell>
        </row>
        <row r="148">
          <cell r="A148">
            <v>812</v>
          </cell>
          <cell r="B148" t="str">
            <v>ja</v>
          </cell>
          <cell r="C148" t="str">
            <v>パネルブレイク40 HP小回復</v>
          </cell>
          <cell r="D148" t="str">
            <v>自身が先頭の時、1ターンの間に合計40個以上パネルを破壊した場合にターン終了時HP小回復</v>
          </cell>
        </row>
        <row r="149">
          <cell r="A149">
            <v>813</v>
          </cell>
          <cell r="B149" t="str">
            <v>ja</v>
          </cell>
          <cell r="C149" t="str">
            <v>パネルブレイク100 攻撃力UP</v>
          </cell>
          <cell r="D149" t="str">
            <v>自身が先頭の時、1ターンの間に合計100個以上パネルを破壊した場合に攻撃力2140UP</v>
          </cell>
        </row>
        <row r="150">
          <cell r="A150">
            <v>814</v>
          </cell>
          <cell r="B150" t="str">
            <v>ja</v>
          </cell>
          <cell r="C150" t="str">
            <v>パネルブレイク50 タップ回数UP</v>
          </cell>
          <cell r="D150" t="str">
            <v>自身が先頭の時、1ターンの間に合計50個以上パネルを破壊した場合にタップ回数を1回増やす</v>
          </cell>
        </row>
        <row r="151">
          <cell r="A151">
            <v>815</v>
          </cell>
          <cell r="B151" t="str">
            <v>ja</v>
          </cell>
          <cell r="C151" t="str">
            <v>パネルブレイク50 HP回復</v>
          </cell>
          <cell r="D151" t="str">
            <v>自身が先頭の時、1ターンの間に合計50個以上パネルを破壊した場合にターン終了時HP回復</v>
          </cell>
        </row>
        <row r="152">
          <cell r="A152">
            <v>816</v>
          </cell>
          <cell r="B152" t="str">
            <v>ja</v>
          </cell>
          <cell r="C152" t="str">
            <v>ボムブレイク10 黄属性攻撃力UP</v>
          </cell>
          <cell r="D152" t="str">
            <v>自身または味方が1ターンの間に合計10個以上ボムパネルを破壊した場合に黄属性ユニットの攻撃力UP</v>
          </cell>
        </row>
        <row r="153">
          <cell r="A153">
            <v>817</v>
          </cell>
          <cell r="B153" t="str">
            <v>ja</v>
          </cell>
          <cell r="C153" t="str">
            <v>パネルブレイク50 生成短縮激烈</v>
          </cell>
          <cell r="D153" t="str">
            <v>自身が先頭の時、1ターンの間に合計50個以上パネルを破壊した場合にCパネル生成に必要なチェイン数を12短縮する</v>
          </cell>
        </row>
        <row r="154">
          <cell r="A154">
            <v>818</v>
          </cell>
          <cell r="B154" t="str">
            <v>ja</v>
          </cell>
          <cell r="C154" t="str">
            <v>パネルブレイク33 赤･緑属性防御UP</v>
          </cell>
          <cell r="D154" t="str">
            <v>自身が先頭の時、1ターンの間に合計33個以上パネルを破壊した場合に赤・緑属性の防御力を330UP</v>
          </cell>
        </row>
        <row r="155">
          <cell r="A155">
            <v>819</v>
          </cell>
          <cell r="B155" t="str">
            <v>ja</v>
          </cell>
          <cell r="C155" t="str">
            <v>パネルブレイク25 回復力UP</v>
          </cell>
          <cell r="D155" t="str">
            <v>自身が先頭の時、1ターンの間に合計25個以上パネルを破壊した場合に回復力UP</v>
          </cell>
        </row>
        <row r="156">
          <cell r="A156">
            <v>820</v>
          </cell>
          <cell r="B156" t="str">
            <v>ja</v>
          </cell>
          <cell r="C156" t="str">
            <v>パネルブレイク90 タップ回数UP</v>
          </cell>
          <cell r="D156" t="str">
            <v>自身が先頭の時、1ターンの間に合計90個以上パネルを破壊した場合にタップ回数を1回増やす</v>
          </cell>
        </row>
        <row r="157">
          <cell r="A157">
            <v>821</v>
          </cell>
          <cell r="B157" t="str">
            <v>ja</v>
          </cell>
          <cell r="C157" t="str">
            <v>パネルブレイク80 攻撃力特大UP</v>
          </cell>
          <cell r="D157" t="str">
            <v>自身が先頭の時、1ターンの間に合計80個以上パネルを破壊した場合に攻撃力特大UP</v>
          </cell>
        </row>
        <row r="158">
          <cell r="A158">
            <v>822</v>
          </cell>
          <cell r="B158" t="str">
            <v>ja</v>
          </cell>
          <cell r="C158" t="str">
            <v>パネルブレイク35 CP生成短縮(特大)</v>
          </cell>
          <cell r="D158" t="str">
            <v>自身または、味方が1ターンの間に合計35個以上パネルを破壊した場合に先頭ユニットのCパネル生成短縮(効果特大)(1ターンに1度だけ発動)</v>
          </cell>
        </row>
        <row r="159">
          <cell r="A159">
            <v>823</v>
          </cell>
          <cell r="B159" t="str">
            <v>ja</v>
          </cell>
          <cell r="C159" t="str">
            <v>パネルブレイク100 タップ回数UP</v>
          </cell>
          <cell r="D159" t="str">
            <v>自身が先頭の時、1ターンの間に合計100個以上パネルを破壊した場合にタップ回数を1回増やす</v>
          </cell>
        </row>
        <row r="160">
          <cell r="A160">
            <v>824</v>
          </cell>
          <cell r="B160" t="str">
            <v>ja</v>
          </cell>
          <cell r="C160" t="str">
            <v>パネルブレイク40 CP生成短縮(特大)</v>
          </cell>
          <cell r="D160" t="str">
            <v>自身または、味方が1ターンの間に合計40個以上パネル破壊した場合に先頭ユニットのCP生成短縮(特大)(1ターンに1度だけ発動)</v>
          </cell>
        </row>
        <row r="161">
          <cell r="A161">
            <v>825</v>
          </cell>
          <cell r="B161" t="str">
            <v>ja</v>
          </cell>
          <cell r="C161" t="str">
            <v>パネルブレイク60 HP回復</v>
          </cell>
          <cell r="D161" t="str">
            <v>自身が先頭の時、1ターンの間に合計60個以上パネルを破壊した場合にターン終了時、HP5000回復</v>
          </cell>
        </row>
        <row r="162">
          <cell r="A162">
            <v>826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自身が先頭の時、1ターンの間に合計60個以上パネルを破壊した場合にターン終了時HP4000回復</v>
          </cell>
        </row>
        <row r="163">
          <cell r="A163">
            <v>830</v>
          </cell>
          <cell r="B163" t="str">
            <v>ja</v>
          </cell>
          <cell r="C163" t="str">
            <v>パネルブレイク40 ウィルス解除</v>
          </cell>
          <cell r="D163" t="str">
            <v>自身または、味方が1ターンの間に合計40個以上パネル破壊した場合に全ユニットウィルス解除(1ターンに1度だけ発動)</v>
          </cell>
        </row>
        <row r="164">
          <cell r="A164">
            <v>831</v>
          </cell>
          <cell r="B164" t="str">
            <v>ja</v>
          </cell>
          <cell r="C164" t="str">
            <v>ボムブレイク10 赤属性防御力UP</v>
          </cell>
          <cell r="D164" t="str">
            <v>自身または味方が1ターンの間に合計10個以上ボムパネルを破壊した場合に赤属性ユニットの防御力UP</v>
          </cell>
        </row>
        <row r="165">
          <cell r="A165">
            <v>832</v>
          </cell>
          <cell r="B165" t="str">
            <v>ja</v>
          </cell>
          <cell r="C165" t="str">
            <v>パネルブレイク30 種族ヒューマン攻撃力UP</v>
          </cell>
          <cell r="D165" t="str">
            <v>自身が先頭の時、1ターンの間に合計30個以上パネルを破壊した場合に種族ヒューマンの攻撃力UP</v>
          </cell>
        </row>
        <row r="166">
          <cell r="A166">
            <v>833</v>
          </cell>
          <cell r="B166" t="str">
            <v>ja</v>
          </cell>
          <cell r="C166" t="str">
            <v>ボムブレイク12 HP回復</v>
          </cell>
          <cell r="D166" t="str">
            <v>自身または味方が1ターンの間に合計12個以上ボムパネルを破壊した場合にHP1200回復</v>
          </cell>
        </row>
        <row r="167">
          <cell r="A167">
            <v>834</v>
          </cell>
          <cell r="B167" t="str">
            <v>ja</v>
          </cell>
          <cell r="C167" t="str">
            <v>Cパネルブレイク12 タップ回数UP</v>
          </cell>
          <cell r="D167" t="str">
            <v>自身が先頭の時、1ターンの間に合計12個以上Cパネルを破壊した場合にタップ回数を1回増やす</v>
          </cell>
        </row>
        <row r="168">
          <cell r="A168">
            <v>900</v>
          </cell>
          <cell r="B168" t="str">
            <v>ja</v>
          </cell>
          <cell r="C168" t="str">
            <v>チェイン12 攻撃力UP</v>
          </cell>
          <cell r="D168" t="str">
            <v>自身が先頭の時、1タップで12個以上パネルを繋げた場合に攻撃力UP(1ターンに1度だけ発動)</v>
          </cell>
        </row>
        <row r="169">
          <cell r="A169">
            <v>901</v>
          </cell>
          <cell r="B169" t="str">
            <v>ja</v>
          </cell>
          <cell r="C169" t="str">
            <v>チェイン12 回復力UP</v>
          </cell>
          <cell r="D169" t="str">
            <v>自身が先頭の時、1タップで12個以上パネルを繋げた場合に回復力UP(1ターンに1度だけ発動)</v>
          </cell>
        </row>
        <row r="170">
          <cell r="A170">
            <v>902</v>
          </cell>
          <cell r="B170" t="str">
            <v>ja</v>
          </cell>
          <cell r="C170" t="str">
            <v>チェイン12 タップ回数UP</v>
          </cell>
          <cell r="D170" t="str">
            <v>自身が先頭の時、1タップで12個以上パネルを繋げた場合にタップ回数を1回増やす(1ターンに1度だけ発動)</v>
          </cell>
        </row>
        <row r="171">
          <cell r="A171">
            <v>903</v>
          </cell>
          <cell r="B171" t="str">
            <v>ja</v>
          </cell>
          <cell r="C171" t="str">
            <v>チェイン18 スキルゲージUP</v>
          </cell>
          <cell r="D171" t="str">
            <v>自身が先頭の時、1タップで18個以上パネルを繋げた場合に自身のスキルゲージを1増やす(1ターンに1度だけ発動)</v>
          </cell>
        </row>
        <row r="172">
          <cell r="A172">
            <v>904</v>
          </cell>
          <cell r="B172" t="str">
            <v>ja</v>
          </cell>
          <cell r="C172" t="str">
            <v>チェイン17 回復力UP</v>
          </cell>
          <cell r="D172" t="str">
            <v>自身が先頭の時、1タップで17個以上パネルを繋げた場合に自身の回復力を2017UP(1ターンに1度だけ発動)</v>
          </cell>
        </row>
        <row r="173">
          <cell r="A173">
            <v>905</v>
          </cell>
          <cell r="B173" t="str">
            <v>ja</v>
          </cell>
          <cell r="C173" t="str">
            <v>チェイン12 攻撃力小UP</v>
          </cell>
          <cell r="D173" t="str">
            <v>自身が先頭の時、1タップで12個以上パネルを繋げた場合に攻撃力小UP(1ターンに1度だけ発動)</v>
          </cell>
        </row>
        <row r="174">
          <cell r="A174">
            <v>906</v>
          </cell>
          <cell r="B174" t="str">
            <v>ja</v>
          </cell>
          <cell r="C174" t="str">
            <v>チェイン14 回復力小UP</v>
          </cell>
          <cell r="D174" t="str">
            <v>自身が先頭の時、1タップで14個以上パネルを繋げた場合に回復力小UP(1ターンに1度だけ発動)</v>
          </cell>
        </row>
        <row r="175">
          <cell r="A175">
            <v>907</v>
          </cell>
          <cell r="B175" t="str">
            <v>ja</v>
          </cell>
          <cell r="C175" t="str">
            <v>チェイン14 攻撃力UP</v>
          </cell>
          <cell r="D175" t="str">
            <v>自身が先頭の時、1タップで14個以上パネルを繋げた場合に攻撃力UP(1ターンに1度だけ発動)</v>
          </cell>
        </row>
        <row r="176">
          <cell r="A176">
            <v>908</v>
          </cell>
          <cell r="B176" t="str">
            <v>ja</v>
          </cell>
          <cell r="C176" t="str">
            <v>チェイン16 黄属性防御力UP</v>
          </cell>
          <cell r="D176" t="str">
            <v>自身が先頭の時、1タップで16個以上パネルを繋げた場合に黄属性ユニットの防御力UP(1ターンに1度だけ発動)</v>
          </cell>
        </row>
        <row r="177">
          <cell r="A177">
            <v>909</v>
          </cell>
          <cell r="B177" t="str">
            <v>ja</v>
          </cell>
          <cell r="C177" t="str">
            <v>チェイン30 Cパネル生成短縮(激烈)</v>
          </cell>
          <cell r="D177" t="str">
            <v>自身が先頭の時、1タップで30個以上パネルを繋げた場合にCパネル生成短縮(効果激烈)(1ターンに1度だけ発動)</v>
          </cell>
        </row>
        <row r="178">
          <cell r="A178">
            <v>910</v>
          </cell>
          <cell r="B178" t="str">
            <v>ja</v>
          </cell>
          <cell r="C178" t="str">
            <v>チェイン18 HP回復</v>
          </cell>
          <cell r="D178" t="str">
            <v>自身が先頭の時、1タップで18個以上パネルを繋げた場合にHPを2500回復(1ターンに1度だけ発動)</v>
          </cell>
        </row>
        <row r="179">
          <cell r="A179">
            <v>911</v>
          </cell>
          <cell r="B179" t="str">
            <v>ja</v>
          </cell>
          <cell r="C179" t="str">
            <v>チェイン24 ダメージ軽減</v>
          </cell>
          <cell r="D179" t="str">
            <v>自身が先頭の時、1タップで24個以上パネルを繋げた場合に敵からのダメージを15％軽減(1ターンに1度だけ発動)</v>
          </cell>
        </row>
        <row r="180">
          <cell r="A180">
            <v>912</v>
          </cell>
          <cell r="B180" t="str">
            <v>ja</v>
          </cell>
          <cell r="C180" t="str">
            <v>チェイン22 スキルゲージUP</v>
          </cell>
          <cell r="D180" t="str">
            <v>自身が先頭の時、1タップで22個以上パネルを繋げた場合に自身のスキルゲージを1増やす(1ターンに1度だけ発動)</v>
          </cell>
        </row>
        <row r="181">
          <cell r="A181">
            <v>913</v>
          </cell>
          <cell r="B181" t="str">
            <v>ja</v>
          </cell>
          <cell r="C181" t="str">
            <v>チェイン26 Cパネル生成短縮(特大)</v>
          </cell>
          <cell r="D181" t="str">
            <v>自身または、味方が1タップで26個以上パネルを繋げた場合に先頭ユニットのCパネル生成短縮(効果特大)(1ターンに1度だけ発動)</v>
          </cell>
        </row>
        <row r="182">
          <cell r="A182">
            <v>914</v>
          </cell>
          <cell r="B182" t="str">
            <v>ja</v>
          </cell>
          <cell r="C182" t="str">
            <v>チェイン14 スキルバインド解除</v>
          </cell>
          <cell r="D182" t="str">
            <v>自身が先頭の時、1タップで14個以上パネルを繋げた場合にスキルバインドを解除する</v>
          </cell>
        </row>
        <row r="183">
          <cell r="A183">
            <v>915</v>
          </cell>
          <cell r="B183" t="str">
            <v>ja</v>
          </cell>
          <cell r="C183" t="str">
            <v>チェイン16 スキルゲージUP</v>
          </cell>
          <cell r="D183" t="str">
            <v>自身が先頭の時、1タップで16個以上パネルを繋げた場合に自身のスキルゲージを1増やす(1ターンに1度だけ発動)</v>
          </cell>
        </row>
        <row r="184">
          <cell r="A184">
            <v>916</v>
          </cell>
          <cell r="B184" t="str">
            <v>ja</v>
          </cell>
          <cell r="C184" t="str">
            <v>チェイン14 黄属性防御力UP</v>
          </cell>
          <cell r="D184" t="str">
            <v>自身が先頭の時、1タップで14個以上パネルを繋げた場合に黄属性ユニットの防御力UP(1ターンに1度だけ発動)</v>
          </cell>
        </row>
        <row r="185">
          <cell r="A185">
            <v>917</v>
          </cell>
          <cell r="B185" t="str">
            <v>ja</v>
          </cell>
          <cell r="C185" t="str">
            <v>チェイン18 HP回復</v>
          </cell>
          <cell r="D185" t="str">
            <v>自身が先頭の時、1タップで18個以上パネルを繋げた場合にHPを1500回復(1ターンに1度だけ発動)</v>
          </cell>
        </row>
        <row r="186">
          <cell r="A186">
            <v>918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1000</v>
          </cell>
          <cell r="B187" t="str">
            <v>ja</v>
          </cell>
          <cell r="C187" t="str">
            <v>対種族ヒューマン 超大カウンター</v>
          </cell>
          <cell r="D187" t="str">
            <v>敵に種族ヒューマンがいる場合、自身に超大カウンター</v>
          </cell>
        </row>
        <row r="188">
          <cell r="A188">
            <v>1100</v>
          </cell>
          <cell r="B188" t="str">
            <v>ja</v>
          </cell>
          <cell r="C188" t="str">
            <v>Cパネル生成短縮</v>
          </cell>
          <cell r="D188" t="str">
            <v>自身が先頭の時、Cパネル生成に必要なチェイン数を1短縮する</v>
          </cell>
        </row>
        <row r="189">
          <cell r="A189">
            <v>1101</v>
          </cell>
          <cell r="B189" t="str">
            <v>ja</v>
          </cell>
          <cell r="C189" t="str">
            <v>Cパネル生成短縮(大)</v>
          </cell>
          <cell r="D189" t="str">
            <v>自身が先頭の時、Cパネル生成に必要なチェイン数を2短縮する</v>
          </cell>
        </row>
        <row r="190">
          <cell r="A190">
            <v>1200</v>
          </cell>
          <cell r="B190" t="str">
            <v>ja</v>
          </cell>
          <cell r="C190" t="str">
            <v>フィーバー攻撃UP</v>
          </cell>
          <cell r="D190" t="str">
            <v>自身が先頭の時、フィーバー発動時に緑属性の攻撃力と回復力UP</v>
          </cell>
        </row>
        <row r="191">
          <cell r="A191">
            <v>1300</v>
          </cell>
          <cell r="B191" t="str">
            <v>ja</v>
          </cell>
          <cell r="C191" t="str">
            <v>チェイン12 HP回復</v>
          </cell>
          <cell r="D191" t="str">
            <v>自身が先頭の時、1タップで12個以上パネルを繋げた場合にHPを2000回復(1ターンに1度だけ発動)</v>
          </cell>
        </row>
        <row r="192">
          <cell r="A192">
            <v>1400</v>
          </cell>
          <cell r="B192" t="str">
            <v>ja</v>
          </cell>
          <cell r="C192" t="str">
            <v>カウンター威力UP</v>
          </cell>
          <cell r="D192" t="str">
            <v>4ターン毎に自身のカウンタースキルの威力が1ターンの間UP</v>
          </cell>
        </row>
        <row r="193">
          <cell r="A193">
            <v>1500</v>
          </cell>
          <cell r="B193" t="str">
            <v>ja</v>
          </cell>
          <cell r="C193" t="str">
            <v>バリア15000</v>
          </cell>
          <cell r="D193" t="str">
            <v>戦闘開始時に、自身への直接ダメージを15000まで防ぐバリアを一度だけ展開(バリアは破壊されると復活しない)</v>
          </cell>
        </row>
        <row r="194">
          <cell r="A194">
            <v>1501</v>
          </cell>
          <cell r="B194" t="str">
            <v>ja</v>
          </cell>
          <cell r="C194" t="str">
            <v>バリア</v>
          </cell>
          <cell r="D194" t="str">
            <v>戦闘開始時に、ダメージを25000まで防ぐバリアを一度だけ展開</v>
          </cell>
        </row>
        <row r="195">
          <cell r="A195">
            <v>1502</v>
          </cell>
          <cell r="B195" t="str">
            <v>ja</v>
          </cell>
          <cell r="C195" t="str">
            <v>バリア</v>
          </cell>
          <cell r="D195" t="str">
            <v>戦闘開始時に、ダメージを50000まで防ぐバリアを一度だけ展開</v>
          </cell>
        </row>
        <row r="196">
          <cell r="A196">
            <v>1503</v>
          </cell>
          <cell r="B196" t="str">
            <v>ja</v>
          </cell>
          <cell r="C196" t="str">
            <v>バリア8000</v>
          </cell>
          <cell r="D196" t="str">
            <v>戦闘開始時に、自身への直接ダメージを8000まで防ぐバリアを一度だけ展開(バリアは破壊されると復活しない)</v>
          </cell>
        </row>
        <row r="197">
          <cell r="A197">
            <v>1504</v>
          </cell>
          <cell r="B197" t="str">
            <v>ja</v>
          </cell>
          <cell r="C197" t="str">
            <v>バリア10000</v>
          </cell>
          <cell r="D197" t="str">
            <v>戦闘開始時に、自身への直接ダメージを10000まで防ぐバリアを一度だけ展開(バリアは破壊されると復活しない)</v>
          </cell>
        </row>
        <row r="198">
          <cell r="A198">
            <v>1505</v>
          </cell>
          <cell r="B198" t="str">
            <v>ja</v>
          </cell>
          <cell r="C198" t="str">
            <v>バリア3939</v>
          </cell>
          <cell r="D198" t="str">
            <v>戦闘開始時に、自身への直接ダメージを3939まで防ぐバリアを一度だけ展開(バリアは破壊されると復活しない)</v>
          </cell>
        </row>
        <row r="199">
          <cell r="A199">
            <v>1506</v>
          </cell>
          <cell r="B199" t="str">
            <v>ja</v>
          </cell>
          <cell r="C199" t="str">
            <v>バリア5000</v>
          </cell>
          <cell r="D199" t="str">
            <v>戦闘開始時に、自身への直接ダメージを5000まで防ぐバリアを一度だけ展開(バリアは破壊されると復活しない)</v>
          </cell>
        </row>
        <row r="200">
          <cell r="A200">
            <v>1600</v>
          </cell>
          <cell r="B200" t="str">
            <v>ja</v>
          </cell>
          <cell r="C200" t="str">
            <v>攻撃力・回復力UP</v>
          </cell>
          <cell r="D200" t="str">
            <v>自身の攻撃力と回復力をUP</v>
          </cell>
        </row>
        <row r="201">
          <cell r="A201">
            <v>1700</v>
          </cell>
          <cell r="B201" t="str">
            <v>ja</v>
          </cell>
          <cell r="C201" t="str">
            <v>パネルブレイク30 ターンHP小回復</v>
          </cell>
          <cell r="D201" t="str">
            <v>自身が先頭の時、1ターンの間に合計30個以上パネルを破壊した場合に1ターン HP小回復</v>
          </cell>
        </row>
        <row r="202">
          <cell r="A202">
            <v>1701</v>
          </cell>
          <cell r="B202" t="str">
            <v>ja</v>
          </cell>
          <cell r="C202" t="str">
            <v>ターン終了時HP回復</v>
          </cell>
          <cell r="D202" t="str">
            <v>最初の1ターン目と、その後5ターン毎のターン終了時、HPを2500回復する</v>
          </cell>
        </row>
        <row r="203">
          <cell r="A203">
            <v>1702</v>
          </cell>
          <cell r="B203" t="str">
            <v>ja</v>
          </cell>
          <cell r="C203" t="str">
            <v>ターン経過攻撃力UP</v>
          </cell>
          <cell r="D203" t="str">
            <v>最初の1ターン目と、その後6ターン毎に1ターン種族ドラゴン・ファンタジー・アニマルの攻撃力を1000UP</v>
          </cell>
        </row>
        <row r="204">
          <cell r="A204">
            <v>1800</v>
          </cell>
          <cell r="B204" t="str">
            <v>ja</v>
          </cell>
          <cell r="C204" t="str">
            <v>フィーバー強化</v>
          </cell>
          <cell r="D204" t="str">
            <v>フィーバー時自身の攻撃力、回復力を特大UP</v>
          </cell>
        </row>
        <row r="205">
          <cell r="A205">
            <v>1900</v>
          </cell>
          <cell r="B205" t="str">
            <v>ja</v>
          </cell>
          <cell r="C205" t="str">
            <v>ハート出現率UP</v>
          </cell>
          <cell r="D205" t="str">
            <v>自身が先頭の時、ハートパネルの出現率UP</v>
          </cell>
        </row>
        <row r="206">
          <cell r="A206">
            <v>2000</v>
          </cell>
          <cell r="B206" t="str">
            <v>ja</v>
          </cell>
          <cell r="C206" t="str">
            <v>赤パネル出現率UP</v>
          </cell>
          <cell r="D206" t="str">
            <v>自身が先頭の時、赤パネルの出現率UP</v>
          </cell>
        </row>
        <row r="207">
          <cell r="A207">
            <v>2100</v>
          </cell>
          <cell r="B207" t="str">
            <v>ja</v>
          </cell>
          <cell r="C207" t="str">
            <v>緑パネル出現率UP</v>
          </cell>
          <cell r="D207" t="str">
            <v>自身が先頭の時、緑パネルの出現率UP</v>
          </cell>
        </row>
        <row r="208">
          <cell r="A208">
            <v>2101</v>
          </cell>
          <cell r="B208" t="str">
            <v>ja</v>
          </cell>
          <cell r="C208" t="str">
            <v>緑パネル出現率UP</v>
          </cell>
          <cell r="D208" t="str">
            <v>自身が先頭の時、緑パネルの出現率UP</v>
          </cell>
        </row>
        <row r="209">
          <cell r="A209">
            <v>2200</v>
          </cell>
          <cell r="B209" t="str">
            <v>ja</v>
          </cell>
          <cell r="C209" t="str">
            <v>青パネル出現率UP</v>
          </cell>
          <cell r="D209" t="str">
            <v>自身が先頭の時、青パネルの出現率UP</v>
          </cell>
        </row>
        <row r="210">
          <cell r="A210">
            <v>2201</v>
          </cell>
          <cell r="B210" t="str">
            <v>ja</v>
          </cell>
          <cell r="C210" t="str">
            <v>青パネル出現率UP</v>
          </cell>
          <cell r="D210" t="str">
            <v>自身が先頭の時、青パネルの出現率UP</v>
          </cell>
        </row>
        <row r="211">
          <cell r="A211">
            <v>2300</v>
          </cell>
          <cell r="B211" t="str">
            <v>ja</v>
          </cell>
          <cell r="C211" t="str">
            <v>黄パネル出現率UP</v>
          </cell>
          <cell r="D211" t="str">
            <v>自身が先頭の時、黄パネルの出現率UP</v>
          </cell>
        </row>
        <row r="212">
          <cell r="A212">
            <v>2400</v>
          </cell>
          <cell r="B212" t="str">
            <v>ja</v>
          </cell>
          <cell r="C212" t="str">
            <v>ハートボムパネルドロップ</v>
          </cell>
          <cell r="D212" t="str">
            <v>自身が先頭の時、ハートパネルを確率でハートボムパネルに変換しドロップ</v>
          </cell>
        </row>
        <row r="213">
          <cell r="A213">
            <v>2401</v>
          </cell>
          <cell r="B213" t="str">
            <v>ja</v>
          </cell>
          <cell r="C213" t="str">
            <v>赤ボムパネルドロップ</v>
          </cell>
          <cell r="D213" t="str">
            <v>自身が先頭の時、赤パネルを低確率で赤ボムパネルに変換しドロップ</v>
          </cell>
        </row>
        <row r="214">
          <cell r="A214">
            <v>2402</v>
          </cell>
          <cell r="B214" t="str">
            <v>ja</v>
          </cell>
          <cell r="C214" t="str">
            <v>緑ボムパネルドロップ</v>
          </cell>
          <cell r="D214" t="str">
            <v>自身が先頭の時、緑パネルを低確率で緑ボムパネルに変換しドロップ</v>
          </cell>
        </row>
        <row r="215">
          <cell r="A215">
            <v>2403</v>
          </cell>
          <cell r="B215" t="str">
            <v>ja</v>
          </cell>
          <cell r="C215" t="str">
            <v>青ボムパネルドロップ</v>
          </cell>
          <cell r="D215" t="str">
            <v>自身が先頭の時、青パネルを確率で青ボムパネルに変換しドロップ</v>
          </cell>
        </row>
        <row r="216">
          <cell r="A216">
            <v>2500</v>
          </cell>
          <cell r="B216" t="str">
            <v>ja</v>
          </cell>
          <cell r="C216" t="str">
            <v>青パネルドロップ</v>
          </cell>
          <cell r="D216" t="str">
            <v>自身が先頭の時、緑パネルを確率で青パネルに変換しドロップ</v>
          </cell>
        </row>
        <row r="217">
          <cell r="A217">
            <v>2501</v>
          </cell>
          <cell r="B217" t="str">
            <v>ja</v>
          </cell>
          <cell r="C217" t="str">
            <v>黄パネルドロップ</v>
          </cell>
          <cell r="D217" t="str">
            <v>自身が先頭の時、青パネルを確率で黄パネルに変換しドロップ</v>
          </cell>
        </row>
        <row r="218">
          <cell r="A218">
            <v>2502</v>
          </cell>
          <cell r="B218" t="str">
            <v>ja</v>
          </cell>
          <cell r="C218" t="str">
            <v>赤パネルドロップ</v>
          </cell>
          <cell r="D218" t="str">
            <v>自身が先頭の時、黄パネルを確率で赤パネルに変換しドロップ</v>
          </cell>
        </row>
        <row r="219">
          <cell r="A219">
            <v>2503</v>
          </cell>
          <cell r="B219" t="str">
            <v>ja</v>
          </cell>
          <cell r="C219" t="str">
            <v>黄パネルドロップ</v>
          </cell>
          <cell r="D219" t="str">
            <v>自身が先頭の時、赤パネルを確率で黄パネルに変換しドロップ</v>
          </cell>
        </row>
        <row r="220">
          <cell r="A220">
            <v>2504</v>
          </cell>
          <cell r="B220" t="str">
            <v>ja</v>
          </cell>
          <cell r="C220" t="str">
            <v>SCパネルドロップ</v>
          </cell>
          <cell r="D220" t="str">
            <v>自身が先頭の時、緑パネルを確率でSCパネルに変換しドロップ</v>
          </cell>
        </row>
        <row r="221">
          <cell r="A221">
            <v>2505</v>
          </cell>
          <cell r="B221" t="str">
            <v>ja</v>
          </cell>
          <cell r="C221" t="str">
            <v>緑ボムパネル(大)ドロップ</v>
          </cell>
          <cell r="D221" t="str">
            <v>自身が先頭の時、低確率で緑ボムパネル(大)をドロップ</v>
          </cell>
        </row>
        <row r="222">
          <cell r="A222">
            <v>2506</v>
          </cell>
          <cell r="B222" t="str">
            <v>ja</v>
          </cell>
          <cell r="C222" t="str">
            <v>ハートボムパネル(大)ドロップ</v>
          </cell>
          <cell r="D222" t="str">
            <v>自身が先頭の時、低確率でハートボムパネル(大)をドロップ</v>
          </cell>
        </row>
        <row r="223">
          <cell r="A223">
            <v>2507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2508</v>
          </cell>
          <cell r="B224" t="str">
            <v>ja</v>
          </cell>
          <cell r="C224" t="str">
            <v>黄パネルドロップ</v>
          </cell>
          <cell r="D224" t="str">
            <v>自身が先頭の時、緑パネルを確率で黄パネルに変換しドロップ</v>
          </cell>
        </row>
        <row r="225">
          <cell r="A225">
            <v>2509</v>
          </cell>
          <cell r="B225" t="str">
            <v>ja</v>
          </cell>
          <cell r="C225" t="str">
            <v>赤ボムパネル(大)ドロップ</v>
          </cell>
          <cell r="D225" t="str">
            <v>自身が先頭の時、低確率で赤ボムパネル(大)をドロップ</v>
          </cell>
        </row>
        <row r="226">
          <cell r="A226">
            <v>2510</v>
          </cell>
          <cell r="B226" t="str">
            <v>ja</v>
          </cell>
          <cell r="C226" t="str">
            <v>青ボムパネル(大)ドロップ</v>
          </cell>
          <cell r="D226" t="str">
            <v>自身が先頭の時、低確率で青ボムパネル(大)をドロップ</v>
          </cell>
        </row>
        <row r="227">
          <cell r="A227">
            <v>2511</v>
          </cell>
          <cell r="B227" t="str">
            <v>ja</v>
          </cell>
          <cell r="C227" t="str">
            <v>緑ボムパネルドロップ</v>
          </cell>
          <cell r="D227" t="str">
            <v>自身が先頭の時、ハートパネルを確率で緑ボムパネルに変換しドロップ</v>
          </cell>
        </row>
        <row r="228">
          <cell r="A228">
            <v>2512</v>
          </cell>
          <cell r="B228" t="str">
            <v>ja</v>
          </cell>
          <cell r="C228" t="str">
            <v>ハートボムパネル(大)ドロップ</v>
          </cell>
          <cell r="D228" t="str">
            <v>自身が先頭の時、低確率でハートボムパネル(大)をドロップ</v>
          </cell>
        </row>
        <row r="229">
          <cell r="A229">
            <v>2513</v>
          </cell>
          <cell r="B229" t="str">
            <v>ja</v>
          </cell>
          <cell r="C229" t="str">
            <v>緑ボムパネル(大)ドロップ</v>
          </cell>
          <cell r="D229" t="str">
            <v>自身が先頭の時、低確率で緑ボムパネル(大)をドロップ</v>
          </cell>
        </row>
        <row r="230">
          <cell r="A230">
            <v>2514</v>
          </cell>
          <cell r="B230" t="str">
            <v>ja</v>
          </cell>
          <cell r="C230" t="str">
            <v>赤ボムパネルドロップ</v>
          </cell>
          <cell r="D230" t="str">
            <v>自身が先頭の時、青パネルを低確率で赤ボムパネルに変換しドロップ</v>
          </cell>
        </row>
        <row r="231">
          <cell r="A231">
            <v>2600</v>
          </cell>
          <cell r="B231" t="str">
            <v>ja</v>
          </cell>
          <cell r="C231" t="str">
            <v>回復力400UP</v>
          </cell>
          <cell r="D231" t="str">
            <v>自身の回復力を400UP</v>
          </cell>
        </row>
        <row r="232">
          <cell r="A232">
            <v>2601</v>
          </cell>
          <cell r="B232" t="str">
            <v>ja</v>
          </cell>
          <cell r="C232" t="str">
            <v>回復力300UP</v>
          </cell>
          <cell r="D232" t="str">
            <v>自身の回復力を300UP</v>
          </cell>
        </row>
        <row r="233">
          <cell r="A233">
            <v>2700</v>
          </cell>
          <cell r="B233" t="str">
            <v>ja</v>
          </cell>
          <cell r="C233" t="str">
            <v>攻撃力UP</v>
          </cell>
          <cell r="D233" t="str">
            <v>自身の攻撃力を300UP</v>
          </cell>
        </row>
        <row r="234">
          <cell r="A234">
            <v>2701</v>
          </cell>
          <cell r="B234" t="str">
            <v>ja</v>
          </cell>
          <cell r="C234" t="str">
            <v>攻撃力UP</v>
          </cell>
          <cell r="D234" t="str">
            <v>自身の攻撃力を500UP</v>
          </cell>
        </row>
        <row r="235">
          <cell r="A235">
            <v>2800</v>
          </cell>
          <cell r="B235" t="str">
            <v>ja</v>
          </cell>
          <cell r="C235" t="str">
            <v>防御力UP</v>
          </cell>
          <cell r="D235" t="str">
            <v>自身の防御力を250UP</v>
          </cell>
        </row>
        <row r="236">
          <cell r="A236">
            <v>2801</v>
          </cell>
          <cell r="B236" t="str">
            <v>ja</v>
          </cell>
          <cell r="C236" t="str">
            <v>防御力UP</v>
          </cell>
          <cell r="D236" t="str">
            <v>自身の防御力を350UP</v>
          </cell>
        </row>
        <row r="237">
          <cell r="A237">
            <v>2802</v>
          </cell>
          <cell r="B237" t="str">
            <v>ja</v>
          </cell>
          <cell r="C237" t="str">
            <v>防御力UP</v>
          </cell>
          <cell r="D237" t="str">
            <v>自身の防御力を300UP</v>
          </cell>
        </row>
        <row r="238">
          <cell r="A238">
            <v>2803</v>
          </cell>
          <cell r="B238" t="str">
            <v>ja</v>
          </cell>
          <cell r="C238" t="str">
            <v>防御力UP</v>
          </cell>
          <cell r="D238" t="str">
            <v>自身の防御力を400UP</v>
          </cell>
        </row>
        <row r="239">
          <cell r="A239">
            <v>2804</v>
          </cell>
          <cell r="B239" t="str">
            <v>ja</v>
          </cell>
          <cell r="C239" t="str">
            <v>防御力UP</v>
          </cell>
          <cell r="D239" t="str">
            <v>自身の防御力を280UP</v>
          </cell>
        </row>
        <row r="240">
          <cell r="A240">
            <v>2805</v>
          </cell>
          <cell r="B240" t="str">
            <v>ja</v>
          </cell>
          <cell r="C240" t="str">
            <v>ターン防御力UP</v>
          </cell>
          <cell r="D240" t="str">
            <v>最初の1ターン目と、その後3ターン毎に1ターン緑属性ユニットの防御力を500UP</v>
          </cell>
        </row>
        <row r="241">
          <cell r="A241">
            <v>2900</v>
          </cell>
          <cell r="B241" t="str">
            <v>ja</v>
          </cell>
          <cell r="C241" t="str">
            <v>フィーバー50 攻撃力小UP</v>
          </cell>
          <cell r="D241" t="str">
            <v>フィーバーゲージが50％以上の時、自身の攻撃力小UP</v>
          </cell>
        </row>
        <row r="242">
          <cell r="A242">
            <v>2901</v>
          </cell>
          <cell r="B242" t="str">
            <v>ja</v>
          </cell>
          <cell r="C242" t="str">
            <v>フィーバー40 攻撃力UP</v>
          </cell>
          <cell r="D242" t="str">
            <v>フィーバーゲージが40％以上の時、自身の攻撃力UP</v>
          </cell>
        </row>
        <row r="243">
          <cell r="A243">
            <v>2902</v>
          </cell>
          <cell r="B243" t="str">
            <v>ja</v>
          </cell>
          <cell r="C243" t="str">
            <v>フィーバー80 攻撃力大UP</v>
          </cell>
          <cell r="D243" t="str">
            <v>フィーバーゲージが80％以上の時、自身の攻撃力大UP</v>
          </cell>
        </row>
        <row r="244">
          <cell r="A244">
            <v>2903</v>
          </cell>
          <cell r="B244" t="str">
            <v>ja</v>
          </cell>
          <cell r="C244" t="str">
            <v>フィーバー100 攻撃参加</v>
          </cell>
          <cell r="D244" t="str">
            <v>フィーバーゲージが100％の時、自身が先頭以外でも通常攻撃に参加する</v>
          </cell>
        </row>
        <row r="245">
          <cell r="A245">
            <v>2904</v>
          </cell>
          <cell r="B245" t="str">
            <v>ja</v>
          </cell>
          <cell r="C245" t="str">
            <v>フィーバー70 HP回復</v>
          </cell>
          <cell r="D245" t="str">
            <v>フィーバーゲージが70%以上の時、毎ターン終了時、HPを1500回復する</v>
          </cell>
        </row>
        <row r="246">
          <cell r="A246">
            <v>3000</v>
          </cell>
          <cell r="B246" t="str">
            <v>ja</v>
          </cell>
          <cell r="C246" t="str">
            <v>攻撃参加</v>
          </cell>
          <cell r="D246" t="str">
            <v>最初の1ターン目と、その後7ターン毎に自身が先頭以外でも通常攻撃に参加する</v>
          </cell>
        </row>
        <row r="247">
          <cell r="A247">
            <v>3001</v>
          </cell>
          <cell r="B247" t="str">
            <v>ja</v>
          </cell>
          <cell r="C247" t="str">
            <v>攻撃参加</v>
          </cell>
          <cell r="D247" t="str">
            <v>最初の1ターン目と、その後6ターン毎に自身が先頭以外でも通常攻撃に参加する</v>
          </cell>
        </row>
        <row r="248">
          <cell r="A248">
            <v>3002</v>
          </cell>
          <cell r="B248" t="str">
            <v>ja</v>
          </cell>
          <cell r="C248" t="str">
            <v>攻撃参加</v>
          </cell>
          <cell r="D248" t="str">
            <v>最初の1ターン目と、その後9ターン毎に自身が先頭以外でも通常攻撃に参加する</v>
          </cell>
        </row>
        <row r="249">
          <cell r="A249">
            <v>3100</v>
          </cell>
          <cell r="B249" t="str">
            <v>ja</v>
          </cell>
          <cell r="C249" t="str">
            <v>最終フロア Cパネル生成短縮(特大)</v>
          </cell>
          <cell r="D249" t="str">
            <v>最終フロア内で自身が先頭の時、Cパネル生成に必要なチェイン数を短縮する</v>
          </cell>
        </row>
        <row r="250">
          <cell r="A250">
            <v>3101</v>
          </cell>
          <cell r="B250" t="str">
            <v>ja</v>
          </cell>
          <cell r="C250" t="str">
            <v>ボスフロア時 バリア3000</v>
          </cell>
          <cell r="D250" t="str">
            <v>ボスフロア到達時に自身への直接ダメージを3000まで防ぐバリアを一度だけ展開(バリアは破壊されると復活しない)</v>
          </cell>
        </row>
        <row r="251">
          <cell r="A251">
            <v>3102</v>
          </cell>
          <cell r="B251" t="str">
            <v>ja</v>
          </cell>
          <cell r="C251" t="str">
            <v>ボスフロア時 Cスキル威力UP</v>
          </cell>
          <cell r="D251" t="str">
            <v>ボスフロアの1ターン目終了時に自身のCスキルの威力をUP</v>
          </cell>
        </row>
        <row r="252">
          <cell r="A252">
            <v>3103</v>
          </cell>
          <cell r="B252" t="str">
            <v>ja</v>
          </cell>
          <cell r="C252" t="str">
            <v>ボスフロア 攻撃力UP</v>
          </cell>
          <cell r="D252" t="str">
            <v>ボスフロア内で自身の攻撃力を700UP</v>
          </cell>
        </row>
        <row r="253">
          <cell r="A253">
            <v>3104</v>
          </cell>
          <cell r="B253" t="str">
            <v>ja</v>
          </cell>
          <cell r="C253" t="str">
            <v>ボスフロア時 バリア5000</v>
          </cell>
          <cell r="D253" t="str">
            <v>ボスフロア到達時に自身への直接ダメージを5000まで防ぐバリアを一度だけ展開(バリアは破壊されると復活しない)</v>
          </cell>
        </row>
        <row r="254">
          <cell r="A254">
            <v>3105</v>
          </cell>
          <cell r="B254" t="str">
            <v>ja</v>
          </cell>
          <cell r="C254" t="str">
            <v>ボスフロア時 バリア7000</v>
          </cell>
          <cell r="D254" t="str">
            <v>ボスフロア到達時に自身への直接ダメージを7000まで防ぐバリアを一度だけ展開(バリアは破壊されると復活しない)</v>
          </cell>
        </row>
        <row r="255">
          <cell r="A255">
            <v>3200</v>
          </cell>
          <cell r="B255" t="str">
            <v>ja</v>
          </cell>
          <cell r="C255" t="str">
            <v>HP33%以下 攻撃力UP</v>
          </cell>
          <cell r="D255" t="str">
            <v>自身が先頭の時、残りHPが33%以下で攻撃力特大UP</v>
          </cell>
        </row>
        <row r="256">
          <cell r="A256">
            <v>3201</v>
          </cell>
          <cell r="B256" t="str">
            <v>ja</v>
          </cell>
          <cell r="C256" t="str">
            <v>HP35%以下 回復力UP</v>
          </cell>
          <cell r="D256" t="str">
            <v>自身が先頭の時、残りHPが35%以下で回復力40%UP</v>
          </cell>
        </row>
        <row r="257">
          <cell r="A257">
            <v>3202</v>
          </cell>
          <cell r="B257" t="str">
            <v>ja</v>
          </cell>
          <cell r="C257" t="str">
            <v>HP90%以上 全属性耐性15</v>
          </cell>
          <cell r="D257" t="str">
            <v>自身が先頭の時、残りHPが90%以上で全ユニットに対する全属性の敵からの攻撃を15％軽減</v>
          </cell>
        </row>
        <row r="258">
          <cell r="A258">
            <v>3203</v>
          </cell>
          <cell r="B258" t="str">
            <v>ja</v>
          </cell>
          <cell r="C258" t="str">
            <v>HP50%以下 防御力UP</v>
          </cell>
          <cell r="D258" t="str">
            <v>自身が先頭の時、残りHPが50%以下で防御力398UP</v>
          </cell>
        </row>
        <row r="259">
          <cell r="A259">
            <v>3204</v>
          </cell>
          <cell r="B259" t="str">
            <v>ja</v>
          </cell>
          <cell r="C259" t="str">
            <v>HP30%以下 攻撃力大UP</v>
          </cell>
          <cell r="D259" t="str">
            <v>自身が先頭の時、残りHPが30%以下で攻撃力大UP</v>
          </cell>
        </row>
        <row r="260">
          <cell r="A260">
            <v>3205</v>
          </cell>
          <cell r="B260" t="str">
            <v>ja</v>
          </cell>
          <cell r="C260" t="str">
            <v>HP90%以上 ダメージ軽減</v>
          </cell>
          <cell r="D260" t="str">
            <v>残りHPが90%以上の時、全ユニットが敵からの攻撃を15％軽減</v>
          </cell>
        </row>
        <row r="261">
          <cell r="A261">
            <v>4000</v>
          </cell>
          <cell r="B261" t="str">
            <v>ja</v>
          </cell>
          <cell r="C261" t="str">
            <v>被ダメージ時 HP回復</v>
          </cell>
          <cell r="D261" t="str">
            <v>自身が攻撃を受けた場合、次のターンの開始時にHP500回復する</v>
          </cell>
        </row>
        <row r="262">
          <cell r="A262">
            <v>8000</v>
          </cell>
          <cell r="B262" t="str">
            <v>ja</v>
          </cell>
          <cell r="C262" t="str">
            <v>ユニットが一番右にいるとき 攻撃力UP</v>
          </cell>
          <cell r="D262" t="str">
            <v>自身が一番右にいる場合、全ユニットの攻撃力UP</v>
          </cell>
        </row>
        <row r="263">
          <cell r="A263">
            <v>8001</v>
          </cell>
          <cell r="B263" t="str">
            <v>ja</v>
          </cell>
          <cell r="C263" t="str">
            <v>敵に青属性がいる場合 小カウンター</v>
          </cell>
          <cell r="D263" t="str">
            <v>敵に青属性がいる場合、小カウンター</v>
          </cell>
        </row>
        <row r="264">
          <cell r="A264">
            <v>8002</v>
          </cell>
          <cell r="B264" t="str">
            <v>ja</v>
          </cell>
          <cell r="C264" t="str">
            <v>テスト</v>
          </cell>
          <cell r="D264" t="str">
            <v>フロアスタート時、1ターン全ユニットの攻撃力UP</v>
          </cell>
        </row>
        <row r="265">
          <cell r="A265">
            <v>8003</v>
          </cell>
          <cell r="B265" t="str">
            <v>ja</v>
          </cell>
          <cell r="C265" t="str">
            <v>HP70%以上 ウィルス無効</v>
          </cell>
          <cell r="D265" t="str">
            <v>残りHPが70%以上で自身にかかるウィルスを無効化する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119402</v>
          </cell>
          <cell r="B277" t="str">
            <v>ja</v>
          </cell>
          <cell r="C277" t="str">
            <v>ハロウィンナイトパニック！ 威力UP</v>
          </cell>
          <cell r="D277" t="str">
            <v>ハロウィンナイトパニック！内で自身の全ての攻撃の威力を究極UP</v>
          </cell>
        </row>
        <row r="278">
          <cell r="A278">
            <v>500801</v>
          </cell>
          <cell r="B278" t="str">
            <v>ja</v>
          </cell>
          <cell r="C278" t="str">
            <v>パネルブレイク35 攻撃力小UP</v>
          </cell>
          <cell r="D278" t="str">
            <v>自身が先頭の時、1ターンの間に合計35個以上パネルを破壊した場合に攻撃力小UP</v>
          </cell>
        </row>
        <row r="279">
          <cell r="A279">
            <v>808082</v>
          </cell>
          <cell r="B279" t="str">
            <v>ja</v>
          </cell>
          <cell r="C279" t="str">
            <v>Cパネルドロップ</v>
          </cell>
          <cell r="D279" t="str">
            <v>自身が先頭の時、低確率でCパネルをドロップ</v>
          </cell>
        </row>
        <row r="280">
          <cell r="A280">
            <v>900000</v>
          </cell>
          <cell r="B280" t="str">
            <v>ja</v>
          </cell>
          <cell r="C280" t="str">
            <v>フィーバー100 プロテクトブレイク</v>
          </cell>
          <cell r="D280" t="str">
            <v>フィーバーゲージが100％以上の時、1ターンプロテクトブレイク</v>
          </cell>
        </row>
        <row r="281">
          <cell r="A281">
            <v>900001</v>
          </cell>
          <cell r="B281" t="str">
            <v>ja</v>
          </cell>
          <cell r="C281" t="str">
            <v>フィーバー100 お邪魔ブレイク</v>
          </cell>
          <cell r="D281" t="str">
            <v>フィーバーゲージが100％以上の時、1ターンお邪魔ブレイク</v>
          </cell>
        </row>
        <row r="282">
          <cell r="A282">
            <v>900402</v>
          </cell>
          <cell r="B282" t="str">
            <v>ja</v>
          </cell>
          <cell r="C282" t="str">
            <v>バリア3500</v>
          </cell>
          <cell r="D282" t="str">
            <v>戦闘開始時に、自身への直接ダメージを3500まで防ぐバリアを一度だけ展開(バリアは破壊されると復活しない)</v>
          </cell>
        </row>
        <row r="283">
          <cell r="A283">
            <v>810202</v>
          </cell>
          <cell r="B283" t="str">
            <v>ja</v>
          </cell>
          <cell r="C283" t="str">
            <v>パネルブレイク50 ダメージ軽減</v>
          </cell>
          <cell r="D283" t="str">
            <v>自身が先頭の時、1ターンの間に合計50個以上パネルを破壊した場合敵からのダメージを15%軽減（1ターンに1度だけ発動）</v>
          </cell>
        </row>
        <row r="284">
          <cell r="A284">
            <v>811802</v>
          </cell>
          <cell r="B284" t="str">
            <v>ja</v>
          </cell>
          <cell r="C284" t="str">
            <v>ターン攻撃力UP</v>
          </cell>
          <cell r="D284" t="str">
            <v>最初の1ターン目と、その後6ターン毎に1ターン種族ドラゴン・ファンタジー・アニマルの攻撃力1000UP</v>
          </cell>
        </row>
        <row r="285">
          <cell r="A285">
            <v>812002</v>
          </cell>
          <cell r="B285" t="str">
            <v>ja</v>
          </cell>
          <cell r="C285" t="str">
            <v>ターンタップ増加</v>
          </cell>
          <cell r="D285" t="str">
            <v>最初の1ターン目と、その後6ターン毎に1ターン種族ドラゴン・ファンタジー・アニマルのタップ数1増加</v>
          </cell>
        </row>
        <row r="286">
          <cell r="A286">
            <v>811803</v>
          </cell>
          <cell r="B286" t="str">
            <v>ja</v>
          </cell>
          <cell r="C286" t="str">
            <v>端午クエスト ダメージUP</v>
          </cell>
          <cell r="D286" t="str">
            <v>端午クエスト内で自身の全ての攻撃の威力をUP</v>
          </cell>
        </row>
        <row r="287">
          <cell r="A287">
            <v>900802</v>
          </cell>
          <cell r="B287" t="str">
            <v>ja</v>
          </cell>
          <cell r="C287" t="str">
            <v>ターン攻撃力UP</v>
          </cell>
          <cell r="D287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F18" sqref="F18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1" t="s">
        <v>125</v>
      </c>
      <c r="B1" s="101" t="s">
        <v>116</v>
      </c>
      <c r="C1" s="101" t="s">
        <v>117</v>
      </c>
      <c r="D1" s="101" t="s">
        <v>118</v>
      </c>
      <c r="E1" s="101" t="s">
        <v>119</v>
      </c>
      <c r="F1" s="101" t="s">
        <v>120</v>
      </c>
      <c r="G1" s="101" t="s">
        <v>121</v>
      </c>
      <c r="H1" s="101"/>
      <c r="I1" s="101"/>
      <c r="J1" s="101"/>
      <c r="K1" s="101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</row>
    <row r="2" spans="1:29" x14ac:dyDescent="0.15">
      <c r="A2" s="103" t="s">
        <v>324</v>
      </c>
      <c r="B2" s="103" t="s">
        <v>129</v>
      </c>
      <c r="C2" s="161" t="s">
        <v>352</v>
      </c>
      <c r="D2" s="103" t="s">
        <v>128</v>
      </c>
      <c r="E2" s="102" t="str">
        <f>B2&amp;C2&amp;D2</f>
        <v>units_kor01.tmp</v>
      </c>
      <c r="F2" s="103" t="s">
        <v>124</v>
      </c>
      <c r="G2" s="58" t="s">
        <v>17</v>
      </c>
      <c r="H2" s="59" t="s">
        <v>96</v>
      </c>
      <c r="I2" s="59" t="s">
        <v>1</v>
      </c>
      <c r="J2" s="59" t="s">
        <v>3</v>
      </c>
      <c r="K2" s="59" t="s">
        <v>2</v>
      </c>
      <c r="L2" s="59" t="s">
        <v>98</v>
      </c>
      <c r="M2" s="59" t="s">
        <v>20</v>
      </c>
      <c r="N2" s="59" t="s">
        <v>103</v>
      </c>
      <c r="O2" s="59" t="s">
        <v>101</v>
      </c>
      <c r="P2" s="59" t="s">
        <v>39</v>
      </c>
      <c r="Q2" s="59" t="s">
        <v>57</v>
      </c>
      <c r="R2" s="59" t="s">
        <v>326</v>
      </c>
      <c r="S2" s="103"/>
      <c r="T2" s="103"/>
      <c r="U2" s="103"/>
      <c r="V2" s="103"/>
      <c r="W2" s="103"/>
    </row>
    <row r="3" spans="1:29" x14ac:dyDescent="0.15">
      <c r="A3" s="103" t="s">
        <v>324</v>
      </c>
      <c r="B3" s="103" t="s">
        <v>290</v>
      </c>
      <c r="C3" s="222" t="str">
        <f>C2</f>
        <v>kor01</v>
      </c>
      <c r="D3" s="103" t="s">
        <v>128</v>
      </c>
      <c r="E3" s="102" t="str">
        <f>B3&amp;C3&amp;D3</f>
        <v>fork_awake_units_kor01.tmp</v>
      </c>
      <c r="F3" s="103" t="s">
        <v>291</v>
      </c>
      <c r="G3" s="58" t="s">
        <v>17</v>
      </c>
      <c r="H3" s="59" t="s">
        <v>292</v>
      </c>
      <c r="I3" s="59" t="s">
        <v>293</v>
      </c>
      <c r="J3" s="59" t="s">
        <v>294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</row>
    <row r="4" spans="1:29" x14ac:dyDescent="0.15">
      <c r="A4" s="103" t="s">
        <v>325</v>
      </c>
      <c r="B4" s="103" t="s">
        <v>130</v>
      </c>
      <c r="C4" s="222" t="str">
        <f t="shared" ref="C4:C15" si="0">C3</f>
        <v>kor01</v>
      </c>
      <c r="D4" s="103" t="s">
        <v>128</v>
      </c>
      <c r="E4" s="102" t="str">
        <f>B4&amp;C4&amp;D4</f>
        <v>awake_materials_kor01.tmp</v>
      </c>
      <c r="F4" s="103" t="s">
        <v>123</v>
      </c>
      <c r="G4" s="104" t="s">
        <v>38</v>
      </c>
      <c r="H4" s="105" t="s">
        <v>36</v>
      </c>
      <c r="I4" s="105" t="s">
        <v>37</v>
      </c>
      <c r="J4" s="107" t="s">
        <v>126</v>
      </c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</row>
    <row r="5" spans="1:29" x14ac:dyDescent="0.15">
      <c r="A5" s="103" t="s">
        <v>324</v>
      </c>
      <c r="B5" s="103" t="s">
        <v>289</v>
      </c>
      <c r="C5" s="222" t="str">
        <f t="shared" si="0"/>
        <v>kor01</v>
      </c>
      <c r="D5" s="103" t="s">
        <v>128</v>
      </c>
      <c r="E5" s="102" t="str">
        <f>B5&amp;C5&amp;D5</f>
        <v>fork_awake_materials_kor01.tmp</v>
      </c>
      <c r="F5" s="103" t="s">
        <v>123</v>
      </c>
      <c r="G5" s="177" t="s">
        <v>295</v>
      </c>
      <c r="H5" s="177" t="s">
        <v>296</v>
      </c>
      <c r="I5" s="177" t="s">
        <v>36</v>
      </c>
      <c r="J5" s="177" t="s">
        <v>37</v>
      </c>
      <c r="K5" s="177" t="s">
        <v>297</v>
      </c>
      <c r="L5" s="177" t="s">
        <v>298</v>
      </c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</row>
    <row r="6" spans="1:29" x14ac:dyDescent="0.15">
      <c r="A6" s="103" t="s">
        <v>324</v>
      </c>
      <c r="B6" s="103" t="s">
        <v>131</v>
      </c>
      <c r="C6" s="222" t="str">
        <f t="shared" si="0"/>
        <v>kor01</v>
      </c>
      <c r="D6" s="103" t="s">
        <v>132</v>
      </c>
      <c r="E6" s="102" t="str">
        <f t="shared" ref="E6" si="1">B6&amp;C6&amp;D6</f>
        <v>unit_levels_calc_kor01.tmp</v>
      </c>
      <c r="F6" s="103" t="s">
        <v>122</v>
      </c>
      <c r="G6" s="54" t="s">
        <v>17</v>
      </c>
      <c r="H6" s="55" t="s">
        <v>2</v>
      </c>
      <c r="I6" s="56" t="s">
        <v>79</v>
      </c>
      <c r="J6" s="56" t="s">
        <v>80</v>
      </c>
      <c r="K6" s="56" t="s">
        <v>81</v>
      </c>
      <c r="L6" s="56" t="s">
        <v>82</v>
      </c>
      <c r="M6" s="56" t="s">
        <v>87</v>
      </c>
      <c r="N6" s="56" t="s">
        <v>88</v>
      </c>
      <c r="O6" s="56" t="s">
        <v>89</v>
      </c>
      <c r="P6" s="56" t="s">
        <v>90</v>
      </c>
      <c r="Q6" s="56" t="s">
        <v>91</v>
      </c>
      <c r="R6" s="56" t="s">
        <v>94</v>
      </c>
      <c r="S6" s="56" t="s">
        <v>92</v>
      </c>
      <c r="T6" s="56" t="s">
        <v>93</v>
      </c>
      <c r="U6" s="56" t="s">
        <v>83</v>
      </c>
      <c r="V6" s="56" t="s">
        <v>84</v>
      </c>
      <c r="W6" s="56" t="s">
        <v>85</v>
      </c>
    </row>
    <row r="7" spans="1:29" x14ac:dyDescent="0.15">
      <c r="A7" s="103" t="s">
        <v>324</v>
      </c>
      <c r="B7" s="103" t="s">
        <v>143</v>
      </c>
      <c r="C7" s="222" t="str">
        <f t="shared" si="0"/>
        <v>kor01</v>
      </c>
      <c r="D7" s="103" t="s">
        <v>144</v>
      </c>
      <c r="E7" s="102" t="str">
        <f>B7&amp;C7&amp;D7</f>
        <v>unit_skills_data_kor01.tmp</v>
      </c>
      <c r="F7" s="103" t="s">
        <v>145</v>
      </c>
      <c r="G7" s="111" t="s">
        <v>20</v>
      </c>
      <c r="H7" s="111" t="s">
        <v>146</v>
      </c>
      <c r="I7" s="111" t="s">
        <v>2</v>
      </c>
      <c r="J7" s="111" t="s">
        <v>147</v>
      </c>
      <c r="K7" s="111" t="s">
        <v>148</v>
      </c>
      <c r="L7" s="111" t="s">
        <v>4</v>
      </c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</row>
    <row r="8" spans="1:29" x14ac:dyDescent="0.15">
      <c r="A8" s="103" t="s">
        <v>324</v>
      </c>
      <c r="B8" s="103" t="s">
        <v>149</v>
      </c>
      <c r="C8" s="222" t="str">
        <f t="shared" si="0"/>
        <v>kor01</v>
      </c>
      <c r="D8" s="103" t="s">
        <v>128</v>
      </c>
      <c r="E8" s="102" t="str">
        <f>B8&amp;C8&amp;D8</f>
        <v>unit_skills_i18n_kor01.tmp</v>
      </c>
      <c r="F8" s="103" t="s">
        <v>145</v>
      </c>
      <c r="G8" s="111" t="s">
        <v>150</v>
      </c>
      <c r="H8" s="111" t="s">
        <v>134</v>
      </c>
      <c r="I8" s="111" t="s">
        <v>151</v>
      </c>
      <c r="J8" s="111" t="s">
        <v>152</v>
      </c>
      <c r="K8" s="106"/>
      <c r="L8" s="10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</row>
    <row r="9" spans="1:29" x14ac:dyDescent="0.15">
      <c r="A9" s="103" t="s">
        <v>324</v>
      </c>
      <c r="B9" s="103" t="s">
        <v>153</v>
      </c>
      <c r="C9" s="222" t="str">
        <f t="shared" si="0"/>
        <v>kor01</v>
      </c>
      <c r="D9" s="103" t="s">
        <v>154</v>
      </c>
      <c r="E9" s="102" t="str">
        <f>B9&amp;C9&amp;D9</f>
        <v>crash_skills_data_kor01.tmp</v>
      </c>
      <c r="F9" s="103" t="s">
        <v>155</v>
      </c>
      <c r="G9" s="111" t="s">
        <v>156</v>
      </c>
      <c r="H9" s="111" t="s">
        <v>148</v>
      </c>
      <c r="I9" s="111" t="s">
        <v>4</v>
      </c>
      <c r="J9" s="106"/>
      <c r="K9" s="106"/>
      <c r="L9" s="10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</row>
    <row r="10" spans="1:29" x14ac:dyDescent="0.15">
      <c r="A10" s="103" t="s">
        <v>324</v>
      </c>
      <c r="B10" s="103" t="s">
        <v>157</v>
      </c>
      <c r="C10" s="222" t="str">
        <f t="shared" si="0"/>
        <v>kor01</v>
      </c>
      <c r="D10" s="103" t="s">
        <v>158</v>
      </c>
      <c r="E10" s="102" t="str">
        <f t="shared" ref="E10" si="2">B10&amp;C10&amp;D10</f>
        <v>crash_skills_i18n_kor01.tmp</v>
      </c>
      <c r="F10" s="103" t="s">
        <v>155</v>
      </c>
      <c r="G10" s="111" t="s">
        <v>159</v>
      </c>
      <c r="H10" s="111" t="s">
        <v>160</v>
      </c>
      <c r="I10" s="111" t="s">
        <v>161</v>
      </c>
      <c r="J10" s="111" t="s">
        <v>162</v>
      </c>
      <c r="K10" s="112"/>
      <c r="L10" s="112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29" x14ac:dyDescent="0.15">
      <c r="A11" s="103" t="s">
        <v>324</v>
      </c>
      <c r="B11" s="106" t="s">
        <v>135</v>
      </c>
      <c r="C11" s="222" t="str">
        <f t="shared" si="0"/>
        <v>kor01</v>
      </c>
      <c r="D11" s="103" t="s">
        <v>158</v>
      </c>
      <c r="E11" s="102" t="str">
        <f t="shared" ref="E11:E12" si="3">B11&amp;C11&amp;D11</f>
        <v>unit_serifs_data_kor01.tmp</v>
      </c>
      <c r="F11" s="106" t="s">
        <v>137</v>
      </c>
      <c r="G11" s="110" t="s">
        <v>138</v>
      </c>
      <c r="H11" s="111" t="s">
        <v>139</v>
      </c>
      <c r="I11" s="111" t="s">
        <v>133</v>
      </c>
      <c r="J11" s="109" t="s">
        <v>188</v>
      </c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</row>
    <row r="12" spans="1:29" x14ac:dyDescent="0.15">
      <c r="A12" s="103" t="s">
        <v>324</v>
      </c>
      <c r="B12" s="106" t="s">
        <v>136</v>
      </c>
      <c r="C12" s="222" t="str">
        <f t="shared" si="0"/>
        <v>kor01</v>
      </c>
      <c r="D12" s="103" t="s">
        <v>158</v>
      </c>
      <c r="E12" s="102" t="str">
        <f t="shared" si="3"/>
        <v>unit_serifs_i18n_kor01.tmp</v>
      </c>
      <c r="F12" s="106" t="s">
        <v>137</v>
      </c>
      <c r="G12" s="110" t="s">
        <v>140</v>
      </c>
      <c r="H12" s="111" t="s">
        <v>141</v>
      </c>
      <c r="I12" s="111" t="s">
        <v>142</v>
      </c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</row>
    <row r="13" spans="1:29" x14ac:dyDescent="0.15">
      <c r="A13" s="103" t="s">
        <v>324</v>
      </c>
      <c r="B13" s="103" t="s">
        <v>249</v>
      </c>
      <c r="C13" s="222" t="str">
        <f t="shared" si="0"/>
        <v>kor01</v>
      </c>
      <c r="D13" s="103" t="s">
        <v>250</v>
      </c>
      <c r="E13" s="102" t="str">
        <f>B13&amp;C13&amp;D13</f>
        <v>abilities_kor01.tmp</v>
      </c>
      <c r="F13" s="103" t="s">
        <v>251</v>
      </c>
      <c r="G13" s="162" t="s">
        <v>252</v>
      </c>
      <c r="H13" s="162" t="s">
        <v>253</v>
      </c>
      <c r="I13" s="162" t="s">
        <v>254</v>
      </c>
      <c r="J13" s="162"/>
      <c r="K13" s="16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</row>
    <row r="14" spans="1:29" x14ac:dyDescent="0.15">
      <c r="A14" s="103" t="s">
        <v>324</v>
      </c>
      <c r="B14" s="103" t="s">
        <v>255</v>
      </c>
      <c r="C14" s="222" t="str">
        <f t="shared" si="0"/>
        <v>kor01</v>
      </c>
      <c r="D14" s="103" t="s">
        <v>128</v>
      </c>
      <c r="E14" s="102" t="str">
        <f>B14&amp;C14&amp;D14</f>
        <v>abilities_i18n_kor01.tmp</v>
      </c>
      <c r="F14" s="103" t="s">
        <v>256</v>
      </c>
      <c r="G14" s="162" t="s">
        <v>252</v>
      </c>
      <c r="H14" s="162" t="s">
        <v>141</v>
      </c>
      <c r="I14" s="162" t="s">
        <v>257</v>
      </c>
      <c r="J14" s="162" t="s">
        <v>152</v>
      </c>
      <c r="K14" s="16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</row>
    <row r="15" spans="1:29" x14ac:dyDescent="0.15">
      <c r="A15" s="103" t="s">
        <v>324</v>
      </c>
      <c r="B15" s="103" t="s">
        <v>258</v>
      </c>
      <c r="C15" s="222" t="str">
        <f t="shared" si="0"/>
        <v>kor01</v>
      </c>
      <c r="D15" s="103" t="s">
        <v>128</v>
      </c>
      <c r="E15" s="102" t="str">
        <f>B15&amp;C15&amp;D15</f>
        <v>unit_abilities_kor01.tmp</v>
      </c>
      <c r="F15" s="103" t="s">
        <v>259</v>
      </c>
      <c r="G15" s="162" t="s">
        <v>138</v>
      </c>
      <c r="H15" s="164" t="s">
        <v>260</v>
      </c>
      <c r="I15" s="164" t="s">
        <v>261</v>
      </c>
      <c r="J15" s="165" t="s">
        <v>262</v>
      </c>
      <c r="K15" s="162" t="s">
        <v>263</v>
      </c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9"/>
  <sheetViews>
    <sheetView showGridLines="0" workbookViewId="0">
      <pane xSplit="9" ySplit="1" topLeftCell="AV2" activePane="bottomRight" state="frozen"/>
      <selection pane="topRight" activeCell="J1" sqref="J1"/>
      <selection pane="bottomLeft" activeCell="A3" sqref="A3"/>
      <selection pane="bottomRight" activeCell="X9" sqref="X9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hidden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1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70" width="13.5" style="12" bestFit="1" customWidth="1"/>
    <col min="71" max="16384" width="8.83203125" style="12"/>
  </cols>
  <sheetData>
    <row r="1" spans="1:70" ht="21" customHeight="1" x14ac:dyDescent="0.15">
      <c r="A1" s="75" t="s">
        <v>108</v>
      </c>
      <c r="B1" s="77" t="s">
        <v>44</v>
      </c>
      <c r="C1" s="80" t="s">
        <v>27</v>
      </c>
      <c r="D1" s="80" t="s">
        <v>30</v>
      </c>
      <c r="E1" s="80" t="s">
        <v>28</v>
      </c>
      <c r="F1" s="80" t="s">
        <v>29</v>
      </c>
      <c r="G1" s="75" t="s">
        <v>1</v>
      </c>
      <c r="H1" s="78" t="s">
        <v>19</v>
      </c>
      <c r="I1" s="79" t="s">
        <v>0</v>
      </c>
      <c r="J1" s="81" t="s">
        <v>49</v>
      </c>
      <c r="K1" s="81" t="s">
        <v>48</v>
      </c>
      <c r="L1" s="81" t="s">
        <v>50</v>
      </c>
      <c r="M1" s="81" t="s">
        <v>51</v>
      </c>
      <c r="N1" s="75" t="s">
        <v>3</v>
      </c>
      <c r="O1" s="82" t="s">
        <v>2</v>
      </c>
      <c r="P1" s="75" t="s">
        <v>97</v>
      </c>
      <c r="Q1" s="83" t="s">
        <v>18</v>
      </c>
      <c r="R1" s="74" t="s">
        <v>52</v>
      </c>
      <c r="S1" s="84" t="s">
        <v>23</v>
      </c>
      <c r="T1" s="84" t="s">
        <v>24</v>
      </c>
      <c r="U1" s="84" t="s">
        <v>26</v>
      </c>
      <c r="V1" s="84" t="s">
        <v>25</v>
      </c>
      <c r="W1" s="79" t="s">
        <v>32</v>
      </c>
      <c r="X1" s="80" t="s">
        <v>53</v>
      </c>
      <c r="Y1" s="79" t="s">
        <v>33</v>
      </c>
      <c r="Z1" s="80" t="s">
        <v>53</v>
      </c>
      <c r="AA1" s="81" t="s">
        <v>23</v>
      </c>
      <c r="AB1" s="81" t="s">
        <v>24</v>
      </c>
      <c r="AC1" s="81" t="s">
        <v>26</v>
      </c>
      <c r="AD1" s="81" t="s">
        <v>25</v>
      </c>
      <c r="AE1" s="85" t="s">
        <v>100</v>
      </c>
      <c r="AF1" s="74" t="s">
        <v>45</v>
      </c>
      <c r="AG1" s="86" t="s">
        <v>58</v>
      </c>
      <c r="AH1" s="74" t="s">
        <v>45</v>
      </c>
      <c r="AI1" s="86" t="s">
        <v>46</v>
      </c>
      <c r="AJ1" s="76" t="s">
        <v>67</v>
      </c>
      <c r="AK1" s="74" t="s">
        <v>21</v>
      </c>
      <c r="AL1" s="87" t="s">
        <v>68</v>
      </c>
      <c r="AM1" s="88" t="s">
        <v>66</v>
      </c>
      <c r="AN1" s="88" t="s">
        <v>69</v>
      </c>
      <c r="AO1" s="89" t="s">
        <v>31</v>
      </c>
      <c r="AP1" s="85" t="s">
        <v>20</v>
      </c>
      <c r="AQ1" s="90" t="s">
        <v>113</v>
      </c>
      <c r="AR1" s="90" t="s">
        <v>107</v>
      </c>
      <c r="AS1" s="74" t="s">
        <v>104</v>
      </c>
      <c r="AT1" s="85" t="s">
        <v>102</v>
      </c>
      <c r="AU1" s="74" t="s">
        <v>110</v>
      </c>
      <c r="AV1" s="90" t="s">
        <v>107</v>
      </c>
      <c r="AW1" s="74" t="s">
        <v>104</v>
      </c>
      <c r="AX1" s="80" t="s">
        <v>4</v>
      </c>
      <c r="AY1" s="91" t="s">
        <v>54</v>
      </c>
      <c r="AZ1" s="91" t="s">
        <v>55</v>
      </c>
      <c r="BA1" s="91" t="s">
        <v>114</v>
      </c>
      <c r="BB1" s="91" t="s">
        <v>56</v>
      </c>
      <c r="BC1" s="5" t="s">
        <v>22</v>
      </c>
      <c r="BD1" s="94" t="s">
        <v>34</v>
      </c>
      <c r="BE1" s="92" t="s">
        <v>5</v>
      </c>
      <c r="BF1" s="93" t="s">
        <v>6</v>
      </c>
      <c r="BG1" s="95" t="s">
        <v>70</v>
      </c>
      <c r="BH1" s="95" t="s">
        <v>71</v>
      </c>
      <c r="BI1" s="95" t="s">
        <v>72</v>
      </c>
      <c r="BJ1" s="95" t="s">
        <v>73</v>
      </c>
      <c r="BK1" s="96" t="s">
        <v>74</v>
      </c>
      <c r="BL1" s="96" t="s">
        <v>95</v>
      </c>
      <c r="BM1" s="96" t="s">
        <v>75</v>
      </c>
      <c r="BN1" s="96" t="s">
        <v>76</v>
      </c>
      <c r="BO1" s="97" t="s">
        <v>77</v>
      </c>
      <c r="BP1" s="98" t="s">
        <v>78</v>
      </c>
      <c r="BQ1" s="98" t="s">
        <v>86</v>
      </c>
      <c r="BR1" s="98" t="s">
        <v>326</v>
      </c>
    </row>
    <row r="2" spans="1:70" ht="26" customHeight="1" x14ac:dyDescent="0.15">
      <c r="A2" s="10">
        <v>9001</v>
      </c>
      <c r="B2" s="179" t="str">
        <f ca="1">VLOOKUP($A2,OFFSET([1]characters!$A$1,0,0,COUNTA([1]characters!$A:$A),MATCH(B$1,[1]characters!$1:$1,0)-MATCH($A$1,[1]characters!$1:$1,0)+1),MATCH(B$1,[1]characters!$1:$1,0)-MATCH($A$1,[1]characters!$1:$1,0)+1,FALSE)</f>
        <v>春香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ポムポムプリン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INDEX(コスト!$A$1:$I$21,MATCH(H2,コスト!$A$1:$A$21,FALSE),MATCH(G2,コスト!$A$1:$I$1,FALSE))</f>
        <v>38</v>
      </c>
      <c r="O2" s="11">
        <f ca="1">INDEX(レベル!$A$1:$I$22,MATCH(H2,レベル!$A$1:$A$22,FALSE),MATCH(G2,レベル!$A$1:$I$1,FALSE))</f>
        <v>80</v>
      </c>
      <c r="P2" s="43">
        <f t="shared" ref="P2:P5" ca="1" si="0">IF(G2 &gt;= 6, 99,G2*15)</f>
        <v>75</v>
      </c>
      <c r="Q2" s="52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2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2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 t="s">
        <v>183</v>
      </c>
      <c r="AF2" s="57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229">
        <v>9001</v>
      </c>
      <c r="AH2" s="57" t="str">
        <f ca="1">VLOOKUP($AG2,OFFSET([1]characters!$A$1,0,0,COUNTA([1]characters!$A:$A),MATCH(AH$1,[1]characters!$1:$1,0)-MATCH($A$1,[1]characters!$1:$1,0)+1),MATCH(AH$1,[1]characters!$1:$1,0)-MATCH($A$1,[1]characters!$1:$1,0)+1,FALSE)</f>
        <v>春香</v>
      </c>
      <c r="AI2" s="11" t="str">
        <f>IF(AE2="NULL","NULL",VLOOKUP(G2,ビット!$A$2:$B$7,2))</f>
        <v>NULL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7">
        <f ca="1">VLOOKUP(G2,ビット!$G$2:$H$7,2)</f>
        <v>900</v>
      </c>
      <c r="AO2" s="40"/>
      <c r="AP2" s="112">
        <f>A2</f>
        <v>9001</v>
      </c>
      <c r="AQ2" s="52" t="str">
        <f ca="1">VLOOKUP($AP2,OFFSET(unit_skills!$A$1,0,0,COUNTA(unit_skills!$A:$A),MATCH(AQ$1,unit_skills!$1:$1,0)-MATCH($AP$1,unit_skills!$1:$1,0)+1),MATCH(AQ$1,unit_skills!$1:$1,0)-MATCH($AP$1,unit_skills!$1:$1,0)+1,FALSE)</f>
        <v>春香の技</v>
      </c>
      <c r="AR2" s="52" t="str">
        <f ca="1">VLOOKUP($AP2,OFFSET(unit_skills!$A$1,0,0,COUNTA(unit_skills!$A:$A),MATCH(AR$1,unit_skills!$1:$1,0)-MATCH($AP$1,unit_skills!$1:$1,0)+1),MATCH(AR$1,unit_skills!$1:$1,0)-MATCH($AP$1,unit_skills!$1:$1,0)+1,FALSE)</f>
        <v>ランダムで最大1つSCP(大)に変換+暗闇解除+1ターン赤属性のタップ数1増加、赤パネル出現率特大UPし、緑パネル出現率大UP</v>
      </c>
      <c r="AS2" s="52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38">
        <f>A2</f>
        <v>9001</v>
      </c>
      <c r="AU2" s="52" t="str">
        <f ca="1">VLOOKUP($AT2,OFFSET(crash_skills!$A$1,0,0,COUNTA(crash_skills!$A:$A),MATCH(AU$1,crash_skills!$1:$1,0)-MATCH($AT$1,crash_skills!$1:$1,0)+1),MATCH(AU$1,crash_skills!$1:$1,0)-MATCH($AT$1,crash_skills!$1:$1,0)+1,FALSE)</f>
        <v>春香の技</v>
      </c>
      <c r="AV2" s="52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1体に大ダメージ+_x000D_ドラゴンに効果特大</v>
      </c>
      <c r="AW2" s="52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3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2">
        <v>1.07</v>
      </c>
      <c r="AZ2" s="62">
        <v>0.94920000000000004</v>
      </c>
      <c r="BA2" s="223">
        <v>0</v>
      </c>
      <c r="BB2" s="62">
        <v>0.97589999999999999</v>
      </c>
      <c r="BC2" s="11">
        <f ca="1">INDEX('RC6SV'!$A$1:$G$21,MATCH(H2,'RC6SV'!$A$1:$A$21,FALSE),MATCH(G2,'RC6SV'!$A$1:$G$1,FALSE))</f>
        <v>10000</v>
      </c>
      <c r="BD2" s="43">
        <f t="shared" ref="BD2:BD3" ca="1" si="2">ROUND(BC2*IF(AJ2=1,0.95,IF(AJ2=2,1,IF(AJ2,1.05,0))),0)</f>
        <v>10000</v>
      </c>
      <c r="BE2" s="11">
        <f t="shared" ref="BE2:BE9" ca="1" si="3">ROUND(IFERROR(INDIRECT(ADDRESS(MATCH($A2,$AE:$AE,0),MATCH($BC$1,$1:$1,0))),0),0)</f>
        <v>0</v>
      </c>
      <c r="BF2" s="11">
        <f t="shared" ref="BF2:BF9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2515</v>
      </c>
      <c r="BH2" s="16">
        <f ca="1">IF($BE2&lt;=0,ROUND(BL2*0.5,0), ROUND($BE2*T2*AB2*K2*AZ2*0.8*[1]ステータス!$C$2,0))</f>
        <v>1912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857</v>
      </c>
      <c r="BK2" s="11">
        <f ca="1">ROUND(BD2*S2*AA2*J2*AY2*[1]ステータス!$B$2,0)</f>
        <v>5029</v>
      </c>
      <c r="BL2" s="11">
        <f ca="1">ROUND(BD2*T2*AB2*K2*AZ2*[1]ステータス!$C$2,0)</f>
        <v>3824</v>
      </c>
      <c r="BM2" s="11">
        <f ca="1">ROUND(BD2*U2*AC2*L2*BA2*[1]ステータス!$D$2,0)</f>
        <v>0</v>
      </c>
      <c r="BN2" s="11">
        <f ca="1">ROUND(BD2*V2*AD2*M2*BB2*[1]ステータス!$E$2,0)</f>
        <v>1714</v>
      </c>
      <c r="BO2" s="10">
        <v>0</v>
      </c>
      <c r="BP2" s="10">
        <v>1</v>
      </c>
      <c r="BQ2" s="10" t="s">
        <v>47</v>
      </c>
      <c r="BR2" s="5">
        <f ca="1">VLOOKUP(H2,ghosts_label!$A$2:$B$19,2,FALSE)</f>
        <v>6000</v>
      </c>
    </row>
    <row r="3" spans="1:70" ht="26" customHeight="1" x14ac:dyDescent="0.15">
      <c r="A3" s="10">
        <v>9002</v>
      </c>
      <c r="B3" s="179" t="str">
        <f ca="1">VLOOKUP($A3,OFFSET([1]characters!$A$1,0,0,COUNTA([1]characters!$A:$A),MATCH(B$1,[1]characters!$1:$1,0)-MATCH($A$1,[1]characters!$1:$1,0)+1),MATCH(B$1,[1]characters!$1:$1,0)-MATCH($A$1,[1]characters!$1:$1,0)+1,FALSE)</f>
        <v>春香★６</v>
      </c>
      <c r="C3" s="52" t="str">
        <f ca="1">VLOOKUP($A3,OFFSET([1]characters!$A$1,0,0,COUNTA([1]characters!$A:$A),MATCH(C$1,[1]characters!$1:$1,0)-MATCH($A$1,[1]characters!$1:$1,0)+1),MATCH(C$1,[1]characters!$1:$1,0)-MATCH($A$1,[1]characters!$1:$1,0)+1,FALSE)</f>
        <v>ポムポムプリン</v>
      </c>
      <c r="D3" s="52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2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2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2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2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2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INDEX(コスト!$A$1:$I$21,MATCH(H3,コスト!$A$1:$A$21,FALSE),MATCH(G3,コスト!$A$1:$I$1,FALSE))</f>
        <v>53</v>
      </c>
      <c r="O3" s="11">
        <f ca="1">INDEX(レベル!$A$1:$I$22,MATCH(H3,レベル!$A$1:$A$22,FALSE),MATCH(G3,レベル!$A$1:$I$1,FALSE))</f>
        <v>99</v>
      </c>
      <c r="P3" s="43">
        <f t="shared" ca="1" si="0"/>
        <v>99</v>
      </c>
      <c r="Q3" s="52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2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2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183</v>
      </c>
      <c r="AF3" s="57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229">
        <v>9001</v>
      </c>
      <c r="AH3" s="57" t="str">
        <f ca="1">VLOOKUP($AG3,OFFSET([1]characters!$A$1,0,0,COUNTA([1]characters!$A:$A),MATCH(AH$1,[1]characters!$1:$1,0)-MATCH($A$1,[1]characters!$1:$1,0)+1),MATCH(AH$1,[1]characters!$1:$1,0)-MATCH($A$1,[1]characters!$1:$1,0)+1,FALSE)</f>
        <v>春香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7">
        <f ca="1">VLOOKUP(G3,ビット!$G$2:$H$7,2)</f>
        <v>900</v>
      </c>
      <c r="AO3" s="40"/>
      <c r="AP3" s="112">
        <f t="shared" ref="AP3:AP4" si="5">A3</f>
        <v>9002</v>
      </c>
      <c r="AQ3" s="52" t="str">
        <f ca="1">VLOOKUP($AP3,OFFSET(unit_skills!$A$1,0,0,COUNTA(unit_skills!$A:$A),MATCH(AQ$1,unit_skills!$1:$1,0)-MATCH($AP$1,unit_skills!$1:$1,0)+1),MATCH(AQ$1,unit_skills!$1:$1,0)-MATCH($AP$1,unit_skills!$1:$1,0)+1,FALSE)</f>
        <v>春香★６の技</v>
      </c>
      <c r="AR3" s="52" t="str">
        <f ca="1">VLOOKUP($AP3,OFFSET(unit_skills!$A$1,0,0,COUNTA(unit_skills!$A:$A),MATCH(AR$1,unit_skills!$1:$1,0)-MATCH($AP$1,unit_skills!$1:$1,0)+1),MATCH(AR$1,unit_skills!$1:$1,0)-MATCH($AP$1,unit_skills!$1:$1,0)+1,FALSE)</f>
        <v>ランダムで最大1つSCP(特大)に変換+暗闇解除+1ターン赤属性のタップ数2増加、赤パネル出現率特大UPし、緑パネル出現率大UP</v>
      </c>
      <c r="AS3" s="52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38">
        <f t="shared" ref="AT3:AT5" si="6">A3</f>
        <v>9002</v>
      </c>
      <c r="AU3" s="52" t="str">
        <f ca="1">VLOOKUP($AT3,OFFSET(crash_skills!$A$1,0,0,COUNTA(crash_skills!$A:$A),MATCH(AU$1,crash_skills!$1:$1,0)-MATCH($AT$1,crash_skills!$1:$1,0)+1),MATCH(AU$1,crash_skills!$1:$1,0)-MATCH($AT$1,crash_skills!$1:$1,0)+1,FALSE)</f>
        <v>春香★６の技</v>
      </c>
      <c r="AV3" s="52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1体に特大ダメージ+_x000D_ドラゴンに効果超大</v>
      </c>
      <c r="AW3" s="52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3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2">
        <v>1.07</v>
      </c>
      <c r="AZ3" s="62">
        <v>0.94920000000000004</v>
      </c>
      <c r="BA3" s="223">
        <v>0</v>
      </c>
      <c r="BB3" s="62">
        <v>0.97589999999999999</v>
      </c>
      <c r="BC3" s="11">
        <f ca="1">INDEX('RC6SV'!$A$1:$G$21,MATCH(H3,'RC6SV'!$A$1:$A$21,FALSE),MATCH(G3,'RC6SV'!$A$1:$G$1,FALSE))</f>
        <v>14000</v>
      </c>
      <c r="BD3" s="43">
        <f t="shared" ca="1" si="2"/>
        <v>14000</v>
      </c>
      <c r="BE3" s="11">
        <f t="shared" ca="1" si="3"/>
        <v>0</v>
      </c>
      <c r="BF3" s="11">
        <f t="shared" ca="1" si="4"/>
        <v>1</v>
      </c>
      <c r="BG3" s="16">
        <f ca="1">IF($BE3&lt;=0,ROUND(BK3*0.5,0), ROUND($BE3*S3*AA3*J3*AY3*0.8*[1]ステータス!$B$2,0))</f>
        <v>3521</v>
      </c>
      <c r="BH3" s="16">
        <f ca="1">IF($BE3&lt;=0,ROUND(BL3*0.5,0), ROUND($BE3*T3*AB3*K3*AZ3*0.8*[1]ステータス!$C$2,0))</f>
        <v>2677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1200</v>
      </c>
      <c r="BK3" s="11">
        <f ca="1">ROUND(BD3*S3*AA3*J3*AY3*[1]ステータス!$B$2,0)</f>
        <v>7041</v>
      </c>
      <c r="BL3" s="11">
        <f ca="1">ROUND(BD3*T3*AB3*K3*AZ3*[1]ステータス!$C$2,0)</f>
        <v>5354</v>
      </c>
      <c r="BM3" s="11">
        <f ca="1">ROUND(BD3*U3*AC3*L3*BA3*[1]ステータス!$D$2,0)</f>
        <v>0</v>
      </c>
      <c r="BN3" s="11">
        <f ca="1">ROUND(BD3*V3*AD3*M3*BB3*[1]ステータス!$E$2,0)</f>
        <v>2400</v>
      </c>
      <c r="BO3" s="10">
        <v>0</v>
      </c>
      <c r="BP3" s="10">
        <v>1</v>
      </c>
      <c r="BQ3" s="10" t="s">
        <v>47</v>
      </c>
      <c r="BR3" s="5">
        <f ca="1">VLOOKUP(H3,ghosts_label!$A$2:$B$19,2,FALSE)</f>
        <v>6000</v>
      </c>
    </row>
    <row r="4" spans="1:70" ht="26" customHeight="1" x14ac:dyDescent="0.15">
      <c r="A4" s="10">
        <v>9003</v>
      </c>
      <c r="B4" s="179" t="str">
        <f ca="1">VLOOKUP($A4,OFFSET([1]characters!$A$1,0,0,COUNTA([1]characters!$A:$A),MATCH(B$1,[1]characters!$1:$1,0)-MATCH($A$1,[1]characters!$1:$1,0)+1),MATCH(B$1,[1]characters!$1:$1,0)-MATCH($A$1,[1]characters!$1:$1,0)+1,FALSE)</f>
        <v>夢龍</v>
      </c>
      <c r="C4" s="52" t="str">
        <f ca="1">VLOOKUP($A4,OFFSET([1]characters!$A$1,0,0,COUNTA([1]characters!$A:$A),MATCH(C$1,[1]characters!$1:$1,0)-MATCH($A$1,[1]characters!$1:$1,0)+1),MATCH(C$1,[1]characters!$1:$1,0)-MATCH($A$1,[1]characters!$1:$1,0)+1,FALSE)</f>
        <v>ポムポムプリン</v>
      </c>
      <c r="D4" s="52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2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2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2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2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2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INDEX(コスト!$A$1:$I$21,MATCH(H4,コスト!$A$1:$A$21,FALSE),MATCH(G4,コスト!$A$1:$I$1,FALSE))</f>
        <v>30</v>
      </c>
      <c r="O4" s="11">
        <f ca="1">INDEX(レベル!$A$1:$I$22,MATCH(H4,レベル!$A$1:$A$22,FALSE),MATCH(G4,レベル!$A$1:$I$1,FALSE))</f>
        <v>80</v>
      </c>
      <c r="P4" s="43">
        <f t="shared" ca="1" si="0"/>
        <v>75</v>
      </c>
      <c r="Q4" s="52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1">
        <f ca="1">VLOOKUP(Q4,[1]character_type_i18n!$A:$H,4,FALSE)</f>
        <v>0.8</v>
      </c>
      <c r="T4" s="11">
        <f ca="1">VLOOKUP(Q4,[1]character_type_i18n!$A:$H,5,FALSE)</f>
        <v>0.78</v>
      </c>
      <c r="U4" s="11">
        <f ca="1">VLOOKUP(Q4,[1]character_type_i18n!$A:$H,6,FALSE)</f>
        <v>1</v>
      </c>
      <c r="V4" s="11">
        <f ca="1">VLOOKUP(Q4,[1]character_type_i18n!$A:$H,7,FALSE)</f>
        <v>1.42</v>
      </c>
      <c r="W4" s="52" t="str">
        <f ca="1">VLOOKUP($A4,OFFSET([1]characters!$A$1,0,0,COUNTA([1]characters!$A:$A),MATCH(W$1,[1]characters!$1:$1,0)-MATCH($A$1,[1]characters!$1:$1,0)+1),MATCH(W$1,[1]characters!$1:$1,0)-MATCH($A$1,[1]characters!$1:$1,0)+1,FALSE)</f>
        <v>dragon</v>
      </c>
      <c r="X4" s="5" t="str">
        <f ca="1">VLOOKUP(W4,[1]character_tribe_i18n!$A:$H,3,FALSE)</f>
        <v>ドラゴン</v>
      </c>
      <c r="Y4" s="52" t="str">
        <f ca="1">VLOOKUP($A4,OFFSET([1]characters!$A$1,0,0,COUNTA([1]characters!$A:$A),MATCH(Y$1,[1]characters!$1:$1,0)-MATCH($A$1,[1]characters!$1:$1,0)+1),MATCH(Y$1,[1]characters!$1:$1,0)-MATCH($A$1,[1]characters!$1:$1,0)+1,FALSE)</f>
        <v>human</v>
      </c>
      <c r="Z4" s="5" t="str">
        <f ca="1">VLOOKUP(Y4,[1]character_tribe_i18n!$A:$H,3,FALSE)</f>
        <v>ヒューマン</v>
      </c>
      <c r="AA4" s="11">
        <f ca="1">VLOOKUP(W4,[1]character_tribe_i18n!$A:$H,4,FALSE)</f>
        <v>1.1499999999999999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0.75</v>
      </c>
      <c r="AE4" s="9" t="s">
        <v>183</v>
      </c>
      <c r="AF4" s="57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229">
        <v>9003</v>
      </c>
      <c r="AH4" s="57" t="str">
        <f ca="1">VLOOKUP($AG4,OFFSET([1]characters!$A$1,0,0,COUNTA([1]characters!$A:$A),MATCH(AH$1,[1]characters!$1:$1,0)-MATCH($A$1,[1]characters!$1:$1,0)+1),MATCH(AH$1,[1]characters!$1:$1,0)-MATCH($A$1,[1]characters!$1:$1,0)+1,FALSE)</f>
        <v>夢龍</v>
      </c>
      <c r="AI4" s="11" t="str">
        <f>IF(AE4="NULL","NULL",VLOOKUP(G4,ビット!$A$2:$B$7,2))</f>
        <v>NULL</v>
      </c>
      <c r="AJ4" s="6">
        <v>2</v>
      </c>
      <c r="AK4" s="7" t="str">
        <f t="shared" ref="AK4" si="7">IF(AJ4=1,"早熟",IF(AJ4=2,"普通",IF(AJ4=3,"晩成","")))</f>
        <v>普通</v>
      </c>
      <c r="AL4" s="11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7">
        <f ca="1">VLOOKUP(G4,ビット!$G$2:$H$7,2)</f>
        <v>900</v>
      </c>
      <c r="AO4" s="40"/>
      <c r="AP4" s="112">
        <f t="shared" si="5"/>
        <v>9003</v>
      </c>
      <c r="AQ4" s="52" t="str">
        <f ca="1">VLOOKUP($AP4,OFFSET(unit_skills!$A$1,0,0,COUNTA(unit_skills!$A:$A),MATCH(AQ$1,unit_skills!$1:$1,0)-MATCH($AP$1,unit_skills!$1:$1,0)+1),MATCH(AQ$1,unit_skills!$1:$1,0)-MATCH($AP$1,unit_skills!$1:$1,0)+1,FALSE)</f>
        <v>夢龍の技</v>
      </c>
      <c r="AR4" s="52" t="str">
        <f ca="1">VLOOKUP($AP4,OFFSET(unit_skills!$A$1,0,0,COUNTA(unit_skills!$A:$A),MATCH(AR$1,unit_skills!$1:$1,0)-MATCH($AP$1,unit_skills!$1:$1,0)+1),MATCH(AR$1,unit_skills!$1:$1,0)-MATCH($AP$1,unit_skills!$1:$1,0)+1,FALSE)</f>
        <v>青・黄パネルを赤パネルに変換+1ターン赤・緑属性の回復力を大UP</v>
      </c>
      <c r="AS4" s="52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38">
        <f t="shared" si="6"/>
        <v>9003</v>
      </c>
      <c r="AU4" s="52" t="str">
        <f ca="1">VLOOKUP($AT4,OFFSET(crash_skills!$A$1,0,0,COUNTA(crash_skills!$A:$A),MATCH(AU$1,crash_skills!$1:$1,0)-MATCH($AT$1,crash_skills!$1:$1,0)+1),MATCH(AU$1,crash_skills!$1:$1,0)-MATCH($AT$1,crash_skills!$1:$1,0)+1,FALSE)</f>
        <v>夢龍の技</v>
      </c>
      <c r="AV4" s="52" t="str">
        <f ca="1">VLOOKUP($AT4,OFFSET(crash_skills!$A$1,0,0,COUNTA(crash_skills!$A:$A),MATCH(AV$1,crash_skills!$1:$1,0)-MATCH($AT$1,crash_skills!$1:$1,0)+1),MATCH(AV$1,crash_skills!$1:$1,0)-MATCH($AT$1,crash_skills!$1:$1,0)+1,FALSE)</f>
        <v>自身の回復力に比例して1体に大ダメージ</v>
      </c>
      <c r="AW4" s="52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3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2">
        <v>0.86499999999999999</v>
      </c>
      <c r="AZ4" s="62">
        <v>0.93079999999999996</v>
      </c>
      <c r="BA4" s="223">
        <v>0</v>
      </c>
      <c r="BB4" s="62">
        <v>1.1933</v>
      </c>
      <c r="BC4" s="11">
        <f ca="1">INDEX('RC6SV'!$A$1:$G$21,MATCH(H4,'RC6SV'!$A$1:$A$21,FALSE),MATCH(G4,'RC6SV'!$A$1:$G$1,FALSE))</f>
        <v>9000</v>
      </c>
      <c r="BD4" s="43">
        <f t="shared" ref="BD4" ca="1" si="8">ROUND(BC4*IF(AJ4=1,0.95,IF(AJ4=2,1,IF(AJ4,1.05,0))),0)</f>
        <v>9000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1827</v>
      </c>
      <c r="BH4" s="16">
        <f ca="1">IF($BE4&lt;=0,ROUND(BL4*0.5,0), ROUND($BE4*T4*AB4*K4*AZ4*0.8*[1]ステータス!$C$2,0))</f>
        <v>1057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1430</v>
      </c>
      <c r="BK4" s="11">
        <f ca="1">ROUND(BD4*S4*AA4*J4*AY4*[1]ステータス!$B$2,0)</f>
        <v>3653</v>
      </c>
      <c r="BL4" s="11">
        <f ca="1">ROUND(BD4*T4*AB4*K4*AZ4*[1]ステータス!$C$2,0)</f>
        <v>2113</v>
      </c>
      <c r="BM4" s="11">
        <f ca="1">ROUND(BD4*U4*AC4*L4*BA4*[1]ステータス!$D$2,0)</f>
        <v>0</v>
      </c>
      <c r="BN4" s="11">
        <f ca="1">ROUND(BD4*V4*AD4*M4*BB4*[1]ステータス!$E$2,0)</f>
        <v>2859</v>
      </c>
      <c r="BO4" s="10">
        <v>0</v>
      </c>
      <c r="BP4" s="10">
        <v>1</v>
      </c>
      <c r="BQ4" s="10" t="s">
        <v>47</v>
      </c>
      <c r="BR4" s="5">
        <f ca="1">VLOOKUP(H4,ghosts_label!$A$2:$B$19,2,FALSE)</f>
        <v>1</v>
      </c>
    </row>
    <row r="5" spans="1:70" ht="26" customHeight="1" x14ac:dyDescent="0.15">
      <c r="A5" s="10">
        <v>9004</v>
      </c>
      <c r="B5" s="179" t="str">
        <f ca="1">VLOOKUP($A5,OFFSET([1]characters!$A$1,0,0,COUNTA([1]characters!$A:$A),MATCH(B$1,[1]characters!$1:$1,0)-MATCH($A$1,[1]characters!$1:$1,0)+1),MATCH(B$1,[1]characters!$1:$1,0)-MATCH($A$1,[1]characters!$1:$1,0)+1,FALSE)</f>
        <v>夢龍★６</v>
      </c>
      <c r="C5" s="52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5" s="52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2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2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2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2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2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INDEX(コスト!$A$1:$I$21,MATCH(H5,コスト!$A$1:$A$21,FALSE),MATCH(G5,コスト!$A$1:$I$1,FALSE))</f>
        <v>45</v>
      </c>
      <c r="O5" s="11">
        <f ca="1">INDEX(レベル!$A$1:$I$22,MATCH(H5,レベル!$A$1:$A$22,FALSE),MATCH(G5,レベル!$A$1:$I$1,FALSE))</f>
        <v>99</v>
      </c>
      <c r="P5" s="43">
        <f t="shared" ca="1" si="0"/>
        <v>99</v>
      </c>
      <c r="Q5" s="52" t="str">
        <f ca="1">VLOOKUP($A5,OFFSET([1]characters!$A$1,0,0,COUNTA([1]characters!$A:$A),MATCH(Q$1,[1]characters!$1:$1,0)-MATCH($A$1,[1]characters!$1:$1,0)+1),MATCH(Q$1,[1]characters!$1:$1,0)-MATCH($A$1,[1]characters!$1:$1,0)+1,FALSE)</f>
        <v>heal</v>
      </c>
      <c r="R5" s="5" t="str">
        <f ca="1">VLOOKUP(Q5,[1]character_type_i18n!$A:$H,3,FALSE)</f>
        <v>回復タイプ</v>
      </c>
      <c r="S5" s="11">
        <f ca="1">VLOOKUP(Q5,[1]character_type_i18n!$A:$H,4,FALSE)</f>
        <v>0.8</v>
      </c>
      <c r="T5" s="11">
        <f ca="1">VLOOKUP(Q5,[1]character_type_i18n!$A:$H,5,FALSE)</f>
        <v>0.78</v>
      </c>
      <c r="U5" s="11">
        <f ca="1">VLOOKUP(Q5,[1]character_type_i18n!$A:$H,6,FALSE)</f>
        <v>1</v>
      </c>
      <c r="V5" s="11">
        <f ca="1">VLOOKUP(Q5,[1]character_type_i18n!$A:$H,7,FALSE)</f>
        <v>1.42</v>
      </c>
      <c r="W5" s="52" t="str">
        <f ca="1">VLOOKUP($A5,OFFSET([1]characters!$A$1,0,0,COUNTA([1]characters!$A:$A),MATCH(W$1,[1]characters!$1:$1,0)-MATCH($A$1,[1]characters!$1:$1,0)+1),MATCH(W$1,[1]characters!$1:$1,0)-MATCH($A$1,[1]characters!$1:$1,0)+1,FALSE)</f>
        <v>dragon</v>
      </c>
      <c r="X5" s="5" t="str">
        <f ca="1">VLOOKUP(W5,[1]character_tribe_i18n!$A:$H,3,FALSE)</f>
        <v>ドラゴン</v>
      </c>
      <c r="Y5" s="52" t="str">
        <f ca="1">VLOOKUP($A5,OFFSET([1]characters!$A$1,0,0,COUNTA([1]characters!$A:$A),MATCH(Y$1,[1]characters!$1:$1,0)-MATCH($A$1,[1]characters!$1:$1,0)+1),MATCH(Y$1,[1]characters!$1:$1,0)-MATCH($A$1,[1]characters!$1:$1,0)+1,FALSE)</f>
        <v>human</v>
      </c>
      <c r="Z5" s="5" t="str">
        <f ca="1">VLOOKUP(Y5,[1]character_tribe_i18n!$A:$H,3,FALSE)</f>
        <v>ヒューマン</v>
      </c>
      <c r="AA5" s="11">
        <f ca="1">VLOOKUP(W5,[1]character_tribe_i18n!$A:$H,4,FALSE)</f>
        <v>1.1499999999999999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0.75</v>
      </c>
      <c r="AE5" s="9" t="s">
        <v>183</v>
      </c>
      <c r="AF5" s="57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229">
        <v>9003</v>
      </c>
      <c r="AH5" s="57" t="str">
        <f ca="1">VLOOKUP($AG5,OFFSET([1]characters!$A$1,0,0,COUNTA([1]characters!$A:$A),MATCH(AH$1,[1]characters!$1:$1,0)-MATCH($A$1,[1]characters!$1:$1,0)+1),MATCH(AH$1,[1]characters!$1:$1,0)-MATCH($A$1,[1]characters!$1:$1,0)+1,FALSE)</f>
        <v>夢龍</v>
      </c>
      <c r="AI5" s="11" t="str">
        <f>IF(AE5="NULL","NULL",VLOOKUP(G5,ビット!$A$2:$B$7,2))</f>
        <v>NULL</v>
      </c>
      <c r="AJ5" s="6">
        <v>2</v>
      </c>
      <c r="AK5" s="7" t="str">
        <f t="shared" ref="AK5:AK8" si="9">IF(AJ5=1,"早熟",IF(AJ5=2,"普通",IF(AJ5=3,"晩成","")))</f>
        <v>普通</v>
      </c>
      <c r="AL5" s="11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7">
        <f ca="1">VLOOKUP(G5,ビット!$G$2:$H$7,2)</f>
        <v>900</v>
      </c>
      <c r="AO5" s="40"/>
      <c r="AP5" s="112">
        <f>A5</f>
        <v>9004</v>
      </c>
      <c r="AQ5" s="52" t="str">
        <f ca="1">VLOOKUP($AP5,OFFSET(unit_skills!$A$1,0,0,COUNTA(unit_skills!$A:$A),MATCH(AQ$1,unit_skills!$1:$1,0)-MATCH($AP$1,unit_skills!$1:$1,0)+1),MATCH(AQ$1,unit_skills!$1:$1,0)-MATCH($AP$1,unit_skills!$1:$1,0)+1,FALSE)</f>
        <v>夢龍★６の技</v>
      </c>
      <c r="AR5" s="52" t="str">
        <f ca="1">VLOOKUP($AP5,OFFSET(unit_skills!$A$1,0,0,COUNTA(unit_skills!$A:$A),MATCH(AR$1,unit_skills!$1:$1,0)-MATCH($AP$1,unit_skills!$1:$1,0)+1),MATCH(AR$1,unit_skills!$1:$1,0)-MATCH($AP$1,unit_skills!$1:$1,0)+1,FALSE)</f>
        <v>青・黄パネルを赤パネルに変換+1ターン赤・緑属性の回復力を大UPし、防御力を特大UP</v>
      </c>
      <c r="AS5" s="52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38">
        <f t="shared" si="6"/>
        <v>9004</v>
      </c>
      <c r="AU5" s="52" t="str">
        <f ca="1">VLOOKUP($AT5,OFFSET(crash_skills!$A$1,0,0,COUNTA(crash_skills!$A:$A),MATCH(AU$1,crash_skills!$1:$1,0)-MATCH($AT$1,crash_skills!$1:$1,0)+1),MATCH(AU$1,crash_skills!$1:$1,0)-MATCH($AT$1,crash_skills!$1:$1,0)+1,FALSE)</f>
        <v>夢龍★６の技</v>
      </c>
      <c r="AV5" s="52" t="str">
        <f ca="1">VLOOKUP($AT5,OFFSET(crash_skills!$A$1,0,0,COUNTA(crash_skills!$A:$A),MATCH(AV$1,crash_skills!$1:$1,0)-MATCH($AT$1,crash_skills!$1:$1,0)+1),MATCH(AV$1,crash_skills!$1:$1,0)-MATCH($AT$1,crash_skills!$1:$1,0)+1,FALSE)</f>
        <v>自身の回復力に比例して1体に特大ダメージ+HP小回復</v>
      </c>
      <c r="AW5" s="52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3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2">
        <v>0.86499999999999999</v>
      </c>
      <c r="AZ5" s="62">
        <v>0.93079999999999996</v>
      </c>
      <c r="BA5" s="223">
        <v>0</v>
      </c>
      <c r="BB5" s="62">
        <v>1.1933</v>
      </c>
      <c r="BC5" s="11">
        <f ca="1">INDEX('RC6SV'!$A$1:$G$21,MATCH(H5,'RC6SV'!$A$1:$A$21,FALSE),MATCH(G5,'RC6SV'!$A$1:$G$1,FALSE))</f>
        <v>12000</v>
      </c>
      <c r="BD5" s="43">
        <f t="shared" ref="BD5:BD8" ca="1" si="10">ROUND(BC5*IF(AJ5=1,0.95,IF(AJ5=2,1,IF(AJ5,1.05,0))),0)</f>
        <v>12000</v>
      </c>
      <c r="BE5" s="11">
        <f t="shared" ca="1" si="3"/>
        <v>0</v>
      </c>
      <c r="BF5" s="11">
        <f t="shared" ca="1" si="4"/>
        <v>1</v>
      </c>
      <c r="BG5" s="16">
        <f ca="1">IF($BE5&lt;=0,ROUND(BK5*0.5,0), ROUND($BE5*S5*AA5*J5*AY5*0.8*[1]ステータス!$B$2,0))</f>
        <v>2435</v>
      </c>
      <c r="BH5" s="16">
        <f ca="1">IF($BE5&lt;=0,ROUND(BL5*0.5,0), ROUND($BE5*T5*AB5*K5*AZ5*0.8*[1]ステータス!$C$2,0))</f>
        <v>1409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1907</v>
      </c>
      <c r="BK5" s="11">
        <f ca="1">ROUND(BD5*S5*AA5*J5*AY5*[1]ステータス!$B$2,0)</f>
        <v>4870</v>
      </c>
      <c r="BL5" s="11">
        <f ca="1">ROUND(BD5*T5*AB5*K5*AZ5*[1]ステータス!$C$2,0)</f>
        <v>2818</v>
      </c>
      <c r="BM5" s="11">
        <f ca="1">ROUND(BD5*U5*AC5*L5*BA5*[1]ステータス!$D$2,0)</f>
        <v>0</v>
      </c>
      <c r="BN5" s="11">
        <f ca="1">ROUND(BD5*V5*AD5*M5*BB5*[1]ステータス!$E$2,0)</f>
        <v>3813</v>
      </c>
      <c r="BO5" s="10">
        <v>0</v>
      </c>
      <c r="BP5" s="10">
        <v>1</v>
      </c>
      <c r="BQ5" s="10" t="s">
        <v>47</v>
      </c>
      <c r="BR5" s="5">
        <f ca="1">VLOOKUP(H5,ghosts_label!$A$2:$B$19,2,FALSE)</f>
        <v>1</v>
      </c>
    </row>
    <row r="6" spans="1:70" ht="26" customHeight="1" x14ac:dyDescent="0.15">
      <c r="A6" s="10">
        <v>9005</v>
      </c>
      <c r="B6" s="179" t="str">
        <f ca="1">VLOOKUP($A6,OFFSET([1]characters!$A$1,0,0,COUNTA([1]characters!$A:$A),MATCH(B$1,[1]characters!$1:$1,0)-MATCH($A$1,[1]characters!$1:$1,0)+1),MATCH(B$1,[1]characters!$1:$1,0)-MATCH($A$1,[1]characters!$1:$1,0)+1,FALSE)</f>
        <v>降臨</v>
      </c>
      <c r="C6" s="52" t="str">
        <f ca="1">VLOOKUP($A6,OFFSET([1]characters!$A$1,0,0,COUNTA([1]characters!$A:$A),MATCH(C$1,[1]characters!$1:$1,0)-MATCH($A$1,[1]characters!$1:$1,0)+1),MATCH(C$1,[1]characters!$1:$1,0)-MATCH($A$1,[1]characters!$1:$1,0)+1,FALSE)</f>
        <v>ポムポムプリン</v>
      </c>
      <c r="D6" s="52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2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2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2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2" t="str">
        <f ca="1">VLOOKUP($A6,OFFSET([1]characters!$A$1,0,0,COUNTA([1]characters!$A:$A),MATCH(H$1,[1]characters!$1:$1,0)-MATCH($A$1,[1]characters!$1:$1,0)+1),MATCH(H$1,[1]characters!$1:$1,0)-MATCH($A$1,[1]characters!$1:$1,0)+1,FALSE)</f>
        <v>PremiumSSw</v>
      </c>
      <c r="I6" s="52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INDEX(コスト!$A$1:$I$21,MATCH(H6,コスト!$A$1:$A$21,FALSE),MATCH(G6,コスト!$A$1:$I$1,FALSE))</f>
        <v>38</v>
      </c>
      <c r="O6" s="11">
        <f ca="1">INDEX(レベル!$A$1:$I$22,MATCH(H6,レベル!$A$1:$A$22,FALSE),MATCH(G6,レベル!$A$1:$I$1,FALSE))</f>
        <v>80</v>
      </c>
      <c r="P6" s="43">
        <f t="shared" ref="P6:P9" ca="1" si="11">IF(G6 &gt;= 6, 99,G6*15)</f>
        <v>75</v>
      </c>
      <c r="Q6" s="52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1">
        <f ca="1">VLOOKUP(Q6,[1]character_type_i18n!$A:$H,4,FALSE)</f>
        <v>1.45</v>
      </c>
      <c r="T6" s="11">
        <f ca="1">VLOOKUP(Q6,[1]character_type_i18n!$A:$H,5,FALSE)</f>
        <v>0.85</v>
      </c>
      <c r="U6" s="11">
        <f ca="1">VLOOKUP(Q6,[1]character_type_i18n!$A:$H,6,FALSE)</f>
        <v>1</v>
      </c>
      <c r="V6" s="11">
        <f ca="1">VLOOKUP(Q6,[1]character_type_i18n!$A:$H,7,FALSE)</f>
        <v>0.7</v>
      </c>
      <c r="W6" s="52" t="str">
        <f ca="1">VLOOKUP($A6,OFFSET([1]characters!$A$1,0,0,COUNTA([1]characters!$A:$A),MATCH(W$1,[1]characters!$1:$1,0)-MATCH($A$1,[1]characters!$1:$1,0)+1),MATCH(W$1,[1]characters!$1:$1,0)-MATCH($A$1,[1]characters!$1:$1,0)+1,FALSE)</f>
        <v>demon</v>
      </c>
      <c r="X6" s="5" t="str">
        <f ca="1">VLOOKUP(W6,[1]character_tribe_i18n!$A:$H,3,FALSE)</f>
        <v>デーモン</v>
      </c>
      <c r="Y6" s="52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 t="s">
        <v>183</v>
      </c>
      <c r="AF6" s="57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229">
        <v>9005</v>
      </c>
      <c r="AH6" s="57" t="str">
        <f ca="1">VLOOKUP($AG6,OFFSET([1]characters!$A$1,0,0,COUNTA([1]characters!$A:$A),MATCH(AH$1,[1]characters!$1:$1,0)-MATCH($A$1,[1]characters!$1:$1,0)+1),MATCH(AH$1,[1]characters!$1:$1,0)-MATCH($A$1,[1]characters!$1:$1,0)+1,FALSE)</f>
        <v>降臨</v>
      </c>
      <c r="AI6" s="11" t="str">
        <f>IF(AE6="NULL","NULL",VLOOKUP(G6,ビット!$A$2:$B$7,2))</f>
        <v>NULL</v>
      </c>
      <c r="AJ6" s="6">
        <v>2</v>
      </c>
      <c r="AK6" s="7" t="str">
        <f t="shared" si="9"/>
        <v>普通</v>
      </c>
      <c r="AL6" s="11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7">
        <f ca="1">VLOOKUP(G6,ビット!$G$2:$H$7,2)</f>
        <v>900</v>
      </c>
      <c r="AO6" s="40"/>
      <c r="AP6" s="112">
        <f>A6</f>
        <v>9005</v>
      </c>
      <c r="AQ6" s="52" t="str">
        <f ca="1">VLOOKUP($AP6,OFFSET(unit_skills!$A$1,0,0,COUNTA(unit_skills!$A:$A),MATCH(AQ$1,unit_skills!$1:$1,0)-MATCH($AP$1,unit_skills!$1:$1,0)+1),MATCH(AQ$1,unit_skills!$1:$1,0)-MATCH($AP$1,unit_skills!$1:$1,0)+1,FALSE)</f>
        <v>降臨の技</v>
      </c>
      <c r="AR6" s="52" t="str">
        <f ca="1">VLOOKUP($AP6,OFFSET(unit_skills!$A$1,0,0,COUNTA(unit_skills!$A:$A),MATCH(AR$1,unit_skills!$1:$1,0)-MATCH($AP$1,unit_skills!$1:$1,0)+1),MATCH(AR$1,unit_skills!$1:$1,0)-MATCH($AP$1,unit_skills!$1:$1,0)+1,FALSE)</f>
        <v>赤・ダメージパネルをCPに、緑を最大1つ青ボム(大)に変換+3ターンタップ数1増加、回復力1313UP</v>
      </c>
      <c r="AS6" s="52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38">
        <f>A6</f>
        <v>9005</v>
      </c>
      <c r="AU6" s="52" t="str">
        <f ca="1">VLOOKUP($AT6,OFFSET(crash_skills!$A$1,0,0,COUNTA(crash_skills!$A:$A),MATCH(AU$1,crash_skills!$1:$1,0)-MATCH($AT$1,crash_skills!$1:$1,0)+1),MATCH(AU$1,crash_skills!$1:$1,0)-MATCH($AT$1,crash_skills!$1:$1,0)+1,FALSE)</f>
        <v>降臨の技</v>
      </c>
      <c r="AV6" s="52" t="str">
        <f ca="1">VLOOKUP($AT6,OFFSET(crash_skills!$A$1,0,0,COUNTA(crash_skills!$A:$A),MATCH(AV$1,crash_skills!$1:$1,0)-MATCH($AT$1,crash_skills!$1:$1,0)+1),MATCH(AV$1,crash_skills!$1:$1,0)-MATCH($AT$1,crash_skills!$1:$1,0)+1,FALSE)</f>
        <v>1体に超大ダメージ</v>
      </c>
      <c r="AW6" s="52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3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62">
        <v>0.89800000000000002</v>
      </c>
      <c r="AZ6" s="62">
        <v>1.2695000000000001</v>
      </c>
      <c r="BA6" s="223">
        <v>0</v>
      </c>
      <c r="BB6" s="62">
        <v>0.92649999999999999</v>
      </c>
      <c r="BC6" s="11">
        <f ca="1">INDEX('RC6SV'!$A$1:$G$21,MATCH(H6,'RC6SV'!$A$1:$A$21,FALSE),MATCH(G6,'RC6SV'!$A$1:$G$1,FALSE))</f>
        <v>10000</v>
      </c>
      <c r="BD6" s="43">
        <f t="shared" ca="1" si="10"/>
        <v>10000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3256</v>
      </c>
      <c r="BH6" s="16">
        <f ca="1">IF($BE6&lt;=0,ROUND(BL6*0.5,0), ROUND($BE6*T6*AB6*K6*AZ6*0.8*[1]ステータス!$C$2,0))</f>
        <v>1586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827</v>
      </c>
      <c r="BK6" s="11">
        <f ca="1">ROUND(BD6*S6*AA6*J6*AY6*[1]ステータス!$B$2,0)</f>
        <v>6511</v>
      </c>
      <c r="BL6" s="11">
        <f ca="1">ROUND(BD6*T6*AB6*K6*AZ6*[1]ステータス!$C$2,0)</f>
        <v>3172</v>
      </c>
      <c r="BM6" s="11">
        <f ca="1">ROUND(BD6*U6*AC6*L6*BA6*[1]ステータス!$D$2,0)</f>
        <v>0</v>
      </c>
      <c r="BN6" s="11">
        <f ca="1">ROUND(BD6*V6*AD6*M6*BB6*[1]ステータス!$E$2,0)</f>
        <v>1654</v>
      </c>
      <c r="BO6" s="10">
        <v>0</v>
      </c>
      <c r="BP6" s="10">
        <v>1</v>
      </c>
      <c r="BQ6" s="10" t="s">
        <v>47</v>
      </c>
      <c r="BR6" s="5">
        <f ca="1">VLOOKUP(H6,ghosts_label!$A$2:$B$19,2,FALSE)</f>
        <v>6000</v>
      </c>
    </row>
    <row r="7" spans="1:70" ht="26" customHeight="1" x14ac:dyDescent="0.15">
      <c r="A7" s="10">
        <v>9006</v>
      </c>
      <c r="B7" s="179" t="str">
        <f ca="1">VLOOKUP($A7,OFFSET([1]characters!$A$1,0,0,COUNTA([1]characters!$A:$A),MATCH(B$1,[1]characters!$1:$1,0)-MATCH($A$1,[1]characters!$1:$1,0)+1),MATCH(B$1,[1]characters!$1:$1,0)-MATCH($A$1,[1]characters!$1:$1,0)+1,FALSE)</f>
        <v>降臨★６</v>
      </c>
      <c r="C7" s="52" t="str">
        <f ca="1">VLOOKUP($A7,OFFSET([1]characters!$A$1,0,0,COUNTA([1]characters!$A:$A),MATCH(C$1,[1]characters!$1:$1,0)-MATCH($A$1,[1]characters!$1:$1,0)+1),MATCH(C$1,[1]characters!$1:$1,0)-MATCH($A$1,[1]characters!$1:$1,0)+1,FALSE)</f>
        <v>ポムポムプリン</v>
      </c>
      <c r="D7" s="52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2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2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2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2" t="str">
        <f ca="1">VLOOKUP($A7,OFFSET([1]characters!$A$1,0,0,COUNTA([1]characters!$A:$A),MATCH(H$1,[1]characters!$1:$1,0)-MATCH($A$1,[1]characters!$1:$1,0)+1),MATCH(H$1,[1]characters!$1:$1,0)-MATCH($A$1,[1]characters!$1:$1,0)+1,FALSE)</f>
        <v>PremiumSSw</v>
      </c>
      <c r="I7" s="52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INDEX(コスト!$A$1:$I$21,MATCH(H7,コスト!$A$1:$A$21,FALSE),MATCH(G7,コスト!$A$1:$I$1,FALSE))</f>
        <v>53</v>
      </c>
      <c r="O7" s="11">
        <f ca="1">INDEX(レベル!$A$1:$I$22,MATCH(H7,レベル!$A$1:$A$22,FALSE),MATCH(G7,レベル!$A$1:$I$1,FALSE))</f>
        <v>99</v>
      </c>
      <c r="P7" s="43">
        <f t="shared" ca="1" si="11"/>
        <v>99</v>
      </c>
      <c r="Q7" s="52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1">
        <f ca="1">VLOOKUP(Q7,[1]character_type_i18n!$A:$H,4,FALSE)</f>
        <v>1.45</v>
      </c>
      <c r="T7" s="11">
        <f ca="1">VLOOKUP(Q7,[1]character_type_i18n!$A:$H,5,FALSE)</f>
        <v>0.85</v>
      </c>
      <c r="U7" s="11">
        <f ca="1">VLOOKUP(Q7,[1]character_type_i18n!$A:$H,6,FALSE)</f>
        <v>1</v>
      </c>
      <c r="V7" s="11">
        <f ca="1">VLOOKUP(Q7,[1]character_type_i18n!$A:$H,7,FALSE)</f>
        <v>0.7</v>
      </c>
      <c r="W7" s="52" t="str">
        <f ca="1">VLOOKUP($A7,OFFSET([1]characters!$A$1,0,0,COUNTA([1]characters!$A:$A),MATCH(W$1,[1]characters!$1:$1,0)-MATCH($A$1,[1]characters!$1:$1,0)+1),MATCH(W$1,[1]characters!$1:$1,0)-MATCH($A$1,[1]characters!$1:$1,0)+1,FALSE)</f>
        <v>demon</v>
      </c>
      <c r="X7" s="5" t="str">
        <f ca="1">VLOOKUP(W7,[1]character_tribe_i18n!$A:$H,3,FALSE)</f>
        <v>デーモン</v>
      </c>
      <c r="Y7" s="52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183</v>
      </c>
      <c r="AF7" s="57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229">
        <v>9005</v>
      </c>
      <c r="AH7" s="57" t="str">
        <f ca="1">VLOOKUP($AG7,OFFSET([1]characters!$A$1,0,0,COUNTA([1]characters!$A:$A),MATCH(AH$1,[1]characters!$1:$1,0)-MATCH($A$1,[1]characters!$1:$1,0)+1),MATCH(AH$1,[1]characters!$1:$1,0)-MATCH($A$1,[1]characters!$1:$1,0)+1,FALSE)</f>
        <v>降臨</v>
      </c>
      <c r="AI7" s="11" t="str">
        <f>IF(AE7="NULL","NULL",VLOOKUP(G7,ビット!$A$2:$B$7,2))</f>
        <v>NULL</v>
      </c>
      <c r="AJ7" s="6">
        <v>2</v>
      </c>
      <c r="AK7" s="7" t="str">
        <f t="shared" si="9"/>
        <v>普通</v>
      </c>
      <c r="AL7" s="11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7">
        <f ca="1">VLOOKUP(G7,ビット!$G$2:$H$7,2)</f>
        <v>900</v>
      </c>
      <c r="AO7" s="40"/>
      <c r="AP7" s="112">
        <f t="shared" ref="AP7:AP8" si="12">A7</f>
        <v>9006</v>
      </c>
      <c r="AQ7" s="52" t="str">
        <f ca="1">VLOOKUP($AP7,OFFSET(unit_skills!$A$1,0,0,COUNTA(unit_skills!$A:$A),MATCH(AQ$1,unit_skills!$1:$1,0)-MATCH($AP$1,unit_skills!$1:$1,0)+1),MATCH(AQ$1,unit_skills!$1:$1,0)-MATCH($AP$1,unit_skills!$1:$1,0)+1,FALSE)</f>
        <v>降臨★６の技</v>
      </c>
      <c r="AR7" s="52" t="str">
        <f ca="1">VLOOKUP($AP7,OFFSET(unit_skills!$A$1,0,0,COUNTA(unit_skills!$A:$A),MATCH(AR$1,unit_skills!$1:$1,0)-MATCH($AP$1,unit_skills!$1:$1,0)+1),MATCH(AR$1,unit_skills!$1:$1,0)-MATCH($AP$1,unit_skills!$1:$1,0)+1,FALSE)</f>
        <v>赤・ダメージパネルをCPに、緑を最大1つ青ボム(特大)に変換+3ターンタップ数1増加、回復力1313UP+自身にバリア3500を展開</v>
      </c>
      <c r="AS7" s="52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38">
        <f t="shared" ref="AT7:AT9" si="13">A7</f>
        <v>9006</v>
      </c>
      <c r="AU7" s="52" t="str">
        <f ca="1">VLOOKUP($AT7,OFFSET(crash_skills!$A$1,0,0,COUNTA(crash_skills!$A:$A),MATCH(AU$1,crash_skills!$1:$1,0)-MATCH($AT$1,crash_skills!$1:$1,0)+1),MATCH(AU$1,crash_skills!$1:$1,0)-MATCH($AT$1,crash_skills!$1:$1,0)+1,FALSE)</f>
        <v>降臨★６の技</v>
      </c>
      <c r="AV7" s="52" t="str">
        <f ca="1">VLOOKUP($AT7,OFFSET(crash_skills!$A$1,0,0,COUNTA(crash_skills!$A:$A),MATCH(AV$1,crash_skills!$1:$1,0)-MATCH($AT$1,crash_skills!$1:$1,0)+1),MATCH(AV$1,crash_skills!$1:$1,0)-MATCH($AT$1,crash_skills!$1:$1,0)+1,FALSE)</f>
        <v>1体に超大ダメージ+_x000D_1ターン全ユニットの攻撃力小UP</v>
      </c>
      <c r="AW7" s="52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3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62">
        <v>0.89800000000000002</v>
      </c>
      <c r="AZ7" s="62">
        <v>1.2695000000000001</v>
      </c>
      <c r="BA7" s="223">
        <v>0</v>
      </c>
      <c r="BB7" s="62">
        <v>0.92649999999999999</v>
      </c>
      <c r="BC7" s="11">
        <f ca="1">INDEX('RC6SV'!$A$1:$G$21,MATCH(H7,'RC6SV'!$A$1:$A$21,FALSE),MATCH(G7,'RC6SV'!$A$1:$G$1,FALSE))</f>
        <v>14000</v>
      </c>
      <c r="BD7" s="43">
        <f t="shared" ca="1" si="10"/>
        <v>14000</v>
      </c>
      <c r="BE7" s="11">
        <f t="shared" ca="1" si="3"/>
        <v>0</v>
      </c>
      <c r="BF7" s="11">
        <f t="shared" ca="1" si="4"/>
        <v>1</v>
      </c>
      <c r="BG7" s="16">
        <f ca="1">IF($BE7&lt;=0,ROUND(BK7*0.5,0), ROUND($BE7*S7*AA7*J7*AY7*0.8*[1]ステータス!$B$2,0))</f>
        <v>4558</v>
      </c>
      <c r="BH7" s="16">
        <f ca="1">IF($BE7&lt;=0,ROUND(BL7*0.5,0), ROUND($BE7*T7*AB7*K7*AZ7*0.8*[1]ステータス!$C$2,0))</f>
        <v>2221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1158</v>
      </c>
      <c r="BK7" s="11">
        <f ca="1">ROUND(BD7*S7*AA7*J7*AY7*[1]ステータス!$B$2,0)</f>
        <v>9115</v>
      </c>
      <c r="BL7" s="11">
        <f ca="1">ROUND(BD7*T7*AB7*K7*AZ7*[1]ステータス!$C$2,0)</f>
        <v>4441</v>
      </c>
      <c r="BM7" s="11">
        <f ca="1">ROUND(BD7*U7*AC7*L7*BA7*[1]ステータス!$D$2,0)</f>
        <v>0</v>
      </c>
      <c r="BN7" s="11">
        <f ca="1">ROUND(BD7*V7*AD7*M7*BB7*[1]ステータス!$E$2,0)</f>
        <v>2315</v>
      </c>
      <c r="BO7" s="10">
        <v>0</v>
      </c>
      <c r="BP7" s="10">
        <v>1</v>
      </c>
      <c r="BQ7" s="10" t="s">
        <v>47</v>
      </c>
      <c r="BR7" s="5">
        <f ca="1">VLOOKUP(H7,ghosts_label!$A$2:$B$19,2,FALSE)</f>
        <v>6000</v>
      </c>
    </row>
    <row r="8" spans="1:70" ht="26" customHeight="1" x14ac:dyDescent="0.15">
      <c r="A8" s="10">
        <v>9007</v>
      </c>
      <c r="B8" s="179" t="str">
        <f ca="1">VLOOKUP($A8,OFFSET([1]characters!$A$1,0,0,COUNTA([1]characters!$A:$A),MATCH(B$1,[1]characters!$1:$1,0)-MATCH($A$1,[1]characters!$1:$1,0)+1),MATCH(B$1,[1]characters!$1:$1,0)-MATCH($A$1,[1]characters!$1:$1,0)+1,FALSE)</f>
        <v>田禹治</v>
      </c>
      <c r="C8" s="52" t="str">
        <f ca="1">VLOOKUP($A8,OFFSET([1]characters!$A$1,0,0,COUNTA([1]characters!$A:$A),MATCH(C$1,[1]characters!$1:$1,0)-MATCH($A$1,[1]characters!$1:$1,0)+1),MATCH(C$1,[1]characters!$1:$1,0)-MATCH($A$1,[1]characters!$1:$1,0)+1,FALSE)</f>
        <v>ポムポムプリン</v>
      </c>
      <c r="D8" s="52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2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2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2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2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2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INDEX(コスト!$A$1:$I$21,MATCH(H8,コスト!$A$1:$A$21,FALSE),MATCH(G8,コスト!$A$1:$I$1,FALSE))</f>
        <v>30</v>
      </c>
      <c r="O8" s="11">
        <f ca="1">INDEX(レベル!$A$1:$I$22,MATCH(H8,レベル!$A$1:$A$22,FALSE),MATCH(G8,レベル!$A$1:$I$1,FALSE))</f>
        <v>80</v>
      </c>
      <c r="P8" s="43">
        <f t="shared" ca="1" si="11"/>
        <v>75</v>
      </c>
      <c r="Q8" s="52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1">
        <f ca="1">VLOOKUP(Q8,[1]character_type_i18n!$A:$H,4,FALSE)</f>
        <v>0.9</v>
      </c>
      <c r="T8" s="11">
        <f ca="1">VLOOKUP(Q8,[1]character_type_i18n!$A:$H,5,FALSE)</f>
        <v>0.9</v>
      </c>
      <c r="U8" s="11">
        <f ca="1">VLOOKUP(Q8,[1]character_type_i18n!$A:$H,6,FALSE)</f>
        <v>1</v>
      </c>
      <c r="V8" s="11">
        <f ca="1">VLOOKUP(Q8,[1]character_type_i18n!$A:$H,7,FALSE)</f>
        <v>0.9</v>
      </c>
      <c r="W8" s="52" t="str">
        <f ca="1">VLOOKUP($A8,OFFSET([1]characters!$A$1,0,0,COUNTA([1]characters!$A:$A),MATCH(W$1,[1]characters!$1:$1,0)-MATCH($A$1,[1]characters!$1:$1,0)+1),MATCH(W$1,[1]characters!$1:$1,0)-MATCH($A$1,[1]characters!$1:$1,0)+1,FALSE)</f>
        <v>hero</v>
      </c>
      <c r="X8" s="5" t="str">
        <f ca="1">VLOOKUP(W8,[1]character_tribe_i18n!$A:$H,3,FALSE)</f>
        <v>ヒーロー</v>
      </c>
      <c r="Y8" s="52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</v>
      </c>
      <c r="AC8" s="11">
        <f ca="1">VLOOKUP(W8,[1]character_tribe_i18n!$A:$H,6,FALSE)</f>
        <v>1</v>
      </c>
      <c r="AD8" s="11">
        <f ca="1">VLOOKUP(W8,[1]character_tribe_i18n!$A:$H,7,FALSE)</f>
        <v>1</v>
      </c>
      <c r="AE8" s="9" t="s">
        <v>183</v>
      </c>
      <c r="AF8" s="57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229">
        <v>9007</v>
      </c>
      <c r="AH8" s="57" t="str">
        <f ca="1">VLOOKUP($AG8,OFFSET([1]characters!$A$1,0,0,COUNTA([1]characters!$A:$A),MATCH(AH$1,[1]characters!$1:$1,0)-MATCH($A$1,[1]characters!$1:$1,0)+1),MATCH(AH$1,[1]characters!$1:$1,0)-MATCH($A$1,[1]characters!$1:$1,0)+1,FALSE)</f>
        <v>田禹治</v>
      </c>
      <c r="AI8" s="11" t="str">
        <f>IF(AE8="NULL","NULL",VLOOKUP(G8,ビット!$A$2:$B$7,2))</f>
        <v>NULL</v>
      </c>
      <c r="AJ8" s="6">
        <v>2</v>
      </c>
      <c r="AK8" s="7" t="str">
        <f t="shared" si="9"/>
        <v>普通</v>
      </c>
      <c r="AL8" s="11" t="str">
        <f ca="1">INDEX(経験値!$A$1:$I$21,MATCH(H8,経験値!$A$1:$A$21,FALSE),MATCH(G8,経験値!$A$1:$I$1,FALSE))</f>
        <v>required_exp_200</v>
      </c>
      <c r="AM8" s="8">
        <f ca="1">VLOOKUP(G8,経験値!$A$28:$B$32,2)</f>
        <v>6400</v>
      </c>
      <c r="AN8" s="17">
        <f ca="1">VLOOKUP(G8,ビット!$G$2:$H$7,2)</f>
        <v>900</v>
      </c>
      <c r="AO8" s="40"/>
      <c r="AP8" s="112">
        <f t="shared" si="12"/>
        <v>9007</v>
      </c>
      <c r="AQ8" s="52" t="str">
        <f ca="1">VLOOKUP($AP8,OFFSET(unit_skills!$A$1,0,0,COUNTA(unit_skills!$A:$A),MATCH(AQ$1,unit_skills!$1:$1,0)-MATCH($AP$1,unit_skills!$1:$1,0)+1),MATCH(AQ$1,unit_skills!$1:$1,0)-MATCH($AP$1,unit_skills!$1:$1,0)+1,FALSE)</f>
        <v>田禹治の技</v>
      </c>
      <c r="AR8" s="52" t="str">
        <f ca="1">VLOOKUP($AP8,OFFSET(unit_skills!$A$1,0,0,COUNTA(unit_skills!$A:$A),MATCH(AR$1,unit_skills!$1:$1,0)-MATCH($AP$1,unit_skills!$1:$1,0)+1),MATCH(AR$1,unit_skills!$1:$1,0)-MATCH($AP$1,unit_skills!$1:$1,0)+1,FALSE)</f>
        <v>HP5500回復(黄・お邪魔パネルを1つ吸収する毎にHPを300回復)+1ターン特大カウンター+フィーバーゲージ15%UP</v>
      </c>
      <c r="AS8" s="52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38">
        <f t="shared" si="13"/>
        <v>9007</v>
      </c>
      <c r="AU8" s="52" t="str">
        <f ca="1">VLOOKUP($AT8,OFFSET(crash_skills!$A$1,0,0,COUNTA(crash_skills!$A:$A),MATCH(AU$1,crash_skills!$1:$1,0)-MATCH($AT$1,crash_skills!$1:$1,0)+1),MATCH(AU$1,crash_skills!$1:$1,0)-MATCH($AT$1,crash_skills!$1:$1,0)+1,FALSE)</f>
        <v>田禹治の技</v>
      </c>
      <c r="AV8" s="52" t="str">
        <f ca="1">VLOOKUP($AT8,OFFSET(crash_skills!$A$1,0,0,COUNTA(crash_skills!$A:$A),MATCH(AV$1,crash_skills!$1:$1,0)-MATCH($AT$1,crash_skills!$1:$1,0)+1),MATCH(AV$1,crash_skills!$1:$1,0)-MATCH($AT$1,crash_skills!$1:$1,0)+1,FALSE)</f>
        <v>単体に4連続小ダメージ</v>
      </c>
      <c r="AW8" s="52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3">
        <f ca="1">VLOOKUP($A8,OFFSET([1]characters!$A$1,0,0,COUNTA([1]characters!$A:$A),MATCH(AX$1,[1]characters!$1:$1,0)-MATCH($A$1,[1]characters!$1:$1,0)+1),MATCH(AX$1,[1]characters!$1:$1,0)-MATCH($A$1,[1]characters!$1:$1,0)+1,FALSE)</f>
        <v>1</v>
      </c>
      <c r="AY8" s="62">
        <v>1.1536999999999999</v>
      </c>
      <c r="AZ8" s="62">
        <v>1.3163</v>
      </c>
      <c r="BA8" s="223">
        <v>0</v>
      </c>
      <c r="BB8" s="62">
        <v>1.1715</v>
      </c>
      <c r="BC8" s="11">
        <f ca="1">INDEX('RC6SV'!$A$1:$G$21,MATCH(H8,'RC6SV'!$A$1:$A$21,FALSE),MATCH(G8,'RC6SV'!$A$1:$G$1,FALSE))</f>
        <v>9000</v>
      </c>
      <c r="BD8" s="43">
        <f t="shared" ca="1" si="10"/>
        <v>9000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2336</v>
      </c>
      <c r="BH8" s="16">
        <f ca="1">IF($BE8&lt;=0,ROUND(BL8*0.5,0), ROUND($BE8*T8*AB8*K8*AZ8*0.8*[1]ステータス!$C$2,0))</f>
        <v>1632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1163</v>
      </c>
      <c r="BK8" s="11">
        <f ca="1">ROUND(BD8*S8*AA8*J8*AY8*[1]ステータス!$B$2,0)</f>
        <v>4672</v>
      </c>
      <c r="BL8" s="11">
        <f ca="1">ROUND(BD8*T8*AB8*K8*AZ8*[1]ステータス!$C$2,0)</f>
        <v>3263</v>
      </c>
      <c r="BM8" s="11">
        <f ca="1">ROUND(BD8*U8*AC8*L8*BA8*[1]ステータス!$D$2,0)</f>
        <v>0</v>
      </c>
      <c r="BN8" s="11">
        <f ca="1">ROUND(BD8*V8*AD8*M8*BB8*[1]ステータス!$E$2,0)</f>
        <v>2325</v>
      </c>
      <c r="BO8" s="10">
        <v>0</v>
      </c>
      <c r="BP8" s="10">
        <v>1</v>
      </c>
      <c r="BQ8" s="10" t="s">
        <v>47</v>
      </c>
      <c r="BR8" s="5">
        <f ca="1">VLOOKUP(H8,ghosts_label!$A$2:$B$19,2,FALSE)</f>
        <v>1</v>
      </c>
    </row>
    <row r="9" spans="1:70" ht="26" customHeight="1" x14ac:dyDescent="0.15">
      <c r="A9" s="10">
        <v>9008</v>
      </c>
      <c r="B9" s="179" t="str">
        <f ca="1">VLOOKUP($A9,OFFSET([1]characters!$A$1,0,0,COUNTA([1]characters!$A:$A),MATCH(B$1,[1]characters!$1:$1,0)-MATCH($A$1,[1]characters!$1:$1,0)+1),MATCH(B$1,[1]characters!$1:$1,0)-MATCH($A$1,[1]characters!$1:$1,0)+1,FALSE)</f>
        <v>田禹治★６</v>
      </c>
      <c r="C9" s="52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9" s="52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2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2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2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2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2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INDEX(コスト!$A$1:$I$21,MATCH(H9,コスト!$A$1:$A$21,FALSE),MATCH(G9,コスト!$A$1:$I$1,FALSE))</f>
        <v>45</v>
      </c>
      <c r="O9" s="11">
        <f ca="1">INDEX(レベル!$A$1:$I$22,MATCH(H9,レベル!$A$1:$A$22,FALSE),MATCH(G9,レベル!$A$1:$I$1,FALSE))</f>
        <v>99</v>
      </c>
      <c r="P9" s="43">
        <f t="shared" ca="1" si="11"/>
        <v>99</v>
      </c>
      <c r="Q9" s="52" t="str">
        <f ca="1">VLOOKUP($A9,OFFSET([1]characters!$A$1,0,0,COUNTA([1]characters!$A:$A),MATCH(Q$1,[1]characters!$1:$1,0)-MATCH($A$1,[1]characters!$1:$1,0)+1),MATCH(Q$1,[1]characters!$1:$1,0)-MATCH($A$1,[1]characters!$1:$1,0)+1,FALSE)</f>
        <v>technical</v>
      </c>
      <c r="R9" s="5" t="str">
        <f ca="1">VLOOKUP(Q9,[1]character_type_i18n!$A:$H,3,FALSE)</f>
        <v>テクニカルタイプ</v>
      </c>
      <c r="S9" s="11">
        <f ca="1">VLOOKUP(Q9,[1]character_type_i18n!$A:$H,4,FALSE)</f>
        <v>0.9</v>
      </c>
      <c r="T9" s="11">
        <f ca="1">VLOOKUP(Q9,[1]character_type_i18n!$A:$H,5,FALSE)</f>
        <v>0.9</v>
      </c>
      <c r="U9" s="11">
        <f ca="1">VLOOKUP(Q9,[1]character_type_i18n!$A:$H,6,FALSE)</f>
        <v>1</v>
      </c>
      <c r="V9" s="11">
        <f ca="1">VLOOKUP(Q9,[1]character_type_i18n!$A:$H,7,FALSE)</f>
        <v>0.9</v>
      </c>
      <c r="W9" s="52" t="str">
        <f ca="1">VLOOKUP($A9,OFFSET([1]characters!$A$1,0,0,COUNTA([1]characters!$A:$A),MATCH(W$1,[1]characters!$1:$1,0)-MATCH($A$1,[1]characters!$1:$1,0)+1),MATCH(W$1,[1]characters!$1:$1,0)-MATCH($A$1,[1]characters!$1:$1,0)+1,FALSE)</f>
        <v>hero</v>
      </c>
      <c r="X9" s="5" t="str">
        <f ca="1">VLOOKUP(W9,[1]character_tribe_i18n!$A:$H,3,FALSE)</f>
        <v>ヒーロー</v>
      </c>
      <c r="Y9" s="52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</v>
      </c>
      <c r="AC9" s="11">
        <f ca="1">VLOOKUP(W9,[1]character_tribe_i18n!$A:$H,6,FALSE)</f>
        <v>1</v>
      </c>
      <c r="AD9" s="11">
        <f ca="1">VLOOKUP(W9,[1]character_tribe_i18n!$A:$H,7,FALSE)</f>
        <v>1</v>
      </c>
      <c r="AE9" s="9" t="s">
        <v>183</v>
      </c>
      <c r="AF9" s="57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229">
        <v>9007</v>
      </c>
      <c r="AH9" s="57" t="str">
        <f ca="1">VLOOKUP($AG9,OFFSET([1]characters!$A$1,0,0,COUNTA([1]characters!$A:$A),MATCH(AH$1,[1]characters!$1:$1,0)-MATCH($A$1,[1]characters!$1:$1,0)+1),MATCH(AH$1,[1]characters!$1:$1,0)-MATCH($A$1,[1]characters!$1:$1,0)+1,FALSE)</f>
        <v>田禹治</v>
      </c>
      <c r="AI9" s="11" t="str">
        <f>IF(AE9="NULL","NULL",VLOOKUP(G9,ビット!$A$2:$B$7,2))</f>
        <v>NULL</v>
      </c>
      <c r="AJ9" s="6">
        <v>2</v>
      </c>
      <c r="AK9" s="7" t="str">
        <f t="shared" ref="AK9" si="14">IF(AJ9=1,"早熟",IF(AJ9=2,"普通",IF(AJ9=3,"晩成","")))</f>
        <v>普通</v>
      </c>
      <c r="AL9" s="11" t="str">
        <f ca="1">INDEX(経験値!$A$1:$I$21,MATCH(H9,経験値!$A$1:$A$21,FALSE),MATCH(G9,経験値!$A$1:$I$1,FALSE))</f>
        <v>required_exp_250</v>
      </c>
      <c r="AM9" s="8">
        <f ca="1">VLOOKUP(G9,経験値!$A$28:$B$32,2)</f>
        <v>6400</v>
      </c>
      <c r="AN9" s="17">
        <f ca="1">VLOOKUP(G9,ビット!$G$2:$H$7,2)</f>
        <v>900</v>
      </c>
      <c r="AO9" s="40"/>
      <c r="AP9" s="112">
        <f>A9</f>
        <v>9008</v>
      </c>
      <c r="AQ9" s="52" t="str">
        <f ca="1">VLOOKUP($AP9,OFFSET(unit_skills!$A$1,0,0,COUNTA(unit_skills!$A:$A),MATCH(AQ$1,unit_skills!$1:$1,0)-MATCH($AP$1,unit_skills!$1:$1,0)+1),MATCH(AQ$1,unit_skills!$1:$1,0)-MATCH($AP$1,unit_skills!$1:$1,0)+1,FALSE)</f>
        <v>田禹治★６の技</v>
      </c>
      <c r="AR9" s="52" t="str">
        <f ca="1">VLOOKUP($AP9,OFFSET(unit_skills!$A$1,0,0,COUNTA(unit_skills!$A:$A),MATCH(AR$1,unit_skills!$1:$1,0)-MATCH($AP$1,unit_skills!$1:$1,0)+1),MATCH(AR$1,unit_skills!$1:$1,0)-MATCH($AP$1,unit_skills!$1:$1,0)+1,FALSE)</f>
        <v>HP5500回復(黄・お邪魔パネルを1つ吸収する毎にHPを300回復)+2ターン特大カウンター+フィーバーゲージ15%UP</v>
      </c>
      <c r="AS9" s="52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38">
        <f t="shared" si="13"/>
        <v>9008</v>
      </c>
      <c r="AU9" s="52" t="str">
        <f ca="1">VLOOKUP($AT9,OFFSET(crash_skills!$A$1,0,0,COUNTA(crash_skills!$A:$A),MATCH(AU$1,crash_skills!$1:$1,0)-MATCH($AT$1,crash_skills!$1:$1,0)+1),MATCH(AU$1,crash_skills!$1:$1,0)-MATCH($AT$1,crash_skills!$1:$1,0)+1,FALSE)</f>
        <v>田禹治★６の技</v>
      </c>
      <c r="AV9" s="52" t="str">
        <f ca="1">VLOOKUP($AT9,OFFSET(crash_skills!$A$1,0,0,COUNTA(crash_skills!$A:$A),MATCH(AV$1,crash_skills!$1:$1,0)-MATCH($AT$1,crash_skills!$1:$1,0)+1),MATCH(AV$1,crash_skills!$1:$1,0)-MATCH($AT$1,crash_skills!$1:$1,0)+1,FALSE)</f>
        <v>単体に4連続ダメージ</v>
      </c>
      <c r="AW9" s="52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3">
        <f ca="1">VLOOKUP($A9,OFFSET([1]characters!$A$1,0,0,COUNTA([1]characters!$A:$A),MATCH(AX$1,[1]characters!$1:$1,0)-MATCH($A$1,[1]characters!$1:$1,0)+1),MATCH(AX$1,[1]characters!$1:$1,0)-MATCH($A$1,[1]characters!$1:$1,0)+1,FALSE)</f>
        <v>1</v>
      </c>
      <c r="AY9" s="62">
        <v>1.1536999999999999</v>
      </c>
      <c r="AZ9" s="62">
        <v>1.3163</v>
      </c>
      <c r="BA9" s="223">
        <v>0</v>
      </c>
      <c r="BB9" s="62">
        <v>1.1715</v>
      </c>
      <c r="BC9" s="11">
        <f ca="1">INDEX('RC6SV'!$A$1:$G$21,MATCH(H9,'RC6SV'!$A$1:$A$21,FALSE),MATCH(G9,'RC6SV'!$A$1:$G$1,FALSE))</f>
        <v>12000</v>
      </c>
      <c r="BD9" s="43">
        <f t="shared" ref="BD9" ca="1" si="15">ROUND(BC9*IF(AJ9=1,0.95,IF(AJ9=2,1,IF(AJ9,1.05,0))),0)</f>
        <v>12000</v>
      </c>
      <c r="BE9" s="11">
        <f t="shared" ca="1" si="3"/>
        <v>0</v>
      </c>
      <c r="BF9" s="11">
        <f t="shared" ca="1" si="4"/>
        <v>1</v>
      </c>
      <c r="BG9" s="16">
        <f ca="1">IF($BE9&lt;=0,ROUND(BK9*0.5,0), ROUND($BE9*S9*AA9*J9*AY9*0.8*[1]ステータス!$B$2,0))</f>
        <v>3115</v>
      </c>
      <c r="BH9" s="16">
        <f ca="1">IF($BE9&lt;=0,ROUND(BL9*0.5,0), ROUND($BE9*T9*AB9*K9*AZ9*0.8*[1]ステータス!$C$2,0))</f>
        <v>2175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1550</v>
      </c>
      <c r="BK9" s="11">
        <f ca="1">ROUND(BD9*S9*AA9*J9*AY9*[1]ステータス!$B$2,0)</f>
        <v>6230</v>
      </c>
      <c r="BL9" s="11">
        <f ca="1">ROUND(BD9*T9*AB9*K9*AZ9*[1]ステータス!$C$2,0)</f>
        <v>4350</v>
      </c>
      <c r="BM9" s="11">
        <f ca="1">ROUND(BD9*U9*AC9*L9*BA9*[1]ステータス!$D$2,0)</f>
        <v>0</v>
      </c>
      <c r="BN9" s="11">
        <f ca="1">ROUND(BD9*V9*AD9*M9*BB9*[1]ステータス!$E$2,0)</f>
        <v>3100</v>
      </c>
      <c r="BO9" s="10">
        <v>0</v>
      </c>
      <c r="BP9" s="10">
        <v>1</v>
      </c>
      <c r="BQ9" s="10" t="s">
        <v>47</v>
      </c>
      <c r="BR9" s="5">
        <f ca="1">VLOOKUP(H9,ghosts_label!$A$2:$B$19,2,FALSE)</f>
        <v>1</v>
      </c>
    </row>
  </sheetData>
  <autoFilter ref="A1:BR1"/>
  <phoneticPr fontId="10"/>
  <conditionalFormatting sqref="BO1">
    <cfRule type="cellIs" dxfId="40" priority="121" stopIfTrue="1" operator="equal">
      <formula>1</formula>
    </cfRule>
  </conditionalFormatting>
  <conditionalFormatting sqref="BR1">
    <cfRule type="cellIs" dxfId="39" priority="120" stopIfTrue="1" operator="equal">
      <formula>1</formula>
    </cfRule>
  </conditionalFormatting>
  <conditionalFormatting sqref="BQ1">
    <cfRule type="cellIs" dxfId="38" priority="1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9"/>
  <sheetViews>
    <sheetView showGridLines="0" tabSelected="1" workbookViewId="0">
      <pane xSplit="4" ySplit="1" topLeftCell="E7" activePane="bottomRight" state="frozen"/>
      <selection pane="topRight" activeCell="D1" sqref="D1"/>
      <selection pane="bottomLeft" activeCell="A2" sqref="A2"/>
      <selection pane="bottomRight" activeCell="I9" sqref="I9"/>
    </sheetView>
  </sheetViews>
  <sheetFormatPr baseColWidth="12" defaultColWidth="13" defaultRowHeight="21" customHeight="1" outlineLevelCol="1" x14ac:dyDescent="0.15"/>
  <cols>
    <col min="1" max="1" width="16.1640625" style="125" bestFit="1" customWidth="1"/>
    <col min="2" max="2" width="13" style="125" bestFit="1" customWidth="1"/>
    <col min="3" max="3" width="21.83203125" style="125" customWidth="1"/>
    <col min="4" max="4" width="41.83203125" style="125" customWidth="1"/>
    <col min="5" max="5" width="9" style="125" customWidth="1"/>
    <col min="6" max="6" width="9.33203125" style="125" customWidth="1"/>
    <col min="7" max="7" width="8.1640625" style="125" bestFit="1" customWidth="1"/>
    <col min="8" max="8" width="13.6640625" style="125" bestFit="1" customWidth="1"/>
    <col min="9" max="9" width="54.6640625" style="125" customWidth="1"/>
    <col min="10" max="10" width="51.6640625" style="125" customWidth="1"/>
    <col min="11" max="11" width="10.83203125" style="125" hidden="1" customWidth="1" outlineLevel="1"/>
    <col min="12" max="17" width="9.5" style="124" hidden="1" customWidth="1" outlineLevel="1"/>
    <col min="18" max="18" width="20.33203125" style="125" hidden="1" customWidth="1" outlineLevel="1"/>
    <col min="19" max="19" width="10.33203125" style="125" bestFit="1" customWidth="1" collapsed="1"/>
    <col min="20" max="16384" width="13" style="125"/>
  </cols>
  <sheetData>
    <row r="1" spans="1:19" s="124" customFormat="1" ht="21" customHeight="1" x14ac:dyDescent="0.15">
      <c r="A1" s="113" t="s">
        <v>20</v>
      </c>
      <c r="B1" s="114" t="s">
        <v>134</v>
      </c>
      <c r="C1" s="115" t="s">
        <v>40</v>
      </c>
      <c r="D1" s="116" t="s">
        <v>163</v>
      </c>
      <c r="E1" s="116" t="s">
        <v>164</v>
      </c>
      <c r="F1" s="113" t="s">
        <v>146</v>
      </c>
      <c r="G1" s="117" t="s">
        <v>2</v>
      </c>
      <c r="H1" s="117" t="s">
        <v>165</v>
      </c>
      <c r="I1" s="117" t="s">
        <v>166</v>
      </c>
      <c r="J1" s="118" t="s">
        <v>184</v>
      </c>
      <c r="K1" s="117" t="s">
        <v>4</v>
      </c>
      <c r="L1" s="119" t="s">
        <v>167</v>
      </c>
      <c r="M1" s="120" t="s">
        <v>168</v>
      </c>
      <c r="N1" s="120" t="s">
        <v>169</v>
      </c>
      <c r="O1" s="120" t="s">
        <v>170</v>
      </c>
      <c r="P1" s="120" t="s">
        <v>171</v>
      </c>
      <c r="Q1" s="121" t="s">
        <v>172</v>
      </c>
      <c r="R1" s="122" t="s">
        <v>173</v>
      </c>
      <c r="S1" s="123" t="s">
        <v>174</v>
      </c>
    </row>
    <row r="2" spans="1:19" s="124" customFormat="1" ht="126" x14ac:dyDescent="0.15">
      <c r="A2" s="10">
        <v>9001</v>
      </c>
      <c r="B2" s="226" t="s">
        <v>323</v>
      </c>
      <c r="C2" s="227" t="str">
        <f t="shared" ref="C2:C5" ca="1" si="0">J2&amp;"の技"</f>
        <v>春香の技</v>
      </c>
      <c r="D2" s="129" t="s">
        <v>353</v>
      </c>
      <c r="E2" s="224">
        <f t="shared" ref="E2:E5" si="1">LEN(D2)</f>
        <v>63</v>
      </c>
      <c r="F2" s="112">
        <v>12</v>
      </c>
      <c r="G2" s="112">
        <v>5</v>
      </c>
      <c r="H2" s="225">
        <f>2001</f>
        <v>2001</v>
      </c>
      <c r="I2" s="131" t="s">
        <v>364</v>
      </c>
      <c r="J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春香</v>
      </c>
      <c r="K2" s="132">
        <v>1</v>
      </c>
      <c r="L2" s="133"/>
      <c r="M2" s="134"/>
      <c r="N2" s="134"/>
      <c r="O2" s="134"/>
      <c r="P2" s="134"/>
      <c r="Q2" s="134"/>
      <c r="R2" s="129"/>
      <c r="S2" s="135"/>
    </row>
    <row r="3" spans="1:19" s="124" customFormat="1" ht="126" x14ac:dyDescent="0.15">
      <c r="A3" s="10">
        <v>9002</v>
      </c>
      <c r="B3" s="226" t="s">
        <v>323</v>
      </c>
      <c r="C3" s="227" t="str">
        <f t="shared" ca="1" si="0"/>
        <v>春香★６の技</v>
      </c>
      <c r="D3" s="129" t="s">
        <v>354</v>
      </c>
      <c r="E3" s="224">
        <f t="shared" si="1"/>
        <v>64</v>
      </c>
      <c r="F3" s="112">
        <v>11</v>
      </c>
      <c r="G3" s="112">
        <v>5</v>
      </c>
      <c r="H3" s="225">
        <f>2001</f>
        <v>2001</v>
      </c>
      <c r="I3" s="131" t="s">
        <v>347</v>
      </c>
      <c r="J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春香★６</v>
      </c>
      <c r="K3" s="132">
        <v>1</v>
      </c>
      <c r="L3" s="133"/>
      <c r="M3" s="134"/>
      <c r="N3" s="134"/>
      <c r="O3" s="134"/>
      <c r="P3" s="134"/>
      <c r="Q3" s="134"/>
      <c r="R3" s="129"/>
      <c r="S3" s="135"/>
    </row>
    <row r="4" spans="1:19" ht="70" x14ac:dyDescent="0.15">
      <c r="A4" s="10">
        <v>9003</v>
      </c>
      <c r="B4" s="226" t="s">
        <v>312</v>
      </c>
      <c r="C4" s="227" t="str">
        <f t="shared" ca="1" si="0"/>
        <v>夢龍の技</v>
      </c>
      <c r="D4" s="129" t="s">
        <v>355</v>
      </c>
      <c r="E4" s="224">
        <f t="shared" si="1"/>
        <v>32</v>
      </c>
      <c r="F4" s="112">
        <v>13</v>
      </c>
      <c r="G4" s="112">
        <v>7</v>
      </c>
      <c r="H4" s="225">
        <f>2001</f>
        <v>2001</v>
      </c>
      <c r="I4" s="131" t="s">
        <v>357</v>
      </c>
      <c r="J4" s="52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夢龍</v>
      </c>
      <c r="K4" s="132">
        <v>1</v>
      </c>
      <c r="L4" s="133"/>
      <c r="M4" s="134"/>
      <c r="N4" s="134"/>
      <c r="O4" s="134"/>
      <c r="P4" s="134"/>
      <c r="Q4" s="134"/>
      <c r="R4" s="129"/>
      <c r="S4" s="135"/>
    </row>
    <row r="5" spans="1:19" ht="112" x14ac:dyDescent="0.15">
      <c r="A5" s="10">
        <v>9004</v>
      </c>
      <c r="B5" s="226" t="s">
        <v>313</v>
      </c>
      <c r="C5" s="227" t="str">
        <f t="shared" ca="1" si="0"/>
        <v>夢龍★６の技</v>
      </c>
      <c r="D5" s="129" t="s">
        <v>356</v>
      </c>
      <c r="E5" s="224">
        <f t="shared" si="1"/>
        <v>42</v>
      </c>
      <c r="F5" s="112">
        <v>13</v>
      </c>
      <c r="G5" s="112">
        <v>7</v>
      </c>
      <c r="H5" s="225">
        <f>2001</f>
        <v>2001</v>
      </c>
      <c r="I5" s="131" t="s">
        <v>358</v>
      </c>
      <c r="J5" s="52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夢龍★６</v>
      </c>
      <c r="K5" s="132">
        <v>1</v>
      </c>
      <c r="L5" s="133"/>
      <c r="M5" s="134"/>
      <c r="N5" s="134"/>
      <c r="O5" s="134"/>
      <c r="P5" s="134"/>
      <c r="Q5" s="134"/>
      <c r="R5" s="129"/>
      <c r="S5" s="135"/>
    </row>
    <row r="6" spans="1:19" ht="112" x14ac:dyDescent="0.15">
      <c r="A6" s="10">
        <v>9005</v>
      </c>
      <c r="B6" s="226" t="s">
        <v>313</v>
      </c>
      <c r="C6" s="227" t="str">
        <f t="shared" ref="C6:C9" ca="1" si="2">J6&amp;"の技"</f>
        <v>降臨の技</v>
      </c>
      <c r="D6" s="129" t="s">
        <v>365</v>
      </c>
      <c r="E6" s="224">
        <f t="shared" ref="E6:E9" si="3">LEN(D6)</f>
        <v>51</v>
      </c>
      <c r="F6" s="112">
        <v>12</v>
      </c>
      <c r="G6" s="112">
        <v>5</v>
      </c>
      <c r="H6" s="225">
        <f>2001</f>
        <v>2001</v>
      </c>
      <c r="I6" s="131" t="s">
        <v>371</v>
      </c>
      <c r="J6" s="52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降臨</v>
      </c>
      <c r="K6" s="132">
        <v>1</v>
      </c>
      <c r="L6" s="133"/>
      <c r="M6" s="134"/>
      <c r="N6" s="134"/>
      <c r="O6" s="134"/>
      <c r="P6" s="134"/>
      <c r="Q6" s="134"/>
      <c r="R6" s="129"/>
      <c r="S6" s="135"/>
    </row>
    <row r="7" spans="1:19" ht="126" x14ac:dyDescent="0.15">
      <c r="A7" s="10">
        <v>9006</v>
      </c>
      <c r="B7" s="226" t="s">
        <v>313</v>
      </c>
      <c r="C7" s="227" t="str">
        <f t="shared" ca="1" si="2"/>
        <v>降臨★６の技</v>
      </c>
      <c r="D7" s="129" t="s">
        <v>366</v>
      </c>
      <c r="E7" s="224">
        <f t="shared" si="3"/>
        <v>66</v>
      </c>
      <c r="F7" s="112">
        <v>12</v>
      </c>
      <c r="G7" s="112">
        <v>5</v>
      </c>
      <c r="H7" s="225">
        <f>2001</f>
        <v>2001</v>
      </c>
      <c r="I7" s="131" t="s">
        <v>372</v>
      </c>
      <c r="J7" s="52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降臨★６</v>
      </c>
      <c r="K7" s="132">
        <v>1</v>
      </c>
      <c r="L7" s="133"/>
      <c r="M7" s="134"/>
      <c r="N7" s="134"/>
      <c r="O7" s="134"/>
      <c r="P7" s="134"/>
      <c r="Q7" s="134"/>
      <c r="R7" s="129"/>
      <c r="S7" s="135"/>
    </row>
    <row r="8" spans="1:19" ht="98" x14ac:dyDescent="0.15">
      <c r="A8" s="10">
        <v>9007</v>
      </c>
      <c r="B8" s="226" t="s">
        <v>313</v>
      </c>
      <c r="C8" s="227" t="str">
        <f t="shared" ca="1" si="2"/>
        <v>田禹治の技</v>
      </c>
      <c r="D8" s="129" t="s">
        <v>377</v>
      </c>
      <c r="E8" s="224">
        <f t="shared" si="3"/>
        <v>61</v>
      </c>
      <c r="F8" s="112">
        <v>13</v>
      </c>
      <c r="G8" s="112">
        <v>7</v>
      </c>
      <c r="H8" s="225">
        <f>2001</f>
        <v>2001</v>
      </c>
      <c r="I8" s="131" t="s">
        <v>379</v>
      </c>
      <c r="J8" s="52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田禹治</v>
      </c>
      <c r="K8" s="132">
        <v>1</v>
      </c>
      <c r="L8" s="133"/>
      <c r="M8" s="134"/>
      <c r="N8" s="134"/>
      <c r="O8" s="134"/>
      <c r="P8" s="134"/>
      <c r="Q8" s="134"/>
      <c r="R8" s="129"/>
      <c r="S8" s="135"/>
    </row>
    <row r="9" spans="1:19" ht="98" x14ac:dyDescent="0.15">
      <c r="A9" s="10">
        <v>9008</v>
      </c>
      <c r="B9" s="226" t="s">
        <v>313</v>
      </c>
      <c r="C9" s="227" t="str">
        <f t="shared" ca="1" si="2"/>
        <v>田禹治★６の技</v>
      </c>
      <c r="D9" s="129" t="s">
        <v>378</v>
      </c>
      <c r="E9" s="224">
        <f t="shared" si="3"/>
        <v>61</v>
      </c>
      <c r="F9" s="112">
        <v>13</v>
      </c>
      <c r="G9" s="112">
        <v>7</v>
      </c>
      <c r="H9" s="225">
        <f>2001</f>
        <v>2001</v>
      </c>
      <c r="I9" s="131" t="s">
        <v>380</v>
      </c>
      <c r="J9" s="52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田禹治★６</v>
      </c>
      <c r="K9" s="132">
        <v>1</v>
      </c>
      <c r="L9" s="133"/>
      <c r="M9" s="134"/>
      <c r="N9" s="134"/>
      <c r="O9" s="134"/>
      <c r="P9" s="134"/>
      <c r="Q9" s="134"/>
      <c r="R9" s="129"/>
      <c r="S9" s="135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0:E1048576">
    <cfRule type="cellIs" dxfId="37" priority="19" operator="greaterThan">
      <formula>41</formula>
    </cfRule>
  </conditionalFormatting>
  <conditionalFormatting sqref="E4:E5">
    <cfRule type="cellIs" dxfId="36" priority="12" operator="greaterThan">
      <formula>41</formula>
    </cfRule>
  </conditionalFormatting>
  <conditionalFormatting sqref="E2:E3">
    <cfRule type="cellIs" dxfId="35" priority="11" operator="greaterThan">
      <formula>41</formula>
    </cfRule>
  </conditionalFormatting>
  <conditionalFormatting sqref="E6:E9">
    <cfRule type="cellIs" dxfId="34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9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8" sqref="F8"/>
    </sheetView>
  </sheetViews>
  <sheetFormatPr baseColWidth="12" defaultColWidth="13" defaultRowHeight="21" customHeight="1" x14ac:dyDescent="0.15"/>
  <cols>
    <col min="1" max="2" width="12.1640625" style="125" customWidth="1"/>
    <col min="3" max="3" width="48.83203125" style="126" customWidth="1"/>
    <col min="4" max="4" width="31.83203125" style="126" customWidth="1"/>
    <col min="5" max="5" width="10.5" style="126" customWidth="1"/>
    <col min="6" max="6" width="59.1640625" style="221" customWidth="1"/>
    <col min="7" max="7" width="59.1640625" style="126" customWidth="1"/>
    <col min="8" max="8" width="6.83203125" style="125" bestFit="1" customWidth="1"/>
    <col min="9" max="9" width="20.33203125" style="125" customWidth="1"/>
    <col min="10" max="10" width="5" style="125" bestFit="1" customWidth="1"/>
    <col min="11" max="16384" width="13" style="125"/>
  </cols>
  <sheetData>
    <row r="1" spans="1:19" ht="21" customHeight="1" x14ac:dyDescent="0.15">
      <c r="A1" s="113" t="s">
        <v>182</v>
      </c>
      <c r="B1" s="114" t="s">
        <v>181</v>
      </c>
      <c r="C1" s="115" t="s">
        <v>180</v>
      </c>
      <c r="D1" s="116" t="s">
        <v>179</v>
      </c>
      <c r="E1" s="116" t="s">
        <v>178</v>
      </c>
      <c r="F1" s="220" t="s">
        <v>177</v>
      </c>
      <c r="G1" s="118" t="s">
        <v>184</v>
      </c>
      <c r="H1" s="117" t="s">
        <v>176</v>
      </c>
      <c r="I1" s="118" t="s">
        <v>175</v>
      </c>
      <c r="J1" s="122" t="s">
        <v>174</v>
      </c>
    </row>
    <row r="2" spans="1:19" ht="28" x14ac:dyDescent="0.15">
      <c r="A2" s="10">
        <v>9001</v>
      </c>
      <c r="B2" s="128" t="s">
        <v>316</v>
      </c>
      <c r="C2" s="129" t="str">
        <f t="shared" ref="C2:C5" ca="1" si="0">G2&amp;"の技"</f>
        <v>春香の技</v>
      </c>
      <c r="D2" s="129" t="s">
        <v>348</v>
      </c>
      <c r="E2" s="130">
        <f t="shared" ref="E2:E5" si="1">LEN(D2)</f>
        <v>19</v>
      </c>
      <c r="F2" s="181" t="s">
        <v>350</v>
      </c>
      <c r="G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春香</v>
      </c>
      <c r="H2" s="131">
        <v>1</v>
      </c>
      <c r="I2" s="131"/>
      <c r="J2" s="136"/>
      <c r="K2" s="132"/>
      <c r="L2" s="133"/>
      <c r="M2" s="134"/>
      <c r="N2" s="134"/>
      <c r="O2" s="134"/>
      <c r="P2" s="134"/>
      <c r="Q2" s="134"/>
      <c r="R2" s="129"/>
      <c r="S2" s="135"/>
    </row>
    <row r="3" spans="1:19" ht="28" x14ac:dyDescent="0.15">
      <c r="A3" s="10">
        <v>9002</v>
      </c>
      <c r="B3" s="128" t="s">
        <v>316</v>
      </c>
      <c r="C3" s="129" t="str">
        <f t="shared" ca="1" si="0"/>
        <v>春香★６の技</v>
      </c>
      <c r="D3" s="129" t="s">
        <v>349</v>
      </c>
      <c r="E3" s="130">
        <f t="shared" si="1"/>
        <v>20</v>
      </c>
      <c r="F3" s="181" t="s">
        <v>351</v>
      </c>
      <c r="G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春香★６</v>
      </c>
      <c r="H3" s="131">
        <v>1</v>
      </c>
      <c r="I3" s="131"/>
      <c r="J3" s="136"/>
      <c r="K3" s="132"/>
      <c r="L3" s="133"/>
      <c r="M3" s="134"/>
      <c r="N3" s="134"/>
      <c r="O3" s="134"/>
      <c r="P3" s="134"/>
      <c r="Q3" s="134"/>
      <c r="R3" s="129"/>
      <c r="S3" s="135"/>
    </row>
    <row r="4" spans="1:19" ht="28" x14ac:dyDescent="0.25">
      <c r="A4" s="10">
        <v>9003</v>
      </c>
      <c r="B4" s="128" t="s">
        <v>314</v>
      </c>
      <c r="C4" s="129" t="str">
        <f t="shared" ca="1" si="0"/>
        <v>夢龍の技</v>
      </c>
      <c r="D4" s="180" t="s">
        <v>359</v>
      </c>
      <c r="E4" s="130">
        <f t="shared" si="1"/>
        <v>19</v>
      </c>
      <c r="F4" s="181" t="s">
        <v>361</v>
      </c>
      <c r="G4" s="52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夢龍</v>
      </c>
      <c r="H4" s="131">
        <v>1</v>
      </c>
      <c r="I4" s="131"/>
      <c r="J4" s="136"/>
      <c r="K4" s="132"/>
      <c r="L4" s="133"/>
      <c r="M4" s="134"/>
      <c r="N4" s="134"/>
      <c r="O4" s="134"/>
      <c r="P4" s="134"/>
      <c r="Q4" s="134"/>
      <c r="R4" s="129"/>
      <c r="S4" s="135"/>
    </row>
    <row r="5" spans="1:19" ht="32" x14ac:dyDescent="0.25">
      <c r="A5" s="10">
        <v>9004</v>
      </c>
      <c r="B5" s="128" t="s">
        <v>315</v>
      </c>
      <c r="C5" s="129" t="str">
        <f t="shared" ca="1" si="0"/>
        <v>夢龍★６の技</v>
      </c>
      <c r="D5" s="180" t="s">
        <v>360</v>
      </c>
      <c r="E5" s="130">
        <f t="shared" si="1"/>
        <v>26</v>
      </c>
      <c r="F5" s="181" t="s">
        <v>362</v>
      </c>
      <c r="G5" s="52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夢龍★６</v>
      </c>
      <c r="H5" s="131">
        <v>1</v>
      </c>
      <c r="I5" s="131"/>
      <c r="J5" s="136"/>
      <c r="K5" s="132"/>
      <c r="L5" s="133"/>
      <c r="M5" s="134"/>
      <c r="N5" s="134"/>
      <c r="O5" s="134"/>
      <c r="P5" s="134"/>
      <c r="Q5" s="134"/>
      <c r="R5" s="129"/>
      <c r="S5" s="135"/>
    </row>
    <row r="6" spans="1:19" ht="14" x14ac:dyDescent="0.15">
      <c r="A6" s="10">
        <v>9005</v>
      </c>
      <c r="B6" s="128" t="s">
        <v>316</v>
      </c>
      <c r="C6" s="129" t="str">
        <f t="shared" ref="C6:C9" ca="1" si="2">G6&amp;"の技"</f>
        <v>降臨の技</v>
      </c>
      <c r="D6" s="129" t="s">
        <v>367</v>
      </c>
      <c r="E6" s="130">
        <f t="shared" ref="E6:E9" si="3">LEN(D6)</f>
        <v>9</v>
      </c>
      <c r="F6" s="181" t="s">
        <v>369</v>
      </c>
      <c r="G6" s="52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降臨</v>
      </c>
      <c r="H6" s="131">
        <v>1</v>
      </c>
      <c r="I6" s="131"/>
      <c r="J6" s="136"/>
      <c r="K6" s="132"/>
      <c r="L6" s="133"/>
      <c r="M6" s="134"/>
      <c r="N6" s="134"/>
      <c r="O6" s="134"/>
      <c r="P6" s="134"/>
      <c r="Q6" s="134"/>
      <c r="R6" s="129"/>
      <c r="S6" s="135"/>
    </row>
    <row r="7" spans="1:19" ht="42" x14ac:dyDescent="0.15">
      <c r="A7" s="10">
        <v>9006</v>
      </c>
      <c r="B7" s="128" t="s">
        <v>316</v>
      </c>
      <c r="C7" s="129" t="str">
        <f t="shared" ca="1" si="2"/>
        <v>降臨★６の技</v>
      </c>
      <c r="D7" s="129" t="s">
        <v>368</v>
      </c>
      <c r="E7" s="130">
        <f t="shared" si="3"/>
        <v>27</v>
      </c>
      <c r="F7" s="181" t="s">
        <v>370</v>
      </c>
      <c r="G7" s="52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降臨★６</v>
      </c>
      <c r="H7" s="131">
        <v>1</v>
      </c>
      <c r="I7" s="131"/>
      <c r="J7" s="136"/>
      <c r="K7" s="132"/>
      <c r="L7" s="133"/>
      <c r="M7" s="134"/>
      <c r="N7" s="134"/>
      <c r="O7" s="134"/>
      <c r="P7" s="134"/>
      <c r="Q7" s="134"/>
      <c r="R7" s="129"/>
      <c r="S7" s="135"/>
    </row>
    <row r="8" spans="1:19" ht="70" x14ac:dyDescent="0.25">
      <c r="A8" s="10">
        <v>9007</v>
      </c>
      <c r="B8" s="128" t="s">
        <v>314</v>
      </c>
      <c r="C8" s="129" t="str">
        <f t="shared" ca="1" si="2"/>
        <v>田禹治の技</v>
      </c>
      <c r="D8" s="180" t="s">
        <v>375</v>
      </c>
      <c r="E8" s="130">
        <f t="shared" si="3"/>
        <v>11</v>
      </c>
      <c r="F8" s="181" t="s">
        <v>373</v>
      </c>
      <c r="G8" s="52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田禹治</v>
      </c>
      <c r="H8" s="131">
        <v>1</v>
      </c>
      <c r="I8" s="131"/>
      <c r="J8" s="136"/>
      <c r="K8" s="132"/>
      <c r="L8" s="133"/>
      <c r="M8" s="134"/>
      <c r="N8" s="134"/>
      <c r="O8" s="134"/>
      <c r="P8" s="134"/>
      <c r="Q8" s="134"/>
      <c r="R8" s="129"/>
      <c r="S8" s="135"/>
    </row>
    <row r="9" spans="1:19" ht="70" x14ac:dyDescent="0.25">
      <c r="A9" s="10">
        <v>9008</v>
      </c>
      <c r="B9" s="128" t="s">
        <v>315</v>
      </c>
      <c r="C9" s="129" t="str">
        <f t="shared" ca="1" si="2"/>
        <v>田禹治★６の技</v>
      </c>
      <c r="D9" s="180" t="s">
        <v>374</v>
      </c>
      <c r="E9" s="130">
        <f t="shared" si="3"/>
        <v>10</v>
      </c>
      <c r="F9" s="181" t="s">
        <v>376</v>
      </c>
      <c r="G9" s="52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田禹治★６</v>
      </c>
      <c r="H9" s="131">
        <v>1</v>
      </c>
      <c r="I9" s="131"/>
      <c r="J9" s="136"/>
      <c r="K9" s="132"/>
      <c r="L9" s="133"/>
      <c r="M9" s="134"/>
      <c r="N9" s="134"/>
      <c r="O9" s="134"/>
      <c r="P9" s="134"/>
      <c r="Q9" s="134"/>
      <c r="R9" s="129"/>
      <c r="S9" s="135"/>
    </row>
  </sheetData>
  <sheetProtection selectLockedCells="1" selectUnlockedCells="1"/>
  <autoFilter ref="A1:J1"/>
  <phoneticPr fontId="22"/>
  <conditionalFormatting sqref="E4:E5">
    <cfRule type="cellIs" dxfId="33" priority="13" operator="greaterThan">
      <formula>41</formula>
    </cfRule>
  </conditionalFormatting>
  <conditionalFormatting sqref="E2:E3">
    <cfRule type="cellIs" dxfId="32" priority="12" operator="greaterThan">
      <formula>41</formula>
    </cfRule>
  </conditionalFormatting>
  <conditionalFormatting sqref="E8:E9">
    <cfRule type="cellIs" dxfId="31" priority="2" operator="greaterThan">
      <formula>41</formula>
    </cfRule>
  </conditionalFormatting>
  <conditionalFormatting sqref="E6:E7">
    <cfRule type="cellIs" dxfId="30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7"/>
  <sheetViews>
    <sheetView workbookViewId="0">
      <selection activeCell="A37" sqref="A37"/>
    </sheetView>
  </sheetViews>
  <sheetFormatPr baseColWidth="12" defaultRowHeight="15" outlineLevelCol="1" x14ac:dyDescent="0.15"/>
  <cols>
    <col min="2" max="2" width="12.83203125" style="138"/>
    <col min="4" max="4" width="12.83203125" style="138" customWidth="1" outlineLevel="1"/>
    <col min="5" max="5" width="12.83203125" style="138"/>
  </cols>
  <sheetData>
    <row r="1" spans="1:8" x14ac:dyDescent="0.15">
      <c r="A1" s="109" t="s">
        <v>185</v>
      </c>
      <c r="B1" s="137" t="s">
        <v>186</v>
      </c>
      <c r="C1" s="109" t="s">
        <v>187</v>
      </c>
      <c r="D1" s="137" t="s">
        <v>189</v>
      </c>
      <c r="E1" s="137" t="s">
        <v>190</v>
      </c>
      <c r="F1" s="107" t="s">
        <v>191</v>
      </c>
      <c r="G1" s="109" t="s">
        <v>188</v>
      </c>
      <c r="H1" s="107" t="s">
        <v>192</v>
      </c>
    </row>
    <row r="2" spans="1:8" x14ac:dyDescent="0.15">
      <c r="A2" s="103">
        <v>9001</v>
      </c>
      <c r="B2" s="137" t="str">
        <f>VLOOKUP(A2,[1]characters!$A:$C,3,FALSE)</f>
        <v>春香</v>
      </c>
      <c r="C2" s="103" t="s">
        <v>193</v>
      </c>
      <c r="D2" s="137"/>
      <c r="E2" s="137" t="str">
        <f>A2&amp;+(COUNTIF(A$2:A2,A2)-1)</f>
        <v>90010</v>
      </c>
      <c r="F2" s="103" t="s">
        <v>316</v>
      </c>
      <c r="G2" s="182" t="s">
        <v>317</v>
      </c>
      <c r="H2" s="103"/>
    </row>
    <row r="3" spans="1:8" x14ac:dyDescent="0.15">
      <c r="A3" s="103">
        <v>9001</v>
      </c>
      <c r="B3" s="137" t="str">
        <f>VLOOKUP(A3,[1]characters!$A:$C,3,FALSE)</f>
        <v>春香</v>
      </c>
      <c r="C3" s="103" t="s">
        <v>194</v>
      </c>
      <c r="D3" s="137"/>
      <c r="E3" s="137" t="str">
        <f>A3&amp;+(COUNTIF(A$2:A3,A3)-1)</f>
        <v>90011</v>
      </c>
      <c r="F3" s="103" t="s">
        <v>314</v>
      </c>
      <c r="G3" s="182" t="s">
        <v>317</v>
      </c>
      <c r="H3" s="103"/>
    </row>
    <row r="4" spans="1:8" x14ac:dyDescent="0.15">
      <c r="A4" s="103">
        <v>9001</v>
      </c>
      <c r="B4" s="137" t="str">
        <f>VLOOKUP(A4,[1]characters!$A:$C,3,FALSE)</f>
        <v>春香</v>
      </c>
      <c r="C4" s="103" t="s">
        <v>194</v>
      </c>
      <c r="D4" s="137"/>
      <c r="E4" s="137" t="str">
        <f>A4&amp;+(COUNTIF(A$2:A4,A4)-1)</f>
        <v>90012</v>
      </c>
      <c r="F4" s="103" t="s">
        <v>318</v>
      </c>
      <c r="G4" s="182" t="s">
        <v>317</v>
      </c>
      <c r="H4" s="103"/>
    </row>
    <row r="5" spans="1:8" x14ac:dyDescent="0.15">
      <c r="A5" s="103">
        <v>9001</v>
      </c>
      <c r="B5" s="137" t="str">
        <f>VLOOKUP(A5,[1]characters!$A:$C,3,FALSE)</f>
        <v>春香</v>
      </c>
      <c r="C5" s="103" t="s">
        <v>194</v>
      </c>
      <c r="D5" s="137"/>
      <c r="E5" s="137" t="str">
        <f>A5&amp;+(COUNTIF(A$2:A5,A5)-1)</f>
        <v>90013</v>
      </c>
      <c r="F5" s="103" t="s">
        <v>316</v>
      </c>
      <c r="G5" s="182" t="s">
        <v>317</v>
      </c>
      <c r="H5" s="103"/>
    </row>
    <row r="6" spans="1:8" x14ac:dyDescent="0.15">
      <c r="A6" s="103">
        <v>9002</v>
      </c>
      <c r="B6" s="137" t="str">
        <f>VLOOKUP(A6,[1]characters!$A:$C,3,FALSE)</f>
        <v>春香★６</v>
      </c>
      <c r="C6" s="103" t="s">
        <v>193</v>
      </c>
      <c r="D6" s="137"/>
      <c r="E6" s="137" t="str">
        <f>A6&amp;+(COUNTIF(A$2:A6,A6)-1)</f>
        <v>90020</v>
      </c>
      <c r="F6" s="103" t="s">
        <v>319</v>
      </c>
      <c r="G6" s="182" t="s">
        <v>317</v>
      </c>
      <c r="H6" s="103"/>
    </row>
    <row r="7" spans="1:8" x14ac:dyDescent="0.15">
      <c r="A7" s="103">
        <v>9002</v>
      </c>
      <c r="B7" s="137" t="str">
        <f>VLOOKUP(A7,[1]characters!$A:$C,3,FALSE)</f>
        <v>春香★６</v>
      </c>
      <c r="C7" s="103" t="s">
        <v>194</v>
      </c>
      <c r="D7" s="137"/>
      <c r="E7" s="137" t="str">
        <f>A7&amp;+(COUNTIF(A$2:A7,A7)-1)</f>
        <v>90021</v>
      </c>
      <c r="F7" s="103" t="s">
        <v>316</v>
      </c>
      <c r="G7" s="182" t="s">
        <v>317</v>
      </c>
      <c r="H7" s="103"/>
    </row>
    <row r="8" spans="1:8" x14ac:dyDescent="0.15">
      <c r="A8" s="103">
        <v>9002</v>
      </c>
      <c r="B8" s="137" t="str">
        <f>VLOOKUP(A8,[1]characters!$A:$C,3,FALSE)</f>
        <v>春香★６</v>
      </c>
      <c r="C8" s="103" t="s">
        <v>194</v>
      </c>
      <c r="D8" s="137"/>
      <c r="E8" s="137" t="str">
        <f>A8&amp;+(COUNTIF(A$2:A8,A8)-1)</f>
        <v>90022</v>
      </c>
      <c r="F8" s="103" t="s">
        <v>316</v>
      </c>
      <c r="G8" s="182" t="s">
        <v>317</v>
      </c>
      <c r="H8" s="103"/>
    </row>
    <row r="9" spans="1:8" x14ac:dyDescent="0.15">
      <c r="A9" s="103">
        <v>9002</v>
      </c>
      <c r="B9" s="137" t="str">
        <f>VLOOKUP(A9,[1]characters!$A:$C,3,FALSE)</f>
        <v>春香★６</v>
      </c>
      <c r="C9" s="103" t="s">
        <v>194</v>
      </c>
      <c r="D9" s="137"/>
      <c r="E9" s="137" t="str">
        <f>A9&amp;+(COUNTIF(A$2:A9,A9)-1)</f>
        <v>90023</v>
      </c>
      <c r="F9" s="103" t="s">
        <v>318</v>
      </c>
      <c r="G9" s="182" t="s">
        <v>317</v>
      </c>
      <c r="H9" s="103"/>
    </row>
    <row r="10" spans="1:8" x14ac:dyDescent="0.15">
      <c r="A10" s="103">
        <v>9002</v>
      </c>
      <c r="B10" s="137" t="str">
        <f>VLOOKUP(A10,[1]characters!$A:$C,3,FALSE)</f>
        <v>春香★６</v>
      </c>
      <c r="C10" s="103" t="s">
        <v>194</v>
      </c>
      <c r="D10" s="137"/>
      <c r="E10" s="137" t="str">
        <f>A10&amp;+(COUNTIF(A$2:A10,A10)-1)</f>
        <v>90024</v>
      </c>
      <c r="F10" s="103" t="s">
        <v>316</v>
      </c>
      <c r="G10" s="182" t="s">
        <v>317</v>
      </c>
      <c r="H10" s="103"/>
    </row>
    <row r="11" spans="1:8" x14ac:dyDescent="0.15">
      <c r="A11" s="103">
        <v>9003</v>
      </c>
      <c r="B11" s="137" t="str">
        <f>VLOOKUP(A11,[1]characters!$A:$C,3,FALSE)</f>
        <v>夢龍</v>
      </c>
      <c r="C11" s="103" t="s">
        <v>193</v>
      </c>
      <c r="D11" s="137"/>
      <c r="E11" s="137" t="str">
        <f>A11&amp;+(COUNTIF(A$2:A11,A11)-1)</f>
        <v>90030</v>
      </c>
      <c r="F11" s="103" t="s">
        <v>316</v>
      </c>
      <c r="G11" s="182" t="s">
        <v>317</v>
      </c>
      <c r="H11" s="103"/>
    </row>
    <row r="12" spans="1:8" x14ac:dyDescent="0.15">
      <c r="A12" s="103">
        <v>9003</v>
      </c>
      <c r="B12" s="137" t="str">
        <f>VLOOKUP(A12,[1]characters!$A:$C,3,FALSE)</f>
        <v>夢龍</v>
      </c>
      <c r="C12" s="103" t="s">
        <v>194</v>
      </c>
      <c r="D12" s="137"/>
      <c r="E12" s="137" t="str">
        <f>A12&amp;+(COUNTIF(A$2:A12,A12)-1)</f>
        <v>90031</v>
      </c>
      <c r="F12" s="103" t="s">
        <v>316</v>
      </c>
      <c r="G12" s="182" t="s">
        <v>317</v>
      </c>
      <c r="H12" s="103"/>
    </row>
    <row r="13" spans="1:8" x14ac:dyDescent="0.15">
      <c r="A13" s="103">
        <v>9003</v>
      </c>
      <c r="B13" s="137" t="str">
        <f>VLOOKUP(A13,[1]characters!$A:$C,3,FALSE)</f>
        <v>夢龍</v>
      </c>
      <c r="C13" s="103" t="s">
        <v>194</v>
      </c>
      <c r="D13" s="137"/>
      <c r="E13" s="137" t="str">
        <f>A13&amp;+(COUNTIF(A$2:A13,A13)-1)</f>
        <v>90032</v>
      </c>
      <c r="F13" s="103" t="s">
        <v>320</v>
      </c>
      <c r="G13" s="182" t="s">
        <v>317</v>
      </c>
      <c r="H13" s="103"/>
    </row>
    <row r="14" spans="1:8" x14ac:dyDescent="0.15">
      <c r="A14" s="103">
        <v>9003</v>
      </c>
      <c r="B14" s="137" t="str">
        <f>VLOOKUP(A14,[1]characters!$A:$C,3,FALSE)</f>
        <v>夢龍</v>
      </c>
      <c r="C14" s="103" t="s">
        <v>194</v>
      </c>
      <c r="D14" s="137"/>
      <c r="E14" s="137" t="str">
        <f>A14&amp;+(COUNTIF(A$2:A14,A14)-1)</f>
        <v>90033</v>
      </c>
      <c r="F14" s="103" t="s">
        <v>319</v>
      </c>
      <c r="G14" s="182" t="s">
        <v>317</v>
      </c>
      <c r="H14" s="103"/>
    </row>
    <row r="15" spans="1:8" x14ac:dyDescent="0.15">
      <c r="A15" s="103">
        <v>9004</v>
      </c>
      <c r="B15" s="137" t="str">
        <f>VLOOKUP(A15,[1]characters!$A:$C,3,FALSE)</f>
        <v>夢龍★６</v>
      </c>
      <c r="C15" s="103" t="s">
        <v>193</v>
      </c>
      <c r="D15" s="137"/>
      <c r="E15" s="137" t="str">
        <f>A15&amp;+(COUNTIF(A$2:A15,A15)-1)</f>
        <v>90040</v>
      </c>
      <c r="F15" s="103" t="s">
        <v>314</v>
      </c>
      <c r="G15" s="182" t="s">
        <v>317</v>
      </c>
      <c r="H15" s="103"/>
    </row>
    <row r="16" spans="1:8" x14ac:dyDescent="0.15">
      <c r="A16" s="103">
        <v>9004</v>
      </c>
      <c r="B16" s="137" t="str">
        <f>VLOOKUP(A16,[1]characters!$A:$C,3,FALSE)</f>
        <v>夢龍★６</v>
      </c>
      <c r="C16" s="103" t="s">
        <v>194</v>
      </c>
      <c r="D16" s="137"/>
      <c r="E16" s="137" t="str">
        <f>A16&amp;+(COUNTIF(A$2:A16,A16)-1)</f>
        <v>90041</v>
      </c>
      <c r="F16" s="103" t="s">
        <v>321</v>
      </c>
      <c r="G16" s="182" t="s">
        <v>317</v>
      </c>
      <c r="H16" s="103"/>
    </row>
    <row r="17" spans="1:8" x14ac:dyDescent="0.15">
      <c r="A17" s="103">
        <v>9004</v>
      </c>
      <c r="B17" s="137" t="str">
        <f>VLOOKUP(A17,[1]characters!$A:$C,3,FALSE)</f>
        <v>夢龍★６</v>
      </c>
      <c r="C17" s="103" t="s">
        <v>194</v>
      </c>
      <c r="D17" s="137"/>
      <c r="E17" s="137" t="str">
        <f>A17&amp;+(COUNTIF(A$2:A17,A17)-1)</f>
        <v>90042</v>
      </c>
      <c r="F17" s="103" t="s">
        <v>316</v>
      </c>
      <c r="G17" s="182" t="s">
        <v>317</v>
      </c>
      <c r="H17" s="103"/>
    </row>
    <row r="18" spans="1:8" x14ac:dyDescent="0.15">
      <c r="A18" s="103">
        <v>9004</v>
      </c>
      <c r="B18" s="137" t="str">
        <f>VLOOKUP(A18,[1]characters!$A:$C,3,FALSE)</f>
        <v>夢龍★６</v>
      </c>
      <c r="C18" s="103" t="s">
        <v>194</v>
      </c>
      <c r="D18" s="137"/>
      <c r="E18" s="137" t="str">
        <f>A18&amp;+(COUNTIF(A$2:A18,A18)-1)</f>
        <v>90043</v>
      </c>
      <c r="F18" s="103" t="s">
        <v>316</v>
      </c>
      <c r="G18" s="182" t="s">
        <v>317</v>
      </c>
      <c r="H18" s="103"/>
    </row>
    <row r="19" spans="1:8" x14ac:dyDescent="0.15">
      <c r="A19" s="103">
        <v>9004</v>
      </c>
      <c r="B19" s="137" t="str">
        <f>VLOOKUP(A19,[1]characters!$A:$C,3,FALSE)</f>
        <v>夢龍★６</v>
      </c>
      <c r="C19" s="103" t="s">
        <v>194</v>
      </c>
      <c r="D19" s="137"/>
      <c r="E19" s="137" t="str">
        <f>A19&amp;+(COUNTIF(A$2:A19,A19)-1)</f>
        <v>90044</v>
      </c>
      <c r="F19" s="103" t="s">
        <v>322</v>
      </c>
      <c r="G19" s="182" t="s">
        <v>317</v>
      </c>
      <c r="H19" s="103"/>
    </row>
    <row r="20" spans="1:8" x14ac:dyDescent="0.15">
      <c r="A20" s="103">
        <v>9005</v>
      </c>
      <c r="B20" s="137" t="str">
        <f>VLOOKUP(A20,[1]characters!$A:$C,3,FALSE)</f>
        <v>降臨</v>
      </c>
      <c r="C20" s="103" t="s">
        <v>193</v>
      </c>
      <c r="D20" s="137"/>
      <c r="E20" s="137" t="str">
        <f>A20&amp;+(COUNTIF(A$2:A20,A20)-1)</f>
        <v>90050</v>
      </c>
      <c r="F20" s="103" t="s">
        <v>316</v>
      </c>
      <c r="G20" s="182" t="s">
        <v>317</v>
      </c>
      <c r="H20" s="103"/>
    </row>
    <row r="21" spans="1:8" x14ac:dyDescent="0.15">
      <c r="A21" s="103">
        <v>9005</v>
      </c>
      <c r="B21" s="137" t="str">
        <f>VLOOKUP(A21,[1]characters!$A:$C,3,FALSE)</f>
        <v>降臨</v>
      </c>
      <c r="C21" s="103" t="s">
        <v>194</v>
      </c>
      <c r="D21" s="137"/>
      <c r="E21" s="137" t="str">
        <f>A21&amp;+(COUNTIF(A$2:A21,A21)-1)</f>
        <v>90051</v>
      </c>
      <c r="F21" s="103" t="s">
        <v>314</v>
      </c>
      <c r="G21" s="182" t="s">
        <v>317</v>
      </c>
      <c r="H21" s="103"/>
    </row>
    <row r="22" spans="1:8" x14ac:dyDescent="0.15">
      <c r="A22" s="103">
        <v>9005</v>
      </c>
      <c r="B22" s="137" t="str">
        <f>VLOOKUP(A22,[1]characters!$A:$C,3,FALSE)</f>
        <v>降臨</v>
      </c>
      <c r="C22" s="103" t="s">
        <v>194</v>
      </c>
      <c r="D22" s="137"/>
      <c r="E22" s="137" t="str">
        <f>A22&amp;+(COUNTIF(A$2:A22,A22)-1)</f>
        <v>90052</v>
      </c>
      <c r="F22" s="103" t="s">
        <v>318</v>
      </c>
      <c r="G22" s="182" t="s">
        <v>317</v>
      </c>
      <c r="H22" s="103"/>
    </row>
    <row r="23" spans="1:8" x14ac:dyDescent="0.15">
      <c r="A23" s="103">
        <v>9005</v>
      </c>
      <c r="B23" s="137" t="str">
        <f>VLOOKUP(A23,[1]characters!$A:$C,3,FALSE)</f>
        <v>降臨</v>
      </c>
      <c r="C23" s="103" t="s">
        <v>194</v>
      </c>
      <c r="D23" s="137"/>
      <c r="E23" s="137" t="str">
        <f>A23&amp;+(COUNTIF(A$2:A23,A23)-1)</f>
        <v>90053</v>
      </c>
      <c r="F23" s="103" t="s">
        <v>316</v>
      </c>
      <c r="G23" s="182" t="s">
        <v>317</v>
      </c>
      <c r="H23" s="103"/>
    </row>
    <row r="24" spans="1:8" x14ac:dyDescent="0.15">
      <c r="A24" s="103">
        <v>9006</v>
      </c>
      <c r="B24" s="137" t="str">
        <f>VLOOKUP(A24,[1]characters!$A:$C,3,FALSE)</f>
        <v>降臨★６</v>
      </c>
      <c r="C24" s="103" t="s">
        <v>193</v>
      </c>
      <c r="D24" s="137"/>
      <c r="E24" s="137" t="str">
        <f>A24&amp;+(COUNTIF(A$2:A24,A24)-1)</f>
        <v>90060</v>
      </c>
      <c r="F24" s="103" t="s">
        <v>319</v>
      </c>
      <c r="G24" s="182" t="s">
        <v>317</v>
      </c>
      <c r="H24" s="103"/>
    </row>
    <row r="25" spans="1:8" x14ac:dyDescent="0.15">
      <c r="A25" s="103">
        <v>9006</v>
      </c>
      <c r="B25" s="137" t="str">
        <f>VLOOKUP(A25,[1]characters!$A:$C,3,FALSE)</f>
        <v>降臨★６</v>
      </c>
      <c r="C25" s="103" t="s">
        <v>194</v>
      </c>
      <c r="D25" s="137"/>
      <c r="E25" s="137" t="str">
        <f>A25&amp;+(COUNTIF(A$2:A25,A25)-1)</f>
        <v>90061</v>
      </c>
      <c r="F25" s="103" t="s">
        <v>316</v>
      </c>
      <c r="G25" s="182" t="s">
        <v>317</v>
      </c>
      <c r="H25" s="103"/>
    </row>
    <row r="26" spans="1:8" x14ac:dyDescent="0.15">
      <c r="A26" s="103">
        <v>9006</v>
      </c>
      <c r="B26" s="137" t="str">
        <f>VLOOKUP(A26,[1]characters!$A:$C,3,FALSE)</f>
        <v>降臨★６</v>
      </c>
      <c r="C26" s="103" t="s">
        <v>194</v>
      </c>
      <c r="D26" s="137"/>
      <c r="E26" s="137" t="str">
        <f>A26&amp;+(COUNTIF(A$2:A26,A26)-1)</f>
        <v>90062</v>
      </c>
      <c r="F26" s="103" t="s">
        <v>316</v>
      </c>
      <c r="G26" s="182" t="s">
        <v>317</v>
      </c>
      <c r="H26" s="103"/>
    </row>
    <row r="27" spans="1:8" x14ac:dyDescent="0.15">
      <c r="A27" s="103">
        <v>9006</v>
      </c>
      <c r="B27" s="137" t="str">
        <f>VLOOKUP(A27,[1]characters!$A:$C,3,FALSE)</f>
        <v>降臨★６</v>
      </c>
      <c r="C27" s="103" t="s">
        <v>194</v>
      </c>
      <c r="D27" s="137"/>
      <c r="E27" s="137" t="str">
        <f>A27&amp;+(COUNTIF(A$2:A27,A27)-1)</f>
        <v>90063</v>
      </c>
      <c r="F27" s="103" t="s">
        <v>318</v>
      </c>
      <c r="G27" s="182" t="s">
        <v>317</v>
      </c>
      <c r="H27" s="103"/>
    </row>
    <row r="28" spans="1:8" x14ac:dyDescent="0.15">
      <c r="A28" s="103">
        <v>9006</v>
      </c>
      <c r="B28" s="137" t="str">
        <f>VLOOKUP(A28,[1]characters!$A:$C,3,FALSE)</f>
        <v>降臨★６</v>
      </c>
      <c r="C28" s="103" t="s">
        <v>194</v>
      </c>
      <c r="D28" s="137"/>
      <c r="E28" s="137" t="str">
        <f>A28&amp;+(COUNTIF(A$2:A28,A28)-1)</f>
        <v>90064</v>
      </c>
      <c r="F28" s="103" t="s">
        <v>316</v>
      </c>
      <c r="G28" s="182" t="s">
        <v>317</v>
      </c>
      <c r="H28" s="103"/>
    </row>
    <row r="29" spans="1:8" x14ac:dyDescent="0.15">
      <c r="A29" s="103">
        <v>9007</v>
      </c>
      <c r="B29" s="137" t="str">
        <f>VLOOKUP(A29,[1]characters!$A:$C,3,FALSE)</f>
        <v>田禹治</v>
      </c>
      <c r="C29" s="103" t="s">
        <v>193</v>
      </c>
      <c r="D29" s="137"/>
      <c r="E29" s="137" t="str">
        <f>A29&amp;+(COUNTIF(A$2:A29,A29)-1)</f>
        <v>90070</v>
      </c>
      <c r="F29" s="103" t="s">
        <v>316</v>
      </c>
      <c r="G29" s="182" t="s">
        <v>317</v>
      </c>
      <c r="H29" s="103"/>
    </row>
    <row r="30" spans="1:8" x14ac:dyDescent="0.15">
      <c r="A30" s="103">
        <v>9007</v>
      </c>
      <c r="B30" s="137" t="str">
        <f>VLOOKUP(A30,[1]characters!$A:$C,3,FALSE)</f>
        <v>田禹治</v>
      </c>
      <c r="C30" s="103" t="s">
        <v>194</v>
      </c>
      <c r="D30" s="137"/>
      <c r="E30" s="137" t="str">
        <f>A30&amp;+(COUNTIF(A$2:A30,A30)-1)</f>
        <v>90071</v>
      </c>
      <c r="F30" s="103" t="s">
        <v>316</v>
      </c>
      <c r="G30" s="182" t="s">
        <v>317</v>
      </c>
      <c r="H30" s="103"/>
    </row>
    <row r="31" spans="1:8" x14ac:dyDescent="0.15">
      <c r="A31" s="103">
        <v>9007</v>
      </c>
      <c r="B31" s="137" t="str">
        <f>VLOOKUP(A31,[1]characters!$A:$C,3,FALSE)</f>
        <v>田禹治</v>
      </c>
      <c r="C31" s="103" t="s">
        <v>194</v>
      </c>
      <c r="D31" s="137"/>
      <c r="E31" s="137" t="str">
        <f>A31&amp;+(COUNTIF(A$2:A31,A31)-1)</f>
        <v>90072</v>
      </c>
      <c r="F31" s="103" t="s">
        <v>320</v>
      </c>
      <c r="G31" s="182" t="s">
        <v>317</v>
      </c>
      <c r="H31" s="103"/>
    </row>
    <row r="32" spans="1:8" x14ac:dyDescent="0.15">
      <c r="A32" s="103">
        <v>9007</v>
      </c>
      <c r="B32" s="137" t="str">
        <f>VLOOKUP(A32,[1]characters!$A:$C,3,FALSE)</f>
        <v>田禹治</v>
      </c>
      <c r="C32" s="103" t="s">
        <v>194</v>
      </c>
      <c r="D32" s="137"/>
      <c r="E32" s="137" t="str">
        <f>A32&amp;+(COUNTIF(A$2:A32,A32)-1)</f>
        <v>90073</v>
      </c>
      <c r="F32" s="103" t="s">
        <v>319</v>
      </c>
      <c r="G32" s="182" t="s">
        <v>317</v>
      </c>
      <c r="H32" s="103"/>
    </row>
    <row r="33" spans="1:8" x14ac:dyDescent="0.15">
      <c r="A33" s="103">
        <v>9008</v>
      </c>
      <c r="B33" s="137" t="str">
        <f>VLOOKUP(A33,[1]characters!$A:$C,3,FALSE)</f>
        <v>田禹治★６</v>
      </c>
      <c r="C33" s="103" t="s">
        <v>193</v>
      </c>
      <c r="D33" s="137"/>
      <c r="E33" s="137" t="str">
        <f>A33&amp;+(COUNTIF(A$2:A33,A33)-1)</f>
        <v>90080</v>
      </c>
      <c r="F33" s="103" t="s">
        <v>314</v>
      </c>
      <c r="G33" s="182" t="s">
        <v>317</v>
      </c>
      <c r="H33" s="103"/>
    </row>
    <row r="34" spans="1:8" x14ac:dyDescent="0.15">
      <c r="A34" s="103">
        <v>9008</v>
      </c>
      <c r="B34" s="137" t="str">
        <f>VLOOKUP(A34,[1]characters!$A:$C,3,FALSE)</f>
        <v>田禹治★６</v>
      </c>
      <c r="C34" s="103" t="s">
        <v>194</v>
      </c>
      <c r="D34" s="137"/>
      <c r="E34" s="137" t="str">
        <f>A34&amp;+(COUNTIF(A$2:A34,A34)-1)</f>
        <v>90081</v>
      </c>
      <c r="F34" s="103" t="s">
        <v>321</v>
      </c>
      <c r="G34" s="182" t="s">
        <v>317</v>
      </c>
      <c r="H34" s="103"/>
    </row>
    <row r="35" spans="1:8" x14ac:dyDescent="0.15">
      <c r="A35" s="103">
        <v>9008</v>
      </c>
      <c r="B35" s="137" t="str">
        <f>VLOOKUP(A35,[1]characters!$A:$C,3,FALSE)</f>
        <v>田禹治★６</v>
      </c>
      <c r="C35" s="103" t="s">
        <v>194</v>
      </c>
      <c r="D35" s="137"/>
      <c r="E35" s="137" t="str">
        <f>A35&amp;+(COUNTIF(A$2:A35,A35)-1)</f>
        <v>90082</v>
      </c>
      <c r="F35" s="103" t="s">
        <v>316</v>
      </c>
      <c r="G35" s="182" t="s">
        <v>317</v>
      </c>
      <c r="H35" s="103"/>
    </row>
    <row r="36" spans="1:8" x14ac:dyDescent="0.15">
      <c r="A36" s="103">
        <v>9008</v>
      </c>
      <c r="B36" s="137" t="str">
        <f>VLOOKUP(A36,[1]characters!$A:$C,3,FALSE)</f>
        <v>田禹治★６</v>
      </c>
      <c r="C36" s="103" t="s">
        <v>194</v>
      </c>
      <c r="D36" s="137"/>
      <c r="E36" s="137" t="str">
        <f>A36&amp;+(COUNTIF(A$2:A36,A36)-1)</f>
        <v>90083</v>
      </c>
      <c r="F36" s="103" t="s">
        <v>316</v>
      </c>
      <c r="G36" s="182" t="s">
        <v>317</v>
      </c>
      <c r="H36" s="103"/>
    </row>
    <row r="37" spans="1:8" x14ac:dyDescent="0.15">
      <c r="A37" s="103">
        <v>9008</v>
      </c>
      <c r="B37" s="137" t="str">
        <f>VLOOKUP(A37,[1]characters!$A:$C,3,FALSE)</f>
        <v>田禹治★６</v>
      </c>
      <c r="C37" s="103" t="s">
        <v>194</v>
      </c>
      <c r="D37" s="137"/>
      <c r="E37" s="137" t="str">
        <f>A37&amp;+(COUNTIF(A$2:A37,A37)-1)</f>
        <v>90084</v>
      </c>
      <c r="F37" s="103" t="s">
        <v>322</v>
      </c>
      <c r="G37" s="182" t="s">
        <v>317</v>
      </c>
      <c r="H37" s="103"/>
    </row>
  </sheetData>
  <phoneticPr fontId="22"/>
  <dataValidations count="2">
    <dataValidation type="list" allowBlank="1" showInputMessage="1" showErrorMessage="1" sqref="G2:G37">
      <formula1>"maru,giza,kumo"</formula1>
    </dataValidation>
    <dataValidation type="list" allowBlank="1" showInputMessage="1" showErrorMessage="1" sqref="C2:C37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5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6" sqref="Q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75" t="s">
        <v>273</v>
      </c>
      <c r="B1" s="89" t="s">
        <v>274</v>
      </c>
      <c r="C1" s="80" t="s">
        <v>275</v>
      </c>
      <c r="D1" s="80" t="s">
        <v>276</v>
      </c>
      <c r="E1" s="80" t="s">
        <v>277</v>
      </c>
      <c r="F1" s="80" t="s">
        <v>278</v>
      </c>
      <c r="G1" s="80" t="s">
        <v>1</v>
      </c>
      <c r="H1" s="174" t="s">
        <v>19</v>
      </c>
      <c r="I1" s="80" t="s">
        <v>0</v>
      </c>
      <c r="J1" s="79" t="s">
        <v>279</v>
      </c>
      <c r="K1" s="80" t="s">
        <v>274</v>
      </c>
      <c r="L1" s="81" t="s">
        <v>49</v>
      </c>
      <c r="M1" s="81" t="s">
        <v>48</v>
      </c>
      <c r="N1" s="81" t="s">
        <v>280</v>
      </c>
      <c r="O1" s="81" t="s">
        <v>281</v>
      </c>
      <c r="P1" s="86" t="s">
        <v>282</v>
      </c>
      <c r="Q1" s="85" t="s">
        <v>283</v>
      </c>
      <c r="R1" s="74" t="s">
        <v>274</v>
      </c>
      <c r="S1" s="86" t="s">
        <v>284</v>
      </c>
      <c r="T1" s="74" t="s">
        <v>274</v>
      </c>
      <c r="U1" s="86" t="s">
        <v>285</v>
      </c>
    </row>
    <row r="2" spans="1:21" ht="21" customHeight="1" x14ac:dyDescent="0.15">
      <c r="A2" s="175">
        <v>9001</v>
      </c>
      <c r="B2" s="52" t="str">
        <f ca="1">VLOOKUP($A2,OFFSET([1]characters!$A$1,0,0,COUNTA([1]characters!$A:$A),MATCH(B$1,[1]characters!$1:$1,0)-MATCH($A$1,[1]characters!$1:$1,0)+1),MATCH(B$1,[1]characters!$1:$1,0)-MATCH($A$1,[1]characters!$1:$1,0)+1,FALSE)</f>
        <v>春香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ポムポムプリン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2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75" t="str">
        <f>VLOOKUP(Q2,[1]characters!$A:$AC,20)</f>
        <v>normal</v>
      </c>
      <c r="Q2" s="228">
        <f>A2+1</f>
        <v>9002</v>
      </c>
      <c r="R2" s="57" t="str">
        <f ca="1">IF(Q2="NULL","",VLOOKUP($Q2,OFFSET([1]characters!$A$1,0,0,COUNTA([1]characters!$A:$A),MATCH(R$1,[1]characters!$1:$1,0)-MATCH($A$1,[1]characters!$1:$1,0)+1),MATCH(R$1,[1]characters!$1:$1,0)-MATCH($A$1,[1]characters!$1:$1,0)+1,FALSE))</f>
        <v>春香★６</v>
      </c>
      <c r="S2" s="5">
        <f>A2</f>
        <v>9001</v>
      </c>
      <c r="T2" s="57" t="str">
        <f ca="1">VLOOKUP($S2,OFFSET([1]characters!$A$1,0,0,COUNTA([1]characters!$A:$A),MATCH(T$1,[1]characters!$1:$1,0)-MATCH($A$1,[1]characters!$1:$1,0)+1),MATCH(T$1,[1]characters!$1:$1,0)-MATCH($A$1,[1]characters!$1:$1,0)+1,FALSE)</f>
        <v>春香</v>
      </c>
      <c r="U2" s="11">
        <f ca="1">IF(Q2="NULL","NULL",VLOOKUP(G2,[2]ビット!$A$2:$B$7,2))</f>
        <v>200000</v>
      </c>
    </row>
    <row r="3" spans="1:21" ht="21" customHeight="1" x14ac:dyDescent="0.15">
      <c r="A3" s="175">
        <v>9003</v>
      </c>
      <c r="B3" s="52" t="str">
        <f ca="1">VLOOKUP($A3,OFFSET([1]characters!$A$1,0,0,COUNTA([1]characters!$A:$A),MATCH(B$1,[1]characters!$1:$1,0)-MATCH($A$1,[1]characters!$1:$1,0)+1),MATCH(B$1,[1]characters!$1:$1,0)-MATCH($A$1,[1]characters!$1:$1,0)+1,FALSE)</f>
        <v>夢龍</v>
      </c>
      <c r="C3" s="52" t="str">
        <f ca="1">VLOOKUP($A3,OFFSET([1]characters!$A$1,0,0,COUNTA([1]characters!$A:$A),MATCH(C$1,[1]characters!$1:$1,0)-MATCH($A$1,[1]characters!$1:$1,0)+1),MATCH(C$1,[1]characters!$1:$1,0)-MATCH($A$1,[1]characters!$1:$1,0)+1,FALSE)</f>
        <v>ポムポムプリン</v>
      </c>
      <c r="D3" s="52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2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2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2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2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2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52" t="str">
        <f ca="1">VLOOKUP($A3,OFFSET([1]characters!$A$1,0,0,COUNTA([1]characters!$A:$A),MATCH(J$1,[1]characters!$1:$1,0)-MATCH($A$1,[1]characters!$1:$1,0)+1),MATCH(J$1,[1]characters!$1:$1,0)-MATCH($A$1,[1]characters!$1:$1,0)+1,FALSE)</f>
        <v>human</v>
      </c>
      <c r="K3" s="5" t="str">
        <f ca="1">VLOOKUP(J3,[1]character_tribe_i18n!$A:$H,3,FALSE)</f>
        <v>ヒューマン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75" t="str">
        <f>VLOOKUP(Q3,[1]characters!$A:$AC,20)</f>
        <v>normal</v>
      </c>
      <c r="Q3" s="228">
        <f>A3+1</f>
        <v>9004</v>
      </c>
      <c r="R3" s="57" t="str">
        <f ca="1">IF(Q3="NULL","",VLOOKUP($Q3,OFFSET([1]characters!$A$1,0,0,COUNTA([1]characters!$A:$A),MATCH(R$1,[1]characters!$1:$1,0)-MATCH($A$1,[1]characters!$1:$1,0)+1),MATCH(R$1,[1]characters!$1:$1,0)-MATCH($A$1,[1]characters!$1:$1,0)+1,FALSE))</f>
        <v>夢龍★６</v>
      </c>
      <c r="S3" s="5">
        <f>A3</f>
        <v>9003</v>
      </c>
      <c r="T3" s="57" t="str">
        <f ca="1">VLOOKUP($S3,OFFSET([1]characters!$A$1,0,0,COUNTA([1]characters!$A:$A),MATCH(T$1,[1]characters!$1:$1,0)-MATCH($A$1,[1]characters!$1:$1,0)+1),MATCH(T$1,[1]characters!$1:$1,0)-MATCH($A$1,[1]characters!$1:$1,0)+1,FALSE)</f>
        <v>夢龍</v>
      </c>
      <c r="U3" s="11">
        <f ca="1">IF(Q3="NULL","NULL",VLOOKUP(G3,[2]ビット!$A$2:$B$7,2))</f>
        <v>200000</v>
      </c>
    </row>
    <row r="4" spans="1:21" ht="21" customHeight="1" x14ac:dyDescent="0.15">
      <c r="A4" s="175">
        <v>9005</v>
      </c>
      <c r="B4" s="52" t="str">
        <f ca="1">VLOOKUP($A4,OFFSET([1]characters!$A$1,0,0,COUNTA([1]characters!$A:$A),MATCH(B$1,[1]characters!$1:$1,0)-MATCH($A$1,[1]characters!$1:$1,0)+1),MATCH(B$1,[1]characters!$1:$1,0)-MATCH($A$1,[1]characters!$1:$1,0)+1,FALSE)</f>
        <v>降臨</v>
      </c>
      <c r="C4" s="52" t="str">
        <f ca="1">VLOOKUP($A4,OFFSET([1]characters!$A$1,0,0,COUNTA([1]characters!$A:$A),MATCH(C$1,[1]characters!$1:$1,0)-MATCH($A$1,[1]characters!$1:$1,0)+1),MATCH(C$1,[1]characters!$1:$1,0)-MATCH($A$1,[1]characters!$1:$1,0)+1,FALSE)</f>
        <v>ポムポムプリン</v>
      </c>
      <c r="D4" s="52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2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2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2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2" t="str">
        <f ca="1">VLOOKUP($A4,OFFSET([1]characters!$A$1,0,0,COUNTA([1]characters!$A:$A),MATCH(H$1,[1]characters!$1:$1,0)-MATCH($A$1,[1]characters!$1:$1,0)+1),MATCH(H$1,[1]characters!$1:$1,0)-MATCH($A$1,[1]characters!$1:$1,0)+1,FALSE)</f>
        <v>PremiumSSw</v>
      </c>
      <c r="I4" s="52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2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75" t="str">
        <f>VLOOKUP(Q4,[1]characters!$A:$AC,20)</f>
        <v>normal</v>
      </c>
      <c r="Q4" s="228">
        <f>A4+1</f>
        <v>9006</v>
      </c>
      <c r="R4" s="57" t="str">
        <f ca="1">IF(Q4="NULL","",VLOOKUP($Q4,OFFSET([1]characters!$A$1,0,0,COUNTA([1]characters!$A:$A),MATCH(R$1,[1]characters!$1:$1,0)-MATCH($A$1,[1]characters!$1:$1,0)+1),MATCH(R$1,[1]characters!$1:$1,0)-MATCH($A$1,[1]characters!$1:$1,0)+1,FALSE))</f>
        <v>降臨★６</v>
      </c>
      <c r="S4" s="5">
        <f>A4</f>
        <v>9005</v>
      </c>
      <c r="T4" s="57" t="str">
        <f ca="1">VLOOKUP($S4,OFFSET([1]characters!$A$1,0,0,COUNTA([1]characters!$A:$A),MATCH(T$1,[1]characters!$1:$1,0)-MATCH($A$1,[1]characters!$1:$1,0)+1),MATCH(T$1,[1]characters!$1:$1,0)-MATCH($A$1,[1]characters!$1:$1,0)+1,FALSE)</f>
        <v>降臨</v>
      </c>
      <c r="U4" s="11">
        <f ca="1">IF(Q4="NULL","NULL",VLOOKUP(G4,[2]ビット!$A$2:$B$7,2))</f>
        <v>200000</v>
      </c>
    </row>
    <row r="5" spans="1:21" ht="21" customHeight="1" x14ac:dyDescent="0.15">
      <c r="A5" s="175">
        <v>9007</v>
      </c>
      <c r="B5" s="52" t="str">
        <f ca="1">VLOOKUP($A5,OFFSET([1]characters!$A$1,0,0,COUNTA([1]characters!$A:$A),MATCH(B$1,[1]characters!$1:$1,0)-MATCH($A$1,[1]characters!$1:$1,0)+1),MATCH(B$1,[1]characters!$1:$1,0)-MATCH($A$1,[1]characters!$1:$1,0)+1,FALSE)</f>
        <v>田禹治</v>
      </c>
      <c r="C5" s="52" t="str">
        <f ca="1">VLOOKUP($A5,OFFSET([1]characters!$A$1,0,0,COUNTA([1]characters!$A:$A),MATCH(C$1,[1]characters!$1:$1,0)-MATCH($A$1,[1]characters!$1:$1,0)+1),MATCH(C$1,[1]characters!$1:$1,0)-MATCH($A$1,[1]characters!$1:$1,0)+1,FALSE)</f>
        <v>ポムポムプリン</v>
      </c>
      <c r="D5" s="52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2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2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2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2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2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52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75" t="str">
        <f>VLOOKUP(Q5,[1]characters!$A:$AC,20)</f>
        <v>normal</v>
      </c>
      <c r="Q5" s="228">
        <f>A5+1</f>
        <v>9008</v>
      </c>
      <c r="R5" s="57" t="str">
        <f ca="1">IF(Q5="NULL","",VLOOKUP($Q5,OFFSET([1]characters!$A$1,0,0,COUNTA([1]characters!$A:$A),MATCH(R$1,[1]characters!$1:$1,0)-MATCH($A$1,[1]characters!$1:$1,0)+1),MATCH(R$1,[1]characters!$1:$1,0)-MATCH($A$1,[1]characters!$1:$1,0)+1,FALSE))</f>
        <v>田禹治★６</v>
      </c>
      <c r="S5" s="5">
        <f>A5</f>
        <v>9007</v>
      </c>
      <c r="T5" s="57" t="str">
        <f ca="1">VLOOKUP($S5,OFFSET([1]characters!$A$1,0,0,COUNTA([1]characters!$A:$A),MATCH(T$1,[1]characters!$1:$1,0)-MATCH($A$1,[1]characters!$1:$1,0)+1),MATCH(T$1,[1]characters!$1:$1,0)-MATCH($A$1,[1]characters!$1:$1,0)+1,FALSE)</f>
        <v>田禹治</v>
      </c>
      <c r="U5" s="11">
        <f ca="1">IF(Q5="NULL","NULL",VLOOKUP(G5,[2]ビット!$A$2:$B$7,2))</f>
        <v>200000</v>
      </c>
    </row>
  </sheetData>
  <autoFilter ref="A1:U1"/>
  <phoneticPr fontId="22"/>
  <conditionalFormatting sqref="W1 W6:W1048576">
    <cfRule type="cellIs" dxfId="29" priority="12" operator="equal">
      <formula>"FALSE"</formula>
    </cfRule>
  </conditionalFormatting>
  <conditionalFormatting sqref="W2">
    <cfRule type="cellIs" dxfId="28" priority="6" operator="equal">
      <formula>"FALSE"</formula>
    </cfRule>
  </conditionalFormatting>
  <conditionalFormatting sqref="W3">
    <cfRule type="cellIs" dxfId="27" priority="5" operator="equal">
      <formula>"FALSE"</formula>
    </cfRule>
  </conditionalFormatting>
  <conditionalFormatting sqref="W4">
    <cfRule type="cellIs" dxfId="26" priority="2" operator="equal">
      <formula>"FALSE"</formula>
    </cfRule>
  </conditionalFormatting>
  <conditionalFormatting sqref="W5">
    <cfRule type="cellIs" dxfId="25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M20"/>
  <sheetViews>
    <sheetView showGridLines="0" topLeftCell="C1" workbookViewId="0">
      <pane ySplit="1" topLeftCell="A2" activePane="bottomLeft" state="frozen"/>
      <selection pane="bottomLeft" activeCell="J21" sqref="J21"/>
    </sheetView>
  </sheetViews>
  <sheetFormatPr baseColWidth="12" defaultColWidth="13" defaultRowHeight="15" x14ac:dyDescent="0.15"/>
  <cols>
    <col min="1" max="1" width="11.5" style="60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30" style="2" customWidth="1"/>
    <col min="11" max="11" width="17" style="1" bestFit="1" customWidth="1"/>
    <col min="12" max="16384" width="13" style="2"/>
  </cols>
  <sheetData>
    <row r="1" spans="1:13" ht="21" customHeight="1" thickBot="1" x14ac:dyDescent="0.2">
      <c r="A1" s="60" t="s">
        <v>99</v>
      </c>
      <c r="B1" s="206" t="s">
        <v>38</v>
      </c>
      <c r="C1" s="207" t="s">
        <v>286</v>
      </c>
      <c r="D1" s="208" t="s">
        <v>40</v>
      </c>
      <c r="E1" s="208" t="s">
        <v>42</v>
      </c>
      <c r="F1" s="208" t="s">
        <v>43</v>
      </c>
      <c r="G1" s="207" t="s">
        <v>287</v>
      </c>
      <c r="H1" s="208" t="s">
        <v>40</v>
      </c>
      <c r="I1" s="209" t="s">
        <v>36</v>
      </c>
      <c r="J1" s="208" t="s">
        <v>41</v>
      </c>
      <c r="K1" s="210" t="s">
        <v>37</v>
      </c>
      <c r="L1" s="211" t="s">
        <v>127</v>
      </c>
      <c r="M1" s="212" t="s">
        <v>288</v>
      </c>
    </row>
    <row r="2" spans="1:13" x14ac:dyDescent="0.15">
      <c r="A2" s="190" t="str">
        <f>B2&amp;"_"&amp;I4</f>
        <v>9001_103</v>
      </c>
      <c r="B2" s="191">
        <v>9001</v>
      </c>
      <c r="C2" s="192">
        <f t="shared" ref="C2:C11" si="0">B2</f>
        <v>9001</v>
      </c>
      <c r="D2" s="193" t="str">
        <f ca="1">VLOOKUP($C2,OFFSET([1]characters!$A$1,0,0,COUNTA([1]characters!$A:$A),MATCH(D$1,[1]characters!$1:$1,0)-MATCH($C$1,[1]characters!$1:$1,0)+1),MATCH(D$1,[1]characters!$1:$1,0)-MATCH($C$1,[1]characters!$1:$1,0)+1,FALSE)</f>
        <v>春香</v>
      </c>
      <c r="E2" s="19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193" t="str">
        <f ca="1">VLOOKUP($C2,OFFSET([1]characters!$A$1,0,0,COUNTA([1]characters!$A:$A),MATCH(F$1,[1]characters!$1:$1,0)-MATCH($C$1,[1]characters!$1:$1,0)+1),MATCH(F$1,[1]characters!$1:$1,0)-MATCH($C$1,[1]characters!$1:$1,0)+1,FALSE)</f>
        <v>PremiumSSw</v>
      </c>
      <c r="G2" s="194">
        <v>9002</v>
      </c>
      <c r="H2" s="193" t="str">
        <f ca="1">VLOOKUP($G2,OFFSET([1]characters!$A$1,0,0,COUNTA([1]characters!$A:$A),MATCH(H$1,[1]characters!$1:$1,0)-MATCH($C$1,[1]characters!$1:$1,0)+1),MATCH(H$1,[1]characters!$1:$1,0)-MATCH($C$1,[1]characters!$1:$1,0)+1,FALSE)</f>
        <v>春香★６</v>
      </c>
      <c r="I2" s="191">
        <v>262</v>
      </c>
      <c r="J2" s="193" t="str">
        <f ca="1">VLOOKUP($I2,OFFSET([1]characters!$A$1,0,0,COUNTA([1]characters!$A:$A),MATCH(J$1,[1]characters!$1:$1,0)-MATCH($C$1,[1]characters!$1:$1,0)+1),MATCH(J$1,[1]characters!$1:$1,0)-MATCH($C$1,[1]characters!$1:$1,0)+1,FALSE)</f>
        <v>アシュリー</v>
      </c>
      <c r="K2" s="195">
        <v>1</v>
      </c>
      <c r="L2" s="196">
        <v>1</v>
      </c>
      <c r="M2" s="197">
        <v>10</v>
      </c>
    </row>
    <row r="3" spans="1:13" x14ac:dyDescent="0.15">
      <c r="A3" s="198" t="str">
        <f>B3&amp;"_"&amp;I2</f>
        <v>9001_262</v>
      </c>
      <c r="B3" s="39">
        <v>9001</v>
      </c>
      <c r="C3" s="176">
        <f t="shared" si="0"/>
        <v>9001</v>
      </c>
      <c r="D3" s="52" t="str">
        <f ca="1">VLOOKUP($C3,OFFSET([1]characters!$A$1,0,0,COUNTA([1]characters!$A:$A),MATCH(D$1,[1]characters!$1:$1,0)-MATCH($C$1,[1]characters!$1:$1,0)+1),MATCH(D$1,[1]characters!$1:$1,0)-MATCH($C$1,[1]characters!$1:$1,0)+1,FALSE)</f>
        <v>春香</v>
      </c>
      <c r="E3" s="52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2" t="str">
        <f ca="1">VLOOKUP($C3,OFFSET([1]characters!$A$1,0,0,COUNTA([1]characters!$A:$A),MATCH(F$1,[1]characters!$1:$1,0)-MATCH($C$1,[1]characters!$1:$1,0)+1),MATCH(F$1,[1]characters!$1:$1,0)-MATCH($C$1,[1]characters!$1:$1,0)+1,FALSE)</f>
        <v>PremiumSSw</v>
      </c>
      <c r="G3" s="183">
        <v>9002</v>
      </c>
      <c r="H3" s="52" t="str">
        <f ca="1">VLOOKUP($G3,OFFSET([1]characters!$A$1,0,0,COUNTA([1]characters!$A:$A),MATCH(H$1,[1]characters!$1:$1,0)-MATCH($C$1,[1]characters!$1:$1,0)+1),MATCH(H$1,[1]characters!$1:$1,0)-MATCH($C$1,[1]characters!$1:$1,0)+1,FALSE)</f>
        <v>春香★６</v>
      </c>
      <c r="I3" s="183">
        <v>502</v>
      </c>
      <c r="J3" s="52" t="str">
        <f ca="1">VLOOKUP($I3,OFFSET([1]characters!$A$1,0,0,COUNTA([1]characters!$A:$A),MATCH(J$1,[1]characters!$1:$1,0)-MATCH($C$1,[1]characters!$1:$1,0)+1),MATCH(J$1,[1]characters!$1:$1,0)-MATCH($C$1,[1]characters!$1:$1,0)+1,FALSE)</f>
        <v>テラベル</v>
      </c>
      <c r="K3" s="18">
        <v>1</v>
      </c>
      <c r="L3" s="108">
        <v>1</v>
      </c>
      <c r="M3" s="199">
        <v>10</v>
      </c>
    </row>
    <row r="4" spans="1:13" x14ac:dyDescent="0.15">
      <c r="A4" s="198" t="str">
        <f>B4&amp;"_"&amp;I3</f>
        <v>9001_502</v>
      </c>
      <c r="B4" s="39">
        <v>9001</v>
      </c>
      <c r="C4" s="176">
        <f t="shared" si="0"/>
        <v>9001</v>
      </c>
      <c r="D4" s="52" t="str">
        <f ca="1">VLOOKUP($C4,OFFSET([1]characters!$A$1,0,0,COUNTA([1]characters!$A:$A),MATCH(D$1,[1]characters!$1:$1,0)-MATCH($C$1,[1]characters!$1:$1,0)+1),MATCH(D$1,[1]characters!$1:$1,0)-MATCH($C$1,[1]characters!$1:$1,0)+1,FALSE)</f>
        <v>春香</v>
      </c>
      <c r="E4" s="52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2" t="str">
        <f ca="1">VLOOKUP($C4,OFFSET([1]characters!$A$1,0,0,COUNTA([1]characters!$A:$A),MATCH(F$1,[1]characters!$1:$1,0)-MATCH($C$1,[1]characters!$1:$1,0)+1),MATCH(F$1,[1]characters!$1:$1,0)-MATCH($C$1,[1]characters!$1:$1,0)+1,FALSE)</f>
        <v>PremiumSSw</v>
      </c>
      <c r="G4" s="183">
        <v>9002</v>
      </c>
      <c r="H4" s="52" t="str">
        <f ca="1">VLOOKUP($G4,OFFSET([1]characters!$A$1,0,0,COUNTA([1]characters!$A:$A),MATCH(H$1,[1]characters!$1:$1,0)-MATCH($C$1,[1]characters!$1:$1,0)+1),MATCH(H$1,[1]characters!$1:$1,0)-MATCH($C$1,[1]characters!$1:$1,0)+1,FALSE)</f>
        <v>春香★６</v>
      </c>
      <c r="I4" s="183">
        <v>103</v>
      </c>
      <c r="J4" s="52" t="str">
        <f ca="1">VLOOKUP($I4,OFFSET([1]characters!$A$1,0,0,COUNTA([1]characters!$A:$A),MATCH(J$1,[1]characters!$1:$1,0)-MATCH($C$1,[1]characters!$1:$1,0)+1),MATCH(J$1,[1]characters!$1:$1,0)-MATCH($C$1,[1]characters!$1:$1,0)+1,FALSE)</f>
        <v>レッドキャタップ</v>
      </c>
      <c r="K4" s="18">
        <v>1</v>
      </c>
      <c r="L4" s="108">
        <v>1</v>
      </c>
      <c r="M4" s="199">
        <v>1</v>
      </c>
    </row>
    <row r="5" spans="1:13" x14ac:dyDescent="0.15">
      <c r="A5" s="198" t="str">
        <f>B5&amp;"_"&amp;I5</f>
        <v>9001_104</v>
      </c>
      <c r="B5" s="39">
        <v>9001</v>
      </c>
      <c r="C5" s="176">
        <f t="shared" si="0"/>
        <v>9001</v>
      </c>
      <c r="D5" s="52" t="str">
        <f ca="1">VLOOKUP($C5,OFFSET([1]characters!$A$1,0,0,COUNTA([1]characters!$A:$A),MATCH(D$1,[1]characters!$1:$1,0)-MATCH($C$1,[1]characters!$1:$1,0)+1),MATCH(D$1,[1]characters!$1:$1,0)-MATCH($C$1,[1]characters!$1:$1,0)+1,FALSE)</f>
        <v>春香</v>
      </c>
      <c r="E5" s="52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2" t="str">
        <f ca="1">VLOOKUP($C5,OFFSET([1]characters!$A$1,0,0,COUNTA([1]characters!$A:$A),MATCH(F$1,[1]characters!$1:$1,0)-MATCH($C$1,[1]characters!$1:$1,0)+1),MATCH(F$1,[1]characters!$1:$1,0)-MATCH($C$1,[1]characters!$1:$1,0)+1,FALSE)</f>
        <v>PremiumSSw</v>
      </c>
      <c r="G5" s="183">
        <v>9002</v>
      </c>
      <c r="H5" s="52" t="str">
        <f ca="1">VLOOKUP($G5,OFFSET([1]characters!$A$1,0,0,COUNTA([1]characters!$A:$A),MATCH(H$1,[1]characters!$1:$1,0)-MATCH($C$1,[1]characters!$1:$1,0)+1),MATCH(H$1,[1]characters!$1:$1,0)-MATCH($C$1,[1]characters!$1:$1,0)+1,FALSE)</f>
        <v>春香★６</v>
      </c>
      <c r="I5" s="39">
        <v>104</v>
      </c>
      <c r="J5" s="52" t="str">
        <f ca="1">VLOOKUP($I5,OFFSET([1]characters!$A$1,0,0,COUNTA([1]characters!$A:$A),MATCH(J$1,[1]characters!$1:$1,0)-MATCH($C$1,[1]characters!$1:$1,0)+1),MATCH(J$1,[1]characters!$1:$1,0)-MATCH($C$1,[1]characters!$1:$1,0)+1,FALSE)</f>
        <v>炎のマッドハッター</v>
      </c>
      <c r="K5" s="18">
        <v>1</v>
      </c>
      <c r="L5" s="108">
        <v>1</v>
      </c>
      <c r="M5" s="199">
        <v>1</v>
      </c>
    </row>
    <row r="6" spans="1:13" ht="16" thickBot="1" x14ac:dyDescent="0.2">
      <c r="A6" s="198" t="str">
        <f>B6&amp;"_"&amp;I6</f>
        <v>9001_837</v>
      </c>
      <c r="B6" s="184">
        <v>9001</v>
      </c>
      <c r="C6" s="185">
        <f t="shared" si="0"/>
        <v>9001</v>
      </c>
      <c r="D6" s="186" t="str">
        <f ca="1">VLOOKUP($C6,OFFSET([1]characters!$A$1,0,0,COUNTA([1]characters!$A:$A),MATCH(D$1,[1]characters!$1:$1,0)-MATCH($C$1,[1]characters!$1:$1,0)+1),MATCH(D$1,[1]characters!$1:$1,0)-MATCH($C$1,[1]characters!$1:$1,0)+1,FALSE)</f>
        <v>春香</v>
      </c>
      <c r="E6" s="186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186" t="str">
        <f ca="1">VLOOKUP($C6,OFFSET([1]characters!$A$1,0,0,COUNTA([1]characters!$A:$A),MATCH(F$1,[1]characters!$1:$1,0)-MATCH($C$1,[1]characters!$1:$1,0)+1),MATCH(F$1,[1]characters!$1:$1,0)-MATCH($C$1,[1]characters!$1:$1,0)+1,FALSE)</f>
        <v>PremiumSSw</v>
      </c>
      <c r="G6" s="187">
        <v>9002</v>
      </c>
      <c r="H6" s="186" t="str">
        <f ca="1">VLOOKUP($G6,OFFSET([1]characters!$A$1,0,0,COUNTA([1]characters!$A:$A),MATCH(H$1,[1]characters!$1:$1,0)-MATCH($C$1,[1]characters!$1:$1,0)+1),MATCH(H$1,[1]characters!$1:$1,0)-MATCH($C$1,[1]characters!$1:$1,0)+1,FALSE)</f>
        <v>春香★６</v>
      </c>
      <c r="I6" s="203">
        <v>837</v>
      </c>
      <c r="J6" s="202" t="str">
        <f ca="1">VLOOKUP($I6,OFFSET([1]characters!$A$1,0,0,COUNTA([1]characters!$A:$A),MATCH(J$1,[1]characters!$1:$1,0)-MATCH($C$1,[1]characters!$1:$1,0)+1),MATCH(J$1,[1]characters!$1:$1,0)-MATCH($C$1,[1]characters!$1:$1,0)+1,FALSE)</f>
        <v>リトルハンプティ</v>
      </c>
      <c r="K6" s="188">
        <v>1</v>
      </c>
      <c r="L6" s="189">
        <v>1</v>
      </c>
      <c r="M6" s="218">
        <v>100</v>
      </c>
    </row>
    <row r="7" spans="1:13" x14ac:dyDescent="0.15">
      <c r="A7" s="213" t="str">
        <f>B7&amp;"_"&amp;I9</f>
        <v>9003_107</v>
      </c>
      <c r="B7" s="191">
        <v>9003</v>
      </c>
      <c r="C7" s="192">
        <f t="shared" si="0"/>
        <v>9003</v>
      </c>
      <c r="D7" s="214" t="str">
        <f ca="1">VLOOKUP($C7,OFFSET([1]characters!$A$1,0,0,COUNTA([1]characters!$A:$A),MATCH(D$1,[1]characters!$1:$1,0)-MATCH($C$1,[1]characters!$1:$1,0)+1),MATCH(D$1,[1]characters!$1:$1,0)-MATCH($C$1,[1]characters!$1:$1,0)+1,FALSE)</f>
        <v>夢龍</v>
      </c>
      <c r="E7" s="214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214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94">
        <v>9004</v>
      </c>
      <c r="H7" s="214" t="str">
        <f ca="1">VLOOKUP($G7,OFFSET([1]characters!$A$1,0,0,COUNTA([1]characters!$A:$A),MATCH(H$1,[1]characters!$1:$1,0)-MATCH($C$1,[1]characters!$1:$1,0)+1),MATCH(H$1,[1]characters!$1:$1,0)-MATCH($C$1,[1]characters!$1:$1,0)+1,FALSE)</f>
        <v>夢龍★６</v>
      </c>
      <c r="I7" s="191">
        <v>294</v>
      </c>
      <c r="J7" s="193" t="str">
        <f ca="1">VLOOKUP($I7,OFFSET([1]characters!$A$1,0,0,COUNTA([1]characters!$A:$A),MATCH(J$1,[1]characters!$1:$1,0)-MATCH($C$1,[1]characters!$1:$1,0)+1),MATCH(J$1,[1]characters!$1:$1,0)-MATCH($C$1,[1]characters!$1:$1,0)+1,FALSE)</f>
        <v>ウルフ・ザ・レッドイーター</v>
      </c>
      <c r="K7" s="195">
        <v>1</v>
      </c>
      <c r="L7" s="196">
        <v>1</v>
      </c>
      <c r="M7" s="197">
        <v>10</v>
      </c>
    </row>
    <row r="8" spans="1:13" x14ac:dyDescent="0.15">
      <c r="A8" s="215" t="str">
        <f>B8&amp;"_"&amp;I7</f>
        <v>9003_294</v>
      </c>
      <c r="B8" s="39">
        <v>9003</v>
      </c>
      <c r="C8" s="176">
        <f t="shared" si="0"/>
        <v>9003</v>
      </c>
      <c r="D8" s="5" t="str">
        <f ca="1">VLOOKUP($C8,OFFSET([1]characters!$A$1,0,0,COUNTA([1]characters!$A:$A),MATCH(D$1,[1]characters!$1:$1,0)-MATCH($C$1,[1]characters!$1:$1,0)+1),MATCH(D$1,[1]characters!$1:$1,0)-MATCH($C$1,[1]characters!$1:$1,0)+1,FALSE)</f>
        <v>夢龍</v>
      </c>
      <c r="E8" s="5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183">
        <v>9004</v>
      </c>
      <c r="H8" s="5" t="str">
        <f ca="1">VLOOKUP($G8,OFFSET([1]characters!$A$1,0,0,COUNTA([1]characters!$A:$A),MATCH(H$1,[1]characters!$1:$1,0)-MATCH($C$1,[1]characters!$1:$1,0)+1),MATCH(H$1,[1]characters!$1:$1,0)-MATCH($C$1,[1]characters!$1:$1,0)+1,FALSE)</f>
        <v>夢龍★６</v>
      </c>
      <c r="I8" s="183">
        <v>766</v>
      </c>
      <c r="J8" s="52" t="str">
        <f ca="1">VLOOKUP($I8,OFFSET([1]characters!$A$1,0,0,COUNTA([1]characters!$A:$A),MATCH(J$1,[1]characters!$1:$1,0)-MATCH($C$1,[1]characters!$1:$1,0)+1),MATCH(J$1,[1]characters!$1:$1,0)-MATCH($C$1,[1]characters!$1:$1,0)+1,FALSE)</f>
        <v>ランドラグ</v>
      </c>
      <c r="K8" s="18">
        <v>1</v>
      </c>
      <c r="L8" s="108">
        <v>1</v>
      </c>
      <c r="M8" s="199">
        <v>10</v>
      </c>
    </row>
    <row r="9" spans="1:13" x14ac:dyDescent="0.15">
      <c r="A9" s="215" t="str">
        <f>B9&amp;"_"&amp;I8</f>
        <v>9003_766</v>
      </c>
      <c r="B9" s="39">
        <v>9003</v>
      </c>
      <c r="C9" s="176">
        <f t="shared" si="0"/>
        <v>9003</v>
      </c>
      <c r="D9" s="5" t="str">
        <f ca="1">VLOOKUP($C9,OFFSET([1]characters!$A$1,0,0,COUNTA([1]characters!$A:$A),MATCH(D$1,[1]characters!$1:$1,0)-MATCH($C$1,[1]characters!$1:$1,0)+1),MATCH(D$1,[1]characters!$1:$1,0)-MATCH($C$1,[1]characters!$1:$1,0)+1,FALSE)</f>
        <v>夢龍</v>
      </c>
      <c r="E9" s="5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83">
        <v>9004</v>
      </c>
      <c r="H9" s="5" t="str">
        <f ca="1">VLOOKUP($G9,OFFSET([1]characters!$A$1,0,0,COUNTA([1]characters!$A:$A),MATCH(H$1,[1]characters!$1:$1,0)-MATCH($C$1,[1]characters!$1:$1,0)+1),MATCH(H$1,[1]characters!$1:$1,0)-MATCH($C$1,[1]characters!$1:$1,0)+1,FALSE)</f>
        <v>夢龍★６</v>
      </c>
      <c r="I9" s="183">
        <v>107</v>
      </c>
      <c r="J9" s="52" t="str">
        <f ca="1">VLOOKUP($I9,OFFSET([1]characters!$A$1,0,0,COUNTA([1]characters!$A:$A),MATCH(J$1,[1]characters!$1:$1,0)-MATCH($C$1,[1]characters!$1:$1,0)+1),MATCH(J$1,[1]characters!$1:$1,0)-MATCH($C$1,[1]characters!$1:$1,0)+1,FALSE)</f>
        <v>グリーンキャタップ</v>
      </c>
      <c r="K9" s="18">
        <v>1</v>
      </c>
      <c r="L9" s="108">
        <v>1</v>
      </c>
      <c r="M9" s="199">
        <v>1</v>
      </c>
    </row>
    <row r="10" spans="1:13" x14ac:dyDescent="0.15">
      <c r="A10" s="215" t="str">
        <f>B10&amp;"_"&amp;I10</f>
        <v>9003_108</v>
      </c>
      <c r="B10" s="39">
        <v>9003</v>
      </c>
      <c r="C10" s="176">
        <f t="shared" si="0"/>
        <v>9003</v>
      </c>
      <c r="D10" s="5" t="str">
        <f ca="1">VLOOKUP($C10,OFFSET([1]characters!$A$1,0,0,COUNTA([1]characters!$A:$A),MATCH(D$1,[1]characters!$1:$1,0)-MATCH($C$1,[1]characters!$1:$1,0)+1),MATCH(D$1,[1]characters!$1:$1,0)-MATCH($C$1,[1]characters!$1:$1,0)+1,FALSE)</f>
        <v>夢龍</v>
      </c>
      <c r="E10" s="5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" t="str">
        <f ca="1">VLOOKUP($C10,OFFSET([1]characters!$A$1,0,0,COUNTA([1]characters!$A:$A),MATCH(F$1,[1]characters!$1:$1,0)-MATCH($C$1,[1]characters!$1:$1,0)+1),MATCH(F$1,[1]characters!$1:$1,0)-MATCH($C$1,[1]characters!$1:$1,0)+1,FALSE)</f>
        <v>DropWizS</v>
      </c>
      <c r="G10" s="183">
        <v>9004</v>
      </c>
      <c r="H10" s="5" t="str">
        <f ca="1">VLOOKUP($G10,OFFSET([1]characters!$A$1,0,0,COUNTA([1]characters!$A:$A),MATCH(H$1,[1]characters!$1:$1,0)-MATCH($C$1,[1]characters!$1:$1,0)+1),MATCH(H$1,[1]characters!$1:$1,0)-MATCH($C$1,[1]characters!$1:$1,0)+1,FALSE)</f>
        <v>夢龍★６</v>
      </c>
      <c r="I10" s="39">
        <v>108</v>
      </c>
      <c r="J10" s="52" t="str">
        <f ca="1">VLOOKUP($I10,OFFSET([1]characters!$A$1,0,0,COUNTA([1]characters!$A:$A),MATCH(J$1,[1]characters!$1:$1,0)-MATCH($C$1,[1]characters!$1:$1,0)+1),MATCH(J$1,[1]characters!$1:$1,0)-MATCH($C$1,[1]characters!$1:$1,0)+1,FALSE)</f>
        <v>森のマッドハッター</v>
      </c>
      <c r="K10" s="18">
        <v>1</v>
      </c>
      <c r="L10" s="108">
        <v>1</v>
      </c>
      <c r="M10" s="199">
        <v>1</v>
      </c>
    </row>
    <row r="11" spans="1:13" ht="16" thickBot="1" x14ac:dyDescent="0.2">
      <c r="A11" s="216" t="str">
        <f>B11&amp;"_"&amp;I11</f>
        <v>9003_837</v>
      </c>
      <c r="B11" s="200">
        <v>9003</v>
      </c>
      <c r="C11" s="201">
        <f t="shared" si="0"/>
        <v>9003</v>
      </c>
      <c r="D11" s="217" t="str">
        <f ca="1">VLOOKUP($C11,OFFSET([1]characters!$A$1,0,0,COUNTA([1]characters!$A:$A),MATCH(D$1,[1]characters!$1:$1,0)-MATCH($C$1,[1]characters!$1:$1,0)+1),MATCH(D$1,[1]characters!$1:$1,0)-MATCH($C$1,[1]characters!$1:$1,0)+1,FALSE)</f>
        <v>夢龍</v>
      </c>
      <c r="E11" s="217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217" t="str">
        <f ca="1">VLOOKUP($C11,OFFSET([1]characters!$A$1,0,0,COUNTA([1]characters!$A:$A),MATCH(F$1,[1]characters!$1:$1,0)-MATCH($C$1,[1]characters!$1:$1,0)+1),MATCH(F$1,[1]characters!$1:$1,0)-MATCH($C$1,[1]characters!$1:$1,0)+1,FALSE)</f>
        <v>DropWizS</v>
      </c>
      <c r="G11" s="203">
        <v>9004</v>
      </c>
      <c r="H11" s="217" t="str">
        <f ca="1">VLOOKUP($G11,OFFSET([1]characters!$A$1,0,0,COUNTA([1]characters!$A:$A),MATCH(H$1,[1]characters!$1:$1,0)-MATCH($C$1,[1]characters!$1:$1,0)+1),MATCH(H$1,[1]characters!$1:$1,0)-MATCH($C$1,[1]characters!$1:$1,0)+1,FALSE)</f>
        <v>夢龍★６</v>
      </c>
      <c r="I11" s="203">
        <v>837</v>
      </c>
      <c r="J11" s="202" t="str">
        <f ca="1">VLOOKUP($I11,OFFSET([1]characters!$A$1,0,0,COUNTA([1]characters!$A:$A),MATCH(J$1,[1]characters!$1:$1,0)-MATCH($C$1,[1]characters!$1:$1,0)+1),MATCH(J$1,[1]characters!$1:$1,0)-MATCH($C$1,[1]characters!$1:$1,0)+1,FALSE)</f>
        <v>リトルハンプティ</v>
      </c>
      <c r="K11" s="204">
        <v>1</v>
      </c>
      <c r="L11" s="205">
        <v>1</v>
      </c>
      <c r="M11" s="219">
        <v>100</v>
      </c>
    </row>
    <row r="12" spans="1:13" x14ac:dyDescent="0.15">
      <c r="A12" s="190" t="str">
        <f>B12&amp;"_"&amp;I14</f>
        <v>9005_111</v>
      </c>
      <c r="B12" s="191">
        <v>9005</v>
      </c>
      <c r="C12" s="192">
        <f t="shared" ref="C12:C20" si="1">B12</f>
        <v>9005</v>
      </c>
      <c r="D12" s="193" t="str">
        <f ca="1">VLOOKUP($C12,OFFSET([1]characters!$A$1,0,0,COUNTA([1]characters!$A:$A),MATCH(D$1,[1]characters!$1:$1,0)-MATCH($C$1,[1]characters!$1:$1,0)+1),MATCH(D$1,[1]characters!$1:$1,0)-MATCH($C$1,[1]characters!$1:$1,0)+1,FALSE)</f>
        <v>降臨</v>
      </c>
      <c r="E12" s="19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193" t="str">
        <f ca="1">VLOOKUP($C12,OFFSET([1]characters!$A$1,0,0,COUNTA([1]characters!$A:$A),MATCH(F$1,[1]characters!$1:$1,0)-MATCH($C$1,[1]characters!$1:$1,0)+1),MATCH(F$1,[1]characters!$1:$1,0)-MATCH($C$1,[1]characters!$1:$1,0)+1,FALSE)</f>
        <v>PremiumSSw</v>
      </c>
      <c r="G12" s="194">
        <v>9006</v>
      </c>
      <c r="H12" s="193" t="str">
        <f ca="1">VLOOKUP($G12,OFFSET([1]characters!$A$1,0,0,COUNTA([1]characters!$A:$A),MATCH(H$1,[1]characters!$1:$1,0)-MATCH($C$1,[1]characters!$1:$1,0)+1),MATCH(H$1,[1]characters!$1:$1,0)-MATCH($C$1,[1]characters!$1:$1,0)+1,FALSE)</f>
        <v>降臨★６</v>
      </c>
      <c r="I12" s="191">
        <v>1061</v>
      </c>
      <c r="J12" s="193" t="str">
        <f ca="1">VLOOKUP($I12,OFFSET([1]characters!$A$1,0,0,COUNTA([1]characters!$A:$A),MATCH(J$1,[1]characters!$1:$1,0)-MATCH($C$1,[1]characters!$1:$1,0)+1),MATCH(J$1,[1]characters!$1:$1,0)-MATCH($C$1,[1]characters!$1:$1,0)+1,FALSE)</f>
        <v>フンババ</v>
      </c>
      <c r="K12" s="195">
        <v>1</v>
      </c>
      <c r="L12" s="196">
        <v>1</v>
      </c>
      <c r="M12" s="197">
        <v>10</v>
      </c>
    </row>
    <row r="13" spans="1:13" x14ac:dyDescent="0.15">
      <c r="A13" s="198" t="str">
        <f>B13&amp;"_"&amp;I12</f>
        <v>9005_1061</v>
      </c>
      <c r="B13" s="39">
        <v>9005</v>
      </c>
      <c r="C13" s="176">
        <f t="shared" si="1"/>
        <v>9005</v>
      </c>
      <c r="D13" s="52" t="str">
        <f ca="1">VLOOKUP($C13,OFFSET([1]characters!$A$1,0,0,COUNTA([1]characters!$A:$A),MATCH(D$1,[1]characters!$1:$1,0)-MATCH($C$1,[1]characters!$1:$1,0)+1),MATCH(D$1,[1]characters!$1:$1,0)-MATCH($C$1,[1]characters!$1:$1,0)+1,FALSE)</f>
        <v>降臨</v>
      </c>
      <c r="E13" s="52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2" t="str">
        <f ca="1">VLOOKUP($C13,OFFSET([1]characters!$A$1,0,0,COUNTA([1]characters!$A:$A),MATCH(F$1,[1]characters!$1:$1,0)-MATCH($C$1,[1]characters!$1:$1,0)+1),MATCH(F$1,[1]characters!$1:$1,0)-MATCH($C$1,[1]characters!$1:$1,0)+1,FALSE)</f>
        <v>PremiumSSw</v>
      </c>
      <c r="G13" s="183">
        <v>9006</v>
      </c>
      <c r="H13" s="52" t="str">
        <f ca="1">VLOOKUP($G13,OFFSET([1]characters!$A$1,0,0,COUNTA([1]characters!$A:$A),MATCH(H$1,[1]characters!$1:$1,0)-MATCH($C$1,[1]characters!$1:$1,0)+1),MATCH(H$1,[1]characters!$1:$1,0)-MATCH($C$1,[1]characters!$1:$1,0)+1,FALSE)</f>
        <v>降臨★６</v>
      </c>
      <c r="I13" s="183">
        <v>422</v>
      </c>
      <c r="J13" s="52" t="str">
        <f ca="1">VLOOKUP($I13,OFFSET([1]characters!$A$1,0,0,COUNTA([1]characters!$A:$A),MATCH(J$1,[1]characters!$1:$1,0)-MATCH($C$1,[1]characters!$1:$1,0)+1),MATCH(J$1,[1]characters!$1:$1,0)-MATCH($C$1,[1]characters!$1:$1,0)+1,FALSE)</f>
        <v>シュガフル</v>
      </c>
      <c r="K13" s="18">
        <v>1</v>
      </c>
      <c r="L13" s="108">
        <v>1</v>
      </c>
      <c r="M13" s="199">
        <v>10</v>
      </c>
    </row>
    <row r="14" spans="1:13" x14ac:dyDescent="0.15">
      <c r="A14" s="198" t="str">
        <f>B14&amp;"_"&amp;I13</f>
        <v>9005_422</v>
      </c>
      <c r="B14" s="39">
        <v>9005</v>
      </c>
      <c r="C14" s="176">
        <f t="shared" si="1"/>
        <v>9005</v>
      </c>
      <c r="D14" s="52" t="str">
        <f ca="1">VLOOKUP($C14,OFFSET([1]characters!$A$1,0,0,COUNTA([1]characters!$A:$A),MATCH(D$1,[1]characters!$1:$1,0)-MATCH($C$1,[1]characters!$1:$1,0)+1),MATCH(D$1,[1]characters!$1:$1,0)-MATCH($C$1,[1]characters!$1:$1,0)+1,FALSE)</f>
        <v>降臨</v>
      </c>
      <c r="E14" s="52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2" t="str">
        <f ca="1">VLOOKUP($C14,OFFSET([1]characters!$A$1,0,0,COUNTA([1]characters!$A:$A),MATCH(F$1,[1]characters!$1:$1,0)-MATCH($C$1,[1]characters!$1:$1,0)+1),MATCH(F$1,[1]characters!$1:$1,0)-MATCH($C$1,[1]characters!$1:$1,0)+1,FALSE)</f>
        <v>PremiumSSw</v>
      </c>
      <c r="G14" s="183">
        <v>9006</v>
      </c>
      <c r="H14" s="52" t="str">
        <f ca="1">VLOOKUP($G14,OFFSET([1]characters!$A$1,0,0,COUNTA([1]characters!$A:$A),MATCH(H$1,[1]characters!$1:$1,0)-MATCH($C$1,[1]characters!$1:$1,0)+1),MATCH(H$1,[1]characters!$1:$1,0)-MATCH($C$1,[1]characters!$1:$1,0)+1,FALSE)</f>
        <v>降臨★６</v>
      </c>
      <c r="I14" s="183">
        <v>111</v>
      </c>
      <c r="J14" s="52" t="str">
        <f ca="1">VLOOKUP($I14,OFFSET([1]characters!$A$1,0,0,COUNTA([1]characters!$A:$A),MATCH(J$1,[1]characters!$1:$1,0)-MATCH($C$1,[1]characters!$1:$1,0)+1),MATCH(J$1,[1]characters!$1:$1,0)-MATCH($C$1,[1]characters!$1:$1,0)+1,FALSE)</f>
        <v>ブルーキャタップ</v>
      </c>
      <c r="K14" s="18">
        <v>1</v>
      </c>
      <c r="L14" s="108">
        <v>1</v>
      </c>
      <c r="M14" s="199">
        <v>1</v>
      </c>
    </row>
    <row r="15" spans="1:13" x14ac:dyDescent="0.15">
      <c r="A15" s="198" t="str">
        <f>B15&amp;"_"&amp;I15</f>
        <v>9005_112</v>
      </c>
      <c r="B15" s="39">
        <v>9005</v>
      </c>
      <c r="C15" s="176">
        <f t="shared" si="1"/>
        <v>9005</v>
      </c>
      <c r="D15" s="52" t="str">
        <f ca="1">VLOOKUP($C15,OFFSET([1]characters!$A$1,0,0,COUNTA([1]characters!$A:$A),MATCH(D$1,[1]characters!$1:$1,0)-MATCH($C$1,[1]characters!$1:$1,0)+1),MATCH(D$1,[1]characters!$1:$1,0)-MATCH($C$1,[1]characters!$1:$1,0)+1,FALSE)</f>
        <v>降臨</v>
      </c>
      <c r="E15" s="52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2" t="str">
        <f ca="1">VLOOKUP($C15,OFFSET([1]characters!$A$1,0,0,COUNTA([1]characters!$A:$A),MATCH(F$1,[1]characters!$1:$1,0)-MATCH($C$1,[1]characters!$1:$1,0)+1),MATCH(F$1,[1]characters!$1:$1,0)-MATCH($C$1,[1]characters!$1:$1,0)+1,FALSE)</f>
        <v>PremiumSSw</v>
      </c>
      <c r="G15" s="183">
        <v>9006</v>
      </c>
      <c r="H15" s="52" t="str">
        <f ca="1">VLOOKUP($G15,OFFSET([1]characters!$A$1,0,0,COUNTA([1]characters!$A:$A),MATCH(H$1,[1]characters!$1:$1,0)-MATCH($C$1,[1]characters!$1:$1,0)+1),MATCH(H$1,[1]characters!$1:$1,0)-MATCH($C$1,[1]characters!$1:$1,0)+1,FALSE)</f>
        <v>降臨★６</v>
      </c>
      <c r="I15" s="39">
        <v>112</v>
      </c>
      <c r="J15" s="52" t="str">
        <f ca="1">VLOOKUP($I15,OFFSET([1]characters!$A$1,0,0,COUNTA([1]characters!$A:$A),MATCH(J$1,[1]characters!$1:$1,0)-MATCH($C$1,[1]characters!$1:$1,0)+1),MATCH(J$1,[1]characters!$1:$1,0)-MATCH($C$1,[1]characters!$1:$1,0)+1,FALSE)</f>
        <v>水のマッドハッター</v>
      </c>
      <c r="K15" s="18">
        <v>1</v>
      </c>
      <c r="L15" s="108">
        <v>1</v>
      </c>
      <c r="M15" s="199">
        <v>1</v>
      </c>
    </row>
    <row r="16" spans="1:13" ht="16" thickBot="1" x14ac:dyDescent="0.2">
      <c r="A16" s="198" t="str">
        <f>B16&amp;"_"&amp;I16</f>
        <v>9005_837</v>
      </c>
      <c r="B16" s="184">
        <v>9005</v>
      </c>
      <c r="C16" s="185">
        <f t="shared" si="1"/>
        <v>9005</v>
      </c>
      <c r="D16" s="186" t="str">
        <f ca="1">VLOOKUP($C16,OFFSET([1]characters!$A$1,0,0,COUNTA([1]characters!$A:$A),MATCH(D$1,[1]characters!$1:$1,0)-MATCH($C$1,[1]characters!$1:$1,0)+1),MATCH(D$1,[1]characters!$1:$1,0)-MATCH($C$1,[1]characters!$1:$1,0)+1,FALSE)</f>
        <v>降臨</v>
      </c>
      <c r="E16" s="186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186" t="str">
        <f ca="1">VLOOKUP($C16,OFFSET([1]characters!$A$1,0,0,COUNTA([1]characters!$A:$A),MATCH(F$1,[1]characters!$1:$1,0)-MATCH($C$1,[1]characters!$1:$1,0)+1),MATCH(F$1,[1]characters!$1:$1,0)-MATCH($C$1,[1]characters!$1:$1,0)+1,FALSE)</f>
        <v>PremiumSSw</v>
      </c>
      <c r="G16" s="187">
        <v>9006</v>
      </c>
      <c r="H16" s="186" t="str">
        <f ca="1">VLOOKUP($G16,OFFSET([1]characters!$A$1,0,0,COUNTA([1]characters!$A:$A),MATCH(H$1,[1]characters!$1:$1,0)-MATCH($C$1,[1]characters!$1:$1,0)+1),MATCH(H$1,[1]characters!$1:$1,0)-MATCH($C$1,[1]characters!$1:$1,0)+1,FALSE)</f>
        <v>降臨★６</v>
      </c>
      <c r="I16" s="203">
        <v>837</v>
      </c>
      <c r="J16" s="202" t="str">
        <f ca="1">VLOOKUP($I16,OFFSET([1]characters!$A$1,0,0,COUNTA([1]characters!$A:$A),MATCH(J$1,[1]characters!$1:$1,0)-MATCH($C$1,[1]characters!$1:$1,0)+1),MATCH(J$1,[1]characters!$1:$1,0)-MATCH($C$1,[1]characters!$1:$1,0)+1,FALSE)</f>
        <v>リトルハンプティ</v>
      </c>
      <c r="K16" s="188">
        <v>1</v>
      </c>
      <c r="L16" s="189">
        <v>1</v>
      </c>
      <c r="M16" s="218">
        <v>100</v>
      </c>
    </row>
    <row r="17" spans="1:13" x14ac:dyDescent="0.15">
      <c r="A17" s="213" t="e">
        <f>B17&amp;"_"&amp;#REF!</f>
        <v>#REF!</v>
      </c>
      <c r="B17" s="191">
        <v>9007</v>
      </c>
      <c r="C17" s="192">
        <f t="shared" si="1"/>
        <v>9007</v>
      </c>
      <c r="D17" s="214" t="str">
        <f ca="1">VLOOKUP($C17,OFFSET([1]characters!$A$1,0,0,COUNTA([1]characters!$A:$A),MATCH(D$1,[1]characters!$1:$1,0)-MATCH($C$1,[1]characters!$1:$1,0)+1),MATCH(D$1,[1]characters!$1:$1,0)-MATCH($C$1,[1]characters!$1:$1,0)+1,FALSE)</f>
        <v>田禹治</v>
      </c>
      <c r="E17" s="214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214" t="str">
        <f ca="1">VLOOKUP($C17,OFFSET([1]characters!$A$1,0,0,COUNTA([1]characters!$A:$A),MATCH(F$1,[1]characters!$1:$1,0)-MATCH($C$1,[1]characters!$1:$1,0)+1),MATCH(F$1,[1]characters!$1:$1,0)-MATCH($C$1,[1]characters!$1:$1,0)+1,FALSE)</f>
        <v>DropWizS</v>
      </c>
      <c r="G17" s="194">
        <v>9008</v>
      </c>
      <c r="H17" s="214" t="str">
        <f ca="1">VLOOKUP($G17,OFFSET([1]characters!$A$1,0,0,COUNTA([1]characters!$A:$A),MATCH(H$1,[1]characters!$1:$1,0)-MATCH($C$1,[1]characters!$1:$1,0)+1),MATCH(H$1,[1]characters!$1:$1,0)-MATCH($C$1,[1]characters!$1:$1,0)+1,FALSE)</f>
        <v>田禹治★６</v>
      </c>
      <c r="I17" s="191">
        <v>290</v>
      </c>
      <c r="J17" s="193" t="str">
        <f ca="1">VLOOKUP($I17,OFFSET([1]characters!$A$1,0,0,COUNTA([1]characters!$A:$A),MATCH(J$1,[1]characters!$1:$1,0)-MATCH($C$1,[1]characters!$1:$1,0)+1),MATCH(J$1,[1]characters!$1:$1,0)-MATCH($C$1,[1]characters!$1:$1,0)+1,FALSE)</f>
        <v>ウィッチ・オクトパス</v>
      </c>
      <c r="K17" s="195">
        <v>1</v>
      </c>
      <c r="L17" s="196">
        <v>2</v>
      </c>
      <c r="M17" s="197">
        <v>10</v>
      </c>
    </row>
    <row r="18" spans="1:13" x14ac:dyDescent="0.15">
      <c r="A18" s="215" t="str">
        <f>B18&amp;"_"&amp;I17</f>
        <v>9007_290</v>
      </c>
      <c r="B18" s="39">
        <v>9007</v>
      </c>
      <c r="C18" s="176">
        <f t="shared" si="1"/>
        <v>9007</v>
      </c>
      <c r="D18" s="5" t="str">
        <f ca="1">VLOOKUP($C18,OFFSET([1]characters!$A$1,0,0,COUNTA([1]characters!$A:$A),MATCH(D$1,[1]characters!$1:$1,0)-MATCH($C$1,[1]characters!$1:$1,0)+1),MATCH(D$1,[1]characters!$1:$1,0)-MATCH($C$1,[1]characters!$1:$1,0)+1,FALSE)</f>
        <v>田禹治</v>
      </c>
      <c r="E18" s="5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" t="str">
        <f ca="1">VLOOKUP($C18,OFFSET([1]characters!$A$1,0,0,COUNTA([1]characters!$A:$A),MATCH(F$1,[1]characters!$1:$1,0)-MATCH($C$1,[1]characters!$1:$1,0)+1),MATCH(F$1,[1]characters!$1:$1,0)-MATCH($C$1,[1]characters!$1:$1,0)+1,FALSE)</f>
        <v>DropWizS</v>
      </c>
      <c r="G18" s="183">
        <v>9008</v>
      </c>
      <c r="H18" s="5" t="str">
        <f ca="1">VLOOKUP($G18,OFFSET([1]characters!$A$1,0,0,COUNTA([1]characters!$A:$A),MATCH(H$1,[1]characters!$1:$1,0)-MATCH($C$1,[1]characters!$1:$1,0)+1),MATCH(H$1,[1]characters!$1:$1,0)-MATCH($C$1,[1]characters!$1:$1,0)+1,FALSE)</f>
        <v>田禹治★６</v>
      </c>
      <c r="I18" s="183">
        <v>840</v>
      </c>
      <c r="J18" s="52" t="str">
        <f ca="1">VLOOKUP($I18,OFFSET([1]characters!$A$1,0,0,COUNTA([1]characters!$A:$A),MATCH(J$1,[1]characters!$1:$1,0)-MATCH($C$1,[1]characters!$1:$1,0)+1),MATCH(J$1,[1]characters!$1:$1,0)-MATCH($C$1,[1]characters!$1:$1,0)+1,FALSE)</f>
        <v>フェニックス</v>
      </c>
      <c r="K18" s="18">
        <v>1</v>
      </c>
      <c r="L18" s="108">
        <v>3</v>
      </c>
      <c r="M18" s="199">
        <v>10</v>
      </c>
    </row>
    <row r="19" spans="1:13" x14ac:dyDescent="0.15">
      <c r="A19" s="215" t="str">
        <f>B19&amp;"_"&amp;I19</f>
        <v>9007_104</v>
      </c>
      <c r="B19" s="39">
        <v>9007</v>
      </c>
      <c r="C19" s="176">
        <f t="shared" si="1"/>
        <v>9007</v>
      </c>
      <c r="D19" s="5" t="str">
        <f ca="1">VLOOKUP($C19,OFFSET([1]characters!$A$1,0,0,COUNTA([1]characters!$A:$A),MATCH(D$1,[1]characters!$1:$1,0)-MATCH($C$1,[1]characters!$1:$1,0)+1),MATCH(D$1,[1]characters!$1:$1,0)-MATCH($C$1,[1]characters!$1:$1,0)+1,FALSE)</f>
        <v>田禹治</v>
      </c>
      <c r="E19" s="5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" t="str">
        <f ca="1">VLOOKUP($C19,OFFSET([1]characters!$A$1,0,0,COUNTA([1]characters!$A:$A),MATCH(F$1,[1]characters!$1:$1,0)-MATCH($C$1,[1]characters!$1:$1,0)+1),MATCH(F$1,[1]characters!$1:$1,0)-MATCH($C$1,[1]characters!$1:$1,0)+1,FALSE)</f>
        <v>DropWizS</v>
      </c>
      <c r="G19" s="183">
        <v>9008</v>
      </c>
      <c r="H19" s="5" t="str">
        <f ca="1">VLOOKUP($G19,OFFSET([1]characters!$A$1,0,0,COUNTA([1]characters!$A:$A),MATCH(H$1,[1]characters!$1:$1,0)-MATCH($C$1,[1]characters!$1:$1,0)+1),MATCH(H$1,[1]characters!$1:$1,0)-MATCH($C$1,[1]characters!$1:$1,0)+1,FALSE)</f>
        <v>田禹治★６</v>
      </c>
      <c r="I19" s="39">
        <v>104</v>
      </c>
      <c r="J19" s="52" t="str">
        <f ca="1">VLOOKUP($I19,OFFSET([1]characters!$A$1,0,0,COUNTA([1]characters!$A:$A),MATCH(J$1,[1]characters!$1:$1,0)-MATCH($C$1,[1]characters!$1:$1,0)+1),MATCH(J$1,[1]characters!$1:$1,0)-MATCH($C$1,[1]characters!$1:$1,0)+1,FALSE)</f>
        <v>炎のマッドハッター</v>
      </c>
      <c r="K19" s="18">
        <v>1</v>
      </c>
      <c r="L19" s="108">
        <v>1</v>
      </c>
      <c r="M19" s="199">
        <v>1</v>
      </c>
    </row>
    <row r="20" spans="1:13" ht="16" thickBot="1" x14ac:dyDescent="0.2">
      <c r="A20" s="216" t="str">
        <f>B20&amp;"_"&amp;I20</f>
        <v>9007_837</v>
      </c>
      <c r="B20" s="200">
        <v>9007</v>
      </c>
      <c r="C20" s="201">
        <f t="shared" si="1"/>
        <v>9007</v>
      </c>
      <c r="D20" s="217" t="str">
        <f ca="1">VLOOKUP($C20,OFFSET([1]characters!$A$1,0,0,COUNTA([1]characters!$A:$A),MATCH(D$1,[1]characters!$1:$1,0)-MATCH($C$1,[1]characters!$1:$1,0)+1),MATCH(D$1,[1]characters!$1:$1,0)-MATCH($C$1,[1]characters!$1:$1,0)+1,FALSE)</f>
        <v>田禹治</v>
      </c>
      <c r="E20" s="217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217" t="str">
        <f ca="1">VLOOKUP($C20,OFFSET([1]characters!$A$1,0,0,COUNTA([1]characters!$A:$A),MATCH(F$1,[1]characters!$1:$1,0)-MATCH($C$1,[1]characters!$1:$1,0)+1),MATCH(F$1,[1]characters!$1:$1,0)-MATCH($C$1,[1]characters!$1:$1,0)+1,FALSE)</f>
        <v>DropWizS</v>
      </c>
      <c r="G20" s="203">
        <v>9008</v>
      </c>
      <c r="H20" s="217" t="str">
        <f ca="1">VLOOKUP($G20,OFFSET([1]characters!$A$1,0,0,COUNTA([1]characters!$A:$A),MATCH(H$1,[1]characters!$1:$1,0)-MATCH($C$1,[1]characters!$1:$1,0)+1),MATCH(H$1,[1]characters!$1:$1,0)-MATCH($C$1,[1]characters!$1:$1,0)+1,FALSE)</f>
        <v>田禹治★６</v>
      </c>
      <c r="I20" s="203">
        <v>837</v>
      </c>
      <c r="J20" s="202" t="str">
        <f ca="1">VLOOKUP($I20,OFFSET([1]characters!$A$1,0,0,COUNTA([1]characters!$A:$A),MATCH(J$1,[1]characters!$1:$1,0)-MATCH($C$1,[1]characters!$1:$1,0)+1),MATCH(J$1,[1]characters!$1:$1,0)-MATCH($C$1,[1]characters!$1:$1,0)+1,FALSE)</f>
        <v>リトルハンプティ</v>
      </c>
      <c r="K20" s="204">
        <v>1</v>
      </c>
      <c r="L20" s="205">
        <v>1</v>
      </c>
      <c r="M20" s="219">
        <v>100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E25" sqref="E25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6" t="s">
        <v>299</v>
      </c>
      <c r="B1" s="114" t="s">
        <v>300</v>
      </c>
      <c r="C1" s="115" t="s">
        <v>301</v>
      </c>
      <c r="D1" s="116" t="s">
        <v>302</v>
      </c>
      <c r="E1" s="116" t="s">
        <v>303</v>
      </c>
      <c r="F1" s="116" t="s">
        <v>304</v>
      </c>
      <c r="G1" s="116" t="s">
        <v>305</v>
      </c>
      <c r="H1" s="116" t="s">
        <v>306</v>
      </c>
      <c r="I1" s="172" t="s">
        <v>307</v>
      </c>
      <c r="J1" s="167" t="s">
        <v>308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7"/>
  <sheetViews>
    <sheetView workbookViewId="0">
      <selection activeCell="C13" sqref="C13"/>
    </sheetView>
  </sheetViews>
  <sheetFormatPr baseColWidth="12" defaultRowHeight="15" x14ac:dyDescent="0.15"/>
  <cols>
    <col min="5" max="5" width="22.6640625" customWidth="1"/>
    <col min="6" max="6" width="41.1640625" bestFit="1" customWidth="1"/>
  </cols>
  <sheetData>
    <row r="1" spans="1:8" s="21" customFormat="1" ht="21" customHeight="1" x14ac:dyDescent="0.15">
      <c r="A1" s="166" t="s">
        <v>138</v>
      </c>
      <c r="B1" s="169" t="s">
        <v>264</v>
      </c>
      <c r="C1" s="114" t="s">
        <v>265</v>
      </c>
      <c r="D1" s="114" t="s">
        <v>266</v>
      </c>
      <c r="E1" s="170" t="s">
        <v>267</v>
      </c>
      <c r="F1" s="170" t="s">
        <v>268</v>
      </c>
      <c r="G1" s="117" t="s">
        <v>269</v>
      </c>
      <c r="H1" s="166" t="s">
        <v>270</v>
      </c>
    </row>
    <row r="2" spans="1:8" s="4" customFormat="1" ht="21" customHeight="1" x14ac:dyDescent="0.15">
      <c r="A2" s="168">
        <v>9002</v>
      </c>
      <c r="B2" s="171" t="str">
        <f>VLOOKUP(A2,[1]characters!$A:$C,3)</f>
        <v>春香★６</v>
      </c>
      <c r="C2" s="168">
        <v>1</v>
      </c>
      <c r="D2" s="168">
        <v>102</v>
      </c>
      <c r="E2" s="172" t="str">
        <f>IF(ISERROR(VLOOKUP(D2,[3]abilities!A:D,3,FALSE))=FALSE,VLOOKUP(D2,[3]abilities!A:D,3),IF(ISERROR(VLOOKUP(D2,abilities!A:D,3,FALSE))=FALSE,VLOOKUP(D2,abilities!A:D,3),"なし"))</f>
        <v>プロテクトブレイク</v>
      </c>
      <c r="F2" s="172" t="str">
        <f>IF(ISERROR(VLOOKUP(D2,[3]abilities!A:D,4,FALSE))=FALSE,VLOOKUP(D2,[3]abilities!A:D,4),IF(ISERROR(VLOOKUP(D2,abilities!A:D,4,FALSE))=FALSE,VLOOKUP(D2,abilities!A:D,4),"なし"))</f>
        <v>自身が先頭の時、プロテクトを無視してパネル破壊できる</v>
      </c>
      <c r="G2" s="173" t="s">
        <v>271</v>
      </c>
      <c r="H2" s="173" t="s">
        <v>272</v>
      </c>
    </row>
    <row r="3" spans="1:8" s="4" customFormat="1" ht="21" customHeight="1" x14ac:dyDescent="0.15">
      <c r="A3" s="168">
        <v>9004</v>
      </c>
      <c r="B3" s="171" t="str">
        <f>VLOOKUP(A3,[1]characters!$A:$C,3)</f>
        <v>夢龍★６</v>
      </c>
      <c r="C3" s="168">
        <v>1</v>
      </c>
      <c r="D3" s="168">
        <v>200</v>
      </c>
      <c r="E3" s="172" t="str">
        <f>IF(ISERROR(VLOOKUP(D3,[3]abilities!A:D,3,FALSE))=FALSE,VLOOKUP(D3,[3]abilities!A:D,3),IF(ISERROR(VLOOKUP(D3,abilities!A:D,3,FALSE))=FALSE,VLOOKUP(D3,abilities!A:D,3),"なし"))</f>
        <v>ウィルス無効</v>
      </c>
      <c r="F3" s="172" t="str">
        <f>IF(ISERROR(VLOOKUP(D3,[3]abilities!A:D,4,FALSE))=FALSE,VLOOKUP(D3,[3]abilities!A:D,4),IF(ISERROR(VLOOKUP(D3,abilities!A:D,4,FALSE))=FALSE,VLOOKUP(D3,abilities!A:D,4),"なし"))</f>
        <v>自身にかかるウィルスを無効化する</v>
      </c>
      <c r="G3" s="173" t="s">
        <v>271</v>
      </c>
      <c r="H3" s="173" t="s">
        <v>272</v>
      </c>
    </row>
    <row r="4" spans="1:8" s="4" customFormat="1" ht="21" customHeight="1" x14ac:dyDescent="0.15">
      <c r="A4" s="168">
        <v>9004</v>
      </c>
      <c r="B4" s="171" t="str">
        <f>VLOOKUP(A4,[1]characters!$A:$C,3)</f>
        <v>夢龍★６</v>
      </c>
      <c r="C4" s="168">
        <v>2</v>
      </c>
      <c r="D4" s="168">
        <v>900402</v>
      </c>
      <c r="E4" s="172" t="str">
        <f>IF(ISERROR(VLOOKUP(D4,[3]abilities!A:D,3,FALSE))=FALSE,VLOOKUP(D4,[3]abilities!A:D,3),IF(ISERROR(VLOOKUP(D4,abilities!A:D,3,FALSE))=FALSE,VLOOKUP(D4,abilities!A:D,3),"なし"))</f>
        <v>端午クエスト ダメージUP</v>
      </c>
      <c r="F4" s="172" t="str">
        <f>IF(ISERROR(VLOOKUP(D4,[3]abilities!A:D,4,FALSE))=FALSE,VLOOKUP(D4,[3]abilities!A:D,4),IF(ISERROR(VLOOKUP(D4,abilities!A:D,4,FALSE))=FALSE,VLOOKUP(D4,abilities!A:D,4),"なし"))</f>
        <v>端午クエスト内で自身の全ての攻撃の威力をUP</v>
      </c>
      <c r="G4" s="173" t="s">
        <v>271</v>
      </c>
      <c r="H4" s="173" t="s">
        <v>363</v>
      </c>
    </row>
    <row r="5" spans="1:8" s="4" customFormat="1" ht="21" customHeight="1" x14ac:dyDescent="0.15">
      <c r="A5" s="168">
        <v>9006</v>
      </c>
      <c r="B5" s="171" t="str">
        <f>VLOOKUP(A5,[1]characters!$A:$C,3)</f>
        <v>降臨★６</v>
      </c>
      <c r="C5" s="168">
        <v>1</v>
      </c>
      <c r="D5" s="168">
        <v>109</v>
      </c>
      <c r="E5" s="172" t="str">
        <f>IF(ISERROR(VLOOKUP(D5,[3]abilities!A:D,3,FALSE))=FALSE,VLOOKUP(D5,[3]abilities!A:D,3),IF(ISERROR(VLOOKUP(D5,abilities!A:D,3,FALSE))=FALSE,VLOOKUP(D5,abilities!A:D,3),"なし"))</f>
        <v>ダメージパネルブレイク</v>
      </c>
      <c r="F5" s="172" t="str">
        <f>IF(ISERROR(VLOOKUP(D5,[3]abilities!A:D,4,FALSE))=FALSE,VLOOKUP(D5,[3]abilities!A:D,4),IF(ISERROR(VLOOKUP(D5,abilities!A:D,4,FALSE))=FALSE,VLOOKUP(D5,abilities!A:D,4),"なし"))</f>
        <v>自身が先頭の時、ダメージを受けずにダメージパネルを破壊できる</v>
      </c>
      <c r="G5" s="173" t="s">
        <v>271</v>
      </c>
      <c r="H5" s="173" t="s">
        <v>272</v>
      </c>
    </row>
    <row r="6" spans="1:8" s="4" customFormat="1" ht="21" customHeight="1" x14ac:dyDescent="0.15">
      <c r="A6" s="168">
        <v>9008</v>
      </c>
      <c r="B6" s="171" t="str">
        <f>VLOOKUP(A6,[1]characters!$A:$C,3)</f>
        <v>田禹治★６</v>
      </c>
      <c r="C6" s="168">
        <v>1</v>
      </c>
      <c r="D6" s="168">
        <v>200</v>
      </c>
      <c r="E6" s="172" t="str">
        <f>IF(ISERROR(VLOOKUP(D6,[3]abilities!A:D,3,FALSE))=FALSE,VLOOKUP(D6,[3]abilities!A:D,3),IF(ISERROR(VLOOKUP(D6,abilities!A:D,3,FALSE))=FALSE,VLOOKUP(D6,abilities!A:D,3),"なし"))</f>
        <v>ウィルス無効</v>
      </c>
      <c r="F6" s="172" t="str">
        <f>IF(ISERROR(VLOOKUP(D6,[3]abilities!A:D,4,FALSE))=FALSE,VLOOKUP(D6,[3]abilities!A:D,4),IF(ISERROR(VLOOKUP(D6,abilities!A:D,4,FALSE))=FALSE,VLOOKUP(D6,abilities!A:D,4),"なし"))</f>
        <v>自身にかかるウィルスを無効化する</v>
      </c>
      <c r="G6" s="173" t="s">
        <v>271</v>
      </c>
      <c r="H6" s="173" t="s">
        <v>272</v>
      </c>
    </row>
    <row r="7" spans="1:8" s="4" customFormat="1" ht="21" customHeight="1" x14ac:dyDescent="0.15">
      <c r="A7" s="168">
        <v>9008</v>
      </c>
      <c r="B7" s="171" t="str">
        <f>VLOOKUP(A7,[1]characters!$A:$C,3)</f>
        <v>田禹治★６</v>
      </c>
      <c r="C7" s="168">
        <v>2</v>
      </c>
      <c r="D7" s="168">
        <v>900802</v>
      </c>
      <c r="E7" s="172" t="str">
        <f>IF(ISERROR(VLOOKUP(D7,[3]abilities!A:D,3,FALSE))=FALSE,VLOOKUP(D7,[3]abilities!A:D,3),IF(ISERROR(VLOOKUP(D7,abilities!A:D,3,FALSE))=FALSE,VLOOKUP(D7,abilities!A:D,3),"なし"))</f>
        <v>ターン攻撃力UP</v>
      </c>
      <c r="F7" s="172" t="str">
        <f>IF(ISERROR(VLOOKUP(D7,[3]abilities!A:D,4,FALSE))=FALSE,VLOOKUP(D7,[3]abilities!A:D,4),IF(ISERROR(VLOOKUP(D7,abilities!A:D,4,FALSE))=FALSE,VLOOKUP(D7,abilities!A:D,4),"なし"))</f>
        <v>最初の1ターン目と、その後7ターン毎に1ターン赤属性の攻撃力777UP</v>
      </c>
      <c r="G7" s="173" t="s">
        <v>271</v>
      </c>
      <c r="H7" s="173" t="s">
        <v>363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F25" sqref="F25"/>
    </sheetView>
  </sheetViews>
  <sheetFormatPr baseColWidth="12" defaultRowHeight="15" x14ac:dyDescent="0.15"/>
  <sheetData>
    <row r="1" spans="1:2" x14ac:dyDescent="0.15">
      <c r="A1" t="s">
        <v>327</v>
      </c>
      <c r="B1" t="s">
        <v>328</v>
      </c>
    </row>
    <row r="2" spans="1:2" x14ac:dyDescent="0.15">
      <c r="A2" t="s">
        <v>329</v>
      </c>
      <c r="B2">
        <v>1</v>
      </c>
    </row>
    <row r="3" spans="1:2" x14ac:dyDescent="0.15">
      <c r="A3" t="s">
        <v>330</v>
      </c>
      <c r="B3">
        <v>1</v>
      </c>
    </row>
    <row r="4" spans="1:2" x14ac:dyDescent="0.15">
      <c r="A4" t="s">
        <v>331</v>
      </c>
      <c r="B4">
        <v>1</v>
      </c>
    </row>
    <row r="5" spans="1:2" x14ac:dyDescent="0.15">
      <c r="A5" t="s">
        <v>332</v>
      </c>
      <c r="B5">
        <v>1</v>
      </c>
    </row>
    <row r="6" spans="1:2" x14ac:dyDescent="0.15">
      <c r="A6" t="s">
        <v>333</v>
      </c>
      <c r="B6">
        <v>1</v>
      </c>
    </row>
    <row r="7" spans="1:2" x14ac:dyDescent="0.15">
      <c r="A7" t="s">
        <v>334</v>
      </c>
      <c r="B7">
        <v>1</v>
      </c>
    </row>
    <row r="8" spans="1:2" x14ac:dyDescent="0.15">
      <c r="A8" t="s">
        <v>335</v>
      </c>
      <c r="B8">
        <v>1</v>
      </c>
    </row>
    <row r="9" spans="1:2" x14ac:dyDescent="0.15">
      <c r="A9" t="s">
        <v>336</v>
      </c>
      <c r="B9">
        <v>1</v>
      </c>
    </row>
    <row r="10" spans="1:2" x14ac:dyDescent="0.15">
      <c r="A10" t="s">
        <v>337</v>
      </c>
      <c r="B10">
        <v>1</v>
      </c>
    </row>
    <row r="11" spans="1:2" x14ac:dyDescent="0.15">
      <c r="A11" t="s">
        <v>338</v>
      </c>
      <c r="B11">
        <v>1</v>
      </c>
    </row>
    <row r="12" spans="1:2" x14ac:dyDescent="0.15">
      <c r="A12" t="s">
        <v>339</v>
      </c>
      <c r="B12">
        <v>1</v>
      </c>
    </row>
    <row r="13" spans="1:2" x14ac:dyDescent="0.15">
      <c r="A13" t="s">
        <v>340</v>
      </c>
      <c r="B13">
        <v>0</v>
      </c>
    </row>
    <row r="14" spans="1:2" x14ac:dyDescent="0.15">
      <c r="A14" t="s">
        <v>341</v>
      </c>
      <c r="B14">
        <v>500</v>
      </c>
    </row>
    <row r="15" spans="1:2" x14ac:dyDescent="0.15">
      <c r="A15" t="s">
        <v>342</v>
      </c>
      <c r="B15">
        <v>600</v>
      </c>
    </row>
    <row r="16" spans="1:2" x14ac:dyDescent="0.15">
      <c r="A16" t="s">
        <v>343</v>
      </c>
      <c r="B16">
        <v>700</v>
      </c>
    </row>
    <row r="17" spans="1:2" x14ac:dyDescent="0.15">
      <c r="A17" t="s">
        <v>344</v>
      </c>
      <c r="B17">
        <v>5500</v>
      </c>
    </row>
    <row r="18" spans="1:2" x14ac:dyDescent="0.15">
      <c r="A18" t="s">
        <v>345</v>
      </c>
      <c r="B18">
        <v>6000</v>
      </c>
    </row>
    <row r="19" spans="1:2" x14ac:dyDescent="0.15">
      <c r="A19" t="s">
        <v>346</v>
      </c>
      <c r="B19">
        <v>30000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workbookViewId="0">
      <selection activeCell="G10" sqref="G10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231</v>
      </c>
      <c r="B2" s="141"/>
      <c r="C2" s="142"/>
      <c r="D2" s="143" t="s">
        <v>232</v>
      </c>
      <c r="E2" s="143">
        <v>30</v>
      </c>
      <c r="F2" s="143">
        <v>40</v>
      </c>
      <c r="G2" s="143">
        <f>15+F2</f>
        <v>55</v>
      </c>
      <c r="H2" s="142"/>
      <c r="I2" s="142"/>
    </row>
    <row r="3" spans="1:9" s="4" customFormat="1" ht="21" customHeight="1" x14ac:dyDescent="0.15">
      <c r="A3" s="140" t="s">
        <v>233</v>
      </c>
      <c r="B3" s="144"/>
      <c r="C3" s="145"/>
      <c r="D3" s="146" t="s">
        <v>232</v>
      </c>
      <c r="E3" s="146">
        <v>25</v>
      </c>
      <c r="F3" s="146">
        <v>35</v>
      </c>
      <c r="G3" s="143">
        <f t="shared" ref="G3:G4" si="0">15+F3</f>
        <v>50</v>
      </c>
      <c r="H3" s="145"/>
      <c r="I3" s="145"/>
    </row>
    <row r="4" spans="1:9" s="4" customFormat="1" ht="21" customHeight="1" x14ac:dyDescent="0.15">
      <c r="A4" s="140" t="s">
        <v>234</v>
      </c>
      <c r="B4" s="147"/>
      <c r="C4" s="148"/>
      <c r="D4" s="149">
        <v>10</v>
      </c>
      <c r="E4" s="149">
        <v>20</v>
      </c>
      <c r="F4" s="149">
        <v>30</v>
      </c>
      <c r="G4" s="149">
        <f t="shared" si="0"/>
        <v>45</v>
      </c>
      <c r="H4" s="148"/>
      <c r="I4" s="148"/>
    </row>
    <row r="5" spans="1:9" s="4" customFormat="1" ht="21" customHeight="1" x14ac:dyDescent="0.15">
      <c r="A5" s="159" t="s">
        <v>235</v>
      </c>
      <c r="B5" s="154"/>
      <c r="C5" s="155"/>
      <c r="D5" s="26">
        <v>9</v>
      </c>
      <c r="E5" s="26">
        <v>18</v>
      </c>
      <c r="F5" s="26">
        <v>28</v>
      </c>
      <c r="G5" s="36">
        <v>38</v>
      </c>
      <c r="H5" s="155"/>
      <c r="I5" s="155"/>
    </row>
    <row r="6" spans="1:9" s="4" customFormat="1" ht="21" customHeight="1" x14ac:dyDescent="0.15">
      <c r="A6" s="159" t="s">
        <v>236</v>
      </c>
      <c r="B6" s="154"/>
      <c r="C6" s="155"/>
      <c r="D6" s="26">
        <v>7</v>
      </c>
      <c r="E6" s="26">
        <v>16</v>
      </c>
      <c r="F6" s="63" t="s">
        <v>11</v>
      </c>
      <c r="G6" s="63" t="s">
        <v>11</v>
      </c>
      <c r="H6" s="155"/>
      <c r="I6" s="155"/>
    </row>
    <row r="7" spans="1:9" ht="21" customHeight="1" x14ac:dyDescent="0.15">
      <c r="A7" s="68" t="s">
        <v>237</v>
      </c>
      <c r="B7" s="42" t="s">
        <v>11</v>
      </c>
      <c r="C7" s="42" t="s">
        <v>11</v>
      </c>
      <c r="D7" s="36" t="s">
        <v>232</v>
      </c>
      <c r="E7" s="36" t="s">
        <v>232</v>
      </c>
      <c r="F7" s="36" t="s">
        <v>232</v>
      </c>
      <c r="G7" s="36" t="s">
        <v>232</v>
      </c>
      <c r="H7" s="36" t="s">
        <v>232</v>
      </c>
      <c r="I7" s="36" t="s">
        <v>232</v>
      </c>
    </row>
    <row r="8" spans="1:9" ht="21" customHeight="1" x14ac:dyDescent="0.15">
      <c r="A8" s="69" t="s">
        <v>238</v>
      </c>
      <c r="B8" s="42" t="s">
        <v>11</v>
      </c>
      <c r="C8" s="42" t="s">
        <v>11</v>
      </c>
      <c r="D8" s="36" t="s">
        <v>232</v>
      </c>
      <c r="E8" s="36">
        <v>30</v>
      </c>
      <c r="F8" s="36">
        <v>40</v>
      </c>
      <c r="G8" s="36">
        <f>15+F8</f>
        <v>55</v>
      </c>
      <c r="H8" s="36" t="s">
        <v>232</v>
      </c>
      <c r="I8" s="36" t="s">
        <v>232</v>
      </c>
    </row>
    <row r="9" spans="1:9" s="41" customFormat="1" ht="21" customHeight="1" x14ac:dyDescent="0.15">
      <c r="A9" s="70" t="s">
        <v>309</v>
      </c>
      <c r="B9" s="26" t="s">
        <v>11</v>
      </c>
      <c r="C9" s="26" t="s">
        <v>11</v>
      </c>
      <c r="D9" s="100" t="s">
        <v>109</v>
      </c>
      <c r="E9" s="100" t="s">
        <v>109</v>
      </c>
      <c r="F9" s="100">
        <v>38</v>
      </c>
      <c r="G9" s="36">
        <f>15+F9</f>
        <v>53</v>
      </c>
      <c r="H9" s="100" t="s">
        <v>109</v>
      </c>
      <c r="I9" s="100" t="s">
        <v>109</v>
      </c>
    </row>
    <row r="10" spans="1:9" s="41" customFormat="1" ht="21" customHeight="1" x14ac:dyDescent="0.15">
      <c r="A10" s="70" t="s">
        <v>239</v>
      </c>
      <c r="B10" s="26" t="s">
        <v>11</v>
      </c>
      <c r="C10" s="26" t="s">
        <v>11</v>
      </c>
      <c r="D10" s="100" t="s">
        <v>232</v>
      </c>
      <c r="E10" s="100">
        <v>25</v>
      </c>
      <c r="F10" s="100">
        <v>35</v>
      </c>
      <c r="G10" s="36">
        <f t="shared" ref="G10:G11" si="1">15+F10</f>
        <v>50</v>
      </c>
      <c r="H10" s="100" t="s">
        <v>232</v>
      </c>
      <c r="I10" s="100" t="s">
        <v>232</v>
      </c>
    </row>
    <row r="11" spans="1:9" ht="21" customHeight="1" x14ac:dyDescent="0.15">
      <c r="A11" s="70" t="s">
        <v>9</v>
      </c>
      <c r="B11" s="63" t="s">
        <v>11</v>
      </c>
      <c r="C11" s="63" t="s">
        <v>11</v>
      </c>
      <c r="D11" s="26">
        <v>10</v>
      </c>
      <c r="E11" s="26">
        <v>20</v>
      </c>
      <c r="F11" s="26">
        <v>30</v>
      </c>
      <c r="G11" s="36">
        <f t="shared" si="1"/>
        <v>45</v>
      </c>
      <c r="H11" s="63" t="s">
        <v>11</v>
      </c>
      <c r="I11" s="63" t="s">
        <v>11</v>
      </c>
    </row>
    <row r="12" spans="1:9" ht="21" customHeight="1" x14ac:dyDescent="0.15">
      <c r="A12" s="70" t="s">
        <v>240</v>
      </c>
      <c r="B12" s="63" t="s">
        <v>11</v>
      </c>
      <c r="C12" s="63" t="s">
        <v>11</v>
      </c>
      <c r="D12" s="26">
        <v>9</v>
      </c>
      <c r="E12" s="26">
        <v>18</v>
      </c>
      <c r="F12" s="26">
        <v>28</v>
      </c>
      <c r="G12" s="36">
        <v>38</v>
      </c>
      <c r="H12" s="63" t="s">
        <v>11</v>
      </c>
      <c r="I12" s="63" t="s">
        <v>11</v>
      </c>
    </row>
    <row r="13" spans="1:9" ht="21" customHeight="1" x14ac:dyDescent="0.15">
      <c r="A13" s="70" t="s">
        <v>241</v>
      </c>
      <c r="B13" s="63" t="s">
        <v>11</v>
      </c>
      <c r="C13" s="63" t="s">
        <v>11</v>
      </c>
      <c r="D13" s="26">
        <v>7</v>
      </c>
      <c r="E13" s="26">
        <v>16</v>
      </c>
      <c r="F13" s="63" t="s">
        <v>11</v>
      </c>
      <c r="G13" s="63" t="s">
        <v>11</v>
      </c>
      <c r="H13" s="63" t="s">
        <v>11</v>
      </c>
      <c r="I13" s="63" t="s">
        <v>11</v>
      </c>
    </row>
    <row r="14" spans="1:9" ht="21" customHeight="1" x14ac:dyDescent="0.15">
      <c r="A14" s="99" t="s">
        <v>242</v>
      </c>
      <c r="B14" s="63" t="s">
        <v>11</v>
      </c>
      <c r="C14" s="63" t="s">
        <v>11</v>
      </c>
      <c r="D14" s="26">
        <v>8</v>
      </c>
      <c r="E14" s="26">
        <v>17</v>
      </c>
      <c r="F14" s="26">
        <v>26</v>
      </c>
      <c r="G14" s="63" t="s">
        <v>11</v>
      </c>
      <c r="H14" s="63" t="s">
        <v>11</v>
      </c>
      <c r="I14" s="63" t="s">
        <v>11</v>
      </c>
    </row>
    <row r="15" spans="1:9" ht="21" customHeight="1" x14ac:dyDescent="0.15">
      <c r="A15" s="70" t="s">
        <v>243</v>
      </c>
      <c r="B15" s="63" t="s">
        <v>11</v>
      </c>
      <c r="C15" s="63" t="s">
        <v>11</v>
      </c>
      <c r="D15" s="26">
        <v>8</v>
      </c>
      <c r="E15" s="26">
        <v>17</v>
      </c>
      <c r="F15" s="26">
        <v>26</v>
      </c>
      <c r="G15" s="63" t="s">
        <v>11</v>
      </c>
      <c r="H15" s="63" t="s">
        <v>11</v>
      </c>
      <c r="I15" s="63" t="s">
        <v>11</v>
      </c>
    </row>
    <row r="16" spans="1:9" ht="21" customHeight="1" x14ac:dyDescent="0.15">
      <c r="A16" s="70" t="s">
        <v>244</v>
      </c>
      <c r="B16" s="63" t="s">
        <v>11</v>
      </c>
      <c r="C16" s="63" t="s">
        <v>11</v>
      </c>
      <c r="D16" s="26">
        <v>6</v>
      </c>
      <c r="E16" s="26">
        <v>14</v>
      </c>
      <c r="F16" s="63" t="s">
        <v>11</v>
      </c>
      <c r="G16" s="63" t="s">
        <v>11</v>
      </c>
      <c r="H16" s="63" t="s">
        <v>11</v>
      </c>
      <c r="I16" s="63" t="s">
        <v>11</v>
      </c>
    </row>
    <row r="17" spans="1:9" ht="21" customHeight="1" x14ac:dyDescent="0.15">
      <c r="A17" s="70" t="s">
        <v>245</v>
      </c>
      <c r="B17" s="63" t="s">
        <v>11</v>
      </c>
      <c r="C17" s="26">
        <v>4</v>
      </c>
      <c r="D17" s="26">
        <v>6</v>
      </c>
      <c r="E17" s="26">
        <v>14</v>
      </c>
      <c r="F17" s="63" t="s">
        <v>11</v>
      </c>
      <c r="G17" s="63" t="s">
        <v>11</v>
      </c>
      <c r="H17" s="63" t="s">
        <v>11</v>
      </c>
      <c r="I17" s="63" t="s">
        <v>11</v>
      </c>
    </row>
    <row r="18" spans="1:9" ht="21" customHeight="1" x14ac:dyDescent="0.15">
      <c r="A18" s="70" t="s">
        <v>8</v>
      </c>
      <c r="B18" s="26">
        <v>2</v>
      </c>
      <c r="C18" s="26">
        <v>4</v>
      </c>
      <c r="D18" s="26">
        <v>6</v>
      </c>
      <c r="E18" s="63" t="s">
        <v>11</v>
      </c>
      <c r="F18" s="63" t="s">
        <v>11</v>
      </c>
      <c r="G18" s="63" t="s">
        <v>11</v>
      </c>
      <c r="H18" s="63" t="s">
        <v>11</v>
      </c>
      <c r="I18" s="63" t="s">
        <v>11</v>
      </c>
    </row>
    <row r="19" spans="1:9" ht="21" customHeight="1" x14ac:dyDescent="0.15">
      <c r="A19" s="71" t="s">
        <v>7</v>
      </c>
      <c r="B19" s="29">
        <v>1</v>
      </c>
      <c r="C19" s="29">
        <v>2</v>
      </c>
      <c r="D19" s="64" t="s">
        <v>11</v>
      </c>
      <c r="E19" s="64" t="s">
        <v>11</v>
      </c>
      <c r="F19" s="64" t="s">
        <v>11</v>
      </c>
      <c r="G19" s="64" t="s">
        <v>11</v>
      </c>
      <c r="H19" s="64" t="s">
        <v>11</v>
      </c>
      <c r="I19" s="64" t="s">
        <v>11</v>
      </c>
    </row>
    <row r="20" spans="1:9" ht="21" customHeight="1" x14ac:dyDescent="0.15">
      <c r="A20" s="72" t="s">
        <v>246</v>
      </c>
      <c r="B20" s="24">
        <v>1</v>
      </c>
      <c r="C20" s="24">
        <v>1</v>
      </c>
      <c r="D20" s="64" t="s">
        <v>11</v>
      </c>
      <c r="E20" s="64" t="s">
        <v>11</v>
      </c>
      <c r="F20" s="64" t="s">
        <v>11</v>
      </c>
      <c r="G20" s="64" t="s">
        <v>11</v>
      </c>
      <c r="H20" s="64" t="s">
        <v>11</v>
      </c>
      <c r="I20" s="64" t="s">
        <v>11</v>
      </c>
    </row>
    <row r="21" spans="1:9" ht="21" customHeight="1" x14ac:dyDescent="0.15">
      <c r="A21" s="35" t="s">
        <v>247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E9" sqref="E9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0" t="s">
        <v>231</v>
      </c>
      <c r="B2" s="156"/>
      <c r="C2" s="142"/>
      <c r="D2" s="150" t="s">
        <v>109</v>
      </c>
      <c r="E2" s="150">
        <v>60</v>
      </c>
      <c r="F2" s="150">
        <v>80</v>
      </c>
      <c r="G2" s="150">
        <v>99</v>
      </c>
      <c r="H2" s="142"/>
      <c r="I2" s="142"/>
    </row>
    <row r="3" spans="1:9" s="4" customFormat="1" ht="21" customHeight="1" x14ac:dyDescent="0.15">
      <c r="A3" s="140" t="s">
        <v>233</v>
      </c>
      <c r="B3" s="157"/>
      <c r="C3" s="145"/>
      <c r="D3" s="150" t="s">
        <v>109</v>
      </c>
      <c r="E3" s="150">
        <v>60</v>
      </c>
      <c r="F3" s="150">
        <v>80</v>
      </c>
      <c r="G3" s="150">
        <v>99</v>
      </c>
      <c r="H3" s="145"/>
      <c r="I3" s="145"/>
    </row>
    <row r="4" spans="1:9" s="4" customFormat="1" ht="21" customHeight="1" x14ac:dyDescent="0.15">
      <c r="A4" s="140" t="s">
        <v>227</v>
      </c>
      <c r="B4" s="158"/>
      <c r="C4" s="148"/>
      <c r="D4" s="150">
        <v>40</v>
      </c>
      <c r="E4" s="150">
        <v>60</v>
      </c>
      <c r="F4" s="150">
        <v>80</v>
      </c>
      <c r="G4" s="150">
        <v>99</v>
      </c>
      <c r="H4" s="148"/>
      <c r="I4" s="148"/>
    </row>
    <row r="5" spans="1:9" s="4" customFormat="1" ht="21" customHeight="1" x14ac:dyDescent="0.15">
      <c r="A5" s="159" t="s">
        <v>235</v>
      </c>
      <c r="B5" s="154"/>
      <c r="C5" s="155"/>
      <c r="D5" s="150">
        <v>40</v>
      </c>
      <c r="E5" s="150">
        <v>60</v>
      </c>
      <c r="F5" s="150">
        <v>80</v>
      </c>
      <c r="G5" s="150">
        <v>99</v>
      </c>
      <c r="H5" s="155"/>
      <c r="I5" s="155"/>
    </row>
    <row r="6" spans="1:9" s="4" customFormat="1" ht="21" customHeight="1" x14ac:dyDescent="0.15">
      <c r="A6" s="159" t="s">
        <v>236</v>
      </c>
      <c r="B6" s="154"/>
      <c r="C6" s="155"/>
      <c r="D6" s="150">
        <v>40</v>
      </c>
      <c r="E6" s="150">
        <v>60</v>
      </c>
      <c r="F6" s="150" t="s">
        <v>109</v>
      </c>
      <c r="G6" s="150" t="s">
        <v>109</v>
      </c>
      <c r="H6" s="155"/>
      <c r="I6" s="155"/>
    </row>
    <row r="7" spans="1:9" ht="21" customHeight="1" x14ac:dyDescent="0.15">
      <c r="A7" s="68" t="s">
        <v>203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9" ht="21" customHeight="1" x14ac:dyDescent="0.15">
      <c r="A8" s="69" t="s">
        <v>238</v>
      </c>
      <c r="B8" s="37" t="s">
        <v>109</v>
      </c>
      <c r="C8" s="37" t="s">
        <v>109</v>
      </c>
      <c r="D8" s="37" t="s">
        <v>109</v>
      </c>
      <c r="E8" s="37">
        <v>60</v>
      </c>
      <c r="F8" s="37">
        <v>80</v>
      </c>
      <c r="G8" s="37">
        <v>99</v>
      </c>
      <c r="H8" s="37" t="s">
        <v>109</v>
      </c>
      <c r="I8" s="37" t="s">
        <v>109</v>
      </c>
    </row>
    <row r="9" spans="1:9" s="41" customFormat="1" ht="21" customHeight="1" x14ac:dyDescent="0.15">
      <c r="A9" s="70" t="s">
        <v>310</v>
      </c>
      <c r="B9" s="61" t="s">
        <v>109</v>
      </c>
      <c r="C9" s="61" t="s">
        <v>109</v>
      </c>
      <c r="D9" s="61" t="s">
        <v>109</v>
      </c>
      <c r="E9" s="61" t="s">
        <v>109</v>
      </c>
      <c r="F9" s="61">
        <v>80</v>
      </c>
      <c r="G9" s="61">
        <v>99</v>
      </c>
      <c r="H9" s="61" t="s">
        <v>109</v>
      </c>
      <c r="I9" s="61" t="s">
        <v>109</v>
      </c>
    </row>
    <row r="10" spans="1:9" s="41" customFormat="1" ht="21" customHeight="1" x14ac:dyDescent="0.15">
      <c r="A10" s="70" t="s">
        <v>239</v>
      </c>
      <c r="B10" s="61" t="s">
        <v>109</v>
      </c>
      <c r="C10" s="61" t="s">
        <v>109</v>
      </c>
      <c r="D10" s="61" t="s">
        <v>109</v>
      </c>
      <c r="E10" s="61">
        <v>60</v>
      </c>
      <c r="F10" s="61">
        <v>80</v>
      </c>
      <c r="G10" s="61">
        <v>99</v>
      </c>
      <c r="H10" s="61" t="s">
        <v>109</v>
      </c>
      <c r="I10" s="61" t="s">
        <v>109</v>
      </c>
    </row>
    <row r="11" spans="1:9" ht="21" customHeight="1" x14ac:dyDescent="0.15">
      <c r="A11" s="70" t="s">
        <v>9</v>
      </c>
      <c r="B11" s="65" t="s">
        <v>109</v>
      </c>
      <c r="C11" s="65" t="s">
        <v>109</v>
      </c>
      <c r="D11" s="34">
        <v>40</v>
      </c>
      <c r="E11" s="34">
        <v>60</v>
      </c>
      <c r="F11" s="34">
        <v>80</v>
      </c>
      <c r="G11" s="37">
        <v>99</v>
      </c>
      <c r="H11" s="65" t="s">
        <v>109</v>
      </c>
      <c r="I11" s="65" t="s">
        <v>109</v>
      </c>
    </row>
    <row r="12" spans="1:9" ht="21" customHeight="1" x14ac:dyDescent="0.15">
      <c r="A12" s="70" t="s">
        <v>206</v>
      </c>
      <c r="B12" s="65" t="s">
        <v>109</v>
      </c>
      <c r="C12" s="65" t="s">
        <v>109</v>
      </c>
      <c r="D12" s="34">
        <v>40</v>
      </c>
      <c r="E12" s="34">
        <v>60</v>
      </c>
      <c r="F12" s="34">
        <v>80</v>
      </c>
      <c r="G12" s="61">
        <v>99</v>
      </c>
      <c r="H12" s="65" t="s">
        <v>109</v>
      </c>
      <c r="I12" s="65" t="s">
        <v>109</v>
      </c>
    </row>
    <row r="13" spans="1:9" ht="21" customHeight="1" x14ac:dyDescent="0.15">
      <c r="A13" s="70" t="s">
        <v>202</v>
      </c>
      <c r="B13" s="65" t="s">
        <v>109</v>
      </c>
      <c r="C13" s="65" t="s">
        <v>109</v>
      </c>
      <c r="D13" s="34">
        <v>40</v>
      </c>
      <c r="E13" s="34">
        <v>60</v>
      </c>
      <c r="F13" s="65" t="s">
        <v>109</v>
      </c>
      <c r="G13" s="65" t="s">
        <v>109</v>
      </c>
      <c r="H13" s="65" t="s">
        <v>109</v>
      </c>
      <c r="I13" s="65" t="s">
        <v>109</v>
      </c>
    </row>
    <row r="14" spans="1:9" ht="21" customHeight="1" x14ac:dyDescent="0.15">
      <c r="A14" s="99" t="s">
        <v>242</v>
      </c>
      <c r="B14" s="65" t="s">
        <v>109</v>
      </c>
      <c r="C14" s="65" t="s">
        <v>109</v>
      </c>
      <c r="D14" s="34">
        <v>40</v>
      </c>
      <c r="E14" s="34">
        <v>60</v>
      </c>
      <c r="F14" s="34">
        <v>80</v>
      </c>
      <c r="G14" s="65" t="s">
        <v>109</v>
      </c>
      <c r="H14" s="65" t="s">
        <v>109</v>
      </c>
      <c r="I14" s="65" t="s">
        <v>109</v>
      </c>
    </row>
    <row r="15" spans="1:9" ht="21" customHeight="1" x14ac:dyDescent="0.15">
      <c r="A15" s="70" t="s">
        <v>243</v>
      </c>
      <c r="B15" s="65" t="s">
        <v>109</v>
      </c>
      <c r="C15" s="65" t="s">
        <v>109</v>
      </c>
      <c r="D15" s="34">
        <v>40</v>
      </c>
      <c r="E15" s="34">
        <v>60</v>
      </c>
      <c r="F15" s="34">
        <v>80</v>
      </c>
      <c r="G15" s="65" t="s">
        <v>109</v>
      </c>
      <c r="H15" s="65" t="s">
        <v>109</v>
      </c>
      <c r="I15" s="65" t="s">
        <v>109</v>
      </c>
    </row>
    <row r="16" spans="1:9" ht="21" customHeight="1" x14ac:dyDescent="0.15">
      <c r="A16" s="70" t="s">
        <v>105</v>
      </c>
      <c r="B16" s="65" t="s">
        <v>109</v>
      </c>
      <c r="C16" s="34">
        <v>30</v>
      </c>
      <c r="D16" s="34">
        <v>40</v>
      </c>
      <c r="E16" s="34">
        <v>60</v>
      </c>
      <c r="F16" s="65" t="s">
        <v>109</v>
      </c>
      <c r="G16" s="65" t="s">
        <v>109</v>
      </c>
      <c r="H16" s="65" t="s">
        <v>109</v>
      </c>
      <c r="I16" s="65" t="s">
        <v>109</v>
      </c>
    </row>
    <row r="17" spans="1:9" ht="21" customHeight="1" x14ac:dyDescent="0.15">
      <c r="A17" s="70" t="s">
        <v>245</v>
      </c>
      <c r="B17" s="65" t="s">
        <v>109</v>
      </c>
      <c r="C17" s="34">
        <v>30</v>
      </c>
      <c r="D17" s="34">
        <v>40</v>
      </c>
      <c r="E17" s="34">
        <v>60</v>
      </c>
      <c r="F17" s="65" t="s">
        <v>109</v>
      </c>
      <c r="G17" s="65" t="s">
        <v>109</v>
      </c>
      <c r="H17" s="65" t="s">
        <v>109</v>
      </c>
      <c r="I17" s="65" t="s">
        <v>109</v>
      </c>
    </row>
    <row r="18" spans="1:9" ht="21" customHeight="1" x14ac:dyDescent="0.15">
      <c r="A18" s="70" t="s">
        <v>8</v>
      </c>
      <c r="B18" s="34">
        <v>15</v>
      </c>
      <c r="C18" s="34">
        <v>30</v>
      </c>
      <c r="D18" s="34">
        <v>40</v>
      </c>
      <c r="E18" s="65" t="s">
        <v>109</v>
      </c>
      <c r="F18" s="65" t="s">
        <v>109</v>
      </c>
      <c r="G18" s="65" t="s">
        <v>109</v>
      </c>
      <c r="H18" s="65" t="s">
        <v>109</v>
      </c>
      <c r="I18" s="65" t="s">
        <v>109</v>
      </c>
    </row>
    <row r="19" spans="1:9" ht="21" customHeight="1" x14ac:dyDescent="0.15">
      <c r="A19" s="71" t="s">
        <v>7</v>
      </c>
      <c r="B19" s="34">
        <v>15</v>
      </c>
      <c r="C19" s="34">
        <v>30</v>
      </c>
      <c r="D19" s="34">
        <v>40</v>
      </c>
      <c r="E19" s="65" t="s">
        <v>212</v>
      </c>
      <c r="F19" s="65" t="s">
        <v>212</v>
      </c>
      <c r="G19" s="65" t="s">
        <v>212</v>
      </c>
      <c r="H19" s="65" t="s">
        <v>212</v>
      </c>
      <c r="I19" s="65" t="s">
        <v>212</v>
      </c>
    </row>
    <row r="20" spans="1:9" ht="21" customHeight="1" x14ac:dyDescent="0.15">
      <c r="A20" s="72" t="s">
        <v>246</v>
      </c>
      <c r="B20" s="34">
        <v>10</v>
      </c>
      <c r="C20" s="34">
        <v>20</v>
      </c>
      <c r="D20" s="65" t="s">
        <v>212</v>
      </c>
      <c r="E20" s="65" t="s">
        <v>212</v>
      </c>
      <c r="F20" s="65" t="s">
        <v>212</v>
      </c>
      <c r="G20" s="65" t="s">
        <v>212</v>
      </c>
      <c r="H20" s="65" t="s">
        <v>212</v>
      </c>
      <c r="I20" s="65" t="s">
        <v>212</v>
      </c>
    </row>
    <row r="21" spans="1:9" ht="21" customHeight="1" x14ac:dyDescent="0.15">
      <c r="A21" s="35" t="s">
        <v>247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E9" sqref="E9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4" t="s">
        <v>10</v>
      </c>
      <c r="B1" s="45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I1" s="45">
        <v>8</v>
      </c>
    </row>
    <row r="2" spans="1:11" s="4" customFormat="1" ht="21" customHeight="1" x14ac:dyDescent="0.15">
      <c r="A2" s="140" t="s">
        <v>231</v>
      </c>
      <c r="B2" s="141"/>
      <c r="C2" s="142"/>
      <c r="D2" s="150" t="s">
        <v>109</v>
      </c>
      <c r="E2" s="151" t="s">
        <v>59</v>
      </c>
      <c r="F2" s="151" t="s">
        <v>59</v>
      </c>
      <c r="G2" s="151" t="s">
        <v>248</v>
      </c>
      <c r="H2" s="142"/>
      <c r="I2" s="142"/>
    </row>
    <row r="3" spans="1:11" s="4" customFormat="1" ht="21" customHeight="1" x14ac:dyDescent="0.15">
      <c r="A3" s="140" t="s">
        <v>233</v>
      </c>
      <c r="B3" s="144"/>
      <c r="C3" s="145"/>
      <c r="D3" s="151" t="s">
        <v>59</v>
      </c>
      <c r="E3" s="151" t="s">
        <v>59</v>
      </c>
      <c r="F3" s="151" t="s">
        <v>59</v>
      </c>
      <c r="G3" s="151" t="s">
        <v>226</v>
      </c>
      <c r="H3" s="145"/>
      <c r="I3" s="145"/>
    </row>
    <row r="4" spans="1:11" s="4" customFormat="1" ht="21" customHeight="1" x14ac:dyDescent="0.15">
      <c r="A4" s="140" t="s">
        <v>227</v>
      </c>
      <c r="B4" s="147"/>
      <c r="C4" s="148"/>
      <c r="D4" s="152" t="s">
        <v>59</v>
      </c>
      <c r="E4" s="152" t="s">
        <v>59</v>
      </c>
      <c r="F4" s="152" t="s">
        <v>59</v>
      </c>
      <c r="G4" s="151" t="s">
        <v>226</v>
      </c>
      <c r="H4" s="148"/>
      <c r="I4" s="148"/>
    </row>
    <row r="5" spans="1:11" s="4" customFormat="1" ht="21" customHeight="1" x14ac:dyDescent="0.15">
      <c r="A5" s="159" t="s">
        <v>235</v>
      </c>
      <c r="B5" s="154"/>
      <c r="C5" s="155"/>
      <c r="D5" s="152" t="s">
        <v>59</v>
      </c>
      <c r="E5" s="152" t="s">
        <v>59</v>
      </c>
      <c r="F5" s="152" t="s">
        <v>59</v>
      </c>
      <c r="G5" s="151" t="s">
        <v>216</v>
      </c>
      <c r="H5" s="155"/>
      <c r="I5" s="155"/>
    </row>
    <row r="6" spans="1:11" s="4" customFormat="1" ht="21" customHeight="1" x14ac:dyDescent="0.15">
      <c r="A6" s="159" t="s">
        <v>236</v>
      </c>
      <c r="B6" s="154"/>
      <c r="C6" s="155"/>
      <c r="D6" s="160" t="s">
        <v>60</v>
      </c>
      <c r="E6" s="160" t="s">
        <v>60</v>
      </c>
      <c r="F6" s="150" t="s">
        <v>109</v>
      </c>
      <c r="G6" s="150" t="s">
        <v>109</v>
      </c>
      <c r="H6" s="155"/>
      <c r="I6" s="155"/>
    </row>
    <row r="7" spans="1:11" ht="21" customHeight="1" x14ac:dyDescent="0.15">
      <c r="A7" s="68" t="s">
        <v>203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11" ht="21" customHeight="1" x14ac:dyDescent="0.15">
      <c r="A8" s="69" t="s">
        <v>238</v>
      </c>
      <c r="B8" s="37" t="s">
        <v>109</v>
      </c>
      <c r="C8" s="37" t="s">
        <v>109</v>
      </c>
      <c r="D8" s="37" t="s">
        <v>213</v>
      </c>
      <c r="E8" s="47" t="s">
        <v>115</v>
      </c>
      <c r="F8" s="47" t="s">
        <v>115</v>
      </c>
      <c r="G8" s="47" t="s">
        <v>214</v>
      </c>
      <c r="H8" s="37" t="s">
        <v>213</v>
      </c>
      <c r="I8" s="37" t="s">
        <v>109</v>
      </c>
    </row>
    <row r="9" spans="1:11" s="41" customFormat="1" ht="21" customHeight="1" x14ac:dyDescent="0.15">
      <c r="A9" s="70" t="s">
        <v>309</v>
      </c>
      <c r="B9" s="61" t="s">
        <v>109</v>
      </c>
      <c r="C9" s="61" t="s">
        <v>109</v>
      </c>
      <c r="D9" s="61" t="s">
        <v>109</v>
      </c>
      <c r="E9" s="61" t="s">
        <v>109</v>
      </c>
      <c r="F9" s="47" t="s">
        <v>59</v>
      </c>
      <c r="G9" s="47" t="s">
        <v>115</v>
      </c>
      <c r="H9" s="61" t="s">
        <v>109</v>
      </c>
      <c r="I9" s="61" t="s">
        <v>109</v>
      </c>
    </row>
    <row r="10" spans="1:11" s="41" customFormat="1" ht="21" customHeight="1" x14ac:dyDescent="0.15">
      <c r="A10" s="70" t="s">
        <v>239</v>
      </c>
      <c r="B10" s="61" t="s">
        <v>109</v>
      </c>
      <c r="C10" s="61" t="s">
        <v>109</v>
      </c>
      <c r="D10" s="61" t="s">
        <v>109</v>
      </c>
      <c r="E10" s="47" t="s">
        <v>59</v>
      </c>
      <c r="F10" s="47" t="s">
        <v>59</v>
      </c>
      <c r="G10" s="47" t="s">
        <v>115</v>
      </c>
      <c r="H10" s="61" t="s">
        <v>215</v>
      </c>
      <c r="I10" s="61" t="s">
        <v>215</v>
      </c>
    </row>
    <row r="11" spans="1:11" ht="21" customHeight="1" x14ac:dyDescent="0.15">
      <c r="A11" s="70" t="s">
        <v>9</v>
      </c>
      <c r="B11" s="65" t="s">
        <v>109</v>
      </c>
      <c r="C11" s="65" t="s">
        <v>109</v>
      </c>
      <c r="D11" s="47" t="s">
        <v>59</v>
      </c>
      <c r="E11" s="47" t="s">
        <v>59</v>
      </c>
      <c r="F11" s="47" t="s">
        <v>59</v>
      </c>
      <c r="G11" s="47" t="s">
        <v>216</v>
      </c>
      <c r="H11" s="65" t="s">
        <v>215</v>
      </c>
      <c r="I11" s="65" t="s">
        <v>215</v>
      </c>
      <c r="K11" s="25" t="s">
        <v>12</v>
      </c>
    </row>
    <row r="12" spans="1:11" ht="21" customHeight="1" x14ac:dyDescent="0.15">
      <c r="A12" s="70" t="s">
        <v>206</v>
      </c>
      <c r="B12" s="65" t="s">
        <v>109</v>
      </c>
      <c r="C12" s="65" t="s">
        <v>109</v>
      </c>
      <c r="D12" s="48" t="s">
        <v>59</v>
      </c>
      <c r="E12" s="48" t="s">
        <v>59</v>
      </c>
      <c r="F12" s="48" t="s">
        <v>59</v>
      </c>
      <c r="G12" s="47" t="s">
        <v>216</v>
      </c>
      <c r="H12" s="65" t="s">
        <v>215</v>
      </c>
      <c r="I12" s="65" t="s">
        <v>215</v>
      </c>
      <c r="K12" s="27" t="s">
        <v>13</v>
      </c>
    </row>
    <row r="13" spans="1:11" ht="21" customHeight="1" x14ac:dyDescent="0.15">
      <c r="A13" s="70" t="s">
        <v>202</v>
      </c>
      <c r="B13" s="65" t="s">
        <v>109</v>
      </c>
      <c r="C13" s="65" t="s">
        <v>109</v>
      </c>
      <c r="D13" s="49" t="s">
        <v>60</v>
      </c>
      <c r="E13" s="49" t="s">
        <v>60</v>
      </c>
      <c r="F13" s="65" t="s">
        <v>109</v>
      </c>
      <c r="G13" s="65" t="s">
        <v>109</v>
      </c>
      <c r="H13" s="65" t="s">
        <v>109</v>
      </c>
      <c r="I13" s="65" t="s">
        <v>109</v>
      </c>
      <c r="K13" s="66" t="s">
        <v>35</v>
      </c>
    </row>
    <row r="14" spans="1:11" ht="21" customHeight="1" x14ac:dyDescent="0.15">
      <c r="A14" s="99" t="s">
        <v>242</v>
      </c>
      <c r="B14" s="65" t="s">
        <v>109</v>
      </c>
      <c r="C14" s="65" t="s">
        <v>109</v>
      </c>
      <c r="D14" s="50" t="s">
        <v>59</v>
      </c>
      <c r="E14" s="50" t="s">
        <v>59</v>
      </c>
      <c r="F14" s="50" t="s">
        <v>59</v>
      </c>
      <c r="G14" s="65" t="s">
        <v>109</v>
      </c>
      <c r="H14" s="65" t="s">
        <v>109</v>
      </c>
      <c r="I14" s="65" t="s">
        <v>109</v>
      </c>
      <c r="K14" s="67"/>
    </row>
    <row r="15" spans="1:11" ht="21" customHeight="1" x14ac:dyDescent="0.15">
      <c r="A15" s="70" t="s">
        <v>243</v>
      </c>
      <c r="B15" s="65" t="s">
        <v>109</v>
      </c>
      <c r="C15" s="65" t="s">
        <v>109</v>
      </c>
      <c r="D15" s="50" t="s">
        <v>59</v>
      </c>
      <c r="E15" s="50" t="s">
        <v>59</v>
      </c>
      <c r="F15" s="50" t="s">
        <v>59</v>
      </c>
      <c r="G15" s="65" t="s">
        <v>109</v>
      </c>
      <c r="H15" s="65" t="s">
        <v>109</v>
      </c>
      <c r="I15" s="65" t="s">
        <v>109</v>
      </c>
    </row>
    <row r="16" spans="1:11" ht="21" customHeight="1" x14ac:dyDescent="0.15">
      <c r="A16" s="70" t="s">
        <v>105</v>
      </c>
      <c r="B16" s="65" t="s">
        <v>109</v>
      </c>
      <c r="C16" s="65" t="s">
        <v>109</v>
      </c>
      <c r="D16" s="50" t="s">
        <v>60</v>
      </c>
      <c r="E16" s="50" t="s">
        <v>60</v>
      </c>
      <c r="F16" s="65" t="s">
        <v>109</v>
      </c>
      <c r="G16" s="65" t="s">
        <v>109</v>
      </c>
      <c r="H16" s="65" t="s">
        <v>109</v>
      </c>
      <c r="I16" s="65" t="s">
        <v>109</v>
      </c>
    </row>
    <row r="17" spans="1:9" ht="21" customHeight="1" x14ac:dyDescent="0.15">
      <c r="A17" s="70" t="s">
        <v>245</v>
      </c>
      <c r="B17" s="65" t="s">
        <v>109</v>
      </c>
      <c r="C17" s="50" t="s">
        <v>60</v>
      </c>
      <c r="D17" s="50" t="s">
        <v>60</v>
      </c>
      <c r="E17" s="50" t="s">
        <v>60</v>
      </c>
      <c r="F17" s="65" t="s">
        <v>109</v>
      </c>
      <c r="G17" s="65" t="s">
        <v>109</v>
      </c>
      <c r="H17" s="65" t="s">
        <v>109</v>
      </c>
      <c r="I17" s="65" t="s">
        <v>109</v>
      </c>
    </row>
    <row r="18" spans="1:9" ht="21" customHeight="1" x14ac:dyDescent="0.15">
      <c r="A18" s="70" t="s">
        <v>8</v>
      </c>
      <c r="B18" s="51" t="s">
        <v>61</v>
      </c>
      <c r="C18" s="51" t="s">
        <v>61</v>
      </c>
      <c r="D18" s="51" t="s">
        <v>61</v>
      </c>
      <c r="E18" s="65" t="s">
        <v>109</v>
      </c>
      <c r="F18" s="65" t="s">
        <v>109</v>
      </c>
      <c r="G18" s="65" t="s">
        <v>109</v>
      </c>
      <c r="H18" s="65" t="s">
        <v>109</v>
      </c>
      <c r="I18" s="65" t="s">
        <v>109</v>
      </c>
    </row>
    <row r="19" spans="1:9" ht="21" customHeight="1" x14ac:dyDescent="0.15">
      <c r="A19" s="71" t="s">
        <v>7</v>
      </c>
      <c r="B19" s="46" t="s">
        <v>62</v>
      </c>
      <c r="C19" s="46" t="s">
        <v>62</v>
      </c>
      <c r="D19" s="65" t="s">
        <v>109</v>
      </c>
      <c r="E19" s="65" t="s">
        <v>109</v>
      </c>
      <c r="F19" s="65" t="s">
        <v>109</v>
      </c>
      <c r="G19" s="65" t="s">
        <v>109</v>
      </c>
      <c r="H19" s="65" t="s">
        <v>109</v>
      </c>
      <c r="I19" s="65" t="s">
        <v>109</v>
      </c>
    </row>
    <row r="20" spans="1:9" ht="21" customHeight="1" x14ac:dyDescent="0.15">
      <c r="A20" s="72" t="s">
        <v>246</v>
      </c>
      <c r="B20" s="48" t="s">
        <v>63</v>
      </c>
      <c r="C20" s="48" t="s">
        <v>63</v>
      </c>
      <c r="D20" s="65" t="s">
        <v>109</v>
      </c>
      <c r="E20" s="65" t="s">
        <v>109</v>
      </c>
      <c r="F20" s="65" t="s">
        <v>109</v>
      </c>
      <c r="G20" s="65" t="s">
        <v>109</v>
      </c>
      <c r="H20" s="65" t="s">
        <v>109</v>
      </c>
      <c r="I20" s="65" t="s">
        <v>109</v>
      </c>
    </row>
    <row r="21" spans="1:9" ht="21" customHeight="1" x14ac:dyDescent="0.15">
      <c r="A21" s="35" t="s">
        <v>247</v>
      </c>
      <c r="B21" s="73" t="s">
        <v>47</v>
      </c>
      <c r="C21" s="73" t="s">
        <v>47</v>
      </c>
      <c r="D21" s="73" t="s">
        <v>47</v>
      </c>
      <c r="E21" s="73" t="s">
        <v>47</v>
      </c>
      <c r="F21" s="73" t="s">
        <v>47</v>
      </c>
      <c r="G21" s="73" t="s">
        <v>47</v>
      </c>
      <c r="H21" s="73" t="s">
        <v>47</v>
      </c>
      <c r="I21" s="73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4" priority="28" stopIfTrue="1" operator="equal">
      <formula>1</formula>
    </cfRule>
  </conditionalFormatting>
  <conditionalFormatting sqref="A25:B26 A33:B34 C25:I34">
    <cfRule type="cellIs" dxfId="23" priority="27" stopIfTrue="1" operator="equal">
      <formula>1</formula>
    </cfRule>
  </conditionalFormatting>
  <conditionalFormatting sqref="K11:K14">
    <cfRule type="cellIs" dxfId="22" priority="23" stopIfTrue="1" operator="equal">
      <formula>1</formula>
    </cfRule>
  </conditionalFormatting>
  <conditionalFormatting sqref="J8:IV8">
    <cfRule type="cellIs" dxfId="21" priority="22" stopIfTrue="1" operator="equal">
      <formula>1</formula>
    </cfRule>
  </conditionalFormatting>
  <conditionalFormatting sqref="J10:IV10">
    <cfRule type="cellIs" dxfId="20" priority="21" stopIfTrue="1" operator="equal">
      <formula>1</formula>
    </cfRule>
  </conditionalFormatting>
  <conditionalFormatting sqref="G20:I20">
    <cfRule type="cellIs" dxfId="19" priority="13" stopIfTrue="1" operator="equal">
      <formula>1</formula>
    </cfRule>
  </conditionalFormatting>
  <conditionalFormatting sqref="D19:G19 F16:G18 H16:I19">
    <cfRule type="cellIs" dxfId="18" priority="12" stopIfTrue="1" operator="equal">
      <formula>1</formula>
    </cfRule>
  </conditionalFormatting>
  <conditionalFormatting sqref="F18:G18">
    <cfRule type="cellIs" dxfId="17" priority="11" stopIfTrue="1" operator="equal">
      <formula>1</formula>
    </cfRule>
  </conditionalFormatting>
  <conditionalFormatting sqref="A21">
    <cfRule type="cellIs" dxfId="16" priority="10" stopIfTrue="1" operator="equal">
      <formula>1</formula>
    </cfRule>
  </conditionalFormatting>
  <conditionalFormatting sqref="G13:I15 H11:I12">
    <cfRule type="cellIs" dxfId="15" priority="9" stopIfTrue="1" operator="equal">
      <formula>1</formula>
    </cfRule>
  </conditionalFormatting>
  <conditionalFormatting sqref="B11:C16">
    <cfRule type="cellIs" dxfId="14" priority="8" stopIfTrue="1" operator="equal">
      <formula>1</formula>
    </cfRule>
  </conditionalFormatting>
  <conditionalFormatting sqref="B17">
    <cfRule type="cellIs" dxfId="13" priority="7" stopIfTrue="1" operator="equal">
      <formula>1</formula>
    </cfRule>
  </conditionalFormatting>
  <conditionalFormatting sqref="E18">
    <cfRule type="cellIs" dxfId="12" priority="6" stopIfTrue="1" operator="equal">
      <formula>1</formula>
    </cfRule>
  </conditionalFormatting>
  <conditionalFormatting sqref="F13">
    <cfRule type="cellIs" dxfId="11" priority="5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O19" sqref="O19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224</v>
      </c>
      <c r="B2" s="141"/>
      <c r="C2" s="142"/>
      <c r="D2" s="153" t="s">
        <v>11</v>
      </c>
      <c r="E2" s="153">
        <v>8000</v>
      </c>
      <c r="F2" s="153">
        <v>10000</v>
      </c>
      <c r="G2" s="153">
        <v>14000</v>
      </c>
      <c r="H2" s="142"/>
      <c r="I2" s="142"/>
    </row>
    <row r="3" spans="1:9" s="4" customFormat="1" ht="21" customHeight="1" x14ac:dyDescent="0.15">
      <c r="A3" s="140" t="s">
        <v>225</v>
      </c>
      <c r="B3" s="144"/>
      <c r="C3" s="145"/>
      <c r="D3" s="153" t="s">
        <v>11</v>
      </c>
      <c r="E3" s="153">
        <v>7500</v>
      </c>
      <c r="F3" s="153">
        <v>9500</v>
      </c>
      <c r="G3" s="153">
        <v>13000</v>
      </c>
      <c r="H3" s="145"/>
      <c r="I3" s="145"/>
    </row>
    <row r="4" spans="1:9" s="4" customFormat="1" ht="21" customHeight="1" x14ac:dyDescent="0.15">
      <c r="A4" s="140" t="s">
        <v>227</v>
      </c>
      <c r="B4" s="147"/>
      <c r="C4" s="148"/>
      <c r="D4" s="153">
        <v>5000</v>
      </c>
      <c r="E4" s="153">
        <v>7000</v>
      </c>
      <c r="F4" s="153">
        <v>9000</v>
      </c>
      <c r="G4" s="153">
        <v>12000</v>
      </c>
      <c r="H4" s="148"/>
      <c r="I4" s="148"/>
    </row>
    <row r="5" spans="1:9" s="4" customFormat="1" ht="21" customHeight="1" x14ac:dyDescent="0.15">
      <c r="A5" s="159" t="s">
        <v>228</v>
      </c>
      <c r="B5" s="154"/>
      <c r="C5" s="155"/>
      <c r="D5" s="153">
        <v>4900</v>
      </c>
      <c r="E5" s="153">
        <v>6700</v>
      </c>
      <c r="F5" s="153">
        <v>8500</v>
      </c>
      <c r="G5" s="153">
        <v>11000</v>
      </c>
      <c r="H5" s="155"/>
      <c r="I5" s="155"/>
    </row>
    <row r="6" spans="1:9" s="4" customFormat="1" ht="21" customHeight="1" x14ac:dyDescent="0.15">
      <c r="A6" s="159" t="s">
        <v>229</v>
      </c>
      <c r="B6" s="154"/>
      <c r="C6" s="155"/>
      <c r="D6" s="153">
        <v>4800</v>
      </c>
      <c r="E6" s="153">
        <v>6600</v>
      </c>
      <c r="F6" s="153" t="s">
        <v>11</v>
      </c>
      <c r="G6" s="153" t="s">
        <v>11</v>
      </c>
      <c r="H6" s="155"/>
      <c r="I6" s="155"/>
    </row>
    <row r="7" spans="1:9" ht="21" customHeight="1" x14ac:dyDescent="0.15">
      <c r="A7" s="68" t="s">
        <v>203</v>
      </c>
      <c r="B7" s="42" t="s">
        <v>11</v>
      </c>
      <c r="C7" s="42" t="s">
        <v>11</v>
      </c>
      <c r="D7" s="42" t="s">
        <v>11</v>
      </c>
      <c r="E7" s="42" t="s">
        <v>11</v>
      </c>
      <c r="F7" s="42" t="s">
        <v>11</v>
      </c>
      <c r="G7" s="42" t="s">
        <v>11</v>
      </c>
      <c r="H7" s="42" t="s">
        <v>11</v>
      </c>
      <c r="I7" s="42" t="s">
        <v>11</v>
      </c>
    </row>
    <row r="8" spans="1:9" ht="21" customHeight="1" x14ac:dyDescent="0.15">
      <c r="A8" s="69" t="s">
        <v>204</v>
      </c>
      <c r="B8" s="42" t="s">
        <v>11</v>
      </c>
      <c r="C8" s="42" t="s">
        <v>11</v>
      </c>
      <c r="D8" s="42" t="s">
        <v>11</v>
      </c>
      <c r="E8" s="42">
        <v>8000</v>
      </c>
      <c r="F8" s="26">
        <v>10000</v>
      </c>
      <c r="G8" s="42">
        <v>14000</v>
      </c>
      <c r="H8" s="42" t="s">
        <v>11</v>
      </c>
      <c r="I8" s="42" t="s">
        <v>11</v>
      </c>
    </row>
    <row r="9" spans="1:9" s="41" customFormat="1" ht="21" customHeight="1" x14ac:dyDescent="0.15">
      <c r="A9" s="178" t="s">
        <v>311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2">
        <v>14000</v>
      </c>
      <c r="H9" s="26" t="s">
        <v>11</v>
      </c>
      <c r="I9" s="26" t="s">
        <v>11</v>
      </c>
    </row>
    <row r="10" spans="1:9" s="41" customFormat="1" ht="21" customHeight="1" x14ac:dyDescent="0.15">
      <c r="A10" s="70" t="s">
        <v>205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2">
        <v>13000</v>
      </c>
      <c r="H10" s="26" t="s">
        <v>11</v>
      </c>
      <c r="I10" s="26" t="s">
        <v>11</v>
      </c>
    </row>
    <row r="11" spans="1:9" ht="21" customHeight="1" x14ac:dyDescent="0.15">
      <c r="A11" s="70" t="s">
        <v>9</v>
      </c>
      <c r="B11" s="63" t="s">
        <v>11</v>
      </c>
      <c r="C11" s="63" t="s">
        <v>11</v>
      </c>
      <c r="D11" s="26">
        <v>5000</v>
      </c>
      <c r="E11" s="26">
        <v>7000</v>
      </c>
      <c r="F11" s="26">
        <v>9000</v>
      </c>
      <c r="G11" s="42">
        <v>12000</v>
      </c>
      <c r="H11" s="63" t="s">
        <v>11</v>
      </c>
      <c r="I11" s="63" t="s">
        <v>11</v>
      </c>
    </row>
    <row r="12" spans="1:9" ht="21" customHeight="1" x14ac:dyDescent="0.15">
      <c r="A12" s="70" t="s">
        <v>206</v>
      </c>
      <c r="B12" s="63" t="s">
        <v>11</v>
      </c>
      <c r="C12" s="63" t="s">
        <v>11</v>
      </c>
      <c r="D12" s="26">
        <v>4900</v>
      </c>
      <c r="E12" s="26">
        <v>6700</v>
      </c>
      <c r="F12" s="26">
        <v>8500</v>
      </c>
      <c r="G12" s="42">
        <v>11000</v>
      </c>
      <c r="H12" s="63" t="s">
        <v>11</v>
      </c>
      <c r="I12" s="63" t="s">
        <v>11</v>
      </c>
    </row>
    <row r="13" spans="1:9" ht="21" customHeight="1" x14ac:dyDescent="0.15">
      <c r="A13" s="70" t="s">
        <v>106</v>
      </c>
      <c r="B13" s="63" t="s">
        <v>11</v>
      </c>
      <c r="C13" s="63" t="s">
        <v>11</v>
      </c>
      <c r="D13" s="26">
        <v>4800</v>
      </c>
      <c r="E13" s="26">
        <v>6600</v>
      </c>
      <c r="F13" s="63" t="s">
        <v>11</v>
      </c>
      <c r="G13" s="63" t="s">
        <v>11</v>
      </c>
      <c r="H13" s="63" t="s">
        <v>11</v>
      </c>
      <c r="I13" s="63" t="s">
        <v>11</v>
      </c>
    </row>
    <row r="14" spans="1:9" ht="21" customHeight="1" x14ac:dyDescent="0.15">
      <c r="A14" s="70" t="s">
        <v>207</v>
      </c>
      <c r="B14" s="63" t="s">
        <v>11</v>
      </c>
      <c r="C14" s="63" t="s">
        <v>11</v>
      </c>
      <c r="D14" s="63" t="s">
        <v>11</v>
      </c>
      <c r="E14" s="26">
        <v>6300</v>
      </c>
      <c r="F14" s="63" t="s">
        <v>11</v>
      </c>
      <c r="G14" s="63" t="s">
        <v>11</v>
      </c>
      <c r="H14" s="63" t="s">
        <v>11</v>
      </c>
      <c r="I14" s="63" t="s">
        <v>11</v>
      </c>
    </row>
    <row r="15" spans="1:9" ht="21" customHeight="1" x14ac:dyDescent="0.15">
      <c r="A15" s="70" t="s">
        <v>208</v>
      </c>
      <c r="B15" s="63" t="s">
        <v>11</v>
      </c>
      <c r="C15" s="63" t="s">
        <v>11</v>
      </c>
      <c r="D15" s="26">
        <v>4600</v>
      </c>
      <c r="E15" s="26">
        <v>5800</v>
      </c>
      <c r="F15" s="26">
        <v>7600</v>
      </c>
      <c r="G15" s="63" t="s">
        <v>11</v>
      </c>
      <c r="H15" s="63" t="s">
        <v>11</v>
      </c>
      <c r="I15" s="63" t="s">
        <v>11</v>
      </c>
    </row>
    <row r="16" spans="1:9" ht="21" customHeight="1" x14ac:dyDescent="0.15">
      <c r="A16" s="70" t="s">
        <v>105</v>
      </c>
      <c r="B16" s="63" t="s">
        <v>11</v>
      </c>
      <c r="C16" s="63" t="s">
        <v>11</v>
      </c>
      <c r="D16" s="26">
        <v>4400</v>
      </c>
      <c r="E16" s="26">
        <v>5600</v>
      </c>
      <c r="F16" s="63" t="s">
        <v>11</v>
      </c>
      <c r="G16" s="63" t="s">
        <v>11</v>
      </c>
      <c r="H16" s="63" t="s">
        <v>11</v>
      </c>
      <c r="I16" s="63" t="s">
        <v>11</v>
      </c>
    </row>
    <row r="17" spans="1:9" ht="21" customHeight="1" x14ac:dyDescent="0.15">
      <c r="A17" s="70" t="s">
        <v>209</v>
      </c>
      <c r="B17" s="63" t="s">
        <v>11</v>
      </c>
      <c r="C17" s="26">
        <v>3000</v>
      </c>
      <c r="D17" s="26">
        <v>4200</v>
      </c>
      <c r="E17" s="26">
        <v>5400</v>
      </c>
      <c r="F17" s="63" t="s">
        <v>11</v>
      </c>
      <c r="G17" s="63" t="s">
        <v>11</v>
      </c>
      <c r="H17" s="63" t="s">
        <v>11</v>
      </c>
      <c r="I17" s="63" t="s">
        <v>11</v>
      </c>
    </row>
    <row r="18" spans="1:9" ht="21" customHeight="1" x14ac:dyDescent="0.15">
      <c r="A18" s="70" t="s">
        <v>8</v>
      </c>
      <c r="B18" s="26">
        <v>2000</v>
      </c>
      <c r="C18" s="26">
        <v>2800</v>
      </c>
      <c r="D18" s="26">
        <v>4000</v>
      </c>
      <c r="E18" s="63" t="s">
        <v>11</v>
      </c>
      <c r="F18" s="63" t="s">
        <v>11</v>
      </c>
      <c r="G18" s="63" t="s">
        <v>11</v>
      </c>
      <c r="H18" s="63" t="s">
        <v>11</v>
      </c>
      <c r="I18" s="63" t="s">
        <v>11</v>
      </c>
    </row>
    <row r="19" spans="1:9" ht="21" customHeight="1" x14ac:dyDescent="0.15">
      <c r="A19" s="71" t="s">
        <v>7</v>
      </c>
      <c r="B19" s="26">
        <v>1750</v>
      </c>
      <c r="C19" s="26">
        <v>2550</v>
      </c>
      <c r="D19" s="63" t="s">
        <v>11</v>
      </c>
      <c r="E19" s="63" t="s">
        <v>11</v>
      </c>
      <c r="F19" s="63" t="s">
        <v>11</v>
      </c>
      <c r="G19" s="63" t="s">
        <v>11</v>
      </c>
      <c r="H19" s="63" t="s">
        <v>11</v>
      </c>
      <c r="I19" s="63" t="s">
        <v>11</v>
      </c>
    </row>
    <row r="20" spans="1:9" ht="21" customHeight="1" x14ac:dyDescent="0.15">
      <c r="A20" s="71" t="s">
        <v>210</v>
      </c>
      <c r="B20" s="26">
        <v>1500</v>
      </c>
      <c r="C20" s="26">
        <v>2300</v>
      </c>
      <c r="D20" s="63" t="s">
        <v>11</v>
      </c>
      <c r="E20" s="63" t="s">
        <v>11</v>
      </c>
      <c r="F20" s="63" t="s">
        <v>11</v>
      </c>
      <c r="G20" s="63" t="s">
        <v>11</v>
      </c>
      <c r="H20" s="63" t="s">
        <v>11</v>
      </c>
      <c r="I20" s="63" t="s">
        <v>11</v>
      </c>
    </row>
    <row r="21" spans="1:9" ht="21" customHeight="1" x14ac:dyDescent="0.15">
      <c r="A21" s="35" t="s">
        <v>211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195</v>
      </c>
      <c r="B2" s="12">
        <v>591</v>
      </c>
    </row>
    <row r="3" spans="1:4" x14ac:dyDescent="0.15">
      <c r="A3" t="s">
        <v>196</v>
      </c>
      <c r="B3" s="127">
        <v>592</v>
      </c>
    </row>
    <row r="4" spans="1:4" x14ac:dyDescent="0.15">
      <c r="A4" t="s">
        <v>197</v>
      </c>
      <c r="B4" s="127">
        <v>593</v>
      </c>
    </row>
    <row r="7" spans="1:4" x14ac:dyDescent="0.15">
      <c r="A7" t="s">
        <v>198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217</v>
      </c>
    </row>
    <row r="13" spans="1:4" x14ac:dyDescent="0.15">
      <c r="B13" t="s">
        <v>221</v>
      </c>
      <c r="C13" t="s">
        <v>222</v>
      </c>
      <c r="D13" t="s">
        <v>223</v>
      </c>
    </row>
    <row r="14" spans="1:4" x14ac:dyDescent="0.15">
      <c r="A14" t="s">
        <v>219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220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218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199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200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201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39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ghosts_label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2017-05-01T11:24:26Z</dcterms:modified>
</cp:coreProperties>
</file>